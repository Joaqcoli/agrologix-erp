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joaquincoli/Downloads/"/>
    </mc:Choice>
  </mc:AlternateContent>
  <xr:revisionPtr revIDLastSave="0" documentId="13_ncr:1_{7DFE561E-3A9C-9E4D-A854-24967208A2E2}" xr6:coauthVersionLast="47" xr6:coauthVersionMax="47" xr10:uidLastSave="{00000000-0000-0000-0000-000000000000}"/>
  <bookViews>
    <workbookView xWindow="0" yWindow="500" windowWidth="28800" windowHeight="16500" xr2:uid="{00000000-000D-0000-FFFF-FFFF00000000}"/>
  </bookViews>
  <sheets>
    <sheet name="01-04-2026 " sheetId="1" r:id="rId1"/>
    <sheet name="02-04-2026 " sheetId="2" r:id="rId2"/>
    <sheet name="06-04-2026 " sheetId="3" r:id="rId3"/>
    <sheet name="07-04-2026 " sheetId="4" r:id="rId4"/>
    <sheet name="08-04-2026 " sheetId="5" r:id="rId5"/>
    <sheet name="09-04-2026 " sheetId="6" r:id="rId6"/>
    <sheet name="CUENTAS CORRIENTES ABRIL" sheetId="7" r:id="rId7"/>
    <sheet name="CUENTAS CORRIENTES MARZO" sheetId="8" r:id="rId8"/>
    <sheet name="CUENTAS CORRIENTES FEBRERO" sheetId="9" r:id="rId9"/>
    <sheet name="CUENTAS CORRIENTES ENERO" sheetId="10" r:id="rId10"/>
    <sheet name="JUAN COMISION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39" roundtripDataChecksum="R2zyb6BK7bNZIRHdhHS/Jl31/so3FabSxhJcK2lql0A="/>
    </ext>
  </extLst>
</workbook>
</file>

<file path=xl/calcChain.xml><?xml version="1.0" encoding="utf-8"?>
<calcChain xmlns="http://schemas.openxmlformats.org/spreadsheetml/2006/main">
  <c r="B64" i="9" l="1"/>
  <c r="B60" i="9"/>
  <c r="B63" i="9" s="1"/>
  <c r="D59" i="9"/>
  <c r="D59" i="7"/>
  <c r="B47" i="7"/>
  <c r="D45" i="7"/>
  <c r="F44" i="7"/>
  <c r="F42" i="7"/>
  <c r="D38" i="7"/>
  <c r="F37" i="7"/>
  <c r="F36" i="7"/>
  <c r="F35" i="7"/>
  <c r="F32" i="7"/>
  <c r="F27" i="7"/>
  <c r="F26" i="7"/>
  <c r="F25" i="7"/>
  <c r="D24" i="7"/>
  <c r="D47" i="7" s="1"/>
  <c r="F22" i="7"/>
  <c r="F20" i="7"/>
  <c r="F18" i="7"/>
  <c r="F17" i="7"/>
  <c r="F13" i="7"/>
  <c r="F12" i="7"/>
  <c r="F11" i="7"/>
  <c r="F10" i="7"/>
  <c r="F9" i="7"/>
  <c r="F7" i="7"/>
  <c r="K62" i="6"/>
  <c r="L62" i="6" s="1"/>
  <c r="J62" i="6"/>
  <c r="E62" i="6"/>
  <c r="K61" i="6"/>
  <c r="L61" i="6" s="1"/>
  <c r="J61" i="6"/>
  <c r="E61" i="6"/>
  <c r="K60" i="6"/>
  <c r="L60" i="6" s="1"/>
  <c r="J60" i="6"/>
  <c r="E60" i="6"/>
  <c r="J59" i="6"/>
  <c r="K59" i="6" s="1"/>
  <c r="L59" i="6" s="1"/>
  <c r="E59" i="6"/>
  <c r="K58" i="6"/>
  <c r="L58" i="6" s="1"/>
  <c r="J58" i="6"/>
  <c r="E58" i="6"/>
  <c r="J57" i="6"/>
  <c r="K57" i="6" s="1"/>
  <c r="L57" i="6" s="1"/>
  <c r="E57" i="6"/>
  <c r="K56" i="6"/>
  <c r="J56" i="6"/>
  <c r="E56" i="6"/>
  <c r="K55" i="6"/>
  <c r="L55" i="6" s="1"/>
  <c r="J55" i="6"/>
  <c r="E55" i="6"/>
  <c r="E65" i="6" s="1"/>
  <c r="K47" i="6"/>
  <c r="L47" i="6" s="1"/>
  <c r="J47" i="6"/>
  <c r="E47" i="6"/>
  <c r="F47" i="6" s="1"/>
  <c r="J46" i="6"/>
  <c r="F46" i="6"/>
  <c r="E46" i="6"/>
  <c r="E49" i="6" s="1"/>
  <c r="J38" i="6"/>
  <c r="E38" i="6"/>
  <c r="F38" i="6" s="1"/>
  <c r="K38" i="6" s="1"/>
  <c r="L38" i="6" s="1"/>
  <c r="J37" i="6"/>
  <c r="E37" i="6"/>
  <c r="F37" i="6" s="1"/>
  <c r="K37" i="6" s="1"/>
  <c r="L37" i="6" s="1"/>
  <c r="K36" i="6"/>
  <c r="L36" i="6" s="1"/>
  <c r="J36" i="6"/>
  <c r="E36" i="6"/>
  <c r="F36" i="6" s="1"/>
  <c r="J35" i="6"/>
  <c r="E35" i="6"/>
  <c r="F35" i="6" s="1"/>
  <c r="K35" i="6" s="1"/>
  <c r="L35" i="6" s="1"/>
  <c r="L34" i="6"/>
  <c r="J34" i="6"/>
  <c r="F34" i="6"/>
  <c r="K34" i="6" s="1"/>
  <c r="E34" i="6"/>
  <c r="J33" i="6"/>
  <c r="I33" i="6"/>
  <c r="E33" i="6"/>
  <c r="F33" i="6" s="1"/>
  <c r="K33" i="6" s="1"/>
  <c r="L33" i="6" s="1"/>
  <c r="I32" i="6"/>
  <c r="J32" i="6" s="1"/>
  <c r="F32" i="6"/>
  <c r="E32" i="6"/>
  <c r="J31" i="6"/>
  <c r="F31" i="6"/>
  <c r="K31" i="6" s="1"/>
  <c r="L31" i="6" s="1"/>
  <c r="E31" i="6"/>
  <c r="J30" i="6"/>
  <c r="E30" i="6"/>
  <c r="F30" i="6" s="1"/>
  <c r="K30" i="6" s="1"/>
  <c r="L30" i="6" s="1"/>
  <c r="J29" i="6"/>
  <c r="F29" i="6"/>
  <c r="E29" i="6"/>
  <c r="J18" i="6"/>
  <c r="F18" i="6"/>
  <c r="K18" i="6" s="1"/>
  <c r="L18" i="6" s="1"/>
  <c r="E18" i="6"/>
  <c r="J17" i="6"/>
  <c r="F17" i="6"/>
  <c r="K17" i="6" s="1"/>
  <c r="L17" i="6" s="1"/>
  <c r="E17" i="6"/>
  <c r="J16" i="6"/>
  <c r="E16" i="6"/>
  <c r="F16" i="6" s="1"/>
  <c r="K16" i="6" s="1"/>
  <c r="L16" i="6" s="1"/>
  <c r="L15" i="6"/>
  <c r="J15" i="6"/>
  <c r="F15" i="6"/>
  <c r="K15" i="6" s="1"/>
  <c r="E15" i="6"/>
  <c r="J14" i="6"/>
  <c r="F14" i="6"/>
  <c r="K14" i="6" s="1"/>
  <c r="L14" i="6" s="1"/>
  <c r="E14" i="6"/>
  <c r="K13" i="6"/>
  <c r="L13" i="6" s="1"/>
  <c r="J13" i="6"/>
  <c r="F13" i="6"/>
  <c r="E13" i="6"/>
  <c r="J12" i="6"/>
  <c r="E12" i="6"/>
  <c r="F12" i="6" s="1"/>
  <c r="K12" i="6" s="1"/>
  <c r="L12" i="6" s="1"/>
  <c r="L11" i="6"/>
  <c r="K11" i="6"/>
  <c r="J11" i="6"/>
  <c r="E11" i="6"/>
  <c r="F11" i="6" s="1"/>
  <c r="J10" i="6"/>
  <c r="E10" i="6"/>
  <c r="F10" i="6" s="1"/>
  <c r="K10" i="6" s="1"/>
  <c r="L10" i="6" s="1"/>
  <c r="J9" i="6"/>
  <c r="F9" i="6"/>
  <c r="K9" i="6" s="1"/>
  <c r="L9" i="6" s="1"/>
  <c r="E9" i="6"/>
  <c r="J8" i="6"/>
  <c r="E8" i="6"/>
  <c r="F8" i="6" s="1"/>
  <c r="K8" i="6" s="1"/>
  <c r="L8" i="6" s="1"/>
  <c r="L7" i="6"/>
  <c r="J7" i="6"/>
  <c r="F7" i="6"/>
  <c r="K7" i="6" s="1"/>
  <c r="E7" i="6"/>
  <c r="J6" i="6"/>
  <c r="F6" i="6"/>
  <c r="E6" i="6"/>
  <c r="L206" i="5"/>
  <c r="J206" i="5"/>
  <c r="E206" i="5"/>
  <c r="K206" i="5" s="1"/>
  <c r="I205" i="5"/>
  <c r="J205" i="5" s="1"/>
  <c r="E205" i="5"/>
  <c r="J204" i="5"/>
  <c r="E204" i="5"/>
  <c r="I203" i="5"/>
  <c r="J203" i="5" s="1"/>
  <c r="E203" i="5"/>
  <c r="J202" i="5"/>
  <c r="E202" i="5"/>
  <c r="K202" i="5" s="1"/>
  <c r="L202" i="5" s="1"/>
  <c r="J201" i="5"/>
  <c r="E201" i="5"/>
  <c r="J200" i="5"/>
  <c r="E200" i="5"/>
  <c r="K200" i="5" s="1"/>
  <c r="L200" i="5" s="1"/>
  <c r="J199" i="5"/>
  <c r="E199" i="5"/>
  <c r="K199" i="5" s="1"/>
  <c r="L199" i="5" s="1"/>
  <c r="J198" i="5"/>
  <c r="K198" i="5" s="1"/>
  <c r="L198" i="5" s="1"/>
  <c r="E198" i="5"/>
  <c r="J197" i="5"/>
  <c r="E197" i="5"/>
  <c r="K197" i="5" s="1"/>
  <c r="L197" i="5" s="1"/>
  <c r="I196" i="5"/>
  <c r="J196" i="5" s="1"/>
  <c r="K196" i="5" s="1"/>
  <c r="L196" i="5" s="1"/>
  <c r="E196" i="5"/>
  <c r="K195" i="5"/>
  <c r="L195" i="5" s="1"/>
  <c r="I195" i="5"/>
  <c r="J195" i="5" s="1"/>
  <c r="E195" i="5"/>
  <c r="I194" i="5"/>
  <c r="J194" i="5" s="1"/>
  <c r="E194" i="5"/>
  <c r="I193" i="5"/>
  <c r="J193" i="5" s="1"/>
  <c r="E193" i="5"/>
  <c r="J192" i="5"/>
  <c r="I192" i="5"/>
  <c r="E192" i="5"/>
  <c r="K192" i="5" s="1"/>
  <c r="L192" i="5" s="1"/>
  <c r="J191" i="5"/>
  <c r="K191" i="5" s="1"/>
  <c r="L191" i="5" s="1"/>
  <c r="I191" i="5"/>
  <c r="E191" i="5"/>
  <c r="I190" i="5"/>
  <c r="J190" i="5" s="1"/>
  <c r="E190" i="5"/>
  <c r="I189" i="5"/>
  <c r="J189" i="5" s="1"/>
  <c r="E189" i="5"/>
  <c r="K188" i="5"/>
  <c r="L188" i="5" s="1"/>
  <c r="J188" i="5"/>
  <c r="I188" i="5"/>
  <c r="E188" i="5"/>
  <c r="I187" i="5"/>
  <c r="J187" i="5" s="1"/>
  <c r="E187" i="5"/>
  <c r="K187" i="5" s="1"/>
  <c r="L187" i="5" s="1"/>
  <c r="L186" i="5"/>
  <c r="K186" i="5"/>
  <c r="J186" i="5"/>
  <c r="E186" i="5"/>
  <c r="I185" i="5"/>
  <c r="J185" i="5" s="1"/>
  <c r="E185" i="5"/>
  <c r="I177" i="5"/>
  <c r="J177" i="5" s="1"/>
  <c r="E177" i="5"/>
  <c r="J176" i="5"/>
  <c r="E176" i="5"/>
  <c r="K176" i="5" s="1"/>
  <c r="L176" i="5" s="1"/>
  <c r="J175" i="5"/>
  <c r="I175" i="5"/>
  <c r="E175" i="5"/>
  <c r="J174" i="5"/>
  <c r="E174" i="5"/>
  <c r="J173" i="5"/>
  <c r="K173" i="5" s="1"/>
  <c r="I173" i="5"/>
  <c r="E173" i="5"/>
  <c r="K164" i="5"/>
  <c r="L164" i="5" s="1"/>
  <c r="J164" i="5"/>
  <c r="E164" i="5"/>
  <c r="J163" i="5"/>
  <c r="E163" i="5"/>
  <c r="K163" i="5" s="1"/>
  <c r="L163" i="5" s="1"/>
  <c r="J162" i="5"/>
  <c r="E162" i="5"/>
  <c r="K162" i="5" s="1"/>
  <c r="L162" i="5" s="1"/>
  <c r="J161" i="5"/>
  <c r="E161" i="5"/>
  <c r="K160" i="5"/>
  <c r="L160" i="5" s="1"/>
  <c r="J160" i="5"/>
  <c r="E160" i="5"/>
  <c r="J159" i="5"/>
  <c r="E159" i="5"/>
  <c r="K159" i="5" s="1"/>
  <c r="L159" i="5" s="1"/>
  <c r="J158" i="5"/>
  <c r="E158" i="5"/>
  <c r="J157" i="5"/>
  <c r="E157" i="5"/>
  <c r="J156" i="5"/>
  <c r="E156" i="5"/>
  <c r="K156" i="5" s="1"/>
  <c r="L156" i="5" s="1"/>
  <c r="J155" i="5"/>
  <c r="I155" i="5"/>
  <c r="E155" i="5"/>
  <c r="K155" i="5" s="1"/>
  <c r="L155" i="5" s="1"/>
  <c r="J154" i="5"/>
  <c r="K154" i="5" s="1"/>
  <c r="L154" i="5" s="1"/>
  <c r="E154" i="5"/>
  <c r="K153" i="5"/>
  <c r="L153" i="5" s="1"/>
  <c r="J153" i="5"/>
  <c r="E153" i="5"/>
  <c r="L152" i="5"/>
  <c r="K152" i="5"/>
  <c r="J152" i="5"/>
  <c r="E152" i="5"/>
  <c r="K151" i="5"/>
  <c r="L151" i="5" s="1"/>
  <c r="J151" i="5"/>
  <c r="E151" i="5"/>
  <c r="J142" i="5"/>
  <c r="E142" i="5"/>
  <c r="F142" i="5" s="1"/>
  <c r="K142" i="5" s="1"/>
  <c r="L142" i="5" s="1"/>
  <c r="K141" i="5"/>
  <c r="L141" i="5" s="1"/>
  <c r="I141" i="5"/>
  <c r="J141" i="5" s="1"/>
  <c r="F141" i="5"/>
  <c r="E141" i="5"/>
  <c r="I140" i="5"/>
  <c r="J140" i="5" s="1"/>
  <c r="E140" i="5"/>
  <c r="F140" i="5" s="1"/>
  <c r="K140" i="5" s="1"/>
  <c r="L140" i="5" s="1"/>
  <c r="I139" i="5"/>
  <c r="J139" i="5" s="1"/>
  <c r="F139" i="5"/>
  <c r="K139" i="5" s="1"/>
  <c r="L139" i="5" s="1"/>
  <c r="E139" i="5"/>
  <c r="J138" i="5"/>
  <c r="I138" i="5"/>
  <c r="E138" i="5"/>
  <c r="F138" i="5" s="1"/>
  <c r="K138" i="5" s="1"/>
  <c r="L138" i="5" s="1"/>
  <c r="K137" i="5"/>
  <c r="L137" i="5" s="1"/>
  <c r="J137" i="5"/>
  <c r="E137" i="5"/>
  <c r="F137" i="5" s="1"/>
  <c r="J136" i="5"/>
  <c r="I136" i="5"/>
  <c r="F136" i="5"/>
  <c r="E136" i="5"/>
  <c r="J135" i="5"/>
  <c r="I135" i="5"/>
  <c r="F135" i="5"/>
  <c r="K135" i="5" s="1"/>
  <c r="L135" i="5" s="1"/>
  <c r="E135" i="5"/>
  <c r="I134" i="5"/>
  <c r="J134" i="5" s="1"/>
  <c r="F134" i="5"/>
  <c r="K134" i="5" s="1"/>
  <c r="L134" i="5" s="1"/>
  <c r="E134" i="5"/>
  <c r="J133" i="5"/>
  <c r="K133" i="5" s="1"/>
  <c r="L133" i="5" s="1"/>
  <c r="I133" i="5"/>
  <c r="E133" i="5"/>
  <c r="F133" i="5" s="1"/>
  <c r="J132" i="5"/>
  <c r="E132" i="5"/>
  <c r="F132" i="5" s="1"/>
  <c r="K132" i="5" s="1"/>
  <c r="L132" i="5" s="1"/>
  <c r="J131" i="5"/>
  <c r="I131" i="5"/>
  <c r="E131" i="5"/>
  <c r="F131" i="5" s="1"/>
  <c r="K131" i="5" s="1"/>
  <c r="L131" i="5" s="1"/>
  <c r="I130" i="5"/>
  <c r="J130" i="5" s="1"/>
  <c r="F130" i="5"/>
  <c r="K130" i="5" s="1"/>
  <c r="L130" i="5" s="1"/>
  <c r="E130" i="5"/>
  <c r="I129" i="5"/>
  <c r="J129" i="5" s="1"/>
  <c r="K129" i="5" s="1"/>
  <c r="L129" i="5" s="1"/>
  <c r="E129" i="5"/>
  <c r="F129" i="5" s="1"/>
  <c r="I128" i="5"/>
  <c r="J128" i="5" s="1"/>
  <c r="E128" i="5"/>
  <c r="F128" i="5" s="1"/>
  <c r="K128" i="5" s="1"/>
  <c r="L128" i="5" s="1"/>
  <c r="J127" i="5"/>
  <c r="I127" i="5"/>
  <c r="E127" i="5"/>
  <c r="F127" i="5" s="1"/>
  <c r="J126" i="5"/>
  <c r="E126" i="5"/>
  <c r="F126" i="5" s="1"/>
  <c r="K126" i="5" s="1"/>
  <c r="L126" i="5" s="1"/>
  <c r="J125" i="5"/>
  <c r="F125" i="5"/>
  <c r="K125" i="5" s="1"/>
  <c r="L125" i="5" s="1"/>
  <c r="E125" i="5"/>
  <c r="J124" i="5"/>
  <c r="I124" i="5"/>
  <c r="E124" i="5"/>
  <c r="F124" i="5" s="1"/>
  <c r="I123" i="5"/>
  <c r="J123" i="5" s="1"/>
  <c r="F123" i="5"/>
  <c r="K123" i="5" s="1"/>
  <c r="L123" i="5" s="1"/>
  <c r="E123" i="5"/>
  <c r="K122" i="5"/>
  <c r="L122" i="5" s="1"/>
  <c r="J122" i="5"/>
  <c r="F122" i="5"/>
  <c r="E122" i="5"/>
  <c r="J121" i="5"/>
  <c r="E121" i="5"/>
  <c r="F121" i="5" s="1"/>
  <c r="K121" i="5" s="1"/>
  <c r="L121" i="5" s="1"/>
  <c r="J120" i="5"/>
  <c r="E120" i="5"/>
  <c r="I111" i="5"/>
  <c r="J111" i="5" s="1"/>
  <c r="F111" i="5"/>
  <c r="E111" i="5"/>
  <c r="J110" i="5"/>
  <c r="I110" i="5"/>
  <c r="E110" i="5"/>
  <c r="F110" i="5" s="1"/>
  <c r="K110" i="5" s="1"/>
  <c r="L110" i="5" s="1"/>
  <c r="J109" i="5"/>
  <c r="I109" i="5"/>
  <c r="F109" i="5"/>
  <c r="E109" i="5"/>
  <c r="J108" i="5"/>
  <c r="E108" i="5"/>
  <c r="F108" i="5" s="1"/>
  <c r="K108" i="5" s="1"/>
  <c r="L108" i="5" s="1"/>
  <c r="K107" i="5"/>
  <c r="L107" i="5" s="1"/>
  <c r="J107" i="5"/>
  <c r="E107" i="5"/>
  <c r="F107" i="5" s="1"/>
  <c r="J106" i="5"/>
  <c r="E106" i="5"/>
  <c r="F106" i="5" s="1"/>
  <c r="K106" i="5" s="1"/>
  <c r="L106" i="5" s="1"/>
  <c r="J105" i="5"/>
  <c r="I105" i="5"/>
  <c r="E105" i="5"/>
  <c r="J96" i="5"/>
  <c r="E96" i="5"/>
  <c r="F96" i="5" s="1"/>
  <c r="K96" i="5" s="1"/>
  <c r="L96" i="5" s="1"/>
  <c r="L95" i="5"/>
  <c r="J95" i="5"/>
  <c r="F95" i="5"/>
  <c r="K95" i="5" s="1"/>
  <c r="E95" i="5"/>
  <c r="K94" i="5"/>
  <c r="L94" i="5" s="1"/>
  <c r="J94" i="5"/>
  <c r="F94" i="5"/>
  <c r="E94" i="5"/>
  <c r="K93" i="5"/>
  <c r="L93" i="5" s="1"/>
  <c r="J93" i="5"/>
  <c r="I93" i="5"/>
  <c r="F93" i="5"/>
  <c r="E93" i="5"/>
  <c r="I92" i="5"/>
  <c r="J92" i="5" s="1"/>
  <c r="F92" i="5"/>
  <c r="E92" i="5"/>
  <c r="J91" i="5"/>
  <c r="K91" i="5" s="1"/>
  <c r="L91" i="5" s="1"/>
  <c r="I91" i="5"/>
  <c r="E91" i="5"/>
  <c r="F91" i="5" s="1"/>
  <c r="J90" i="5"/>
  <c r="I90" i="5"/>
  <c r="F90" i="5"/>
  <c r="K90" i="5" s="1"/>
  <c r="L90" i="5" s="1"/>
  <c r="E90" i="5"/>
  <c r="J89" i="5"/>
  <c r="I89" i="5"/>
  <c r="E89" i="5"/>
  <c r="F89" i="5" s="1"/>
  <c r="K89" i="5" s="1"/>
  <c r="L89" i="5" s="1"/>
  <c r="J88" i="5"/>
  <c r="F88" i="5"/>
  <c r="K88" i="5" s="1"/>
  <c r="L88" i="5" s="1"/>
  <c r="E88" i="5"/>
  <c r="K87" i="5"/>
  <c r="L87" i="5" s="1"/>
  <c r="J87" i="5"/>
  <c r="F87" i="5"/>
  <c r="E87" i="5"/>
  <c r="J86" i="5"/>
  <c r="I86" i="5"/>
  <c r="E86" i="5"/>
  <c r="F86" i="5" s="1"/>
  <c r="K86" i="5" s="1"/>
  <c r="L86" i="5" s="1"/>
  <c r="L85" i="5"/>
  <c r="I85" i="5"/>
  <c r="J85" i="5" s="1"/>
  <c r="F85" i="5"/>
  <c r="K85" i="5" s="1"/>
  <c r="E85" i="5"/>
  <c r="K84" i="5"/>
  <c r="L84" i="5" s="1"/>
  <c r="J84" i="5"/>
  <c r="I84" i="5"/>
  <c r="E84" i="5"/>
  <c r="F84" i="5" s="1"/>
  <c r="I83" i="5"/>
  <c r="J83" i="5" s="1"/>
  <c r="F83" i="5"/>
  <c r="E83" i="5"/>
  <c r="I82" i="5"/>
  <c r="J82" i="5" s="1"/>
  <c r="F82" i="5"/>
  <c r="K82" i="5" s="1"/>
  <c r="L82" i="5" s="1"/>
  <c r="E82" i="5"/>
  <c r="J81" i="5"/>
  <c r="F81" i="5"/>
  <c r="K81" i="5" s="1"/>
  <c r="L81" i="5" s="1"/>
  <c r="E81" i="5"/>
  <c r="I80" i="5"/>
  <c r="J80" i="5" s="1"/>
  <c r="K80" i="5" s="1"/>
  <c r="L80" i="5" s="1"/>
  <c r="E80" i="5"/>
  <c r="F80" i="5" s="1"/>
  <c r="I79" i="5"/>
  <c r="J79" i="5" s="1"/>
  <c r="E79" i="5"/>
  <c r="F79" i="5" s="1"/>
  <c r="K79" i="5" s="1"/>
  <c r="L79" i="5" s="1"/>
  <c r="J78" i="5"/>
  <c r="E78" i="5"/>
  <c r="F78" i="5" s="1"/>
  <c r="K78" i="5" s="1"/>
  <c r="L78" i="5" s="1"/>
  <c r="L77" i="5"/>
  <c r="K77" i="5"/>
  <c r="J77" i="5"/>
  <c r="E77" i="5"/>
  <c r="F77" i="5" s="1"/>
  <c r="I76" i="5"/>
  <c r="J76" i="5" s="1"/>
  <c r="F76" i="5"/>
  <c r="K76" i="5" s="1"/>
  <c r="L76" i="5" s="1"/>
  <c r="E76" i="5"/>
  <c r="J75" i="5"/>
  <c r="I75" i="5"/>
  <c r="E75" i="5"/>
  <c r="F75" i="5" s="1"/>
  <c r="I74" i="5"/>
  <c r="J74" i="5" s="1"/>
  <c r="F74" i="5"/>
  <c r="K74" i="5" s="1"/>
  <c r="L74" i="5" s="1"/>
  <c r="E74" i="5"/>
  <c r="K73" i="5"/>
  <c r="L73" i="5" s="1"/>
  <c r="J73" i="5"/>
  <c r="F73" i="5"/>
  <c r="E73" i="5"/>
  <c r="J72" i="5"/>
  <c r="E72" i="5"/>
  <c r="F72" i="5" s="1"/>
  <c r="K72" i="5" s="1"/>
  <c r="L72" i="5" s="1"/>
  <c r="K71" i="5"/>
  <c r="L71" i="5" s="1"/>
  <c r="J71" i="5"/>
  <c r="E71" i="5"/>
  <c r="F71" i="5" s="1"/>
  <c r="J70" i="5"/>
  <c r="E70" i="5"/>
  <c r="F70" i="5" s="1"/>
  <c r="K70" i="5" s="1"/>
  <c r="L70" i="5" s="1"/>
  <c r="J69" i="5"/>
  <c r="I69" i="5"/>
  <c r="E69" i="5"/>
  <c r="I59" i="5"/>
  <c r="J59" i="5" s="1"/>
  <c r="F59" i="5"/>
  <c r="K59" i="5" s="1"/>
  <c r="L59" i="5" s="1"/>
  <c r="E59" i="5"/>
  <c r="J58" i="5"/>
  <c r="I58" i="5"/>
  <c r="E58" i="5"/>
  <c r="F58" i="5" s="1"/>
  <c r="I57" i="5"/>
  <c r="J57" i="5" s="1"/>
  <c r="F57" i="5"/>
  <c r="K57" i="5" s="1"/>
  <c r="L57" i="5" s="1"/>
  <c r="E57" i="5"/>
  <c r="K56" i="5"/>
  <c r="L56" i="5" s="1"/>
  <c r="J56" i="5"/>
  <c r="F56" i="5"/>
  <c r="E56" i="5"/>
  <c r="J55" i="5"/>
  <c r="I55" i="5"/>
  <c r="E55" i="5"/>
  <c r="F55" i="5" s="1"/>
  <c r="K55" i="5" s="1"/>
  <c r="L55" i="5" s="1"/>
  <c r="L54" i="5"/>
  <c r="I54" i="5"/>
  <c r="J54" i="5" s="1"/>
  <c r="E54" i="5"/>
  <c r="F54" i="5" s="1"/>
  <c r="K54" i="5" s="1"/>
  <c r="J53" i="5"/>
  <c r="K53" i="5" s="1"/>
  <c r="L53" i="5" s="1"/>
  <c r="F53" i="5"/>
  <c r="E53" i="5"/>
  <c r="J52" i="5"/>
  <c r="E52" i="5"/>
  <c r="F52" i="5" s="1"/>
  <c r="K52" i="5" s="1"/>
  <c r="L52" i="5" s="1"/>
  <c r="I51" i="5"/>
  <c r="J51" i="5" s="1"/>
  <c r="F51" i="5"/>
  <c r="E51" i="5"/>
  <c r="J50" i="5"/>
  <c r="I50" i="5"/>
  <c r="E50" i="5"/>
  <c r="F50" i="5" s="1"/>
  <c r="K50" i="5" s="1"/>
  <c r="L50" i="5" s="1"/>
  <c r="L49" i="5"/>
  <c r="K49" i="5"/>
  <c r="J49" i="5"/>
  <c r="I49" i="5"/>
  <c r="F49" i="5"/>
  <c r="E49" i="5"/>
  <c r="I48" i="5"/>
  <c r="J48" i="5" s="1"/>
  <c r="K48" i="5" s="1"/>
  <c r="L48" i="5" s="1"/>
  <c r="F48" i="5"/>
  <c r="E48" i="5"/>
  <c r="I47" i="5"/>
  <c r="J47" i="5" s="1"/>
  <c r="E47" i="5"/>
  <c r="F47" i="5" s="1"/>
  <c r="K47" i="5" s="1"/>
  <c r="L47" i="5" s="1"/>
  <c r="J46" i="5"/>
  <c r="K46" i="5" s="1"/>
  <c r="L46" i="5" s="1"/>
  <c r="I46" i="5"/>
  <c r="E46" i="5"/>
  <c r="F46" i="5" s="1"/>
  <c r="I45" i="5"/>
  <c r="J45" i="5" s="1"/>
  <c r="F45" i="5"/>
  <c r="E45" i="5"/>
  <c r="J34" i="5"/>
  <c r="E34" i="5"/>
  <c r="F34" i="5" s="1"/>
  <c r="K34" i="5" s="1"/>
  <c r="L34" i="5" s="1"/>
  <c r="I33" i="5"/>
  <c r="J33" i="5" s="1"/>
  <c r="E33" i="5"/>
  <c r="F33" i="5" s="1"/>
  <c r="K33" i="5" s="1"/>
  <c r="L33" i="5" s="1"/>
  <c r="J32" i="5"/>
  <c r="I32" i="5"/>
  <c r="F32" i="5"/>
  <c r="E32" i="5"/>
  <c r="I31" i="5"/>
  <c r="J31" i="5" s="1"/>
  <c r="E31" i="5"/>
  <c r="F31" i="5" s="1"/>
  <c r="K31" i="5" s="1"/>
  <c r="L31" i="5" s="1"/>
  <c r="K30" i="5"/>
  <c r="L30" i="5" s="1"/>
  <c r="J30" i="5"/>
  <c r="F30" i="5"/>
  <c r="E30" i="5"/>
  <c r="K29" i="5"/>
  <c r="L29" i="5" s="1"/>
  <c r="J29" i="5"/>
  <c r="E29" i="5"/>
  <c r="F29" i="5" s="1"/>
  <c r="J28" i="5"/>
  <c r="E28" i="5"/>
  <c r="F28" i="5" s="1"/>
  <c r="K28" i="5" s="1"/>
  <c r="L28" i="5" s="1"/>
  <c r="L27" i="5"/>
  <c r="K27" i="5"/>
  <c r="J27" i="5"/>
  <c r="I27" i="5"/>
  <c r="E27" i="5"/>
  <c r="F27" i="5" s="1"/>
  <c r="J26" i="5"/>
  <c r="E26" i="5"/>
  <c r="F26" i="5" s="1"/>
  <c r="K26" i="5" s="1"/>
  <c r="L26" i="5" s="1"/>
  <c r="J25" i="5"/>
  <c r="E25" i="5"/>
  <c r="F25" i="5" s="1"/>
  <c r="K25" i="5" s="1"/>
  <c r="L25" i="5" s="1"/>
  <c r="J24" i="5"/>
  <c r="I24" i="5"/>
  <c r="E24" i="5"/>
  <c r="F24" i="5" s="1"/>
  <c r="K24" i="5" s="1"/>
  <c r="L24" i="5" s="1"/>
  <c r="I23" i="5"/>
  <c r="J23" i="5" s="1"/>
  <c r="K23" i="5" s="1"/>
  <c r="L23" i="5" s="1"/>
  <c r="F23" i="5"/>
  <c r="E23" i="5"/>
  <c r="I22" i="5"/>
  <c r="J22" i="5" s="1"/>
  <c r="F22" i="5"/>
  <c r="K22" i="5" s="1"/>
  <c r="L22" i="5" s="1"/>
  <c r="E22" i="5"/>
  <c r="J21" i="5"/>
  <c r="E21" i="5"/>
  <c r="F21" i="5" s="1"/>
  <c r="K21" i="5" s="1"/>
  <c r="L21" i="5" s="1"/>
  <c r="J20" i="5"/>
  <c r="F20" i="5"/>
  <c r="K20" i="5" s="1"/>
  <c r="L20" i="5" s="1"/>
  <c r="E20" i="5"/>
  <c r="J19" i="5"/>
  <c r="E19" i="5"/>
  <c r="F19" i="5" s="1"/>
  <c r="K19" i="5" s="1"/>
  <c r="L19" i="5" s="1"/>
  <c r="J18" i="5"/>
  <c r="I18" i="5"/>
  <c r="E18" i="5"/>
  <c r="F18" i="5" s="1"/>
  <c r="K18" i="5" s="1"/>
  <c r="L18" i="5" s="1"/>
  <c r="K17" i="5"/>
  <c r="L17" i="5" s="1"/>
  <c r="J17" i="5"/>
  <c r="F17" i="5"/>
  <c r="E17" i="5"/>
  <c r="I16" i="5"/>
  <c r="J16" i="5" s="1"/>
  <c r="F16" i="5"/>
  <c r="K16" i="5" s="1"/>
  <c r="L16" i="5" s="1"/>
  <c r="E16" i="5"/>
  <c r="I15" i="5"/>
  <c r="J15" i="5" s="1"/>
  <c r="E15" i="5"/>
  <c r="F15" i="5" s="1"/>
  <c r="J14" i="5"/>
  <c r="I14" i="5"/>
  <c r="E14" i="5"/>
  <c r="F14" i="5" s="1"/>
  <c r="K14" i="5" s="1"/>
  <c r="L14" i="5" s="1"/>
  <c r="I13" i="5"/>
  <c r="J13" i="5" s="1"/>
  <c r="K13" i="5" s="1"/>
  <c r="L13" i="5" s="1"/>
  <c r="F13" i="5"/>
  <c r="E13" i="5"/>
  <c r="I12" i="5"/>
  <c r="J12" i="5" s="1"/>
  <c r="E12" i="5"/>
  <c r="F12" i="5" s="1"/>
  <c r="K12" i="5" s="1"/>
  <c r="L12" i="5" s="1"/>
  <c r="L11" i="5"/>
  <c r="J11" i="5"/>
  <c r="E11" i="5"/>
  <c r="F11" i="5" s="1"/>
  <c r="K11" i="5" s="1"/>
  <c r="J10" i="5"/>
  <c r="F10" i="5"/>
  <c r="K10" i="5" s="1"/>
  <c r="L10" i="5" s="1"/>
  <c r="E10" i="5"/>
  <c r="J9" i="5"/>
  <c r="E9" i="5"/>
  <c r="F9" i="5" s="1"/>
  <c r="K9" i="5" s="1"/>
  <c r="L9" i="5" s="1"/>
  <c r="J8" i="5"/>
  <c r="E8" i="5"/>
  <c r="F8" i="5" s="1"/>
  <c r="K8" i="5" s="1"/>
  <c r="L8" i="5" s="1"/>
  <c r="J7" i="5"/>
  <c r="E7" i="5"/>
  <c r="F7" i="5" s="1"/>
  <c r="K7" i="5" s="1"/>
  <c r="L7" i="5" s="1"/>
  <c r="J6" i="5"/>
  <c r="E6" i="5"/>
  <c r="K260" i="4"/>
  <c r="J260" i="4"/>
  <c r="E260" i="4"/>
  <c r="E262" i="4" s="1"/>
  <c r="J251" i="4"/>
  <c r="E251" i="4"/>
  <c r="J250" i="4"/>
  <c r="E250" i="4"/>
  <c r="L249" i="4"/>
  <c r="J249" i="4"/>
  <c r="K249" i="4" s="1"/>
  <c r="F249" i="4"/>
  <c r="E249" i="4"/>
  <c r="I248" i="4"/>
  <c r="J248" i="4" s="1"/>
  <c r="F248" i="4"/>
  <c r="E248" i="4"/>
  <c r="K248" i="4" s="1"/>
  <c r="L248" i="4" s="1"/>
  <c r="J247" i="4"/>
  <c r="I247" i="4"/>
  <c r="E247" i="4"/>
  <c r="K246" i="4"/>
  <c r="J246" i="4"/>
  <c r="E246" i="4"/>
  <c r="F246" i="4" s="1"/>
  <c r="K237" i="4"/>
  <c r="L237" i="4" s="1"/>
  <c r="J237" i="4"/>
  <c r="E237" i="4"/>
  <c r="J236" i="4"/>
  <c r="E236" i="4"/>
  <c r="K236" i="4" s="1"/>
  <c r="L236" i="4" s="1"/>
  <c r="K235" i="4"/>
  <c r="L235" i="4" s="1"/>
  <c r="J235" i="4"/>
  <c r="E235" i="4"/>
  <c r="J234" i="4"/>
  <c r="E234" i="4"/>
  <c r="L233" i="4"/>
  <c r="K233" i="4"/>
  <c r="J233" i="4"/>
  <c r="E233" i="4"/>
  <c r="J232" i="4"/>
  <c r="E232" i="4"/>
  <c r="J223" i="4"/>
  <c r="E223" i="4"/>
  <c r="K223" i="4" s="1"/>
  <c r="L223" i="4" s="1"/>
  <c r="K222" i="4"/>
  <c r="L222" i="4" s="1"/>
  <c r="J222" i="4"/>
  <c r="I222" i="4"/>
  <c r="E222" i="4"/>
  <c r="J221" i="4"/>
  <c r="E221" i="4"/>
  <c r="L220" i="4"/>
  <c r="K220" i="4"/>
  <c r="J220" i="4"/>
  <c r="E220" i="4"/>
  <c r="J219" i="4"/>
  <c r="E219" i="4"/>
  <c r="K219" i="4" s="1"/>
  <c r="L219" i="4" s="1"/>
  <c r="L218" i="4"/>
  <c r="K218" i="4"/>
  <c r="J218" i="4"/>
  <c r="E218" i="4"/>
  <c r="J217" i="4"/>
  <c r="I217" i="4"/>
  <c r="E217" i="4"/>
  <c r="K217" i="4" s="1"/>
  <c r="L217" i="4" s="1"/>
  <c r="L216" i="4"/>
  <c r="K216" i="4"/>
  <c r="J216" i="4"/>
  <c r="E216" i="4"/>
  <c r="J215" i="4"/>
  <c r="E215" i="4"/>
  <c r="K215" i="4" s="1"/>
  <c r="L215" i="4" s="1"/>
  <c r="L214" i="4"/>
  <c r="K214" i="4"/>
  <c r="J214" i="4"/>
  <c r="E214" i="4"/>
  <c r="K213" i="4"/>
  <c r="J213" i="4"/>
  <c r="E213" i="4"/>
  <c r="J205" i="4"/>
  <c r="E205" i="4"/>
  <c r="J196" i="4"/>
  <c r="E196" i="4"/>
  <c r="K196" i="4" s="1"/>
  <c r="L196" i="4" s="1"/>
  <c r="J195" i="4"/>
  <c r="K195" i="4" s="1"/>
  <c r="L195" i="4" s="1"/>
  <c r="I195" i="4"/>
  <c r="E195" i="4"/>
  <c r="J194" i="4"/>
  <c r="E194" i="4"/>
  <c r="K194" i="4" s="1"/>
  <c r="L194" i="4" s="1"/>
  <c r="K193" i="4"/>
  <c r="L193" i="4" s="1"/>
  <c r="J193" i="4"/>
  <c r="E193" i="4"/>
  <c r="J192" i="4"/>
  <c r="E192" i="4"/>
  <c r="K191" i="4"/>
  <c r="L191" i="4" s="1"/>
  <c r="J191" i="4"/>
  <c r="E191" i="4"/>
  <c r="J190" i="4"/>
  <c r="E190" i="4"/>
  <c r="K190" i="4" s="1"/>
  <c r="L190" i="4" s="1"/>
  <c r="L189" i="4"/>
  <c r="K189" i="4"/>
  <c r="J189" i="4"/>
  <c r="I189" i="4"/>
  <c r="E189" i="4"/>
  <c r="J188" i="4"/>
  <c r="E188" i="4"/>
  <c r="L187" i="4"/>
  <c r="K187" i="4"/>
  <c r="J187" i="4"/>
  <c r="E187" i="4"/>
  <c r="E178" i="4"/>
  <c r="K176" i="4"/>
  <c r="J176" i="4"/>
  <c r="E176" i="4"/>
  <c r="J167" i="4"/>
  <c r="E167" i="4"/>
  <c r="F167" i="4" s="1"/>
  <c r="K167" i="4" s="1"/>
  <c r="L167" i="4" s="1"/>
  <c r="J166" i="4"/>
  <c r="F166" i="4"/>
  <c r="E166" i="4"/>
  <c r="I165" i="4"/>
  <c r="J165" i="4" s="1"/>
  <c r="F165" i="4"/>
  <c r="K165" i="4" s="1"/>
  <c r="L165" i="4" s="1"/>
  <c r="E165" i="4"/>
  <c r="J164" i="4"/>
  <c r="I164" i="4"/>
  <c r="E164" i="4"/>
  <c r="F164" i="4" s="1"/>
  <c r="I163" i="4"/>
  <c r="J163" i="4" s="1"/>
  <c r="F163" i="4"/>
  <c r="E163" i="4"/>
  <c r="I162" i="4"/>
  <c r="J162" i="4" s="1"/>
  <c r="E162" i="4"/>
  <c r="F162" i="4" s="1"/>
  <c r="K162" i="4" s="1"/>
  <c r="L162" i="4" s="1"/>
  <c r="J161" i="4"/>
  <c r="I161" i="4"/>
  <c r="F161" i="4"/>
  <c r="K161" i="4" s="1"/>
  <c r="L161" i="4" s="1"/>
  <c r="E161" i="4"/>
  <c r="J160" i="4"/>
  <c r="E160" i="4"/>
  <c r="F160" i="4" s="1"/>
  <c r="K160" i="4" s="1"/>
  <c r="L160" i="4" s="1"/>
  <c r="I159" i="4"/>
  <c r="J159" i="4" s="1"/>
  <c r="F159" i="4"/>
  <c r="E159" i="4"/>
  <c r="I158" i="4"/>
  <c r="J158" i="4" s="1"/>
  <c r="F158" i="4"/>
  <c r="K158" i="4" s="1"/>
  <c r="L158" i="4" s="1"/>
  <c r="E158" i="4"/>
  <c r="J157" i="4"/>
  <c r="E157" i="4"/>
  <c r="F157" i="4" s="1"/>
  <c r="K157" i="4" s="1"/>
  <c r="L157" i="4" s="1"/>
  <c r="L156" i="4"/>
  <c r="J156" i="4"/>
  <c r="E156" i="4"/>
  <c r="F156" i="4" s="1"/>
  <c r="K156" i="4" s="1"/>
  <c r="I155" i="4"/>
  <c r="J155" i="4" s="1"/>
  <c r="E155" i="4"/>
  <c r="L154" i="4"/>
  <c r="I154" i="4"/>
  <c r="J154" i="4" s="1"/>
  <c r="E154" i="4"/>
  <c r="F154" i="4" s="1"/>
  <c r="K154" i="4" s="1"/>
  <c r="I153" i="4"/>
  <c r="J153" i="4" s="1"/>
  <c r="K153" i="4" s="1"/>
  <c r="L153" i="4" s="1"/>
  <c r="F153" i="4"/>
  <c r="E153" i="4"/>
  <c r="I152" i="4"/>
  <c r="J152" i="4" s="1"/>
  <c r="F152" i="4"/>
  <c r="E152" i="4"/>
  <c r="I151" i="4"/>
  <c r="J151" i="4" s="1"/>
  <c r="F151" i="4"/>
  <c r="K151" i="4" s="1"/>
  <c r="L151" i="4" s="1"/>
  <c r="E151" i="4"/>
  <c r="J150" i="4"/>
  <c r="E150" i="4"/>
  <c r="F150" i="4" s="1"/>
  <c r="K150" i="4" s="1"/>
  <c r="I142" i="4"/>
  <c r="J142" i="4" s="1"/>
  <c r="E142" i="4"/>
  <c r="F142" i="4" s="1"/>
  <c r="K142" i="4" s="1"/>
  <c r="L142" i="4" s="1"/>
  <c r="K141" i="4"/>
  <c r="L141" i="4" s="1"/>
  <c r="J141" i="4"/>
  <c r="E141" i="4"/>
  <c r="F141" i="4" s="1"/>
  <c r="J140" i="4"/>
  <c r="E140" i="4"/>
  <c r="F140" i="4" s="1"/>
  <c r="K140" i="4" s="1"/>
  <c r="L140" i="4" s="1"/>
  <c r="J139" i="4"/>
  <c r="E139" i="4"/>
  <c r="F139" i="4" s="1"/>
  <c r="K139" i="4" s="1"/>
  <c r="L139" i="4" s="1"/>
  <c r="J138" i="4"/>
  <c r="F138" i="4"/>
  <c r="K138" i="4" s="1"/>
  <c r="L138" i="4" s="1"/>
  <c r="E138" i="4"/>
  <c r="I137" i="4"/>
  <c r="J137" i="4" s="1"/>
  <c r="F137" i="4"/>
  <c r="K137" i="4" s="1"/>
  <c r="L137" i="4" s="1"/>
  <c r="E137" i="4"/>
  <c r="J136" i="4"/>
  <c r="E136" i="4"/>
  <c r="J135" i="4"/>
  <c r="F135" i="4"/>
  <c r="E135" i="4"/>
  <c r="J125" i="4"/>
  <c r="K125" i="4" s="1"/>
  <c r="L125" i="4" s="1"/>
  <c r="I125" i="4"/>
  <c r="E125" i="4"/>
  <c r="F125" i="4" s="1"/>
  <c r="I124" i="4"/>
  <c r="J124" i="4" s="1"/>
  <c r="F124" i="4"/>
  <c r="K124" i="4" s="1"/>
  <c r="L124" i="4" s="1"/>
  <c r="E124" i="4"/>
  <c r="I123" i="4"/>
  <c r="J123" i="4" s="1"/>
  <c r="E123" i="4"/>
  <c r="F123" i="4" s="1"/>
  <c r="K123" i="4" s="1"/>
  <c r="L123" i="4" s="1"/>
  <c r="J122" i="4"/>
  <c r="E122" i="4"/>
  <c r="F122" i="4" s="1"/>
  <c r="K122" i="4" s="1"/>
  <c r="L122" i="4" s="1"/>
  <c r="J121" i="4"/>
  <c r="K121" i="4" s="1"/>
  <c r="L121" i="4" s="1"/>
  <c r="I121" i="4"/>
  <c r="F121" i="4"/>
  <c r="E121" i="4"/>
  <c r="I120" i="4"/>
  <c r="J120" i="4" s="1"/>
  <c r="E120" i="4"/>
  <c r="F120" i="4" s="1"/>
  <c r="K120" i="4" s="1"/>
  <c r="L120" i="4" s="1"/>
  <c r="I119" i="4"/>
  <c r="J119" i="4" s="1"/>
  <c r="E119" i="4"/>
  <c r="F119" i="4" s="1"/>
  <c r="L118" i="4"/>
  <c r="K118" i="4"/>
  <c r="I118" i="4"/>
  <c r="J118" i="4" s="1"/>
  <c r="F118" i="4"/>
  <c r="E118" i="4"/>
  <c r="J117" i="4"/>
  <c r="I117" i="4"/>
  <c r="F117" i="4"/>
  <c r="E117" i="4"/>
  <c r="J116" i="4"/>
  <c r="I116" i="4"/>
  <c r="E116" i="4"/>
  <c r="F116" i="4" s="1"/>
  <c r="K116" i="4" s="1"/>
  <c r="L116" i="4" s="1"/>
  <c r="J115" i="4"/>
  <c r="K115" i="4" s="1"/>
  <c r="L115" i="4" s="1"/>
  <c r="E115" i="4"/>
  <c r="F115" i="4" s="1"/>
  <c r="J114" i="4"/>
  <c r="E114" i="4"/>
  <c r="F114" i="4" s="1"/>
  <c r="K114" i="4" s="1"/>
  <c r="L114" i="4" s="1"/>
  <c r="J113" i="4"/>
  <c r="E113" i="4"/>
  <c r="F113" i="4" s="1"/>
  <c r="K113" i="4" s="1"/>
  <c r="L113" i="4" s="1"/>
  <c r="J112" i="4"/>
  <c r="F112" i="4"/>
  <c r="K112" i="4" s="1"/>
  <c r="L112" i="4" s="1"/>
  <c r="E112" i="4"/>
  <c r="J111" i="4"/>
  <c r="F111" i="4"/>
  <c r="E111" i="4"/>
  <c r="I110" i="4"/>
  <c r="J110" i="4" s="1"/>
  <c r="E110" i="4"/>
  <c r="F110" i="4" s="1"/>
  <c r="K110" i="4" s="1"/>
  <c r="L110" i="4" s="1"/>
  <c r="I109" i="4"/>
  <c r="J109" i="4" s="1"/>
  <c r="K109" i="4" s="1"/>
  <c r="L109" i="4" s="1"/>
  <c r="E109" i="4"/>
  <c r="F109" i="4" s="1"/>
  <c r="I108" i="4"/>
  <c r="J108" i="4" s="1"/>
  <c r="E108" i="4"/>
  <c r="F108" i="4" s="1"/>
  <c r="K108" i="4" s="1"/>
  <c r="L108" i="4" s="1"/>
  <c r="I107" i="4"/>
  <c r="J107" i="4" s="1"/>
  <c r="F107" i="4"/>
  <c r="K107" i="4" s="1"/>
  <c r="L107" i="4" s="1"/>
  <c r="E107" i="4"/>
  <c r="I106" i="4"/>
  <c r="J106" i="4" s="1"/>
  <c r="E106" i="4"/>
  <c r="F106" i="4" s="1"/>
  <c r="K106" i="4" s="1"/>
  <c r="L106" i="4" s="1"/>
  <c r="J105" i="4"/>
  <c r="K105" i="4" s="1"/>
  <c r="L105" i="4" s="1"/>
  <c r="F105" i="4"/>
  <c r="E105" i="4"/>
  <c r="I104" i="4"/>
  <c r="J104" i="4" s="1"/>
  <c r="F104" i="4"/>
  <c r="K104" i="4" s="1"/>
  <c r="L104" i="4" s="1"/>
  <c r="E104" i="4"/>
  <c r="L103" i="4"/>
  <c r="J103" i="4"/>
  <c r="E103" i="4"/>
  <c r="F103" i="4" s="1"/>
  <c r="K103" i="4" s="1"/>
  <c r="I102" i="4"/>
  <c r="J102" i="4" s="1"/>
  <c r="E102" i="4"/>
  <c r="F102" i="4" s="1"/>
  <c r="K102" i="4" s="1"/>
  <c r="L102" i="4" s="1"/>
  <c r="J101" i="4"/>
  <c r="K101" i="4" s="1"/>
  <c r="L101" i="4" s="1"/>
  <c r="F101" i="4"/>
  <c r="E101" i="4"/>
  <c r="J100" i="4"/>
  <c r="I100" i="4"/>
  <c r="E100" i="4"/>
  <c r="F100" i="4" s="1"/>
  <c r="K100" i="4" s="1"/>
  <c r="L100" i="4" s="1"/>
  <c r="L99" i="4"/>
  <c r="K99" i="4"/>
  <c r="J99" i="4"/>
  <c r="I99" i="4"/>
  <c r="F99" i="4"/>
  <c r="E99" i="4"/>
  <c r="J98" i="4"/>
  <c r="K98" i="4" s="1"/>
  <c r="L98" i="4" s="1"/>
  <c r="F98" i="4"/>
  <c r="E98" i="4"/>
  <c r="I97" i="4"/>
  <c r="J97" i="4" s="1"/>
  <c r="E97" i="4"/>
  <c r="J87" i="4"/>
  <c r="E87" i="4"/>
  <c r="F87" i="4" s="1"/>
  <c r="K87" i="4" s="1"/>
  <c r="L87" i="4" s="1"/>
  <c r="J86" i="4"/>
  <c r="I86" i="4"/>
  <c r="E86" i="4"/>
  <c r="F86" i="4" s="1"/>
  <c r="K86" i="4" s="1"/>
  <c r="L86" i="4" s="1"/>
  <c r="J85" i="4"/>
  <c r="K85" i="4" s="1"/>
  <c r="L85" i="4" s="1"/>
  <c r="I85" i="4"/>
  <c r="F85" i="4"/>
  <c r="E85" i="4"/>
  <c r="L84" i="4"/>
  <c r="K84" i="4"/>
  <c r="J84" i="4"/>
  <c r="I84" i="4"/>
  <c r="F84" i="4"/>
  <c r="E84" i="4"/>
  <c r="I83" i="4"/>
  <c r="J83" i="4" s="1"/>
  <c r="F83" i="4"/>
  <c r="E83" i="4"/>
  <c r="J82" i="4"/>
  <c r="I82" i="4"/>
  <c r="E82" i="4"/>
  <c r="F82" i="4" s="1"/>
  <c r="K82" i="4" s="1"/>
  <c r="L82" i="4" s="1"/>
  <c r="J81" i="4"/>
  <c r="K81" i="4" s="1"/>
  <c r="L81" i="4" s="1"/>
  <c r="E81" i="4"/>
  <c r="F81" i="4" s="1"/>
  <c r="J80" i="4"/>
  <c r="E80" i="4"/>
  <c r="F80" i="4" s="1"/>
  <c r="K80" i="4" s="1"/>
  <c r="L80" i="4" s="1"/>
  <c r="L79" i="4"/>
  <c r="J79" i="4"/>
  <c r="I79" i="4"/>
  <c r="F79" i="4"/>
  <c r="K79" i="4" s="1"/>
  <c r="E79" i="4"/>
  <c r="J78" i="4"/>
  <c r="K78" i="4" s="1"/>
  <c r="L78" i="4" s="1"/>
  <c r="I78" i="4"/>
  <c r="F78" i="4"/>
  <c r="E78" i="4"/>
  <c r="J77" i="4"/>
  <c r="E77" i="4"/>
  <c r="F77" i="4" s="1"/>
  <c r="K77" i="4" s="1"/>
  <c r="L77" i="4" s="1"/>
  <c r="J76" i="4"/>
  <c r="F76" i="4"/>
  <c r="K76" i="4" s="1"/>
  <c r="L76" i="4" s="1"/>
  <c r="E76" i="4"/>
  <c r="J75" i="4"/>
  <c r="K75" i="4" s="1"/>
  <c r="L75" i="4" s="1"/>
  <c r="I75" i="4"/>
  <c r="F75" i="4"/>
  <c r="E75" i="4"/>
  <c r="L74" i="4"/>
  <c r="K74" i="4"/>
  <c r="J74" i="4"/>
  <c r="I74" i="4"/>
  <c r="F74" i="4"/>
  <c r="E74" i="4"/>
  <c r="I73" i="4"/>
  <c r="J73" i="4" s="1"/>
  <c r="F73" i="4"/>
  <c r="K73" i="4" s="1"/>
  <c r="L73" i="4" s="1"/>
  <c r="E73" i="4"/>
  <c r="J72" i="4"/>
  <c r="I72" i="4"/>
  <c r="E72" i="4"/>
  <c r="F72" i="4" s="1"/>
  <c r="K72" i="4" s="1"/>
  <c r="L72" i="4" s="1"/>
  <c r="J71" i="4"/>
  <c r="K71" i="4" s="1"/>
  <c r="L71" i="4" s="1"/>
  <c r="I71" i="4"/>
  <c r="F71" i="4"/>
  <c r="E71" i="4"/>
  <c r="I70" i="4"/>
  <c r="J70" i="4" s="1"/>
  <c r="K70" i="4" s="1"/>
  <c r="L70" i="4" s="1"/>
  <c r="F70" i="4"/>
  <c r="E70" i="4"/>
  <c r="J69" i="4"/>
  <c r="E69" i="4"/>
  <c r="F69" i="4" s="1"/>
  <c r="K69" i="4" s="1"/>
  <c r="L69" i="4" s="1"/>
  <c r="L68" i="4"/>
  <c r="K68" i="4"/>
  <c r="J68" i="4"/>
  <c r="F68" i="4"/>
  <c r="E68" i="4"/>
  <c r="J67" i="4"/>
  <c r="E67" i="4"/>
  <c r="F67" i="4" s="1"/>
  <c r="K67" i="4" s="1"/>
  <c r="L67" i="4" s="1"/>
  <c r="J66" i="4"/>
  <c r="F66" i="4"/>
  <c r="K66" i="4" s="1"/>
  <c r="L66" i="4" s="1"/>
  <c r="E66" i="4"/>
  <c r="J65" i="4"/>
  <c r="E65" i="4"/>
  <c r="F65" i="4" s="1"/>
  <c r="K65" i="4" s="1"/>
  <c r="L65" i="4" s="1"/>
  <c r="J64" i="4"/>
  <c r="F64" i="4"/>
  <c r="K64" i="4" s="1"/>
  <c r="L64" i="4" s="1"/>
  <c r="E64" i="4"/>
  <c r="J63" i="4"/>
  <c r="I63" i="4"/>
  <c r="E63" i="4"/>
  <c r="F63" i="4" s="1"/>
  <c r="K63" i="4" s="1"/>
  <c r="L63" i="4" s="1"/>
  <c r="K62" i="4"/>
  <c r="L62" i="4" s="1"/>
  <c r="J62" i="4"/>
  <c r="I62" i="4"/>
  <c r="F62" i="4"/>
  <c r="E62" i="4"/>
  <c r="J61" i="4"/>
  <c r="K61" i="4" s="1"/>
  <c r="L61" i="4" s="1"/>
  <c r="I61" i="4"/>
  <c r="F61" i="4"/>
  <c r="E61" i="4"/>
  <c r="J60" i="4"/>
  <c r="E60" i="4"/>
  <c r="F60" i="4" s="1"/>
  <c r="K60" i="4" s="1"/>
  <c r="L60" i="4" s="1"/>
  <c r="K59" i="4"/>
  <c r="L59" i="4" s="1"/>
  <c r="J59" i="4"/>
  <c r="F59" i="4"/>
  <c r="E59" i="4"/>
  <c r="J58" i="4"/>
  <c r="I58" i="4"/>
  <c r="F58" i="4"/>
  <c r="E58" i="4"/>
  <c r="J57" i="4"/>
  <c r="I57" i="4"/>
  <c r="E57" i="4"/>
  <c r="F57" i="4" s="1"/>
  <c r="K57" i="4" s="1"/>
  <c r="L57" i="4" s="1"/>
  <c r="L56" i="4"/>
  <c r="J56" i="4"/>
  <c r="E56" i="4"/>
  <c r="F56" i="4" s="1"/>
  <c r="K56" i="4" s="1"/>
  <c r="I55" i="4"/>
  <c r="J55" i="4" s="1"/>
  <c r="K55" i="4" s="1"/>
  <c r="L55" i="4" s="1"/>
  <c r="E55" i="4"/>
  <c r="F55" i="4" s="1"/>
  <c r="K54" i="4"/>
  <c r="L54" i="4" s="1"/>
  <c r="J54" i="4"/>
  <c r="I54" i="4"/>
  <c r="F54" i="4"/>
  <c r="E54" i="4"/>
  <c r="J53" i="4"/>
  <c r="E53" i="4"/>
  <c r="F53" i="4" s="1"/>
  <c r="K53" i="4" s="1"/>
  <c r="L53" i="4" s="1"/>
  <c r="J52" i="4"/>
  <c r="E52" i="4"/>
  <c r="F52" i="4" s="1"/>
  <c r="K52" i="4" s="1"/>
  <c r="L52" i="4" s="1"/>
  <c r="J51" i="4"/>
  <c r="E51" i="4"/>
  <c r="J43" i="4"/>
  <c r="K43" i="4" s="1"/>
  <c r="L43" i="4" s="1"/>
  <c r="F43" i="4"/>
  <c r="E43" i="4"/>
  <c r="I42" i="4"/>
  <c r="J42" i="4" s="1"/>
  <c r="E42" i="4"/>
  <c r="F42" i="4" s="1"/>
  <c r="K42" i="4" s="1"/>
  <c r="L42" i="4" s="1"/>
  <c r="I41" i="4"/>
  <c r="J41" i="4" s="1"/>
  <c r="K41" i="4" s="1"/>
  <c r="L41" i="4" s="1"/>
  <c r="E41" i="4"/>
  <c r="F41" i="4" s="1"/>
  <c r="I40" i="4"/>
  <c r="J40" i="4" s="1"/>
  <c r="E40" i="4"/>
  <c r="F40" i="4" s="1"/>
  <c r="K39" i="4"/>
  <c r="L39" i="4" s="1"/>
  <c r="J39" i="4"/>
  <c r="F39" i="4"/>
  <c r="E39" i="4"/>
  <c r="J38" i="4"/>
  <c r="I38" i="4"/>
  <c r="F38" i="4"/>
  <c r="K38" i="4" s="1"/>
  <c r="L38" i="4" s="1"/>
  <c r="E38" i="4"/>
  <c r="L37" i="4"/>
  <c r="K37" i="4"/>
  <c r="J37" i="4"/>
  <c r="I37" i="4"/>
  <c r="F37" i="4"/>
  <c r="E37" i="4"/>
  <c r="J36" i="4"/>
  <c r="K36" i="4" s="1"/>
  <c r="L36" i="4" s="1"/>
  <c r="F36" i="4"/>
  <c r="E36" i="4"/>
  <c r="J35" i="4"/>
  <c r="E35" i="4"/>
  <c r="F35" i="4" s="1"/>
  <c r="K35" i="4" s="1"/>
  <c r="L35" i="4" s="1"/>
  <c r="L34" i="4"/>
  <c r="K34" i="4"/>
  <c r="J34" i="4"/>
  <c r="I34" i="4"/>
  <c r="F34" i="4"/>
  <c r="E34" i="4"/>
  <c r="J33" i="4"/>
  <c r="K33" i="4" s="1"/>
  <c r="L33" i="4" s="1"/>
  <c r="I33" i="4"/>
  <c r="F33" i="4"/>
  <c r="E33" i="4"/>
  <c r="I32" i="4"/>
  <c r="J32" i="4" s="1"/>
  <c r="E32" i="4"/>
  <c r="F32" i="4" s="1"/>
  <c r="K32" i="4" s="1"/>
  <c r="L32" i="4" s="1"/>
  <c r="I31" i="4"/>
  <c r="J31" i="4" s="1"/>
  <c r="E31" i="4"/>
  <c r="F31" i="4" s="1"/>
  <c r="K31" i="4" s="1"/>
  <c r="L31" i="4" s="1"/>
  <c r="L30" i="4"/>
  <c r="K30" i="4"/>
  <c r="J30" i="4"/>
  <c r="I30" i="4"/>
  <c r="E30" i="4"/>
  <c r="F30" i="4" s="1"/>
  <c r="I29" i="4"/>
  <c r="J29" i="4" s="1"/>
  <c r="F29" i="4"/>
  <c r="K29" i="4" s="1"/>
  <c r="L29" i="4" s="1"/>
  <c r="E29" i="4"/>
  <c r="I28" i="4"/>
  <c r="J28" i="4" s="1"/>
  <c r="E28" i="4"/>
  <c r="F28" i="4" s="1"/>
  <c r="K28" i="4" s="1"/>
  <c r="L28" i="4" s="1"/>
  <c r="J27" i="4"/>
  <c r="I27" i="4"/>
  <c r="E27" i="4"/>
  <c r="F27" i="4" s="1"/>
  <c r="K27" i="4" s="1"/>
  <c r="L27" i="4" s="1"/>
  <c r="J26" i="4"/>
  <c r="K26" i="4" s="1"/>
  <c r="L26" i="4" s="1"/>
  <c r="I26" i="4"/>
  <c r="F26" i="4"/>
  <c r="E26" i="4"/>
  <c r="I25" i="4"/>
  <c r="J25" i="4" s="1"/>
  <c r="F25" i="4"/>
  <c r="E25" i="4"/>
  <c r="J24" i="4"/>
  <c r="E24" i="4"/>
  <c r="F24" i="4" s="1"/>
  <c r="K24" i="4" s="1"/>
  <c r="L24" i="4" s="1"/>
  <c r="L23" i="4"/>
  <c r="K23" i="4"/>
  <c r="J23" i="4"/>
  <c r="F23" i="4"/>
  <c r="E23" i="4"/>
  <c r="J22" i="4"/>
  <c r="E22" i="4"/>
  <c r="F22" i="4" s="1"/>
  <c r="K22" i="4" s="1"/>
  <c r="L22" i="4" s="1"/>
  <c r="K21" i="4"/>
  <c r="L21" i="4" s="1"/>
  <c r="J21" i="4"/>
  <c r="E21" i="4"/>
  <c r="F21" i="4" s="1"/>
  <c r="K20" i="4"/>
  <c r="L20" i="4" s="1"/>
  <c r="J20" i="4"/>
  <c r="E20" i="4"/>
  <c r="F20" i="4" s="1"/>
  <c r="I19" i="4"/>
  <c r="J19" i="4" s="1"/>
  <c r="E19" i="4"/>
  <c r="F19" i="4" s="1"/>
  <c r="K19" i="4" s="1"/>
  <c r="L19" i="4" s="1"/>
  <c r="K18" i="4"/>
  <c r="L18" i="4" s="1"/>
  <c r="J18" i="4"/>
  <c r="I18" i="4"/>
  <c r="F18" i="4"/>
  <c r="E18" i="4"/>
  <c r="I17" i="4"/>
  <c r="J17" i="4" s="1"/>
  <c r="E17" i="4"/>
  <c r="F17" i="4" s="1"/>
  <c r="K17" i="4" s="1"/>
  <c r="L17" i="4" s="1"/>
  <c r="L16" i="4"/>
  <c r="J16" i="4"/>
  <c r="E16" i="4"/>
  <c r="F16" i="4" s="1"/>
  <c r="K16" i="4" s="1"/>
  <c r="J15" i="4"/>
  <c r="F15" i="4"/>
  <c r="K15" i="4" s="1"/>
  <c r="L15" i="4" s="1"/>
  <c r="E15" i="4"/>
  <c r="J14" i="4"/>
  <c r="F14" i="4"/>
  <c r="K14" i="4" s="1"/>
  <c r="L14" i="4" s="1"/>
  <c r="E14" i="4"/>
  <c r="J13" i="4"/>
  <c r="I13" i="4"/>
  <c r="E13" i="4"/>
  <c r="F13" i="4" s="1"/>
  <c r="K13" i="4" s="1"/>
  <c r="L13" i="4" s="1"/>
  <c r="J12" i="4"/>
  <c r="K12" i="4" s="1"/>
  <c r="L12" i="4" s="1"/>
  <c r="F12" i="4"/>
  <c r="E12" i="4"/>
  <c r="I11" i="4"/>
  <c r="J11" i="4" s="1"/>
  <c r="E11" i="4"/>
  <c r="F11" i="4" s="1"/>
  <c r="K11" i="4" s="1"/>
  <c r="L11" i="4" s="1"/>
  <c r="J10" i="4"/>
  <c r="E10" i="4"/>
  <c r="F10" i="4" s="1"/>
  <c r="K10" i="4" s="1"/>
  <c r="L10" i="4" s="1"/>
  <c r="J9" i="4"/>
  <c r="F9" i="4"/>
  <c r="K9" i="4" s="1"/>
  <c r="L9" i="4" s="1"/>
  <c r="E9" i="4"/>
  <c r="J8" i="4"/>
  <c r="F8" i="4"/>
  <c r="K8" i="4" s="1"/>
  <c r="L8" i="4" s="1"/>
  <c r="E8" i="4"/>
  <c r="J7" i="4"/>
  <c r="I7" i="4"/>
  <c r="E7" i="4"/>
  <c r="F7" i="4" s="1"/>
  <c r="K7" i="4" s="1"/>
  <c r="L7" i="4" s="1"/>
  <c r="J6" i="4"/>
  <c r="K6" i="4" s="1"/>
  <c r="F6" i="4"/>
  <c r="E6" i="4"/>
  <c r="I655" i="3"/>
  <c r="J655" i="3" s="1"/>
  <c r="K655" i="3" s="1"/>
  <c r="L655" i="3" s="1"/>
  <c r="E655" i="3"/>
  <c r="I654" i="3"/>
  <c r="J654" i="3" s="1"/>
  <c r="K654" i="3" s="1"/>
  <c r="L654" i="3" s="1"/>
  <c r="E654" i="3"/>
  <c r="I653" i="3"/>
  <c r="J653" i="3" s="1"/>
  <c r="E653" i="3"/>
  <c r="L652" i="3"/>
  <c r="K652" i="3"/>
  <c r="J652" i="3"/>
  <c r="I652" i="3"/>
  <c r="E652" i="3"/>
  <c r="K651" i="3"/>
  <c r="L651" i="3" s="1"/>
  <c r="J651" i="3"/>
  <c r="I651" i="3"/>
  <c r="E651" i="3"/>
  <c r="E657" i="3" s="1"/>
  <c r="L650" i="3"/>
  <c r="I650" i="3"/>
  <c r="J650" i="3" s="1"/>
  <c r="E650" i="3"/>
  <c r="K650" i="3" s="1"/>
  <c r="K649" i="3"/>
  <c r="L649" i="3" s="1"/>
  <c r="J649" i="3"/>
  <c r="I649" i="3"/>
  <c r="E649" i="3"/>
  <c r="J648" i="3"/>
  <c r="I648" i="3"/>
  <c r="E648" i="3"/>
  <c r="K647" i="3"/>
  <c r="L647" i="3" s="1"/>
  <c r="J647" i="3"/>
  <c r="E647" i="3"/>
  <c r="K646" i="3"/>
  <c r="J646" i="3"/>
  <c r="E646" i="3"/>
  <c r="I637" i="3"/>
  <c r="J637" i="3" s="1"/>
  <c r="E637" i="3"/>
  <c r="L636" i="3"/>
  <c r="K636" i="3"/>
  <c r="J636" i="3"/>
  <c r="E636" i="3"/>
  <c r="J635" i="3"/>
  <c r="E635" i="3"/>
  <c r="K635" i="3" s="1"/>
  <c r="L635" i="3" s="1"/>
  <c r="K634" i="3"/>
  <c r="L634" i="3" s="1"/>
  <c r="J634" i="3"/>
  <c r="E634" i="3"/>
  <c r="I633" i="3"/>
  <c r="J633" i="3" s="1"/>
  <c r="E633" i="3"/>
  <c r="L632" i="3"/>
  <c r="J632" i="3"/>
  <c r="E632" i="3"/>
  <c r="K632" i="3" s="1"/>
  <c r="J631" i="3"/>
  <c r="E631" i="3"/>
  <c r="K631" i="3" s="1"/>
  <c r="L631" i="3" s="1"/>
  <c r="L630" i="3"/>
  <c r="J630" i="3"/>
  <c r="E630" i="3"/>
  <c r="K630" i="3" s="1"/>
  <c r="J629" i="3"/>
  <c r="E629" i="3"/>
  <c r="K629" i="3" s="1"/>
  <c r="L629" i="3" s="1"/>
  <c r="J628" i="3"/>
  <c r="E628" i="3"/>
  <c r="E639" i="3" s="1"/>
  <c r="K621" i="3"/>
  <c r="L621" i="3" s="1"/>
  <c r="J621" i="3"/>
  <c r="E621" i="3"/>
  <c r="J620" i="3"/>
  <c r="K620" i="3" s="1"/>
  <c r="L620" i="3" s="1"/>
  <c r="E620" i="3"/>
  <c r="K619" i="3"/>
  <c r="L619" i="3" s="1"/>
  <c r="J619" i="3"/>
  <c r="E619" i="3"/>
  <c r="J618" i="3"/>
  <c r="E618" i="3"/>
  <c r="E623" i="3" s="1"/>
  <c r="I609" i="3"/>
  <c r="J609" i="3" s="1"/>
  <c r="E609" i="3"/>
  <c r="K609" i="3" s="1"/>
  <c r="L609" i="3" s="1"/>
  <c r="L608" i="3"/>
  <c r="K608" i="3"/>
  <c r="J608" i="3"/>
  <c r="E608" i="3"/>
  <c r="I607" i="3"/>
  <c r="J607" i="3" s="1"/>
  <c r="E607" i="3"/>
  <c r="K607" i="3" s="1"/>
  <c r="L607" i="3" s="1"/>
  <c r="L606" i="3"/>
  <c r="J606" i="3"/>
  <c r="I606" i="3"/>
  <c r="E606" i="3"/>
  <c r="K606" i="3" s="1"/>
  <c r="J605" i="3"/>
  <c r="E605" i="3"/>
  <c r="K605" i="3" s="1"/>
  <c r="L605" i="3" s="1"/>
  <c r="I604" i="3"/>
  <c r="J604" i="3" s="1"/>
  <c r="E604" i="3"/>
  <c r="K604" i="3" s="1"/>
  <c r="L604" i="3" s="1"/>
  <c r="L603" i="3"/>
  <c r="K603" i="3"/>
  <c r="J603" i="3"/>
  <c r="E603" i="3"/>
  <c r="J602" i="3"/>
  <c r="E602" i="3"/>
  <c r="J593" i="3"/>
  <c r="E593" i="3"/>
  <c r="F593" i="3" s="1"/>
  <c r="K593" i="3" s="1"/>
  <c r="L593" i="3" s="1"/>
  <c r="K592" i="3"/>
  <c r="L592" i="3" s="1"/>
  <c r="J592" i="3"/>
  <c r="E592" i="3"/>
  <c r="F592" i="3" s="1"/>
  <c r="J591" i="3"/>
  <c r="E591" i="3"/>
  <c r="F591" i="3" s="1"/>
  <c r="K591" i="3" s="1"/>
  <c r="L591" i="3" s="1"/>
  <c r="I590" i="3"/>
  <c r="J590" i="3" s="1"/>
  <c r="E590" i="3"/>
  <c r="F590" i="3" s="1"/>
  <c r="K590" i="3" s="1"/>
  <c r="L590" i="3" s="1"/>
  <c r="L589" i="3"/>
  <c r="K589" i="3"/>
  <c r="J589" i="3"/>
  <c r="E589" i="3"/>
  <c r="F589" i="3" s="1"/>
  <c r="J588" i="3"/>
  <c r="I588" i="3"/>
  <c r="F588" i="3"/>
  <c r="E588" i="3"/>
  <c r="J579" i="3"/>
  <c r="E579" i="3"/>
  <c r="K579" i="3" s="1"/>
  <c r="L579" i="3" s="1"/>
  <c r="I578" i="3"/>
  <c r="J578" i="3" s="1"/>
  <c r="E578" i="3"/>
  <c r="K578" i="3" s="1"/>
  <c r="L578" i="3" s="1"/>
  <c r="J577" i="3"/>
  <c r="K577" i="3" s="1"/>
  <c r="L577" i="3" s="1"/>
  <c r="E577" i="3"/>
  <c r="J576" i="3"/>
  <c r="E576" i="3"/>
  <c r="K575" i="3"/>
  <c r="L575" i="3" s="1"/>
  <c r="J575" i="3"/>
  <c r="E575" i="3"/>
  <c r="J574" i="3"/>
  <c r="E574" i="3"/>
  <c r="K574" i="3" s="1"/>
  <c r="L574" i="3" s="1"/>
  <c r="L573" i="3"/>
  <c r="K573" i="3"/>
  <c r="J573" i="3"/>
  <c r="I573" i="3"/>
  <c r="E573" i="3"/>
  <c r="J572" i="3"/>
  <c r="E572" i="3"/>
  <c r="K572" i="3" s="1"/>
  <c r="L572" i="3" s="1"/>
  <c r="L571" i="3"/>
  <c r="K571" i="3"/>
  <c r="J571" i="3"/>
  <c r="I571" i="3"/>
  <c r="E571" i="3"/>
  <c r="J570" i="3"/>
  <c r="E570" i="3"/>
  <c r="K570" i="3" s="1"/>
  <c r="L570" i="3" s="1"/>
  <c r="L569" i="3"/>
  <c r="K569" i="3"/>
  <c r="J569" i="3"/>
  <c r="E569" i="3"/>
  <c r="J568" i="3"/>
  <c r="E568" i="3"/>
  <c r="K568" i="3" s="1"/>
  <c r="L568" i="3" s="1"/>
  <c r="L567" i="3"/>
  <c r="K567" i="3"/>
  <c r="J567" i="3"/>
  <c r="E567" i="3"/>
  <c r="J566" i="3"/>
  <c r="E566" i="3"/>
  <c r="K566" i="3" s="1"/>
  <c r="L566" i="3" s="1"/>
  <c r="J565" i="3"/>
  <c r="E565" i="3"/>
  <c r="K565" i="3" s="1"/>
  <c r="L565" i="3" s="1"/>
  <c r="J564" i="3"/>
  <c r="E564" i="3"/>
  <c r="E581" i="3" s="1"/>
  <c r="C4" i="7" s="1"/>
  <c r="L563" i="3"/>
  <c r="J563" i="3"/>
  <c r="E563" i="3"/>
  <c r="K563" i="3" s="1"/>
  <c r="J553" i="3"/>
  <c r="E553" i="3"/>
  <c r="F553" i="3" s="1"/>
  <c r="K553" i="3" s="1"/>
  <c r="L553" i="3" s="1"/>
  <c r="L552" i="3"/>
  <c r="K552" i="3"/>
  <c r="J552" i="3"/>
  <c r="I552" i="3"/>
  <c r="F552" i="3"/>
  <c r="E552" i="3"/>
  <c r="J551" i="3"/>
  <c r="F551" i="3"/>
  <c r="K551" i="3" s="1"/>
  <c r="L551" i="3" s="1"/>
  <c r="E551" i="3"/>
  <c r="L550" i="3"/>
  <c r="J550" i="3"/>
  <c r="E550" i="3"/>
  <c r="F550" i="3" s="1"/>
  <c r="K550" i="3" s="1"/>
  <c r="J549" i="3"/>
  <c r="F549" i="3"/>
  <c r="K549" i="3" s="1"/>
  <c r="L549" i="3" s="1"/>
  <c r="E549" i="3"/>
  <c r="J548" i="3"/>
  <c r="E548" i="3"/>
  <c r="F548" i="3" s="1"/>
  <c r="K548" i="3" s="1"/>
  <c r="L548" i="3" s="1"/>
  <c r="K547" i="3"/>
  <c r="L547" i="3" s="1"/>
  <c r="J547" i="3"/>
  <c r="I547" i="3"/>
  <c r="E547" i="3"/>
  <c r="F547" i="3" s="1"/>
  <c r="J546" i="3"/>
  <c r="F546" i="3"/>
  <c r="K546" i="3" s="1"/>
  <c r="L546" i="3" s="1"/>
  <c r="E546" i="3"/>
  <c r="J545" i="3"/>
  <c r="F545" i="3"/>
  <c r="E545" i="3"/>
  <c r="J544" i="3"/>
  <c r="E544" i="3"/>
  <c r="F544" i="3" s="1"/>
  <c r="K544" i="3" s="1"/>
  <c r="L544" i="3" s="1"/>
  <c r="J543" i="3"/>
  <c r="F543" i="3"/>
  <c r="K543" i="3" s="1"/>
  <c r="L543" i="3" s="1"/>
  <c r="E543" i="3"/>
  <c r="J542" i="3"/>
  <c r="E542" i="3"/>
  <c r="F542" i="3" s="1"/>
  <c r="K542" i="3" s="1"/>
  <c r="L542" i="3" s="1"/>
  <c r="J541" i="3"/>
  <c r="K541" i="3" s="1"/>
  <c r="L541" i="3" s="1"/>
  <c r="I541" i="3"/>
  <c r="E541" i="3"/>
  <c r="F541" i="3" s="1"/>
  <c r="I540" i="3"/>
  <c r="J540" i="3" s="1"/>
  <c r="F540" i="3"/>
  <c r="E540" i="3"/>
  <c r="J539" i="3"/>
  <c r="F539" i="3"/>
  <c r="E539" i="3"/>
  <c r="J538" i="3"/>
  <c r="I538" i="3"/>
  <c r="E538" i="3"/>
  <c r="F538" i="3" s="1"/>
  <c r="K538" i="3" s="1"/>
  <c r="L538" i="3" s="1"/>
  <c r="L537" i="3"/>
  <c r="K537" i="3"/>
  <c r="J537" i="3"/>
  <c r="F537" i="3"/>
  <c r="E537" i="3"/>
  <c r="J536" i="3"/>
  <c r="E536" i="3"/>
  <c r="F536" i="3" s="1"/>
  <c r="K536" i="3" s="1"/>
  <c r="L536" i="3" s="1"/>
  <c r="L535" i="3"/>
  <c r="K535" i="3"/>
  <c r="J535" i="3"/>
  <c r="I535" i="3"/>
  <c r="E535" i="3"/>
  <c r="F535" i="3" s="1"/>
  <c r="J534" i="3"/>
  <c r="K534" i="3" s="1"/>
  <c r="L534" i="3" s="1"/>
  <c r="F534" i="3"/>
  <c r="E534" i="3"/>
  <c r="J533" i="3"/>
  <c r="E533" i="3"/>
  <c r="J532" i="3"/>
  <c r="E532" i="3"/>
  <c r="F532" i="3" s="1"/>
  <c r="I523" i="3"/>
  <c r="J523" i="3" s="1"/>
  <c r="E523" i="3"/>
  <c r="F523" i="3" s="1"/>
  <c r="K523" i="3" s="1"/>
  <c r="L523" i="3" s="1"/>
  <c r="J522" i="3"/>
  <c r="I522" i="3"/>
  <c r="E522" i="3"/>
  <c r="F522" i="3" s="1"/>
  <c r="K522" i="3" s="1"/>
  <c r="L522" i="3" s="1"/>
  <c r="L521" i="3"/>
  <c r="K521" i="3"/>
  <c r="J521" i="3"/>
  <c r="F521" i="3"/>
  <c r="E521" i="3"/>
  <c r="J520" i="3"/>
  <c r="E520" i="3"/>
  <c r="F520" i="3" s="1"/>
  <c r="K520" i="3" s="1"/>
  <c r="L520" i="3" s="1"/>
  <c r="L519" i="3"/>
  <c r="K519" i="3"/>
  <c r="J519" i="3"/>
  <c r="F519" i="3"/>
  <c r="E519" i="3"/>
  <c r="J518" i="3"/>
  <c r="E518" i="3"/>
  <c r="F518" i="3" s="1"/>
  <c r="K518" i="3" s="1"/>
  <c r="L518" i="3" s="1"/>
  <c r="L517" i="3"/>
  <c r="J517" i="3"/>
  <c r="E517" i="3"/>
  <c r="F517" i="3" s="1"/>
  <c r="K517" i="3" s="1"/>
  <c r="J516" i="3"/>
  <c r="F516" i="3"/>
  <c r="K516" i="3" s="1"/>
  <c r="L516" i="3" s="1"/>
  <c r="E516" i="3"/>
  <c r="J515" i="3"/>
  <c r="E515" i="3"/>
  <c r="F515" i="3" s="1"/>
  <c r="K515" i="3" s="1"/>
  <c r="L515" i="3" s="1"/>
  <c r="J514" i="3"/>
  <c r="I514" i="3"/>
  <c r="E514" i="3"/>
  <c r="F514" i="3" s="1"/>
  <c r="K514" i="3" s="1"/>
  <c r="L514" i="3" s="1"/>
  <c r="J513" i="3"/>
  <c r="F513" i="3"/>
  <c r="K513" i="3" s="1"/>
  <c r="L513" i="3" s="1"/>
  <c r="E513" i="3"/>
  <c r="I512" i="3"/>
  <c r="J512" i="3" s="1"/>
  <c r="E512" i="3"/>
  <c r="F512" i="3" s="1"/>
  <c r="K512" i="3" s="1"/>
  <c r="L512" i="3" s="1"/>
  <c r="K511" i="3"/>
  <c r="L511" i="3" s="1"/>
  <c r="I511" i="3"/>
  <c r="J511" i="3" s="1"/>
  <c r="F511" i="3"/>
  <c r="E511" i="3"/>
  <c r="J510" i="3"/>
  <c r="F510" i="3"/>
  <c r="E510" i="3"/>
  <c r="J509" i="3"/>
  <c r="E509" i="3"/>
  <c r="F509" i="3" s="1"/>
  <c r="K509" i="3" s="1"/>
  <c r="L509" i="3" s="1"/>
  <c r="K508" i="3"/>
  <c r="L508" i="3" s="1"/>
  <c r="J508" i="3"/>
  <c r="F508" i="3"/>
  <c r="E508" i="3"/>
  <c r="J507" i="3"/>
  <c r="F507" i="3"/>
  <c r="K507" i="3" s="1"/>
  <c r="L507" i="3" s="1"/>
  <c r="E507" i="3"/>
  <c r="J506" i="3"/>
  <c r="K506" i="3" s="1"/>
  <c r="L506" i="3" s="1"/>
  <c r="F506" i="3"/>
  <c r="E506" i="3"/>
  <c r="J505" i="3"/>
  <c r="I505" i="3"/>
  <c r="F505" i="3"/>
  <c r="K505" i="3" s="1"/>
  <c r="L505" i="3" s="1"/>
  <c r="E505" i="3"/>
  <c r="J504" i="3"/>
  <c r="E504" i="3"/>
  <c r="J495" i="3"/>
  <c r="F495" i="3"/>
  <c r="K495" i="3" s="1"/>
  <c r="L495" i="3" s="1"/>
  <c r="E495" i="3"/>
  <c r="L494" i="3"/>
  <c r="K494" i="3"/>
  <c r="J494" i="3"/>
  <c r="F494" i="3"/>
  <c r="E494" i="3"/>
  <c r="J493" i="3"/>
  <c r="F493" i="3"/>
  <c r="K493" i="3" s="1"/>
  <c r="L493" i="3" s="1"/>
  <c r="E493" i="3"/>
  <c r="L492" i="3"/>
  <c r="J492" i="3"/>
  <c r="E492" i="3"/>
  <c r="F492" i="3" s="1"/>
  <c r="K492" i="3" s="1"/>
  <c r="J491" i="3"/>
  <c r="E491" i="3"/>
  <c r="F491" i="3" s="1"/>
  <c r="K491" i="3" s="1"/>
  <c r="L491" i="3" s="1"/>
  <c r="J490" i="3"/>
  <c r="E490" i="3"/>
  <c r="F490" i="3" s="1"/>
  <c r="K490" i="3" s="1"/>
  <c r="L490" i="3" s="1"/>
  <c r="L489" i="3"/>
  <c r="K489" i="3"/>
  <c r="J489" i="3"/>
  <c r="F489" i="3"/>
  <c r="E489" i="3"/>
  <c r="J488" i="3"/>
  <c r="E488" i="3"/>
  <c r="F488" i="3" s="1"/>
  <c r="K488" i="3" s="1"/>
  <c r="L488" i="3" s="1"/>
  <c r="L487" i="3"/>
  <c r="K487" i="3"/>
  <c r="J487" i="3"/>
  <c r="F487" i="3"/>
  <c r="E487" i="3"/>
  <c r="J486" i="3"/>
  <c r="E486" i="3"/>
  <c r="F486" i="3" s="1"/>
  <c r="K486" i="3" s="1"/>
  <c r="L486" i="3" s="1"/>
  <c r="L485" i="3"/>
  <c r="I485" i="3"/>
  <c r="J485" i="3" s="1"/>
  <c r="E485" i="3"/>
  <c r="F485" i="3" s="1"/>
  <c r="K485" i="3" s="1"/>
  <c r="J484" i="3"/>
  <c r="F484" i="3"/>
  <c r="K484" i="3" s="1"/>
  <c r="L484" i="3" s="1"/>
  <c r="E484" i="3"/>
  <c r="J483" i="3"/>
  <c r="F483" i="3"/>
  <c r="K483" i="3" s="1"/>
  <c r="L483" i="3" s="1"/>
  <c r="E483" i="3"/>
  <c r="J482" i="3"/>
  <c r="E482" i="3"/>
  <c r="F482" i="3" s="1"/>
  <c r="K482" i="3" s="1"/>
  <c r="L482" i="3" s="1"/>
  <c r="K481" i="3"/>
  <c r="L481" i="3" s="1"/>
  <c r="J481" i="3"/>
  <c r="F481" i="3"/>
  <c r="E481" i="3"/>
  <c r="J480" i="3"/>
  <c r="E480" i="3"/>
  <c r="F480" i="3" s="1"/>
  <c r="K480" i="3" s="1"/>
  <c r="L480" i="3" s="1"/>
  <c r="J479" i="3"/>
  <c r="K479" i="3" s="1"/>
  <c r="L479" i="3" s="1"/>
  <c r="F479" i="3"/>
  <c r="E479" i="3"/>
  <c r="J478" i="3"/>
  <c r="E478" i="3"/>
  <c r="F478" i="3" s="1"/>
  <c r="K478" i="3" s="1"/>
  <c r="L478" i="3" s="1"/>
  <c r="K477" i="3"/>
  <c r="L477" i="3" s="1"/>
  <c r="J477" i="3"/>
  <c r="E477" i="3"/>
  <c r="F477" i="3" s="1"/>
  <c r="K476" i="3"/>
  <c r="L476" i="3" s="1"/>
  <c r="J476" i="3"/>
  <c r="I476" i="3"/>
  <c r="F476" i="3"/>
  <c r="E476" i="3"/>
  <c r="J475" i="3"/>
  <c r="F475" i="3"/>
  <c r="E475" i="3"/>
  <c r="I466" i="3"/>
  <c r="J466" i="3" s="1"/>
  <c r="E466" i="3"/>
  <c r="K466" i="3" s="1"/>
  <c r="L466" i="3" s="1"/>
  <c r="K465" i="3"/>
  <c r="L465" i="3" s="1"/>
  <c r="J465" i="3"/>
  <c r="E465" i="3"/>
  <c r="J464" i="3"/>
  <c r="E464" i="3"/>
  <c r="K463" i="3"/>
  <c r="L463" i="3" s="1"/>
  <c r="J463" i="3"/>
  <c r="I463" i="3"/>
  <c r="E463" i="3"/>
  <c r="J462" i="3"/>
  <c r="K462" i="3" s="1"/>
  <c r="L462" i="3" s="1"/>
  <c r="I462" i="3"/>
  <c r="E462" i="3"/>
  <c r="J461" i="3"/>
  <c r="E461" i="3"/>
  <c r="K461" i="3" s="1"/>
  <c r="L461" i="3" s="1"/>
  <c r="J460" i="3"/>
  <c r="E460" i="3"/>
  <c r="K460" i="3" s="1"/>
  <c r="L460" i="3" s="1"/>
  <c r="J459" i="3"/>
  <c r="E459" i="3"/>
  <c r="K459" i="3" s="1"/>
  <c r="L459" i="3" s="1"/>
  <c r="J458" i="3"/>
  <c r="E458" i="3"/>
  <c r="J457" i="3"/>
  <c r="E457" i="3"/>
  <c r="K457" i="3" s="1"/>
  <c r="L457" i="3" s="1"/>
  <c r="J456" i="3"/>
  <c r="E456" i="3"/>
  <c r="K456" i="3" s="1"/>
  <c r="L456" i="3" s="1"/>
  <c r="J455" i="3"/>
  <c r="E455" i="3"/>
  <c r="K455" i="3" s="1"/>
  <c r="L455" i="3" s="1"/>
  <c r="L454" i="3"/>
  <c r="K454" i="3"/>
  <c r="J454" i="3"/>
  <c r="E454" i="3"/>
  <c r="I446" i="3"/>
  <c r="J446" i="3" s="1"/>
  <c r="E446" i="3"/>
  <c r="K446" i="3" s="1"/>
  <c r="L446" i="3" s="1"/>
  <c r="J445" i="3"/>
  <c r="E445" i="3"/>
  <c r="K445" i="3" s="1"/>
  <c r="L445" i="3" s="1"/>
  <c r="J444" i="3"/>
  <c r="E444" i="3"/>
  <c r="K444" i="3" s="1"/>
  <c r="L444" i="3" s="1"/>
  <c r="J443" i="3"/>
  <c r="E443" i="3"/>
  <c r="K443" i="3" s="1"/>
  <c r="L443" i="3" s="1"/>
  <c r="K442" i="3"/>
  <c r="L442" i="3" s="1"/>
  <c r="J442" i="3"/>
  <c r="E442" i="3"/>
  <c r="J441" i="3"/>
  <c r="E441" i="3"/>
  <c r="K441" i="3" s="1"/>
  <c r="L441" i="3" s="1"/>
  <c r="I440" i="3"/>
  <c r="J440" i="3" s="1"/>
  <c r="K440" i="3" s="1"/>
  <c r="L440" i="3" s="1"/>
  <c r="E440" i="3"/>
  <c r="J439" i="3"/>
  <c r="E439" i="3"/>
  <c r="K439" i="3" s="1"/>
  <c r="L439" i="3" s="1"/>
  <c r="K438" i="3"/>
  <c r="L438" i="3" s="1"/>
  <c r="J438" i="3"/>
  <c r="E438" i="3"/>
  <c r="J437" i="3"/>
  <c r="E437" i="3"/>
  <c r="K437" i="3" s="1"/>
  <c r="L437" i="3" s="1"/>
  <c r="J436" i="3"/>
  <c r="K436" i="3" s="1"/>
  <c r="L436" i="3" s="1"/>
  <c r="E436" i="3"/>
  <c r="J435" i="3"/>
  <c r="E435" i="3"/>
  <c r="K435" i="3" s="1"/>
  <c r="L435" i="3" s="1"/>
  <c r="L434" i="3"/>
  <c r="K434" i="3"/>
  <c r="J434" i="3"/>
  <c r="I434" i="3"/>
  <c r="E434" i="3"/>
  <c r="J433" i="3"/>
  <c r="I433" i="3"/>
  <c r="E433" i="3"/>
  <c r="L432" i="3"/>
  <c r="K432" i="3"/>
  <c r="J432" i="3"/>
  <c r="E432" i="3"/>
  <c r="J431" i="3"/>
  <c r="E431" i="3"/>
  <c r="L430" i="3"/>
  <c r="K430" i="3"/>
  <c r="J430" i="3"/>
  <c r="E430" i="3"/>
  <c r="J429" i="3"/>
  <c r="E429" i="3"/>
  <c r="K429" i="3" s="1"/>
  <c r="L429" i="3" s="1"/>
  <c r="L428" i="3"/>
  <c r="K428" i="3"/>
  <c r="J428" i="3"/>
  <c r="E428" i="3"/>
  <c r="K420" i="3"/>
  <c r="L420" i="3" s="1"/>
  <c r="J420" i="3"/>
  <c r="E420" i="3"/>
  <c r="J419" i="3"/>
  <c r="E419" i="3"/>
  <c r="K418" i="3"/>
  <c r="L418" i="3" s="1"/>
  <c r="J418" i="3"/>
  <c r="E418" i="3"/>
  <c r="J417" i="3"/>
  <c r="E417" i="3"/>
  <c r="L416" i="3"/>
  <c r="K416" i="3"/>
  <c r="J416" i="3"/>
  <c r="E416" i="3"/>
  <c r="I415" i="3"/>
  <c r="J415" i="3" s="1"/>
  <c r="E415" i="3"/>
  <c r="L414" i="3"/>
  <c r="K414" i="3"/>
  <c r="J414" i="3"/>
  <c r="E414" i="3"/>
  <c r="J413" i="3"/>
  <c r="E413" i="3"/>
  <c r="K413" i="3" s="1"/>
  <c r="L413" i="3" s="1"/>
  <c r="L412" i="3"/>
  <c r="K412" i="3"/>
  <c r="J412" i="3"/>
  <c r="E412" i="3"/>
  <c r="J411" i="3"/>
  <c r="E411" i="3"/>
  <c r="K411" i="3" s="1"/>
  <c r="L411" i="3" s="1"/>
  <c r="L410" i="3"/>
  <c r="K410" i="3"/>
  <c r="J410" i="3"/>
  <c r="E410" i="3"/>
  <c r="K409" i="3"/>
  <c r="L409" i="3" s="1"/>
  <c r="J409" i="3"/>
  <c r="E409" i="3"/>
  <c r="L408" i="3"/>
  <c r="K408" i="3"/>
  <c r="J408" i="3"/>
  <c r="E408" i="3"/>
  <c r="K407" i="3"/>
  <c r="L407" i="3" s="1"/>
  <c r="J407" i="3"/>
  <c r="E407" i="3"/>
  <c r="L406" i="3"/>
  <c r="K406" i="3"/>
  <c r="J406" i="3"/>
  <c r="E406" i="3"/>
  <c r="K405" i="3"/>
  <c r="L405" i="3" s="1"/>
  <c r="J405" i="3"/>
  <c r="E405" i="3"/>
  <c r="I404" i="3"/>
  <c r="J404" i="3" s="1"/>
  <c r="K404" i="3" s="1"/>
  <c r="L404" i="3" s="1"/>
  <c r="E404" i="3"/>
  <c r="K403" i="3"/>
  <c r="L403" i="3" s="1"/>
  <c r="J403" i="3"/>
  <c r="I403" i="3"/>
  <c r="E403" i="3"/>
  <c r="I402" i="3"/>
  <c r="J402" i="3" s="1"/>
  <c r="E402" i="3"/>
  <c r="K402" i="3" s="1"/>
  <c r="L402" i="3" s="1"/>
  <c r="K401" i="3"/>
  <c r="L401" i="3" s="1"/>
  <c r="J401" i="3"/>
  <c r="E401" i="3"/>
  <c r="J400" i="3"/>
  <c r="E400" i="3"/>
  <c r="K399" i="3"/>
  <c r="L399" i="3" s="1"/>
  <c r="J399" i="3"/>
  <c r="E399" i="3"/>
  <c r="J398" i="3"/>
  <c r="E398" i="3"/>
  <c r="K398" i="3" s="1"/>
  <c r="L398" i="3" s="1"/>
  <c r="L397" i="3"/>
  <c r="K397" i="3"/>
  <c r="J397" i="3"/>
  <c r="I397" i="3"/>
  <c r="E397" i="3"/>
  <c r="J396" i="3"/>
  <c r="E396" i="3"/>
  <c r="L395" i="3"/>
  <c r="K395" i="3"/>
  <c r="J395" i="3"/>
  <c r="E395" i="3"/>
  <c r="K387" i="3"/>
  <c r="L387" i="3" s="1"/>
  <c r="J387" i="3"/>
  <c r="E387" i="3"/>
  <c r="J386" i="3"/>
  <c r="E386" i="3"/>
  <c r="K386" i="3" s="1"/>
  <c r="L386" i="3" s="1"/>
  <c r="K385" i="3"/>
  <c r="L385" i="3" s="1"/>
  <c r="J385" i="3"/>
  <c r="E385" i="3"/>
  <c r="J384" i="3"/>
  <c r="E384" i="3"/>
  <c r="K383" i="3"/>
  <c r="L383" i="3" s="1"/>
  <c r="J383" i="3"/>
  <c r="E383" i="3"/>
  <c r="J382" i="3"/>
  <c r="I382" i="3"/>
  <c r="E382" i="3"/>
  <c r="L381" i="3"/>
  <c r="I381" i="3"/>
  <c r="J381" i="3" s="1"/>
  <c r="K381" i="3" s="1"/>
  <c r="E381" i="3"/>
  <c r="J380" i="3"/>
  <c r="K380" i="3" s="1"/>
  <c r="L380" i="3" s="1"/>
  <c r="I380" i="3"/>
  <c r="E380" i="3"/>
  <c r="I379" i="3"/>
  <c r="J379" i="3" s="1"/>
  <c r="E379" i="3"/>
  <c r="K378" i="3"/>
  <c r="L378" i="3" s="1"/>
  <c r="J378" i="3"/>
  <c r="E378" i="3"/>
  <c r="J377" i="3"/>
  <c r="E377" i="3"/>
  <c r="L376" i="3"/>
  <c r="K376" i="3"/>
  <c r="J376" i="3"/>
  <c r="E376" i="3"/>
  <c r="J375" i="3"/>
  <c r="E375" i="3"/>
  <c r="L374" i="3"/>
  <c r="K374" i="3"/>
  <c r="J374" i="3"/>
  <c r="E374" i="3"/>
  <c r="J373" i="3"/>
  <c r="E373" i="3"/>
  <c r="K373" i="3" s="1"/>
  <c r="L373" i="3" s="1"/>
  <c r="K372" i="3"/>
  <c r="L372" i="3" s="1"/>
  <c r="J372" i="3"/>
  <c r="E372" i="3"/>
  <c r="J371" i="3"/>
  <c r="E371" i="3"/>
  <c r="K370" i="3"/>
  <c r="L370" i="3" s="1"/>
  <c r="J370" i="3"/>
  <c r="E370" i="3"/>
  <c r="I369" i="3"/>
  <c r="J369" i="3" s="1"/>
  <c r="E369" i="3"/>
  <c r="L368" i="3"/>
  <c r="K368" i="3"/>
  <c r="J368" i="3"/>
  <c r="E368" i="3"/>
  <c r="I367" i="3"/>
  <c r="J367" i="3" s="1"/>
  <c r="K367" i="3" s="1"/>
  <c r="E367" i="3"/>
  <c r="J366" i="3"/>
  <c r="E366" i="3"/>
  <c r="K366" i="3" s="1"/>
  <c r="L366" i="3" s="1"/>
  <c r="L357" i="3"/>
  <c r="K357" i="3"/>
  <c r="J357" i="3"/>
  <c r="E357" i="3"/>
  <c r="J356" i="3"/>
  <c r="E356" i="3"/>
  <c r="K356" i="3" s="1"/>
  <c r="L356" i="3" s="1"/>
  <c r="L355" i="3"/>
  <c r="K355" i="3"/>
  <c r="J355" i="3"/>
  <c r="E355" i="3"/>
  <c r="I354" i="3"/>
  <c r="J354" i="3" s="1"/>
  <c r="E354" i="3"/>
  <c r="J353" i="3"/>
  <c r="E353" i="3"/>
  <c r="K353" i="3" s="1"/>
  <c r="L353" i="3" s="1"/>
  <c r="I352" i="3"/>
  <c r="J352" i="3" s="1"/>
  <c r="K352" i="3" s="1"/>
  <c r="L352" i="3" s="1"/>
  <c r="E352" i="3"/>
  <c r="I351" i="3"/>
  <c r="J351" i="3" s="1"/>
  <c r="E351" i="3"/>
  <c r="K351" i="3" s="1"/>
  <c r="L351" i="3" s="1"/>
  <c r="L350" i="3"/>
  <c r="K350" i="3"/>
  <c r="J350" i="3"/>
  <c r="I350" i="3"/>
  <c r="E350" i="3"/>
  <c r="J349" i="3"/>
  <c r="E349" i="3"/>
  <c r="L348" i="3"/>
  <c r="K348" i="3"/>
  <c r="J348" i="3"/>
  <c r="E348" i="3"/>
  <c r="J347" i="3"/>
  <c r="E347" i="3"/>
  <c r="K347" i="3" s="1"/>
  <c r="L347" i="3" s="1"/>
  <c r="L346" i="3"/>
  <c r="K346" i="3"/>
  <c r="J346" i="3"/>
  <c r="E346" i="3"/>
  <c r="I345" i="3"/>
  <c r="J345" i="3" s="1"/>
  <c r="E345" i="3"/>
  <c r="I344" i="3"/>
  <c r="J344" i="3" s="1"/>
  <c r="E344" i="3"/>
  <c r="K344" i="3" s="1"/>
  <c r="L344" i="3" s="1"/>
  <c r="L343" i="3"/>
  <c r="K343" i="3"/>
  <c r="J343" i="3"/>
  <c r="I343" i="3"/>
  <c r="E343" i="3"/>
  <c r="I342" i="3"/>
  <c r="J342" i="3" s="1"/>
  <c r="E342" i="3"/>
  <c r="L341" i="3"/>
  <c r="K341" i="3"/>
  <c r="J341" i="3"/>
  <c r="E341" i="3"/>
  <c r="K333" i="3"/>
  <c r="L333" i="3" s="1"/>
  <c r="J333" i="3"/>
  <c r="E333" i="3"/>
  <c r="J332" i="3"/>
  <c r="E332" i="3"/>
  <c r="K332" i="3" s="1"/>
  <c r="L332" i="3" s="1"/>
  <c r="K331" i="3"/>
  <c r="L331" i="3" s="1"/>
  <c r="J331" i="3"/>
  <c r="E331" i="3"/>
  <c r="J330" i="3"/>
  <c r="I330" i="3"/>
  <c r="E330" i="3"/>
  <c r="L329" i="3"/>
  <c r="K329" i="3"/>
  <c r="J329" i="3"/>
  <c r="E329" i="3"/>
  <c r="J328" i="3"/>
  <c r="K328" i="3" s="1"/>
  <c r="L328" i="3" s="1"/>
  <c r="E328" i="3"/>
  <c r="I327" i="3"/>
  <c r="J327" i="3" s="1"/>
  <c r="K327" i="3" s="1"/>
  <c r="L327" i="3" s="1"/>
  <c r="E327" i="3"/>
  <c r="L326" i="3"/>
  <c r="K326" i="3"/>
  <c r="J326" i="3"/>
  <c r="E326" i="3"/>
  <c r="J325" i="3"/>
  <c r="E325" i="3"/>
  <c r="K325" i="3" s="1"/>
  <c r="L325" i="3" s="1"/>
  <c r="J324" i="3"/>
  <c r="E324" i="3"/>
  <c r="K324" i="3" s="1"/>
  <c r="L324" i="3" s="1"/>
  <c r="I323" i="3"/>
  <c r="J323" i="3" s="1"/>
  <c r="E323" i="3"/>
  <c r="J322" i="3"/>
  <c r="K322" i="3" s="1"/>
  <c r="L322" i="3" s="1"/>
  <c r="E322" i="3"/>
  <c r="I321" i="3"/>
  <c r="J321" i="3" s="1"/>
  <c r="E321" i="3"/>
  <c r="K320" i="3"/>
  <c r="J320" i="3"/>
  <c r="E320" i="3"/>
  <c r="J311" i="3"/>
  <c r="E311" i="3"/>
  <c r="F311" i="3" s="1"/>
  <c r="K311" i="3" s="1"/>
  <c r="L311" i="3" s="1"/>
  <c r="I310" i="3"/>
  <c r="J310" i="3" s="1"/>
  <c r="K310" i="3" s="1"/>
  <c r="L310" i="3" s="1"/>
  <c r="F310" i="3"/>
  <c r="E310" i="3"/>
  <c r="J309" i="3"/>
  <c r="F309" i="3"/>
  <c r="K309" i="3" s="1"/>
  <c r="L309" i="3" s="1"/>
  <c r="E309" i="3"/>
  <c r="J308" i="3"/>
  <c r="E308" i="3"/>
  <c r="F308" i="3" s="1"/>
  <c r="K308" i="3" s="1"/>
  <c r="L308" i="3" s="1"/>
  <c r="I307" i="3"/>
  <c r="J307" i="3" s="1"/>
  <c r="K307" i="3" s="1"/>
  <c r="L307" i="3" s="1"/>
  <c r="F307" i="3"/>
  <c r="E307" i="3"/>
  <c r="J306" i="3"/>
  <c r="E306" i="3"/>
  <c r="F306" i="3" s="1"/>
  <c r="K306" i="3" s="1"/>
  <c r="L306" i="3" s="1"/>
  <c r="J305" i="3"/>
  <c r="E305" i="3"/>
  <c r="F305" i="3" s="1"/>
  <c r="K305" i="3" s="1"/>
  <c r="L305" i="3" s="1"/>
  <c r="J304" i="3"/>
  <c r="E304" i="3"/>
  <c r="F304" i="3" s="1"/>
  <c r="K304" i="3" s="1"/>
  <c r="L304" i="3" s="1"/>
  <c r="J303" i="3"/>
  <c r="E303" i="3"/>
  <c r="F303" i="3" s="1"/>
  <c r="K303" i="3" s="1"/>
  <c r="L303" i="3" s="1"/>
  <c r="K302" i="3"/>
  <c r="L302" i="3" s="1"/>
  <c r="J302" i="3"/>
  <c r="F302" i="3"/>
  <c r="E302" i="3"/>
  <c r="I301" i="3"/>
  <c r="J301" i="3" s="1"/>
  <c r="E301" i="3"/>
  <c r="F301" i="3" s="1"/>
  <c r="K301" i="3" s="1"/>
  <c r="L301" i="3" s="1"/>
  <c r="J300" i="3"/>
  <c r="E300" i="3"/>
  <c r="F300" i="3" s="1"/>
  <c r="K300" i="3" s="1"/>
  <c r="L300" i="3" s="1"/>
  <c r="J299" i="3"/>
  <c r="K299" i="3" s="1"/>
  <c r="L299" i="3" s="1"/>
  <c r="F299" i="3"/>
  <c r="E299" i="3"/>
  <c r="J298" i="3"/>
  <c r="F298" i="3"/>
  <c r="E298" i="3"/>
  <c r="J297" i="3"/>
  <c r="E297" i="3"/>
  <c r="F297" i="3" s="1"/>
  <c r="K297" i="3" s="1"/>
  <c r="L297" i="3" s="1"/>
  <c r="K296" i="3"/>
  <c r="L296" i="3" s="1"/>
  <c r="J296" i="3"/>
  <c r="I296" i="3"/>
  <c r="F296" i="3"/>
  <c r="E296" i="3"/>
  <c r="I295" i="3"/>
  <c r="J295" i="3" s="1"/>
  <c r="E295" i="3"/>
  <c r="F295" i="3" s="1"/>
  <c r="K295" i="3" s="1"/>
  <c r="L295" i="3" s="1"/>
  <c r="I294" i="3"/>
  <c r="J294" i="3" s="1"/>
  <c r="F294" i="3"/>
  <c r="E294" i="3"/>
  <c r="J293" i="3"/>
  <c r="E293" i="3"/>
  <c r="F293" i="3" s="1"/>
  <c r="K293" i="3" s="1"/>
  <c r="L293" i="3" s="1"/>
  <c r="J292" i="3"/>
  <c r="F292" i="3"/>
  <c r="K292" i="3" s="1"/>
  <c r="L292" i="3" s="1"/>
  <c r="E292" i="3"/>
  <c r="J291" i="3"/>
  <c r="E291" i="3"/>
  <c r="F291" i="3" s="1"/>
  <c r="K291" i="3" s="1"/>
  <c r="L291" i="3" s="1"/>
  <c r="J290" i="3"/>
  <c r="K290" i="3" s="1"/>
  <c r="L290" i="3" s="1"/>
  <c r="F290" i="3"/>
  <c r="E290" i="3"/>
  <c r="J289" i="3"/>
  <c r="E289" i="3"/>
  <c r="F289" i="3" s="1"/>
  <c r="K289" i="3" s="1"/>
  <c r="L289" i="3" s="1"/>
  <c r="J288" i="3"/>
  <c r="E288" i="3"/>
  <c r="F288" i="3" s="1"/>
  <c r="K288" i="3" s="1"/>
  <c r="L288" i="3" s="1"/>
  <c r="K287" i="3"/>
  <c r="L287" i="3" s="1"/>
  <c r="J287" i="3"/>
  <c r="F287" i="3"/>
  <c r="E287" i="3"/>
  <c r="I286" i="3"/>
  <c r="J286" i="3" s="1"/>
  <c r="F286" i="3"/>
  <c r="K286" i="3" s="1"/>
  <c r="L286" i="3" s="1"/>
  <c r="E286" i="3"/>
  <c r="I285" i="3"/>
  <c r="J285" i="3" s="1"/>
  <c r="E285" i="3"/>
  <c r="F285" i="3" s="1"/>
  <c r="J284" i="3"/>
  <c r="K284" i="3" s="1"/>
  <c r="F284" i="3"/>
  <c r="E284" i="3"/>
  <c r="J275" i="3"/>
  <c r="E275" i="3"/>
  <c r="F275" i="3" s="1"/>
  <c r="K275" i="3" s="1"/>
  <c r="L275" i="3" s="1"/>
  <c r="J274" i="3"/>
  <c r="F274" i="3"/>
  <c r="K274" i="3" s="1"/>
  <c r="L274" i="3" s="1"/>
  <c r="E274" i="3"/>
  <c r="J273" i="3"/>
  <c r="E273" i="3"/>
  <c r="F273" i="3" s="1"/>
  <c r="K273" i="3" s="1"/>
  <c r="L273" i="3" s="1"/>
  <c r="J272" i="3"/>
  <c r="I272" i="3"/>
  <c r="E272" i="3"/>
  <c r="F272" i="3" s="1"/>
  <c r="K272" i="3" s="1"/>
  <c r="L272" i="3" s="1"/>
  <c r="K271" i="3"/>
  <c r="L271" i="3" s="1"/>
  <c r="J271" i="3"/>
  <c r="I271" i="3"/>
  <c r="F271" i="3"/>
  <c r="E271" i="3"/>
  <c r="J270" i="3"/>
  <c r="E270" i="3"/>
  <c r="F270" i="3" s="1"/>
  <c r="K270" i="3" s="1"/>
  <c r="L270" i="3" s="1"/>
  <c r="L269" i="3"/>
  <c r="K269" i="3"/>
  <c r="J269" i="3"/>
  <c r="E269" i="3"/>
  <c r="F269" i="3" s="1"/>
  <c r="J268" i="3"/>
  <c r="I268" i="3"/>
  <c r="F268" i="3"/>
  <c r="K268" i="3" s="1"/>
  <c r="L268" i="3" s="1"/>
  <c r="E268" i="3"/>
  <c r="I267" i="3"/>
  <c r="J267" i="3" s="1"/>
  <c r="E267" i="3"/>
  <c r="F267" i="3" s="1"/>
  <c r="K267" i="3" s="1"/>
  <c r="L267" i="3" s="1"/>
  <c r="J266" i="3"/>
  <c r="E266" i="3"/>
  <c r="F266" i="3" s="1"/>
  <c r="K266" i="3" s="1"/>
  <c r="L266" i="3" s="1"/>
  <c r="L265" i="3"/>
  <c r="K265" i="3"/>
  <c r="J265" i="3"/>
  <c r="I265" i="3"/>
  <c r="F265" i="3"/>
  <c r="E265" i="3"/>
  <c r="J264" i="3"/>
  <c r="I264" i="3"/>
  <c r="F264" i="3"/>
  <c r="E264" i="3"/>
  <c r="I263" i="3"/>
  <c r="J263" i="3" s="1"/>
  <c r="E263" i="3"/>
  <c r="F263" i="3" s="1"/>
  <c r="K263" i="3" s="1"/>
  <c r="L263" i="3" s="1"/>
  <c r="K262" i="3"/>
  <c r="L262" i="3" s="1"/>
  <c r="J262" i="3"/>
  <c r="I262" i="3"/>
  <c r="E262" i="3"/>
  <c r="F262" i="3" s="1"/>
  <c r="I261" i="3"/>
  <c r="J261" i="3" s="1"/>
  <c r="K261" i="3" s="1"/>
  <c r="L261" i="3" s="1"/>
  <c r="F261" i="3"/>
  <c r="E261" i="3"/>
  <c r="J260" i="3"/>
  <c r="F260" i="3"/>
  <c r="K260" i="3" s="1"/>
  <c r="L260" i="3" s="1"/>
  <c r="E260" i="3"/>
  <c r="I259" i="3"/>
  <c r="J259" i="3" s="1"/>
  <c r="E259" i="3"/>
  <c r="F259" i="3" s="1"/>
  <c r="K259" i="3" s="1"/>
  <c r="L259" i="3" s="1"/>
  <c r="J258" i="3"/>
  <c r="K258" i="3" s="1"/>
  <c r="L258" i="3" s="1"/>
  <c r="I258" i="3"/>
  <c r="E258" i="3"/>
  <c r="F258" i="3" s="1"/>
  <c r="J257" i="3"/>
  <c r="E257" i="3"/>
  <c r="F257" i="3" s="1"/>
  <c r="K257" i="3" s="1"/>
  <c r="L257" i="3" s="1"/>
  <c r="J256" i="3"/>
  <c r="E256" i="3"/>
  <c r="F256" i="3" s="1"/>
  <c r="K256" i="3" s="1"/>
  <c r="L256" i="3" s="1"/>
  <c r="L255" i="3"/>
  <c r="K255" i="3"/>
  <c r="J255" i="3"/>
  <c r="F255" i="3"/>
  <c r="E255" i="3"/>
  <c r="J254" i="3"/>
  <c r="F254" i="3"/>
  <c r="E254" i="3"/>
  <c r="E277" i="3" s="1"/>
  <c r="L253" i="3"/>
  <c r="J253" i="3"/>
  <c r="E253" i="3"/>
  <c r="F253" i="3" s="1"/>
  <c r="K253" i="3" s="1"/>
  <c r="J252" i="3"/>
  <c r="F252" i="3"/>
  <c r="K252" i="3" s="1"/>
  <c r="L252" i="3" s="1"/>
  <c r="E252" i="3"/>
  <c r="J251" i="3"/>
  <c r="F251" i="3"/>
  <c r="K251" i="3" s="1"/>
  <c r="L251" i="3" s="1"/>
  <c r="E251" i="3"/>
  <c r="J250" i="3"/>
  <c r="E250" i="3"/>
  <c r="F250" i="3" s="1"/>
  <c r="J249" i="3"/>
  <c r="K249" i="3" s="1"/>
  <c r="L249" i="3" s="1"/>
  <c r="F249" i="3"/>
  <c r="E249" i="3"/>
  <c r="I248" i="3"/>
  <c r="J248" i="3" s="1"/>
  <c r="E248" i="3"/>
  <c r="F248" i="3" s="1"/>
  <c r="K248" i="3" s="1"/>
  <c r="J240" i="3"/>
  <c r="F240" i="3"/>
  <c r="E240" i="3"/>
  <c r="I239" i="3"/>
  <c r="J239" i="3" s="1"/>
  <c r="E239" i="3"/>
  <c r="F239" i="3" s="1"/>
  <c r="K239" i="3" s="1"/>
  <c r="L239" i="3" s="1"/>
  <c r="J238" i="3"/>
  <c r="K238" i="3" s="1"/>
  <c r="L238" i="3" s="1"/>
  <c r="F238" i="3"/>
  <c r="E238" i="3"/>
  <c r="I237" i="3"/>
  <c r="J237" i="3" s="1"/>
  <c r="F237" i="3"/>
  <c r="E237" i="3"/>
  <c r="J236" i="3"/>
  <c r="E236" i="3"/>
  <c r="F236" i="3" s="1"/>
  <c r="K236" i="3" s="1"/>
  <c r="L236" i="3" s="1"/>
  <c r="J235" i="3"/>
  <c r="I235" i="3"/>
  <c r="E235" i="3"/>
  <c r="F235" i="3" s="1"/>
  <c r="K235" i="3" s="1"/>
  <c r="L235" i="3" s="1"/>
  <c r="K234" i="3"/>
  <c r="L234" i="3" s="1"/>
  <c r="J234" i="3"/>
  <c r="F234" i="3"/>
  <c r="E234" i="3"/>
  <c r="J233" i="3"/>
  <c r="E233" i="3"/>
  <c r="F233" i="3" s="1"/>
  <c r="K233" i="3" s="1"/>
  <c r="L233" i="3" s="1"/>
  <c r="K232" i="3"/>
  <c r="L232" i="3" s="1"/>
  <c r="J232" i="3"/>
  <c r="I232" i="3"/>
  <c r="E232" i="3"/>
  <c r="F232" i="3" s="1"/>
  <c r="I231" i="3"/>
  <c r="J231" i="3" s="1"/>
  <c r="K231" i="3" s="1"/>
  <c r="L231" i="3" s="1"/>
  <c r="F231" i="3"/>
  <c r="E231" i="3"/>
  <c r="J230" i="3"/>
  <c r="F230" i="3"/>
  <c r="K230" i="3" s="1"/>
  <c r="L230" i="3" s="1"/>
  <c r="E230" i="3"/>
  <c r="J229" i="3"/>
  <c r="E229" i="3"/>
  <c r="F229" i="3" s="1"/>
  <c r="K229" i="3" s="1"/>
  <c r="L229" i="3" s="1"/>
  <c r="J228" i="3"/>
  <c r="E228" i="3"/>
  <c r="F228" i="3" s="1"/>
  <c r="K228" i="3" s="1"/>
  <c r="L228" i="3" s="1"/>
  <c r="J227" i="3"/>
  <c r="E227" i="3"/>
  <c r="F227" i="3" s="1"/>
  <c r="K227" i="3" s="1"/>
  <c r="L227" i="3" s="1"/>
  <c r="J226" i="3"/>
  <c r="K226" i="3" s="1"/>
  <c r="L226" i="3" s="1"/>
  <c r="F226" i="3"/>
  <c r="E226" i="3"/>
  <c r="J225" i="3"/>
  <c r="I225" i="3"/>
  <c r="E225" i="3"/>
  <c r="F225" i="3" s="1"/>
  <c r="K225" i="3" s="1"/>
  <c r="L225" i="3" s="1"/>
  <c r="J224" i="3"/>
  <c r="E224" i="3"/>
  <c r="F224" i="3" s="1"/>
  <c r="K224" i="3" s="1"/>
  <c r="L224" i="3" s="1"/>
  <c r="L223" i="3"/>
  <c r="K223" i="3"/>
  <c r="J223" i="3"/>
  <c r="F223" i="3"/>
  <c r="E223" i="3"/>
  <c r="J222" i="3"/>
  <c r="E222" i="3"/>
  <c r="F222" i="3" s="1"/>
  <c r="K222" i="3" s="1"/>
  <c r="L222" i="3" s="1"/>
  <c r="L221" i="3"/>
  <c r="J221" i="3"/>
  <c r="E221" i="3"/>
  <c r="F221" i="3" s="1"/>
  <c r="K221" i="3" s="1"/>
  <c r="J220" i="3"/>
  <c r="F220" i="3"/>
  <c r="K220" i="3" s="1"/>
  <c r="L220" i="3" s="1"/>
  <c r="E220" i="3"/>
  <c r="J219" i="3"/>
  <c r="E219" i="3"/>
  <c r="F219" i="3" s="1"/>
  <c r="K219" i="3" s="1"/>
  <c r="L219" i="3" s="1"/>
  <c r="L218" i="3"/>
  <c r="K218" i="3"/>
  <c r="J218" i="3"/>
  <c r="F218" i="3"/>
  <c r="E218" i="3"/>
  <c r="I217" i="3"/>
  <c r="J217" i="3" s="1"/>
  <c r="K217" i="3" s="1"/>
  <c r="L217" i="3" s="1"/>
  <c r="F217" i="3"/>
  <c r="E217" i="3"/>
  <c r="I216" i="3"/>
  <c r="J216" i="3" s="1"/>
  <c r="E216" i="3"/>
  <c r="F216" i="3" s="1"/>
  <c r="K216" i="3" s="1"/>
  <c r="L216" i="3" s="1"/>
  <c r="J215" i="3"/>
  <c r="E215" i="3"/>
  <c r="F215" i="3" s="1"/>
  <c r="K215" i="3" s="1"/>
  <c r="L215" i="3" s="1"/>
  <c r="J214" i="3"/>
  <c r="F214" i="3"/>
  <c r="K214" i="3" s="1"/>
  <c r="L214" i="3" s="1"/>
  <c r="E214" i="3"/>
  <c r="J213" i="3"/>
  <c r="E213" i="3"/>
  <c r="F213" i="3" s="1"/>
  <c r="K213" i="3" s="1"/>
  <c r="L213" i="3" s="1"/>
  <c r="J212" i="3"/>
  <c r="I212" i="3"/>
  <c r="E212" i="3"/>
  <c r="F212" i="3" s="1"/>
  <c r="K212" i="3" s="1"/>
  <c r="L212" i="3" s="1"/>
  <c r="L211" i="3"/>
  <c r="K211" i="3"/>
  <c r="J211" i="3"/>
  <c r="F211" i="3"/>
  <c r="E211" i="3"/>
  <c r="I210" i="3"/>
  <c r="J210" i="3" s="1"/>
  <c r="E210" i="3"/>
  <c r="F210" i="3" s="1"/>
  <c r="K210" i="3" s="1"/>
  <c r="L210" i="3" s="1"/>
  <c r="L209" i="3"/>
  <c r="J209" i="3"/>
  <c r="E209" i="3"/>
  <c r="F209" i="3" s="1"/>
  <c r="K209" i="3" s="1"/>
  <c r="J208" i="3"/>
  <c r="F208" i="3"/>
  <c r="E208" i="3"/>
  <c r="K200" i="3"/>
  <c r="L200" i="3" s="1"/>
  <c r="J200" i="3"/>
  <c r="I200" i="3"/>
  <c r="E200" i="3"/>
  <c r="F200" i="3" s="1"/>
  <c r="I199" i="3"/>
  <c r="J199" i="3" s="1"/>
  <c r="F199" i="3"/>
  <c r="K199" i="3" s="1"/>
  <c r="L199" i="3" s="1"/>
  <c r="E199" i="3"/>
  <c r="I198" i="3"/>
  <c r="J198" i="3" s="1"/>
  <c r="E198" i="3"/>
  <c r="F198" i="3" s="1"/>
  <c r="K198" i="3" s="1"/>
  <c r="L198" i="3" s="1"/>
  <c r="J197" i="3"/>
  <c r="E197" i="3"/>
  <c r="F197" i="3" s="1"/>
  <c r="K197" i="3" s="1"/>
  <c r="L197" i="3" s="1"/>
  <c r="K196" i="3"/>
  <c r="L196" i="3" s="1"/>
  <c r="J196" i="3"/>
  <c r="I196" i="3"/>
  <c r="F196" i="3"/>
  <c r="E196" i="3"/>
  <c r="J195" i="3"/>
  <c r="F195" i="3"/>
  <c r="E195" i="3"/>
  <c r="L194" i="3"/>
  <c r="J194" i="3"/>
  <c r="E194" i="3"/>
  <c r="F194" i="3" s="1"/>
  <c r="K194" i="3" s="1"/>
  <c r="J193" i="3"/>
  <c r="F193" i="3"/>
  <c r="K193" i="3" s="1"/>
  <c r="L193" i="3" s="1"/>
  <c r="E193" i="3"/>
  <c r="J192" i="3"/>
  <c r="F192" i="3"/>
  <c r="K192" i="3" s="1"/>
  <c r="L192" i="3" s="1"/>
  <c r="E192" i="3"/>
  <c r="J191" i="3"/>
  <c r="E191" i="3"/>
  <c r="F191" i="3" s="1"/>
  <c r="K191" i="3" s="1"/>
  <c r="L191" i="3" s="1"/>
  <c r="J190" i="3"/>
  <c r="K190" i="3" s="1"/>
  <c r="L190" i="3" s="1"/>
  <c r="F190" i="3"/>
  <c r="E190" i="3"/>
  <c r="J189" i="3"/>
  <c r="E189" i="3"/>
  <c r="F189" i="3" s="1"/>
  <c r="K189" i="3" s="1"/>
  <c r="L189" i="3" s="1"/>
  <c r="K188" i="3"/>
  <c r="L188" i="3" s="1"/>
  <c r="J188" i="3"/>
  <c r="F188" i="3"/>
  <c r="E188" i="3"/>
  <c r="J187" i="3"/>
  <c r="E187" i="3"/>
  <c r="F187" i="3" s="1"/>
  <c r="K187" i="3" s="1"/>
  <c r="L187" i="3" s="1"/>
  <c r="J186" i="3"/>
  <c r="E186" i="3"/>
  <c r="F186" i="3" s="1"/>
  <c r="K186" i="3" s="1"/>
  <c r="L186" i="3" s="1"/>
  <c r="L185" i="3"/>
  <c r="K185" i="3"/>
  <c r="J185" i="3"/>
  <c r="F185" i="3"/>
  <c r="E185" i="3"/>
  <c r="J184" i="3"/>
  <c r="F184" i="3"/>
  <c r="K184" i="3" s="1"/>
  <c r="L184" i="3" s="1"/>
  <c r="E184" i="3"/>
  <c r="L183" i="3"/>
  <c r="K183" i="3"/>
  <c r="J183" i="3"/>
  <c r="E183" i="3"/>
  <c r="F183" i="3" s="1"/>
  <c r="I182" i="3"/>
  <c r="J182" i="3" s="1"/>
  <c r="F182" i="3"/>
  <c r="K182" i="3" s="1"/>
  <c r="L182" i="3" s="1"/>
  <c r="E182" i="3"/>
  <c r="J181" i="3"/>
  <c r="E181" i="3"/>
  <c r="F181" i="3" s="1"/>
  <c r="K181" i="3" s="1"/>
  <c r="L181" i="3" s="1"/>
  <c r="K180" i="3"/>
  <c r="L180" i="3" s="1"/>
  <c r="J180" i="3"/>
  <c r="E180" i="3"/>
  <c r="F180" i="3" s="1"/>
  <c r="K179" i="3"/>
  <c r="L179" i="3" s="1"/>
  <c r="J179" i="3"/>
  <c r="I179" i="3"/>
  <c r="F179" i="3"/>
  <c r="E179" i="3"/>
  <c r="J178" i="3"/>
  <c r="F178" i="3"/>
  <c r="K178" i="3" s="1"/>
  <c r="L178" i="3" s="1"/>
  <c r="E178" i="3"/>
  <c r="L177" i="3"/>
  <c r="K177" i="3"/>
  <c r="J177" i="3"/>
  <c r="I177" i="3"/>
  <c r="E177" i="3"/>
  <c r="F177" i="3" s="1"/>
  <c r="I176" i="3"/>
  <c r="J176" i="3" s="1"/>
  <c r="K176" i="3" s="1"/>
  <c r="L176" i="3" s="1"/>
  <c r="F176" i="3"/>
  <c r="E176" i="3"/>
  <c r="I175" i="3"/>
  <c r="J175" i="3" s="1"/>
  <c r="F175" i="3"/>
  <c r="K175" i="3" s="1"/>
  <c r="L175" i="3" s="1"/>
  <c r="E175" i="3"/>
  <c r="I174" i="3"/>
  <c r="J174" i="3" s="1"/>
  <c r="F174" i="3"/>
  <c r="E174" i="3"/>
  <c r="J173" i="3"/>
  <c r="I173" i="3"/>
  <c r="E173" i="3"/>
  <c r="F173" i="3" s="1"/>
  <c r="K173" i="3" s="1"/>
  <c r="L173" i="3" s="1"/>
  <c r="L172" i="3"/>
  <c r="K172" i="3"/>
  <c r="J172" i="3"/>
  <c r="F172" i="3"/>
  <c r="E172" i="3"/>
  <c r="I171" i="3"/>
  <c r="J171" i="3" s="1"/>
  <c r="F171" i="3"/>
  <c r="K171" i="3" s="1"/>
  <c r="L171" i="3" s="1"/>
  <c r="E171" i="3"/>
  <c r="E202" i="3" s="1"/>
  <c r="L170" i="3"/>
  <c r="J170" i="3"/>
  <c r="E170" i="3"/>
  <c r="F170" i="3" s="1"/>
  <c r="K170" i="3" s="1"/>
  <c r="J169" i="3"/>
  <c r="F169" i="3"/>
  <c r="K169" i="3" s="1"/>
  <c r="L169" i="3" s="1"/>
  <c r="E169" i="3"/>
  <c r="J168" i="3"/>
  <c r="F168" i="3"/>
  <c r="K168" i="3" s="1"/>
  <c r="L168" i="3" s="1"/>
  <c r="E168" i="3"/>
  <c r="J167" i="3"/>
  <c r="E167" i="3"/>
  <c r="F167" i="3" s="1"/>
  <c r="K167" i="3" s="1"/>
  <c r="L167" i="3" s="1"/>
  <c r="J166" i="3"/>
  <c r="F166" i="3"/>
  <c r="E166" i="3"/>
  <c r="J158" i="3"/>
  <c r="F158" i="3"/>
  <c r="K158" i="3" s="1"/>
  <c r="L158" i="3" s="1"/>
  <c r="E158" i="3"/>
  <c r="J157" i="3"/>
  <c r="F157" i="3"/>
  <c r="K157" i="3" s="1"/>
  <c r="L157" i="3" s="1"/>
  <c r="E157" i="3"/>
  <c r="J156" i="3"/>
  <c r="E156" i="3"/>
  <c r="F156" i="3" s="1"/>
  <c r="K156" i="3" s="1"/>
  <c r="L156" i="3" s="1"/>
  <c r="J155" i="3"/>
  <c r="K155" i="3" s="1"/>
  <c r="L155" i="3" s="1"/>
  <c r="F155" i="3"/>
  <c r="E155" i="3"/>
  <c r="I154" i="3"/>
  <c r="J154" i="3" s="1"/>
  <c r="E154" i="3"/>
  <c r="F154" i="3" s="1"/>
  <c r="K154" i="3" s="1"/>
  <c r="L154" i="3" s="1"/>
  <c r="J153" i="3"/>
  <c r="E153" i="3"/>
  <c r="F153" i="3" s="1"/>
  <c r="K153" i="3" s="1"/>
  <c r="L153" i="3" s="1"/>
  <c r="J152" i="3"/>
  <c r="E152" i="3"/>
  <c r="F152" i="3" s="1"/>
  <c r="K152" i="3" s="1"/>
  <c r="L152" i="3" s="1"/>
  <c r="J151" i="3"/>
  <c r="E151" i="3"/>
  <c r="F151" i="3" s="1"/>
  <c r="K151" i="3" s="1"/>
  <c r="L151" i="3" s="1"/>
  <c r="L150" i="3"/>
  <c r="K150" i="3"/>
  <c r="J150" i="3"/>
  <c r="F150" i="3"/>
  <c r="E150" i="3"/>
  <c r="I149" i="3"/>
  <c r="J149" i="3" s="1"/>
  <c r="E149" i="3"/>
  <c r="F149" i="3" s="1"/>
  <c r="K149" i="3" s="1"/>
  <c r="L149" i="3" s="1"/>
  <c r="I148" i="3"/>
  <c r="J148" i="3" s="1"/>
  <c r="E148" i="3"/>
  <c r="F148" i="3" s="1"/>
  <c r="K148" i="3" s="1"/>
  <c r="L148" i="3" s="1"/>
  <c r="I147" i="3"/>
  <c r="J147" i="3" s="1"/>
  <c r="K147" i="3" s="1"/>
  <c r="L147" i="3" s="1"/>
  <c r="E147" i="3"/>
  <c r="F147" i="3" s="1"/>
  <c r="J146" i="3"/>
  <c r="F146" i="3"/>
  <c r="K146" i="3" s="1"/>
  <c r="L146" i="3" s="1"/>
  <c r="E146" i="3"/>
  <c r="J145" i="3"/>
  <c r="I145" i="3"/>
  <c r="E145" i="3"/>
  <c r="J135" i="3"/>
  <c r="E135" i="3"/>
  <c r="F135" i="3" s="1"/>
  <c r="K135" i="3" s="1"/>
  <c r="L135" i="3" s="1"/>
  <c r="K134" i="3"/>
  <c r="L134" i="3" s="1"/>
  <c r="J134" i="3"/>
  <c r="F134" i="3"/>
  <c r="E134" i="3"/>
  <c r="J133" i="3"/>
  <c r="I133" i="3"/>
  <c r="E133" i="3"/>
  <c r="F133" i="3" s="1"/>
  <c r="K133" i="3" s="1"/>
  <c r="L133" i="3" s="1"/>
  <c r="I132" i="3"/>
  <c r="J132" i="3" s="1"/>
  <c r="F132" i="3"/>
  <c r="K132" i="3" s="1"/>
  <c r="L132" i="3" s="1"/>
  <c r="E132" i="3"/>
  <c r="L131" i="3"/>
  <c r="K131" i="3"/>
  <c r="J131" i="3"/>
  <c r="E131" i="3"/>
  <c r="F131" i="3" s="1"/>
  <c r="J130" i="3"/>
  <c r="E130" i="3"/>
  <c r="F130" i="3" s="1"/>
  <c r="K130" i="3" s="1"/>
  <c r="L130" i="3" s="1"/>
  <c r="J129" i="3"/>
  <c r="E129" i="3"/>
  <c r="F129" i="3" s="1"/>
  <c r="K129" i="3" s="1"/>
  <c r="L129" i="3" s="1"/>
  <c r="J128" i="3"/>
  <c r="I128" i="3"/>
  <c r="E128" i="3"/>
  <c r="F128" i="3" s="1"/>
  <c r="K128" i="3" s="1"/>
  <c r="L128" i="3" s="1"/>
  <c r="K127" i="3"/>
  <c r="L127" i="3" s="1"/>
  <c r="J127" i="3"/>
  <c r="I127" i="3"/>
  <c r="F127" i="3"/>
  <c r="E127" i="3"/>
  <c r="J126" i="3"/>
  <c r="E126" i="3"/>
  <c r="F126" i="3" s="1"/>
  <c r="K126" i="3" s="1"/>
  <c r="L126" i="3" s="1"/>
  <c r="L125" i="3"/>
  <c r="K125" i="3"/>
  <c r="J125" i="3"/>
  <c r="E125" i="3"/>
  <c r="F125" i="3" s="1"/>
  <c r="J124" i="3"/>
  <c r="F124" i="3"/>
  <c r="K124" i="3" s="1"/>
  <c r="L124" i="3" s="1"/>
  <c r="E124" i="3"/>
  <c r="I123" i="3"/>
  <c r="J123" i="3" s="1"/>
  <c r="F123" i="3"/>
  <c r="E123" i="3"/>
  <c r="J122" i="3"/>
  <c r="E122" i="3"/>
  <c r="F122" i="3" s="1"/>
  <c r="K122" i="3" s="1"/>
  <c r="L122" i="3" s="1"/>
  <c r="J121" i="3"/>
  <c r="F121" i="3"/>
  <c r="K121" i="3" s="1"/>
  <c r="L121" i="3" s="1"/>
  <c r="E121" i="3"/>
  <c r="J120" i="3"/>
  <c r="E120" i="3"/>
  <c r="F120" i="3" s="1"/>
  <c r="K120" i="3" s="1"/>
  <c r="L120" i="3" s="1"/>
  <c r="K119" i="3"/>
  <c r="L119" i="3" s="1"/>
  <c r="J119" i="3"/>
  <c r="F119" i="3"/>
  <c r="E119" i="3"/>
  <c r="J118" i="3"/>
  <c r="F118" i="3"/>
  <c r="E118" i="3"/>
  <c r="J117" i="3"/>
  <c r="E117" i="3"/>
  <c r="F117" i="3" s="1"/>
  <c r="K117" i="3" s="1"/>
  <c r="L117" i="3" s="1"/>
  <c r="K116" i="3"/>
  <c r="L116" i="3" s="1"/>
  <c r="J116" i="3"/>
  <c r="F116" i="3"/>
  <c r="E116" i="3"/>
  <c r="J115" i="3"/>
  <c r="E115" i="3"/>
  <c r="F115" i="3" s="1"/>
  <c r="K115" i="3" s="1"/>
  <c r="L115" i="3" s="1"/>
  <c r="K114" i="3"/>
  <c r="L114" i="3" s="1"/>
  <c r="J114" i="3"/>
  <c r="I114" i="3"/>
  <c r="E114" i="3"/>
  <c r="F114" i="3" s="1"/>
  <c r="I113" i="3"/>
  <c r="J113" i="3" s="1"/>
  <c r="K113" i="3" s="1"/>
  <c r="L113" i="3" s="1"/>
  <c r="F113" i="3"/>
  <c r="E113" i="3"/>
  <c r="J112" i="3"/>
  <c r="I112" i="3"/>
  <c r="E112" i="3"/>
  <c r="F112" i="3" s="1"/>
  <c r="K112" i="3" s="1"/>
  <c r="L112" i="3" s="1"/>
  <c r="I111" i="3"/>
  <c r="J111" i="3" s="1"/>
  <c r="E111" i="3"/>
  <c r="F111" i="3" s="1"/>
  <c r="K111" i="3" s="1"/>
  <c r="L111" i="3" s="1"/>
  <c r="J110" i="3"/>
  <c r="I110" i="3"/>
  <c r="E110" i="3"/>
  <c r="F110" i="3" s="1"/>
  <c r="K110" i="3" s="1"/>
  <c r="L110" i="3" s="1"/>
  <c r="K109" i="3"/>
  <c r="L109" i="3" s="1"/>
  <c r="J109" i="3"/>
  <c r="I109" i="3"/>
  <c r="F109" i="3"/>
  <c r="E109" i="3"/>
  <c r="J108" i="3"/>
  <c r="E108" i="3"/>
  <c r="F108" i="3" s="1"/>
  <c r="L107" i="3"/>
  <c r="J107" i="3"/>
  <c r="E107" i="3"/>
  <c r="F107" i="3" s="1"/>
  <c r="K107" i="3" s="1"/>
  <c r="J106" i="3"/>
  <c r="F106" i="3"/>
  <c r="K106" i="3" s="1"/>
  <c r="L106" i="3" s="1"/>
  <c r="E106" i="3"/>
  <c r="J105" i="3"/>
  <c r="F105" i="3"/>
  <c r="K105" i="3" s="1"/>
  <c r="L105" i="3" s="1"/>
  <c r="E105" i="3"/>
  <c r="J104" i="3"/>
  <c r="E104" i="3"/>
  <c r="F104" i="3" s="1"/>
  <c r="K104" i="3" s="1"/>
  <c r="L104" i="3" s="1"/>
  <c r="J103" i="3"/>
  <c r="F103" i="3"/>
  <c r="K103" i="3" s="1"/>
  <c r="L103" i="3" s="1"/>
  <c r="E103" i="3"/>
  <c r="J102" i="3"/>
  <c r="E102" i="3"/>
  <c r="F102" i="3" s="1"/>
  <c r="K102" i="3" s="1"/>
  <c r="L102" i="3" s="1"/>
  <c r="K101" i="3"/>
  <c r="L101" i="3" s="1"/>
  <c r="J101" i="3"/>
  <c r="F101" i="3"/>
  <c r="E101" i="3"/>
  <c r="J100" i="3"/>
  <c r="F100" i="3"/>
  <c r="E100" i="3"/>
  <c r="J92" i="3"/>
  <c r="E92" i="3"/>
  <c r="F92" i="3" s="1"/>
  <c r="K92" i="3" s="1"/>
  <c r="L92" i="3" s="1"/>
  <c r="J91" i="3"/>
  <c r="E91" i="3"/>
  <c r="F91" i="3" s="1"/>
  <c r="K91" i="3" s="1"/>
  <c r="L91" i="3" s="1"/>
  <c r="J90" i="3"/>
  <c r="I90" i="3"/>
  <c r="E90" i="3"/>
  <c r="F90" i="3" s="1"/>
  <c r="K90" i="3" s="1"/>
  <c r="L90" i="3" s="1"/>
  <c r="K89" i="3"/>
  <c r="L89" i="3" s="1"/>
  <c r="J89" i="3"/>
  <c r="I89" i="3"/>
  <c r="F89" i="3"/>
  <c r="E89" i="3"/>
  <c r="I88" i="3"/>
  <c r="J88" i="3" s="1"/>
  <c r="E88" i="3"/>
  <c r="F88" i="3" s="1"/>
  <c r="K88" i="3" s="1"/>
  <c r="L88" i="3" s="1"/>
  <c r="I87" i="3"/>
  <c r="J87" i="3" s="1"/>
  <c r="E87" i="3"/>
  <c r="F87" i="3" s="1"/>
  <c r="J86" i="3"/>
  <c r="K86" i="3" s="1"/>
  <c r="L86" i="3" s="1"/>
  <c r="F86" i="3"/>
  <c r="E86" i="3"/>
  <c r="J85" i="3"/>
  <c r="F85" i="3"/>
  <c r="E85" i="3"/>
  <c r="J84" i="3"/>
  <c r="E84" i="3"/>
  <c r="F84" i="3" s="1"/>
  <c r="K84" i="3" s="1"/>
  <c r="L84" i="3" s="1"/>
  <c r="J83" i="3"/>
  <c r="K83" i="3" s="1"/>
  <c r="L83" i="3" s="1"/>
  <c r="F83" i="3"/>
  <c r="E83" i="3"/>
  <c r="J82" i="3"/>
  <c r="E82" i="3"/>
  <c r="F82" i="3" s="1"/>
  <c r="K82" i="3" s="1"/>
  <c r="L82" i="3" s="1"/>
  <c r="L81" i="3"/>
  <c r="K81" i="3"/>
  <c r="J81" i="3"/>
  <c r="I81" i="3"/>
  <c r="E81" i="3"/>
  <c r="F81" i="3" s="1"/>
  <c r="J80" i="3"/>
  <c r="F80" i="3"/>
  <c r="E80" i="3"/>
  <c r="J79" i="3"/>
  <c r="F79" i="3"/>
  <c r="K79" i="3" s="1"/>
  <c r="L79" i="3" s="1"/>
  <c r="E79" i="3"/>
  <c r="J78" i="3"/>
  <c r="I78" i="3"/>
  <c r="E78" i="3"/>
  <c r="F78" i="3" s="1"/>
  <c r="K78" i="3" s="1"/>
  <c r="L78" i="3" s="1"/>
  <c r="L77" i="3"/>
  <c r="K77" i="3"/>
  <c r="J77" i="3"/>
  <c r="I77" i="3"/>
  <c r="F77" i="3"/>
  <c r="E77" i="3"/>
  <c r="J76" i="3"/>
  <c r="F76" i="3"/>
  <c r="K76" i="3" s="1"/>
  <c r="L76" i="3" s="1"/>
  <c r="E76" i="3"/>
  <c r="L75" i="3"/>
  <c r="J75" i="3"/>
  <c r="E75" i="3"/>
  <c r="F75" i="3" s="1"/>
  <c r="K75" i="3" s="1"/>
  <c r="J74" i="3"/>
  <c r="F74" i="3"/>
  <c r="K74" i="3" s="1"/>
  <c r="L74" i="3" s="1"/>
  <c r="E74" i="3"/>
  <c r="J73" i="3"/>
  <c r="F73" i="3"/>
  <c r="K73" i="3" s="1"/>
  <c r="L73" i="3" s="1"/>
  <c r="E73" i="3"/>
  <c r="J72" i="3"/>
  <c r="I72" i="3"/>
  <c r="E72" i="3"/>
  <c r="F72" i="3" s="1"/>
  <c r="K72" i="3" s="1"/>
  <c r="L72" i="3" s="1"/>
  <c r="L71" i="3"/>
  <c r="K71" i="3"/>
  <c r="J71" i="3"/>
  <c r="F71" i="3"/>
  <c r="E71" i="3"/>
  <c r="J70" i="3"/>
  <c r="E70" i="3"/>
  <c r="F70" i="3" s="1"/>
  <c r="K70" i="3" s="1"/>
  <c r="L70" i="3" s="1"/>
  <c r="L69" i="3"/>
  <c r="K69" i="3"/>
  <c r="J69" i="3"/>
  <c r="E69" i="3"/>
  <c r="F69" i="3" s="1"/>
  <c r="J68" i="3"/>
  <c r="E68" i="3"/>
  <c r="F68" i="3" s="1"/>
  <c r="K68" i="3" s="1"/>
  <c r="L68" i="3" s="1"/>
  <c r="J67" i="3"/>
  <c r="E67" i="3"/>
  <c r="F67" i="3" s="1"/>
  <c r="K67" i="3" s="1"/>
  <c r="L67" i="3" s="1"/>
  <c r="J66" i="3"/>
  <c r="I66" i="3"/>
  <c r="E66" i="3"/>
  <c r="F66" i="3" s="1"/>
  <c r="K65" i="3"/>
  <c r="L65" i="3" s="1"/>
  <c r="J65" i="3"/>
  <c r="F65" i="3"/>
  <c r="E65" i="3"/>
  <c r="I64" i="3"/>
  <c r="J64" i="3" s="1"/>
  <c r="E64" i="3"/>
  <c r="J56" i="3"/>
  <c r="F56" i="3"/>
  <c r="E56" i="3"/>
  <c r="I55" i="3"/>
  <c r="J55" i="3" s="1"/>
  <c r="E55" i="3"/>
  <c r="F55" i="3" s="1"/>
  <c r="L54" i="3"/>
  <c r="K54" i="3"/>
  <c r="J54" i="3"/>
  <c r="F54" i="3"/>
  <c r="E54" i="3"/>
  <c r="J53" i="3"/>
  <c r="F53" i="3"/>
  <c r="K53" i="3" s="1"/>
  <c r="L53" i="3" s="1"/>
  <c r="E53" i="3"/>
  <c r="I52" i="3"/>
  <c r="J52" i="3" s="1"/>
  <c r="E52" i="3"/>
  <c r="F52" i="3" s="1"/>
  <c r="J51" i="3"/>
  <c r="I51" i="3"/>
  <c r="E51" i="3"/>
  <c r="F51" i="3" s="1"/>
  <c r="K51" i="3" s="1"/>
  <c r="L51" i="3" s="1"/>
  <c r="K50" i="3"/>
  <c r="L50" i="3" s="1"/>
  <c r="J50" i="3"/>
  <c r="I50" i="3"/>
  <c r="F50" i="3"/>
  <c r="E50" i="3"/>
  <c r="I49" i="3"/>
  <c r="J49" i="3" s="1"/>
  <c r="E49" i="3"/>
  <c r="F49" i="3" s="1"/>
  <c r="K49" i="3" s="1"/>
  <c r="L49" i="3" s="1"/>
  <c r="L48" i="3"/>
  <c r="J48" i="3"/>
  <c r="E48" i="3"/>
  <c r="F48" i="3" s="1"/>
  <c r="K48" i="3" s="1"/>
  <c r="J47" i="3"/>
  <c r="F47" i="3"/>
  <c r="K47" i="3" s="1"/>
  <c r="L47" i="3" s="1"/>
  <c r="E47" i="3"/>
  <c r="J46" i="3"/>
  <c r="F46" i="3"/>
  <c r="K46" i="3" s="1"/>
  <c r="L46" i="3" s="1"/>
  <c r="E46" i="3"/>
  <c r="J45" i="3"/>
  <c r="E45" i="3"/>
  <c r="F45" i="3" s="1"/>
  <c r="K45" i="3" s="1"/>
  <c r="L45" i="3" s="1"/>
  <c r="I44" i="3"/>
  <c r="J44" i="3" s="1"/>
  <c r="K44" i="3" s="1"/>
  <c r="L44" i="3" s="1"/>
  <c r="F44" i="3"/>
  <c r="E44" i="3"/>
  <c r="J43" i="3"/>
  <c r="E43" i="3"/>
  <c r="F43" i="3" s="1"/>
  <c r="K43" i="3" s="1"/>
  <c r="L43" i="3" s="1"/>
  <c r="L42" i="3"/>
  <c r="K42" i="3"/>
  <c r="J42" i="3"/>
  <c r="E42" i="3"/>
  <c r="F42" i="3" s="1"/>
  <c r="J41" i="3"/>
  <c r="E41" i="3"/>
  <c r="F41" i="3" s="1"/>
  <c r="K41" i="3" s="1"/>
  <c r="L41" i="3" s="1"/>
  <c r="J40" i="3"/>
  <c r="E40" i="3"/>
  <c r="F40" i="3" s="1"/>
  <c r="K40" i="3" s="1"/>
  <c r="L40" i="3" s="1"/>
  <c r="L39" i="3"/>
  <c r="K39" i="3"/>
  <c r="J39" i="3"/>
  <c r="F39" i="3"/>
  <c r="E39" i="3"/>
  <c r="J38" i="3"/>
  <c r="I38" i="3"/>
  <c r="E38" i="3"/>
  <c r="F38" i="3" s="1"/>
  <c r="K38" i="3" s="1"/>
  <c r="L38" i="3" s="1"/>
  <c r="J37" i="3"/>
  <c r="E37" i="3"/>
  <c r="F37" i="3" s="1"/>
  <c r="K37" i="3" s="1"/>
  <c r="L37" i="3" s="1"/>
  <c r="J36" i="3"/>
  <c r="K36" i="3" s="1"/>
  <c r="L36" i="3" s="1"/>
  <c r="F36" i="3"/>
  <c r="E36" i="3"/>
  <c r="J35" i="3"/>
  <c r="F35" i="3"/>
  <c r="E35" i="3"/>
  <c r="J34" i="3"/>
  <c r="E34" i="3"/>
  <c r="F34" i="3" s="1"/>
  <c r="K34" i="3" s="1"/>
  <c r="L34" i="3" s="1"/>
  <c r="J33" i="3"/>
  <c r="K33" i="3" s="1"/>
  <c r="L33" i="3" s="1"/>
  <c r="I33" i="3"/>
  <c r="F33" i="3"/>
  <c r="E33" i="3"/>
  <c r="I32" i="3"/>
  <c r="J32" i="3" s="1"/>
  <c r="E32" i="3"/>
  <c r="F32" i="3" s="1"/>
  <c r="K32" i="3" s="1"/>
  <c r="L32" i="3" s="1"/>
  <c r="I31" i="3"/>
  <c r="J31" i="3" s="1"/>
  <c r="F31" i="3"/>
  <c r="E31" i="3"/>
  <c r="J30" i="3"/>
  <c r="I30" i="3"/>
  <c r="E30" i="3"/>
  <c r="F30" i="3" s="1"/>
  <c r="K30" i="3" s="1"/>
  <c r="L30" i="3" s="1"/>
  <c r="L29" i="3"/>
  <c r="K29" i="3"/>
  <c r="J29" i="3"/>
  <c r="F29" i="3"/>
  <c r="E29" i="3"/>
  <c r="J28" i="3"/>
  <c r="F28" i="3"/>
  <c r="K28" i="3" s="1"/>
  <c r="L28" i="3" s="1"/>
  <c r="E28" i="3"/>
  <c r="L27" i="3"/>
  <c r="K27" i="3"/>
  <c r="J27" i="3"/>
  <c r="I27" i="3"/>
  <c r="E27" i="3"/>
  <c r="F27" i="3" s="1"/>
  <c r="I26" i="3"/>
  <c r="J26" i="3" s="1"/>
  <c r="K26" i="3" s="1"/>
  <c r="L26" i="3" s="1"/>
  <c r="F26" i="3"/>
  <c r="E26" i="3"/>
  <c r="J25" i="3"/>
  <c r="E25" i="3"/>
  <c r="F25" i="3" s="1"/>
  <c r="K25" i="3" s="1"/>
  <c r="L25" i="3" s="1"/>
  <c r="L24" i="3"/>
  <c r="J24" i="3"/>
  <c r="E24" i="3"/>
  <c r="F24" i="3" s="1"/>
  <c r="K24" i="3" s="1"/>
  <c r="L23" i="3"/>
  <c r="K23" i="3"/>
  <c r="J23" i="3"/>
  <c r="F23" i="3"/>
  <c r="E23" i="3"/>
  <c r="J22" i="3"/>
  <c r="F22" i="3"/>
  <c r="K22" i="3" s="1"/>
  <c r="L22" i="3" s="1"/>
  <c r="E22" i="3"/>
  <c r="J21" i="3"/>
  <c r="E21" i="3"/>
  <c r="I11" i="3"/>
  <c r="J11" i="3" s="1"/>
  <c r="E11" i="3"/>
  <c r="F11" i="3" s="1"/>
  <c r="J10" i="3"/>
  <c r="I10" i="3"/>
  <c r="E10" i="3"/>
  <c r="F10" i="3" s="1"/>
  <c r="K10" i="3" s="1"/>
  <c r="L10" i="3" s="1"/>
  <c r="K9" i="3"/>
  <c r="L9" i="3" s="1"/>
  <c r="J9" i="3"/>
  <c r="I9" i="3"/>
  <c r="F9" i="3"/>
  <c r="E9" i="3"/>
  <c r="J8" i="3"/>
  <c r="E8" i="3"/>
  <c r="F8" i="3" s="1"/>
  <c r="K8" i="3" s="1"/>
  <c r="L8" i="3" s="1"/>
  <c r="L7" i="3"/>
  <c r="K7" i="3"/>
  <c r="J7" i="3"/>
  <c r="I7" i="3"/>
  <c r="E7" i="3"/>
  <c r="F7" i="3" s="1"/>
  <c r="J6" i="3"/>
  <c r="F6" i="3"/>
  <c r="F13" i="3" s="1"/>
  <c r="E6" i="3"/>
  <c r="J140" i="2"/>
  <c r="E140" i="2"/>
  <c r="J139" i="2"/>
  <c r="K139" i="2" s="1"/>
  <c r="L139" i="2" s="1"/>
  <c r="F139" i="2"/>
  <c r="E139" i="2"/>
  <c r="J138" i="2"/>
  <c r="E138" i="2"/>
  <c r="L137" i="2"/>
  <c r="K137" i="2"/>
  <c r="J137" i="2"/>
  <c r="F137" i="2"/>
  <c r="E137" i="2"/>
  <c r="L129" i="2"/>
  <c r="K129" i="2"/>
  <c r="J129" i="2"/>
  <c r="E129" i="2"/>
  <c r="J128" i="2"/>
  <c r="E128" i="2"/>
  <c r="L127" i="2"/>
  <c r="K127" i="2"/>
  <c r="J127" i="2"/>
  <c r="E127" i="2"/>
  <c r="J126" i="2"/>
  <c r="E126" i="2"/>
  <c r="K126" i="2" s="1"/>
  <c r="L126" i="2" s="1"/>
  <c r="L125" i="2"/>
  <c r="K125" i="2"/>
  <c r="J125" i="2"/>
  <c r="E125" i="2"/>
  <c r="K124" i="2"/>
  <c r="L124" i="2" s="1"/>
  <c r="J124" i="2"/>
  <c r="E124" i="2"/>
  <c r="L123" i="2"/>
  <c r="K123" i="2"/>
  <c r="J123" i="2"/>
  <c r="E123" i="2"/>
  <c r="J122" i="2"/>
  <c r="K122" i="2" s="1"/>
  <c r="L122" i="2" s="1"/>
  <c r="E122" i="2"/>
  <c r="L121" i="2"/>
  <c r="K121" i="2"/>
  <c r="J121" i="2"/>
  <c r="E121" i="2"/>
  <c r="K120" i="2"/>
  <c r="L120" i="2" s="1"/>
  <c r="J120" i="2"/>
  <c r="E120" i="2"/>
  <c r="L119" i="2"/>
  <c r="K119" i="2"/>
  <c r="J119" i="2"/>
  <c r="E119" i="2"/>
  <c r="K118" i="2"/>
  <c r="L118" i="2" s="1"/>
  <c r="J118" i="2"/>
  <c r="E118" i="2"/>
  <c r="L117" i="2"/>
  <c r="K117" i="2"/>
  <c r="J117" i="2"/>
  <c r="E117" i="2"/>
  <c r="J116" i="2"/>
  <c r="K116" i="2" s="1"/>
  <c r="L116" i="2" s="1"/>
  <c r="E116" i="2"/>
  <c r="L115" i="2"/>
  <c r="K115" i="2"/>
  <c r="J115" i="2"/>
  <c r="E115" i="2"/>
  <c r="J114" i="2"/>
  <c r="E114" i="2"/>
  <c r="K114" i="2" s="1"/>
  <c r="L114" i="2" s="1"/>
  <c r="L113" i="2"/>
  <c r="I113" i="2"/>
  <c r="J113" i="2" s="1"/>
  <c r="K113" i="2" s="1"/>
  <c r="E113" i="2"/>
  <c r="J112" i="2"/>
  <c r="E112" i="2"/>
  <c r="K112" i="2" s="1"/>
  <c r="L112" i="2" s="1"/>
  <c r="K103" i="2"/>
  <c r="L103" i="2" s="1"/>
  <c r="J103" i="2"/>
  <c r="F103" i="2"/>
  <c r="E103" i="2"/>
  <c r="J102" i="2"/>
  <c r="E102" i="2"/>
  <c r="F102" i="2" s="1"/>
  <c r="K102" i="2" s="1"/>
  <c r="L102" i="2" s="1"/>
  <c r="K101" i="2"/>
  <c r="L101" i="2" s="1"/>
  <c r="J101" i="2"/>
  <c r="E101" i="2"/>
  <c r="F101" i="2" s="1"/>
  <c r="J100" i="2"/>
  <c r="F100" i="2"/>
  <c r="K100" i="2" s="1"/>
  <c r="L100" i="2" s="1"/>
  <c r="E100" i="2"/>
  <c r="J99" i="2"/>
  <c r="E99" i="2"/>
  <c r="J91" i="2"/>
  <c r="E91" i="2"/>
  <c r="K91" i="2" s="1"/>
  <c r="L91" i="2" s="1"/>
  <c r="K90" i="2"/>
  <c r="L90" i="2" s="1"/>
  <c r="J90" i="2"/>
  <c r="E90" i="2"/>
  <c r="J89" i="2"/>
  <c r="E89" i="2"/>
  <c r="K89" i="2" s="1"/>
  <c r="L89" i="2" s="1"/>
  <c r="K88" i="2"/>
  <c r="L88" i="2" s="1"/>
  <c r="J88" i="2"/>
  <c r="E88" i="2"/>
  <c r="J87" i="2"/>
  <c r="E87" i="2"/>
  <c r="K87" i="2" s="1"/>
  <c r="L87" i="2" s="1"/>
  <c r="J86" i="2"/>
  <c r="E86" i="2"/>
  <c r="K86" i="2" s="1"/>
  <c r="L86" i="2" s="1"/>
  <c r="J85" i="2"/>
  <c r="I85" i="2"/>
  <c r="E85" i="2"/>
  <c r="K84" i="2"/>
  <c r="L84" i="2" s="1"/>
  <c r="J84" i="2"/>
  <c r="E84" i="2"/>
  <c r="J76" i="2"/>
  <c r="K76" i="2" s="1"/>
  <c r="L76" i="2" s="1"/>
  <c r="E76" i="2"/>
  <c r="J75" i="2"/>
  <c r="I75" i="2"/>
  <c r="E75" i="2"/>
  <c r="K75" i="2" s="1"/>
  <c r="L75" i="2" s="1"/>
  <c r="J74" i="2"/>
  <c r="K74" i="2" s="1"/>
  <c r="L74" i="2" s="1"/>
  <c r="E74" i="2"/>
  <c r="J73" i="2"/>
  <c r="E73" i="2"/>
  <c r="K73" i="2" s="1"/>
  <c r="L73" i="2" s="1"/>
  <c r="J72" i="2"/>
  <c r="K72" i="2" s="1"/>
  <c r="E72" i="2"/>
  <c r="J63" i="2"/>
  <c r="K63" i="2" s="1"/>
  <c r="L63" i="2" s="1"/>
  <c r="E63" i="2"/>
  <c r="J62" i="2"/>
  <c r="E62" i="2"/>
  <c r="K62" i="2" s="1"/>
  <c r="L62" i="2" s="1"/>
  <c r="J61" i="2"/>
  <c r="E61" i="2"/>
  <c r="K61" i="2" s="1"/>
  <c r="L61" i="2" s="1"/>
  <c r="J60" i="2"/>
  <c r="I60" i="2"/>
  <c r="E60" i="2"/>
  <c r="J59" i="2"/>
  <c r="K59" i="2" s="1"/>
  <c r="I59" i="2"/>
  <c r="E59" i="2"/>
  <c r="K51" i="2"/>
  <c r="L51" i="2" s="1"/>
  <c r="J51" i="2"/>
  <c r="E51" i="2"/>
  <c r="J50" i="2"/>
  <c r="E50" i="2"/>
  <c r="K50" i="2" s="1"/>
  <c r="L50" i="2" s="1"/>
  <c r="K49" i="2"/>
  <c r="L49" i="2" s="1"/>
  <c r="J49" i="2"/>
  <c r="I49" i="2"/>
  <c r="E49" i="2"/>
  <c r="I48" i="2"/>
  <c r="J48" i="2" s="1"/>
  <c r="E48" i="2"/>
  <c r="K48" i="2" s="1"/>
  <c r="L48" i="2" s="1"/>
  <c r="L47" i="2"/>
  <c r="I47" i="2"/>
  <c r="J47" i="2" s="1"/>
  <c r="K47" i="2" s="1"/>
  <c r="E47" i="2"/>
  <c r="J46" i="2"/>
  <c r="E46" i="2"/>
  <c r="K46" i="2" s="1"/>
  <c r="L46" i="2" s="1"/>
  <c r="J45" i="2"/>
  <c r="E45" i="2"/>
  <c r="K45" i="2" s="1"/>
  <c r="L45" i="2" s="1"/>
  <c r="L44" i="2"/>
  <c r="J44" i="2"/>
  <c r="K44" i="2" s="1"/>
  <c r="E44" i="2"/>
  <c r="J43" i="2"/>
  <c r="E43" i="2"/>
  <c r="K43" i="2" s="1"/>
  <c r="L43" i="2" s="1"/>
  <c r="J42" i="2"/>
  <c r="K42" i="2" s="1"/>
  <c r="L42" i="2" s="1"/>
  <c r="E42" i="2"/>
  <c r="J41" i="2"/>
  <c r="E41" i="2"/>
  <c r="K41" i="2" s="1"/>
  <c r="L41" i="2" s="1"/>
  <c r="J40" i="2"/>
  <c r="E40" i="2"/>
  <c r="E53" i="2" s="1"/>
  <c r="J39" i="2"/>
  <c r="E39" i="2"/>
  <c r="K39" i="2" s="1"/>
  <c r="L31" i="2"/>
  <c r="K31" i="2"/>
  <c r="J31" i="2"/>
  <c r="E31" i="2"/>
  <c r="J30" i="2"/>
  <c r="K30" i="2" s="1"/>
  <c r="L30" i="2" s="1"/>
  <c r="E30" i="2"/>
  <c r="L29" i="2"/>
  <c r="K29" i="2"/>
  <c r="J29" i="2"/>
  <c r="E29" i="2"/>
  <c r="J28" i="2"/>
  <c r="E28" i="2"/>
  <c r="K28" i="2" s="1"/>
  <c r="L28" i="2" s="1"/>
  <c r="I27" i="2"/>
  <c r="J27" i="2" s="1"/>
  <c r="K27" i="2" s="1"/>
  <c r="L27" i="2" s="1"/>
  <c r="E27" i="2"/>
  <c r="J26" i="2"/>
  <c r="K26" i="2" s="1"/>
  <c r="L26" i="2" s="1"/>
  <c r="E26" i="2"/>
  <c r="J25" i="2"/>
  <c r="E25" i="2"/>
  <c r="K25" i="2" s="1"/>
  <c r="L25" i="2" s="1"/>
  <c r="J24" i="2"/>
  <c r="K24" i="2" s="1"/>
  <c r="L24" i="2" s="1"/>
  <c r="E24" i="2"/>
  <c r="J23" i="2"/>
  <c r="E23" i="2"/>
  <c r="K23" i="2" s="1"/>
  <c r="L23" i="2" s="1"/>
  <c r="J22" i="2"/>
  <c r="E22" i="2"/>
  <c r="K22" i="2" s="1"/>
  <c r="L22" i="2" s="1"/>
  <c r="J21" i="2"/>
  <c r="E21" i="2"/>
  <c r="K21" i="2" s="1"/>
  <c r="L21" i="2" s="1"/>
  <c r="L20" i="2"/>
  <c r="J20" i="2"/>
  <c r="K20" i="2" s="1"/>
  <c r="E20" i="2"/>
  <c r="J19" i="2"/>
  <c r="I19" i="2"/>
  <c r="E19" i="2"/>
  <c r="J10" i="2"/>
  <c r="E10" i="2"/>
  <c r="K10" i="2" s="1"/>
  <c r="L10" i="2" s="1"/>
  <c r="J9" i="2"/>
  <c r="E9" i="2"/>
  <c r="K9" i="2" s="1"/>
  <c r="L9" i="2" s="1"/>
  <c r="J8" i="2"/>
  <c r="I8" i="2"/>
  <c r="E8" i="2"/>
  <c r="K8" i="2" s="1"/>
  <c r="L8" i="2" s="1"/>
  <c r="J7" i="2"/>
  <c r="K7" i="2" s="1"/>
  <c r="L7" i="2" s="1"/>
  <c r="E7" i="2"/>
  <c r="J6" i="2"/>
  <c r="E6" i="2"/>
  <c r="J338" i="1"/>
  <c r="E338" i="1"/>
  <c r="K338" i="1" s="1"/>
  <c r="L338" i="1" s="1"/>
  <c r="L337" i="1"/>
  <c r="K337" i="1"/>
  <c r="J337" i="1"/>
  <c r="E337" i="1"/>
  <c r="J336" i="1"/>
  <c r="E336" i="1"/>
  <c r="K336" i="1" s="1"/>
  <c r="L336" i="1" s="1"/>
  <c r="L335" i="1"/>
  <c r="K335" i="1"/>
  <c r="J335" i="1"/>
  <c r="E335" i="1"/>
  <c r="K334" i="1"/>
  <c r="L334" i="1" s="1"/>
  <c r="J334" i="1"/>
  <c r="E334" i="1"/>
  <c r="L333" i="1"/>
  <c r="K333" i="1"/>
  <c r="J333" i="1"/>
  <c r="E333" i="1"/>
  <c r="J332" i="1"/>
  <c r="K332" i="1" s="1"/>
  <c r="L332" i="1" s="1"/>
  <c r="E332" i="1"/>
  <c r="L331" i="1"/>
  <c r="K331" i="1"/>
  <c r="J331" i="1"/>
  <c r="E331" i="1"/>
  <c r="K330" i="1"/>
  <c r="L330" i="1" s="1"/>
  <c r="J330" i="1"/>
  <c r="E330" i="1"/>
  <c r="L329" i="1"/>
  <c r="K329" i="1"/>
  <c r="J329" i="1"/>
  <c r="E329" i="1"/>
  <c r="E320" i="1"/>
  <c r="C38" i="7" s="1"/>
  <c r="F38" i="7" s="1"/>
  <c r="K318" i="1"/>
  <c r="L318" i="1" s="1"/>
  <c r="J318" i="1"/>
  <c r="E318" i="1"/>
  <c r="J317" i="1"/>
  <c r="E317" i="1"/>
  <c r="K316" i="1"/>
  <c r="J316" i="1"/>
  <c r="E316" i="1"/>
  <c r="K306" i="1"/>
  <c r="L306" i="1" s="1"/>
  <c r="J306" i="1"/>
  <c r="E306" i="1"/>
  <c r="I305" i="1"/>
  <c r="J305" i="1" s="1"/>
  <c r="E305" i="1"/>
  <c r="J304" i="1"/>
  <c r="K304" i="1" s="1"/>
  <c r="L304" i="1" s="1"/>
  <c r="I304" i="1"/>
  <c r="E304" i="1"/>
  <c r="J303" i="1"/>
  <c r="K303" i="1" s="1"/>
  <c r="L303" i="1" s="1"/>
  <c r="E303" i="1"/>
  <c r="I302" i="1"/>
  <c r="J302" i="1" s="1"/>
  <c r="K302" i="1" s="1"/>
  <c r="L302" i="1" s="1"/>
  <c r="E302" i="1"/>
  <c r="L301" i="1"/>
  <c r="K301" i="1"/>
  <c r="J301" i="1"/>
  <c r="E301" i="1"/>
  <c r="L300" i="1"/>
  <c r="J300" i="1"/>
  <c r="E300" i="1"/>
  <c r="K300" i="1" s="1"/>
  <c r="K299" i="1"/>
  <c r="L299" i="1" s="1"/>
  <c r="J299" i="1"/>
  <c r="E299" i="1"/>
  <c r="L298" i="1"/>
  <c r="J298" i="1"/>
  <c r="E298" i="1"/>
  <c r="K298" i="1" s="1"/>
  <c r="L290" i="1"/>
  <c r="K290" i="1"/>
  <c r="I290" i="1"/>
  <c r="J290" i="1" s="1"/>
  <c r="E290" i="1"/>
  <c r="J289" i="1"/>
  <c r="E289" i="1"/>
  <c r="K289" i="1" s="1"/>
  <c r="L289" i="1" s="1"/>
  <c r="L288" i="1"/>
  <c r="J288" i="1"/>
  <c r="E288" i="1"/>
  <c r="K288" i="1" s="1"/>
  <c r="L287" i="1"/>
  <c r="J287" i="1"/>
  <c r="E287" i="1"/>
  <c r="K287" i="1" s="1"/>
  <c r="J286" i="1"/>
  <c r="E286" i="1"/>
  <c r="K286" i="1" s="1"/>
  <c r="L286" i="1" s="1"/>
  <c r="I285" i="1"/>
  <c r="J285" i="1" s="1"/>
  <c r="K285" i="1" s="1"/>
  <c r="L285" i="1" s="1"/>
  <c r="E285" i="1"/>
  <c r="J284" i="1"/>
  <c r="E284" i="1"/>
  <c r="K284" i="1" s="1"/>
  <c r="L284" i="1" s="1"/>
  <c r="J283" i="1"/>
  <c r="K283" i="1" s="1"/>
  <c r="L283" i="1" s="1"/>
  <c r="E283" i="1"/>
  <c r="J282" i="1"/>
  <c r="E282" i="1"/>
  <c r="K282" i="1" s="1"/>
  <c r="L282" i="1" s="1"/>
  <c r="J281" i="1"/>
  <c r="K281" i="1" s="1"/>
  <c r="L281" i="1" s="1"/>
  <c r="E281" i="1"/>
  <c r="I280" i="1"/>
  <c r="J280" i="1" s="1"/>
  <c r="E280" i="1"/>
  <c r="J279" i="1"/>
  <c r="K279" i="1" s="1"/>
  <c r="L279" i="1" s="1"/>
  <c r="E279" i="1"/>
  <c r="J278" i="1"/>
  <c r="E278" i="1"/>
  <c r="J277" i="1"/>
  <c r="K277" i="1" s="1"/>
  <c r="L277" i="1" s="1"/>
  <c r="I277" i="1"/>
  <c r="E277" i="1"/>
  <c r="K276" i="1"/>
  <c r="L276" i="1" s="1"/>
  <c r="J276" i="1"/>
  <c r="E276" i="1"/>
  <c r="L275" i="1"/>
  <c r="I275" i="1"/>
  <c r="J275" i="1" s="1"/>
  <c r="K275" i="1" s="1"/>
  <c r="E275" i="1"/>
  <c r="J274" i="1"/>
  <c r="K274" i="1" s="1"/>
  <c r="L274" i="1" s="1"/>
  <c r="I274" i="1"/>
  <c r="E274" i="1"/>
  <c r="J273" i="1"/>
  <c r="E273" i="1"/>
  <c r="K273" i="1" s="1"/>
  <c r="L273" i="1" s="1"/>
  <c r="I272" i="1"/>
  <c r="J272" i="1" s="1"/>
  <c r="K272" i="1" s="1"/>
  <c r="L272" i="1" s="1"/>
  <c r="E272" i="1"/>
  <c r="J271" i="1"/>
  <c r="E271" i="1"/>
  <c r="J270" i="1"/>
  <c r="K270" i="1" s="1"/>
  <c r="L270" i="1" s="1"/>
  <c r="E270" i="1"/>
  <c r="J269" i="1"/>
  <c r="I269" i="1"/>
  <c r="E269" i="1"/>
  <c r="I268" i="1"/>
  <c r="J268" i="1" s="1"/>
  <c r="K268" i="1" s="1"/>
  <c r="L268" i="1" s="1"/>
  <c r="E268" i="1"/>
  <c r="J267" i="1"/>
  <c r="E267" i="1"/>
  <c r="K267" i="1" s="1"/>
  <c r="J266" i="1"/>
  <c r="I266" i="1"/>
  <c r="E266" i="1"/>
  <c r="K266" i="1" s="1"/>
  <c r="L266" i="1" s="1"/>
  <c r="I254" i="1"/>
  <c r="J254" i="1" s="1"/>
  <c r="E254" i="1"/>
  <c r="F254" i="1" s="1"/>
  <c r="K254" i="1" s="1"/>
  <c r="L254" i="1" s="1"/>
  <c r="L253" i="1"/>
  <c r="K253" i="1"/>
  <c r="J253" i="1"/>
  <c r="E253" i="1"/>
  <c r="F253" i="1" s="1"/>
  <c r="I252" i="1"/>
  <c r="J252" i="1" s="1"/>
  <c r="F252" i="1"/>
  <c r="K252" i="1" s="1"/>
  <c r="L252" i="1" s="1"/>
  <c r="E252" i="1"/>
  <c r="J251" i="1"/>
  <c r="E251" i="1"/>
  <c r="F251" i="1" s="1"/>
  <c r="J250" i="1"/>
  <c r="F250" i="1"/>
  <c r="K250" i="1" s="1"/>
  <c r="L250" i="1" s="1"/>
  <c r="E250" i="1"/>
  <c r="J249" i="1"/>
  <c r="E249" i="1"/>
  <c r="F249" i="1" s="1"/>
  <c r="K249" i="1" s="1"/>
  <c r="L249" i="1" s="1"/>
  <c r="J248" i="1"/>
  <c r="E248" i="1"/>
  <c r="F248" i="1" s="1"/>
  <c r="K248" i="1" s="1"/>
  <c r="L248" i="1" s="1"/>
  <c r="J247" i="1"/>
  <c r="I247" i="1"/>
  <c r="F247" i="1"/>
  <c r="E247" i="1"/>
  <c r="J246" i="1"/>
  <c r="E246" i="1"/>
  <c r="F246" i="1" s="1"/>
  <c r="K246" i="1" s="1"/>
  <c r="L246" i="1" s="1"/>
  <c r="J245" i="1"/>
  <c r="F245" i="1"/>
  <c r="E245" i="1"/>
  <c r="I236" i="1"/>
  <c r="J236" i="1" s="1"/>
  <c r="E236" i="1"/>
  <c r="F236" i="1" s="1"/>
  <c r="K236" i="1" s="1"/>
  <c r="L236" i="1" s="1"/>
  <c r="J235" i="1"/>
  <c r="F235" i="1"/>
  <c r="E235" i="1"/>
  <c r="J234" i="1"/>
  <c r="E234" i="1"/>
  <c r="F234" i="1" s="1"/>
  <c r="K234" i="1" s="1"/>
  <c r="L234" i="1" s="1"/>
  <c r="J233" i="1"/>
  <c r="K233" i="1" s="1"/>
  <c r="L233" i="1" s="1"/>
  <c r="I233" i="1"/>
  <c r="E233" i="1"/>
  <c r="F233" i="1" s="1"/>
  <c r="J232" i="1"/>
  <c r="E232" i="1"/>
  <c r="F232" i="1" s="1"/>
  <c r="K232" i="1" s="1"/>
  <c r="L232" i="1" s="1"/>
  <c r="J231" i="1"/>
  <c r="E231" i="1"/>
  <c r="F231" i="1" s="1"/>
  <c r="K231" i="1" s="1"/>
  <c r="L231" i="1" s="1"/>
  <c r="L230" i="1"/>
  <c r="K230" i="1"/>
  <c r="J230" i="1"/>
  <c r="F230" i="1"/>
  <c r="E230" i="1"/>
  <c r="I229" i="1"/>
  <c r="J229" i="1" s="1"/>
  <c r="F229" i="1"/>
  <c r="K229" i="1" s="1"/>
  <c r="L229" i="1" s="1"/>
  <c r="E229" i="1"/>
  <c r="J228" i="1"/>
  <c r="E228" i="1"/>
  <c r="F228" i="1" s="1"/>
  <c r="I227" i="1"/>
  <c r="J227" i="1" s="1"/>
  <c r="E227" i="1"/>
  <c r="J218" i="1"/>
  <c r="F218" i="1"/>
  <c r="K218" i="1" s="1"/>
  <c r="L218" i="1" s="1"/>
  <c r="E218" i="1"/>
  <c r="K217" i="1"/>
  <c r="L217" i="1" s="1"/>
  <c r="J217" i="1"/>
  <c r="F217" i="1"/>
  <c r="E217" i="1"/>
  <c r="I216" i="1"/>
  <c r="J216" i="1" s="1"/>
  <c r="E216" i="1"/>
  <c r="F216" i="1" s="1"/>
  <c r="K216" i="1" s="1"/>
  <c r="L216" i="1" s="1"/>
  <c r="L215" i="1"/>
  <c r="K215" i="1"/>
  <c r="J215" i="1"/>
  <c r="F215" i="1"/>
  <c r="E215" i="1"/>
  <c r="J214" i="1"/>
  <c r="F214" i="1"/>
  <c r="K214" i="1" s="1"/>
  <c r="L214" i="1" s="1"/>
  <c r="E214" i="1"/>
  <c r="K213" i="1"/>
  <c r="L213" i="1" s="1"/>
  <c r="J213" i="1"/>
  <c r="E213" i="1"/>
  <c r="F213" i="1" s="1"/>
  <c r="J212" i="1"/>
  <c r="K212" i="1" s="1"/>
  <c r="L212" i="1" s="1"/>
  <c r="I212" i="1"/>
  <c r="F212" i="1"/>
  <c r="E212" i="1"/>
  <c r="J211" i="1"/>
  <c r="E211" i="1"/>
  <c r="F211" i="1" s="1"/>
  <c r="K211" i="1" s="1"/>
  <c r="L211" i="1" s="1"/>
  <c r="I210" i="1"/>
  <c r="J210" i="1" s="1"/>
  <c r="K210" i="1" s="1"/>
  <c r="L210" i="1" s="1"/>
  <c r="F210" i="1"/>
  <c r="E210" i="1"/>
  <c r="I209" i="1"/>
  <c r="J209" i="1" s="1"/>
  <c r="E209" i="1"/>
  <c r="F209" i="1" s="1"/>
  <c r="K209" i="1" s="1"/>
  <c r="L209" i="1" s="1"/>
  <c r="K208" i="1"/>
  <c r="L208" i="1" s="1"/>
  <c r="J208" i="1"/>
  <c r="F208" i="1"/>
  <c r="E208" i="1"/>
  <c r="J207" i="1"/>
  <c r="E207" i="1"/>
  <c r="F207" i="1" s="1"/>
  <c r="K207" i="1" s="1"/>
  <c r="L207" i="1" s="1"/>
  <c r="L206" i="1"/>
  <c r="K206" i="1"/>
  <c r="J206" i="1"/>
  <c r="F206" i="1"/>
  <c r="E206" i="1"/>
  <c r="J205" i="1"/>
  <c r="E205" i="1"/>
  <c r="F205" i="1" s="1"/>
  <c r="K205" i="1" s="1"/>
  <c r="L205" i="1" s="1"/>
  <c r="K204" i="1"/>
  <c r="L204" i="1" s="1"/>
  <c r="J204" i="1"/>
  <c r="E204" i="1"/>
  <c r="F204" i="1" s="1"/>
  <c r="J203" i="1"/>
  <c r="I203" i="1"/>
  <c r="F203" i="1"/>
  <c r="F220" i="1" s="1"/>
  <c r="E203" i="1"/>
  <c r="J195" i="1"/>
  <c r="I195" i="1"/>
  <c r="E195" i="1"/>
  <c r="F195" i="1" s="1"/>
  <c r="K195" i="1" s="1"/>
  <c r="L195" i="1" s="1"/>
  <c r="J194" i="1"/>
  <c r="K194" i="1" s="1"/>
  <c r="L194" i="1" s="1"/>
  <c r="E194" i="1"/>
  <c r="F194" i="1" s="1"/>
  <c r="I193" i="1"/>
  <c r="J193" i="1" s="1"/>
  <c r="E193" i="1"/>
  <c r="F193" i="1" s="1"/>
  <c r="K193" i="1" s="1"/>
  <c r="L193" i="1" s="1"/>
  <c r="K192" i="1"/>
  <c r="L192" i="1" s="1"/>
  <c r="I192" i="1"/>
  <c r="J192" i="1" s="1"/>
  <c r="F192" i="1"/>
  <c r="E192" i="1"/>
  <c r="I191" i="1"/>
  <c r="J191" i="1" s="1"/>
  <c r="E191" i="1"/>
  <c r="F191" i="1" s="1"/>
  <c r="K191" i="1" s="1"/>
  <c r="L191" i="1" s="1"/>
  <c r="J190" i="1"/>
  <c r="K190" i="1" s="1"/>
  <c r="L190" i="1" s="1"/>
  <c r="F190" i="1"/>
  <c r="E190" i="1"/>
  <c r="J189" i="1"/>
  <c r="F189" i="1"/>
  <c r="K189" i="1" s="1"/>
  <c r="L189" i="1" s="1"/>
  <c r="E189" i="1"/>
  <c r="J188" i="1"/>
  <c r="F188" i="1"/>
  <c r="K188" i="1" s="1"/>
  <c r="L188" i="1" s="1"/>
  <c r="E188" i="1"/>
  <c r="J187" i="1"/>
  <c r="K187" i="1" s="1"/>
  <c r="L187" i="1" s="1"/>
  <c r="F187" i="1"/>
  <c r="E187" i="1"/>
  <c r="J186" i="1"/>
  <c r="E186" i="1"/>
  <c r="F186" i="1" s="1"/>
  <c r="K186" i="1" s="1"/>
  <c r="L186" i="1" s="1"/>
  <c r="J185" i="1"/>
  <c r="K185" i="1" s="1"/>
  <c r="L185" i="1" s="1"/>
  <c r="I185" i="1"/>
  <c r="F185" i="1"/>
  <c r="E185" i="1"/>
  <c r="J184" i="1"/>
  <c r="E184" i="1"/>
  <c r="F184" i="1" s="1"/>
  <c r="K184" i="1" s="1"/>
  <c r="L184" i="1" s="1"/>
  <c r="K183" i="1"/>
  <c r="L183" i="1" s="1"/>
  <c r="J183" i="1"/>
  <c r="E183" i="1"/>
  <c r="F183" i="1" s="1"/>
  <c r="J182" i="1"/>
  <c r="E182" i="1"/>
  <c r="F182" i="1" s="1"/>
  <c r="K182" i="1" s="1"/>
  <c r="L182" i="1" s="1"/>
  <c r="I181" i="1"/>
  <c r="J181" i="1" s="1"/>
  <c r="F181" i="1"/>
  <c r="E181" i="1"/>
  <c r="I180" i="1"/>
  <c r="J180" i="1" s="1"/>
  <c r="E180" i="1"/>
  <c r="E197" i="1" s="1"/>
  <c r="K179" i="1"/>
  <c r="J179" i="1"/>
  <c r="F179" i="1"/>
  <c r="E179" i="1"/>
  <c r="J171" i="1"/>
  <c r="I171" i="1"/>
  <c r="E171" i="1"/>
  <c r="F171" i="1" s="1"/>
  <c r="J170" i="1"/>
  <c r="I170" i="1"/>
  <c r="F170" i="1"/>
  <c r="K170" i="1" s="1"/>
  <c r="L170" i="1" s="1"/>
  <c r="E170" i="1"/>
  <c r="K169" i="1"/>
  <c r="L169" i="1" s="1"/>
  <c r="J169" i="1"/>
  <c r="I169" i="1"/>
  <c r="F169" i="1"/>
  <c r="E169" i="1"/>
  <c r="I168" i="1"/>
  <c r="J168" i="1" s="1"/>
  <c r="F168" i="1"/>
  <c r="K168" i="1" s="1"/>
  <c r="L168" i="1" s="1"/>
  <c r="E168" i="1"/>
  <c r="J167" i="1"/>
  <c r="I167" i="1"/>
  <c r="E167" i="1"/>
  <c r="F167" i="1" s="1"/>
  <c r="K167" i="1" s="1"/>
  <c r="L167" i="1" s="1"/>
  <c r="J166" i="1"/>
  <c r="K166" i="1" s="1"/>
  <c r="L166" i="1" s="1"/>
  <c r="E166" i="1"/>
  <c r="F166" i="1" s="1"/>
  <c r="J165" i="1"/>
  <c r="I165" i="1"/>
  <c r="E165" i="1"/>
  <c r="F165" i="1" s="1"/>
  <c r="K165" i="1" s="1"/>
  <c r="L165" i="1" s="1"/>
  <c r="I164" i="1"/>
  <c r="J164" i="1" s="1"/>
  <c r="F164" i="1"/>
  <c r="K164" i="1" s="1"/>
  <c r="L164" i="1" s="1"/>
  <c r="E164" i="1"/>
  <c r="J163" i="1"/>
  <c r="F163" i="1"/>
  <c r="K163" i="1" s="1"/>
  <c r="L163" i="1" s="1"/>
  <c r="E163" i="1"/>
  <c r="J162" i="1"/>
  <c r="K162" i="1" s="1"/>
  <c r="L162" i="1" s="1"/>
  <c r="I162" i="1"/>
  <c r="F162" i="1"/>
  <c r="E162" i="1"/>
  <c r="I161" i="1"/>
  <c r="J161" i="1" s="1"/>
  <c r="E161" i="1"/>
  <c r="E173" i="1" s="1"/>
  <c r="J153" i="1"/>
  <c r="I153" i="1"/>
  <c r="F153" i="1"/>
  <c r="K153" i="1" s="1"/>
  <c r="L153" i="1" s="1"/>
  <c r="E153" i="1"/>
  <c r="L152" i="1"/>
  <c r="J152" i="1"/>
  <c r="F152" i="1"/>
  <c r="K152" i="1" s="1"/>
  <c r="E152" i="1"/>
  <c r="J151" i="1"/>
  <c r="F151" i="1"/>
  <c r="K151" i="1" s="1"/>
  <c r="L151" i="1" s="1"/>
  <c r="E151" i="1"/>
  <c r="K150" i="1"/>
  <c r="L150" i="1" s="1"/>
  <c r="J150" i="1"/>
  <c r="F150" i="1"/>
  <c r="E150" i="1"/>
  <c r="J149" i="1"/>
  <c r="E149" i="1"/>
  <c r="F149" i="1" s="1"/>
  <c r="K149" i="1" s="1"/>
  <c r="L149" i="1" s="1"/>
  <c r="K148" i="1"/>
  <c r="L148" i="1" s="1"/>
  <c r="J148" i="1"/>
  <c r="E148" i="1"/>
  <c r="F148" i="1" s="1"/>
  <c r="J147" i="1"/>
  <c r="E147" i="1"/>
  <c r="F147" i="1" s="1"/>
  <c r="K147" i="1" s="1"/>
  <c r="L147" i="1" s="1"/>
  <c r="J146" i="1"/>
  <c r="E146" i="1"/>
  <c r="F146" i="1" s="1"/>
  <c r="K146" i="1" s="1"/>
  <c r="L146" i="1" s="1"/>
  <c r="L145" i="1"/>
  <c r="K145" i="1"/>
  <c r="J145" i="1"/>
  <c r="F145" i="1"/>
  <c r="E145" i="1"/>
  <c r="J144" i="1"/>
  <c r="F144" i="1"/>
  <c r="K144" i="1" s="1"/>
  <c r="L144" i="1" s="1"/>
  <c r="E144" i="1"/>
  <c r="J143" i="1"/>
  <c r="F143" i="1"/>
  <c r="K143" i="1" s="1"/>
  <c r="L143" i="1" s="1"/>
  <c r="E143" i="1"/>
  <c r="J142" i="1"/>
  <c r="K142" i="1" s="1"/>
  <c r="L142" i="1" s="1"/>
  <c r="F142" i="1"/>
  <c r="E142" i="1"/>
  <c r="I141" i="1"/>
  <c r="J141" i="1" s="1"/>
  <c r="E141" i="1"/>
  <c r="F141" i="1" s="1"/>
  <c r="K141" i="1" s="1"/>
  <c r="L141" i="1" s="1"/>
  <c r="K140" i="1"/>
  <c r="L140" i="1" s="1"/>
  <c r="J140" i="1"/>
  <c r="F140" i="1"/>
  <c r="E140" i="1"/>
  <c r="I139" i="1"/>
  <c r="J139" i="1" s="1"/>
  <c r="F139" i="1"/>
  <c r="K139" i="1" s="1"/>
  <c r="L139" i="1" s="1"/>
  <c r="E139" i="1"/>
  <c r="I138" i="1"/>
  <c r="J138" i="1" s="1"/>
  <c r="F138" i="1"/>
  <c r="E138" i="1"/>
  <c r="J137" i="1"/>
  <c r="I137" i="1"/>
  <c r="E137" i="1"/>
  <c r="F137" i="1" s="1"/>
  <c r="K137" i="1" s="1"/>
  <c r="L137" i="1" s="1"/>
  <c r="L136" i="1"/>
  <c r="K136" i="1"/>
  <c r="J136" i="1"/>
  <c r="E136" i="1"/>
  <c r="F136" i="1" s="1"/>
  <c r="I135" i="1"/>
  <c r="J135" i="1" s="1"/>
  <c r="E135" i="1"/>
  <c r="F135" i="1" s="1"/>
  <c r="K135" i="1" s="1"/>
  <c r="L135" i="1" s="1"/>
  <c r="K134" i="1"/>
  <c r="L134" i="1" s="1"/>
  <c r="J134" i="1"/>
  <c r="E134" i="1"/>
  <c r="F134" i="1" s="1"/>
  <c r="J133" i="1"/>
  <c r="I133" i="1"/>
  <c r="F133" i="1"/>
  <c r="K133" i="1" s="1"/>
  <c r="L133" i="1" s="1"/>
  <c r="E133" i="1"/>
  <c r="J132" i="1"/>
  <c r="E132" i="1"/>
  <c r="F132" i="1" s="1"/>
  <c r="K132" i="1" s="1"/>
  <c r="L132" i="1" s="1"/>
  <c r="J131" i="1"/>
  <c r="E131" i="1"/>
  <c r="I121" i="1"/>
  <c r="J121" i="1" s="1"/>
  <c r="E121" i="1"/>
  <c r="F121" i="1" s="1"/>
  <c r="K121" i="1" s="1"/>
  <c r="L121" i="1" s="1"/>
  <c r="J120" i="1"/>
  <c r="I120" i="1"/>
  <c r="E120" i="1"/>
  <c r="F120" i="1" s="1"/>
  <c r="J119" i="1"/>
  <c r="I119" i="1"/>
  <c r="F119" i="1"/>
  <c r="K119" i="1" s="1"/>
  <c r="L119" i="1" s="1"/>
  <c r="E119" i="1"/>
  <c r="J118" i="1"/>
  <c r="E118" i="1"/>
  <c r="F118" i="1" s="1"/>
  <c r="K118" i="1" s="1"/>
  <c r="L118" i="1" s="1"/>
  <c r="J117" i="1"/>
  <c r="E117" i="1"/>
  <c r="F117" i="1" s="1"/>
  <c r="K117" i="1" s="1"/>
  <c r="L117" i="1" s="1"/>
  <c r="L116" i="1"/>
  <c r="K116" i="1"/>
  <c r="J116" i="1"/>
  <c r="E116" i="1"/>
  <c r="F116" i="1" s="1"/>
  <c r="J115" i="1"/>
  <c r="E115" i="1"/>
  <c r="F115" i="1" s="1"/>
  <c r="K115" i="1" s="1"/>
  <c r="L115" i="1" s="1"/>
  <c r="J114" i="1"/>
  <c r="E114" i="1"/>
  <c r="F114" i="1" s="1"/>
  <c r="J113" i="1"/>
  <c r="F113" i="1"/>
  <c r="K113" i="1" s="1"/>
  <c r="L113" i="1" s="1"/>
  <c r="E113" i="1"/>
  <c r="L112" i="1"/>
  <c r="J112" i="1"/>
  <c r="F112" i="1"/>
  <c r="K112" i="1" s="1"/>
  <c r="E112" i="1"/>
  <c r="J111" i="1"/>
  <c r="F111" i="1"/>
  <c r="K111" i="1" s="1"/>
  <c r="L111" i="1" s="1"/>
  <c r="E111" i="1"/>
  <c r="K110" i="1"/>
  <c r="L110" i="1" s="1"/>
  <c r="J110" i="1"/>
  <c r="F110" i="1"/>
  <c r="E110" i="1"/>
  <c r="I109" i="1"/>
  <c r="J109" i="1" s="1"/>
  <c r="E109" i="1"/>
  <c r="E123" i="1" s="1"/>
  <c r="L108" i="1"/>
  <c r="K108" i="1"/>
  <c r="J108" i="1"/>
  <c r="F108" i="1"/>
  <c r="E108" i="1"/>
  <c r="J100" i="1"/>
  <c r="E100" i="1"/>
  <c r="F100" i="1" s="1"/>
  <c r="I99" i="1"/>
  <c r="J99" i="1" s="1"/>
  <c r="E99" i="1"/>
  <c r="F99" i="1" s="1"/>
  <c r="K99" i="1" s="1"/>
  <c r="L99" i="1" s="1"/>
  <c r="J98" i="1"/>
  <c r="I98" i="1"/>
  <c r="F98" i="1"/>
  <c r="E98" i="1"/>
  <c r="I97" i="1"/>
  <c r="J97" i="1" s="1"/>
  <c r="E97" i="1"/>
  <c r="F97" i="1" s="1"/>
  <c r="K97" i="1" s="1"/>
  <c r="L97" i="1" s="1"/>
  <c r="L96" i="1"/>
  <c r="K96" i="1"/>
  <c r="I96" i="1"/>
  <c r="J96" i="1" s="1"/>
  <c r="E96" i="1"/>
  <c r="F96" i="1" s="1"/>
  <c r="J95" i="1"/>
  <c r="F95" i="1"/>
  <c r="K95" i="1" s="1"/>
  <c r="L95" i="1" s="1"/>
  <c r="E95" i="1"/>
  <c r="J94" i="1"/>
  <c r="E94" i="1"/>
  <c r="F94" i="1" s="1"/>
  <c r="K94" i="1" s="1"/>
  <c r="L94" i="1" s="1"/>
  <c r="K93" i="1"/>
  <c r="L93" i="1" s="1"/>
  <c r="J93" i="1"/>
  <c r="F93" i="1"/>
  <c r="E93" i="1"/>
  <c r="I92" i="1"/>
  <c r="J92" i="1" s="1"/>
  <c r="F92" i="1"/>
  <c r="E92" i="1"/>
  <c r="I91" i="1"/>
  <c r="J91" i="1" s="1"/>
  <c r="F91" i="1"/>
  <c r="E91" i="1"/>
  <c r="J90" i="1"/>
  <c r="I90" i="1"/>
  <c r="E90" i="1"/>
  <c r="F90" i="1" s="1"/>
  <c r="K90" i="1" s="1"/>
  <c r="L90" i="1" s="1"/>
  <c r="L89" i="1"/>
  <c r="K89" i="1"/>
  <c r="J89" i="1"/>
  <c r="E89" i="1"/>
  <c r="F89" i="1" s="1"/>
  <c r="J88" i="1"/>
  <c r="E88" i="1"/>
  <c r="F88" i="1" s="1"/>
  <c r="J87" i="1"/>
  <c r="E87" i="1"/>
  <c r="F87" i="1" s="1"/>
  <c r="I79" i="1"/>
  <c r="J79" i="1" s="1"/>
  <c r="K79" i="1" s="1"/>
  <c r="L79" i="1" s="1"/>
  <c r="F79" i="1"/>
  <c r="E79" i="1"/>
  <c r="I78" i="1"/>
  <c r="J78" i="1" s="1"/>
  <c r="E78" i="1"/>
  <c r="F78" i="1" s="1"/>
  <c r="K78" i="1" s="1"/>
  <c r="L78" i="1" s="1"/>
  <c r="K77" i="1"/>
  <c r="L77" i="1" s="1"/>
  <c r="J77" i="1"/>
  <c r="I77" i="1"/>
  <c r="E77" i="1"/>
  <c r="F77" i="1" s="1"/>
  <c r="I76" i="1"/>
  <c r="J76" i="1" s="1"/>
  <c r="E76" i="1"/>
  <c r="F76" i="1" s="1"/>
  <c r="K76" i="1" s="1"/>
  <c r="L76" i="1" s="1"/>
  <c r="K75" i="1"/>
  <c r="L75" i="1" s="1"/>
  <c r="J75" i="1"/>
  <c r="F75" i="1"/>
  <c r="E75" i="1"/>
  <c r="J74" i="1"/>
  <c r="K74" i="1" s="1"/>
  <c r="L74" i="1" s="1"/>
  <c r="I74" i="1"/>
  <c r="F74" i="1"/>
  <c r="E74" i="1"/>
  <c r="J73" i="1"/>
  <c r="E73" i="1"/>
  <c r="F73" i="1" s="1"/>
  <c r="K73" i="1" s="1"/>
  <c r="L73" i="1" s="1"/>
  <c r="K72" i="1"/>
  <c r="L72" i="1" s="1"/>
  <c r="I72" i="1"/>
  <c r="J72" i="1" s="1"/>
  <c r="F72" i="1"/>
  <c r="E72" i="1"/>
  <c r="I71" i="1"/>
  <c r="J71" i="1" s="1"/>
  <c r="E71" i="1"/>
  <c r="F71" i="1" s="1"/>
  <c r="K71" i="1" s="1"/>
  <c r="L71" i="1" s="1"/>
  <c r="L70" i="1"/>
  <c r="K70" i="1"/>
  <c r="J70" i="1"/>
  <c r="F70" i="1"/>
  <c r="E70" i="1"/>
  <c r="I69" i="1"/>
  <c r="J69" i="1" s="1"/>
  <c r="F69" i="1"/>
  <c r="E69" i="1"/>
  <c r="J68" i="1"/>
  <c r="E68" i="1"/>
  <c r="F68" i="1" s="1"/>
  <c r="J67" i="1"/>
  <c r="F67" i="1"/>
  <c r="E67" i="1"/>
  <c r="J58" i="1"/>
  <c r="K58" i="1" s="1"/>
  <c r="L58" i="1" s="1"/>
  <c r="I58" i="1"/>
  <c r="F58" i="1"/>
  <c r="E58" i="1"/>
  <c r="I57" i="1"/>
  <c r="J57" i="1" s="1"/>
  <c r="F57" i="1"/>
  <c r="K57" i="1" s="1"/>
  <c r="L57" i="1" s="1"/>
  <c r="E57" i="1"/>
  <c r="J56" i="1"/>
  <c r="F56" i="1"/>
  <c r="E56" i="1"/>
  <c r="I55" i="1"/>
  <c r="J55" i="1" s="1"/>
  <c r="E55" i="1"/>
  <c r="F55" i="1" s="1"/>
  <c r="K55" i="1" s="1"/>
  <c r="L55" i="1" s="1"/>
  <c r="J54" i="1"/>
  <c r="I54" i="1"/>
  <c r="E54" i="1"/>
  <c r="F54" i="1" s="1"/>
  <c r="K54" i="1" s="1"/>
  <c r="L54" i="1" s="1"/>
  <c r="I53" i="1"/>
  <c r="J53" i="1" s="1"/>
  <c r="K53" i="1" s="1"/>
  <c r="L53" i="1" s="1"/>
  <c r="F53" i="1"/>
  <c r="E53" i="1"/>
  <c r="J52" i="1"/>
  <c r="E52" i="1"/>
  <c r="F52" i="1" s="1"/>
  <c r="K52" i="1" s="1"/>
  <c r="L52" i="1" s="1"/>
  <c r="K51" i="1"/>
  <c r="L51" i="1" s="1"/>
  <c r="J51" i="1"/>
  <c r="E51" i="1"/>
  <c r="F51" i="1" s="1"/>
  <c r="J50" i="1"/>
  <c r="E50" i="1"/>
  <c r="F50" i="1" s="1"/>
  <c r="K50" i="1" s="1"/>
  <c r="L50" i="1" s="1"/>
  <c r="J49" i="1"/>
  <c r="E49" i="1"/>
  <c r="F49" i="1" s="1"/>
  <c r="J48" i="1"/>
  <c r="F48" i="1"/>
  <c r="K48" i="1" s="1"/>
  <c r="L48" i="1" s="1"/>
  <c r="E48" i="1"/>
  <c r="J47" i="1"/>
  <c r="I47" i="1"/>
  <c r="F47" i="1"/>
  <c r="E47" i="1"/>
  <c r="J46" i="1"/>
  <c r="E46" i="1"/>
  <c r="F46" i="1" s="1"/>
  <c r="K46" i="1" s="1"/>
  <c r="L46" i="1" s="1"/>
  <c r="K45" i="1"/>
  <c r="L45" i="1" s="1"/>
  <c r="J45" i="1"/>
  <c r="F45" i="1"/>
  <c r="E45" i="1"/>
  <c r="J44" i="1"/>
  <c r="E44" i="1"/>
  <c r="F44" i="1" s="1"/>
  <c r="K44" i="1" s="1"/>
  <c r="L44" i="1" s="1"/>
  <c r="L43" i="1"/>
  <c r="K43" i="1"/>
  <c r="I43" i="1"/>
  <c r="J43" i="1" s="1"/>
  <c r="E43" i="1"/>
  <c r="F43" i="1" s="1"/>
  <c r="J42" i="1"/>
  <c r="F42" i="1"/>
  <c r="K42" i="1" s="1"/>
  <c r="L42" i="1" s="1"/>
  <c r="E42" i="1"/>
  <c r="J41" i="1"/>
  <c r="F41" i="1"/>
  <c r="E41" i="1"/>
  <c r="I40" i="1"/>
  <c r="J40" i="1" s="1"/>
  <c r="E40" i="1"/>
  <c r="F40" i="1" s="1"/>
  <c r="F60" i="1" s="1"/>
  <c r="J32" i="1"/>
  <c r="E32" i="1"/>
  <c r="F32" i="1" s="1"/>
  <c r="K32" i="1" s="1"/>
  <c r="L32" i="1" s="1"/>
  <c r="L31" i="1"/>
  <c r="K31" i="1"/>
  <c r="J31" i="1"/>
  <c r="E31" i="1"/>
  <c r="F31" i="1" s="1"/>
  <c r="I30" i="1"/>
  <c r="J30" i="1" s="1"/>
  <c r="F30" i="1"/>
  <c r="K30" i="1" s="1"/>
  <c r="L30" i="1" s="1"/>
  <c r="E30" i="1"/>
  <c r="J29" i="1"/>
  <c r="E29" i="1"/>
  <c r="F29" i="1" s="1"/>
  <c r="K29" i="1" s="1"/>
  <c r="L29" i="1" s="1"/>
  <c r="J28" i="1"/>
  <c r="K28" i="1" s="1"/>
  <c r="L28" i="1" s="1"/>
  <c r="I28" i="1"/>
  <c r="F28" i="1"/>
  <c r="E28" i="1"/>
  <c r="J27" i="1"/>
  <c r="E27" i="1"/>
  <c r="F27" i="1" s="1"/>
  <c r="K27" i="1" s="1"/>
  <c r="L27" i="1" s="1"/>
  <c r="K26" i="1"/>
  <c r="L26" i="1" s="1"/>
  <c r="J26" i="1"/>
  <c r="F26" i="1"/>
  <c r="E26" i="1"/>
  <c r="J25" i="1"/>
  <c r="K25" i="1" s="1"/>
  <c r="L25" i="1" s="1"/>
  <c r="I25" i="1"/>
  <c r="F25" i="1"/>
  <c r="E25" i="1"/>
  <c r="J24" i="1"/>
  <c r="E24" i="1"/>
  <c r="F24" i="1" s="1"/>
  <c r="K24" i="1" s="1"/>
  <c r="L24" i="1" s="1"/>
  <c r="K23" i="1"/>
  <c r="L23" i="1" s="1"/>
  <c r="I23" i="1"/>
  <c r="J23" i="1" s="1"/>
  <c r="F23" i="1"/>
  <c r="E23" i="1"/>
  <c r="J22" i="1"/>
  <c r="F22" i="1"/>
  <c r="K22" i="1" s="1"/>
  <c r="L22" i="1" s="1"/>
  <c r="E22" i="1"/>
  <c r="J21" i="1"/>
  <c r="E21" i="1"/>
  <c r="F21" i="1" s="1"/>
  <c r="K21" i="1" s="1"/>
  <c r="L21" i="1" s="1"/>
  <c r="J20" i="1"/>
  <c r="F20" i="1"/>
  <c r="K20" i="1" s="1"/>
  <c r="L20" i="1" s="1"/>
  <c r="E20" i="1"/>
  <c r="J19" i="1"/>
  <c r="E19" i="1"/>
  <c r="F19" i="1" s="1"/>
  <c r="K19" i="1" s="1"/>
  <c r="L19" i="1" s="1"/>
  <c r="J18" i="1"/>
  <c r="F18" i="1"/>
  <c r="K18" i="1" s="1"/>
  <c r="L18" i="1" s="1"/>
  <c r="E18" i="1"/>
  <c r="J17" i="1"/>
  <c r="E17" i="1"/>
  <c r="F17" i="1" s="1"/>
  <c r="K17" i="1" s="1"/>
  <c r="L17" i="1" s="1"/>
  <c r="J16" i="1"/>
  <c r="K16" i="1" s="1"/>
  <c r="L16" i="1" s="1"/>
  <c r="F16" i="1"/>
  <c r="E16" i="1"/>
  <c r="J15" i="1"/>
  <c r="E15" i="1"/>
  <c r="F15" i="1" s="1"/>
  <c r="K15" i="1" s="1"/>
  <c r="L15" i="1" s="1"/>
  <c r="K14" i="1"/>
  <c r="L14" i="1" s="1"/>
  <c r="J14" i="1"/>
  <c r="F14" i="1"/>
  <c r="E14" i="1"/>
  <c r="I13" i="1"/>
  <c r="J13" i="1" s="1"/>
  <c r="F13" i="1"/>
  <c r="E13" i="1"/>
  <c r="J12" i="1"/>
  <c r="I12" i="1"/>
  <c r="E12" i="1"/>
  <c r="F12" i="1" s="1"/>
  <c r="K12" i="1" s="1"/>
  <c r="L12" i="1" s="1"/>
  <c r="K11" i="1"/>
  <c r="L11" i="1" s="1"/>
  <c r="J11" i="1"/>
  <c r="I11" i="1"/>
  <c r="F11" i="1"/>
  <c r="E11" i="1"/>
  <c r="I10" i="1"/>
  <c r="J10" i="1" s="1"/>
  <c r="K10" i="1" s="1"/>
  <c r="L10" i="1" s="1"/>
  <c r="F10" i="1"/>
  <c r="E10" i="1"/>
  <c r="J9" i="1"/>
  <c r="E9" i="1"/>
  <c r="F9" i="1" s="1"/>
  <c r="K9" i="1" s="1"/>
  <c r="L9" i="1" s="1"/>
  <c r="L8" i="1"/>
  <c r="K8" i="1"/>
  <c r="I8" i="1"/>
  <c r="J8" i="1" s="1"/>
  <c r="F8" i="1"/>
  <c r="E8" i="1"/>
  <c r="J7" i="1"/>
  <c r="F7" i="1"/>
  <c r="K7" i="1" s="1"/>
  <c r="L7" i="1" s="1"/>
  <c r="E7" i="1"/>
  <c r="I6" i="1"/>
  <c r="J6" i="1" s="1"/>
  <c r="E6" i="1"/>
  <c r="E34" i="1" s="1"/>
  <c r="L367" i="3" l="1"/>
  <c r="K92" i="1"/>
  <c r="L92" i="1" s="1"/>
  <c r="K88" i="1"/>
  <c r="L88" i="1" s="1"/>
  <c r="F102" i="1"/>
  <c r="K108" i="3"/>
  <c r="L108" i="3" s="1"/>
  <c r="F137" i="3"/>
  <c r="L267" i="1"/>
  <c r="K13" i="1"/>
  <c r="L13" i="1" s="1"/>
  <c r="F81" i="1"/>
  <c r="E81" i="1"/>
  <c r="K203" i="1"/>
  <c r="E340" i="1"/>
  <c r="K49" i="1"/>
  <c r="L49" i="1" s="1"/>
  <c r="K181" i="1"/>
  <c r="L181" i="1" s="1"/>
  <c r="E238" i="1"/>
  <c r="F227" i="1"/>
  <c r="K235" i="1"/>
  <c r="L235" i="1" s="1"/>
  <c r="K247" i="1"/>
  <c r="L247" i="1" s="1"/>
  <c r="K269" i="1"/>
  <c r="L269" i="1" s="1"/>
  <c r="L59" i="2"/>
  <c r="K128" i="2"/>
  <c r="L128" i="2" s="1"/>
  <c r="E13" i="3"/>
  <c r="K80" i="3"/>
  <c r="L80" i="3" s="1"/>
  <c r="K123" i="3"/>
  <c r="L123" i="3" s="1"/>
  <c r="L284" i="3"/>
  <c r="K342" i="3"/>
  <c r="K431" i="3"/>
  <c r="L431" i="3" s="1"/>
  <c r="L6" i="4"/>
  <c r="L320" i="3"/>
  <c r="E292" i="1"/>
  <c r="E137" i="3"/>
  <c r="K321" i="3"/>
  <c r="L321" i="3" s="1"/>
  <c r="E335" i="3"/>
  <c r="K375" i="3"/>
  <c r="L375" i="3" s="1"/>
  <c r="E389" i="3"/>
  <c r="C15" i="7" s="1"/>
  <c r="F15" i="7" s="1"/>
  <c r="E422" i="3"/>
  <c r="C14" i="7" s="1"/>
  <c r="F14" i="7" s="1"/>
  <c r="K396" i="3"/>
  <c r="F109" i="1"/>
  <c r="L179" i="1"/>
  <c r="F6" i="1"/>
  <c r="K40" i="1"/>
  <c r="K67" i="1"/>
  <c r="F161" i="1"/>
  <c r="F180" i="1"/>
  <c r="K180" i="1" s="1"/>
  <c r="L180" i="1" s="1"/>
  <c r="L316" i="1"/>
  <c r="E60" i="1"/>
  <c r="K68" i="1"/>
  <c r="L68" i="1" s="1"/>
  <c r="K228" i="1"/>
  <c r="L228" i="1" s="1"/>
  <c r="K317" i="1"/>
  <c r="L317" i="1" s="1"/>
  <c r="K6" i="2"/>
  <c r="E12" i="2"/>
  <c r="K40" i="2"/>
  <c r="L40" i="2" s="1"/>
  <c r="E78" i="2"/>
  <c r="K140" i="2"/>
  <c r="L140" i="2" s="1"/>
  <c r="F140" i="2"/>
  <c r="K66" i="3"/>
  <c r="L66" i="3" s="1"/>
  <c r="F202" i="3"/>
  <c r="K166" i="3"/>
  <c r="K349" i="3"/>
  <c r="L349" i="3" s="1"/>
  <c r="K69" i="1"/>
  <c r="L69" i="1" s="1"/>
  <c r="E102" i="1"/>
  <c r="E155" i="1"/>
  <c r="F131" i="1"/>
  <c r="F256" i="1"/>
  <c r="K6" i="3"/>
  <c r="K41" i="1"/>
  <c r="L41" i="1" s="1"/>
  <c r="K56" i="1"/>
  <c r="L56" i="1" s="1"/>
  <c r="K98" i="1"/>
  <c r="L98" i="1" s="1"/>
  <c r="K100" i="1"/>
  <c r="L100" i="1" s="1"/>
  <c r="K120" i="1"/>
  <c r="L120" i="1" s="1"/>
  <c r="K138" i="1"/>
  <c r="L138" i="1" s="1"/>
  <c r="E220" i="1"/>
  <c r="K78" i="2"/>
  <c r="L78" i="2" s="1"/>
  <c r="E131" i="2"/>
  <c r="C31" i="7" s="1"/>
  <c r="F31" i="7" s="1"/>
  <c r="K138" i="2"/>
  <c r="E94" i="3"/>
  <c r="K250" i="3"/>
  <c r="L250" i="3" s="1"/>
  <c r="F277" i="3"/>
  <c r="E359" i="3"/>
  <c r="K60" i="2"/>
  <c r="L60" i="2" s="1"/>
  <c r="E65" i="2"/>
  <c r="C23" i="7" s="1"/>
  <c r="F23" i="7" s="1"/>
  <c r="K245" i="1"/>
  <c r="K19" i="2"/>
  <c r="E33" i="2"/>
  <c r="E105" i="2"/>
  <c r="F99" i="2"/>
  <c r="E256" i="1"/>
  <c r="K47" i="1"/>
  <c r="L47" i="1" s="1"/>
  <c r="K87" i="1"/>
  <c r="K91" i="1"/>
  <c r="L91" i="1" s="1"/>
  <c r="K114" i="1"/>
  <c r="L114" i="1" s="1"/>
  <c r="K171" i="1"/>
  <c r="L171" i="1" s="1"/>
  <c r="K251" i="1"/>
  <c r="L251" i="1" s="1"/>
  <c r="E308" i="1"/>
  <c r="L72" i="2"/>
  <c r="K85" i="2"/>
  <c r="E93" i="2"/>
  <c r="K131" i="2"/>
  <c r="L131" i="2" s="1"/>
  <c r="F138" i="2"/>
  <c r="F142" i="2" s="1"/>
  <c r="E142" i="2"/>
  <c r="K55" i="3"/>
  <c r="L55" i="3" s="1"/>
  <c r="F64" i="3"/>
  <c r="K278" i="1"/>
  <c r="L278" i="1" s="1"/>
  <c r="K305" i="1"/>
  <c r="L305" i="1" s="1"/>
  <c r="K53" i="2"/>
  <c r="L53" i="2" s="1"/>
  <c r="L39" i="2"/>
  <c r="K31" i="3"/>
  <c r="L31" i="3" s="1"/>
  <c r="K35" i="3"/>
  <c r="L35" i="3" s="1"/>
  <c r="K52" i="3"/>
  <c r="L52" i="3" s="1"/>
  <c r="K85" i="3"/>
  <c r="L85" i="3" s="1"/>
  <c r="K237" i="3"/>
  <c r="L237" i="3" s="1"/>
  <c r="K254" i="3"/>
  <c r="L254" i="3" s="1"/>
  <c r="K294" i="3"/>
  <c r="L294" i="3" s="1"/>
  <c r="K323" i="3"/>
  <c r="L323" i="3" s="1"/>
  <c r="K354" i="3"/>
  <c r="L354" i="3" s="1"/>
  <c r="K377" i="3"/>
  <c r="L377" i="3" s="1"/>
  <c r="K415" i="3"/>
  <c r="L415" i="3" s="1"/>
  <c r="K433" i="3"/>
  <c r="L433" i="3" s="1"/>
  <c r="K458" i="3"/>
  <c r="L458" i="3" s="1"/>
  <c r="C8" i="7"/>
  <c r="F8" i="7" s="1"/>
  <c r="K159" i="4"/>
  <c r="L159" i="4" s="1"/>
  <c r="F4" i="7"/>
  <c r="E497" i="3"/>
  <c r="K545" i="3"/>
  <c r="L545" i="3" s="1"/>
  <c r="K475" i="3"/>
  <c r="F497" i="3"/>
  <c r="K340" i="1"/>
  <c r="E58" i="3"/>
  <c r="E242" i="3"/>
  <c r="E525" i="3"/>
  <c r="F504" i="3"/>
  <c r="F595" i="3"/>
  <c r="C5" i="7" s="1"/>
  <c r="F5" i="7" s="1"/>
  <c r="K588" i="3"/>
  <c r="K271" i="1"/>
  <c r="L271" i="1" s="1"/>
  <c r="K280" i="1"/>
  <c r="L280" i="1" s="1"/>
  <c r="K308" i="1"/>
  <c r="L308" i="1" s="1"/>
  <c r="K174" i="3"/>
  <c r="L174" i="3" s="1"/>
  <c r="L248" i="3"/>
  <c r="K298" i="3"/>
  <c r="L298" i="3" s="1"/>
  <c r="K345" i="3"/>
  <c r="L345" i="3" s="1"/>
  <c r="K382" i="3"/>
  <c r="L382" i="3" s="1"/>
  <c r="K417" i="3"/>
  <c r="L417" i="3" s="1"/>
  <c r="K637" i="3"/>
  <c r="L637" i="3" s="1"/>
  <c r="K11" i="3"/>
  <c r="L11" i="3" s="1"/>
  <c r="K56" i="3"/>
  <c r="L56" i="3" s="1"/>
  <c r="K87" i="3"/>
  <c r="L87" i="3" s="1"/>
  <c r="K100" i="3"/>
  <c r="K118" i="3"/>
  <c r="L118" i="3" s="1"/>
  <c r="K195" i="3"/>
  <c r="L195" i="3" s="1"/>
  <c r="K264" i="3"/>
  <c r="L264" i="3" s="1"/>
  <c r="K532" i="3"/>
  <c r="K240" i="3"/>
  <c r="L240" i="3" s="1"/>
  <c r="K285" i="3"/>
  <c r="L285" i="3" s="1"/>
  <c r="K369" i="3"/>
  <c r="L369" i="3" s="1"/>
  <c r="K384" i="3"/>
  <c r="L384" i="3" s="1"/>
  <c r="K400" i="3"/>
  <c r="L400" i="3" s="1"/>
  <c r="K419" i="3"/>
  <c r="L419" i="3" s="1"/>
  <c r="E448" i="3"/>
  <c r="K464" i="3"/>
  <c r="L464" i="3" s="1"/>
  <c r="K540" i="3"/>
  <c r="L540" i="3" s="1"/>
  <c r="K576" i="3"/>
  <c r="L576" i="3" s="1"/>
  <c r="L646" i="3"/>
  <c r="K117" i="4"/>
  <c r="L117" i="4" s="1"/>
  <c r="K119" i="4"/>
  <c r="L119" i="4" s="1"/>
  <c r="K164" i="4"/>
  <c r="L164" i="4" s="1"/>
  <c r="L213" i="4"/>
  <c r="K221" i="4"/>
  <c r="L221" i="4" s="1"/>
  <c r="K251" i="4"/>
  <c r="L251" i="4" s="1"/>
  <c r="F251" i="4"/>
  <c r="E160" i="3"/>
  <c r="F242" i="3"/>
  <c r="E313" i="3"/>
  <c r="E555" i="3"/>
  <c r="F136" i="4"/>
  <c r="K136" i="4" s="1"/>
  <c r="L136" i="4" s="1"/>
  <c r="E144" i="4"/>
  <c r="F145" i="3"/>
  <c r="F313" i="3"/>
  <c r="E169" i="4"/>
  <c r="F155" i="4"/>
  <c r="K250" i="4"/>
  <c r="L250" i="4" s="1"/>
  <c r="F250" i="4"/>
  <c r="F21" i="3"/>
  <c r="K208" i="3"/>
  <c r="K330" i="3"/>
  <c r="L330" i="3" s="1"/>
  <c r="K371" i="3"/>
  <c r="L371" i="3" s="1"/>
  <c r="K379" i="3"/>
  <c r="L379" i="3" s="1"/>
  <c r="E468" i="3"/>
  <c r="C39" i="7" s="1"/>
  <c r="F39" i="7" s="1"/>
  <c r="K510" i="3"/>
  <c r="L510" i="3" s="1"/>
  <c r="E611" i="3"/>
  <c r="K602" i="3"/>
  <c r="K618" i="3"/>
  <c r="K633" i="3"/>
  <c r="L633" i="3" s="1"/>
  <c r="K653" i="3"/>
  <c r="L653" i="3" s="1"/>
  <c r="K40" i="4"/>
  <c r="L40" i="4" s="1"/>
  <c r="K539" i="3"/>
  <c r="L539" i="3" s="1"/>
  <c r="E595" i="3"/>
  <c r="F45" i="4"/>
  <c r="K25" i="4"/>
  <c r="L25" i="4" s="1"/>
  <c r="K83" i="4"/>
  <c r="L83" i="4" s="1"/>
  <c r="K111" i="4"/>
  <c r="L111" i="4" s="1"/>
  <c r="F144" i="4"/>
  <c r="K166" i="4"/>
  <c r="L166" i="4" s="1"/>
  <c r="K262" i="4"/>
  <c r="L260" i="4"/>
  <c r="K234" i="4"/>
  <c r="L234" i="4" s="1"/>
  <c r="E198" i="4"/>
  <c r="K188" i="4"/>
  <c r="K232" i="4"/>
  <c r="E239" i="4"/>
  <c r="F533" i="3"/>
  <c r="K533" i="3" s="1"/>
  <c r="L533" i="3" s="1"/>
  <c r="K648" i="3"/>
  <c r="L648" i="3" s="1"/>
  <c r="E127" i="4"/>
  <c r="F97" i="4"/>
  <c r="L150" i="4"/>
  <c r="F69" i="5"/>
  <c r="E98" i="5"/>
  <c r="K564" i="3"/>
  <c r="L564" i="3" s="1"/>
  <c r="K58" i="4"/>
  <c r="L58" i="4" s="1"/>
  <c r="K178" i="4"/>
  <c r="L178" i="4" s="1"/>
  <c r="L176" i="4"/>
  <c r="F61" i="5"/>
  <c r="K45" i="5"/>
  <c r="K205" i="5"/>
  <c r="L205" i="5" s="1"/>
  <c r="E45" i="4"/>
  <c r="K152" i="4"/>
  <c r="L152" i="4" s="1"/>
  <c r="K163" i="4"/>
  <c r="L163" i="4" s="1"/>
  <c r="K15" i="5"/>
  <c r="L15" i="5" s="1"/>
  <c r="K32" i="5"/>
  <c r="L32" i="5" s="1"/>
  <c r="E61" i="5"/>
  <c r="K158" i="5"/>
  <c r="L158" i="5" s="1"/>
  <c r="K32" i="6"/>
  <c r="L32" i="6" s="1"/>
  <c r="F49" i="6"/>
  <c r="B73" i="6" s="1"/>
  <c r="K46" i="6"/>
  <c r="E89" i="4"/>
  <c r="E207" i="4"/>
  <c r="C41" i="7" s="1"/>
  <c r="F41" i="7" s="1"/>
  <c r="K205" i="4"/>
  <c r="K253" i="4"/>
  <c r="F51" i="4"/>
  <c r="L246" i="4"/>
  <c r="K175" i="5"/>
  <c r="L175" i="5" s="1"/>
  <c r="K628" i="3"/>
  <c r="K135" i="4"/>
  <c r="K192" i="4"/>
  <c r="L192" i="4" s="1"/>
  <c r="K247" i="4"/>
  <c r="L247" i="4" s="1"/>
  <c r="F247" i="4"/>
  <c r="F253" i="4" s="1"/>
  <c r="K109" i="5"/>
  <c r="L109" i="5" s="1"/>
  <c r="K161" i="5"/>
  <c r="L161" i="5" s="1"/>
  <c r="E208" i="5"/>
  <c r="K185" i="5"/>
  <c r="K111" i="5"/>
  <c r="L111" i="5" s="1"/>
  <c r="K127" i="5"/>
  <c r="L127" i="5" s="1"/>
  <c r="E166" i="5"/>
  <c r="K51" i="5"/>
  <c r="L51" i="5" s="1"/>
  <c r="F105" i="5"/>
  <c r="E113" i="5"/>
  <c r="E225" i="4"/>
  <c r="C29" i="7" s="1"/>
  <c r="F29" i="7" s="1"/>
  <c r="E36" i="5"/>
  <c r="F6" i="5"/>
  <c r="E20" i="6"/>
  <c r="L56" i="6"/>
  <c r="K65" i="6"/>
  <c r="L173" i="5"/>
  <c r="K189" i="5"/>
  <c r="L189" i="5" s="1"/>
  <c r="K194" i="5"/>
  <c r="L194" i="5" s="1"/>
  <c r="E40" i="6"/>
  <c r="K58" i="5"/>
  <c r="L58" i="5" s="1"/>
  <c r="E179" i="5"/>
  <c r="K177" i="5"/>
  <c r="L177" i="5" s="1"/>
  <c r="K193" i="5"/>
  <c r="L193" i="5" s="1"/>
  <c r="K201" i="5"/>
  <c r="L201" i="5" s="1"/>
  <c r="K204" i="5"/>
  <c r="L204" i="5" s="1"/>
  <c r="K83" i="5"/>
  <c r="L83" i="5" s="1"/>
  <c r="K92" i="5"/>
  <c r="L92" i="5" s="1"/>
  <c r="K190" i="5"/>
  <c r="L190" i="5" s="1"/>
  <c r="K203" i="5"/>
  <c r="L203" i="5" s="1"/>
  <c r="K6" i="6"/>
  <c r="F20" i="6"/>
  <c r="E253" i="4"/>
  <c r="K136" i="5"/>
  <c r="L136" i="5" s="1"/>
  <c r="F40" i="6"/>
  <c r="K29" i="6"/>
  <c r="K75" i="5"/>
  <c r="L75" i="5" s="1"/>
  <c r="E144" i="5"/>
  <c r="F120" i="5"/>
  <c r="K124" i="5"/>
  <c r="L124" i="5" s="1"/>
  <c r="K157" i="5"/>
  <c r="L157" i="5" s="1"/>
  <c r="K174" i="5"/>
  <c r="L174" i="5" s="1"/>
  <c r="F36" i="5" l="1"/>
  <c r="K6" i="5"/>
  <c r="L232" i="4"/>
  <c r="K239" i="4"/>
  <c r="L239" i="4" s="1"/>
  <c r="L340" i="1"/>
  <c r="K320" i="1"/>
  <c r="L320" i="1" s="1"/>
  <c r="L245" i="1"/>
  <c r="K256" i="1"/>
  <c r="L256" i="1" s="1"/>
  <c r="K202" i="3"/>
  <c r="L202" i="3" s="1"/>
  <c r="L166" i="3"/>
  <c r="L6" i="2"/>
  <c r="K12" i="2"/>
  <c r="L12" i="2" s="1"/>
  <c r="L67" i="1"/>
  <c r="K81" i="1"/>
  <c r="L81" i="1" s="1"/>
  <c r="K45" i="4"/>
  <c r="L45" i="4" s="1"/>
  <c r="F238" i="1"/>
  <c r="B344" i="1" s="1"/>
  <c r="K227" i="1"/>
  <c r="L205" i="4"/>
  <c r="K207" i="4"/>
  <c r="L207" i="4" s="1"/>
  <c r="K657" i="3"/>
  <c r="C16" i="7"/>
  <c r="F16" i="7" s="1"/>
  <c r="C28" i="7"/>
  <c r="F28" i="7" s="1"/>
  <c r="L87" i="1"/>
  <c r="K102" i="1"/>
  <c r="L102" i="1" s="1"/>
  <c r="L6" i="3"/>
  <c r="K13" i="3"/>
  <c r="L13" i="3" s="1"/>
  <c r="K60" i="1"/>
  <c r="L60" i="1" s="1"/>
  <c r="L40" i="1"/>
  <c r="K335" i="3"/>
  <c r="L335" i="3" s="1"/>
  <c r="L85" i="2"/>
  <c r="K93" i="2"/>
  <c r="L93" i="2" s="1"/>
  <c r="F34" i="1"/>
  <c r="K6" i="1"/>
  <c r="L253" i="4"/>
  <c r="K61" i="5"/>
  <c r="L61" i="5" s="1"/>
  <c r="L45" i="5"/>
  <c r="L19" i="2"/>
  <c r="K33" i="2"/>
  <c r="L33" i="2" s="1"/>
  <c r="F144" i="5"/>
  <c r="K120" i="5"/>
  <c r="L188" i="4"/>
  <c r="K198" i="4"/>
  <c r="L198" i="4" s="1"/>
  <c r="F160" i="3"/>
  <c r="K145" i="3"/>
  <c r="L588" i="3"/>
  <c r="K595" i="3"/>
  <c r="L595" i="3" s="1"/>
  <c r="K179" i="5"/>
  <c r="L179" i="5" s="1"/>
  <c r="F127" i="4"/>
  <c r="K97" i="4"/>
  <c r="L618" i="3"/>
  <c r="K623" i="3"/>
  <c r="L623" i="3" s="1"/>
  <c r="L208" i="3"/>
  <c r="K242" i="3"/>
  <c r="L242" i="3" s="1"/>
  <c r="L100" i="3"/>
  <c r="K137" i="3"/>
  <c r="L137" i="3" s="1"/>
  <c r="K20" i="6"/>
  <c r="L20" i="6" s="1"/>
  <c r="L6" i="6"/>
  <c r="K144" i="4"/>
  <c r="L144" i="4" s="1"/>
  <c r="L135" i="4"/>
  <c r="L602" i="3"/>
  <c r="K611" i="3"/>
  <c r="L611" i="3" s="1"/>
  <c r="F58" i="3"/>
  <c r="K21" i="3"/>
  <c r="F555" i="3"/>
  <c r="B665" i="3" s="1"/>
  <c r="L475" i="3"/>
  <c r="K497" i="3"/>
  <c r="L497" i="3" s="1"/>
  <c r="K105" i="5"/>
  <c r="F113" i="5"/>
  <c r="K208" i="5"/>
  <c r="L185" i="5"/>
  <c r="K639" i="3"/>
  <c r="L639" i="3" s="1"/>
  <c r="L628" i="3"/>
  <c r="L46" i="6"/>
  <c r="K49" i="6"/>
  <c r="L49" i="6" s="1"/>
  <c r="K225" i="4"/>
  <c r="L225" i="4" s="1"/>
  <c r="K581" i="3"/>
  <c r="L581" i="3" s="1"/>
  <c r="K277" i="3"/>
  <c r="L277" i="3" s="1"/>
  <c r="K504" i="3"/>
  <c r="F525" i="3"/>
  <c r="K468" i="3"/>
  <c r="L468" i="3" s="1"/>
  <c r="K131" i="1"/>
  <c r="F155" i="1"/>
  <c r="K448" i="3"/>
  <c r="L448" i="3" s="1"/>
  <c r="K292" i="1"/>
  <c r="L292" i="1" s="1"/>
  <c r="K197" i="1"/>
  <c r="L197" i="1" s="1"/>
  <c r="F94" i="3"/>
  <c r="K64" i="3"/>
  <c r="C21" i="7"/>
  <c r="F21" i="7" s="1"/>
  <c r="K99" i="2"/>
  <c r="F105" i="2"/>
  <c r="C30" i="7" s="1"/>
  <c r="F30" i="7" s="1"/>
  <c r="K109" i="1"/>
  <c r="F123" i="1"/>
  <c r="C19" i="7"/>
  <c r="F19" i="7" s="1"/>
  <c r="L342" i="3"/>
  <c r="K359" i="3"/>
  <c r="L359" i="3" s="1"/>
  <c r="K65" i="2"/>
  <c r="L65" i="2" s="1"/>
  <c r="C43" i="7"/>
  <c r="F43" i="7" s="1"/>
  <c r="F197" i="1"/>
  <c r="C40" i="7"/>
  <c r="F40" i="7" s="1"/>
  <c r="L396" i="3"/>
  <c r="K422" i="3"/>
  <c r="L422" i="3" s="1"/>
  <c r="K220" i="1"/>
  <c r="L220" i="1" s="1"/>
  <c r="L203" i="1"/>
  <c r="K389" i="3"/>
  <c r="L389" i="3" s="1"/>
  <c r="C45" i="7"/>
  <c r="F45" i="7" s="1"/>
  <c r="B146" i="2"/>
  <c r="L138" i="2"/>
  <c r="K142" i="2"/>
  <c r="K161" i="1"/>
  <c r="F173" i="1"/>
  <c r="K40" i="6"/>
  <c r="L40" i="6" s="1"/>
  <c r="L29" i="6"/>
  <c r="L65" i="6"/>
  <c r="B212" i="5"/>
  <c r="L262" i="4"/>
  <c r="K155" i="4"/>
  <c r="F169" i="4"/>
  <c r="B266" i="4" s="1"/>
  <c r="K555" i="3"/>
  <c r="L555" i="3" s="1"/>
  <c r="L532" i="3"/>
  <c r="F89" i="4"/>
  <c r="K51" i="4"/>
  <c r="K166" i="5"/>
  <c r="L166" i="5" s="1"/>
  <c r="F98" i="5"/>
  <c r="K69" i="5"/>
  <c r="C6" i="7"/>
  <c r="F6" i="7" s="1"/>
  <c r="K313" i="3"/>
  <c r="L313" i="3" s="1"/>
  <c r="B54" i="7" l="1"/>
  <c r="C49" i="7"/>
  <c r="L155" i="4"/>
  <c r="K169" i="4"/>
  <c r="L169" i="4" s="1"/>
  <c r="C24" i="7"/>
  <c r="F24" i="7" s="1"/>
  <c r="L51" i="4"/>
  <c r="K89" i="4"/>
  <c r="L89" i="4" s="1"/>
  <c r="K94" i="3"/>
  <c r="L94" i="3" s="1"/>
  <c r="L64" i="3"/>
  <c r="C33" i="7"/>
  <c r="F33" i="7" s="1"/>
  <c r="L21" i="3"/>
  <c r="K58" i="3"/>
  <c r="L58" i="3" s="1"/>
  <c r="K238" i="1"/>
  <c r="L238" i="1" s="1"/>
  <c r="L227" i="1"/>
  <c r="L208" i="5"/>
  <c r="B214" i="5"/>
  <c r="B217" i="5" s="1"/>
  <c r="K36" i="5"/>
  <c r="L36" i="5" s="1"/>
  <c r="L6" i="5"/>
  <c r="I6" i="7"/>
  <c r="F47" i="7"/>
  <c r="C47" i="7"/>
  <c r="K113" i="5"/>
  <c r="L113" i="5" s="1"/>
  <c r="L105" i="5"/>
  <c r="B55" i="7"/>
  <c r="B268" i="4"/>
  <c r="B271" i="4" s="1"/>
  <c r="K173" i="1"/>
  <c r="L173" i="1" s="1"/>
  <c r="L161" i="1"/>
  <c r="K525" i="3"/>
  <c r="L525" i="3" s="1"/>
  <c r="L504" i="3"/>
  <c r="I28" i="7"/>
  <c r="K160" i="3"/>
  <c r="L160" i="3" s="1"/>
  <c r="L145" i="3"/>
  <c r="L109" i="1"/>
  <c r="K123" i="1"/>
  <c r="L123" i="1" s="1"/>
  <c r="L69" i="5"/>
  <c r="K98" i="5"/>
  <c r="L98" i="5" s="1"/>
  <c r="I21" i="7"/>
  <c r="B148" i="2"/>
  <c r="B151" i="2" s="1"/>
  <c r="L142" i="2"/>
  <c r="B75" i="6"/>
  <c r="B78" i="6" s="1"/>
  <c r="I30" i="7"/>
  <c r="I43" i="7"/>
  <c r="K105" i="2"/>
  <c r="L105" i="2" s="1"/>
  <c r="L99" i="2"/>
  <c r="K155" i="1"/>
  <c r="L155" i="1" s="1"/>
  <c r="L131" i="1"/>
  <c r="K127" i="4"/>
  <c r="L127" i="4" s="1"/>
  <c r="L97" i="4"/>
  <c r="K34" i="1"/>
  <c r="L34" i="1" s="1"/>
  <c r="L6" i="1"/>
  <c r="K144" i="5"/>
  <c r="L144" i="5" s="1"/>
  <c r="L120" i="5"/>
  <c r="L657" i="3"/>
  <c r="I34" i="7" l="1"/>
  <c r="I25" i="7"/>
  <c r="I44" i="7"/>
  <c r="I35" i="7"/>
  <c r="I9" i="7"/>
  <c r="I11" i="7"/>
  <c r="I37" i="7"/>
  <c r="I13" i="7"/>
  <c r="I7" i="7"/>
  <c r="I42" i="7"/>
  <c r="I3" i="7"/>
  <c r="I17" i="7"/>
  <c r="I38" i="7"/>
  <c r="I32" i="7"/>
  <c r="I12" i="7"/>
  <c r="I36" i="7"/>
  <c r="I20" i="7"/>
  <c r="I22" i="7"/>
  <c r="I10" i="7"/>
  <c r="I27" i="7"/>
  <c r="I18" i="7"/>
  <c r="I26" i="7"/>
  <c r="I29" i="7"/>
  <c r="I23" i="7"/>
  <c r="I15" i="7"/>
  <c r="I41" i="7"/>
  <c r="I4" i="7"/>
  <c r="I5" i="7"/>
  <c r="I8" i="7"/>
  <c r="I14" i="7"/>
  <c r="I31" i="7"/>
  <c r="I39" i="7"/>
  <c r="I24" i="7"/>
  <c r="B346" i="1"/>
  <c r="I19" i="7"/>
  <c r="I33" i="7"/>
  <c r="I45" i="7"/>
  <c r="B667" i="3"/>
  <c r="B670" i="3" s="1"/>
  <c r="I16" i="7"/>
  <c r="I40" i="7"/>
  <c r="B60" i="7"/>
  <c r="B63" i="7" s="1"/>
  <c r="C51" i="7" l="1"/>
  <c r="B349" i="1"/>
  <c r="I47" i="7"/>
  <c r="B64" i="7" l="1"/>
  <c r="D51" i="7"/>
</calcChain>
</file>

<file path=xl/sharedStrings.xml><?xml version="1.0" encoding="utf-8"?>
<sst xmlns="http://schemas.openxmlformats.org/spreadsheetml/2006/main" count="3653" uniqueCount="268">
  <si>
    <t>COLEGIO SJCB - VIRREY DEL PINO 3299</t>
  </si>
  <si>
    <t>rto: 15</t>
  </si>
  <si>
    <t>COMPRA</t>
  </si>
  <si>
    <t>CANTIDAD</t>
  </si>
  <si>
    <t>UNIDAD</t>
  </si>
  <si>
    <t>PRODUCTO</t>
  </si>
  <si>
    <t>PRECIO</t>
  </si>
  <si>
    <t>TOTAL</t>
  </si>
  <si>
    <t>TOTAL + IVA</t>
  </si>
  <si>
    <t>COSTO</t>
  </si>
  <si>
    <t>DIFERENCIA</t>
  </si>
  <si>
    <t>MAPLE</t>
  </si>
  <si>
    <t>HUEVO N1</t>
  </si>
  <si>
    <t>AJO</t>
  </si>
  <si>
    <t>BROCOLI</t>
  </si>
  <si>
    <t>BOLSA</t>
  </si>
  <si>
    <t>ANCO</t>
  </si>
  <si>
    <t>KG</t>
  </si>
  <si>
    <t>CEBOLLA MORADA</t>
  </si>
  <si>
    <t>CHAUCHA PLANA</t>
  </si>
  <si>
    <t>CHOCLO</t>
  </si>
  <si>
    <t>ATADO</t>
  </si>
  <si>
    <t>ESPINACA</t>
  </si>
  <si>
    <t>CAJON</t>
  </si>
  <si>
    <t>MANZANA ROJA</t>
  </si>
  <si>
    <t>MANZANA VERDE</t>
  </si>
  <si>
    <t>NARANJA</t>
  </si>
  <si>
    <t>PAPA BLANCA</t>
  </si>
  <si>
    <t>CIBOULETTE</t>
  </si>
  <si>
    <t>PEREJIL</t>
  </si>
  <si>
    <t>PEPINO</t>
  </si>
  <si>
    <t>MORRON ROJO</t>
  </si>
  <si>
    <t>MORRON VERDE</t>
  </si>
  <si>
    <t>MORRON AMARILLO</t>
  </si>
  <si>
    <t>PUERRO</t>
  </si>
  <si>
    <t>REMOLACHA</t>
  </si>
  <si>
    <t>REPOLLO BLANCO</t>
  </si>
  <si>
    <t xml:space="preserve"> </t>
  </si>
  <si>
    <t>REPOLLO COLORADO</t>
  </si>
  <si>
    <t>TOMATE PERITA</t>
  </si>
  <si>
    <t>ZANAHORIA</t>
  </si>
  <si>
    <t>COLIFLOR</t>
  </si>
  <si>
    <t>CEBOLLA DE VERDEO</t>
  </si>
  <si>
    <t>LECHUGA CRIOLLA</t>
  </si>
  <si>
    <t>COLEGIO WASHINGTON - LACROZE 1973</t>
  </si>
  <si>
    <t>rto: 14</t>
  </si>
  <si>
    <t>RUCULA</t>
  </si>
  <si>
    <t>COLEGIO ST. MATTHEWS - MOLDES 1469, BELGRANO</t>
  </si>
  <si>
    <t>CALABAZA</t>
  </si>
  <si>
    <t>PERA</t>
  </si>
  <si>
    <t>COLEGIO SAN JAVIER - JOSE A CABRERA 5901</t>
  </si>
  <si>
    <t>ALBAHACA</t>
  </si>
  <si>
    <t>KALE</t>
  </si>
  <si>
    <t>COLEGIO SAN MARCOS | SAN ISIDRO</t>
  </si>
  <si>
    <t>rto: 11</t>
  </si>
  <si>
    <t>CHAMPIGNON</t>
  </si>
  <si>
    <t>CEBOLLA</t>
  </si>
  <si>
    <t>COLEGIO VILLA DEVOTO SCHOOL - PEDRO MORAN 4441</t>
  </si>
  <si>
    <t>rto: 16</t>
  </si>
  <si>
    <t xml:space="preserve">COLEGIO SWORM JUNIOR COLLAGE | PACHECO </t>
  </si>
  <si>
    <t>rto: 10</t>
  </si>
  <si>
    <t>ZUCCINI</t>
  </si>
  <si>
    <t>BANANA</t>
  </si>
  <si>
    <t>COLEGIO ST CATHERINES MOORLANDS - CARBAJAL 3250</t>
  </si>
  <si>
    <t>APIO</t>
  </si>
  <si>
    <t>PALTA</t>
  </si>
  <si>
    <t>COLEGIO ST. MATTHEWS | CAAMAÑO</t>
  </si>
  <si>
    <t>MANDARINA</t>
  </si>
  <si>
    <t>COLEGIO BRICK TOWERS | DEL VISO</t>
  </si>
  <si>
    <t>rto: 12</t>
  </si>
  <si>
    <t>MASTER COLLAGE (OHHIGINS)</t>
  </si>
  <si>
    <t>rto: 7</t>
  </si>
  <si>
    <t>BROTE DE SOJA</t>
  </si>
  <si>
    <t>TOMATE</t>
  </si>
  <si>
    <t>MANZANA</t>
  </si>
  <si>
    <t>HOGAR CARDALES</t>
  </si>
  <si>
    <t>rto: 13</t>
  </si>
  <si>
    <t>BONIATO</t>
  </si>
  <si>
    <t>CHAUCHA</t>
  </si>
  <si>
    <t>LECHUGA</t>
  </si>
  <si>
    <t>REPOLLO</t>
  </si>
  <si>
    <t>TOMATE REDONDO</t>
  </si>
  <si>
    <t>ZAPALLITO REDONDO</t>
  </si>
  <si>
    <t>CABUTIA</t>
  </si>
  <si>
    <t>PAPA</t>
  </si>
  <si>
    <t>HUEVO</t>
  </si>
  <si>
    <t>CAJA</t>
  </si>
  <si>
    <t>BANANA ECUADOR</t>
  </si>
  <si>
    <t>LIMON</t>
  </si>
  <si>
    <t>FRUTILLA</t>
  </si>
  <si>
    <t>KIWI</t>
  </si>
  <si>
    <t>LA PIADINA</t>
  </si>
  <si>
    <t>rto: 34</t>
  </si>
  <si>
    <t>TOMATE CHERRY</t>
  </si>
  <si>
    <t>CARLOTA CARAF VIANDAS</t>
  </si>
  <si>
    <t>rto: 6</t>
  </si>
  <si>
    <t>VALENTIN LIZASO</t>
  </si>
  <si>
    <t>rto: 2</t>
  </si>
  <si>
    <t>ZAPALLITO</t>
  </si>
  <si>
    <t>BERENJENA</t>
  </si>
  <si>
    <t>BANDEJA</t>
  </si>
  <si>
    <t>TOTAL DIA</t>
  </si>
  <si>
    <t>GANANCIA</t>
  </si>
  <si>
    <t>%</t>
  </si>
  <si>
    <t>BULTOS COMPRADOS</t>
  </si>
  <si>
    <t>rto: 32</t>
  </si>
  <si>
    <t>**</t>
  </si>
  <si>
    <t>S/C</t>
  </si>
  <si>
    <t>BRASOV</t>
  </si>
  <si>
    <t>rto: 27</t>
  </si>
  <si>
    <t>LECHUGA FRANCESA</t>
  </si>
  <si>
    <t>JENGIBRE</t>
  </si>
  <si>
    <t>MENTA</t>
  </si>
  <si>
    <t>LIMA</t>
  </si>
  <si>
    <t>MANGO</t>
  </si>
  <si>
    <t>PALTA (50u)</t>
  </si>
  <si>
    <t>COMO SIEMPRE LAGUNA</t>
  </si>
  <si>
    <t>rto: 43</t>
  </si>
  <si>
    <t>LECHUGA MORADA</t>
  </si>
  <si>
    <t>LA MARQUESA</t>
  </si>
  <si>
    <t>rto: 24</t>
  </si>
  <si>
    <t>QUINQUELA</t>
  </si>
  <si>
    <t>rto: 9</t>
  </si>
  <si>
    <t>POMELO</t>
  </si>
  <si>
    <t>RAKUS CAFE - PADUA</t>
  </si>
  <si>
    <t>rto:  33</t>
  </si>
  <si>
    <t>ATADOS</t>
  </si>
  <si>
    <t>NARANJA DE JUGO</t>
  </si>
  <si>
    <t>COLCAR</t>
  </si>
  <si>
    <t>BATATA</t>
  </si>
  <si>
    <t>ACELGA</t>
  </si>
  <si>
    <t>FABRIC SUSHI</t>
  </si>
  <si>
    <t>RTO: 17</t>
  </si>
  <si>
    <t>CILANTRO</t>
  </si>
  <si>
    <t>PORTOBELLO</t>
  </si>
  <si>
    <t>PAPA CEPILLADA</t>
  </si>
  <si>
    <t xml:space="preserve">MORRON </t>
  </si>
  <si>
    <t>LOCOTO</t>
  </si>
  <si>
    <t>JALAPEÑO ROJO</t>
  </si>
  <si>
    <t>AJI PERUANO</t>
  </si>
  <si>
    <t>SAN ANTONIO</t>
  </si>
  <si>
    <t>CEBOLLON</t>
  </si>
  <si>
    <r>
      <rPr>
        <sz val="11"/>
        <color theme="1"/>
        <rFont val="Calibri"/>
        <family val="2"/>
      </rPr>
      <t xml:space="preserve">CEBOLLON </t>
    </r>
    <r>
      <rPr>
        <i/>
        <sz val="11"/>
        <color rgb="FFFF0000"/>
        <rFont val="Calibri"/>
        <family val="2"/>
      </rPr>
      <t>CAMBIO</t>
    </r>
  </si>
  <si>
    <t>rto: 17</t>
  </si>
  <si>
    <t>CHAUCHA REDONDA</t>
  </si>
  <si>
    <t>rto:  25</t>
  </si>
  <si>
    <t>rto:  10</t>
  </si>
  <si>
    <t>PAPIN</t>
  </si>
  <si>
    <t>rto: 44</t>
  </si>
  <si>
    <t>MESTIZO</t>
  </si>
  <si>
    <t>rto: 26</t>
  </si>
  <si>
    <t>ENELDO</t>
  </si>
  <si>
    <t>RTO: 18</t>
  </si>
  <si>
    <t>MORRON</t>
  </si>
  <si>
    <t>PAPA LAVADA</t>
  </si>
  <si>
    <t>GIRGOLA</t>
  </si>
  <si>
    <t>ROCOTO</t>
  </si>
  <si>
    <t>UNIVERSIDAD DE MORENO</t>
  </si>
  <si>
    <t>rto: 4</t>
  </si>
  <si>
    <t>PALTA HASS</t>
  </si>
  <si>
    <t>FV</t>
  </si>
  <si>
    <t>rto: 251</t>
  </si>
  <si>
    <t>CIRUELA</t>
  </si>
  <si>
    <t>MELON</t>
  </si>
  <si>
    <t>BOLSA PROPIA</t>
  </si>
  <si>
    <t>LUSQTOFF</t>
  </si>
  <si>
    <t>SEDE: IRALA</t>
  </si>
  <si>
    <t>ZANAHORIA INDUSTRIAL</t>
  </si>
  <si>
    <t>SEDE: MORENO</t>
  </si>
  <si>
    <t>AUPA</t>
  </si>
  <si>
    <t>NARANJA JUGO ELEGIDA</t>
  </si>
  <si>
    <t>MUNCHIS</t>
  </si>
  <si>
    <t>rto:</t>
  </si>
  <si>
    <t>rto: 33</t>
  </si>
  <si>
    <t>S&amp;T CATERING</t>
  </si>
  <si>
    <t>FRUTILLA (7 Bandejas)</t>
  </si>
  <si>
    <t>rto: 3</t>
  </si>
  <si>
    <t>PAULA CASERO</t>
  </si>
  <si>
    <t>rto: 25</t>
  </si>
  <si>
    <t>rto: 18</t>
  </si>
  <si>
    <t>rto:  26</t>
  </si>
  <si>
    <t xml:space="preserve">HUEVO </t>
  </si>
  <si>
    <t>FRUTILLA TAMARA</t>
  </si>
  <si>
    <t>FLORES COMESTIBLES</t>
  </si>
  <si>
    <t>SAPORE DI ROMA</t>
  </si>
  <si>
    <t>rto: 28</t>
  </si>
  <si>
    <t>HONGOS</t>
  </si>
  <si>
    <t>MEDIA CAJA</t>
  </si>
  <si>
    <t>HUEVO N2</t>
  </si>
  <si>
    <t>rto: 252</t>
  </si>
  <si>
    <t>MANZANA GRANNY</t>
  </si>
  <si>
    <t>MANZNA RED</t>
  </si>
  <si>
    <t>NARANJA JUGO</t>
  </si>
  <si>
    <t>CATERING</t>
  </si>
  <si>
    <t>rto: 19</t>
  </si>
  <si>
    <t>VERDEO</t>
  </si>
  <si>
    <t>CEB MORADA</t>
  </si>
  <si>
    <t>CLIENTE</t>
  </si>
  <si>
    <t>SALDOS MARZO</t>
  </si>
  <si>
    <t>FACTURACION</t>
  </si>
  <si>
    <t>COBRANZA</t>
  </si>
  <si>
    <t>RETENCIONES</t>
  </si>
  <si>
    <t>SALDO</t>
  </si>
  <si>
    <t>% del FIADO</t>
  </si>
  <si>
    <t>FERIADO CANTINA</t>
  </si>
  <si>
    <t>A.U.P.A.</t>
  </si>
  <si>
    <t>TODO CASERITO</t>
  </si>
  <si>
    <t>PAULA CASEROS</t>
  </si>
  <si>
    <t>CONTADO</t>
  </si>
  <si>
    <t>LAS BRISAS</t>
  </si>
  <si>
    <t>HOGAR SAN MARINO</t>
  </si>
  <si>
    <t>HOWARD JOHNSON</t>
  </si>
  <si>
    <t>LENTAX S.R.L</t>
  </si>
  <si>
    <t>FV S.A.</t>
  </si>
  <si>
    <t>ALUMNI</t>
  </si>
  <si>
    <t>ROSSO RISTORANTE</t>
  </si>
  <si>
    <t>NORTH SIDE</t>
  </si>
  <si>
    <t>ONNEG</t>
  </si>
  <si>
    <t>COLEGIOS</t>
  </si>
  <si>
    <t>AL ESTRIBO</t>
  </si>
  <si>
    <t>PIO</t>
  </si>
  <si>
    <t>SAO MEDIALUNAS - PALMAS</t>
  </si>
  <si>
    <t>RAKUS CAFE</t>
  </si>
  <si>
    <t>FABRIC - MORENO</t>
  </si>
  <si>
    <t>HAVANA - MORENO</t>
  </si>
  <si>
    <t>LUSQTOFF - IRALA</t>
  </si>
  <si>
    <t>LUSQTOFF - MORENO</t>
  </si>
  <si>
    <t>CAFE MARTINEZ - MORENO CENTRO</t>
  </si>
  <si>
    <t>CAFE MARTINEZ - MORENO GORRITI</t>
  </si>
  <si>
    <t>CAFE MARTINEZ - CAAMAÑO</t>
  </si>
  <si>
    <t>CARLOTA VIANDAS</t>
  </si>
  <si>
    <t>UNIVERSIDAD MORENO</t>
  </si>
  <si>
    <t>LA CANTINA</t>
  </si>
  <si>
    <t>RINCON DEL PAN</t>
  </si>
  <si>
    <t>VENTA ACUMULADA</t>
  </si>
  <si>
    <t>GANANCIA ACUMULADA BRUTA</t>
  </si>
  <si>
    <t>BULTOS</t>
  </si>
  <si>
    <t>1° SEMANA 01/04 - 02/04</t>
  </si>
  <si>
    <t>2° SEMANA 06/04 - 10/04</t>
  </si>
  <si>
    <t>3° SEMANA 13/04 - 17/04</t>
  </si>
  <si>
    <t>4° SEMANA 20/04 - 24/04</t>
  </si>
  <si>
    <t>5° SEMANA 27/04 - 30/04</t>
  </si>
  <si>
    <t>BULTOS MES</t>
  </si>
  <si>
    <t>VENTA DEL MES</t>
  </si>
  <si>
    <t>PROMEDIO VENTA X DIA</t>
  </si>
  <si>
    <t>PROMEDIO GCIA X DIA</t>
  </si>
  <si>
    <t>SALDOS FEBRERO</t>
  </si>
  <si>
    <t>$  -</t>
  </si>
  <si>
    <t>1° SEMANA 02/03 - 06/03</t>
  </si>
  <si>
    <t>2° SEMANA 09/03 - 13/03</t>
  </si>
  <si>
    <t>3° SEMANA 16/03 - 20/03</t>
  </si>
  <si>
    <t>4° SEMANA 23/03 - 27/03</t>
  </si>
  <si>
    <t>5° SEMANA 30/03 - 31/03</t>
  </si>
  <si>
    <t>SALDOS ENERO</t>
  </si>
  <si>
    <t>1° SEMANA 02/02 - 06/02</t>
  </si>
  <si>
    <t>2° SEMANA 09/02 - 13/02</t>
  </si>
  <si>
    <t>3° SEMANA 16/02 - 20/02</t>
  </si>
  <si>
    <t>4° SEMANA 23/02 - 27/02</t>
  </si>
  <si>
    <t>SALDOS DICIEMBRE</t>
  </si>
  <si>
    <t>ST CATERING</t>
  </si>
  <si>
    <t>1° SEMANA 05/01 - 10/01</t>
  </si>
  <si>
    <t>2° SEMANA 12/01 - 17/01</t>
  </si>
  <si>
    <t>3° SEMANA 19/01 - 24/01</t>
  </si>
  <si>
    <t>4° SEMANA 26/01 - 31/01</t>
  </si>
  <si>
    <t>ENERO</t>
  </si>
  <si>
    <t>JUAN</t>
  </si>
  <si>
    <t>FEBRERO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</si>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</sst>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\ _€_-;\-* #,##0.00\ _€_-;_-* &quot;-&quot;??\ _€_-;_-@"/>
    <numFmt numFmtId="165" formatCode="_ [$$-2C0A]\ * #,##0.00_ ;_ [$$-2C0A]\ * \-#,##0.00_ ;_ [$$-2C0A]\ * &quot;-&quot;??_ ;_ @_ "/>
    <numFmt numFmtId="166" formatCode="0.0%"/>
    <numFmt numFmtId="167" formatCode="&quot;$&quot;#,##0.00"/>
    <numFmt numFmtId="168" formatCode="_-&quot;$&quot;\ * #,##0.00_-;\-&quot;$&quot;\ * #,##0.00_-;_-&quot;$&quot;\ * &quot;-&quot;??_-;_-@"/>
  </numFmts>
  <fonts count="19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i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Aptos Narrow"/>
    </font>
    <font>
      <b/>
      <i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"/>
      <name val="Calibri"/>
      <family val="2"/>
    </font>
    <font>
      <sz val="11"/>
      <color theme="1"/>
      <name val="Aptos Narrow"/>
    </font>
    <font>
      <sz val="11"/>
      <name val="Aptos Narrow"/>
    </font>
    <font>
      <b/>
      <i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Aptos Narrow"/>
      <scheme val="minor"/>
    </font>
    <font>
      <i/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CFFCC"/>
        <bgColor rgb="FFCCFFCC"/>
      </patternFill>
    </fill>
    <fill>
      <patternFill patternType="solid">
        <fgColor rgb="FFFF9900"/>
        <bgColor rgb="FFFF9900"/>
      </patternFill>
    </fill>
    <fill>
      <patternFill patternType="solid">
        <fgColor rgb="FF8AB242"/>
        <bgColor rgb="FF8AB242"/>
      </patternFill>
    </fill>
    <fill>
      <patternFill patternType="solid">
        <fgColor rgb="FFF3F3F3"/>
        <bgColor rgb="FFF3F3F3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10" fontId="1" fillId="2" borderId="0" xfId="0" applyNumberFormat="1" applyFont="1" applyFill="1"/>
    <xf numFmtId="0" fontId="1" fillId="0" borderId="0" xfId="0" applyFont="1"/>
    <xf numFmtId="16" fontId="1" fillId="0" borderId="0" xfId="0" applyNumberFormat="1" applyFont="1"/>
    <xf numFmtId="164" fontId="2" fillId="0" borderId="0" xfId="0" applyNumberFormat="1" applyFont="1"/>
    <xf numFmtId="165" fontId="3" fillId="0" borderId="0" xfId="0" applyNumberFormat="1" applyFont="1"/>
    <xf numFmtId="16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0" fontId="4" fillId="2" borderId="0" xfId="0" applyNumberFormat="1" applyFont="1" applyFill="1" applyAlignment="1">
      <alignment horizontal="right"/>
    </xf>
    <xf numFmtId="164" fontId="3" fillId="0" borderId="0" xfId="0" applyNumberFormat="1" applyFont="1"/>
    <xf numFmtId="0" fontId="1" fillId="2" borderId="0" xfId="0" applyFont="1" applyFill="1"/>
    <xf numFmtId="165" fontId="3" fillId="0" borderId="0" xfId="0" applyNumberFormat="1" applyFont="1" applyAlignment="1">
      <alignment horizontal="right"/>
    </xf>
    <xf numFmtId="10" fontId="4" fillId="3" borderId="0" xfId="0" applyNumberFormat="1" applyFont="1" applyFill="1" applyAlignment="1">
      <alignment horizontal="right"/>
    </xf>
    <xf numFmtId="165" fontId="1" fillId="0" borderId="0" xfId="0" applyNumberFormat="1" applyFont="1" applyAlignment="1">
      <alignment horizontal="right"/>
    </xf>
    <xf numFmtId="164" fontId="1" fillId="2" borderId="0" xfId="0" applyNumberFormat="1" applyFont="1" applyFill="1"/>
    <xf numFmtId="10" fontId="2" fillId="2" borderId="0" xfId="0" applyNumberFormat="1" applyFont="1" applyFill="1" applyAlignment="1">
      <alignment horizontal="right"/>
    </xf>
    <xf numFmtId="0" fontId="2" fillId="0" borderId="0" xfId="0" applyFont="1" applyAlignment="1">
      <alignment horizontal="right"/>
    </xf>
    <xf numFmtId="0" fontId="5" fillId="0" borderId="0" xfId="0" applyFont="1"/>
    <xf numFmtId="0" fontId="3" fillId="0" borderId="0" xfId="0" applyFont="1"/>
    <xf numFmtId="164" fontId="6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 applyAlignment="1">
      <alignment horizontal="right"/>
    </xf>
    <xf numFmtId="0" fontId="8" fillId="2" borderId="0" xfId="0" applyFont="1" applyFill="1"/>
    <xf numFmtId="166" fontId="7" fillId="0" borderId="0" xfId="0" applyNumberFormat="1" applyFont="1" applyAlignment="1">
      <alignment horizontal="right"/>
    </xf>
    <xf numFmtId="0" fontId="9" fillId="0" borderId="0" xfId="0" applyFont="1"/>
    <xf numFmtId="10" fontId="8" fillId="2" borderId="0" xfId="0" applyNumberFormat="1" applyFont="1" applyFill="1"/>
    <xf numFmtId="10" fontId="2" fillId="4" borderId="0" xfId="0" applyNumberFormat="1" applyFont="1" applyFill="1" applyAlignment="1">
      <alignment horizontal="right"/>
    </xf>
    <xf numFmtId="10" fontId="4" fillId="5" borderId="0" xfId="0" applyNumberFormat="1" applyFont="1" applyFill="1" applyAlignment="1">
      <alignment horizontal="right"/>
    </xf>
    <xf numFmtId="167" fontId="2" fillId="0" borderId="0" xfId="0" applyNumberFormat="1" applyFont="1"/>
    <xf numFmtId="10" fontId="2" fillId="3" borderId="0" xfId="0" applyNumberFormat="1" applyFont="1" applyFill="1" applyAlignment="1">
      <alignment horizontal="right"/>
    </xf>
    <xf numFmtId="10" fontId="4" fillId="4" borderId="0" xfId="0" applyNumberFormat="1" applyFont="1" applyFill="1" applyAlignment="1">
      <alignment horizontal="right"/>
    </xf>
    <xf numFmtId="165" fontId="5" fillId="0" borderId="0" xfId="0" applyNumberFormat="1" applyFont="1"/>
    <xf numFmtId="10" fontId="10" fillId="2" borderId="0" xfId="0" applyNumberFormat="1" applyFont="1" applyFill="1"/>
    <xf numFmtId="164" fontId="5" fillId="0" borderId="0" xfId="0" applyNumberFormat="1" applyFont="1"/>
    <xf numFmtId="164" fontId="11" fillId="0" borderId="0" xfId="0" applyNumberFormat="1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168" fontId="2" fillId="0" borderId="1" xfId="0" applyNumberFormat="1" applyFont="1" applyBorder="1" applyAlignment="1">
      <alignment horizontal="left"/>
    </xf>
    <xf numFmtId="168" fontId="2" fillId="0" borderId="1" xfId="0" applyNumberFormat="1" applyFont="1" applyBorder="1"/>
    <xf numFmtId="0" fontId="2" fillId="6" borderId="1" xfId="0" applyFont="1" applyFill="1" applyBorder="1"/>
    <xf numFmtId="10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/>
    <xf numFmtId="168" fontId="2" fillId="0" borderId="0" xfId="0" applyNumberFormat="1" applyFont="1"/>
    <xf numFmtId="168" fontId="12" fillId="0" borderId="1" xfId="0" applyNumberFormat="1" applyFont="1" applyBorder="1"/>
    <xf numFmtId="168" fontId="13" fillId="0" borderId="0" xfId="0" applyNumberFormat="1" applyFont="1"/>
    <xf numFmtId="168" fontId="2" fillId="5" borderId="1" xfId="0" applyNumberFormat="1" applyFont="1" applyFill="1" applyBorder="1"/>
    <xf numFmtId="168" fontId="2" fillId="0" borderId="3" xfId="0" applyNumberFormat="1" applyFont="1" applyBorder="1" applyAlignment="1">
      <alignment horizontal="center" vertical="center"/>
    </xf>
    <xf numFmtId="168" fontId="2" fillId="2" borderId="1" xfId="0" applyNumberFormat="1" applyFont="1" applyFill="1" applyBorder="1"/>
    <xf numFmtId="168" fontId="2" fillId="0" borderId="1" xfId="0" applyNumberFormat="1" applyFont="1" applyBorder="1" applyAlignment="1">
      <alignment horizontal="right"/>
    </xf>
    <xf numFmtId="0" fontId="1" fillId="6" borderId="1" xfId="0" applyFont="1" applyFill="1" applyBorder="1"/>
    <xf numFmtId="168" fontId="2" fillId="7" borderId="5" xfId="0" applyNumberFormat="1" applyFont="1" applyFill="1" applyBorder="1"/>
    <xf numFmtId="10" fontId="2" fillId="0" borderId="0" xfId="0" applyNumberFormat="1" applyFont="1" applyAlignment="1">
      <alignment horizontal="center"/>
    </xf>
    <xf numFmtId="168" fontId="3" fillId="0" borderId="0" xfId="0" applyNumberFormat="1" applyFont="1"/>
    <xf numFmtId="168" fontId="1" fillId="0" borderId="0" xfId="0" applyNumberFormat="1" applyFont="1"/>
    <xf numFmtId="10" fontId="2" fillId="0" borderId="0" xfId="0" applyNumberFormat="1" applyFont="1"/>
    <xf numFmtId="168" fontId="15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7" fontId="5" fillId="0" borderId="0" xfId="0" applyNumberFormat="1" applyFont="1"/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68" fontId="2" fillId="0" borderId="4" xfId="0" applyNumberFormat="1" applyFont="1" applyBorder="1" applyAlignment="1">
      <alignment horizontal="center" vertical="center"/>
    </xf>
    <xf numFmtId="168" fontId="16" fillId="0" borderId="1" xfId="0" applyNumberFormat="1" applyFont="1" applyBorder="1"/>
    <xf numFmtId="10" fontId="2" fillId="0" borderId="1" xfId="0" applyNumberFormat="1" applyFont="1" applyBorder="1"/>
    <xf numFmtId="0" fontId="17" fillId="0" borderId="0" xfId="0" applyFont="1"/>
    <xf numFmtId="167" fontId="17" fillId="0" borderId="0" xfId="0" applyNumberFormat="1" applyFont="1"/>
    <xf numFmtId="167" fontId="1" fillId="0" borderId="0" xfId="0" applyNumberFormat="1" applyFont="1"/>
    <xf numFmtId="165" fontId="4" fillId="9" borderId="9" xfId="0" applyNumberFormat="1" applyFont="1" applyFill="1" applyBorder="1" applyAlignment="1">
      <alignment horizontal="center"/>
    </xf>
    <xf numFmtId="165" fontId="4" fillId="9" borderId="10" xfId="0" applyNumberFormat="1" applyFont="1" applyFill="1" applyBorder="1" applyAlignment="1">
      <alignment horizontal="center"/>
    </xf>
    <xf numFmtId="164" fontId="2" fillId="0" borderId="0" xfId="0" applyNumberFormat="1" applyFont="1"/>
    <xf numFmtId="0" fontId="0" fillId="0" borderId="0" xfId="0"/>
    <xf numFmtId="0" fontId="9" fillId="0" borderId="0" xfId="0" applyFont="1"/>
    <xf numFmtId="165" fontId="2" fillId="0" borderId="0" xfId="0" applyNumberFormat="1" applyFont="1" applyAlignment="1">
      <alignment horizontal="center"/>
    </xf>
    <xf numFmtId="168" fontId="2" fillId="0" borderId="3" xfId="0" applyNumberFormat="1" applyFont="1" applyBorder="1" applyAlignment="1">
      <alignment horizontal="center" vertical="center"/>
    </xf>
    <xf numFmtId="0" fontId="14" fillId="0" borderId="4" xfId="0" applyFont="1" applyBorder="1"/>
    <xf numFmtId="0" fontId="4" fillId="8" borderId="7" xfId="0" applyFont="1" applyFill="1" applyBorder="1" applyAlignment="1">
      <alignment horizontal="center"/>
    </xf>
    <xf numFmtId="0" fontId="14" fillId="0" borderId="8" xfId="0" applyFont="1" applyBorder="1"/>
  </cellXfs>
  <cellStyles count="1">
    <cellStyle name="Normal" xfId="0" builtinId="0"/>
  </cellStyles>
  <dxfs count="28"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ont>
        <color rgb="FF00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9" Type="http://customschemas.google.com/relationships/workbookmetadata" Target="metadata"/><Relationship Id="rId3" Type="http://schemas.openxmlformats.org/officeDocument/2006/relationships/worksheet" Target="worksheets/sheet3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43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58"/>
  <sheetViews>
    <sheetView tabSelected="1" workbookViewId="0"/>
  </sheetViews>
  <sheetFormatPr baseColWidth="10" defaultColWidth="12.6640625" defaultRowHeight="15" customHeight="1" x14ac:dyDescent="0.2"/>
  <cols>
    <col min="1" max="1" width="21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5" t="s">
        <v>0</v>
      </c>
      <c r="B3" s="76"/>
      <c r="C3" s="76"/>
      <c r="D3" s="2"/>
      <c r="E3" s="7" t="s">
        <v>1</v>
      </c>
      <c r="F3" s="8">
        <v>46113</v>
      </c>
      <c r="G3" s="7"/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4</v>
      </c>
      <c r="B6" s="10" t="s">
        <v>11</v>
      </c>
      <c r="C6" s="11" t="s">
        <v>12</v>
      </c>
      <c r="D6" s="13">
        <v>4500</v>
      </c>
      <c r="E6" s="13">
        <f t="shared" ref="E6:E32" si="0">A6*D6</f>
        <v>18000</v>
      </c>
      <c r="F6" s="13">
        <f>E6*1.21</f>
        <v>21780</v>
      </c>
      <c r="G6" s="2"/>
      <c r="H6" s="2"/>
      <c r="I6" s="13">
        <f>54000/12</f>
        <v>4500</v>
      </c>
      <c r="J6" s="13">
        <f t="shared" ref="J6:J32" si="1">I6*A6</f>
        <v>18000</v>
      </c>
      <c r="K6" s="13">
        <f t="shared" ref="K6:K32" si="2">F6-J6</f>
        <v>3780</v>
      </c>
      <c r="L6" s="14">
        <f t="shared" ref="L6:L32" si="3">IFERROR(K6/E6, 0)</f>
        <v>0.21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1</v>
      </c>
      <c r="B7" s="10" t="s">
        <v>4</v>
      </c>
      <c r="C7" s="11" t="s">
        <v>13</v>
      </c>
      <c r="D7" s="13">
        <v>900</v>
      </c>
      <c r="E7" s="13">
        <f t="shared" si="0"/>
        <v>900</v>
      </c>
      <c r="F7" s="13">
        <f t="shared" ref="F7:F32" si="4">E7*1.105</f>
        <v>994.5</v>
      </c>
      <c r="G7" s="2"/>
      <c r="H7" s="2"/>
      <c r="I7" s="13">
        <v>460</v>
      </c>
      <c r="J7" s="13">
        <f t="shared" si="1"/>
        <v>460</v>
      </c>
      <c r="K7" s="13">
        <f t="shared" si="2"/>
        <v>534.5</v>
      </c>
      <c r="L7" s="14">
        <f t="shared" si="3"/>
        <v>0.59388888888888891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1</v>
      </c>
      <c r="B8" s="10" t="s">
        <v>4</v>
      </c>
      <c r="C8" s="11" t="s">
        <v>14</v>
      </c>
      <c r="D8" s="13">
        <v>2600</v>
      </c>
      <c r="E8" s="13">
        <f t="shared" si="0"/>
        <v>2600</v>
      </c>
      <c r="F8" s="13">
        <f t="shared" si="4"/>
        <v>2873</v>
      </c>
      <c r="G8" s="2"/>
      <c r="H8" s="2"/>
      <c r="I8" s="13">
        <f>18000/13</f>
        <v>1384.6153846153845</v>
      </c>
      <c r="J8" s="13">
        <f t="shared" si="1"/>
        <v>1384.6153846153845</v>
      </c>
      <c r="K8" s="13">
        <f t="shared" si="2"/>
        <v>1488.3846153846155</v>
      </c>
      <c r="L8" s="14">
        <f t="shared" si="3"/>
        <v>0.57245562130177519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1</v>
      </c>
      <c r="B9" s="10" t="s">
        <v>15</v>
      </c>
      <c r="C9" s="11" t="s">
        <v>16</v>
      </c>
      <c r="D9" s="13">
        <v>13000</v>
      </c>
      <c r="E9" s="13">
        <f t="shared" si="0"/>
        <v>13000</v>
      </c>
      <c r="F9" s="13">
        <f t="shared" si="4"/>
        <v>14365</v>
      </c>
      <c r="G9" s="2"/>
      <c r="H9" s="2"/>
      <c r="I9" s="13">
        <v>9000</v>
      </c>
      <c r="J9" s="13">
        <f t="shared" si="1"/>
        <v>9000</v>
      </c>
      <c r="K9" s="13">
        <f t="shared" si="2"/>
        <v>5365</v>
      </c>
      <c r="L9" s="14">
        <f t="shared" si="3"/>
        <v>0.41269230769230769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2.5</v>
      </c>
      <c r="B10" s="10" t="s">
        <v>17</v>
      </c>
      <c r="C10" s="11" t="s">
        <v>18</v>
      </c>
      <c r="D10" s="13">
        <v>1600</v>
      </c>
      <c r="E10" s="13">
        <f t="shared" si="0"/>
        <v>4000</v>
      </c>
      <c r="F10" s="13">
        <f t="shared" si="4"/>
        <v>4420</v>
      </c>
      <c r="G10" s="2"/>
      <c r="H10" s="2"/>
      <c r="I10" s="13">
        <f>12000/15</f>
        <v>800</v>
      </c>
      <c r="J10" s="13">
        <f t="shared" si="1"/>
        <v>2000</v>
      </c>
      <c r="K10" s="13">
        <f t="shared" si="2"/>
        <v>2420</v>
      </c>
      <c r="L10" s="14">
        <f t="shared" si="3"/>
        <v>0.60499999999999998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0.8</v>
      </c>
      <c r="B11" s="10" t="s">
        <v>17</v>
      </c>
      <c r="C11" s="11" t="s">
        <v>19</v>
      </c>
      <c r="D11" s="13">
        <v>4000</v>
      </c>
      <c r="E11" s="13">
        <f t="shared" si="0"/>
        <v>3200</v>
      </c>
      <c r="F11" s="13">
        <f t="shared" si="4"/>
        <v>3536</v>
      </c>
      <c r="G11" s="2"/>
      <c r="H11" s="2"/>
      <c r="I11" s="13">
        <f>13000/8</f>
        <v>1625</v>
      </c>
      <c r="J11" s="13">
        <f t="shared" si="1"/>
        <v>1300</v>
      </c>
      <c r="K11" s="13">
        <f t="shared" si="2"/>
        <v>2236</v>
      </c>
      <c r="L11" s="14">
        <f t="shared" si="3"/>
        <v>0.69874999999999998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>
        <v>25</v>
      </c>
      <c r="B12" s="10" t="s">
        <v>4</v>
      </c>
      <c r="C12" s="11" t="s">
        <v>20</v>
      </c>
      <c r="D12" s="13">
        <v>800</v>
      </c>
      <c r="E12" s="13">
        <f t="shared" si="0"/>
        <v>20000</v>
      </c>
      <c r="F12" s="13">
        <f t="shared" si="4"/>
        <v>22100</v>
      </c>
      <c r="G12" s="2"/>
      <c r="H12" s="2"/>
      <c r="I12" s="13">
        <f>30000/94</f>
        <v>319.14893617021278</v>
      </c>
      <c r="J12" s="13">
        <f t="shared" si="1"/>
        <v>7978.7234042553191</v>
      </c>
      <c r="K12" s="13">
        <f t="shared" si="2"/>
        <v>14121.276595744681</v>
      </c>
      <c r="L12" s="14">
        <f t="shared" si="3"/>
        <v>0.70606382978723403</v>
      </c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7"/>
    </row>
    <row r="13" spans="1:26" ht="15.75" customHeight="1" x14ac:dyDescent="0.2">
      <c r="A13" s="12">
        <v>2</v>
      </c>
      <c r="B13" s="10" t="s">
        <v>21</v>
      </c>
      <c r="C13" s="11" t="s">
        <v>22</v>
      </c>
      <c r="D13" s="13">
        <v>1700</v>
      </c>
      <c r="E13" s="13">
        <f t="shared" si="0"/>
        <v>3400</v>
      </c>
      <c r="F13" s="13">
        <f t="shared" si="4"/>
        <v>3757</v>
      </c>
      <c r="G13" s="2"/>
      <c r="H13" s="2"/>
      <c r="I13" s="13">
        <f>12000/10</f>
        <v>1200</v>
      </c>
      <c r="J13" s="13">
        <f t="shared" si="1"/>
        <v>2400</v>
      </c>
      <c r="K13" s="13">
        <f t="shared" si="2"/>
        <v>1357</v>
      </c>
      <c r="L13" s="14">
        <f t="shared" si="3"/>
        <v>0.39911764705882352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ht="15.75" customHeight="1" x14ac:dyDescent="0.2">
      <c r="A14" s="12">
        <v>0.5</v>
      </c>
      <c r="B14" s="10" t="s">
        <v>23</v>
      </c>
      <c r="C14" s="11" t="s">
        <v>24</v>
      </c>
      <c r="D14" s="13">
        <v>58000</v>
      </c>
      <c r="E14" s="13">
        <f t="shared" si="0"/>
        <v>29000</v>
      </c>
      <c r="F14" s="13">
        <f t="shared" si="4"/>
        <v>32045</v>
      </c>
      <c r="G14" s="2"/>
      <c r="H14" s="2"/>
      <c r="I14" s="13">
        <v>53000</v>
      </c>
      <c r="J14" s="13">
        <f t="shared" si="1"/>
        <v>26500</v>
      </c>
      <c r="K14" s="13">
        <f t="shared" si="2"/>
        <v>5545</v>
      </c>
      <c r="L14" s="14">
        <f t="shared" si="3"/>
        <v>0.19120689655172413</v>
      </c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2">
        <v>0.5</v>
      </c>
      <c r="B15" s="10" t="s">
        <v>23</v>
      </c>
      <c r="C15" s="11" t="s">
        <v>25</v>
      </c>
      <c r="D15" s="13">
        <v>70000</v>
      </c>
      <c r="E15" s="13">
        <f t="shared" si="0"/>
        <v>35000</v>
      </c>
      <c r="F15" s="13">
        <f t="shared" si="4"/>
        <v>38675</v>
      </c>
      <c r="G15" s="2"/>
      <c r="H15" s="2"/>
      <c r="I15" s="13">
        <v>65000</v>
      </c>
      <c r="J15" s="13">
        <f t="shared" si="1"/>
        <v>32500</v>
      </c>
      <c r="K15" s="13">
        <f t="shared" si="2"/>
        <v>6175</v>
      </c>
      <c r="L15" s="14">
        <f t="shared" si="3"/>
        <v>0.17642857142857143</v>
      </c>
      <c r="M15" s="1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2">
        <v>1</v>
      </c>
      <c r="B16" s="10" t="s">
        <v>23</v>
      </c>
      <c r="C16" s="11" t="s">
        <v>26</v>
      </c>
      <c r="D16" s="13">
        <v>25000</v>
      </c>
      <c r="E16" s="13">
        <f t="shared" si="0"/>
        <v>25000</v>
      </c>
      <c r="F16" s="13">
        <f t="shared" si="4"/>
        <v>27625</v>
      </c>
      <c r="G16" s="2"/>
      <c r="H16" s="2"/>
      <c r="I16" s="13">
        <v>22000</v>
      </c>
      <c r="J16" s="13">
        <f t="shared" si="1"/>
        <v>22000</v>
      </c>
      <c r="K16" s="13">
        <f t="shared" si="2"/>
        <v>5625</v>
      </c>
      <c r="L16" s="14">
        <f t="shared" si="3"/>
        <v>0.22500000000000001</v>
      </c>
      <c r="M16" s="1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2">
        <v>1</v>
      </c>
      <c r="B17" s="10" t="s">
        <v>15</v>
      </c>
      <c r="C17" s="11" t="s">
        <v>27</v>
      </c>
      <c r="D17" s="13">
        <v>23000</v>
      </c>
      <c r="E17" s="13">
        <f t="shared" si="0"/>
        <v>23000</v>
      </c>
      <c r="F17" s="13">
        <f t="shared" si="4"/>
        <v>25415</v>
      </c>
      <c r="G17" s="2"/>
      <c r="H17" s="2"/>
      <c r="I17" s="13">
        <v>19000</v>
      </c>
      <c r="J17" s="13">
        <f t="shared" si="1"/>
        <v>19000</v>
      </c>
      <c r="K17" s="13">
        <f t="shared" si="2"/>
        <v>6415</v>
      </c>
      <c r="L17" s="14">
        <f t="shared" si="3"/>
        <v>0.27891304347826085</v>
      </c>
      <c r="M17" s="1"/>
      <c r="N17" s="2"/>
      <c r="O17" s="4"/>
      <c r="P17" s="2"/>
      <c r="Q17" s="2"/>
      <c r="R17" s="5"/>
      <c r="S17" s="2"/>
      <c r="T17" s="2"/>
      <c r="U17" s="1"/>
      <c r="V17" s="2"/>
      <c r="W17" s="2"/>
      <c r="X17" s="2"/>
      <c r="Y17" s="2"/>
      <c r="Z17" s="2"/>
    </row>
    <row r="18" spans="1:26" x14ac:dyDescent="0.2">
      <c r="A18" s="12">
        <v>1</v>
      </c>
      <c r="B18" s="10" t="s">
        <v>21</v>
      </c>
      <c r="C18" s="11" t="s">
        <v>28</v>
      </c>
      <c r="D18" s="13">
        <v>3000</v>
      </c>
      <c r="E18" s="13">
        <f t="shared" si="0"/>
        <v>3000</v>
      </c>
      <c r="F18" s="13">
        <f t="shared" si="4"/>
        <v>3315</v>
      </c>
      <c r="G18" s="2"/>
      <c r="H18" s="2"/>
      <c r="I18" s="13">
        <v>2000</v>
      </c>
      <c r="J18" s="13">
        <f t="shared" si="1"/>
        <v>2000</v>
      </c>
      <c r="K18" s="13">
        <f t="shared" si="2"/>
        <v>1315</v>
      </c>
      <c r="L18" s="14">
        <f t="shared" si="3"/>
        <v>0.43833333333333335</v>
      </c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x14ac:dyDescent="0.2">
      <c r="A19" s="12">
        <v>0.1</v>
      </c>
      <c r="B19" s="10" t="s">
        <v>17</v>
      </c>
      <c r="C19" s="11" t="s">
        <v>29</v>
      </c>
      <c r="D19" s="13">
        <v>3500</v>
      </c>
      <c r="E19" s="13">
        <f t="shared" si="0"/>
        <v>350</v>
      </c>
      <c r="F19" s="13">
        <f t="shared" si="4"/>
        <v>386.75</v>
      </c>
      <c r="G19" s="2"/>
      <c r="H19" s="2"/>
      <c r="I19" s="13">
        <v>1000</v>
      </c>
      <c r="J19" s="13">
        <f t="shared" si="1"/>
        <v>100</v>
      </c>
      <c r="K19" s="13">
        <f t="shared" si="2"/>
        <v>286.75</v>
      </c>
      <c r="L19" s="14">
        <f t="shared" si="3"/>
        <v>0.81928571428571428</v>
      </c>
      <c r="M19" s="1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x14ac:dyDescent="0.2">
      <c r="A20" s="12">
        <v>0.75</v>
      </c>
      <c r="B20" s="10" t="s">
        <v>17</v>
      </c>
      <c r="C20" s="11" t="s">
        <v>30</v>
      </c>
      <c r="D20" s="13">
        <v>1500</v>
      </c>
      <c r="E20" s="13">
        <f t="shared" si="0"/>
        <v>1125</v>
      </c>
      <c r="F20" s="13">
        <f t="shared" si="4"/>
        <v>1243.125</v>
      </c>
      <c r="G20" s="2"/>
      <c r="H20" s="2"/>
      <c r="I20" s="13">
        <v>1500</v>
      </c>
      <c r="J20" s="13">
        <f t="shared" si="1"/>
        <v>1125</v>
      </c>
      <c r="K20" s="13">
        <f t="shared" si="2"/>
        <v>118.125</v>
      </c>
      <c r="L20" s="14">
        <f t="shared" si="3"/>
        <v>0.105</v>
      </c>
      <c r="M20" s="1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x14ac:dyDescent="0.2">
      <c r="A21" s="12">
        <v>1.3</v>
      </c>
      <c r="B21" s="10" t="s">
        <v>17</v>
      </c>
      <c r="C21" s="11" t="s">
        <v>31</v>
      </c>
      <c r="D21" s="13">
        <v>3200</v>
      </c>
      <c r="E21" s="13">
        <f t="shared" si="0"/>
        <v>4160</v>
      </c>
      <c r="F21" s="13">
        <f t="shared" si="4"/>
        <v>4596.8</v>
      </c>
      <c r="G21" s="2"/>
      <c r="H21" s="2"/>
      <c r="I21" s="13">
        <v>1000</v>
      </c>
      <c r="J21" s="13">
        <f t="shared" si="1"/>
        <v>1300</v>
      </c>
      <c r="K21" s="13">
        <f t="shared" si="2"/>
        <v>3296.8</v>
      </c>
      <c r="L21" s="14">
        <f t="shared" si="3"/>
        <v>0.79250000000000009</v>
      </c>
      <c r="M21" s="1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x14ac:dyDescent="0.2">
      <c r="A22" s="12">
        <v>0.5</v>
      </c>
      <c r="B22" s="10" t="s">
        <v>17</v>
      </c>
      <c r="C22" s="11" t="s">
        <v>32</v>
      </c>
      <c r="D22" s="13">
        <v>2400</v>
      </c>
      <c r="E22" s="13">
        <f t="shared" si="0"/>
        <v>1200</v>
      </c>
      <c r="F22" s="13">
        <f t="shared" si="4"/>
        <v>1326</v>
      </c>
      <c r="G22" s="2"/>
      <c r="H22" s="2"/>
      <c r="I22" s="13">
        <v>1000</v>
      </c>
      <c r="J22" s="13">
        <f t="shared" si="1"/>
        <v>500</v>
      </c>
      <c r="K22" s="13">
        <f t="shared" si="2"/>
        <v>826</v>
      </c>
      <c r="L22" s="14">
        <f t="shared" si="3"/>
        <v>0.68833333333333335</v>
      </c>
      <c r="M22" s="1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x14ac:dyDescent="0.2">
      <c r="A23" s="12">
        <v>0.5</v>
      </c>
      <c r="B23" s="10" t="s">
        <v>17</v>
      </c>
      <c r="C23" s="11" t="s">
        <v>33</v>
      </c>
      <c r="D23" s="13">
        <v>2800</v>
      </c>
      <c r="E23" s="13">
        <f t="shared" si="0"/>
        <v>1400</v>
      </c>
      <c r="F23" s="13">
        <f t="shared" si="4"/>
        <v>1547</v>
      </c>
      <c r="G23" s="2"/>
      <c r="H23" s="2"/>
      <c r="I23" s="13">
        <f>12000/7</f>
        <v>1714.2857142857142</v>
      </c>
      <c r="J23" s="13">
        <f t="shared" si="1"/>
        <v>857.14285714285711</v>
      </c>
      <c r="K23" s="13">
        <f t="shared" si="2"/>
        <v>689.85714285714289</v>
      </c>
      <c r="L23" s="14">
        <f t="shared" si="3"/>
        <v>0.49275510204081635</v>
      </c>
      <c r="M23" s="1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x14ac:dyDescent="0.2">
      <c r="A24" s="12">
        <v>1.2</v>
      </c>
      <c r="B24" s="10" t="s">
        <v>17</v>
      </c>
      <c r="C24" s="11" t="s">
        <v>34</v>
      </c>
      <c r="D24" s="13">
        <v>5000</v>
      </c>
      <c r="E24" s="13">
        <f t="shared" si="0"/>
        <v>6000</v>
      </c>
      <c r="F24" s="13">
        <f t="shared" si="4"/>
        <v>6630</v>
      </c>
      <c r="G24" s="2"/>
      <c r="H24" s="2"/>
      <c r="I24" s="13">
        <v>2000</v>
      </c>
      <c r="J24" s="13">
        <f t="shared" si="1"/>
        <v>2400</v>
      </c>
      <c r="K24" s="13">
        <f t="shared" si="2"/>
        <v>4230</v>
      </c>
      <c r="L24" s="14">
        <f t="shared" si="3"/>
        <v>0.70499999999999996</v>
      </c>
      <c r="M24" s="1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x14ac:dyDescent="0.2">
      <c r="A25" s="12">
        <v>0.6</v>
      </c>
      <c r="B25" s="10" t="s">
        <v>17</v>
      </c>
      <c r="C25" s="11" t="s">
        <v>35</v>
      </c>
      <c r="D25" s="13">
        <v>2500</v>
      </c>
      <c r="E25" s="13">
        <f t="shared" si="0"/>
        <v>1500</v>
      </c>
      <c r="F25" s="13">
        <f t="shared" si="4"/>
        <v>1657.5</v>
      </c>
      <c r="G25" s="2"/>
      <c r="H25" s="2"/>
      <c r="I25" s="13">
        <f>14000/11</f>
        <v>1272.7272727272727</v>
      </c>
      <c r="J25" s="13">
        <f t="shared" si="1"/>
        <v>763.63636363636363</v>
      </c>
      <c r="K25" s="13">
        <f t="shared" si="2"/>
        <v>893.86363636363637</v>
      </c>
      <c r="L25" s="14">
        <f t="shared" si="3"/>
        <v>0.59590909090909094</v>
      </c>
      <c r="M25" s="1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x14ac:dyDescent="0.2">
      <c r="A26" s="12">
        <v>2</v>
      </c>
      <c r="B26" s="10" t="s">
        <v>17</v>
      </c>
      <c r="C26" s="11" t="s">
        <v>36</v>
      </c>
      <c r="D26" s="13">
        <v>1800</v>
      </c>
      <c r="E26" s="13">
        <f t="shared" si="0"/>
        <v>3600</v>
      </c>
      <c r="F26" s="13">
        <f t="shared" si="4"/>
        <v>3978</v>
      </c>
      <c r="G26" s="2"/>
      <c r="H26" s="2"/>
      <c r="I26" s="13">
        <v>1000</v>
      </c>
      <c r="J26" s="13">
        <f t="shared" si="1"/>
        <v>2000</v>
      </c>
      <c r="K26" s="13">
        <f t="shared" si="2"/>
        <v>1978</v>
      </c>
      <c r="L26" s="14">
        <f t="shared" si="3"/>
        <v>0.5494444444444444</v>
      </c>
      <c r="M26" s="1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7" t="s">
        <v>37</v>
      </c>
    </row>
    <row r="27" spans="1:26" x14ac:dyDescent="0.2">
      <c r="A27" s="12">
        <v>1.2</v>
      </c>
      <c r="B27" s="10" t="s">
        <v>17</v>
      </c>
      <c r="C27" s="11" t="s">
        <v>38</v>
      </c>
      <c r="D27" s="13">
        <v>1800</v>
      </c>
      <c r="E27" s="13">
        <f t="shared" si="0"/>
        <v>2160</v>
      </c>
      <c r="F27" s="13">
        <f t="shared" si="4"/>
        <v>2386.8000000000002</v>
      </c>
      <c r="G27" s="2"/>
      <c r="H27" s="7"/>
      <c r="I27" s="13">
        <v>1000</v>
      </c>
      <c r="J27" s="13">
        <f t="shared" si="1"/>
        <v>1200</v>
      </c>
      <c r="K27" s="13">
        <f t="shared" si="2"/>
        <v>1186.8000000000002</v>
      </c>
      <c r="L27" s="14">
        <f t="shared" si="3"/>
        <v>0.54944444444444451</v>
      </c>
      <c r="M27" s="1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x14ac:dyDescent="0.2">
      <c r="A28" s="12">
        <v>9</v>
      </c>
      <c r="B28" s="10" t="s">
        <v>17</v>
      </c>
      <c r="C28" s="11" t="s">
        <v>39</v>
      </c>
      <c r="D28" s="13">
        <v>2400</v>
      </c>
      <c r="E28" s="13">
        <f t="shared" si="0"/>
        <v>21600</v>
      </c>
      <c r="F28" s="13">
        <f t="shared" si="4"/>
        <v>23868</v>
      </c>
      <c r="G28" s="2"/>
      <c r="H28" s="7"/>
      <c r="I28" s="13">
        <f>15000/15</f>
        <v>1000</v>
      </c>
      <c r="J28" s="13">
        <f t="shared" si="1"/>
        <v>9000</v>
      </c>
      <c r="K28" s="13">
        <f t="shared" si="2"/>
        <v>14868</v>
      </c>
      <c r="L28" s="14">
        <f t="shared" si="3"/>
        <v>0.68833333333333335</v>
      </c>
      <c r="M28" s="1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x14ac:dyDescent="0.2">
      <c r="A29" s="12">
        <v>6</v>
      </c>
      <c r="B29" s="10" t="s">
        <v>17</v>
      </c>
      <c r="C29" s="11" t="s">
        <v>40</v>
      </c>
      <c r="D29" s="13">
        <v>1300</v>
      </c>
      <c r="E29" s="13">
        <f t="shared" si="0"/>
        <v>7800</v>
      </c>
      <c r="F29" s="13">
        <f t="shared" si="4"/>
        <v>8619</v>
      </c>
      <c r="G29" s="2"/>
      <c r="H29" s="2"/>
      <c r="I29" s="13">
        <v>1000</v>
      </c>
      <c r="J29" s="13">
        <f t="shared" si="1"/>
        <v>6000</v>
      </c>
      <c r="K29" s="13">
        <f t="shared" si="2"/>
        <v>2619</v>
      </c>
      <c r="L29" s="14">
        <f t="shared" si="3"/>
        <v>0.33576923076923076</v>
      </c>
      <c r="M29" s="1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x14ac:dyDescent="0.2">
      <c r="A30" s="12">
        <v>2</v>
      </c>
      <c r="B30" s="10" t="s">
        <v>4</v>
      </c>
      <c r="C30" s="11" t="s">
        <v>41</v>
      </c>
      <c r="D30" s="13">
        <v>2800</v>
      </c>
      <c r="E30" s="13">
        <f t="shared" si="0"/>
        <v>5600</v>
      </c>
      <c r="F30" s="13">
        <f t="shared" si="4"/>
        <v>6188</v>
      </c>
      <c r="G30" s="2"/>
      <c r="H30" s="2"/>
      <c r="I30" s="13">
        <f>18000/10</f>
        <v>1800</v>
      </c>
      <c r="J30" s="13">
        <f t="shared" si="1"/>
        <v>3600</v>
      </c>
      <c r="K30" s="13">
        <f t="shared" si="2"/>
        <v>2588</v>
      </c>
      <c r="L30" s="14">
        <f t="shared" si="3"/>
        <v>0.46214285714285713</v>
      </c>
      <c r="M30" s="1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x14ac:dyDescent="0.2">
      <c r="A31" s="12">
        <v>0.5</v>
      </c>
      <c r="B31" s="10" t="s">
        <v>21</v>
      </c>
      <c r="C31" s="11" t="s">
        <v>42</v>
      </c>
      <c r="D31" s="13">
        <v>4500</v>
      </c>
      <c r="E31" s="13">
        <f t="shared" si="0"/>
        <v>2250</v>
      </c>
      <c r="F31" s="13">
        <f t="shared" si="4"/>
        <v>2486.25</v>
      </c>
      <c r="G31" s="2"/>
      <c r="H31" s="2"/>
      <c r="I31" s="13">
        <v>1200</v>
      </c>
      <c r="J31" s="13">
        <f t="shared" si="1"/>
        <v>600</v>
      </c>
      <c r="K31" s="13">
        <f t="shared" si="2"/>
        <v>1886.25</v>
      </c>
      <c r="L31" s="14">
        <f t="shared" si="3"/>
        <v>0.83833333333333337</v>
      </c>
      <c r="M31" s="1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x14ac:dyDescent="0.2">
      <c r="A32" s="12">
        <v>0.5</v>
      </c>
      <c r="B32" s="10" t="s">
        <v>17</v>
      </c>
      <c r="C32" s="11" t="s">
        <v>43</v>
      </c>
      <c r="D32" s="13">
        <v>3200</v>
      </c>
      <c r="E32" s="13">
        <f t="shared" si="0"/>
        <v>1600</v>
      </c>
      <c r="F32" s="13">
        <f t="shared" si="4"/>
        <v>1768</v>
      </c>
      <c r="G32" s="2"/>
      <c r="H32" s="2"/>
      <c r="I32" s="13">
        <v>2000</v>
      </c>
      <c r="J32" s="13">
        <f t="shared" si="1"/>
        <v>1000</v>
      </c>
      <c r="K32" s="13">
        <f t="shared" si="2"/>
        <v>768</v>
      </c>
      <c r="L32" s="14">
        <f t="shared" si="3"/>
        <v>0.48</v>
      </c>
      <c r="M32" s="1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x14ac:dyDescent="0.2">
      <c r="A33" s="1"/>
      <c r="B33" s="2"/>
      <c r="C33" s="4"/>
      <c r="D33" s="2"/>
      <c r="E33" s="2"/>
      <c r="F33" s="2"/>
      <c r="G33" s="2"/>
      <c r="H33" s="2"/>
      <c r="I33" s="2"/>
      <c r="J33" s="2"/>
      <c r="K33" s="2"/>
      <c r="L33" s="3"/>
      <c r="M33" s="1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x14ac:dyDescent="0.2">
      <c r="A34" s="1"/>
      <c r="B34" s="2"/>
      <c r="C34" s="4"/>
      <c r="D34" s="2"/>
      <c r="E34" s="13">
        <f t="shared" ref="E34:F34" si="5">SUM(E6:E32)</f>
        <v>240445</v>
      </c>
      <c r="F34" s="13">
        <f t="shared" si="5"/>
        <v>267581.72499999998</v>
      </c>
      <c r="G34" s="2"/>
      <c r="H34" s="2"/>
      <c r="I34" s="2"/>
      <c r="J34" s="2"/>
      <c r="K34" s="13">
        <f>SUM(K6:K32)</f>
        <v>92612.606990350076</v>
      </c>
      <c r="L34" s="14">
        <f>K34/F34</f>
        <v>0.34610961189651529</v>
      </c>
      <c r="M34" s="1"/>
      <c r="N34" s="2"/>
      <c r="O34" s="4"/>
      <c r="P34" s="2"/>
      <c r="Q34" s="2"/>
      <c r="R34" s="4"/>
      <c r="S34" s="2"/>
      <c r="T34" s="2"/>
      <c r="U34" s="1"/>
      <c r="V34" s="2"/>
      <c r="W34" s="2"/>
      <c r="X34" s="2"/>
      <c r="Y34" s="2"/>
      <c r="Z34" s="2"/>
    </row>
    <row r="35" spans="1:26" x14ac:dyDescent="0.2">
      <c r="A35" s="1"/>
      <c r="B35" s="2"/>
      <c r="C35" s="4"/>
      <c r="D35" s="2"/>
      <c r="E35" s="2"/>
      <c r="F35" s="2"/>
      <c r="G35" s="2"/>
      <c r="H35" s="2"/>
      <c r="I35" s="2"/>
      <c r="J35" s="2"/>
      <c r="K35" s="2"/>
      <c r="L35" s="3"/>
      <c r="M35" s="1"/>
      <c r="N35" s="2"/>
      <c r="O35" s="4"/>
      <c r="P35" s="2"/>
      <c r="Q35" s="2"/>
      <c r="R35" s="4"/>
      <c r="S35" s="2"/>
      <c r="T35" s="2"/>
      <c r="U35" s="1"/>
      <c r="V35" s="2"/>
      <c r="W35" s="2"/>
      <c r="X35" s="2"/>
      <c r="Y35" s="2"/>
      <c r="Z35" s="2"/>
    </row>
    <row r="36" spans="1:26" x14ac:dyDescent="0.2">
      <c r="A36" s="1"/>
      <c r="B36" s="2"/>
      <c r="C36" s="4"/>
      <c r="D36" s="2"/>
      <c r="E36" s="2"/>
      <c r="F36" s="2"/>
      <c r="G36" s="2"/>
      <c r="H36" s="2"/>
      <c r="I36" s="2"/>
      <c r="J36" s="2"/>
      <c r="K36" s="2"/>
      <c r="L36" s="3"/>
      <c r="M36" s="1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x14ac:dyDescent="0.2">
      <c r="A37" s="75" t="s">
        <v>44</v>
      </c>
      <c r="B37" s="76"/>
      <c r="C37" s="76"/>
      <c r="D37" s="2"/>
      <c r="E37" s="7" t="s">
        <v>45</v>
      </c>
      <c r="F37" s="8">
        <v>46113</v>
      </c>
      <c r="G37" s="7"/>
      <c r="H37" s="2"/>
      <c r="I37" s="9" t="s">
        <v>2</v>
      </c>
      <c r="J37" s="9"/>
      <c r="K37" s="9"/>
      <c r="L37" s="3"/>
      <c r="M37" s="1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x14ac:dyDescent="0.2">
      <c r="A38" s="1"/>
      <c r="B38" s="2"/>
      <c r="C38" s="5"/>
      <c r="D38" s="2"/>
      <c r="E38" s="2"/>
      <c r="F38" s="2"/>
      <c r="G38" s="2"/>
      <c r="H38" s="2"/>
      <c r="I38" s="2"/>
      <c r="J38" s="2"/>
      <c r="K38" s="2"/>
      <c r="L38" s="3"/>
      <c r="M38" s="1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x14ac:dyDescent="0.2">
      <c r="A39" s="6" t="s">
        <v>3</v>
      </c>
      <c r="B39" s="10" t="s">
        <v>4</v>
      </c>
      <c r="C39" s="11" t="s">
        <v>5</v>
      </c>
      <c r="D39" s="10" t="s">
        <v>6</v>
      </c>
      <c r="E39" s="10" t="s">
        <v>7</v>
      </c>
      <c r="F39" s="10" t="s">
        <v>8</v>
      </c>
      <c r="G39" s="2"/>
      <c r="H39" s="2"/>
      <c r="I39" s="10" t="s">
        <v>9</v>
      </c>
      <c r="J39" s="10" t="s">
        <v>7</v>
      </c>
      <c r="K39" s="10" t="s">
        <v>10</v>
      </c>
      <c r="L39" s="3"/>
      <c r="M39" s="1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x14ac:dyDescent="0.2">
      <c r="A40" s="12">
        <v>1.5</v>
      </c>
      <c r="B40" s="10" t="s">
        <v>17</v>
      </c>
      <c r="C40" s="11" t="s">
        <v>35</v>
      </c>
      <c r="D40" s="13">
        <v>2500</v>
      </c>
      <c r="E40" s="13">
        <f t="shared" ref="E40:E58" si="6">A40*D40</f>
        <v>3750</v>
      </c>
      <c r="F40" s="13">
        <f t="shared" ref="F40:F50" si="7">E40*1.105</f>
        <v>4143.75</v>
      </c>
      <c r="G40" s="2"/>
      <c r="H40" s="2"/>
      <c r="I40" s="13">
        <f>14000/11</f>
        <v>1272.7272727272727</v>
      </c>
      <c r="J40" s="13">
        <f t="shared" ref="J40:J58" si="8">I40*A40</f>
        <v>1909.090909090909</v>
      </c>
      <c r="K40" s="13">
        <f t="shared" ref="K40:K58" si="9">F40-J40</f>
        <v>2234.659090909091</v>
      </c>
      <c r="L40" s="14">
        <f t="shared" ref="L40:L58" si="10">IFERROR(K40/E40, 0)</f>
        <v>0.59590909090909094</v>
      </c>
      <c r="M40" s="1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A41" s="12">
        <v>1</v>
      </c>
      <c r="B41" s="10" t="s">
        <v>15</v>
      </c>
      <c r="C41" s="11" t="s">
        <v>40</v>
      </c>
      <c r="D41" s="13">
        <v>12000</v>
      </c>
      <c r="E41" s="13">
        <f t="shared" si="6"/>
        <v>12000</v>
      </c>
      <c r="F41" s="13">
        <f t="shared" si="7"/>
        <v>13260</v>
      </c>
      <c r="G41" s="2"/>
      <c r="H41" s="2"/>
      <c r="I41" s="13">
        <v>7000</v>
      </c>
      <c r="J41" s="13">
        <f t="shared" si="8"/>
        <v>7000</v>
      </c>
      <c r="K41" s="13">
        <f t="shared" si="9"/>
        <v>6260</v>
      </c>
      <c r="L41" s="14">
        <f t="shared" si="10"/>
        <v>0.52166666666666661</v>
      </c>
      <c r="M41" s="1"/>
      <c r="N41" s="4"/>
      <c r="O41" s="4"/>
      <c r="P41" s="4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A42" s="12">
        <v>1</v>
      </c>
      <c r="B42" s="10" t="s">
        <v>17</v>
      </c>
      <c r="C42" s="11" t="s">
        <v>31</v>
      </c>
      <c r="D42" s="13">
        <v>3200</v>
      </c>
      <c r="E42" s="13">
        <f t="shared" si="6"/>
        <v>3200</v>
      </c>
      <c r="F42" s="13">
        <f t="shared" si="7"/>
        <v>3536</v>
      </c>
      <c r="G42" s="2"/>
      <c r="H42" s="2"/>
      <c r="I42" s="13">
        <v>1000</v>
      </c>
      <c r="J42" s="13">
        <f t="shared" si="8"/>
        <v>1000</v>
      </c>
      <c r="K42" s="13">
        <f t="shared" si="9"/>
        <v>2536</v>
      </c>
      <c r="L42" s="14">
        <f t="shared" si="10"/>
        <v>0.79249999999999998</v>
      </c>
      <c r="M42" s="1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2">
        <v>3</v>
      </c>
      <c r="B43" s="10" t="s">
        <v>17</v>
      </c>
      <c r="C43" s="11" t="s">
        <v>18</v>
      </c>
      <c r="D43" s="13">
        <v>1600</v>
      </c>
      <c r="E43" s="13">
        <f t="shared" si="6"/>
        <v>4800</v>
      </c>
      <c r="F43" s="13">
        <f t="shared" si="7"/>
        <v>5304</v>
      </c>
      <c r="G43" s="2"/>
      <c r="H43" s="2"/>
      <c r="I43" s="13">
        <f>12000/15</f>
        <v>800</v>
      </c>
      <c r="J43" s="13">
        <f t="shared" si="8"/>
        <v>2400</v>
      </c>
      <c r="K43" s="13">
        <f t="shared" si="9"/>
        <v>2904</v>
      </c>
      <c r="L43" s="14">
        <f t="shared" si="10"/>
        <v>0.60499999999999998</v>
      </c>
      <c r="M43" s="1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ht="15.75" customHeight="1" x14ac:dyDescent="0.2">
      <c r="A44" s="12">
        <v>1.5</v>
      </c>
      <c r="B44" s="10" t="s">
        <v>17</v>
      </c>
      <c r="C44" s="11" t="s">
        <v>34</v>
      </c>
      <c r="D44" s="13">
        <v>5000</v>
      </c>
      <c r="E44" s="13">
        <f t="shared" si="6"/>
        <v>7500</v>
      </c>
      <c r="F44" s="13">
        <f t="shared" si="7"/>
        <v>8287.5</v>
      </c>
      <c r="G44" s="2"/>
      <c r="H44" s="2"/>
      <c r="I44" s="13">
        <v>2000</v>
      </c>
      <c r="J44" s="13">
        <f t="shared" si="8"/>
        <v>3000</v>
      </c>
      <c r="K44" s="13">
        <f t="shared" si="9"/>
        <v>5287.5</v>
      </c>
      <c r="L44" s="14">
        <f t="shared" si="10"/>
        <v>0.70499999999999996</v>
      </c>
      <c r="M44" s="1"/>
      <c r="N44" s="2"/>
      <c r="O44" s="4"/>
      <c r="P44" s="2"/>
      <c r="Q44" s="2"/>
      <c r="R44" s="5"/>
      <c r="S44" s="2"/>
      <c r="T44" s="2"/>
      <c r="U44" s="1"/>
      <c r="V44" s="2"/>
      <c r="W44" s="2"/>
      <c r="X44" s="2"/>
      <c r="Y44" s="2"/>
      <c r="Z44" s="2"/>
    </row>
    <row r="45" spans="1:26" x14ac:dyDescent="0.2">
      <c r="A45" s="12">
        <v>0.5</v>
      </c>
      <c r="B45" s="10" t="s">
        <v>21</v>
      </c>
      <c r="C45" s="11" t="s">
        <v>42</v>
      </c>
      <c r="D45" s="13">
        <v>4500</v>
      </c>
      <c r="E45" s="13">
        <f t="shared" si="6"/>
        <v>2250</v>
      </c>
      <c r="F45" s="13">
        <f t="shared" si="7"/>
        <v>2486.25</v>
      </c>
      <c r="G45" s="2"/>
      <c r="H45" s="2"/>
      <c r="I45" s="13">
        <v>1200</v>
      </c>
      <c r="J45" s="13">
        <f t="shared" si="8"/>
        <v>600</v>
      </c>
      <c r="K45" s="13">
        <f t="shared" si="9"/>
        <v>1886.25</v>
      </c>
      <c r="L45" s="14">
        <f t="shared" si="10"/>
        <v>0.83833333333333337</v>
      </c>
      <c r="M45" s="1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x14ac:dyDescent="0.2">
      <c r="A46" s="12">
        <v>0.5</v>
      </c>
      <c r="B46" s="10" t="s">
        <v>21</v>
      </c>
      <c r="C46" s="11" t="s">
        <v>29</v>
      </c>
      <c r="D46" s="13">
        <v>3500</v>
      </c>
      <c r="E46" s="13">
        <f t="shared" si="6"/>
        <v>1750</v>
      </c>
      <c r="F46" s="13">
        <f t="shared" si="7"/>
        <v>1933.75</v>
      </c>
      <c r="G46" s="2"/>
      <c r="H46" s="2"/>
      <c r="I46" s="13">
        <v>1000</v>
      </c>
      <c r="J46" s="13">
        <f t="shared" si="8"/>
        <v>500</v>
      </c>
      <c r="K46" s="13">
        <f t="shared" si="9"/>
        <v>1433.75</v>
      </c>
      <c r="L46" s="14">
        <f t="shared" si="10"/>
        <v>0.81928571428571428</v>
      </c>
      <c r="M46" s="1"/>
      <c r="N46" s="2"/>
      <c r="O46" s="4"/>
      <c r="P46" s="2"/>
      <c r="Q46" s="2"/>
      <c r="R46" s="4"/>
      <c r="S46" s="2"/>
      <c r="T46" s="2"/>
      <c r="U46" s="1"/>
      <c r="V46" s="2"/>
      <c r="W46" s="2"/>
      <c r="X46" s="2"/>
      <c r="Y46" s="2"/>
      <c r="Z46" s="2"/>
    </row>
    <row r="47" spans="1:26" x14ac:dyDescent="0.2">
      <c r="A47" s="12">
        <v>5</v>
      </c>
      <c r="B47" s="10" t="s">
        <v>17</v>
      </c>
      <c r="C47" s="11" t="s">
        <v>39</v>
      </c>
      <c r="D47" s="13">
        <v>2400</v>
      </c>
      <c r="E47" s="13">
        <f t="shared" si="6"/>
        <v>12000</v>
      </c>
      <c r="F47" s="13">
        <f t="shared" si="7"/>
        <v>13260</v>
      </c>
      <c r="G47" s="2"/>
      <c r="H47" s="2"/>
      <c r="I47" s="13">
        <f>15000/15</f>
        <v>1000</v>
      </c>
      <c r="J47" s="13">
        <f t="shared" si="8"/>
        <v>5000</v>
      </c>
      <c r="K47" s="13">
        <f t="shared" si="9"/>
        <v>8260</v>
      </c>
      <c r="L47" s="14">
        <f t="shared" si="10"/>
        <v>0.68833333333333335</v>
      </c>
      <c r="M47" s="1"/>
      <c r="N47" s="2"/>
      <c r="O47" s="4"/>
      <c r="P47" s="2"/>
      <c r="Q47" s="2"/>
      <c r="R47" s="4"/>
      <c r="S47" s="2"/>
      <c r="T47" s="2"/>
      <c r="U47" s="1"/>
      <c r="V47" s="2"/>
      <c r="W47" s="2"/>
      <c r="X47" s="2"/>
      <c r="Y47" s="2"/>
      <c r="Z47" s="2"/>
    </row>
    <row r="48" spans="1:26" x14ac:dyDescent="0.2">
      <c r="A48" s="12">
        <v>0.5</v>
      </c>
      <c r="B48" s="10" t="s">
        <v>17</v>
      </c>
      <c r="C48" s="11" t="s">
        <v>30</v>
      </c>
      <c r="D48" s="13">
        <v>1500</v>
      </c>
      <c r="E48" s="13">
        <f t="shared" si="6"/>
        <v>750</v>
      </c>
      <c r="F48" s="13">
        <f t="shared" si="7"/>
        <v>828.75</v>
      </c>
      <c r="G48" s="2"/>
      <c r="H48" s="2"/>
      <c r="I48" s="13">
        <v>1500</v>
      </c>
      <c r="J48" s="13">
        <f t="shared" si="8"/>
        <v>750</v>
      </c>
      <c r="K48" s="13">
        <f t="shared" si="9"/>
        <v>78.75</v>
      </c>
      <c r="L48" s="14">
        <f t="shared" si="10"/>
        <v>0.105</v>
      </c>
      <c r="M48" s="1"/>
      <c r="N48" s="2"/>
      <c r="O48" s="4"/>
      <c r="P48" s="2"/>
      <c r="Q48" s="2"/>
      <c r="R48" s="4"/>
      <c r="S48" s="2"/>
      <c r="T48" s="2"/>
      <c r="U48" s="1"/>
      <c r="V48" s="2"/>
      <c r="W48" s="2"/>
      <c r="X48" s="2"/>
      <c r="Y48" s="2"/>
      <c r="Z48" s="2"/>
    </row>
    <row r="49" spans="1:26" x14ac:dyDescent="0.2">
      <c r="A49" s="12">
        <v>3.8</v>
      </c>
      <c r="B49" s="10" t="s">
        <v>17</v>
      </c>
      <c r="C49" s="11" t="s">
        <v>36</v>
      </c>
      <c r="D49" s="13">
        <v>1800</v>
      </c>
      <c r="E49" s="13">
        <f t="shared" si="6"/>
        <v>6840</v>
      </c>
      <c r="F49" s="13">
        <f t="shared" si="7"/>
        <v>7558.2</v>
      </c>
      <c r="G49" s="2"/>
      <c r="H49" s="2"/>
      <c r="I49" s="13">
        <v>1000</v>
      </c>
      <c r="J49" s="13">
        <f t="shared" si="8"/>
        <v>3800</v>
      </c>
      <c r="K49" s="13">
        <f t="shared" si="9"/>
        <v>3758.2</v>
      </c>
      <c r="L49" s="14">
        <f t="shared" si="10"/>
        <v>0.5494444444444444</v>
      </c>
      <c r="M49" s="1"/>
      <c r="N49" s="2"/>
      <c r="O49" s="4"/>
      <c r="P49" s="2"/>
      <c r="Q49" s="2"/>
      <c r="R49" s="4"/>
      <c r="S49" s="2"/>
      <c r="T49" s="2"/>
      <c r="U49" s="1"/>
      <c r="V49" s="2"/>
      <c r="W49" s="2"/>
      <c r="X49" s="2"/>
      <c r="Y49" s="2"/>
      <c r="Z49" s="2"/>
    </row>
    <row r="50" spans="1:26" x14ac:dyDescent="0.2">
      <c r="A50" s="12">
        <v>1.65</v>
      </c>
      <c r="B50" s="10" t="s">
        <v>17</v>
      </c>
      <c r="C50" s="11" t="s">
        <v>38</v>
      </c>
      <c r="D50" s="13">
        <v>1800</v>
      </c>
      <c r="E50" s="13">
        <f t="shared" si="6"/>
        <v>2970</v>
      </c>
      <c r="F50" s="13">
        <f t="shared" si="7"/>
        <v>3281.85</v>
      </c>
      <c r="G50" s="2"/>
      <c r="H50" s="2"/>
      <c r="I50" s="13">
        <v>1000</v>
      </c>
      <c r="J50" s="13">
        <f t="shared" si="8"/>
        <v>1650</v>
      </c>
      <c r="K50" s="13">
        <f t="shared" si="9"/>
        <v>1631.85</v>
      </c>
      <c r="L50" s="14">
        <f t="shared" si="10"/>
        <v>0.5494444444444444</v>
      </c>
      <c r="M50" s="1"/>
      <c r="N50" s="2"/>
      <c r="O50" s="4"/>
      <c r="P50" s="2"/>
      <c r="Q50" s="2"/>
      <c r="R50" s="4"/>
      <c r="S50" s="2"/>
      <c r="T50" s="2"/>
      <c r="U50" s="1"/>
      <c r="V50" s="2"/>
      <c r="W50" s="2"/>
      <c r="X50" s="2"/>
      <c r="Y50" s="2"/>
      <c r="Z50" s="2"/>
    </row>
    <row r="51" spans="1:26" ht="15.75" customHeight="1" x14ac:dyDescent="0.2">
      <c r="A51" s="12">
        <v>0.5</v>
      </c>
      <c r="B51" s="10" t="s">
        <v>23</v>
      </c>
      <c r="C51" s="11" t="s">
        <v>12</v>
      </c>
      <c r="D51" s="13">
        <v>54000</v>
      </c>
      <c r="E51" s="13">
        <f t="shared" si="6"/>
        <v>27000</v>
      </c>
      <c r="F51" s="13">
        <f>E51*1.21</f>
        <v>32670</v>
      </c>
      <c r="G51" s="2"/>
      <c r="H51" s="2"/>
      <c r="I51" s="13">
        <v>54000</v>
      </c>
      <c r="J51" s="13">
        <f t="shared" si="8"/>
        <v>27000</v>
      </c>
      <c r="K51" s="13">
        <f t="shared" si="9"/>
        <v>5670</v>
      </c>
      <c r="L51" s="14">
        <f t="shared" si="10"/>
        <v>0.21</v>
      </c>
      <c r="M51" s="1"/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12">
        <v>2.5</v>
      </c>
      <c r="B52" s="10" t="s">
        <v>17</v>
      </c>
      <c r="C52" s="11" t="s">
        <v>43</v>
      </c>
      <c r="D52" s="13">
        <v>3200</v>
      </c>
      <c r="E52" s="13">
        <f t="shared" si="6"/>
        <v>8000</v>
      </c>
      <c r="F52" s="13">
        <f t="shared" ref="F52:F58" si="11">E52*1.105</f>
        <v>8840</v>
      </c>
      <c r="G52" s="2"/>
      <c r="H52" s="2"/>
      <c r="I52" s="13">
        <v>2000</v>
      </c>
      <c r="J52" s="13">
        <f t="shared" si="8"/>
        <v>5000</v>
      </c>
      <c r="K52" s="13">
        <f t="shared" si="9"/>
        <v>3840</v>
      </c>
      <c r="L52" s="14">
        <f t="shared" si="10"/>
        <v>0.48</v>
      </c>
      <c r="M52" s="1"/>
      <c r="N52" s="2"/>
      <c r="O52" s="4"/>
      <c r="P52" s="2"/>
      <c r="Q52" s="2"/>
      <c r="R52" s="5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12">
        <v>15</v>
      </c>
      <c r="B53" s="10" t="s">
        <v>21</v>
      </c>
      <c r="C53" s="11" t="s">
        <v>46</v>
      </c>
      <c r="D53" s="13">
        <v>600</v>
      </c>
      <c r="E53" s="13">
        <f t="shared" si="6"/>
        <v>9000</v>
      </c>
      <c r="F53" s="13">
        <f t="shared" si="11"/>
        <v>9945</v>
      </c>
      <c r="G53" s="2"/>
      <c r="H53" s="2"/>
      <c r="I53" s="13">
        <f>7000/24</f>
        <v>291.66666666666669</v>
      </c>
      <c r="J53" s="13">
        <f t="shared" si="8"/>
        <v>4375</v>
      </c>
      <c r="K53" s="13">
        <f t="shared" si="9"/>
        <v>5570</v>
      </c>
      <c r="L53" s="14">
        <f t="shared" si="10"/>
        <v>0.61888888888888893</v>
      </c>
      <c r="M53" s="1"/>
      <c r="N53" s="2"/>
      <c r="O53" s="4"/>
      <c r="P53" s="2"/>
      <c r="Q53" s="2"/>
      <c r="R53" s="4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">
      <c r="A54" s="12">
        <v>4</v>
      </c>
      <c r="B54" s="10" t="s">
        <v>21</v>
      </c>
      <c r="C54" s="11" t="s">
        <v>22</v>
      </c>
      <c r="D54" s="13">
        <v>1700</v>
      </c>
      <c r="E54" s="13">
        <f t="shared" si="6"/>
        <v>6800</v>
      </c>
      <c r="F54" s="13">
        <f t="shared" si="11"/>
        <v>7514</v>
      </c>
      <c r="G54" s="2"/>
      <c r="H54" s="2"/>
      <c r="I54" s="13">
        <f>12000/10</f>
        <v>1200</v>
      </c>
      <c r="J54" s="13">
        <f t="shared" si="8"/>
        <v>4800</v>
      </c>
      <c r="K54" s="13">
        <f t="shared" si="9"/>
        <v>2714</v>
      </c>
      <c r="L54" s="14">
        <f t="shared" si="10"/>
        <v>0.39911764705882352</v>
      </c>
      <c r="M54" s="1"/>
      <c r="N54" s="2"/>
      <c r="O54" s="4"/>
      <c r="P54" s="2"/>
      <c r="Q54" s="2"/>
      <c r="R54" s="4"/>
      <c r="S54" s="2"/>
      <c r="T54" s="2"/>
      <c r="U54" s="1"/>
      <c r="V54" s="2"/>
      <c r="W54" s="2"/>
      <c r="X54" s="2"/>
      <c r="Y54" s="2"/>
      <c r="Z54" s="2"/>
    </row>
    <row r="55" spans="1:26" ht="15.75" customHeight="1" x14ac:dyDescent="0.2">
      <c r="A55" s="12">
        <v>1</v>
      </c>
      <c r="B55" s="10" t="s">
        <v>4</v>
      </c>
      <c r="C55" s="11" t="s">
        <v>14</v>
      </c>
      <c r="D55" s="13">
        <v>2600</v>
      </c>
      <c r="E55" s="13">
        <f t="shared" si="6"/>
        <v>2600</v>
      </c>
      <c r="F55" s="13">
        <f t="shared" si="11"/>
        <v>2873</v>
      </c>
      <c r="G55" s="2"/>
      <c r="H55" s="2"/>
      <c r="I55" s="13">
        <f>18000/13</f>
        <v>1384.6153846153845</v>
      </c>
      <c r="J55" s="13">
        <f t="shared" si="8"/>
        <v>1384.6153846153845</v>
      </c>
      <c r="K55" s="13">
        <f t="shared" si="9"/>
        <v>1488.3846153846155</v>
      </c>
      <c r="L55" s="14">
        <f t="shared" si="10"/>
        <v>0.57245562130177519</v>
      </c>
      <c r="M55" s="1"/>
      <c r="N55" s="2"/>
      <c r="O55" s="4"/>
      <c r="P55" s="2"/>
      <c r="Q55" s="2"/>
      <c r="R55" s="4"/>
      <c r="S55" s="2"/>
      <c r="T55" s="2"/>
      <c r="U55" s="1"/>
      <c r="V55" s="2"/>
      <c r="W55" s="2"/>
      <c r="X55" s="2"/>
      <c r="Y55" s="2"/>
      <c r="Z55" s="2"/>
    </row>
    <row r="56" spans="1:26" ht="15.75" customHeight="1" x14ac:dyDescent="0.2">
      <c r="A56" s="12">
        <v>1.5</v>
      </c>
      <c r="B56" s="10" t="s">
        <v>23</v>
      </c>
      <c r="C56" s="11" t="s">
        <v>26</v>
      </c>
      <c r="D56" s="13">
        <v>25000</v>
      </c>
      <c r="E56" s="13">
        <f t="shared" si="6"/>
        <v>37500</v>
      </c>
      <c r="F56" s="13">
        <f t="shared" si="11"/>
        <v>41437.5</v>
      </c>
      <c r="G56" s="2"/>
      <c r="H56" s="2"/>
      <c r="I56" s="13">
        <v>22000</v>
      </c>
      <c r="J56" s="13">
        <f t="shared" si="8"/>
        <v>33000</v>
      </c>
      <c r="K56" s="13">
        <f t="shared" si="9"/>
        <v>8437.5</v>
      </c>
      <c r="L56" s="14">
        <f t="shared" si="10"/>
        <v>0.22500000000000001</v>
      </c>
      <c r="M56" s="1"/>
      <c r="N56" s="2"/>
      <c r="O56" s="4"/>
      <c r="P56" s="2"/>
      <c r="Q56" s="2"/>
      <c r="R56" s="5"/>
      <c r="S56" s="2"/>
      <c r="T56" s="2"/>
      <c r="U56" s="1"/>
      <c r="V56" s="2"/>
      <c r="W56" s="2"/>
      <c r="X56" s="2"/>
      <c r="Y56" s="2"/>
      <c r="Z56" s="2"/>
    </row>
    <row r="57" spans="1:26" x14ac:dyDescent="0.2">
      <c r="A57" s="12">
        <v>4</v>
      </c>
      <c r="B57" s="10" t="s">
        <v>17</v>
      </c>
      <c r="C57" s="11" t="s">
        <v>25</v>
      </c>
      <c r="D57" s="13">
        <v>4200</v>
      </c>
      <c r="E57" s="13">
        <f t="shared" si="6"/>
        <v>16800</v>
      </c>
      <c r="F57" s="13">
        <f t="shared" si="11"/>
        <v>18564</v>
      </c>
      <c r="G57" s="2"/>
      <c r="H57" s="2"/>
      <c r="I57" s="13">
        <f>65000/17</f>
        <v>3823.5294117647059</v>
      </c>
      <c r="J57" s="13">
        <f t="shared" si="8"/>
        <v>15294.117647058823</v>
      </c>
      <c r="K57" s="13">
        <f t="shared" si="9"/>
        <v>3269.8823529411766</v>
      </c>
      <c r="L57" s="14">
        <f t="shared" si="10"/>
        <v>0.19463585434173669</v>
      </c>
      <c r="M57" s="1"/>
      <c r="N57" s="2"/>
      <c r="O57" s="4"/>
      <c r="P57" s="2"/>
      <c r="Q57" s="2"/>
      <c r="R57" s="5"/>
      <c r="S57" s="2"/>
      <c r="T57" s="2"/>
      <c r="U57" s="1"/>
      <c r="V57" s="2"/>
      <c r="W57" s="2"/>
      <c r="X57" s="2"/>
      <c r="Y57" s="2"/>
      <c r="Z57" s="2"/>
    </row>
    <row r="58" spans="1:26" x14ac:dyDescent="0.2">
      <c r="A58" s="12">
        <v>5</v>
      </c>
      <c r="B58" s="10" t="s">
        <v>17</v>
      </c>
      <c r="C58" s="11" t="s">
        <v>24</v>
      </c>
      <c r="D58" s="13">
        <v>3400</v>
      </c>
      <c r="E58" s="13">
        <f t="shared" si="6"/>
        <v>17000</v>
      </c>
      <c r="F58" s="13">
        <f t="shared" si="11"/>
        <v>18785</v>
      </c>
      <c r="G58" s="2"/>
      <c r="H58" s="2"/>
      <c r="I58" s="13">
        <f>53000/18</f>
        <v>2944.4444444444443</v>
      </c>
      <c r="J58" s="13">
        <f t="shared" si="8"/>
        <v>14722.222222222223</v>
      </c>
      <c r="K58" s="13">
        <f t="shared" si="9"/>
        <v>4062.7777777777774</v>
      </c>
      <c r="L58" s="14">
        <f t="shared" si="10"/>
        <v>0.23898692810457514</v>
      </c>
      <c r="M58" s="1"/>
      <c r="N58" s="2"/>
      <c r="O58" s="4"/>
      <c r="P58" s="2"/>
      <c r="Q58" s="2"/>
      <c r="R58" s="4"/>
      <c r="S58" s="2"/>
      <c r="T58" s="2"/>
      <c r="U58" s="1"/>
      <c r="V58" s="2"/>
      <c r="W58" s="2"/>
      <c r="X58" s="2"/>
      <c r="Y58" s="2"/>
      <c r="Z58" s="2"/>
    </row>
    <row r="59" spans="1:26" ht="15.75" customHeight="1" x14ac:dyDescent="0.2">
      <c r="A59" s="15"/>
      <c r="B59" s="2"/>
      <c r="C59" s="1"/>
      <c r="D59" s="2"/>
      <c r="E59" s="2"/>
      <c r="F59" s="2"/>
      <c r="G59" s="2"/>
      <c r="H59" s="2"/>
      <c r="I59" s="2"/>
      <c r="J59" s="2"/>
      <c r="K59" s="2"/>
      <c r="L59" s="3"/>
      <c r="M59" s="1"/>
      <c r="N59" s="2"/>
      <c r="O59" s="4"/>
      <c r="P59" s="2"/>
      <c r="Q59" s="2"/>
      <c r="R59" s="4"/>
      <c r="S59" s="2"/>
      <c r="T59" s="2"/>
      <c r="U59" s="1"/>
      <c r="V59" s="2"/>
      <c r="W59" s="2"/>
      <c r="X59" s="2"/>
      <c r="Y59" s="2"/>
      <c r="Z59" s="2"/>
    </row>
    <row r="60" spans="1:26" ht="15.75" customHeight="1" x14ac:dyDescent="0.2">
      <c r="A60" s="1"/>
      <c r="B60" s="2"/>
      <c r="C60" s="4"/>
      <c r="D60" s="2"/>
      <c r="E60" s="13">
        <f t="shared" ref="E60:F60" si="12">SUM(E40:E58)</f>
        <v>182510</v>
      </c>
      <c r="F60" s="13">
        <f t="shared" si="12"/>
        <v>204508.55</v>
      </c>
      <c r="G60" s="2"/>
      <c r="H60" s="2"/>
      <c r="I60" s="2"/>
      <c r="J60" s="2"/>
      <c r="K60" s="13">
        <f>SUM(K40:K58)</f>
        <v>71323.503837012671</v>
      </c>
      <c r="L60" s="14">
        <f>K60/F60</f>
        <v>0.34875560868732713</v>
      </c>
      <c r="M60" s="1"/>
      <c r="N60" s="2"/>
      <c r="O60" s="4"/>
      <c r="P60" s="2"/>
      <c r="Q60" s="2"/>
      <c r="R60" s="4"/>
      <c r="S60" s="2"/>
      <c r="T60" s="2"/>
      <c r="U60" s="1"/>
      <c r="V60" s="2"/>
      <c r="W60" s="2"/>
      <c r="X60" s="2"/>
      <c r="Y60" s="2"/>
      <c r="Z60" s="2"/>
    </row>
    <row r="61" spans="1:26" ht="15.75" customHeight="1" x14ac:dyDescent="0.2">
      <c r="A61" s="1"/>
      <c r="B61" s="1"/>
      <c r="C61" s="1"/>
      <c r="D61" s="2"/>
      <c r="E61" s="2"/>
      <c r="F61" s="5"/>
      <c r="G61" s="2"/>
      <c r="H61" s="2"/>
      <c r="I61" s="2"/>
      <c r="J61" s="2"/>
      <c r="K61" s="2"/>
      <c r="L61" s="3"/>
      <c r="M61" s="4"/>
      <c r="N61" s="2"/>
      <c r="O61" s="4"/>
      <c r="P61" s="2"/>
      <c r="Q61" s="2"/>
      <c r="R61" s="4"/>
      <c r="S61" s="2"/>
      <c r="T61" s="2"/>
      <c r="U61" s="1"/>
      <c r="V61" s="2"/>
      <c r="W61" s="2"/>
      <c r="X61" s="2"/>
      <c r="Y61" s="2"/>
      <c r="Z61" s="2"/>
    </row>
    <row r="62" spans="1:26" ht="15.75" customHeight="1" x14ac:dyDescent="0.2">
      <c r="A62" s="1"/>
      <c r="B62" s="1"/>
      <c r="C62" s="1"/>
      <c r="D62" s="2"/>
      <c r="E62" s="2"/>
      <c r="F62" s="5"/>
      <c r="G62" s="2"/>
      <c r="H62" s="2"/>
      <c r="I62" s="2"/>
      <c r="J62" s="2"/>
      <c r="K62" s="2"/>
      <c r="L62" s="3"/>
      <c r="M62" s="4"/>
      <c r="N62" s="2"/>
      <c r="O62" s="4"/>
      <c r="P62" s="2"/>
      <c r="Q62" s="2"/>
      <c r="R62" s="4"/>
      <c r="S62" s="2"/>
      <c r="T62" s="2"/>
      <c r="U62" s="1"/>
      <c r="V62" s="2"/>
      <c r="W62" s="2"/>
      <c r="X62" s="2"/>
      <c r="Y62" s="2"/>
      <c r="Z62" s="2"/>
    </row>
    <row r="63" spans="1:26" ht="15.75" customHeight="1" x14ac:dyDescent="0.2">
      <c r="A63" s="1"/>
      <c r="B63" s="1"/>
      <c r="C63" s="1"/>
      <c r="D63" s="2"/>
      <c r="E63" s="2"/>
      <c r="F63" s="5"/>
      <c r="G63" s="2"/>
      <c r="H63" s="2"/>
      <c r="I63" s="2"/>
      <c r="J63" s="2"/>
      <c r="K63" s="2"/>
      <c r="L63" s="3"/>
      <c r="M63" s="4"/>
      <c r="N63" s="2"/>
      <c r="O63" s="4"/>
      <c r="P63" s="2"/>
      <c r="Q63" s="2"/>
      <c r="R63" s="4"/>
      <c r="S63" s="2"/>
      <c r="T63" s="2"/>
      <c r="U63" s="1"/>
      <c r="V63" s="2"/>
      <c r="W63" s="2"/>
      <c r="X63" s="2"/>
      <c r="Y63" s="2"/>
      <c r="Z63" s="2"/>
    </row>
    <row r="64" spans="1:26" x14ac:dyDescent="0.2">
      <c r="A64" s="75" t="s">
        <v>47</v>
      </c>
      <c r="B64" s="76"/>
      <c r="C64" s="76"/>
      <c r="D64" s="2"/>
      <c r="E64" s="7" t="s">
        <v>1</v>
      </c>
      <c r="F64" s="8">
        <v>46113</v>
      </c>
      <c r="G64" s="7"/>
      <c r="H64" s="2"/>
      <c r="I64" s="9" t="s">
        <v>2</v>
      </c>
      <c r="J64" s="9"/>
      <c r="K64" s="9"/>
      <c r="L64" s="3"/>
      <c r="M64" s="1"/>
      <c r="N64" s="2"/>
      <c r="O64" s="4"/>
      <c r="P64" s="2"/>
      <c r="Q64" s="2"/>
      <c r="R64" s="4"/>
      <c r="S64" s="2"/>
      <c r="T64" s="2"/>
      <c r="U64" s="1"/>
      <c r="V64" s="2"/>
      <c r="W64" s="2"/>
      <c r="X64" s="2"/>
      <c r="Y64" s="2"/>
      <c r="Z64" s="2"/>
    </row>
    <row r="65" spans="1:26" ht="15.75" customHeight="1" x14ac:dyDescent="0.2">
      <c r="A65" s="1"/>
      <c r="B65" s="1"/>
      <c r="C65" s="1"/>
      <c r="D65" s="2"/>
      <c r="E65" s="2"/>
      <c r="F65" s="5"/>
      <c r="G65" s="2"/>
      <c r="H65" s="2"/>
      <c r="I65" s="2"/>
      <c r="J65" s="2"/>
      <c r="K65" s="2"/>
      <c r="L65" s="3"/>
      <c r="M65" s="4"/>
      <c r="N65" s="2"/>
      <c r="O65" s="4"/>
      <c r="P65" s="2"/>
      <c r="Q65" s="2"/>
      <c r="R65" s="4"/>
      <c r="S65" s="2"/>
      <c r="T65" s="2"/>
      <c r="U65" s="1"/>
      <c r="V65" s="2"/>
      <c r="W65" s="2"/>
      <c r="X65" s="2"/>
      <c r="Y65" s="2"/>
      <c r="Z65" s="2"/>
    </row>
    <row r="66" spans="1:26" ht="15.75" customHeight="1" x14ac:dyDescent="0.2">
      <c r="A66" s="6" t="s">
        <v>3</v>
      </c>
      <c r="B66" s="10" t="s">
        <v>4</v>
      </c>
      <c r="C66" s="6" t="s">
        <v>5</v>
      </c>
      <c r="D66" s="10" t="s">
        <v>6</v>
      </c>
      <c r="E66" s="10" t="s">
        <v>7</v>
      </c>
      <c r="F66" s="10" t="s">
        <v>8</v>
      </c>
      <c r="G66" s="2"/>
      <c r="H66" s="2"/>
      <c r="I66" s="10" t="s">
        <v>9</v>
      </c>
      <c r="J66" s="10" t="s">
        <v>7</v>
      </c>
      <c r="K66" s="10" t="s">
        <v>10</v>
      </c>
      <c r="L66" s="3"/>
      <c r="M66" s="1"/>
      <c r="N66" s="1"/>
      <c r="O66" s="1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</v>
      </c>
      <c r="B67" s="10" t="s">
        <v>15</v>
      </c>
      <c r="C67" s="11" t="s">
        <v>27</v>
      </c>
      <c r="D67" s="13">
        <v>23000</v>
      </c>
      <c r="E67" s="13">
        <f t="shared" ref="E67:E79" si="13">A67*D67</f>
        <v>23000</v>
      </c>
      <c r="F67" s="13">
        <f t="shared" ref="F67:F79" si="14">E67*1.105</f>
        <v>25415</v>
      </c>
      <c r="G67" s="2"/>
      <c r="H67" s="2"/>
      <c r="I67" s="13">
        <v>19000</v>
      </c>
      <c r="J67" s="13">
        <f t="shared" ref="J67:J79" si="15">I67*A67</f>
        <v>19000</v>
      </c>
      <c r="K67" s="13">
        <f t="shared" ref="K67:K79" si="16">F67-J67</f>
        <v>6415</v>
      </c>
      <c r="L67" s="14">
        <f t="shared" ref="L67:L79" si="17">IFERROR(K67/E67, 0)</f>
        <v>0.27891304347826085</v>
      </c>
      <c r="M67" s="1"/>
      <c r="N67" s="1"/>
      <c r="O67" s="1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</v>
      </c>
      <c r="B68" s="10" t="s">
        <v>15</v>
      </c>
      <c r="C68" s="11" t="s">
        <v>48</v>
      </c>
      <c r="D68" s="13">
        <v>13000</v>
      </c>
      <c r="E68" s="13">
        <f t="shared" si="13"/>
        <v>13000</v>
      </c>
      <c r="F68" s="13">
        <f t="shared" si="14"/>
        <v>14365</v>
      </c>
      <c r="G68" s="2"/>
      <c r="H68" s="2"/>
      <c r="I68" s="13">
        <v>9000</v>
      </c>
      <c r="J68" s="13">
        <f t="shared" si="15"/>
        <v>9000</v>
      </c>
      <c r="K68" s="13">
        <f t="shared" si="16"/>
        <v>5365</v>
      </c>
      <c r="L68" s="14">
        <f t="shared" si="17"/>
        <v>0.41269230769230769</v>
      </c>
      <c r="M68" s="1"/>
      <c r="N68" s="1"/>
      <c r="O68" s="1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7</v>
      </c>
      <c r="B69" s="10" t="s">
        <v>17</v>
      </c>
      <c r="C69" s="11" t="s">
        <v>39</v>
      </c>
      <c r="D69" s="13">
        <v>2400</v>
      </c>
      <c r="E69" s="13">
        <f t="shared" si="13"/>
        <v>16800</v>
      </c>
      <c r="F69" s="13">
        <f t="shared" si="14"/>
        <v>18564</v>
      </c>
      <c r="G69" s="2"/>
      <c r="H69" s="2"/>
      <c r="I69" s="13">
        <f>15000/15</f>
        <v>1000</v>
      </c>
      <c r="J69" s="13">
        <f t="shared" si="15"/>
        <v>7000</v>
      </c>
      <c r="K69" s="13">
        <f t="shared" si="16"/>
        <v>11564</v>
      </c>
      <c r="L69" s="14">
        <f t="shared" si="17"/>
        <v>0.68833333333333335</v>
      </c>
      <c r="M69" s="1"/>
      <c r="N69" s="1"/>
      <c r="O69" s="1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5</v>
      </c>
      <c r="B70" s="10" t="s">
        <v>17</v>
      </c>
      <c r="C70" s="11" t="s">
        <v>40</v>
      </c>
      <c r="D70" s="13">
        <v>1300</v>
      </c>
      <c r="E70" s="13">
        <f t="shared" si="13"/>
        <v>6500</v>
      </c>
      <c r="F70" s="13">
        <f t="shared" si="14"/>
        <v>7182.5</v>
      </c>
      <c r="G70" s="2"/>
      <c r="H70" s="2"/>
      <c r="I70" s="13">
        <v>1000</v>
      </c>
      <c r="J70" s="13">
        <f t="shared" si="15"/>
        <v>5000</v>
      </c>
      <c r="K70" s="13">
        <f t="shared" si="16"/>
        <v>2182.5</v>
      </c>
      <c r="L70" s="14">
        <f t="shared" si="17"/>
        <v>0.33576923076923076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5</v>
      </c>
      <c r="B71" s="10" t="s">
        <v>4</v>
      </c>
      <c r="C71" s="11" t="s">
        <v>41</v>
      </c>
      <c r="D71" s="13">
        <v>2800</v>
      </c>
      <c r="E71" s="13">
        <f t="shared" si="13"/>
        <v>14000</v>
      </c>
      <c r="F71" s="13">
        <f t="shared" si="14"/>
        <v>15470</v>
      </c>
      <c r="G71" s="2"/>
      <c r="H71" s="2"/>
      <c r="I71" s="13">
        <f>18000/10</f>
        <v>1800</v>
      </c>
      <c r="J71" s="13">
        <f t="shared" si="15"/>
        <v>9000</v>
      </c>
      <c r="K71" s="13">
        <f t="shared" si="16"/>
        <v>6470</v>
      </c>
      <c r="L71" s="14">
        <f t="shared" si="17"/>
        <v>0.46214285714285713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2</v>
      </c>
      <c r="B72" s="10" t="s">
        <v>17</v>
      </c>
      <c r="C72" s="11" t="s">
        <v>35</v>
      </c>
      <c r="D72" s="13">
        <v>2500</v>
      </c>
      <c r="E72" s="13">
        <f t="shared" si="13"/>
        <v>5000</v>
      </c>
      <c r="F72" s="13">
        <f t="shared" si="14"/>
        <v>5525</v>
      </c>
      <c r="G72" s="2"/>
      <c r="H72" s="2"/>
      <c r="I72" s="13">
        <f>14000/11</f>
        <v>1272.7272727272727</v>
      </c>
      <c r="J72" s="13">
        <f t="shared" si="15"/>
        <v>2545.4545454545455</v>
      </c>
      <c r="K72" s="13">
        <f t="shared" si="16"/>
        <v>2979.5454545454545</v>
      </c>
      <c r="L72" s="14">
        <f t="shared" si="17"/>
        <v>0.59590909090909094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2</v>
      </c>
      <c r="B73" s="10" t="s">
        <v>17</v>
      </c>
      <c r="C73" s="11" t="s">
        <v>34</v>
      </c>
      <c r="D73" s="13">
        <v>5000</v>
      </c>
      <c r="E73" s="13">
        <f t="shared" si="13"/>
        <v>10000</v>
      </c>
      <c r="F73" s="13">
        <f t="shared" si="14"/>
        <v>11050</v>
      </c>
      <c r="G73" s="2"/>
      <c r="H73" s="2"/>
      <c r="I73" s="13">
        <v>2000</v>
      </c>
      <c r="J73" s="13">
        <f t="shared" si="15"/>
        <v>4000</v>
      </c>
      <c r="K73" s="13">
        <f t="shared" si="16"/>
        <v>7050</v>
      </c>
      <c r="L73" s="14">
        <f t="shared" si="17"/>
        <v>0.70499999999999996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24</v>
      </c>
      <c r="B74" s="10" t="s">
        <v>4</v>
      </c>
      <c r="C74" s="11" t="s">
        <v>20</v>
      </c>
      <c r="D74" s="13">
        <v>800</v>
      </c>
      <c r="E74" s="13">
        <f t="shared" si="13"/>
        <v>19200</v>
      </c>
      <c r="F74" s="13">
        <f t="shared" si="14"/>
        <v>21216</v>
      </c>
      <c r="G74" s="2"/>
      <c r="H74" s="2"/>
      <c r="I74" s="13">
        <f>30000/94</f>
        <v>319.14893617021278</v>
      </c>
      <c r="J74" s="13">
        <f t="shared" si="15"/>
        <v>7659.5744680851067</v>
      </c>
      <c r="K74" s="13">
        <f t="shared" si="16"/>
        <v>13556.425531914894</v>
      </c>
      <c r="L74" s="14">
        <f t="shared" si="17"/>
        <v>0.70606382978723403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</v>
      </c>
      <c r="B75" s="10" t="s">
        <v>17</v>
      </c>
      <c r="C75" s="11" t="s">
        <v>36</v>
      </c>
      <c r="D75" s="13">
        <v>1800</v>
      </c>
      <c r="E75" s="13">
        <f t="shared" si="13"/>
        <v>1800</v>
      </c>
      <c r="F75" s="13">
        <f t="shared" si="14"/>
        <v>1989</v>
      </c>
      <c r="G75" s="2"/>
      <c r="H75" s="2"/>
      <c r="I75" s="13">
        <v>1000</v>
      </c>
      <c r="J75" s="13">
        <f t="shared" si="15"/>
        <v>1000</v>
      </c>
      <c r="K75" s="13">
        <f t="shared" si="16"/>
        <v>989</v>
      </c>
      <c r="L75" s="14">
        <f t="shared" si="17"/>
        <v>0.5494444444444444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</v>
      </c>
      <c r="B76" s="10" t="s">
        <v>17</v>
      </c>
      <c r="C76" s="11" t="s">
        <v>18</v>
      </c>
      <c r="D76" s="13">
        <v>1600</v>
      </c>
      <c r="E76" s="13">
        <f t="shared" si="13"/>
        <v>1600</v>
      </c>
      <c r="F76" s="13">
        <f t="shared" si="14"/>
        <v>1768</v>
      </c>
      <c r="G76" s="2"/>
      <c r="H76" s="2"/>
      <c r="I76" s="13">
        <f>12000/15</f>
        <v>800</v>
      </c>
      <c r="J76" s="13">
        <f t="shared" si="15"/>
        <v>800</v>
      </c>
      <c r="K76" s="13">
        <f t="shared" si="16"/>
        <v>968</v>
      </c>
      <c r="L76" s="14">
        <f t="shared" si="17"/>
        <v>0.60499999999999998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3</v>
      </c>
      <c r="B77" s="10" t="s">
        <v>17</v>
      </c>
      <c r="C77" s="11" t="s">
        <v>24</v>
      </c>
      <c r="D77" s="13">
        <v>3400</v>
      </c>
      <c r="E77" s="13">
        <f t="shared" si="13"/>
        <v>10200</v>
      </c>
      <c r="F77" s="13">
        <f t="shared" si="14"/>
        <v>11271</v>
      </c>
      <c r="G77" s="2"/>
      <c r="H77" s="2"/>
      <c r="I77" s="13">
        <f>53000/18</f>
        <v>2944.4444444444443</v>
      </c>
      <c r="J77" s="13">
        <f t="shared" si="15"/>
        <v>8833.3333333333321</v>
      </c>
      <c r="K77" s="13">
        <f t="shared" si="16"/>
        <v>2437.6666666666679</v>
      </c>
      <c r="L77" s="14">
        <f t="shared" si="17"/>
        <v>0.23898692810457528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3</v>
      </c>
      <c r="B78" s="10" t="s">
        <v>17</v>
      </c>
      <c r="C78" s="11" t="s">
        <v>25</v>
      </c>
      <c r="D78" s="13">
        <v>4200</v>
      </c>
      <c r="E78" s="13">
        <f t="shared" si="13"/>
        <v>12600</v>
      </c>
      <c r="F78" s="13">
        <f t="shared" si="14"/>
        <v>13923</v>
      </c>
      <c r="G78" s="2"/>
      <c r="H78" s="2"/>
      <c r="I78" s="13">
        <f>65000/17</f>
        <v>3823.5294117647059</v>
      </c>
      <c r="J78" s="13">
        <f t="shared" si="15"/>
        <v>11470.588235294117</v>
      </c>
      <c r="K78" s="13">
        <f t="shared" si="16"/>
        <v>2452.4117647058829</v>
      </c>
      <c r="L78" s="14">
        <f t="shared" si="17"/>
        <v>0.19463585434173675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2</v>
      </c>
      <c r="B79" s="10" t="s">
        <v>17</v>
      </c>
      <c r="C79" s="11" t="s">
        <v>49</v>
      </c>
      <c r="D79" s="13">
        <v>3000</v>
      </c>
      <c r="E79" s="13">
        <f t="shared" si="13"/>
        <v>6000</v>
      </c>
      <c r="F79" s="13">
        <f t="shared" si="14"/>
        <v>6630</v>
      </c>
      <c r="G79" s="2"/>
      <c r="H79" s="2"/>
      <c r="I79" s="13">
        <f>30000/18</f>
        <v>1666.6666666666667</v>
      </c>
      <c r="J79" s="13">
        <f t="shared" si="15"/>
        <v>3333.3333333333335</v>
      </c>
      <c r="K79" s="13">
        <f t="shared" si="16"/>
        <v>3296.6666666666665</v>
      </c>
      <c r="L79" s="14">
        <f t="shared" si="17"/>
        <v>0.5494444444444444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"/>
      <c r="B80" s="2"/>
      <c r="C80" s="4"/>
      <c r="D80" s="2"/>
      <c r="E80" s="2"/>
      <c r="F80" s="2"/>
      <c r="G80" s="2"/>
      <c r="H80" s="2"/>
      <c r="I80" s="2"/>
      <c r="J80" s="2"/>
      <c r="K80" s="2"/>
      <c r="L80" s="3"/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"/>
      <c r="B81" s="2"/>
      <c r="C81" s="4"/>
      <c r="D81" s="2"/>
      <c r="E81" s="13">
        <f t="shared" ref="E81:F81" si="18">SUM(E67:E79)</f>
        <v>139700</v>
      </c>
      <c r="F81" s="13">
        <f t="shared" si="18"/>
        <v>154368.5</v>
      </c>
      <c r="G81" s="2"/>
      <c r="H81" s="2"/>
      <c r="I81" s="2"/>
      <c r="J81" s="2"/>
      <c r="K81" s="13">
        <f>SUM(K67:K79)</f>
        <v>65726.216084499567</v>
      </c>
      <c r="L81" s="14">
        <f>K81/F81</f>
        <v>0.42577479268438551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1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1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75" t="s">
        <v>50</v>
      </c>
      <c r="B84" s="76"/>
      <c r="C84" s="76"/>
      <c r="D84" s="2"/>
      <c r="E84" s="7" t="s">
        <v>1</v>
      </c>
      <c r="F84" s="8">
        <v>46113</v>
      </c>
      <c r="G84" s="2"/>
      <c r="H84" s="2"/>
      <c r="I84" s="9" t="s">
        <v>2</v>
      </c>
      <c r="J84" s="9"/>
      <c r="K84" s="9"/>
      <c r="L84" s="3"/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"/>
      <c r="B85" s="2"/>
      <c r="C85" s="5"/>
      <c r="D85" s="2"/>
      <c r="E85" s="2"/>
      <c r="F85" s="2"/>
      <c r="G85" s="2"/>
      <c r="H85" s="2"/>
      <c r="I85" s="2"/>
      <c r="J85" s="2"/>
      <c r="K85" s="2"/>
      <c r="L85" s="3"/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6" t="s">
        <v>3</v>
      </c>
      <c r="B86" s="10" t="s">
        <v>4</v>
      </c>
      <c r="C86" s="11" t="s">
        <v>5</v>
      </c>
      <c r="D86" s="10" t="s">
        <v>6</v>
      </c>
      <c r="E86" s="10" t="s">
        <v>7</v>
      </c>
      <c r="F86" s="10" t="s">
        <v>8</v>
      </c>
      <c r="G86" s="2"/>
      <c r="H86" s="2"/>
      <c r="I86" s="10" t="s">
        <v>9</v>
      </c>
      <c r="J86" s="10" t="s">
        <v>7</v>
      </c>
      <c r="K86" s="10" t="s">
        <v>10</v>
      </c>
      <c r="L86" s="3"/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2</v>
      </c>
      <c r="B87" s="10" t="s">
        <v>4</v>
      </c>
      <c r="C87" s="11" t="s">
        <v>13</v>
      </c>
      <c r="D87" s="13">
        <v>900</v>
      </c>
      <c r="E87" s="13">
        <f t="shared" ref="E87:E100" si="19">A87*D87</f>
        <v>1800</v>
      </c>
      <c r="F87" s="13">
        <f t="shared" ref="F87:F100" si="20">E87*1.105</f>
        <v>1989</v>
      </c>
      <c r="G87" s="2"/>
      <c r="H87" s="2"/>
      <c r="I87" s="13">
        <v>460</v>
      </c>
      <c r="J87" s="13">
        <f t="shared" ref="J87:J100" si="21">I87*A87</f>
        <v>920</v>
      </c>
      <c r="K87" s="13">
        <f t="shared" ref="K87:K100" si="22">F87-J87</f>
        <v>1069</v>
      </c>
      <c r="L87" s="14">
        <f t="shared" ref="L87:L100" si="23">IFERROR(K87/E87, 0)</f>
        <v>0.59388888888888891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1</v>
      </c>
      <c r="B88" s="10" t="s">
        <v>21</v>
      </c>
      <c r="C88" s="11" t="s">
        <v>51</v>
      </c>
      <c r="D88" s="13">
        <v>1500</v>
      </c>
      <c r="E88" s="13">
        <f t="shared" si="19"/>
        <v>1500</v>
      </c>
      <c r="F88" s="13">
        <f t="shared" si="20"/>
        <v>1657.5</v>
      </c>
      <c r="G88" s="2"/>
      <c r="H88" s="2"/>
      <c r="I88" s="13">
        <v>1200</v>
      </c>
      <c r="J88" s="13">
        <f t="shared" si="21"/>
        <v>1200</v>
      </c>
      <c r="K88" s="13">
        <f t="shared" si="22"/>
        <v>457.5</v>
      </c>
      <c r="L88" s="14">
        <f t="shared" si="23"/>
        <v>0.30499999999999999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15</v>
      </c>
      <c r="C89" s="11" t="s">
        <v>27</v>
      </c>
      <c r="D89" s="13">
        <v>23000</v>
      </c>
      <c r="E89" s="13">
        <f t="shared" si="19"/>
        <v>23000</v>
      </c>
      <c r="F89" s="13">
        <f t="shared" si="20"/>
        <v>25415</v>
      </c>
      <c r="G89" s="2"/>
      <c r="H89" s="2"/>
      <c r="I89" s="13">
        <v>19000</v>
      </c>
      <c r="J89" s="13">
        <f t="shared" si="21"/>
        <v>19000</v>
      </c>
      <c r="K89" s="13">
        <f t="shared" si="22"/>
        <v>6415</v>
      </c>
      <c r="L89" s="14">
        <f t="shared" si="23"/>
        <v>0.27891304347826085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4</v>
      </c>
      <c r="B90" s="10" t="s">
        <v>17</v>
      </c>
      <c r="C90" s="11" t="s">
        <v>48</v>
      </c>
      <c r="D90" s="13">
        <v>1000</v>
      </c>
      <c r="E90" s="13">
        <f t="shared" si="19"/>
        <v>4000</v>
      </c>
      <c r="F90" s="13">
        <f t="shared" si="20"/>
        <v>4420</v>
      </c>
      <c r="G90" s="2"/>
      <c r="H90" s="2"/>
      <c r="I90" s="13">
        <f>9000/18</f>
        <v>500</v>
      </c>
      <c r="J90" s="13">
        <f t="shared" si="21"/>
        <v>2000</v>
      </c>
      <c r="K90" s="13">
        <f t="shared" si="22"/>
        <v>2420</v>
      </c>
      <c r="L90" s="14">
        <f t="shared" si="23"/>
        <v>0.60499999999999998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15</v>
      </c>
      <c r="B91" s="10" t="s">
        <v>4</v>
      </c>
      <c r="C91" s="11" t="s">
        <v>20</v>
      </c>
      <c r="D91" s="13">
        <v>800</v>
      </c>
      <c r="E91" s="13">
        <f t="shared" si="19"/>
        <v>12000</v>
      </c>
      <c r="F91" s="13">
        <f t="shared" si="20"/>
        <v>13260</v>
      </c>
      <c r="G91" s="2"/>
      <c r="H91" s="2"/>
      <c r="I91" s="13">
        <f>30000/94</f>
        <v>319.14893617021278</v>
      </c>
      <c r="J91" s="13">
        <f t="shared" si="21"/>
        <v>4787.234042553192</v>
      </c>
      <c r="K91" s="13">
        <f t="shared" si="22"/>
        <v>8472.7659574468089</v>
      </c>
      <c r="L91" s="14">
        <f t="shared" si="23"/>
        <v>0.70606382978723403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</v>
      </c>
      <c r="B92" s="10" t="s">
        <v>17</v>
      </c>
      <c r="C92" s="11" t="s">
        <v>35</v>
      </c>
      <c r="D92" s="13">
        <v>2500</v>
      </c>
      <c r="E92" s="13">
        <f t="shared" si="19"/>
        <v>2500</v>
      </c>
      <c r="F92" s="13">
        <f t="shared" si="20"/>
        <v>2762.5</v>
      </c>
      <c r="G92" s="2"/>
      <c r="H92" s="2"/>
      <c r="I92" s="13">
        <f>14000/11</f>
        <v>1272.7272727272727</v>
      </c>
      <c r="J92" s="13">
        <f t="shared" si="21"/>
        <v>1272.7272727272727</v>
      </c>
      <c r="K92" s="13">
        <f t="shared" si="22"/>
        <v>1489.7727272727273</v>
      </c>
      <c r="L92" s="14">
        <f t="shared" si="23"/>
        <v>0.59590909090909094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6</v>
      </c>
      <c r="B93" s="10" t="s">
        <v>17</v>
      </c>
      <c r="C93" s="11" t="s">
        <v>40</v>
      </c>
      <c r="D93" s="13">
        <v>1300</v>
      </c>
      <c r="E93" s="13">
        <f t="shared" si="19"/>
        <v>7800</v>
      </c>
      <c r="F93" s="13">
        <f t="shared" si="20"/>
        <v>8619</v>
      </c>
      <c r="G93" s="2"/>
      <c r="H93" s="2"/>
      <c r="I93" s="13">
        <v>1000</v>
      </c>
      <c r="J93" s="13">
        <f t="shared" si="21"/>
        <v>6000</v>
      </c>
      <c r="K93" s="13">
        <f t="shared" si="22"/>
        <v>2619</v>
      </c>
      <c r="L93" s="14">
        <f t="shared" si="23"/>
        <v>0.33576923076923076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2</v>
      </c>
      <c r="B94" s="10" t="s">
        <v>17</v>
      </c>
      <c r="C94" s="11" t="s">
        <v>34</v>
      </c>
      <c r="D94" s="13">
        <v>5000</v>
      </c>
      <c r="E94" s="13">
        <f t="shared" si="19"/>
        <v>10000</v>
      </c>
      <c r="F94" s="13">
        <f t="shared" si="20"/>
        <v>11050</v>
      </c>
      <c r="G94" s="2"/>
      <c r="H94" s="2"/>
      <c r="I94" s="13">
        <v>2000</v>
      </c>
      <c r="J94" s="13">
        <f t="shared" si="21"/>
        <v>4000</v>
      </c>
      <c r="K94" s="13">
        <f t="shared" si="22"/>
        <v>7050</v>
      </c>
      <c r="L94" s="14">
        <f t="shared" si="23"/>
        <v>0.70499999999999996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1.25</v>
      </c>
      <c r="B95" s="10" t="s">
        <v>17</v>
      </c>
      <c r="C95" s="11" t="s">
        <v>38</v>
      </c>
      <c r="D95" s="13">
        <v>1800</v>
      </c>
      <c r="E95" s="13">
        <f t="shared" si="19"/>
        <v>2250</v>
      </c>
      <c r="F95" s="13">
        <f t="shared" si="20"/>
        <v>2486.25</v>
      </c>
      <c r="G95" s="2"/>
      <c r="H95" s="2"/>
      <c r="I95" s="13">
        <v>1000</v>
      </c>
      <c r="J95" s="13">
        <f t="shared" si="21"/>
        <v>1250</v>
      </c>
      <c r="K95" s="13">
        <f t="shared" si="22"/>
        <v>1236.25</v>
      </c>
      <c r="L95" s="14">
        <f t="shared" si="23"/>
        <v>0.5494444444444444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1.2</v>
      </c>
      <c r="B96" s="10" t="s">
        <v>17</v>
      </c>
      <c r="C96" s="11" t="s">
        <v>19</v>
      </c>
      <c r="D96" s="13">
        <v>4000</v>
      </c>
      <c r="E96" s="13">
        <f t="shared" si="19"/>
        <v>4800</v>
      </c>
      <c r="F96" s="13">
        <f t="shared" si="20"/>
        <v>5304</v>
      </c>
      <c r="G96" s="2"/>
      <c r="H96" s="2"/>
      <c r="I96" s="13">
        <f>13000/8</f>
        <v>1625</v>
      </c>
      <c r="J96" s="13">
        <f t="shared" si="21"/>
        <v>1950</v>
      </c>
      <c r="K96" s="13">
        <f t="shared" si="22"/>
        <v>3354</v>
      </c>
      <c r="L96" s="14">
        <f t="shared" si="23"/>
        <v>0.69874999999999998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3</v>
      </c>
      <c r="B97" s="10" t="s">
        <v>4</v>
      </c>
      <c r="C97" s="11" t="s">
        <v>41</v>
      </c>
      <c r="D97" s="13">
        <v>2800</v>
      </c>
      <c r="E97" s="13">
        <f t="shared" si="19"/>
        <v>8400</v>
      </c>
      <c r="F97" s="13">
        <f t="shared" si="20"/>
        <v>9282</v>
      </c>
      <c r="G97" s="2"/>
      <c r="H97" s="2"/>
      <c r="I97" s="13">
        <f>18000/10</f>
        <v>1800</v>
      </c>
      <c r="J97" s="13">
        <f t="shared" si="21"/>
        <v>5400</v>
      </c>
      <c r="K97" s="13">
        <f t="shared" si="22"/>
        <v>3882</v>
      </c>
      <c r="L97" s="14">
        <f t="shared" si="23"/>
        <v>0.46214285714285713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5</v>
      </c>
      <c r="B98" s="10" t="s">
        <v>17</v>
      </c>
      <c r="C98" s="11" t="s">
        <v>25</v>
      </c>
      <c r="D98" s="13">
        <v>4200</v>
      </c>
      <c r="E98" s="13">
        <f t="shared" si="19"/>
        <v>21000</v>
      </c>
      <c r="F98" s="13">
        <f t="shared" si="20"/>
        <v>23205</v>
      </c>
      <c r="G98" s="2"/>
      <c r="H98" s="2"/>
      <c r="I98" s="13">
        <f>65000/17</f>
        <v>3823.5294117647059</v>
      </c>
      <c r="J98" s="13">
        <f t="shared" si="21"/>
        <v>19117.647058823528</v>
      </c>
      <c r="K98" s="13">
        <f t="shared" si="22"/>
        <v>4087.3529411764721</v>
      </c>
      <c r="L98" s="14">
        <f t="shared" si="23"/>
        <v>0.19463585434173677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17</v>
      </c>
      <c r="C99" s="11" t="s">
        <v>24</v>
      </c>
      <c r="D99" s="13">
        <v>3400</v>
      </c>
      <c r="E99" s="13">
        <f t="shared" si="19"/>
        <v>10200</v>
      </c>
      <c r="F99" s="13">
        <f t="shared" si="20"/>
        <v>11271</v>
      </c>
      <c r="G99" s="2"/>
      <c r="H99" s="2"/>
      <c r="I99" s="13">
        <f>53000/18</f>
        <v>2944.4444444444443</v>
      </c>
      <c r="J99" s="13">
        <f t="shared" si="21"/>
        <v>8833.3333333333321</v>
      </c>
      <c r="K99" s="13">
        <f t="shared" si="22"/>
        <v>2437.6666666666679</v>
      </c>
      <c r="L99" s="14">
        <f t="shared" si="23"/>
        <v>0.23898692810457528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</v>
      </c>
      <c r="B100" s="10" t="s">
        <v>21</v>
      </c>
      <c r="C100" s="11" t="s">
        <v>52</v>
      </c>
      <c r="D100" s="13">
        <v>2000</v>
      </c>
      <c r="E100" s="13">
        <f t="shared" si="19"/>
        <v>2000</v>
      </c>
      <c r="F100" s="13">
        <f t="shared" si="20"/>
        <v>2210</v>
      </c>
      <c r="G100" s="2"/>
      <c r="H100" s="2"/>
      <c r="I100" s="13">
        <v>1000</v>
      </c>
      <c r="J100" s="13">
        <f t="shared" si="21"/>
        <v>1000</v>
      </c>
      <c r="K100" s="13">
        <f t="shared" si="22"/>
        <v>1210</v>
      </c>
      <c r="L100" s="14">
        <f t="shared" si="23"/>
        <v>0.60499999999999998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5"/>
      <c r="B101" s="2"/>
      <c r="C101" s="4"/>
      <c r="D101" s="2"/>
      <c r="E101" s="2"/>
      <c r="F101" s="2"/>
      <c r="G101" s="2"/>
      <c r="H101" s="2"/>
      <c r="I101" s="2"/>
      <c r="J101" s="2"/>
      <c r="K101" s="2"/>
      <c r="L101" s="3"/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"/>
      <c r="B102" s="2"/>
      <c r="C102" s="4"/>
      <c r="D102" s="2"/>
      <c r="E102" s="13">
        <f t="shared" ref="E102:F102" si="24">SUM(E87:E100)</f>
        <v>111250</v>
      </c>
      <c r="F102" s="13">
        <f t="shared" si="24"/>
        <v>122931.25</v>
      </c>
      <c r="G102" s="2"/>
      <c r="H102" s="2"/>
      <c r="I102" s="2"/>
      <c r="J102" s="2"/>
      <c r="K102" s="13">
        <f>SUM(K87:K100)</f>
        <v>46200.30829256268</v>
      </c>
      <c r="L102" s="14">
        <f>K102/F102</f>
        <v>0.37582232583303821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1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1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75" t="s">
        <v>53</v>
      </c>
      <c r="B105" s="76"/>
      <c r="C105" s="76"/>
      <c r="D105" s="2"/>
      <c r="E105" s="7" t="s">
        <v>54</v>
      </c>
      <c r="F105" s="8">
        <v>46113</v>
      </c>
      <c r="G105" s="2"/>
      <c r="H105" s="2"/>
      <c r="I105" s="9" t="s">
        <v>2</v>
      </c>
      <c r="J105" s="9"/>
      <c r="K105" s="9"/>
      <c r="L105" s="3"/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"/>
      <c r="B106" s="2"/>
      <c r="C106" s="5"/>
      <c r="D106" s="2"/>
      <c r="E106" s="2"/>
      <c r="F106" s="2"/>
      <c r="G106" s="2"/>
      <c r="H106" s="2"/>
      <c r="I106" s="2"/>
      <c r="J106" s="2"/>
      <c r="K106" s="2"/>
      <c r="L106" s="3"/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6" t="s">
        <v>3</v>
      </c>
      <c r="B107" s="10" t="s">
        <v>4</v>
      </c>
      <c r="C107" s="11" t="s">
        <v>5</v>
      </c>
      <c r="D107" s="10" t="s">
        <v>6</v>
      </c>
      <c r="E107" s="10" t="s">
        <v>7</v>
      </c>
      <c r="F107" s="10" t="s">
        <v>8</v>
      </c>
      <c r="G107" s="2"/>
      <c r="H107" s="2"/>
      <c r="I107" s="10" t="s">
        <v>9</v>
      </c>
      <c r="J107" s="10" t="s">
        <v>7</v>
      </c>
      <c r="K107" s="10" t="s">
        <v>10</v>
      </c>
      <c r="L107" s="3"/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0.5</v>
      </c>
      <c r="B108" s="10" t="s">
        <v>23</v>
      </c>
      <c r="C108" s="11" t="s">
        <v>39</v>
      </c>
      <c r="D108" s="13">
        <v>30000</v>
      </c>
      <c r="E108" s="13">
        <f t="shared" ref="E108:E121" si="25">A108*D108</f>
        <v>15000</v>
      </c>
      <c r="F108" s="13">
        <f t="shared" ref="F108:F121" si="26">E108*1.105</f>
        <v>16575</v>
      </c>
      <c r="G108" s="2"/>
      <c r="H108" s="2"/>
      <c r="I108" s="13">
        <v>15000</v>
      </c>
      <c r="J108" s="13">
        <f t="shared" ref="J108:J121" si="27">I108*A108</f>
        <v>7500</v>
      </c>
      <c r="K108" s="13">
        <f t="shared" ref="K108:K121" si="28">F108-J108</f>
        <v>9075</v>
      </c>
      <c r="L108" s="14">
        <f t="shared" ref="L108:L121" si="29">IFERROR(K108/E108, 0)</f>
        <v>0.60499999999999998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15</v>
      </c>
      <c r="B109" s="10" t="s">
        <v>21</v>
      </c>
      <c r="C109" s="11" t="s">
        <v>46</v>
      </c>
      <c r="D109" s="13">
        <v>600</v>
      </c>
      <c r="E109" s="13">
        <f t="shared" si="25"/>
        <v>9000</v>
      </c>
      <c r="F109" s="13">
        <f t="shared" si="26"/>
        <v>9945</v>
      </c>
      <c r="G109" s="2"/>
      <c r="H109" s="2"/>
      <c r="I109" s="13">
        <f>7000/24</f>
        <v>291.66666666666669</v>
      </c>
      <c r="J109" s="13">
        <f t="shared" si="27"/>
        <v>4375</v>
      </c>
      <c r="K109" s="13">
        <f t="shared" si="28"/>
        <v>5570</v>
      </c>
      <c r="L109" s="14">
        <f t="shared" si="29"/>
        <v>0.61888888888888893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2</v>
      </c>
      <c r="B110" s="10" t="s">
        <v>15</v>
      </c>
      <c r="C110" s="11" t="s">
        <v>27</v>
      </c>
      <c r="D110" s="13">
        <v>23000</v>
      </c>
      <c r="E110" s="13">
        <f t="shared" si="25"/>
        <v>46000</v>
      </c>
      <c r="F110" s="13">
        <f t="shared" si="26"/>
        <v>50830</v>
      </c>
      <c r="G110" s="2"/>
      <c r="H110" s="2"/>
      <c r="I110" s="13">
        <v>19000</v>
      </c>
      <c r="J110" s="13">
        <f t="shared" si="27"/>
        <v>38000</v>
      </c>
      <c r="K110" s="13">
        <f t="shared" si="28"/>
        <v>12830</v>
      </c>
      <c r="L110" s="14">
        <f t="shared" si="29"/>
        <v>0.27891304347826085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4</v>
      </c>
      <c r="B111" s="10" t="s">
        <v>17</v>
      </c>
      <c r="C111" s="11" t="s">
        <v>36</v>
      </c>
      <c r="D111" s="13">
        <v>1800</v>
      </c>
      <c r="E111" s="13">
        <f t="shared" si="25"/>
        <v>7200</v>
      </c>
      <c r="F111" s="13">
        <f t="shared" si="26"/>
        <v>7956</v>
      </c>
      <c r="G111" s="2"/>
      <c r="H111" s="2"/>
      <c r="I111" s="13">
        <v>1000</v>
      </c>
      <c r="J111" s="13">
        <f t="shared" si="27"/>
        <v>4000</v>
      </c>
      <c r="K111" s="13">
        <f t="shared" si="28"/>
        <v>3956</v>
      </c>
      <c r="L111" s="14">
        <f t="shared" si="29"/>
        <v>0.5494444444444444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1</v>
      </c>
      <c r="B112" s="10" t="s">
        <v>17</v>
      </c>
      <c r="C112" s="11" t="s">
        <v>38</v>
      </c>
      <c r="D112" s="13">
        <v>1800</v>
      </c>
      <c r="E112" s="13">
        <f t="shared" si="25"/>
        <v>1800</v>
      </c>
      <c r="F112" s="13">
        <f t="shared" si="26"/>
        <v>1989</v>
      </c>
      <c r="G112" s="2"/>
      <c r="H112" s="2"/>
      <c r="I112" s="13">
        <v>1000</v>
      </c>
      <c r="J112" s="13">
        <f t="shared" si="27"/>
        <v>1000</v>
      </c>
      <c r="K112" s="13">
        <f t="shared" si="28"/>
        <v>989</v>
      </c>
      <c r="L112" s="14">
        <f t="shared" si="29"/>
        <v>0.5494444444444444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1.55</v>
      </c>
      <c r="B113" s="10" t="s">
        <v>17</v>
      </c>
      <c r="C113" s="11" t="s">
        <v>31</v>
      </c>
      <c r="D113" s="13">
        <v>3200</v>
      </c>
      <c r="E113" s="13">
        <f t="shared" si="25"/>
        <v>4960</v>
      </c>
      <c r="F113" s="13">
        <f t="shared" si="26"/>
        <v>5480.8</v>
      </c>
      <c r="G113" s="2"/>
      <c r="H113" s="2"/>
      <c r="I113" s="13">
        <v>1000</v>
      </c>
      <c r="J113" s="13">
        <f t="shared" si="27"/>
        <v>1550</v>
      </c>
      <c r="K113" s="13">
        <f t="shared" si="28"/>
        <v>3930.8</v>
      </c>
      <c r="L113" s="14">
        <f t="shared" si="29"/>
        <v>0.79249999999999998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1</v>
      </c>
      <c r="B114" s="10" t="s">
        <v>17</v>
      </c>
      <c r="C114" s="11" t="s">
        <v>55</v>
      </c>
      <c r="D114" s="13">
        <v>21000</v>
      </c>
      <c r="E114" s="13">
        <f t="shared" si="25"/>
        <v>21000</v>
      </c>
      <c r="F114" s="13">
        <f t="shared" si="26"/>
        <v>23205</v>
      </c>
      <c r="G114" s="2"/>
      <c r="H114" s="2"/>
      <c r="I114" s="13">
        <v>17000</v>
      </c>
      <c r="J114" s="13">
        <f t="shared" si="27"/>
        <v>17000</v>
      </c>
      <c r="K114" s="13">
        <f t="shared" si="28"/>
        <v>6205</v>
      </c>
      <c r="L114" s="14">
        <f t="shared" si="29"/>
        <v>0.2954761904761905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2</v>
      </c>
      <c r="B115" s="10" t="s">
        <v>21</v>
      </c>
      <c r="C115" s="11" t="s">
        <v>34</v>
      </c>
      <c r="D115" s="13">
        <v>5000</v>
      </c>
      <c r="E115" s="13">
        <f t="shared" si="25"/>
        <v>10000</v>
      </c>
      <c r="F115" s="13">
        <f t="shared" si="26"/>
        <v>11050</v>
      </c>
      <c r="G115" s="2"/>
      <c r="H115" s="2"/>
      <c r="I115" s="13">
        <v>2000</v>
      </c>
      <c r="J115" s="13">
        <f t="shared" si="27"/>
        <v>4000</v>
      </c>
      <c r="K115" s="13">
        <f t="shared" si="28"/>
        <v>7050</v>
      </c>
      <c r="L115" s="14">
        <f t="shared" si="29"/>
        <v>0.70499999999999996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21</v>
      </c>
      <c r="C116" s="11" t="s">
        <v>42</v>
      </c>
      <c r="D116" s="13">
        <v>4500</v>
      </c>
      <c r="E116" s="13">
        <f t="shared" si="25"/>
        <v>4500</v>
      </c>
      <c r="F116" s="13">
        <f t="shared" si="26"/>
        <v>4972.5</v>
      </c>
      <c r="G116" s="2"/>
      <c r="H116" s="2"/>
      <c r="I116" s="13">
        <v>1200</v>
      </c>
      <c r="J116" s="13">
        <f t="shared" si="27"/>
        <v>1200</v>
      </c>
      <c r="K116" s="13">
        <f t="shared" si="28"/>
        <v>3772.5</v>
      </c>
      <c r="L116" s="14">
        <f t="shared" si="29"/>
        <v>0.83833333333333337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1</v>
      </c>
      <c r="B117" s="10" t="s">
        <v>21</v>
      </c>
      <c r="C117" s="11" t="s">
        <v>29</v>
      </c>
      <c r="D117" s="13">
        <v>3500</v>
      </c>
      <c r="E117" s="13">
        <f t="shared" si="25"/>
        <v>3500</v>
      </c>
      <c r="F117" s="13">
        <f t="shared" si="26"/>
        <v>3867.5</v>
      </c>
      <c r="G117" s="2"/>
      <c r="H117" s="2"/>
      <c r="I117" s="13">
        <v>1000</v>
      </c>
      <c r="J117" s="13">
        <f t="shared" si="27"/>
        <v>1000</v>
      </c>
      <c r="K117" s="13">
        <f t="shared" si="28"/>
        <v>2867.5</v>
      </c>
      <c r="L117" s="14">
        <f t="shared" si="29"/>
        <v>0.81928571428571428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2</v>
      </c>
      <c r="B118" s="10" t="s">
        <v>4</v>
      </c>
      <c r="C118" s="11" t="s">
        <v>13</v>
      </c>
      <c r="D118" s="13">
        <v>900</v>
      </c>
      <c r="E118" s="13">
        <f t="shared" si="25"/>
        <v>1800</v>
      </c>
      <c r="F118" s="13">
        <f t="shared" si="26"/>
        <v>1989</v>
      </c>
      <c r="G118" s="2"/>
      <c r="H118" s="2"/>
      <c r="I118" s="13">
        <v>460</v>
      </c>
      <c r="J118" s="13">
        <f t="shared" si="27"/>
        <v>920</v>
      </c>
      <c r="K118" s="13">
        <f t="shared" si="28"/>
        <v>1069</v>
      </c>
      <c r="L118" s="14">
        <f t="shared" si="29"/>
        <v>0.59388888888888891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1</v>
      </c>
      <c r="B119" s="10" t="s">
        <v>17</v>
      </c>
      <c r="C119" s="11" t="s">
        <v>56</v>
      </c>
      <c r="D119" s="13">
        <v>800</v>
      </c>
      <c r="E119" s="13">
        <f t="shared" si="25"/>
        <v>800</v>
      </c>
      <c r="F119" s="13">
        <f t="shared" si="26"/>
        <v>884</v>
      </c>
      <c r="G119" s="2"/>
      <c r="H119" s="13"/>
      <c r="I119" s="13">
        <f>10000/16</f>
        <v>625</v>
      </c>
      <c r="J119" s="13">
        <f t="shared" si="27"/>
        <v>625</v>
      </c>
      <c r="K119" s="13">
        <f t="shared" si="28"/>
        <v>259</v>
      </c>
      <c r="L119" s="14">
        <f t="shared" si="29"/>
        <v>0.32374999999999998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1</v>
      </c>
      <c r="B120" s="10" t="s">
        <v>17</v>
      </c>
      <c r="C120" s="11" t="s">
        <v>18</v>
      </c>
      <c r="D120" s="13">
        <v>1600</v>
      </c>
      <c r="E120" s="13">
        <f t="shared" si="25"/>
        <v>1600</v>
      </c>
      <c r="F120" s="13">
        <f t="shared" si="26"/>
        <v>1768</v>
      </c>
      <c r="G120" s="2"/>
      <c r="H120" s="13"/>
      <c r="I120" s="13">
        <f>12000/15</f>
        <v>800</v>
      </c>
      <c r="J120" s="13">
        <f t="shared" si="27"/>
        <v>800</v>
      </c>
      <c r="K120" s="13">
        <f t="shared" si="28"/>
        <v>968</v>
      </c>
      <c r="L120" s="14">
        <f t="shared" si="29"/>
        <v>0.60499999999999998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23</v>
      </c>
      <c r="C121" s="11" t="s">
        <v>22</v>
      </c>
      <c r="D121" s="13">
        <v>17000</v>
      </c>
      <c r="E121" s="13">
        <f t="shared" si="25"/>
        <v>17000</v>
      </c>
      <c r="F121" s="13">
        <f t="shared" si="26"/>
        <v>18785</v>
      </c>
      <c r="G121" s="2"/>
      <c r="H121" s="2"/>
      <c r="I121" s="13">
        <f>12000/10</f>
        <v>1200</v>
      </c>
      <c r="J121" s="13">
        <f t="shared" si="27"/>
        <v>1200</v>
      </c>
      <c r="K121" s="13">
        <f t="shared" si="28"/>
        <v>17585</v>
      </c>
      <c r="L121" s="14">
        <f t="shared" si="29"/>
        <v>1.0344117647058824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5"/>
      <c r="B122" s="2"/>
      <c r="C122" s="4"/>
      <c r="D122" s="2"/>
      <c r="E122" s="2"/>
      <c r="F122" s="2"/>
      <c r="G122" s="2"/>
      <c r="H122" s="2"/>
      <c r="I122" s="2"/>
      <c r="J122" s="2"/>
      <c r="K122" s="2"/>
      <c r="L122" s="3"/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"/>
      <c r="B123" s="2"/>
      <c r="C123" s="4"/>
      <c r="D123" s="2"/>
      <c r="E123" s="13">
        <f t="shared" ref="E123:F123" si="30">SUM(E108:E121)</f>
        <v>144160</v>
      </c>
      <c r="F123" s="13">
        <f t="shared" si="30"/>
        <v>159296.79999999999</v>
      </c>
      <c r="G123" s="2"/>
      <c r="H123" s="2"/>
      <c r="I123" s="2"/>
      <c r="J123" s="2"/>
      <c r="K123" s="13">
        <f>SUM(K108:K121)</f>
        <v>76126.8</v>
      </c>
      <c r="L123" s="14">
        <f>K123/F123</f>
        <v>0.47789283902752605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3"/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"/>
      <c r="B125" s="2"/>
      <c r="C125" s="4"/>
      <c r="D125" s="2"/>
      <c r="E125" s="2"/>
      <c r="F125" s="2"/>
      <c r="G125" s="2"/>
      <c r="H125" s="2"/>
      <c r="I125" s="2"/>
      <c r="J125" s="2"/>
      <c r="K125" s="2"/>
      <c r="L125" s="3"/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"/>
      <c r="B126" s="2"/>
      <c r="C126" s="4"/>
      <c r="D126" s="2"/>
      <c r="E126" s="2"/>
      <c r="F126" s="2"/>
      <c r="G126" s="2"/>
      <c r="H126" s="2"/>
      <c r="I126" s="2"/>
      <c r="J126" s="2"/>
      <c r="K126" s="2"/>
      <c r="L126" s="3"/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"/>
      <c r="B127" s="1"/>
      <c r="C127" s="1"/>
      <c r="D127" s="2"/>
      <c r="E127" s="2"/>
      <c r="F127" s="5"/>
      <c r="G127" s="2"/>
      <c r="H127" s="2"/>
      <c r="I127" s="2"/>
      <c r="J127" s="2"/>
      <c r="K127" s="2"/>
      <c r="L127" s="3"/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75" t="s">
        <v>57</v>
      </c>
      <c r="B128" s="76"/>
      <c r="C128" s="76"/>
      <c r="D128" s="2"/>
      <c r="E128" s="7" t="s">
        <v>58</v>
      </c>
      <c r="F128" s="8">
        <v>46113</v>
      </c>
      <c r="G128" s="2"/>
      <c r="H128" s="2"/>
      <c r="I128" s="9" t="s">
        <v>2</v>
      </c>
      <c r="J128" s="9"/>
      <c r="K128" s="9"/>
      <c r="L128" s="3"/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"/>
      <c r="B129" s="2"/>
      <c r="C129" s="5"/>
      <c r="D129" s="2"/>
      <c r="E129" s="2"/>
      <c r="F129" s="2"/>
      <c r="G129" s="2"/>
      <c r="H129" s="2"/>
      <c r="I129" s="2"/>
      <c r="J129" s="2"/>
      <c r="K129" s="2"/>
      <c r="L129" s="3"/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6" t="s">
        <v>3</v>
      </c>
      <c r="B130" s="10" t="s">
        <v>4</v>
      </c>
      <c r="C130" s="11" t="s">
        <v>5</v>
      </c>
      <c r="D130" s="10" t="s">
        <v>6</v>
      </c>
      <c r="E130" s="10" t="s">
        <v>7</v>
      </c>
      <c r="F130" s="10" t="s">
        <v>8</v>
      </c>
      <c r="G130" s="2"/>
      <c r="H130" s="2"/>
      <c r="I130" s="10" t="s">
        <v>9</v>
      </c>
      <c r="J130" s="10" t="s">
        <v>7</v>
      </c>
      <c r="K130" s="10" t="s">
        <v>10</v>
      </c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2.5</v>
      </c>
      <c r="B131" s="10" t="s">
        <v>17</v>
      </c>
      <c r="C131" s="11" t="s">
        <v>36</v>
      </c>
      <c r="D131" s="13">
        <v>1800</v>
      </c>
      <c r="E131" s="13">
        <f t="shared" ref="E131:E153" si="31">A131*D131</f>
        <v>4500</v>
      </c>
      <c r="F131" s="13">
        <f t="shared" ref="F131:F153" si="32">E131*1.105</f>
        <v>4972.5</v>
      </c>
      <c r="G131" s="2"/>
      <c r="H131" s="2"/>
      <c r="I131" s="13">
        <v>1000</v>
      </c>
      <c r="J131" s="13">
        <f t="shared" ref="J131:J153" si="33">I131*A131</f>
        <v>2500</v>
      </c>
      <c r="K131" s="13">
        <f t="shared" ref="K131:K153" si="34">F131-J131</f>
        <v>2472.5</v>
      </c>
      <c r="L131" s="14">
        <f t="shared" ref="L131:L153" si="35">IFERROR(K131/E131, 0)</f>
        <v>0.5494444444444444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2.5</v>
      </c>
      <c r="B132" s="10" t="s">
        <v>17</v>
      </c>
      <c r="C132" s="11" t="s">
        <v>38</v>
      </c>
      <c r="D132" s="13">
        <v>1800</v>
      </c>
      <c r="E132" s="13">
        <f t="shared" si="31"/>
        <v>4500</v>
      </c>
      <c r="F132" s="13">
        <f t="shared" si="32"/>
        <v>4972.5</v>
      </c>
      <c r="G132" s="2"/>
      <c r="H132" s="2"/>
      <c r="I132" s="13">
        <v>1000</v>
      </c>
      <c r="J132" s="13">
        <f t="shared" si="33"/>
        <v>2500</v>
      </c>
      <c r="K132" s="13">
        <f t="shared" si="34"/>
        <v>2472.5</v>
      </c>
      <c r="L132" s="14">
        <f t="shared" si="35"/>
        <v>0.5494444444444444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16</v>
      </c>
      <c r="B133" s="10" t="s">
        <v>17</v>
      </c>
      <c r="C133" s="11" t="s">
        <v>39</v>
      </c>
      <c r="D133" s="13">
        <v>2400</v>
      </c>
      <c r="E133" s="13">
        <f t="shared" si="31"/>
        <v>38400</v>
      </c>
      <c r="F133" s="13">
        <f t="shared" si="32"/>
        <v>42432</v>
      </c>
      <c r="G133" s="2"/>
      <c r="H133" s="2"/>
      <c r="I133" s="13">
        <f>15000/15</f>
        <v>1000</v>
      </c>
      <c r="J133" s="13">
        <f t="shared" si="33"/>
        <v>16000</v>
      </c>
      <c r="K133" s="13">
        <f t="shared" si="34"/>
        <v>26432</v>
      </c>
      <c r="L133" s="14">
        <f t="shared" si="35"/>
        <v>0.68833333333333335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2</v>
      </c>
      <c r="B134" s="10" t="s">
        <v>4</v>
      </c>
      <c r="C134" s="11" t="s">
        <v>13</v>
      </c>
      <c r="D134" s="13">
        <v>900</v>
      </c>
      <c r="E134" s="13">
        <f t="shared" si="31"/>
        <v>1800</v>
      </c>
      <c r="F134" s="13">
        <f t="shared" si="32"/>
        <v>1989</v>
      </c>
      <c r="G134" s="2"/>
      <c r="H134" s="2"/>
      <c r="I134" s="13">
        <v>460</v>
      </c>
      <c r="J134" s="13">
        <f t="shared" si="33"/>
        <v>920</v>
      </c>
      <c r="K134" s="13">
        <f t="shared" si="34"/>
        <v>1069</v>
      </c>
      <c r="L134" s="14">
        <f t="shared" si="35"/>
        <v>0.59388888888888891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17</v>
      </c>
      <c r="C135" s="11" t="s">
        <v>35</v>
      </c>
      <c r="D135" s="13">
        <v>2500</v>
      </c>
      <c r="E135" s="13">
        <f t="shared" si="31"/>
        <v>2500</v>
      </c>
      <c r="F135" s="13">
        <f t="shared" si="32"/>
        <v>2762.5</v>
      </c>
      <c r="G135" s="2"/>
      <c r="H135" s="2"/>
      <c r="I135" s="13">
        <f>14000/11</f>
        <v>1272.7272727272727</v>
      </c>
      <c r="J135" s="13">
        <f t="shared" si="33"/>
        <v>1272.7272727272727</v>
      </c>
      <c r="K135" s="13">
        <f t="shared" si="34"/>
        <v>1489.7727272727273</v>
      </c>
      <c r="L135" s="14">
        <f t="shared" si="35"/>
        <v>0.59590909090909094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1</v>
      </c>
      <c r="B136" s="10" t="s">
        <v>21</v>
      </c>
      <c r="C136" s="11" t="s">
        <v>51</v>
      </c>
      <c r="D136" s="13">
        <v>1500</v>
      </c>
      <c r="E136" s="13">
        <f t="shared" si="31"/>
        <v>1500</v>
      </c>
      <c r="F136" s="13">
        <f t="shared" si="32"/>
        <v>1657.5</v>
      </c>
      <c r="G136" s="2"/>
      <c r="H136" s="2"/>
      <c r="I136" s="13">
        <v>1200</v>
      </c>
      <c r="J136" s="13">
        <f t="shared" si="33"/>
        <v>1200</v>
      </c>
      <c r="K136" s="13">
        <f t="shared" si="34"/>
        <v>457.5</v>
      </c>
      <c r="L136" s="14">
        <f t="shared" si="35"/>
        <v>0.30499999999999999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0.4</v>
      </c>
      <c r="B137" s="10" t="s">
        <v>21</v>
      </c>
      <c r="C137" s="11" t="s">
        <v>22</v>
      </c>
      <c r="D137" s="13">
        <v>1700</v>
      </c>
      <c r="E137" s="13">
        <f t="shared" si="31"/>
        <v>680</v>
      </c>
      <c r="F137" s="13">
        <f t="shared" si="32"/>
        <v>751.4</v>
      </c>
      <c r="G137" s="2"/>
      <c r="H137" s="2"/>
      <c r="I137" s="13">
        <f>12000/10</f>
        <v>1200</v>
      </c>
      <c r="J137" s="13">
        <f t="shared" si="33"/>
        <v>480</v>
      </c>
      <c r="K137" s="13">
        <f t="shared" si="34"/>
        <v>271.39999999999998</v>
      </c>
      <c r="L137" s="14">
        <f t="shared" si="35"/>
        <v>0.39911764705882352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2</v>
      </c>
      <c r="B138" s="10" t="s">
        <v>17</v>
      </c>
      <c r="C138" s="11" t="s">
        <v>18</v>
      </c>
      <c r="D138" s="13">
        <v>1600</v>
      </c>
      <c r="E138" s="13">
        <f t="shared" si="31"/>
        <v>3200</v>
      </c>
      <c r="F138" s="13">
        <f t="shared" si="32"/>
        <v>3536</v>
      </c>
      <c r="G138" s="2"/>
      <c r="H138" s="2"/>
      <c r="I138" s="13">
        <f>12000/15</f>
        <v>800</v>
      </c>
      <c r="J138" s="13">
        <f t="shared" si="33"/>
        <v>1600</v>
      </c>
      <c r="K138" s="13">
        <f t="shared" si="34"/>
        <v>1936</v>
      </c>
      <c r="L138" s="14">
        <f t="shared" si="35"/>
        <v>0.60499999999999998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2</v>
      </c>
      <c r="B139" s="10" t="s">
        <v>17</v>
      </c>
      <c r="C139" s="11" t="s">
        <v>56</v>
      </c>
      <c r="D139" s="13">
        <v>800</v>
      </c>
      <c r="E139" s="13">
        <f t="shared" si="31"/>
        <v>1600</v>
      </c>
      <c r="F139" s="13">
        <f t="shared" si="32"/>
        <v>1768</v>
      </c>
      <c r="G139" s="2"/>
      <c r="H139" s="2"/>
      <c r="I139" s="13">
        <f>10000/16</f>
        <v>625</v>
      </c>
      <c r="J139" s="13">
        <f t="shared" si="33"/>
        <v>1250</v>
      </c>
      <c r="K139" s="13">
        <f t="shared" si="34"/>
        <v>518</v>
      </c>
      <c r="L139" s="14">
        <f t="shared" si="35"/>
        <v>0.32374999999999998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2</v>
      </c>
      <c r="B140" s="10" t="s">
        <v>17</v>
      </c>
      <c r="C140" s="11" t="s">
        <v>31</v>
      </c>
      <c r="D140" s="13">
        <v>3200</v>
      </c>
      <c r="E140" s="13">
        <f t="shared" si="31"/>
        <v>6400</v>
      </c>
      <c r="F140" s="13">
        <f t="shared" si="32"/>
        <v>7072</v>
      </c>
      <c r="G140" s="2"/>
      <c r="H140" s="2"/>
      <c r="I140" s="13">
        <v>1000</v>
      </c>
      <c r="J140" s="13">
        <f t="shared" si="33"/>
        <v>2000</v>
      </c>
      <c r="K140" s="13">
        <f t="shared" si="34"/>
        <v>5072</v>
      </c>
      <c r="L140" s="14">
        <f t="shared" si="35"/>
        <v>0.79249999999999998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2</v>
      </c>
      <c r="B141" s="10" t="s">
        <v>17</v>
      </c>
      <c r="C141" s="11" t="s">
        <v>33</v>
      </c>
      <c r="D141" s="13">
        <v>2800</v>
      </c>
      <c r="E141" s="13">
        <f t="shared" si="31"/>
        <v>5600</v>
      </c>
      <c r="F141" s="13">
        <f t="shared" si="32"/>
        <v>6188</v>
      </c>
      <c r="G141" s="2"/>
      <c r="H141" s="2"/>
      <c r="I141" s="13">
        <f>12000/7</f>
        <v>1714.2857142857142</v>
      </c>
      <c r="J141" s="13">
        <f t="shared" si="33"/>
        <v>3428.5714285714284</v>
      </c>
      <c r="K141" s="13">
        <f t="shared" si="34"/>
        <v>2759.4285714285716</v>
      </c>
      <c r="L141" s="14">
        <f t="shared" si="35"/>
        <v>0.49275510204081635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2</v>
      </c>
      <c r="B142" s="10" t="s">
        <v>17</v>
      </c>
      <c r="C142" s="11" t="s">
        <v>32</v>
      </c>
      <c r="D142" s="13">
        <v>2400</v>
      </c>
      <c r="E142" s="13">
        <f t="shared" si="31"/>
        <v>4800</v>
      </c>
      <c r="F142" s="13">
        <f t="shared" si="32"/>
        <v>5304</v>
      </c>
      <c r="G142" s="2"/>
      <c r="H142" s="2"/>
      <c r="I142" s="13">
        <v>1000</v>
      </c>
      <c r="J142" s="13">
        <f t="shared" si="33"/>
        <v>2000</v>
      </c>
      <c r="K142" s="13">
        <f t="shared" si="34"/>
        <v>3304</v>
      </c>
      <c r="L142" s="14">
        <f t="shared" si="35"/>
        <v>0.68833333333333335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0.6</v>
      </c>
      <c r="B143" s="10" t="s">
        <v>17</v>
      </c>
      <c r="C143" s="11" t="s">
        <v>55</v>
      </c>
      <c r="D143" s="13">
        <v>21000</v>
      </c>
      <c r="E143" s="13">
        <f t="shared" si="31"/>
        <v>12600</v>
      </c>
      <c r="F143" s="13">
        <f t="shared" si="32"/>
        <v>13923</v>
      </c>
      <c r="G143" s="2"/>
      <c r="H143" s="2"/>
      <c r="I143" s="13">
        <v>17000</v>
      </c>
      <c r="J143" s="13">
        <f t="shared" si="33"/>
        <v>10200</v>
      </c>
      <c r="K143" s="13">
        <f t="shared" si="34"/>
        <v>3723</v>
      </c>
      <c r="L143" s="14">
        <f t="shared" si="35"/>
        <v>0.2954761904761905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1</v>
      </c>
      <c r="B144" s="10" t="s">
        <v>17</v>
      </c>
      <c r="C144" s="11" t="s">
        <v>34</v>
      </c>
      <c r="D144" s="13">
        <v>5000</v>
      </c>
      <c r="E144" s="13">
        <f t="shared" si="31"/>
        <v>5000</v>
      </c>
      <c r="F144" s="13">
        <f t="shared" si="32"/>
        <v>5525</v>
      </c>
      <c r="G144" s="2"/>
      <c r="H144" s="2"/>
      <c r="I144" s="13">
        <v>2000</v>
      </c>
      <c r="J144" s="13">
        <f t="shared" si="33"/>
        <v>2000</v>
      </c>
      <c r="K144" s="13">
        <f t="shared" si="34"/>
        <v>3525</v>
      </c>
      <c r="L144" s="14">
        <f t="shared" si="35"/>
        <v>0.70499999999999996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1</v>
      </c>
      <c r="B145" s="10" t="s">
        <v>15</v>
      </c>
      <c r="C145" s="11" t="s">
        <v>16</v>
      </c>
      <c r="D145" s="13">
        <v>13000</v>
      </c>
      <c r="E145" s="13">
        <f t="shared" si="31"/>
        <v>13000</v>
      </c>
      <c r="F145" s="13">
        <f t="shared" si="32"/>
        <v>14365</v>
      </c>
      <c r="G145" s="2"/>
      <c r="H145" s="2"/>
      <c r="I145" s="13">
        <v>9000</v>
      </c>
      <c r="J145" s="13">
        <f t="shared" si="33"/>
        <v>9000</v>
      </c>
      <c r="K145" s="13">
        <f t="shared" si="34"/>
        <v>5365</v>
      </c>
      <c r="L145" s="14">
        <f t="shared" si="35"/>
        <v>0.41269230769230769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2</v>
      </c>
      <c r="B146" s="10" t="s">
        <v>21</v>
      </c>
      <c r="C146" s="11" t="s">
        <v>28</v>
      </c>
      <c r="D146" s="13">
        <v>3000</v>
      </c>
      <c r="E146" s="13">
        <f t="shared" si="31"/>
        <v>6000</v>
      </c>
      <c r="F146" s="13">
        <f t="shared" si="32"/>
        <v>6630</v>
      </c>
      <c r="G146" s="2"/>
      <c r="H146" s="2"/>
      <c r="I146" s="13">
        <v>2000</v>
      </c>
      <c r="J146" s="13">
        <f t="shared" si="33"/>
        <v>4000</v>
      </c>
      <c r="K146" s="13">
        <f t="shared" si="34"/>
        <v>2630</v>
      </c>
      <c r="L146" s="14">
        <f t="shared" si="35"/>
        <v>0.43833333333333335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0.5</v>
      </c>
      <c r="B147" s="10" t="s">
        <v>17</v>
      </c>
      <c r="C147" s="11" t="s">
        <v>30</v>
      </c>
      <c r="D147" s="13">
        <v>1500</v>
      </c>
      <c r="E147" s="13">
        <f t="shared" si="31"/>
        <v>750</v>
      </c>
      <c r="F147" s="13">
        <f t="shared" si="32"/>
        <v>828.75</v>
      </c>
      <c r="G147" s="2"/>
      <c r="H147" s="2"/>
      <c r="I147" s="13">
        <v>1500</v>
      </c>
      <c r="J147" s="13">
        <f t="shared" si="33"/>
        <v>750</v>
      </c>
      <c r="K147" s="13">
        <f t="shared" si="34"/>
        <v>78.75</v>
      </c>
      <c r="L147" s="14">
        <f t="shared" si="35"/>
        <v>0.105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1</v>
      </c>
      <c r="B148" s="10" t="s">
        <v>15</v>
      </c>
      <c r="C148" s="11" t="s">
        <v>40</v>
      </c>
      <c r="D148" s="13">
        <v>12000</v>
      </c>
      <c r="E148" s="13">
        <f t="shared" si="31"/>
        <v>12000</v>
      </c>
      <c r="F148" s="13">
        <f t="shared" si="32"/>
        <v>13260</v>
      </c>
      <c r="G148" s="2"/>
      <c r="H148" s="2"/>
      <c r="I148" s="13">
        <v>7000</v>
      </c>
      <c r="J148" s="13">
        <f t="shared" si="33"/>
        <v>7000</v>
      </c>
      <c r="K148" s="13">
        <f t="shared" si="34"/>
        <v>6260</v>
      </c>
      <c r="L148" s="14">
        <f t="shared" si="35"/>
        <v>0.52166666666666661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3</v>
      </c>
      <c r="B149" s="10" t="s">
        <v>15</v>
      </c>
      <c r="C149" s="11" t="s">
        <v>27</v>
      </c>
      <c r="D149" s="13">
        <v>23000</v>
      </c>
      <c r="E149" s="13">
        <f t="shared" si="31"/>
        <v>69000</v>
      </c>
      <c r="F149" s="13">
        <f t="shared" si="32"/>
        <v>76245</v>
      </c>
      <c r="G149" s="2"/>
      <c r="H149" s="2"/>
      <c r="I149" s="13">
        <v>19000</v>
      </c>
      <c r="J149" s="13">
        <f t="shared" si="33"/>
        <v>57000</v>
      </c>
      <c r="K149" s="13">
        <f t="shared" si="34"/>
        <v>19245</v>
      </c>
      <c r="L149" s="14">
        <f t="shared" si="35"/>
        <v>0.27891304347826085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0.5</v>
      </c>
      <c r="B150" s="10" t="s">
        <v>21</v>
      </c>
      <c r="C150" s="11" t="s">
        <v>42</v>
      </c>
      <c r="D150" s="13">
        <v>4500</v>
      </c>
      <c r="E150" s="13">
        <f t="shared" si="31"/>
        <v>2250</v>
      </c>
      <c r="F150" s="13">
        <f t="shared" si="32"/>
        <v>2486.25</v>
      </c>
      <c r="G150" s="2"/>
      <c r="H150" s="2"/>
      <c r="I150" s="13">
        <v>1200</v>
      </c>
      <c r="J150" s="13">
        <f t="shared" si="33"/>
        <v>600</v>
      </c>
      <c r="K150" s="13">
        <f t="shared" si="34"/>
        <v>1886.25</v>
      </c>
      <c r="L150" s="14">
        <f t="shared" si="35"/>
        <v>0.83833333333333337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21</v>
      </c>
      <c r="C151" s="11" t="s">
        <v>29</v>
      </c>
      <c r="D151" s="13">
        <v>3500</v>
      </c>
      <c r="E151" s="13">
        <f t="shared" si="31"/>
        <v>3500</v>
      </c>
      <c r="F151" s="13">
        <f t="shared" si="32"/>
        <v>3867.5</v>
      </c>
      <c r="G151" s="2"/>
      <c r="H151" s="2"/>
      <c r="I151" s="13">
        <v>1000</v>
      </c>
      <c r="J151" s="13">
        <f t="shared" si="33"/>
        <v>1000</v>
      </c>
      <c r="K151" s="13">
        <f t="shared" si="34"/>
        <v>2867.5</v>
      </c>
      <c r="L151" s="14">
        <f t="shared" si="35"/>
        <v>0.81928571428571428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23</v>
      </c>
      <c r="C152" s="11" t="s">
        <v>26</v>
      </c>
      <c r="D152" s="13">
        <v>25000</v>
      </c>
      <c r="E152" s="13">
        <f t="shared" si="31"/>
        <v>25000</v>
      </c>
      <c r="F152" s="13">
        <f t="shared" si="32"/>
        <v>27625</v>
      </c>
      <c r="G152" s="2"/>
      <c r="H152" s="2"/>
      <c r="I152" s="13">
        <v>22000</v>
      </c>
      <c r="J152" s="13">
        <f t="shared" si="33"/>
        <v>22000</v>
      </c>
      <c r="K152" s="13">
        <f t="shared" si="34"/>
        <v>5625</v>
      </c>
      <c r="L152" s="14">
        <f t="shared" si="35"/>
        <v>0.22500000000000001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8</v>
      </c>
      <c r="B153" s="10" t="s">
        <v>17</v>
      </c>
      <c r="C153" s="11" t="s">
        <v>24</v>
      </c>
      <c r="D153" s="13">
        <v>3400</v>
      </c>
      <c r="E153" s="13">
        <f t="shared" si="31"/>
        <v>27200</v>
      </c>
      <c r="F153" s="13">
        <f t="shared" si="32"/>
        <v>30056</v>
      </c>
      <c r="G153" s="2"/>
      <c r="H153" s="2"/>
      <c r="I153" s="13">
        <f>53000/18</f>
        <v>2944.4444444444443</v>
      </c>
      <c r="J153" s="13">
        <f t="shared" si="33"/>
        <v>23555.555555555555</v>
      </c>
      <c r="K153" s="13">
        <f t="shared" si="34"/>
        <v>6500.4444444444453</v>
      </c>
      <c r="L153" s="14">
        <f t="shared" si="35"/>
        <v>0.2389869281045752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5"/>
      <c r="B154" s="2"/>
      <c r="C154" s="4"/>
      <c r="D154" s="2"/>
      <c r="E154" s="2"/>
      <c r="F154" s="2"/>
      <c r="G154" s="2"/>
      <c r="H154" s="2"/>
      <c r="I154" s="2"/>
      <c r="J154" s="2"/>
      <c r="K154" s="2"/>
      <c r="L154" s="3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"/>
      <c r="B155" s="2"/>
      <c r="C155" s="4"/>
      <c r="D155" s="2"/>
      <c r="E155" s="13">
        <f t="shared" ref="E155:F155" si="36">SUM(E131:E153)</f>
        <v>251780</v>
      </c>
      <c r="F155" s="13">
        <f t="shared" si="36"/>
        <v>278216.90000000002</v>
      </c>
      <c r="G155" s="2"/>
      <c r="H155" s="2"/>
      <c r="I155" s="2"/>
      <c r="J155" s="2"/>
      <c r="K155" s="13">
        <f>SUM(K131:K153)</f>
        <v>105960.04574314575</v>
      </c>
      <c r="L155" s="14">
        <f>K155/F155</f>
        <v>0.38085409528733061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1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1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75" t="s">
        <v>59</v>
      </c>
      <c r="B158" s="76"/>
      <c r="C158" s="76"/>
      <c r="D158" s="2"/>
      <c r="E158" s="7" t="s">
        <v>60</v>
      </c>
      <c r="F158" s="8">
        <v>46113</v>
      </c>
      <c r="G158" s="2"/>
      <c r="H158" s="2"/>
      <c r="I158" s="9" t="s">
        <v>2</v>
      </c>
      <c r="J158" s="9"/>
      <c r="K158" s="9"/>
      <c r="L158" s="3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"/>
      <c r="B159" s="2"/>
      <c r="C159" s="5"/>
      <c r="D159" s="2"/>
      <c r="E159" s="2"/>
      <c r="F159" s="2"/>
      <c r="G159" s="2"/>
      <c r="H159" s="2"/>
      <c r="I159" s="2"/>
      <c r="J159" s="2"/>
      <c r="K159" s="2"/>
      <c r="L159" s="3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6" t="s">
        <v>3</v>
      </c>
      <c r="B160" s="10" t="s">
        <v>4</v>
      </c>
      <c r="C160" s="11" t="s">
        <v>5</v>
      </c>
      <c r="D160" s="10" t="s">
        <v>6</v>
      </c>
      <c r="E160" s="10" t="s">
        <v>7</v>
      </c>
      <c r="F160" s="10" t="s">
        <v>8</v>
      </c>
      <c r="G160" s="2"/>
      <c r="H160" s="2"/>
      <c r="I160" s="10" t="s">
        <v>9</v>
      </c>
      <c r="J160" s="10" t="s">
        <v>7</v>
      </c>
      <c r="K160" s="10" t="s">
        <v>10</v>
      </c>
      <c r="L160" s="3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5</v>
      </c>
      <c r="B161" s="10" t="s">
        <v>17</v>
      </c>
      <c r="C161" s="11" t="s">
        <v>39</v>
      </c>
      <c r="D161" s="13">
        <v>2400</v>
      </c>
      <c r="E161" s="13">
        <f t="shared" ref="E161:E171" si="37">A161*D161</f>
        <v>12000</v>
      </c>
      <c r="F161" s="13">
        <f t="shared" ref="F161:F171" si="38">E161*1.105</f>
        <v>13260</v>
      </c>
      <c r="G161" s="2"/>
      <c r="H161" s="2"/>
      <c r="I161" s="13">
        <f>15000/15</f>
        <v>1000</v>
      </c>
      <c r="J161" s="13">
        <f t="shared" ref="J161:J171" si="39">I161*A161</f>
        <v>5000</v>
      </c>
      <c r="K161" s="13">
        <f t="shared" ref="K161:K171" si="40">F161-J161</f>
        <v>8260</v>
      </c>
      <c r="L161" s="14">
        <f t="shared" ref="L161:L171" si="41">IFERROR(K161/E161, 0)</f>
        <v>0.68833333333333335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7</v>
      </c>
      <c r="B162" s="10" t="s">
        <v>21</v>
      </c>
      <c r="C162" s="11" t="s">
        <v>46</v>
      </c>
      <c r="D162" s="13">
        <v>600</v>
      </c>
      <c r="E162" s="13">
        <f t="shared" si="37"/>
        <v>4200</v>
      </c>
      <c r="F162" s="13">
        <f t="shared" si="38"/>
        <v>4641</v>
      </c>
      <c r="G162" s="2"/>
      <c r="H162" s="2"/>
      <c r="I162" s="13">
        <f>4000/12</f>
        <v>333.33333333333331</v>
      </c>
      <c r="J162" s="13">
        <f t="shared" si="39"/>
        <v>2333.333333333333</v>
      </c>
      <c r="K162" s="13">
        <f t="shared" si="40"/>
        <v>2307.666666666667</v>
      </c>
      <c r="L162" s="14">
        <f t="shared" si="41"/>
        <v>0.54944444444444451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1.5</v>
      </c>
      <c r="B163" s="10" t="s">
        <v>17</v>
      </c>
      <c r="C163" s="11" t="s">
        <v>34</v>
      </c>
      <c r="D163" s="13">
        <v>5000</v>
      </c>
      <c r="E163" s="13">
        <f t="shared" si="37"/>
        <v>7500</v>
      </c>
      <c r="F163" s="13">
        <f t="shared" si="38"/>
        <v>8287.5</v>
      </c>
      <c r="G163" s="2"/>
      <c r="H163" s="2"/>
      <c r="I163" s="13">
        <v>2000</v>
      </c>
      <c r="J163" s="13">
        <f t="shared" si="39"/>
        <v>3000</v>
      </c>
      <c r="K163" s="13">
        <f t="shared" si="40"/>
        <v>5287.5</v>
      </c>
      <c r="L163" s="14">
        <f t="shared" si="41"/>
        <v>0.70499999999999996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8</v>
      </c>
      <c r="B164" s="10" t="s">
        <v>21</v>
      </c>
      <c r="C164" s="11" t="s">
        <v>22</v>
      </c>
      <c r="D164" s="13">
        <v>1700</v>
      </c>
      <c r="E164" s="13">
        <f t="shared" si="37"/>
        <v>13600</v>
      </c>
      <c r="F164" s="13">
        <f t="shared" si="38"/>
        <v>15028</v>
      </c>
      <c r="G164" s="2"/>
      <c r="H164" s="2"/>
      <c r="I164" s="13">
        <f>12000/10</f>
        <v>1200</v>
      </c>
      <c r="J164" s="13">
        <f t="shared" si="39"/>
        <v>9600</v>
      </c>
      <c r="K164" s="13">
        <f t="shared" si="40"/>
        <v>5428</v>
      </c>
      <c r="L164" s="14">
        <f t="shared" si="41"/>
        <v>0.39911764705882352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1</v>
      </c>
      <c r="B165" s="10" t="s">
        <v>17</v>
      </c>
      <c r="C165" s="11" t="s">
        <v>35</v>
      </c>
      <c r="D165" s="13">
        <v>2500</v>
      </c>
      <c r="E165" s="13">
        <f t="shared" si="37"/>
        <v>2500</v>
      </c>
      <c r="F165" s="13">
        <f t="shared" si="38"/>
        <v>2762.5</v>
      </c>
      <c r="G165" s="2"/>
      <c r="H165" s="2"/>
      <c r="I165" s="13">
        <f>14000/11</f>
        <v>1272.7272727272727</v>
      </c>
      <c r="J165" s="13">
        <f t="shared" si="39"/>
        <v>1272.7272727272727</v>
      </c>
      <c r="K165" s="13">
        <f t="shared" si="40"/>
        <v>1489.7727272727273</v>
      </c>
      <c r="L165" s="14">
        <f t="shared" si="41"/>
        <v>0.59590909090909094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1</v>
      </c>
      <c r="B166" s="10" t="s">
        <v>17</v>
      </c>
      <c r="C166" s="11" t="s">
        <v>61</v>
      </c>
      <c r="D166" s="13">
        <v>1400</v>
      </c>
      <c r="E166" s="13">
        <f t="shared" si="37"/>
        <v>1400</v>
      </c>
      <c r="F166" s="13">
        <f t="shared" si="38"/>
        <v>1547</v>
      </c>
      <c r="G166" s="2"/>
      <c r="H166" s="2"/>
      <c r="I166" s="13">
        <v>1000</v>
      </c>
      <c r="J166" s="13">
        <f t="shared" si="39"/>
        <v>1000</v>
      </c>
      <c r="K166" s="13">
        <f t="shared" si="40"/>
        <v>547</v>
      </c>
      <c r="L166" s="14">
        <f t="shared" si="41"/>
        <v>0.39071428571428574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1</v>
      </c>
      <c r="B167" s="10" t="s">
        <v>4</v>
      </c>
      <c r="C167" s="11" t="s">
        <v>14</v>
      </c>
      <c r="D167" s="13">
        <v>2600</v>
      </c>
      <c r="E167" s="13">
        <f t="shared" si="37"/>
        <v>2600</v>
      </c>
      <c r="F167" s="13">
        <f t="shared" si="38"/>
        <v>2873</v>
      </c>
      <c r="G167" s="2"/>
      <c r="H167" s="2"/>
      <c r="I167" s="13">
        <f>18000/13</f>
        <v>1384.6153846153845</v>
      </c>
      <c r="J167" s="13">
        <f t="shared" si="39"/>
        <v>1384.6153846153845</v>
      </c>
      <c r="K167" s="13">
        <f t="shared" si="40"/>
        <v>1488.3846153846155</v>
      </c>
      <c r="L167" s="14">
        <f t="shared" si="41"/>
        <v>0.57245562130177519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8</v>
      </c>
      <c r="B168" s="10" t="s">
        <v>17</v>
      </c>
      <c r="C168" s="11" t="s">
        <v>24</v>
      </c>
      <c r="D168" s="13">
        <v>3400</v>
      </c>
      <c r="E168" s="13">
        <f t="shared" si="37"/>
        <v>27200</v>
      </c>
      <c r="F168" s="13">
        <f t="shared" si="38"/>
        <v>30056</v>
      </c>
      <c r="G168" s="2"/>
      <c r="H168" s="2"/>
      <c r="I168" s="13">
        <f>53000/18</f>
        <v>2944.4444444444443</v>
      </c>
      <c r="J168" s="13">
        <f t="shared" si="39"/>
        <v>23555.555555555555</v>
      </c>
      <c r="K168" s="13">
        <f t="shared" si="40"/>
        <v>6500.4444444444453</v>
      </c>
      <c r="L168" s="14">
        <f t="shared" si="41"/>
        <v>0.2389869281045752</v>
      </c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3</v>
      </c>
      <c r="B169" s="10" t="s">
        <v>17</v>
      </c>
      <c r="C169" s="11" t="s">
        <v>25</v>
      </c>
      <c r="D169" s="13">
        <v>4200</v>
      </c>
      <c r="E169" s="13">
        <f t="shared" si="37"/>
        <v>12600</v>
      </c>
      <c r="F169" s="13">
        <f t="shared" si="38"/>
        <v>13923</v>
      </c>
      <c r="G169" s="2"/>
      <c r="H169" s="2"/>
      <c r="I169" s="13">
        <f>65000/17</f>
        <v>3823.5294117647059</v>
      </c>
      <c r="J169" s="13">
        <f t="shared" si="39"/>
        <v>11470.588235294117</v>
      </c>
      <c r="K169" s="13">
        <f t="shared" si="40"/>
        <v>2452.4117647058829</v>
      </c>
      <c r="L169" s="14">
        <f t="shared" si="41"/>
        <v>0.19463585434173675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5</v>
      </c>
      <c r="B170" s="10" t="s">
        <v>17</v>
      </c>
      <c r="C170" s="11" t="s">
        <v>26</v>
      </c>
      <c r="D170" s="13">
        <v>1800</v>
      </c>
      <c r="E170" s="13">
        <f t="shared" si="37"/>
        <v>9000</v>
      </c>
      <c r="F170" s="13">
        <f t="shared" si="38"/>
        <v>9945</v>
      </c>
      <c r="G170" s="2"/>
      <c r="H170" s="2"/>
      <c r="I170" s="13">
        <f>22000/16</f>
        <v>1375</v>
      </c>
      <c r="J170" s="13">
        <f t="shared" si="39"/>
        <v>6875</v>
      </c>
      <c r="K170" s="13">
        <f t="shared" si="40"/>
        <v>3070</v>
      </c>
      <c r="L170" s="14">
        <f t="shared" si="41"/>
        <v>0.34111111111111109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2</v>
      </c>
      <c r="B171" s="10" t="s">
        <v>17</v>
      </c>
      <c r="C171" s="11" t="s">
        <v>62</v>
      </c>
      <c r="D171" s="13">
        <v>3000</v>
      </c>
      <c r="E171" s="13">
        <f t="shared" si="37"/>
        <v>6000</v>
      </c>
      <c r="F171" s="13">
        <f t="shared" si="38"/>
        <v>6630</v>
      </c>
      <c r="G171" s="2"/>
      <c r="H171" s="2"/>
      <c r="I171" s="17">
        <f>30000/17</f>
        <v>1764.7058823529412</v>
      </c>
      <c r="J171" s="13">
        <f t="shared" si="39"/>
        <v>3529.4117647058824</v>
      </c>
      <c r="K171" s="13">
        <f t="shared" si="40"/>
        <v>3100.5882352941176</v>
      </c>
      <c r="L171" s="14">
        <f t="shared" si="41"/>
        <v>0.5167647058823529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5"/>
      <c r="B172" s="2"/>
      <c r="C172" s="4"/>
      <c r="D172" s="2"/>
      <c r="E172" s="2"/>
      <c r="F172" s="2"/>
      <c r="G172" s="2"/>
      <c r="H172" s="2"/>
      <c r="I172" s="2"/>
      <c r="J172" s="2"/>
      <c r="K172" s="2"/>
      <c r="L172" s="3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"/>
      <c r="B173" s="2"/>
      <c r="C173" s="4"/>
      <c r="D173" s="2"/>
      <c r="E173" s="13">
        <f t="shared" ref="E173:F173" si="42">SUM(E161:E171)</f>
        <v>98600</v>
      </c>
      <c r="F173" s="13">
        <f t="shared" si="42"/>
        <v>108953</v>
      </c>
      <c r="G173" s="2"/>
      <c r="H173" s="2"/>
      <c r="I173" s="2"/>
      <c r="J173" s="2"/>
      <c r="K173" s="13">
        <f>SUM(K161:K171)</f>
        <v>39931.768453768462</v>
      </c>
      <c r="L173" s="14">
        <f>K173/F173</f>
        <v>0.36650453364082186</v>
      </c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1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1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75" t="s">
        <v>63</v>
      </c>
      <c r="B176" s="76"/>
      <c r="C176" s="76"/>
      <c r="D176" s="2"/>
      <c r="E176" s="7" t="s">
        <v>58</v>
      </c>
      <c r="F176" s="8">
        <v>46113</v>
      </c>
      <c r="G176" s="7"/>
      <c r="H176" s="2"/>
      <c r="I176" s="9" t="s">
        <v>2</v>
      </c>
      <c r="J176" s="9"/>
      <c r="K176" s="9"/>
      <c r="L176" s="3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"/>
      <c r="B177" s="2"/>
      <c r="C177" s="5"/>
      <c r="D177" s="2"/>
      <c r="E177" s="2"/>
      <c r="F177" s="2"/>
      <c r="G177" s="2"/>
      <c r="H177" s="2"/>
      <c r="I177" s="2"/>
      <c r="J177" s="2"/>
      <c r="K177" s="2"/>
      <c r="L177" s="3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6" t="s">
        <v>3</v>
      </c>
      <c r="B178" s="10" t="s">
        <v>4</v>
      </c>
      <c r="C178" s="11" t="s">
        <v>5</v>
      </c>
      <c r="D178" s="10" t="s">
        <v>6</v>
      </c>
      <c r="E178" s="10" t="s">
        <v>7</v>
      </c>
      <c r="F178" s="10" t="s">
        <v>8</v>
      </c>
      <c r="G178" s="2"/>
      <c r="H178" s="2"/>
      <c r="I178" s="10" t="s">
        <v>9</v>
      </c>
      <c r="J178" s="10" t="s">
        <v>7</v>
      </c>
      <c r="K178" s="10" t="s">
        <v>10</v>
      </c>
      <c r="L178" s="3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3</v>
      </c>
      <c r="B179" s="10" t="s">
        <v>4</v>
      </c>
      <c r="C179" s="11" t="s">
        <v>13</v>
      </c>
      <c r="D179" s="13">
        <v>900</v>
      </c>
      <c r="E179" s="13">
        <f t="shared" ref="E179:E195" si="43">A179*D179</f>
        <v>2700</v>
      </c>
      <c r="F179" s="13">
        <f t="shared" ref="F179:F195" si="44">E179*1.105</f>
        <v>2983.5</v>
      </c>
      <c r="G179" s="2"/>
      <c r="H179" s="2"/>
      <c r="I179" s="13">
        <v>460</v>
      </c>
      <c r="J179" s="13">
        <f t="shared" ref="J179:J195" si="45">I179*A179</f>
        <v>1380</v>
      </c>
      <c r="K179" s="13">
        <f t="shared" ref="K179:K195" si="46">F179-J179</f>
        <v>1603.5</v>
      </c>
      <c r="L179" s="14">
        <f t="shared" ref="L179:L195" si="47">IFERROR(K179/E179, 0)</f>
        <v>0.59388888888888891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0.3</v>
      </c>
      <c r="B180" s="10" t="s">
        <v>17</v>
      </c>
      <c r="C180" s="11" t="s">
        <v>64</v>
      </c>
      <c r="D180" s="13">
        <v>2500</v>
      </c>
      <c r="E180" s="13">
        <f t="shared" si="43"/>
        <v>750</v>
      </c>
      <c r="F180" s="13">
        <f t="shared" si="44"/>
        <v>828.75</v>
      </c>
      <c r="G180" s="2"/>
      <c r="H180" s="2"/>
      <c r="I180" s="13">
        <f>5000/3</f>
        <v>1666.6666666666667</v>
      </c>
      <c r="J180" s="13">
        <f t="shared" si="45"/>
        <v>500</v>
      </c>
      <c r="K180" s="13">
        <f t="shared" si="46"/>
        <v>328.75</v>
      </c>
      <c r="L180" s="14">
        <f t="shared" si="47"/>
        <v>0.43833333333333335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4</v>
      </c>
      <c r="B181" s="10" t="s">
        <v>17</v>
      </c>
      <c r="C181" s="11" t="s">
        <v>18</v>
      </c>
      <c r="D181" s="13">
        <v>1600</v>
      </c>
      <c r="E181" s="13">
        <f t="shared" si="43"/>
        <v>6400</v>
      </c>
      <c r="F181" s="13">
        <f t="shared" si="44"/>
        <v>7072</v>
      </c>
      <c r="G181" s="2"/>
      <c r="H181" s="2"/>
      <c r="I181" s="13">
        <f>12000/15</f>
        <v>800</v>
      </c>
      <c r="J181" s="13">
        <f t="shared" si="45"/>
        <v>3200</v>
      </c>
      <c r="K181" s="13">
        <f t="shared" si="46"/>
        <v>3872</v>
      </c>
      <c r="L181" s="14">
        <f t="shared" si="47"/>
        <v>0.60499999999999998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2</v>
      </c>
      <c r="B182" s="10" t="s">
        <v>17</v>
      </c>
      <c r="C182" s="11" t="s">
        <v>43</v>
      </c>
      <c r="D182" s="13">
        <v>3200</v>
      </c>
      <c r="E182" s="13">
        <f t="shared" si="43"/>
        <v>6400</v>
      </c>
      <c r="F182" s="13">
        <f t="shared" si="44"/>
        <v>7072</v>
      </c>
      <c r="G182" s="2"/>
      <c r="H182" s="2"/>
      <c r="I182" s="13">
        <v>2000</v>
      </c>
      <c r="J182" s="13">
        <f t="shared" si="45"/>
        <v>4000</v>
      </c>
      <c r="K182" s="13">
        <f t="shared" si="46"/>
        <v>3072</v>
      </c>
      <c r="L182" s="14">
        <f t="shared" si="47"/>
        <v>0.48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3</v>
      </c>
      <c r="B183" s="10" t="s">
        <v>15</v>
      </c>
      <c r="C183" s="11" t="s">
        <v>27</v>
      </c>
      <c r="D183" s="13">
        <v>23000</v>
      </c>
      <c r="E183" s="13">
        <f t="shared" si="43"/>
        <v>69000</v>
      </c>
      <c r="F183" s="13">
        <f t="shared" si="44"/>
        <v>76245</v>
      </c>
      <c r="G183" s="2"/>
      <c r="H183" s="2"/>
      <c r="I183" s="13">
        <v>19000</v>
      </c>
      <c r="J183" s="13">
        <f t="shared" si="45"/>
        <v>57000</v>
      </c>
      <c r="K183" s="13">
        <f t="shared" si="46"/>
        <v>19245</v>
      </c>
      <c r="L183" s="14">
        <f t="shared" si="47"/>
        <v>0.27891304347826085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0.5</v>
      </c>
      <c r="B184" s="10" t="s">
        <v>21</v>
      </c>
      <c r="C184" s="11" t="s">
        <v>29</v>
      </c>
      <c r="D184" s="13">
        <v>3500</v>
      </c>
      <c r="E184" s="13">
        <f t="shared" si="43"/>
        <v>1750</v>
      </c>
      <c r="F184" s="13">
        <f t="shared" si="44"/>
        <v>1933.75</v>
      </c>
      <c r="G184" s="2"/>
      <c r="H184" s="2"/>
      <c r="I184" s="13">
        <v>1000</v>
      </c>
      <c r="J184" s="13">
        <f t="shared" si="45"/>
        <v>500</v>
      </c>
      <c r="K184" s="13">
        <f t="shared" si="46"/>
        <v>1433.75</v>
      </c>
      <c r="L184" s="14">
        <f t="shared" si="47"/>
        <v>0.81928571428571428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8</v>
      </c>
      <c r="B185" s="10" t="s">
        <v>17</v>
      </c>
      <c r="C185" s="11" t="s">
        <v>39</v>
      </c>
      <c r="D185" s="13">
        <v>2400</v>
      </c>
      <c r="E185" s="13">
        <f t="shared" si="43"/>
        <v>19200</v>
      </c>
      <c r="F185" s="13">
        <f t="shared" si="44"/>
        <v>21216</v>
      </c>
      <c r="G185" s="2"/>
      <c r="H185" s="2"/>
      <c r="I185" s="13">
        <f>15000/15</f>
        <v>1000</v>
      </c>
      <c r="J185" s="13">
        <f t="shared" si="45"/>
        <v>8000</v>
      </c>
      <c r="K185" s="13">
        <f t="shared" si="46"/>
        <v>13216</v>
      </c>
      <c r="L185" s="14">
        <f t="shared" si="47"/>
        <v>0.68833333333333335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1</v>
      </c>
      <c r="B186" s="10" t="s">
        <v>15</v>
      </c>
      <c r="C186" s="11" t="s">
        <v>40</v>
      </c>
      <c r="D186" s="13">
        <v>12000</v>
      </c>
      <c r="E186" s="13">
        <f t="shared" si="43"/>
        <v>12000</v>
      </c>
      <c r="F186" s="13">
        <f t="shared" si="44"/>
        <v>13260</v>
      </c>
      <c r="G186" s="2"/>
      <c r="H186" s="2"/>
      <c r="I186" s="13">
        <v>7000</v>
      </c>
      <c r="J186" s="13">
        <f t="shared" si="45"/>
        <v>7000</v>
      </c>
      <c r="K186" s="13">
        <f t="shared" si="46"/>
        <v>6260</v>
      </c>
      <c r="L186" s="14">
        <f t="shared" si="47"/>
        <v>0.52166666666666661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2</v>
      </c>
      <c r="B187" s="10" t="s">
        <v>23</v>
      </c>
      <c r="C187" s="11" t="s">
        <v>26</v>
      </c>
      <c r="D187" s="13">
        <v>25000</v>
      </c>
      <c r="E187" s="13">
        <f t="shared" si="43"/>
        <v>50000</v>
      </c>
      <c r="F187" s="13">
        <f t="shared" si="44"/>
        <v>55250</v>
      </c>
      <c r="G187" s="2"/>
      <c r="H187" s="2"/>
      <c r="I187" s="13">
        <v>22000</v>
      </c>
      <c r="J187" s="13">
        <f t="shared" si="45"/>
        <v>44000</v>
      </c>
      <c r="K187" s="13">
        <f t="shared" si="46"/>
        <v>11250</v>
      </c>
      <c r="L187" s="14">
        <f t="shared" si="47"/>
        <v>0.22500000000000001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0.5</v>
      </c>
      <c r="B188" s="10" t="s">
        <v>23</v>
      </c>
      <c r="C188" s="11" t="s">
        <v>25</v>
      </c>
      <c r="D188" s="13">
        <v>70000</v>
      </c>
      <c r="E188" s="13">
        <f t="shared" si="43"/>
        <v>35000</v>
      </c>
      <c r="F188" s="13">
        <f t="shared" si="44"/>
        <v>38675</v>
      </c>
      <c r="G188" s="2"/>
      <c r="H188" s="2"/>
      <c r="I188" s="13">
        <v>65000</v>
      </c>
      <c r="J188" s="13">
        <f t="shared" si="45"/>
        <v>32500</v>
      </c>
      <c r="K188" s="13">
        <f t="shared" si="46"/>
        <v>6175</v>
      </c>
      <c r="L188" s="14">
        <f t="shared" si="47"/>
        <v>0.17642857142857143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2</v>
      </c>
      <c r="B189" s="10" t="s">
        <v>17</v>
      </c>
      <c r="C189" s="11" t="s">
        <v>38</v>
      </c>
      <c r="D189" s="13">
        <v>1800</v>
      </c>
      <c r="E189" s="13">
        <f t="shared" si="43"/>
        <v>3600</v>
      </c>
      <c r="F189" s="13">
        <f t="shared" si="44"/>
        <v>3978</v>
      </c>
      <c r="G189" s="7" t="s">
        <v>37</v>
      </c>
      <c r="H189" s="2"/>
      <c r="I189" s="13">
        <v>1000</v>
      </c>
      <c r="J189" s="13">
        <f t="shared" si="45"/>
        <v>2000</v>
      </c>
      <c r="K189" s="13">
        <f t="shared" si="46"/>
        <v>1978</v>
      </c>
      <c r="L189" s="14">
        <f t="shared" si="47"/>
        <v>0.5494444444444444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2.5</v>
      </c>
      <c r="B190" s="10" t="s">
        <v>17</v>
      </c>
      <c r="C190" s="11" t="s">
        <v>36</v>
      </c>
      <c r="D190" s="13">
        <v>1800</v>
      </c>
      <c r="E190" s="13">
        <f t="shared" si="43"/>
        <v>4500</v>
      </c>
      <c r="F190" s="13">
        <f t="shared" si="44"/>
        <v>4972.5</v>
      </c>
      <c r="G190" s="2"/>
      <c r="H190" s="2"/>
      <c r="I190" s="17">
        <v>1000</v>
      </c>
      <c r="J190" s="13">
        <f t="shared" si="45"/>
        <v>2500</v>
      </c>
      <c r="K190" s="13">
        <f t="shared" si="46"/>
        <v>2472.5</v>
      </c>
      <c r="L190" s="18">
        <f t="shared" si="47"/>
        <v>0.5494444444444444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3</v>
      </c>
      <c r="B191" s="10" t="s">
        <v>4</v>
      </c>
      <c r="C191" s="11" t="s">
        <v>65</v>
      </c>
      <c r="D191" s="13">
        <v>1600</v>
      </c>
      <c r="E191" s="13">
        <f t="shared" si="43"/>
        <v>4800</v>
      </c>
      <c r="F191" s="13">
        <f t="shared" si="44"/>
        <v>5304</v>
      </c>
      <c r="G191" s="2"/>
      <c r="H191" s="2"/>
      <c r="I191" s="19">
        <f>82000/80</f>
        <v>1025</v>
      </c>
      <c r="J191" s="13">
        <f t="shared" si="45"/>
        <v>3075</v>
      </c>
      <c r="K191" s="13">
        <f t="shared" si="46"/>
        <v>2229</v>
      </c>
      <c r="L191" s="18">
        <f t="shared" si="47"/>
        <v>0.46437499999999998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30</v>
      </c>
      <c r="B192" s="10" t="s">
        <v>4</v>
      </c>
      <c r="C192" s="11" t="s">
        <v>20</v>
      </c>
      <c r="D192" s="13">
        <v>800</v>
      </c>
      <c r="E192" s="13">
        <f t="shared" si="43"/>
        <v>24000</v>
      </c>
      <c r="F192" s="13">
        <f t="shared" si="44"/>
        <v>26520</v>
      </c>
      <c r="G192" s="2"/>
      <c r="H192" s="2"/>
      <c r="I192" s="13">
        <f>30000/94</f>
        <v>319.14893617021278</v>
      </c>
      <c r="J192" s="13">
        <f t="shared" si="45"/>
        <v>9574.468085106384</v>
      </c>
      <c r="K192" s="13">
        <f t="shared" si="46"/>
        <v>16945.531914893618</v>
      </c>
      <c r="L192" s="18">
        <f t="shared" si="47"/>
        <v>0.70606382978723403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2</v>
      </c>
      <c r="B193" s="10" t="s">
        <v>17</v>
      </c>
      <c r="C193" s="11" t="s">
        <v>35</v>
      </c>
      <c r="D193" s="13">
        <v>2500</v>
      </c>
      <c r="E193" s="13">
        <f t="shared" si="43"/>
        <v>5000</v>
      </c>
      <c r="F193" s="13">
        <f t="shared" si="44"/>
        <v>5525</v>
      </c>
      <c r="G193" s="2"/>
      <c r="H193" s="2"/>
      <c r="I193" s="13">
        <f>14000/11</f>
        <v>1272.7272727272727</v>
      </c>
      <c r="J193" s="13">
        <f t="shared" si="45"/>
        <v>2545.4545454545455</v>
      </c>
      <c r="K193" s="13">
        <f t="shared" si="46"/>
        <v>2979.5454545454545</v>
      </c>
      <c r="L193" s="18">
        <f t="shared" si="47"/>
        <v>0.59590909090909094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2</v>
      </c>
      <c r="B194" s="10" t="s">
        <v>17</v>
      </c>
      <c r="C194" s="11" t="s">
        <v>42</v>
      </c>
      <c r="D194" s="13">
        <v>4500</v>
      </c>
      <c r="E194" s="13">
        <f t="shared" si="43"/>
        <v>9000</v>
      </c>
      <c r="F194" s="13">
        <f t="shared" si="44"/>
        <v>9945</v>
      </c>
      <c r="G194" s="7" t="s">
        <v>37</v>
      </c>
      <c r="H194" s="2"/>
      <c r="I194" s="13">
        <v>1200</v>
      </c>
      <c r="J194" s="13">
        <f t="shared" si="45"/>
        <v>2400</v>
      </c>
      <c r="K194" s="13">
        <f t="shared" si="46"/>
        <v>7545</v>
      </c>
      <c r="L194" s="18">
        <f t="shared" si="47"/>
        <v>0.83833333333333337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2</v>
      </c>
      <c r="B195" s="10" t="s">
        <v>17</v>
      </c>
      <c r="C195" s="11" t="s">
        <v>56</v>
      </c>
      <c r="D195" s="13">
        <v>800</v>
      </c>
      <c r="E195" s="13">
        <f t="shared" si="43"/>
        <v>1600</v>
      </c>
      <c r="F195" s="13">
        <f t="shared" si="44"/>
        <v>1768</v>
      </c>
      <c r="G195" s="7" t="s">
        <v>37</v>
      </c>
      <c r="H195" s="2"/>
      <c r="I195" s="13">
        <f>10000/16</f>
        <v>625</v>
      </c>
      <c r="J195" s="13">
        <f t="shared" si="45"/>
        <v>1250</v>
      </c>
      <c r="K195" s="13">
        <f t="shared" si="46"/>
        <v>518</v>
      </c>
      <c r="L195" s="18">
        <f t="shared" si="47"/>
        <v>0.32374999999999998</v>
      </c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"/>
      <c r="B196" s="2"/>
      <c r="C196" s="4"/>
      <c r="D196" s="2"/>
      <c r="E196" s="2"/>
      <c r="F196" s="2"/>
      <c r="G196" s="2"/>
      <c r="H196" s="2"/>
      <c r="I196" s="2"/>
      <c r="J196" s="2"/>
      <c r="K196" s="2"/>
      <c r="L196" s="3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2"/>
      <c r="C197" s="4"/>
      <c r="D197" s="2"/>
      <c r="E197" s="13">
        <f t="shared" ref="E197:F197" si="48">SUM(E179:E195)</f>
        <v>255700</v>
      </c>
      <c r="F197" s="13">
        <f t="shared" si="48"/>
        <v>282548.5</v>
      </c>
      <c r="G197" s="2"/>
      <c r="H197" s="2"/>
      <c r="I197" s="2"/>
      <c r="J197" s="2"/>
      <c r="K197" s="13">
        <f>SUM(K179:K195)</f>
        <v>101123.57736943908</v>
      </c>
      <c r="L197" s="14">
        <f>K197/F197</f>
        <v>0.35789812145326938</v>
      </c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20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20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75" t="s">
        <v>66</v>
      </c>
      <c r="B200" s="76"/>
      <c r="C200" s="76"/>
      <c r="D200" s="2"/>
      <c r="E200" s="7" t="s">
        <v>54</v>
      </c>
      <c r="F200" s="8">
        <v>46113</v>
      </c>
      <c r="G200" s="2"/>
      <c r="H200" s="2"/>
      <c r="I200" s="9" t="s">
        <v>2</v>
      </c>
      <c r="J200" s="9"/>
      <c r="K200" s="9"/>
      <c r="L200" s="3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"/>
      <c r="B201" s="2"/>
      <c r="C201" s="5"/>
      <c r="D201" s="2"/>
      <c r="E201" s="2"/>
      <c r="F201" s="2"/>
      <c r="G201" s="2"/>
      <c r="H201" s="2"/>
      <c r="I201" s="2"/>
      <c r="J201" s="2"/>
      <c r="K201" s="2"/>
      <c r="L201" s="3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6" t="s">
        <v>3</v>
      </c>
      <c r="B202" s="10" t="s">
        <v>4</v>
      </c>
      <c r="C202" s="11" t="s">
        <v>5</v>
      </c>
      <c r="D202" s="10" t="s">
        <v>6</v>
      </c>
      <c r="E202" s="10" t="s">
        <v>7</v>
      </c>
      <c r="F202" s="10" t="s">
        <v>8</v>
      </c>
      <c r="G202" s="2"/>
      <c r="H202" s="2"/>
      <c r="I202" s="10" t="s">
        <v>9</v>
      </c>
      <c r="J202" s="10" t="s">
        <v>7</v>
      </c>
      <c r="K202" s="10" t="s">
        <v>10</v>
      </c>
      <c r="L202" s="3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7</v>
      </c>
      <c r="B203" s="10" t="s">
        <v>17</v>
      </c>
      <c r="C203" s="11" t="s">
        <v>39</v>
      </c>
      <c r="D203" s="13">
        <v>2400</v>
      </c>
      <c r="E203" s="13">
        <f t="shared" ref="E203:E218" si="49">A203*D203</f>
        <v>16800</v>
      </c>
      <c r="F203" s="13">
        <f t="shared" ref="F203:F218" si="50">E203*1.105</f>
        <v>18564</v>
      </c>
      <c r="G203" s="2"/>
      <c r="H203" s="2"/>
      <c r="I203" s="13">
        <f>15000/15</f>
        <v>1000</v>
      </c>
      <c r="J203" s="13">
        <f t="shared" ref="J203:J218" si="51">I203*A203</f>
        <v>7000</v>
      </c>
      <c r="K203" s="13">
        <f t="shared" ref="K203:K218" si="52">F203-J203</f>
        <v>11564</v>
      </c>
      <c r="L203" s="14">
        <f t="shared" ref="L203:L218" si="53">IFERROR(K203/E203, 0)</f>
        <v>0.68833333333333335</v>
      </c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0.35</v>
      </c>
      <c r="B204" s="10" t="s">
        <v>21</v>
      </c>
      <c r="C204" s="11" t="s">
        <v>29</v>
      </c>
      <c r="D204" s="13">
        <v>3500</v>
      </c>
      <c r="E204" s="13">
        <f t="shared" si="49"/>
        <v>1225</v>
      </c>
      <c r="F204" s="13">
        <f t="shared" si="50"/>
        <v>1353.625</v>
      </c>
      <c r="G204" s="2"/>
      <c r="H204" s="2"/>
      <c r="I204" s="13">
        <v>1000</v>
      </c>
      <c r="J204" s="13">
        <f t="shared" si="51"/>
        <v>350</v>
      </c>
      <c r="K204" s="13">
        <f t="shared" si="52"/>
        <v>1003.625</v>
      </c>
      <c r="L204" s="14">
        <f t="shared" si="53"/>
        <v>0.81928571428571428</v>
      </c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1.3</v>
      </c>
      <c r="B205" s="10" t="s">
        <v>17</v>
      </c>
      <c r="C205" s="11" t="s">
        <v>36</v>
      </c>
      <c r="D205" s="13">
        <v>1800</v>
      </c>
      <c r="E205" s="13">
        <f t="shared" si="49"/>
        <v>2340</v>
      </c>
      <c r="F205" s="13">
        <f t="shared" si="50"/>
        <v>2585.6999999999998</v>
      </c>
      <c r="G205" s="2"/>
      <c r="H205" s="7" t="s">
        <v>37</v>
      </c>
      <c r="I205" s="13">
        <v>1000</v>
      </c>
      <c r="J205" s="13">
        <f t="shared" si="51"/>
        <v>1300</v>
      </c>
      <c r="K205" s="13">
        <f t="shared" si="52"/>
        <v>1285.6999999999998</v>
      </c>
      <c r="L205" s="14">
        <f t="shared" si="53"/>
        <v>0.5494444444444444</v>
      </c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2">
        <v>1</v>
      </c>
      <c r="B206" s="10" t="s">
        <v>15</v>
      </c>
      <c r="C206" s="11" t="s">
        <v>40</v>
      </c>
      <c r="D206" s="13">
        <v>12000</v>
      </c>
      <c r="E206" s="13">
        <f t="shared" si="49"/>
        <v>12000</v>
      </c>
      <c r="F206" s="13">
        <f t="shared" si="50"/>
        <v>13260</v>
      </c>
      <c r="G206" s="2"/>
      <c r="H206" s="2"/>
      <c r="I206" s="13">
        <v>7000</v>
      </c>
      <c r="J206" s="13">
        <f t="shared" si="51"/>
        <v>7000</v>
      </c>
      <c r="K206" s="13">
        <f t="shared" si="52"/>
        <v>6260</v>
      </c>
      <c r="L206" s="14">
        <f t="shared" si="53"/>
        <v>0.52166666666666661</v>
      </c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3</v>
      </c>
      <c r="B207" s="10" t="s">
        <v>17</v>
      </c>
      <c r="C207" s="11" t="s">
        <v>43</v>
      </c>
      <c r="D207" s="13">
        <v>3200</v>
      </c>
      <c r="E207" s="13">
        <f t="shared" si="49"/>
        <v>9600</v>
      </c>
      <c r="F207" s="13">
        <f t="shared" si="50"/>
        <v>10608</v>
      </c>
      <c r="G207" s="2"/>
      <c r="H207" s="2"/>
      <c r="I207" s="13">
        <v>2000</v>
      </c>
      <c r="J207" s="13">
        <f t="shared" si="51"/>
        <v>6000</v>
      </c>
      <c r="K207" s="13">
        <f t="shared" si="52"/>
        <v>4608</v>
      </c>
      <c r="L207" s="14">
        <f t="shared" si="53"/>
        <v>0.48</v>
      </c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10</v>
      </c>
      <c r="B208" s="10" t="s">
        <v>21</v>
      </c>
      <c r="C208" s="11" t="s">
        <v>46</v>
      </c>
      <c r="D208" s="13">
        <v>600</v>
      </c>
      <c r="E208" s="13">
        <f t="shared" si="49"/>
        <v>6000</v>
      </c>
      <c r="F208" s="13">
        <f t="shared" si="50"/>
        <v>6630</v>
      </c>
      <c r="G208" s="2"/>
      <c r="H208" s="2"/>
      <c r="I208" s="13">
        <v>291.67</v>
      </c>
      <c r="J208" s="13">
        <f t="shared" si="51"/>
        <v>2916.7000000000003</v>
      </c>
      <c r="K208" s="13">
        <f t="shared" si="52"/>
        <v>3713.2999999999997</v>
      </c>
      <c r="L208" s="14">
        <f t="shared" si="53"/>
        <v>0.61888333333333334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1</v>
      </c>
      <c r="B209" s="10" t="s">
        <v>17</v>
      </c>
      <c r="C209" s="11" t="s">
        <v>35</v>
      </c>
      <c r="D209" s="13">
        <v>2500</v>
      </c>
      <c r="E209" s="13">
        <f t="shared" si="49"/>
        <v>2500</v>
      </c>
      <c r="F209" s="13">
        <f t="shared" si="50"/>
        <v>2762.5</v>
      </c>
      <c r="G209" s="2"/>
      <c r="H209" s="2"/>
      <c r="I209" s="13">
        <f>14000/11</f>
        <v>1272.7272727272727</v>
      </c>
      <c r="J209" s="13">
        <f t="shared" si="51"/>
        <v>1272.7272727272727</v>
      </c>
      <c r="K209" s="13">
        <f t="shared" si="52"/>
        <v>1489.7727272727273</v>
      </c>
      <c r="L209" s="14">
        <f t="shared" si="53"/>
        <v>0.59590909090909094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5</v>
      </c>
      <c r="B210" s="10" t="s">
        <v>17</v>
      </c>
      <c r="C210" s="11" t="s">
        <v>24</v>
      </c>
      <c r="D210" s="13">
        <v>3400</v>
      </c>
      <c r="E210" s="13">
        <f t="shared" si="49"/>
        <v>17000</v>
      </c>
      <c r="F210" s="13">
        <f t="shared" si="50"/>
        <v>18785</v>
      </c>
      <c r="G210" s="2"/>
      <c r="H210" s="2"/>
      <c r="I210" s="13">
        <f>53000/18</f>
        <v>2944.4444444444443</v>
      </c>
      <c r="J210" s="13">
        <f t="shared" si="51"/>
        <v>14722.222222222223</v>
      </c>
      <c r="K210" s="13">
        <f t="shared" si="52"/>
        <v>4062.7777777777774</v>
      </c>
      <c r="L210" s="14">
        <f t="shared" si="53"/>
        <v>0.23898692810457514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1</v>
      </c>
      <c r="B211" s="10" t="s">
        <v>23</v>
      </c>
      <c r="C211" s="11" t="s">
        <v>26</v>
      </c>
      <c r="D211" s="13">
        <v>25000</v>
      </c>
      <c r="E211" s="13">
        <f t="shared" si="49"/>
        <v>25000</v>
      </c>
      <c r="F211" s="13">
        <f t="shared" si="50"/>
        <v>27625</v>
      </c>
      <c r="G211" s="2"/>
      <c r="H211" s="2"/>
      <c r="I211" s="13">
        <v>22000</v>
      </c>
      <c r="J211" s="13">
        <f t="shared" si="51"/>
        <v>22000</v>
      </c>
      <c r="K211" s="13">
        <f t="shared" si="52"/>
        <v>5625</v>
      </c>
      <c r="L211" s="14">
        <f t="shared" si="53"/>
        <v>0.22500000000000001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3</v>
      </c>
      <c r="B212" s="10" t="s">
        <v>17</v>
      </c>
      <c r="C212" s="11" t="s">
        <v>62</v>
      </c>
      <c r="D212" s="13">
        <v>3000</v>
      </c>
      <c r="E212" s="13">
        <f t="shared" si="49"/>
        <v>9000</v>
      </c>
      <c r="F212" s="13">
        <f t="shared" si="50"/>
        <v>9945</v>
      </c>
      <c r="G212" s="2"/>
      <c r="H212" s="2"/>
      <c r="I212" s="17">
        <f>30000/17</f>
        <v>1764.7058823529412</v>
      </c>
      <c r="J212" s="13">
        <f t="shared" si="51"/>
        <v>5294.1176470588234</v>
      </c>
      <c r="K212" s="13">
        <f t="shared" si="52"/>
        <v>4650.8823529411766</v>
      </c>
      <c r="L212" s="14">
        <f t="shared" si="53"/>
        <v>0.5167647058823529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1</v>
      </c>
      <c r="B213" s="10" t="s">
        <v>17</v>
      </c>
      <c r="C213" s="11" t="s">
        <v>31</v>
      </c>
      <c r="D213" s="13">
        <v>3200</v>
      </c>
      <c r="E213" s="13">
        <f t="shared" si="49"/>
        <v>3200</v>
      </c>
      <c r="F213" s="13">
        <f t="shared" si="50"/>
        <v>3536</v>
      </c>
      <c r="G213" s="2"/>
      <c r="H213" s="2"/>
      <c r="I213" s="13">
        <v>1000</v>
      </c>
      <c r="J213" s="13">
        <f t="shared" si="51"/>
        <v>1000</v>
      </c>
      <c r="K213" s="13">
        <f t="shared" si="52"/>
        <v>2536</v>
      </c>
      <c r="L213" s="14">
        <f t="shared" si="53"/>
        <v>0.79249999999999998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1</v>
      </c>
      <c r="B214" s="10" t="s">
        <v>17</v>
      </c>
      <c r="C214" s="11" t="s">
        <v>67</v>
      </c>
      <c r="D214" s="13">
        <v>3200</v>
      </c>
      <c r="E214" s="13">
        <f t="shared" si="49"/>
        <v>3200</v>
      </c>
      <c r="F214" s="13">
        <f t="shared" si="50"/>
        <v>3536</v>
      </c>
      <c r="G214" s="2"/>
      <c r="H214" s="2"/>
      <c r="I214" s="17">
        <v>1000</v>
      </c>
      <c r="J214" s="13">
        <f t="shared" si="51"/>
        <v>1000</v>
      </c>
      <c r="K214" s="13">
        <f t="shared" si="52"/>
        <v>2536</v>
      </c>
      <c r="L214" s="14">
        <f t="shared" si="53"/>
        <v>0.79249999999999998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3</v>
      </c>
      <c r="B215" s="10" t="s">
        <v>17</v>
      </c>
      <c r="C215" s="11" t="s">
        <v>34</v>
      </c>
      <c r="D215" s="13">
        <v>5000</v>
      </c>
      <c r="E215" s="13">
        <f t="shared" si="49"/>
        <v>15000</v>
      </c>
      <c r="F215" s="13">
        <f t="shared" si="50"/>
        <v>16575</v>
      </c>
      <c r="G215" s="2"/>
      <c r="H215" s="2"/>
      <c r="I215" s="13">
        <v>2000</v>
      </c>
      <c r="J215" s="13">
        <f t="shared" si="51"/>
        <v>6000</v>
      </c>
      <c r="K215" s="13">
        <f t="shared" si="52"/>
        <v>10575</v>
      </c>
      <c r="L215" s="14">
        <f t="shared" si="53"/>
        <v>0.70499999999999996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</v>
      </c>
      <c r="B216" s="10" t="s">
        <v>4</v>
      </c>
      <c r="C216" s="11" t="s">
        <v>14</v>
      </c>
      <c r="D216" s="13">
        <v>2600</v>
      </c>
      <c r="E216" s="13">
        <f t="shared" si="49"/>
        <v>2600</v>
      </c>
      <c r="F216" s="13">
        <f t="shared" si="50"/>
        <v>2873</v>
      </c>
      <c r="G216" s="2"/>
      <c r="H216" s="2"/>
      <c r="I216" s="13">
        <f>18000/13</f>
        <v>1384.6153846153845</v>
      </c>
      <c r="J216" s="13">
        <f t="shared" si="51"/>
        <v>1384.6153846153845</v>
      </c>
      <c r="K216" s="13">
        <f t="shared" si="52"/>
        <v>1488.3846153846155</v>
      </c>
      <c r="L216" s="14">
        <f t="shared" si="53"/>
        <v>0.57245562130177519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1</v>
      </c>
      <c r="B217" s="10" t="s">
        <v>21</v>
      </c>
      <c r="C217" s="11" t="s">
        <v>51</v>
      </c>
      <c r="D217" s="13">
        <v>1500</v>
      </c>
      <c r="E217" s="13">
        <f t="shared" si="49"/>
        <v>1500</v>
      </c>
      <c r="F217" s="13">
        <f t="shared" si="50"/>
        <v>1657.5</v>
      </c>
      <c r="G217" s="2"/>
      <c r="H217" s="2"/>
      <c r="I217" s="13">
        <v>1200</v>
      </c>
      <c r="J217" s="13">
        <f t="shared" si="51"/>
        <v>1200</v>
      </c>
      <c r="K217" s="13">
        <f t="shared" si="52"/>
        <v>457.5</v>
      </c>
      <c r="L217" s="14">
        <f t="shared" si="53"/>
        <v>0.30499999999999999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0.3</v>
      </c>
      <c r="B218" s="10" t="s">
        <v>17</v>
      </c>
      <c r="C218" s="11" t="s">
        <v>55</v>
      </c>
      <c r="D218" s="13">
        <v>21000</v>
      </c>
      <c r="E218" s="13">
        <f t="shared" si="49"/>
        <v>6300</v>
      </c>
      <c r="F218" s="13">
        <f t="shared" si="50"/>
        <v>6961.5</v>
      </c>
      <c r="G218" s="2"/>
      <c r="H218" s="2"/>
      <c r="I218" s="13">
        <v>17000</v>
      </c>
      <c r="J218" s="13">
        <f t="shared" si="51"/>
        <v>5100</v>
      </c>
      <c r="K218" s="13">
        <f t="shared" si="52"/>
        <v>1861.5</v>
      </c>
      <c r="L218" s="14">
        <f t="shared" si="53"/>
        <v>0.2954761904761905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"/>
      <c r="B219" s="2"/>
      <c r="C219" s="4"/>
      <c r="D219" s="2"/>
      <c r="E219" s="2"/>
      <c r="F219" s="2"/>
      <c r="G219" s="2"/>
      <c r="H219" s="2"/>
      <c r="I219" s="2"/>
      <c r="J219" s="2"/>
      <c r="K219" s="2"/>
      <c r="L219" s="3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"/>
      <c r="B220" s="2"/>
      <c r="C220" s="4"/>
      <c r="D220" s="2"/>
      <c r="E220" s="13">
        <f t="shared" ref="E220:F220" si="54">SUM(E203:E218)</f>
        <v>133265</v>
      </c>
      <c r="F220" s="13">
        <f t="shared" si="54"/>
        <v>147257.82500000001</v>
      </c>
      <c r="G220" s="2"/>
      <c r="H220" s="2"/>
      <c r="I220" s="2"/>
      <c r="J220" s="2"/>
      <c r="K220" s="13">
        <f>SUM(K203:K218)</f>
        <v>63717.442473376293</v>
      </c>
      <c r="L220" s="14">
        <f>K220/F220</f>
        <v>0.43269308421047431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20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20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20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75" t="s">
        <v>68</v>
      </c>
      <c r="B224" s="76"/>
      <c r="C224" s="76"/>
      <c r="D224" s="2"/>
      <c r="E224" s="7" t="s">
        <v>69</v>
      </c>
      <c r="F224" s="8">
        <v>46113</v>
      </c>
      <c r="G224" s="2"/>
      <c r="H224" s="2"/>
      <c r="I224" s="9" t="s">
        <v>2</v>
      </c>
      <c r="J224" s="9"/>
      <c r="K224" s="9"/>
      <c r="L224" s="3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"/>
      <c r="B225" s="2"/>
      <c r="C225" s="5"/>
      <c r="D225" s="2"/>
      <c r="E225" s="2"/>
      <c r="F225" s="2"/>
      <c r="G225" s="2"/>
      <c r="H225" s="2"/>
      <c r="I225" s="2"/>
      <c r="J225" s="2"/>
      <c r="K225" s="2"/>
      <c r="L225" s="3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6" t="s">
        <v>3</v>
      </c>
      <c r="B226" s="10" t="s">
        <v>4</v>
      </c>
      <c r="C226" s="11" t="s">
        <v>5</v>
      </c>
      <c r="D226" s="10" t="s">
        <v>6</v>
      </c>
      <c r="E226" s="10" t="s">
        <v>7</v>
      </c>
      <c r="F226" s="10" t="s">
        <v>8</v>
      </c>
      <c r="G226" s="2"/>
      <c r="H226" s="2"/>
      <c r="I226" s="10" t="s">
        <v>9</v>
      </c>
      <c r="J226" s="10" t="s">
        <v>7</v>
      </c>
      <c r="K226" s="10" t="s">
        <v>10</v>
      </c>
      <c r="L226" s="3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2</v>
      </c>
      <c r="B227" s="10" t="s">
        <v>17</v>
      </c>
      <c r="C227" s="11" t="s">
        <v>18</v>
      </c>
      <c r="D227" s="13">
        <v>1600</v>
      </c>
      <c r="E227" s="13">
        <f t="shared" ref="E227:E236" si="55">A227*D227</f>
        <v>3200</v>
      </c>
      <c r="F227" s="13">
        <f t="shared" ref="F227:F236" si="56">E227*1.105</f>
        <v>3536</v>
      </c>
      <c r="G227" s="2"/>
      <c r="H227" s="2"/>
      <c r="I227" s="13">
        <f>12000/15</f>
        <v>800</v>
      </c>
      <c r="J227" s="13">
        <f t="shared" ref="J227:J236" si="57">I227*A227</f>
        <v>1600</v>
      </c>
      <c r="K227" s="13">
        <f t="shared" ref="K227:K236" si="58">F227-J227</f>
        <v>1936</v>
      </c>
      <c r="L227" s="14">
        <f t="shared" ref="L227:L236" si="59">IFERROR(K227/E227, 0)</f>
        <v>0.60499999999999998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</v>
      </c>
      <c r="B228" s="10" t="s">
        <v>17</v>
      </c>
      <c r="C228" s="11" t="s">
        <v>31</v>
      </c>
      <c r="D228" s="13">
        <v>3200</v>
      </c>
      <c r="E228" s="13">
        <f t="shared" si="55"/>
        <v>3200</v>
      </c>
      <c r="F228" s="13">
        <f t="shared" si="56"/>
        <v>3536</v>
      </c>
      <c r="G228" s="2"/>
      <c r="H228" s="2"/>
      <c r="I228" s="13">
        <v>1000</v>
      </c>
      <c r="J228" s="13">
        <f t="shared" si="57"/>
        <v>1000</v>
      </c>
      <c r="K228" s="13">
        <f t="shared" si="58"/>
        <v>2536</v>
      </c>
      <c r="L228" s="14">
        <f t="shared" si="59"/>
        <v>0.79249999999999998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6</v>
      </c>
      <c r="B229" s="10" t="s">
        <v>17</v>
      </c>
      <c r="C229" s="11" t="s">
        <v>39</v>
      </c>
      <c r="D229" s="13">
        <v>2400</v>
      </c>
      <c r="E229" s="13">
        <f t="shared" si="55"/>
        <v>14400</v>
      </c>
      <c r="F229" s="13">
        <f t="shared" si="56"/>
        <v>15912</v>
      </c>
      <c r="G229" s="2"/>
      <c r="H229" s="2"/>
      <c r="I229" s="13">
        <f>15000/15</f>
        <v>1000</v>
      </c>
      <c r="J229" s="13">
        <f t="shared" si="57"/>
        <v>6000</v>
      </c>
      <c r="K229" s="13">
        <f t="shared" si="58"/>
        <v>9912</v>
      </c>
      <c r="L229" s="14">
        <f t="shared" si="59"/>
        <v>0.68833333333333335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8</v>
      </c>
      <c r="B230" s="10" t="s">
        <v>21</v>
      </c>
      <c r="C230" s="11" t="s">
        <v>46</v>
      </c>
      <c r="D230" s="13">
        <v>600</v>
      </c>
      <c r="E230" s="13">
        <f t="shared" si="55"/>
        <v>4800</v>
      </c>
      <c r="F230" s="13">
        <f t="shared" si="56"/>
        <v>5304</v>
      </c>
      <c r="G230" s="2"/>
      <c r="H230" s="2"/>
      <c r="I230" s="13">
        <v>300</v>
      </c>
      <c r="J230" s="13">
        <f t="shared" si="57"/>
        <v>2400</v>
      </c>
      <c r="K230" s="13">
        <f t="shared" si="58"/>
        <v>2904</v>
      </c>
      <c r="L230" s="14">
        <f t="shared" si="59"/>
        <v>0.60499999999999998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</v>
      </c>
      <c r="B231" s="10" t="s">
        <v>17</v>
      </c>
      <c r="C231" s="11" t="s">
        <v>43</v>
      </c>
      <c r="D231" s="13">
        <v>3200</v>
      </c>
      <c r="E231" s="13">
        <f t="shared" si="55"/>
        <v>3200</v>
      </c>
      <c r="F231" s="13">
        <f t="shared" si="56"/>
        <v>3536</v>
      </c>
      <c r="G231" s="2"/>
      <c r="H231" s="2"/>
      <c r="I231" s="13">
        <v>2000</v>
      </c>
      <c r="J231" s="13">
        <f t="shared" si="57"/>
        <v>2000</v>
      </c>
      <c r="K231" s="13">
        <f t="shared" si="58"/>
        <v>1536</v>
      </c>
      <c r="L231" s="14">
        <f t="shared" si="59"/>
        <v>0.48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</v>
      </c>
      <c r="B232" s="10" t="s">
        <v>21</v>
      </c>
      <c r="C232" s="11" t="s">
        <v>34</v>
      </c>
      <c r="D232" s="13">
        <v>5000</v>
      </c>
      <c r="E232" s="13">
        <f t="shared" si="55"/>
        <v>5000</v>
      </c>
      <c r="F232" s="13">
        <f t="shared" si="56"/>
        <v>5525</v>
      </c>
      <c r="G232" s="2"/>
      <c r="H232" s="2"/>
      <c r="I232" s="13">
        <v>2000</v>
      </c>
      <c r="J232" s="13">
        <f t="shared" si="57"/>
        <v>2000</v>
      </c>
      <c r="K232" s="13">
        <f t="shared" si="58"/>
        <v>3525</v>
      </c>
      <c r="L232" s="14">
        <f t="shared" si="59"/>
        <v>0.70499999999999996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17</v>
      </c>
      <c r="C233" s="11" t="s">
        <v>56</v>
      </c>
      <c r="D233" s="13">
        <v>800</v>
      </c>
      <c r="E233" s="13">
        <f t="shared" si="55"/>
        <v>800</v>
      </c>
      <c r="F233" s="13">
        <f t="shared" si="56"/>
        <v>884</v>
      </c>
      <c r="G233" s="2"/>
      <c r="H233" s="2"/>
      <c r="I233" s="13">
        <f>10000/16</f>
        <v>625</v>
      </c>
      <c r="J233" s="13">
        <f t="shared" si="57"/>
        <v>625</v>
      </c>
      <c r="K233" s="13">
        <f t="shared" si="58"/>
        <v>259</v>
      </c>
      <c r="L233" s="14">
        <f t="shared" si="59"/>
        <v>0.32374999999999998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3</v>
      </c>
      <c r="B234" s="10" t="s">
        <v>17</v>
      </c>
      <c r="C234" s="11" t="s">
        <v>67</v>
      </c>
      <c r="D234" s="13">
        <v>3200</v>
      </c>
      <c r="E234" s="13">
        <f t="shared" si="55"/>
        <v>9600</v>
      </c>
      <c r="F234" s="13">
        <f t="shared" si="56"/>
        <v>10608</v>
      </c>
      <c r="G234" s="2"/>
      <c r="H234" s="2"/>
      <c r="I234" s="13">
        <v>1000</v>
      </c>
      <c r="J234" s="13">
        <f t="shared" si="57"/>
        <v>3000</v>
      </c>
      <c r="K234" s="13">
        <f t="shared" si="58"/>
        <v>7608</v>
      </c>
      <c r="L234" s="14">
        <f t="shared" si="59"/>
        <v>0.79249999999999998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23</v>
      </c>
      <c r="C235" s="11" t="s">
        <v>26</v>
      </c>
      <c r="D235" s="13">
        <v>25000</v>
      </c>
      <c r="E235" s="13">
        <f t="shared" si="55"/>
        <v>25000</v>
      </c>
      <c r="F235" s="13">
        <f t="shared" si="56"/>
        <v>27625</v>
      </c>
      <c r="G235" s="2"/>
      <c r="H235" s="2"/>
      <c r="I235" s="13">
        <v>22000</v>
      </c>
      <c r="J235" s="13">
        <f t="shared" si="57"/>
        <v>22000</v>
      </c>
      <c r="K235" s="13">
        <f t="shared" si="58"/>
        <v>5625</v>
      </c>
      <c r="L235" s="14">
        <f t="shared" si="59"/>
        <v>0.22500000000000001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5</v>
      </c>
      <c r="B236" s="10" t="s">
        <v>21</v>
      </c>
      <c r="C236" s="11" t="s">
        <v>22</v>
      </c>
      <c r="D236" s="13">
        <v>1700</v>
      </c>
      <c r="E236" s="13">
        <f t="shared" si="55"/>
        <v>8500</v>
      </c>
      <c r="F236" s="13">
        <f t="shared" si="56"/>
        <v>9392.5</v>
      </c>
      <c r="G236" s="2"/>
      <c r="H236" s="2"/>
      <c r="I236" s="13">
        <f>12000/10</f>
        <v>1200</v>
      </c>
      <c r="J236" s="13">
        <f t="shared" si="57"/>
        <v>6000</v>
      </c>
      <c r="K236" s="13">
        <f t="shared" si="58"/>
        <v>3392.5</v>
      </c>
      <c r="L236" s="14">
        <f t="shared" si="59"/>
        <v>0.39911764705882352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"/>
      <c r="B237" s="2"/>
      <c r="C237" s="4"/>
      <c r="D237" s="2"/>
      <c r="E237" s="2"/>
      <c r="F237" s="2"/>
      <c r="G237" s="2"/>
      <c r="H237" s="2"/>
      <c r="I237" s="2"/>
      <c r="J237" s="2"/>
      <c r="K237" s="2"/>
      <c r="L237" s="3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2"/>
      <c r="C238" s="4"/>
      <c r="D238" s="2"/>
      <c r="E238" s="13">
        <f t="shared" ref="E238:F238" si="60">SUM(E227:E236)</f>
        <v>77700</v>
      </c>
      <c r="F238" s="13">
        <f t="shared" si="60"/>
        <v>85858.5</v>
      </c>
      <c r="G238" s="2"/>
      <c r="H238" s="2"/>
      <c r="I238" s="2"/>
      <c r="J238" s="2"/>
      <c r="K238" s="13">
        <f>SUM(K227:K236)</f>
        <v>39233.5</v>
      </c>
      <c r="L238" s="14">
        <f>K238/F238</f>
        <v>0.45695533930828047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20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75" t="s">
        <v>70</v>
      </c>
      <c r="B242" s="76"/>
      <c r="C242" s="76"/>
      <c r="D242" s="2"/>
      <c r="E242" s="7" t="s">
        <v>71</v>
      </c>
      <c r="F242" s="8">
        <v>46113</v>
      </c>
      <c r="G242" s="2"/>
      <c r="H242" s="2"/>
      <c r="I242" s="9" t="s">
        <v>2</v>
      </c>
      <c r="J242" s="9"/>
      <c r="K242" s="9"/>
      <c r="L242" s="3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"/>
      <c r="B243" s="2"/>
      <c r="C243" s="5"/>
      <c r="D243" s="2"/>
      <c r="E243" s="2"/>
      <c r="F243" s="2"/>
      <c r="G243" s="2"/>
      <c r="H243" s="2"/>
      <c r="I243" s="2"/>
      <c r="J243" s="2"/>
      <c r="K243" s="2"/>
      <c r="L243" s="3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6" t="s">
        <v>3</v>
      </c>
      <c r="B244" s="10" t="s">
        <v>4</v>
      </c>
      <c r="C244" s="11" t="s">
        <v>5</v>
      </c>
      <c r="D244" s="10" t="s">
        <v>6</v>
      </c>
      <c r="E244" s="10" t="s">
        <v>7</v>
      </c>
      <c r="F244" s="10" t="s">
        <v>8</v>
      </c>
      <c r="G244" s="2"/>
      <c r="H244" s="2"/>
      <c r="I244" s="10" t="s">
        <v>9</v>
      </c>
      <c r="J244" s="10" t="s">
        <v>7</v>
      </c>
      <c r="K244" s="10" t="s">
        <v>10</v>
      </c>
      <c r="L244" s="3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2</v>
      </c>
      <c r="B245" s="10" t="s">
        <v>15</v>
      </c>
      <c r="C245" s="11" t="s">
        <v>72</v>
      </c>
      <c r="D245" s="13">
        <v>3000</v>
      </c>
      <c r="E245" s="13">
        <f t="shared" ref="E245:E254" si="61">A245*D245</f>
        <v>6000</v>
      </c>
      <c r="F245" s="13">
        <f t="shared" ref="F245:F254" si="62">E245*1.105</f>
        <v>6630</v>
      </c>
      <c r="G245" s="2"/>
      <c r="H245" s="2"/>
      <c r="I245" s="13">
        <v>2000</v>
      </c>
      <c r="J245" s="13">
        <f t="shared" ref="J245:J254" si="63">I245*A245</f>
        <v>4000</v>
      </c>
      <c r="K245" s="13">
        <f t="shared" ref="K245:K254" si="64">F245-J245</f>
        <v>2630</v>
      </c>
      <c r="L245" s="14">
        <f t="shared" ref="L245:L254" si="65">IFERROR(K245/E245, 0)</f>
        <v>0.43833333333333335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1</v>
      </c>
      <c r="B246" s="10" t="s">
        <v>17</v>
      </c>
      <c r="C246" s="11" t="s">
        <v>31</v>
      </c>
      <c r="D246" s="13">
        <v>3200</v>
      </c>
      <c r="E246" s="13">
        <f t="shared" si="61"/>
        <v>3200</v>
      </c>
      <c r="F246" s="13">
        <f t="shared" si="62"/>
        <v>3536</v>
      </c>
      <c r="G246" s="2"/>
      <c r="H246" s="2"/>
      <c r="I246" s="13">
        <v>1000</v>
      </c>
      <c r="J246" s="13">
        <f t="shared" si="63"/>
        <v>1000</v>
      </c>
      <c r="K246" s="13">
        <f t="shared" si="64"/>
        <v>2536</v>
      </c>
      <c r="L246" s="14">
        <f t="shared" si="65"/>
        <v>0.79249999999999998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3</v>
      </c>
      <c r="B247" s="10" t="s">
        <v>17</v>
      </c>
      <c r="C247" s="11" t="s">
        <v>56</v>
      </c>
      <c r="D247" s="13">
        <v>800</v>
      </c>
      <c r="E247" s="13">
        <f t="shared" si="61"/>
        <v>2400</v>
      </c>
      <c r="F247" s="13">
        <f t="shared" si="62"/>
        <v>2652</v>
      </c>
      <c r="G247" s="2"/>
      <c r="H247" s="2"/>
      <c r="I247" s="13">
        <f>10000/16</f>
        <v>625</v>
      </c>
      <c r="J247" s="13">
        <f t="shared" si="63"/>
        <v>1875</v>
      </c>
      <c r="K247" s="13">
        <f t="shared" si="64"/>
        <v>777</v>
      </c>
      <c r="L247" s="14">
        <f t="shared" si="65"/>
        <v>0.32374999999999998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1</v>
      </c>
      <c r="B248" s="10" t="s">
        <v>21</v>
      </c>
      <c r="C248" s="11" t="s">
        <v>34</v>
      </c>
      <c r="D248" s="13">
        <v>5000</v>
      </c>
      <c r="E248" s="13">
        <f t="shared" si="61"/>
        <v>5000</v>
      </c>
      <c r="F248" s="13">
        <f t="shared" si="62"/>
        <v>5525</v>
      </c>
      <c r="G248" s="2"/>
      <c r="H248" s="2"/>
      <c r="I248" s="13">
        <v>2000</v>
      </c>
      <c r="J248" s="13">
        <f t="shared" si="63"/>
        <v>2000</v>
      </c>
      <c r="K248" s="13">
        <f t="shared" si="64"/>
        <v>3525</v>
      </c>
      <c r="L248" s="14">
        <f t="shared" si="65"/>
        <v>0.70499999999999996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1.8</v>
      </c>
      <c r="B249" s="10" t="s">
        <v>17</v>
      </c>
      <c r="C249" s="11" t="s">
        <v>36</v>
      </c>
      <c r="D249" s="13">
        <v>1800</v>
      </c>
      <c r="E249" s="13">
        <f t="shared" si="61"/>
        <v>3240</v>
      </c>
      <c r="F249" s="13">
        <f t="shared" si="62"/>
        <v>3580.2</v>
      </c>
      <c r="G249" s="2"/>
      <c r="H249" s="2"/>
      <c r="I249" s="13">
        <v>1000</v>
      </c>
      <c r="J249" s="13">
        <f t="shared" si="63"/>
        <v>1800</v>
      </c>
      <c r="K249" s="13">
        <f t="shared" si="64"/>
        <v>1780.1999999999998</v>
      </c>
      <c r="L249" s="14">
        <f t="shared" si="65"/>
        <v>0.5494444444444444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17</v>
      </c>
      <c r="C250" s="11" t="s">
        <v>73</v>
      </c>
      <c r="D250" s="13">
        <v>2400</v>
      </c>
      <c r="E250" s="13">
        <f t="shared" si="61"/>
        <v>2400</v>
      </c>
      <c r="F250" s="13">
        <f t="shared" si="62"/>
        <v>2652</v>
      </c>
      <c r="G250" s="2"/>
      <c r="H250" s="2"/>
      <c r="I250" s="13">
        <v>1000</v>
      </c>
      <c r="J250" s="13">
        <f t="shared" si="63"/>
        <v>1000</v>
      </c>
      <c r="K250" s="13">
        <f t="shared" si="64"/>
        <v>1652</v>
      </c>
      <c r="L250" s="14">
        <f t="shared" si="65"/>
        <v>0.68833333333333335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17</v>
      </c>
      <c r="C251" s="11" t="s">
        <v>40</v>
      </c>
      <c r="D251" s="13">
        <v>1300</v>
      </c>
      <c r="E251" s="13">
        <f t="shared" si="61"/>
        <v>1300</v>
      </c>
      <c r="F251" s="13">
        <f t="shared" si="62"/>
        <v>1436.5</v>
      </c>
      <c r="G251" s="2"/>
      <c r="H251" s="2"/>
      <c r="I251" s="13">
        <v>7000</v>
      </c>
      <c r="J251" s="13">
        <f t="shared" si="63"/>
        <v>7000</v>
      </c>
      <c r="K251" s="13">
        <f t="shared" si="64"/>
        <v>-5563.5</v>
      </c>
      <c r="L251" s="14">
        <f t="shared" si="65"/>
        <v>-4.2796153846153846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</v>
      </c>
      <c r="B252" s="10" t="s">
        <v>21</v>
      </c>
      <c r="C252" s="11" t="s">
        <v>46</v>
      </c>
      <c r="D252" s="13">
        <v>600</v>
      </c>
      <c r="E252" s="13">
        <f t="shared" si="61"/>
        <v>600</v>
      </c>
      <c r="F252" s="13">
        <f t="shared" si="62"/>
        <v>663</v>
      </c>
      <c r="G252" s="2"/>
      <c r="H252" s="2"/>
      <c r="I252" s="13">
        <f>7000/24</f>
        <v>291.66666666666669</v>
      </c>
      <c r="J252" s="13">
        <f t="shared" si="63"/>
        <v>291.66666666666669</v>
      </c>
      <c r="K252" s="13">
        <f t="shared" si="64"/>
        <v>371.33333333333331</v>
      </c>
      <c r="L252" s="14">
        <f t="shared" si="65"/>
        <v>0.61888888888888882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1</v>
      </c>
      <c r="B253" s="10" t="s">
        <v>17</v>
      </c>
      <c r="C253" s="11" t="s">
        <v>26</v>
      </c>
      <c r="D253" s="13">
        <v>1800</v>
      </c>
      <c r="E253" s="13">
        <f t="shared" si="61"/>
        <v>1800</v>
      </c>
      <c r="F253" s="13">
        <f t="shared" si="62"/>
        <v>1989</v>
      </c>
      <c r="G253" s="2"/>
      <c r="H253" s="2"/>
      <c r="I253" s="13">
        <v>0</v>
      </c>
      <c r="J253" s="13">
        <f t="shared" si="63"/>
        <v>0</v>
      </c>
      <c r="K253" s="13">
        <f t="shared" si="64"/>
        <v>1989</v>
      </c>
      <c r="L253" s="14">
        <f t="shared" si="65"/>
        <v>1.105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1</v>
      </c>
      <c r="B254" s="10" t="s">
        <v>17</v>
      </c>
      <c r="C254" s="11" t="s">
        <v>74</v>
      </c>
      <c r="D254" s="13">
        <v>3400</v>
      </c>
      <c r="E254" s="13">
        <f t="shared" si="61"/>
        <v>3400</v>
      </c>
      <c r="F254" s="13">
        <f t="shared" si="62"/>
        <v>3757</v>
      </c>
      <c r="G254" s="2"/>
      <c r="H254" s="2"/>
      <c r="I254" s="13">
        <f>53000/18</f>
        <v>2944.4444444444443</v>
      </c>
      <c r="J254" s="13">
        <f t="shared" si="63"/>
        <v>2944.4444444444443</v>
      </c>
      <c r="K254" s="13">
        <f t="shared" si="64"/>
        <v>812.55555555555566</v>
      </c>
      <c r="L254" s="14">
        <f t="shared" si="65"/>
        <v>0.2389869281045752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"/>
      <c r="B255" s="2"/>
      <c r="C255" s="4"/>
      <c r="D255" s="2"/>
      <c r="E255" s="2"/>
      <c r="F255" s="2"/>
      <c r="G255" s="2"/>
      <c r="H255" s="2"/>
      <c r="I255" s="2"/>
      <c r="J255" s="2"/>
      <c r="K255" s="2"/>
      <c r="L255" s="3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"/>
      <c r="B256" s="2"/>
      <c r="C256" s="4"/>
      <c r="D256" s="2"/>
      <c r="E256" s="13">
        <f t="shared" ref="E256:F256" si="66">SUM(E245:E254)</f>
        <v>29340</v>
      </c>
      <c r="F256" s="13">
        <f t="shared" si="66"/>
        <v>32420.7</v>
      </c>
      <c r="G256" s="2"/>
      <c r="H256" s="2"/>
      <c r="I256" s="2"/>
      <c r="J256" s="2"/>
      <c r="K256" s="13">
        <f>SUM(K245:K254)</f>
        <v>10509.588888888888</v>
      </c>
      <c r="L256" s="14">
        <f>K256/F256</f>
        <v>0.32416292334492741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/>
      <c r="B257" s="10"/>
      <c r="C257" s="11"/>
      <c r="D257" s="13"/>
      <c r="E257" s="13"/>
      <c r="F257" s="2"/>
      <c r="G257" s="2"/>
      <c r="H257" s="2"/>
      <c r="I257" s="2"/>
      <c r="J257" s="13"/>
      <c r="K257" s="13"/>
      <c r="L257" s="21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/>
      <c r="B258" s="10"/>
      <c r="C258" s="11"/>
      <c r="D258" s="13"/>
      <c r="E258" s="13"/>
      <c r="F258" s="2"/>
      <c r="G258" s="2"/>
      <c r="H258" s="2"/>
      <c r="I258" s="2"/>
      <c r="J258" s="13"/>
      <c r="K258" s="13"/>
      <c r="L258" s="21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5"/>
      <c r="B259" s="2"/>
      <c r="C259" s="4"/>
      <c r="D259" s="2"/>
      <c r="E259" s="2"/>
      <c r="F259" s="2"/>
      <c r="G259" s="4"/>
      <c r="H259" s="2"/>
      <c r="I259" s="2"/>
      <c r="J259" s="2"/>
      <c r="K259" s="2"/>
      <c r="L259" s="3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"/>
      <c r="B260" s="2"/>
      <c r="C260" s="4"/>
      <c r="D260" s="2"/>
      <c r="E260" s="13"/>
      <c r="F260" s="2"/>
      <c r="G260" s="2"/>
      <c r="H260" s="2"/>
      <c r="I260" s="2"/>
      <c r="J260" s="2"/>
      <c r="K260" s="13"/>
      <c r="L260" s="1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20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20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6" t="s">
        <v>75</v>
      </c>
      <c r="B263" s="6"/>
      <c r="C263" s="6"/>
      <c r="D263" s="22" t="s">
        <v>76</v>
      </c>
      <c r="E263" s="8">
        <v>46113</v>
      </c>
      <c r="F263" s="23"/>
      <c r="G263" s="2"/>
      <c r="H263" s="2"/>
      <c r="I263" s="2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B264" s="2"/>
      <c r="C264" s="4"/>
      <c r="D264" s="2"/>
      <c r="E264" s="2"/>
      <c r="F264" s="2"/>
      <c r="G264" s="2"/>
      <c r="H264" s="2"/>
      <c r="I264" s="2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6" t="s">
        <v>3</v>
      </c>
      <c r="B265" s="10" t="s">
        <v>4</v>
      </c>
      <c r="C265" s="11" t="s">
        <v>5</v>
      </c>
      <c r="D265" s="10" t="s">
        <v>6</v>
      </c>
      <c r="E265" s="10" t="s">
        <v>7</v>
      </c>
      <c r="F265" s="10"/>
      <c r="G265" s="2"/>
      <c r="H265" s="2"/>
      <c r="I265" s="10" t="s">
        <v>6</v>
      </c>
      <c r="J265" s="10" t="s">
        <v>7</v>
      </c>
      <c r="K265" s="10" t="s">
        <v>10</v>
      </c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>
        <v>1</v>
      </c>
      <c r="B266" s="10" t="s">
        <v>4</v>
      </c>
      <c r="C266" s="11" t="s">
        <v>64</v>
      </c>
      <c r="D266" s="13">
        <v>2500</v>
      </c>
      <c r="E266" s="13">
        <f t="shared" ref="E266:E290" si="67">A266*D266</f>
        <v>2500</v>
      </c>
      <c r="F266" s="13"/>
      <c r="G266" s="2"/>
      <c r="H266" s="7"/>
      <c r="I266" s="13">
        <f>5000/3</f>
        <v>1666.6666666666667</v>
      </c>
      <c r="J266" s="13">
        <f t="shared" ref="J266:J290" si="68">I266*A266</f>
        <v>1666.6666666666667</v>
      </c>
      <c r="K266" s="13">
        <f t="shared" ref="K266:K290" si="69">E266-J266</f>
        <v>833.33333333333326</v>
      </c>
      <c r="L266" s="14">
        <f t="shared" ref="L266:L290" si="70">K266/E266</f>
        <v>0.33333333333333331</v>
      </c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>
        <v>3</v>
      </c>
      <c r="B267" s="10" t="s">
        <v>4</v>
      </c>
      <c r="C267" s="11" t="s">
        <v>13</v>
      </c>
      <c r="D267" s="13">
        <v>900</v>
      </c>
      <c r="E267" s="13">
        <f t="shared" si="67"/>
        <v>2700</v>
      </c>
      <c r="F267" s="13"/>
      <c r="G267" s="2"/>
      <c r="H267" s="7"/>
      <c r="I267" s="13">
        <v>460</v>
      </c>
      <c r="J267" s="13">
        <f t="shared" si="68"/>
        <v>1380</v>
      </c>
      <c r="K267" s="13">
        <f t="shared" si="69"/>
        <v>1320</v>
      </c>
      <c r="L267" s="14">
        <f t="shared" si="70"/>
        <v>0.48888888888888887</v>
      </c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>
        <v>4</v>
      </c>
      <c r="B268" s="10" t="s">
        <v>17</v>
      </c>
      <c r="C268" s="11" t="s">
        <v>77</v>
      </c>
      <c r="D268" s="13">
        <v>2400</v>
      </c>
      <c r="E268" s="13">
        <f t="shared" si="67"/>
        <v>9600</v>
      </c>
      <c r="F268" s="13"/>
      <c r="G268" s="2"/>
      <c r="H268" s="7"/>
      <c r="I268" s="13">
        <f>25000/12</f>
        <v>2083.3333333333335</v>
      </c>
      <c r="J268" s="13">
        <f t="shared" si="68"/>
        <v>8333.3333333333339</v>
      </c>
      <c r="K268" s="13">
        <f t="shared" si="69"/>
        <v>1266.6666666666661</v>
      </c>
      <c r="L268" s="14">
        <f t="shared" si="70"/>
        <v>0.13194444444444439</v>
      </c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>
        <v>1</v>
      </c>
      <c r="B269" s="10" t="s">
        <v>17</v>
      </c>
      <c r="C269" s="11" t="s">
        <v>78</v>
      </c>
      <c r="D269" s="13">
        <v>4000</v>
      </c>
      <c r="E269" s="13">
        <f t="shared" si="67"/>
        <v>4000</v>
      </c>
      <c r="F269" s="13"/>
      <c r="G269" s="2"/>
      <c r="H269" s="7"/>
      <c r="I269" s="13">
        <f>13000/8</f>
        <v>1625</v>
      </c>
      <c r="J269" s="13">
        <f t="shared" si="68"/>
        <v>1625</v>
      </c>
      <c r="K269" s="13">
        <f t="shared" si="69"/>
        <v>2375</v>
      </c>
      <c r="L269" s="14">
        <f t="shared" si="70"/>
        <v>0.59375</v>
      </c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>
        <v>1</v>
      </c>
      <c r="B270" s="10" t="s">
        <v>17</v>
      </c>
      <c r="C270" s="11" t="s">
        <v>31</v>
      </c>
      <c r="D270" s="13">
        <v>3000</v>
      </c>
      <c r="E270" s="13">
        <f t="shared" si="67"/>
        <v>3000</v>
      </c>
      <c r="F270" s="13"/>
      <c r="G270" s="2"/>
      <c r="H270" s="7"/>
      <c r="I270" s="13">
        <v>1000</v>
      </c>
      <c r="J270" s="13">
        <f t="shared" si="68"/>
        <v>1000</v>
      </c>
      <c r="K270" s="13">
        <f t="shared" si="69"/>
        <v>2000</v>
      </c>
      <c r="L270" s="14">
        <f t="shared" si="70"/>
        <v>0.66666666666666663</v>
      </c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>
        <v>2</v>
      </c>
      <c r="B271" s="10" t="s">
        <v>17</v>
      </c>
      <c r="C271" s="11" t="s">
        <v>79</v>
      </c>
      <c r="D271" s="13">
        <v>3500</v>
      </c>
      <c r="E271" s="13">
        <f t="shared" si="67"/>
        <v>7000</v>
      </c>
      <c r="F271" s="13"/>
      <c r="G271" s="2"/>
      <c r="H271" s="7"/>
      <c r="I271" s="13">
        <v>2000</v>
      </c>
      <c r="J271" s="13">
        <f t="shared" si="68"/>
        <v>4000</v>
      </c>
      <c r="K271" s="13">
        <f t="shared" si="69"/>
        <v>3000</v>
      </c>
      <c r="L271" s="14">
        <f t="shared" si="70"/>
        <v>0.42857142857142855</v>
      </c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>
        <v>4</v>
      </c>
      <c r="B272" s="10" t="s">
        <v>21</v>
      </c>
      <c r="C272" s="11" t="s">
        <v>35</v>
      </c>
      <c r="D272" s="13">
        <v>2500</v>
      </c>
      <c r="E272" s="13">
        <f t="shared" si="67"/>
        <v>10000</v>
      </c>
      <c r="F272" s="13"/>
      <c r="G272" s="2"/>
      <c r="H272" s="7"/>
      <c r="I272" s="13">
        <f>14000/11</f>
        <v>1272.7272727272727</v>
      </c>
      <c r="J272" s="13">
        <f t="shared" si="68"/>
        <v>5090.909090909091</v>
      </c>
      <c r="K272" s="13">
        <f t="shared" si="69"/>
        <v>4909.090909090909</v>
      </c>
      <c r="L272" s="14">
        <f t="shared" si="70"/>
        <v>0.49090909090909091</v>
      </c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>
        <v>1</v>
      </c>
      <c r="B273" s="10" t="s">
        <v>17</v>
      </c>
      <c r="C273" s="11" t="s">
        <v>80</v>
      </c>
      <c r="D273" s="13">
        <v>1800</v>
      </c>
      <c r="E273" s="13">
        <f t="shared" si="67"/>
        <v>1800</v>
      </c>
      <c r="F273" s="13"/>
      <c r="G273" s="2"/>
      <c r="H273" s="7"/>
      <c r="I273" s="13">
        <v>1000</v>
      </c>
      <c r="J273" s="13">
        <f t="shared" si="68"/>
        <v>1000</v>
      </c>
      <c r="K273" s="13">
        <f t="shared" si="69"/>
        <v>800</v>
      </c>
      <c r="L273" s="14">
        <f t="shared" si="70"/>
        <v>0.44444444444444442</v>
      </c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>
        <v>3</v>
      </c>
      <c r="B274" s="10" t="s">
        <v>21</v>
      </c>
      <c r="C274" s="11" t="s">
        <v>46</v>
      </c>
      <c r="D274" s="13">
        <v>600</v>
      </c>
      <c r="E274" s="13">
        <f t="shared" si="67"/>
        <v>1800</v>
      </c>
      <c r="F274" s="13"/>
      <c r="G274" s="2"/>
      <c r="H274" s="7"/>
      <c r="I274" s="13">
        <f>7000/24</f>
        <v>291.66666666666669</v>
      </c>
      <c r="J274" s="13">
        <f t="shared" si="68"/>
        <v>875</v>
      </c>
      <c r="K274" s="13">
        <f t="shared" si="69"/>
        <v>925</v>
      </c>
      <c r="L274" s="14">
        <f t="shared" si="70"/>
        <v>0.51388888888888884</v>
      </c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>
        <v>6</v>
      </c>
      <c r="B275" s="10" t="s">
        <v>17</v>
      </c>
      <c r="C275" s="11" t="s">
        <v>81</v>
      </c>
      <c r="D275" s="13">
        <v>2000</v>
      </c>
      <c r="E275" s="13">
        <f t="shared" si="67"/>
        <v>12000</v>
      </c>
      <c r="F275" s="13"/>
      <c r="G275" s="2"/>
      <c r="H275" s="7"/>
      <c r="I275" s="13">
        <f>12000/15</f>
        <v>800</v>
      </c>
      <c r="J275" s="13">
        <f t="shared" si="68"/>
        <v>4800</v>
      </c>
      <c r="K275" s="13">
        <f t="shared" si="69"/>
        <v>7200</v>
      </c>
      <c r="L275" s="14">
        <f t="shared" si="70"/>
        <v>0.6</v>
      </c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>
        <v>1</v>
      </c>
      <c r="B276" s="10" t="s">
        <v>21</v>
      </c>
      <c r="C276" s="11" t="s">
        <v>42</v>
      </c>
      <c r="D276" s="13">
        <v>4500</v>
      </c>
      <c r="E276" s="13">
        <f t="shared" si="67"/>
        <v>4500</v>
      </c>
      <c r="F276" s="13"/>
      <c r="G276" s="2"/>
      <c r="H276" s="7"/>
      <c r="I276" s="13">
        <v>1200</v>
      </c>
      <c r="J276" s="13">
        <f t="shared" si="68"/>
        <v>1200</v>
      </c>
      <c r="K276" s="13">
        <f t="shared" si="69"/>
        <v>3300</v>
      </c>
      <c r="L276" s="14">
        <f t="shared" si="70"/>
        <v>0.73333333333333328</v>
      </c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>
        <v>3</v>
      </c>
      <c r="B277" s="10" t="s">
        <v>17</v>
      </c>
      <c r="C277" s="11" t="s">
        <v>82</v>
      </c>
      <c r="D277" s="13">
        <v>1200</v>
      </c>
      <c r="E277" s="13">
        <f t="shared" si="67"/>
        <v>3600</v>
      </c>
      <c r="F277" s="13"/>
      <c r="G277" s="2"/>
      <c r="H277" s="7"/>
      <c r="I277" s="13">
        <f>12000/15</f>
        <v>800</v>
      </c>
      <c r="J277" s="13">
        <f t="shared" si="68"/>
        <v>2400</v>
      </c>
      <c r="K277" s="13">
        <f t="shared" si="69"/>
        <v>1200</v>
      </c>
      <c r="L277" s="14">
        <f t="shared" si="70"/>
        <v>0.33333333333333331</v>
      </c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>
        <v>2</v>
      </c>
      <c r="B278" s="10" t="s">
        <v>17</v>
      </c>
      <c r="C278" s="11" t="s">
        <v>61</v>
      </c>
      <c r="D278" s="13">
        <v>1200</v>
      </c>
      <c r="E278" s="13">
        <f t="shared" si="67"/>
        <v>2400</v>
      </c>
      <c r="F278" s="13"/>
      <c r="G278" s="2"/>
      <c r="H278" s="7"/>
      <c r="I278" s="13">
        <v>1000</v>
      </c>
      <c r="J278" s="13">
        <f t="shared" si="68"/>
        <v>2000</v>
      </c>
      <c r="K278" s="13">
        <f t="shared" si="69"/>
        <v>400</v>
      </c>
      <c r="L278" s="14">
        <f t="shared" si="70"/>
        <v>0.16666666666666666</v>
      </c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>
        <v>1</v>
      </c>
      <c r="B279" s="10" t="s">
        <v>15</v>
      </c>
      <c r="C279" s="11" t="s">
        <v>83</v>
      </c>
      <c r="D279" s="13">
        <v>14000</v>
      </c>
      <c r="E279" s="13">
        <f t="shared" si="67"/>
        <v>14000</v>
      </c>
      <c r="F279" s="13"/>
      <c r="G279" s="2"/>
      <c r="H279" s="7"/>
      <c r="I279" s="13">
        <v>10000</v>
      </c>
      <c r="J279" s="13">
        <f t="shared" si="68"/>
        <v>10000</v>
      </c>
      <c r="K279" s="13">
        <f t="shared" si="69"/>
        <v>4000</v>
      </c>
      <c r="L279" s="14">
        <f t="shared" si="70"/>
        <v>0.2857142857142857</v>
      </c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>
        <v>0.5</v>
      </c>
      <c r="B280" s="10" t="s">
        <v>15</v>
      </c>
      <c r="C280" s="11" t="s">
        <v>56</v>
      </c>
      <c r="D280" s="13">
        <v>12000</v>
      </c>
      <c r="E280" s="13">
        <f t="shared" si="67"/>
        <v>6000</v>
      </c>
      <c r="F280" s="13"/>
      <c r="G280" s="2"/>
      <c r="H280" s="7"/>
      <c r="I280" s="13">
        <f>10000/16</f>
        <v>625</v>
      </c>
      <c r="J280" s="13">
        <f t="shared" si="68"/>
        <v>312.5</v>
      </c>
      <c r="K280" s="13">
        <f t="shared" si="69"/>
        <v>5687.5</v>
      </c>
      <c r="L280" s="14">
        <f t="shared" si="70"/>
        <v>0.94791666666666663</v>
      </c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>
        <v>1</v>
      </c>
      <c r="B281" s="10" t="s">
        <v>15</v>
      </c>
      <c r="C281" s="11" t="s">
        <v>84</v>
      </c>
      <c r="D281" s="13">
        <v>18000</v>
      </c>
      <c r="E281" s="13">
        <f t="shared" si="67"/>
        <v>18000</v>
      </c>
      <c r="F281" s="13"/>
      <c r="G281" s="2"/>
      <c r="H281" s="7"/>
      <c r="I281" s="13">
        <v>13000</v>
      </c>
      <c r="J281" s="13">
        <f t="shared" si="68"/>
        <v>13000</v>
      </c>
      <c r="K281" s="13">
        <f t="shared" si="69"/>
        <v>5000</v>
      </c>
      <c r="L281" s="14">
        <f t="shared" si="70"/>
        <v>0.27777777777777779</v>
      </c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>
        <v>4</v>
      </c>
      <c r="B282" s="10" t="s">
        <v>17</v>
      </c>
      <c r="C282" s="11" t="s">
        <v>40</v>
      </c>
      <c r="D282" s="13">
        <v>1400</v>
      </c>
      <c r="E282" s="13">
        <f t="shared" si="67"/>
        <v>5600</v>
      </c>
      <c r="F282" s="13"/>
      <c r="G282" s="2"/>
      <c r="H282" s="7"/>
      <c r="I282" s="13">
        <v>1000</v>
      </c>
      <c r="J282" s="13">
        <f t="shared" si="68"/>
        <v>4000</v>
      </c>
      <c r="K282" s="13">
        <f t="shared" si="69"/>
        <v>1600</v>
      </c>
      <c r="L282" s="14">
        <f t="shared" si="70"/>
        <v>0.2857142857142857</v>
      </c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>
        <v>1</v>
      </c>
      <c r="B283" s="10" t="s">
        <v>23</v>
      </c>
      <c r="C283" s="11" t="s">
        <v>85</v>
      </c>
      <c r="D283" s="13">
        <v>56000</v>
      </c>
      <c r="E283" s="13">
        <f t="shared" si="67"/>
        <v>56000</v>
      </c>
      <c r="F283" s="13"/>
      <c r="G283" s="2"/>
      <c r="H283" s="7"/>
      <c r="I283" s="13">
        <v>52000</v>
      </c>
      <c r="J283" s="13">
        <f t="shared" si="68"/>
        <v>52000</v>
      </c>
      <c r="K283" s="13">
        <f t="shared" si="69"/>
        <v>4000</v>
      </c>
      <c r="L283" s="14">
        <f t="shared" si="70"/>
        <v>7.1428571428571425E-2</v>
      </c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>
        <v>1</v>
      </c>
      <c r="B284" s="10" t="s">
        <v>86</v>
      </c>
      <c r="C284" s="11" t="s">
        <v>87</v>
      </c>
      <c r="D284" s="13">
        <v>42000</v>
      </c>
      <c r="E284" s="13">
        <f t="shared" si="67"/>
        <v>42000</v>
      </c>
      <c r="F284" s="13"/>
      <c r="G284" s="2"/>
      <c r="H284" s="7"/>
      <c r="I284" s="13">
        <v>30000</v>
      </c>
      <c r="J284" s="13">
        <f t="shared" si="68"/>
        <v>30000</v>
      </c>
      <c r="K284" s="13">
        <f t="shared" si="69"/>
        <v>12000</v>
      </c>
      <c r="L284" s="14">
        <f t="shared" si="70"/>
        <v>0.2857142857142857</v>
      </c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>
        <v>3</v>
      </c>
      <c r="B285" s="10" t="s">
        <v>17</v>
      </c>
      <c r="C285" s="11" t="s">
        <v>88</v>
      </c>
      <c r="D285" s="13">
        <v>2600</v>
      </c>
      <c r="E285" s="13">
        <f t="shared" si="67"/>
        <v>7800</v>
      </c>
      <c r="F285" s="13"/>
      <c r="G285" s="2"/>
      <c r="H285" s="7"/>
      <c r="I285" s="13">
        <f>21000/15</f>
        <v>1400</v>
      </c>
      <c r="J285" s="13">
        <f t="shared" si="68"/>
        <v>4200</v>
      </c>
      <c r="K285" s="13">
        <f t="shared" si="69"/>
        <v>3600</v>
      </c>
      <c r="L285" s="14">
        <f t="shared" si="70"/>
        <v>0.46153846153846156</v>
      </c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>
        <v>0.5</v>
      </c>
      <c r="B286" s="10" t="s">
        <v>86</v>
      </c>
      <c r="C286" s="11" t="s">
        <v>24</v>
      </c>
      <c r="D286" s="13">
        <v>57000</v>
      </c>
      <c r="E286" s="13">
        <f t="shared" si="67"/>
        <v>28500</v>
      </c>
      <c r="F286" s="13"/>
      <c r="G286" s="2"/>
      <c r="H286" s="7"/>
      <c r="I286" s="13">
        <v>53000</v>
      </c>
      <c r="J286" s="13">
        <f t="shared" si="68"/>
        <v>26500</v>
      </c>
      <c r="K286" s="13">
        <f t="shared" si="69"/>
        <v>2000</v>
      </c>
      <c r="L286" s="14">
        <f t="shared" si="70"/>
        <v>7.0175438596491224E-2</v>
      </c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>
        <v>4</v>
      </c>
      <c r="B287" s="10" t="s">
        <v>17</v>
      </c>
      <c r="C287" s="11" t="s">
        <v>26</v>
      </c>
      <c r="D287" s="13">
        <v>1700</v>
      </c>
      <c r="E287" s="13">
        <f t="shared" si="67"/>
        <v>6800</v>
      </c>
      <c r="F287" s="13"/>
      <c r="G287" s="2"/>
      <c r="H287" s="7"/>
      <c r="I287" s="13">
        <v>0</v>
      </c>
      <c r="J287" s="13">
        <f t="shared" si="68"/>
        <v>0</v>
      </c>
      <c r="K287" s="13">
        <f t="shared" si="69"/>
        <v>6800</v>
      </c>
      <c r="L287" s="14">
        <f t="shared" si="70"/>
        <v>1</v>
      </c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x14ac:dyDescent="0.2">
      <c r="A288" s="12">
        <v>0.5</v>
      </c>
      <c r="B288" s="10" t="s">
        <v>86</v>
      </c>
      <c r="C288" s="11" t="s">
        <v>49</v>
      </c>
      <c r="D288" s="13">
        <v>28000</v>
      </c>
      <c r="E288" s="13">
        <f t="shared" si="67"/>
        <v>14000</v>
      </c>
      <c r="F288" s="13"/>
      <c r="G288" s="2"/>
      <c r="H288" s="7"/>
      <c r="I288" s="13">
        <v>20000</v>
      </c>
      <c r="J288" s="13">
        <f t="shared" si="68"/>
        <v>10000</v>
      </c>
      <c r="K288" s="13">
        <f t="shared" si="69"/>
        <v>4000</v>
      </c>
      <c r="L288" s="14">
        <f t="shared" si="70"/>
        <v>0.2857142857142857</v>
      </c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x14ac:dyDescent="0.2">
      <c r="A289" s="12">
        <v>0.5</v>
      </c>
      <c r="B289" s="10" t="s">
        <v>17</v>
      </c>
      <c r="C289" s="11" t="s">
        <v>89</v>
      </c>
      <c r="D289" s="13">
        <v>10500</v>
      </c>
      <c r="E289" s="13">
        <f t="shared" si="67"/>
        <v>5250</v>
      </c>
      <c r="F289" s="13"/>
      <c r="G289" s="2"/>
      <c r="H289" s="7"/>
      <c r="I289" s="13">
        <v>10000</v>
      </c>
      <c r="J289" s="13">
        <f t="shared" si="68"/>
        <v>5000</v>
      </c>
      <c r="K289" s="13">
        <f t="shared" si="69"/>
        <v>250</v>
      </c>
      <c r="L289" s="14">
        <f t="shared" si="70"/>
        <v>4.7619047619047616E-2</v>
      </c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x14ac:dyDescent="0.2">
      <c r="A290" s="12">
        <v>0.5</v>
      </c>
      <c r="B290" s="10" t="s">
        <v>17</v>
      </c>
      <c r="C290" s="11" t="s">
        <v>90</v>
      </c>
      <c r="D290" s="13">
        <v>8000</v>
      </c>
      <c r="E290" s="13">
        <f t="shared" si="67"/>
        <v>4000</v>
      </c>
      <c r="F290" s="13"/>
      <c r="G290" s="2"/>
      <c r="H290" s="7"/>
      <c r="I290" s="13">
        <f>45000/7</f>
        <v>6428.5714285714284</v>
      </c>
      <c r="J290" s="13">
        <f t="shared" si="68"/>
        <v>3214.2857142857142</v>
      </c>
      <c r="K290" s="13">
        <f t="shared" si="69"/>
        <v>785.71428571428578</v>
      </c>
      <c r="L290" s="14">
        <f t="shared" si="70"/>
        <v>0.19642857142857145</v>
      </c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H291" s="2"/>
      <c r="I291" s="2"/>
      <c r="J291" s="13"/>
      <c r="K291" s="13"/>
      <c r="L291" s="1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>
        <f>SUM(E266:E291)</f>
        <v>272850</v>
      </c>
      <c r="F292" s="13"/>
      <c r="G292" s="2"/>
      <c r="H292" s="2"/>
      <c r="I292" s="2"/>
      <c r="J292" s="13"/>
      <c r="K292" s="13">
        <f>SUM(K266:K290)</f>
        <v>79252.305194805202</v>
      </c>
      <c r="L292" s="14">
        <f>K292/E292</f>
        <v>0.29046107822908263</v>
      </c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20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20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6" t="s">
        <v>91</v>
      </c>
      <c r="B295" s="1"/>
      <c r="C295" s="1"/>
      <c r="D295" s="22" t="s">
        <v>92</v>
      </c>
      <c r="E295" s="8">
        <v>46113</v>
      </c>
      <c r="F295" s="24" t="s">
        <v>37</v>
      </c>
      <c r="G295" s="2"/>
      <c r="H295" s="2"/>
      <c r="I295" s="2"/>
      <c r="J295" s="2"/>
      <c r="K295" s="2"/>
      <c r="L295" s="3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2"/>
      <c r="C296" s="4"/>
      <c r="D296" s="2"/>
      <c r="E296" s="2"/>
      <c r="F296" s="2"/>
      <c r="G296" s="2"/>
      <c r="H296" s="2"/>
      <c r="I296" s="2"/>
      <c r="J296" s="2"/>
      <c r="K296" s="2"/>
      <c r="L296" s="3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6" t="s">
        <v>3</v>
      </c>
      <c r="B297" s="10" t="s">
        <v>4</v>
      </c>
      <c r="C297" s="11" t="s">
        <v>5</v>
      </c>
      <c r="D297" s="10" t="s">
        <v>6</v>
      </c>
      <c r="E297" s="10" t="s">
        <v>7</v>
      </c>
      <c r="F297" s="2"/>
      <c r="G297" s="2"/>
      <c r="H297" s="2"/>
      <c r="I297" s="10" t="s">
        <v>6</v>
      </c>
      <c r="J297" s="10" t="s">
        <v>7</v>
      </c>
      <c r="K297" s="10" t="s">
        <v>10</v>
      </c>
      <c r="L297" s="3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1.1000000000000001</v>
      </c>
      <c r="B298" s="10" t="s">
        <v>17</v>
      </c>
      <c r="C298" s="11" t="s">
        <v>38</v>
      </c>
      <c r="D298" s="13">
        <v>1800</v>
      </c>
      <c r="E298" s="13">
        <f t="shared" ref="E298:E306" si="71">A298*D298</f>
        <v>1980.0000000000002</v>
      </c>
      <c r="F298" s="2"/>
      <c r="G298" s="2"/>
      <c r="H298" s="2"/>
      <c r="I298" s="13">
        <v>1000</v>
      </c>
      <c r="J298" s="13">
        <f t="shared" ref="J298:J306" si="72">I298*A298</f>
        <v>1100</v>
      </c>
      <c r="K298" s="13">
        <f t="shared" ref="K298:K306" si="73">E298-J298</f>
        <v>880.00000000000023</v>
      </c>
      <c r="L298" s="14">
        <f t="shared" ref="L298:L306" si="74">K298/E298</f>
        <v>0.44444444444444453</v>
      </c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1.5</v>
      </c>
      <c r="B299" s="10" t="s">
        <v>17</v>
      </c>
      <c r="C299" s="11" t="s">
        <v>40</v>
      </c>
      <c r="D299" s="13">
        <v>1500</v>
      </c>
      <c r="E299" s="13">
        <f t="shared" si="71"/>
        <v>2250</v>
      </c>
      <c r="F299" s="2"/>
      <c r="G299" s="2"/>
      <c r="H299" s="2"/>
      <c r="I299" s="13">
        <v>1000</v>
      </c>
      <c r="J299" s="13">
        <f t="shared" si="72"/>
        <v>1500</v>
      </c>
      <c r="K299" s="13">
        <f t="shared" si="73"/>
        <v>750</v>
      </c>
      <c r="L299" s="14">
        <f t="shared" si="74"/>
        <v>0.33333333333333331</v>
      </c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0.25</v>
      </c>
      <c r="B300" s="10" t="s">
        <v>17</v>
      </c>
      <c r="C300" s="11" t="s">
        <v>93</v>
      </c>
      <c r="D300" s="13">
        <v>3500</v>
      </c>
      <c r="E300" s="13">
        <f t="shared" si="71"/>
        <v>875</v>
      </c>
      <c r="F300" s="2"/>
      <c r="G300" s="2"/>
      <c r="H300" s="2"/>
      <c r="I300" s="13">
        <v>1000</v>
      </c>
      <c r="J300" s="13">
        <f t="shared" si="72"/>
        <v>250</v>
      </c>
      <c r="K300" s="13">
        <f t="shared" si="73"/>
        <v>625</v>
      </c>
      <c r="L300" s="14">
        <f t="shared" si="74"/>
        <v>0.7142857142857143</v>
      </c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4</v>
      </c>
      <c r="B301" s="10" t="s">
        <v>17</v>
      </c>
      <c r="C301" s="11" t="s">
        <v>73</v>
      </c>
      <c r="D301" s="13">
        <v>2200</v>
      </c>
      <c r="E301" s="13">
        <f t="shared" si="71"/>
        <v>8800</v>
      </c>
      <c r="F301" s="2"/>
      <c r="G301" s="2"/>
      <c r="H301" s="2"/>
      <c r="I301" s="13">
        <v>1000</v>
      </c>
      <c r="J301" s="13">
        <f t="shared" si="72"/>
        <v>4000</v>
      </c>
      <c r="K301" s="13">
        <f t="shared" si="73"/>
        <v>4800</v>
      </c>
      <c r="L301" s="14">
        <f t="shared" si="74"/>
        <v>0.54545454545454541</v>
      </c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1</v>
      </c>
      <c r="B302" s="10" t="s">
        <v>4</v>
      </c>
      <c r="C302" s="11" t="s">
        <v>64</v>
      </c>
      <c r="D302" s="13">
        <v>2500</v>
      </c>
      <c r="E302" s="13">
        <f t="shared" si="71"/>
        <v>2500</v>
      </c>
      <c r="F302" s="2"/>
      <c r="G302" s="2"/>
      <c r="H302" s="2"/>
      <c r="I302" s="13">
        <f>5000/3</f>
        <v>1666.6666666666667</v>
      </c>
      <c r="J302" s="13">
        <f t="shared" si="72"/>
        <v>1666.6666666666667</v>
      </c>
      <c r="K302" s="13">
        <f t="shared" si="73"/>
        <v>833.33333333333326</v>
      </c>
      <c r="L302" s="14">
        <f t="shared" si="74"/>
        <v>0.33333333333333331</v>
      </c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3</v>
      </c>
      <c r="B303" s="10" t="s">
        <v>21</v>
      </c>
      <c r="C303" s="11" t="s">
        <v>51</v>
      </c>
      <c r="D303" s="13">
        <v>1500</v>
      </c>
      <c r="E303" s="13">
        <f t="shared" si="71"/>
        <v>4500</v>
      </c>
      <c r="F303" s="2"/>
      <c r="G303" s="2"/>
      <c r="H303" s="2"/>
      <c r="I303" s="13">
        <v>1200</v>
      </c>
      <c r="J303" s="13">
        <f t="shared" si="72"/>
        <v>3600</v>
      </c>
      <c r="K303" s="13">
        <f t="shared" si="73"/>
        <v>900</v>
      </c>
      <c r="L303" s="14">
        <f t="shared" si="74"/>
        <v>0.2</v>
      </c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4</v>
      </c>
      <c r="B304" s="10" t="s">
        <v>4</v>
      </c>
      <c r="C304" s="11" t="s">
        <v>65</v>
      </c>
      <c r="D304" s="13">
        <v>1600</v>
      </c>
      <c r="E304" s="13">
        <f t="shared" si="71"/>
        <v>6400</v>
      </c>
      <c r="F304" s="2"/>
      <c r="G304" s="2"/>
      <c r="H304" s="2"/>
      <c r="I304" s="19">
        <f>82000/80</f>
        <v>1025</v>
      </c>
      <c r="J304" s="13">
        <f t="shared" si="72"/>
        <v>4100</v>
      </c>
      <c r="K304" s="13">
        <f t="shared" si="73"/>
        <v>2300</v>
      </c>
      <c r="L304" s="14">
        <f t="shared" si="74"/>
        <v>0.359375</v>
      </c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1</v>
      </c>
      <c r="B305" s="10" t="s">
        <v>17</v>
      </c>
      <c r="C305" s="11" t="s">
        <v>88</v>
      </c>
      <c r="D305" s="13">
        <v>2600</v>
      </c>
      <c r="E305" s="13">
        <f t="shared" si="71"/>
        <v>2600</v>
      </c>
      <c r="F305" s="2"/>
      <c r="G305" s="2"/>
      <c r="H305" s="2"/>
      <c r="I305" s="13">
        <f>21000/15</f>
        <v>1400</v>
      </c>
      <c r="J305" s="13">
        <f t="shared" si="72"/>
        <v>1400</v>
      </c>
      <c r="K305" s="13">
        <f t="shared" si="73"/>
        <v>1200</v>
      </c>
      <c r="L305" s="14">
        <f t="shared" si="74"/>
        <v>0.46153846153846156</v>
      </c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0.55000000000000004</v>
      </c>
      <c r="B306" s="10" t="s">
        <v>17</v>
      </c>
      <c r="C306" s="11" t="s">
        <v>26</v>
      </c>
      <c r="D306" s="13">
        <v>1800</v>
      </c>
      <c r="E306" s="13">
        <f t="shared" si="71"/>
        <v>990.00000000000011</v>
      </c>
      <c r="F306" s="2"/>
      <c r="G306" s="2"/>
      <c r="H306" s="2"/>
      <c r="I306" s="13">
        <v>0</v>
      </c>
      <c r="J306" s="13">
        <f t="shared" si="72"/>
        <v>0</v>
      </c>
      <c r="K306" s="13">
        <f t="shared" si="73"/>
        <v>990.00000000000011</v>
      </c>
      <c r="L306" s="14">
        <f t="shared" si="74"/>
        <v>1</v>
      </c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2"/>
      <c r="C307" s="4"/>
      <c r="D307" s="2"/>
      <c r="E307" s="2"/>
      <c r="F307" s="2"/>
      <c r="G307" s="4"/>
      <c r="H307" s="2"/>
      <c r="I307" s="2"/>
      <c r="J307" s="2"/>
      <c r="K307" s="2"/>
      <c r="L307" s="3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"/>
      <c r="B308" s="2"/>
      <c r="C308" s="4"/>
      <c r="D308" s="2"/>
      <c r="E308" s="13">
        <f>SUM(E298:E306)</f>
        <v>30895</v>
      </c>
      <c r="F308" s="2"/>
      <c r="G308" s="2"/>
      <c r="H308" s="2"/>
      <c r="I308" s="2"/>
      <c r="J308" s="2"/>
      <c r="K308" s="13">
        <f>SUM(K298:K306)</f>
        <v>13278.333333333332</v>
      </c>
      <c r="L308" s="14">
        <f>K308/E308</f>
        <v>0.42978907050763332</v>
      </c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20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20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20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1"/>
      <c r="C312" s="1"/>
      <c r="D312" s="1"/>
      <c r="E312" s="5"/>
      <c r="F312" s="1"/>
      <c r="G312" s="2"/>
      <c r="H312" s="2"/>
      <c r="I312" s="2"/>
      <c r="J312" s="2"/>
      <c r="K312" s="2"/>
      <c r="L312" s="3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6" t="s">
        <v>94</v>
      </c>
      <c r="B313" s="25"/>
      <c r="C313" s="1"/>
      <c r="D313" s="12" t="s">
        <v>95</v>
      </c>
      <c r="E313" s="8">
        <v>46113</v>
      </c>
      <c r="F313" s="15" t="s">
        <v>37</v>
      </c>
      <c r="G313" s="2"/>
      <c r="H313" s="2"/>
      <c r="I313" s="2"/>
      <c r="J313" s="2"/>
      <c r="K313" s="2"/>
      <c r="L313" s="3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2"/>
      <c r="C314" s="1"/>
      <c r="D314" s="2"/>
      <c r="E314" s="2"/>
      <c r="F314" s="2"/>
      <c r="G314" s="2"/>
      <c r="H314" s="2"/>
      <c r="I314" s="2"/>
      <c r="J314" s="2"/>
      <c r="K314" s="2"/>
      <c r="L314" s="3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6" t="s">
        <v>3</v>
      </c>
      <c r="B315" s="10" t="s">
        <v>4</v>
      </c>
      <c r="C315" s="6" t="s">
        <v>5</v>
      </c>
      <c r="D315" s="10" t="s">
        <v>6</v>
      </c>
      <c r="E315" s="10" t="s">
        <v>7</v>
      </c>
      <c r="F315" s="2"/>
      <c r="G315" s="2"/>
      <c r="H315" s="2"/>
      <c r="I315" s="10" t="s">
        <v>6</v>
      </c>
      <c r="J315" s="10" t="s">
        <v>7</v>
      </c>
      <c r="K315" s="10" t="s">
        <v>10</v>
      </c>
      <c r="L315" s="3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2">
        <v>0.5</v>
      </c>
      <c r="B316" s="10" t="s">
        <v>23</v>
      </c>
      <c r="C316" s="6" t="s">
        <v>85</v>
      </c>
      <c r="D316" s="13">
        <v>56000</v>
      </c>
      <c r="E316" s="13">
        <f t="shared" ref="E316:E318" si="75">A316*D316</f>
        <v>28000</v>
      </c>
      <c r="F316" s="2"/>
      <c r="G316" s="2"/>
      <c r="H316" s="2"/>
      <c r="I316" s="13">
        <v>52000</v>
      </c>
      <c r="J316" s="13">
        <f t="shared" ref="J316:J318" si="76">I316*A316</f>
        <v>26000</v>
      </c>
      <c r="K316" s="13">
        <f t="shared" ref="K316:K318" si="77">E316-J316</f>
        <v>2000</v>
      </c>
      <c r="L316" s="14">
        <f t="shared" ref="L316:L318" si="78">K316/E316</f>
        <v>7.1428571428571425E-2</v>
      </c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2">
        <v>1</v>
      </c>
      <c r="B317" s="10" t="s">
        <v>15</v>
      </c>
      <c r="C317" s="6" t="s">
        <v>84</v>
      </c>
      <c r="D317" s="13">
        <v>18000</v>
      </c>
      <c r="E317" s="13">
        <f t="shared" si="75"/>
        <v>18000</v>
      </c>
      <c r="F317" s="2"/>
      <c r="G317" s="2"/>
      <c r="H317" s="2"/>
      <c r="I317" s="13">
        <v>13000</v>
      </c>
      <c r="J317" s="13">
        <f t="shared" si="76"/>
        <v>13000</v>
      </c>
      <c r="K317" s="13">
        <f t="shared" si="77"/>
        <v>5000</v>
      </c>
      <c r="L317" s="14">
        <f t="shared" si="78"/>
        <v>0.27777777777777779</v>
      </c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2">
        <v>1</v>
      </c>
      <c r="B318" s="10" t="s">
        <v>15</v>
      </c>
      <c r="C318" s="6" t="s">
        <v>83</v>
      </c>
      <c r="D318" s="13">
        <v>14000</v>
      </c>
      <c r="E318" s="13">
        <f t="shared" si="75"/>
        <v>14000</v>
      </c>
      <c r="F318" s="2"/>
      <c r="G318" s="2"/>
      <c r="H318" s="2"/>
      <c r="I318" s="13">
        <v>10000</v>
      </c>
      <c r="J318" s="13">
        <f t="shared" si="76"/>
        <v>10000</v>
      </c>
      <c r="K318" s="13">
        <f t="shared" si="77"/>
        <v>4000</v>
      </c>
      <c r="L318" s="14">
        <f t="shared" si="78"/>
        <v>0.2857142857142857</v>
      </c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"/>
      <c r="B319" s="2"/>
      <c r="C319" s="1"/>
      <c r="D319" s="2"/>
      <c r="E319" s="2"/>
      <c r="F319" s="2"/>
      <c r="G319" s="1"/>
      <c r="H319" s="2"/>
      <c r="I319" s="2"/>
      <c r="J319" s="2"/>
      <c r="K319" s="2"/>
      <c r="L319" s="3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2"/>
      <c r="C320" s="1"/>
      <c r="D320" s="2"/>
      <c r="E320" s="13">
        <f>SUM(E316:E319)</f>
        <v>60000</v>
      </c>
      <c r="F320" s="2"/>
      <c r="G320" s="2"/>
      <c r="H320" s="2"/>
      <c r="I320" s="2"/>
      <c r="J320" s="2"/>
      <c r="K320" s="13">
        <f>SUM(K316:K318)</f>
        <v>11000</v>
      </c>
      <c r="L320" s="14">
        <f>K320/E320</f>
        <v>0.18333333333333332</v>
      </c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20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20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20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20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20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6" t="s">
        <v>96</v>
      </c>
      <c r="B326" s="1"/>
      <c r="C326" s="1"/>
      <c r="D326" s="22" t="s">
        <v>97</v>
      </c>
      <c r="E326" s="8">
        <v>46113</v>
      </c>
      <c r="F326" s="24" t="s">
        <v>37</v>
      </c>
      <c r="G326" s="2"/>
      <c r="H326" s="2"/>
      <c r="I326" s="2"/>
      <c r="J326" s="2"/>
      <c r="K326" s="2"/>
      <c r="L326" s="3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4"/>
      <c r="B327" s="2"/>
      <c r="C327" s="4"/>
      <c r="D327" s="2"/>
      <c r="E327" s="2"/>
      <c r="F327" s="2"/>
      <c r="G327" s="2"/>
      <c r="H327" s="2"/>
      <c r="I327" s="2"/>
      <c r="J327" s="2"/>
      <c r="K327" s="2"/>
      <c r="L327" s="3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6" t="s">
        <v>3</v>
      </c>
      <c r="B328" s="10" t="s">
        <v>4</v>
      </c>
      <c r="C328" s="11" t="s">
        <v>5</v>
      </c>
      <c r="D328" s="10" t="s">
        <v>6</v>
      </c>
      <c r="E328" s="10" t="s">
        <v>7</v>
      </c>
      <c r="F328" s="2"/>
      <c r="G328" s="2"/>
      <c r="H328" s="2"/>
      <c r="I328" s="10" t="s">
        <v>6</v>
      </c>
      <c r="J328" s="10" t="s">
        <v>7</v>
      </c>
      <c r="K328" s="10" t="s">
        <v>10</v>
      </c>
      <c r="L328" s="3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1</v>
      </c>
      <c r="B329" s="10" t="s">
        <v>23</v>
      </c>
      <c r="C329" s="11" t="s">
        <v>31</v>
      </c>
      <c r="D329" s="13">
        <v>14000</v>
      </c>
      <c r="E329" s="13">
        <f t="shared" ref="E329:E338" si="79">A329*D329</f>
        <v>14000</v>
      </c>
      <c r="F329" s="2"/>
      <c r="G329" s="2"/>
      <c r="H329" s="2"/>
      <c r="I329" s="13">
        <v>8000</v>
      </c>
      <c r="J329" s="13">
        <f t="shared" ref="J329:J338" si="80">I329*A329</f>
        <v>8000</v>
      </c>
      <c r="K329" s="13">
        <f t="shared" ref="K329:K338" si="81">E329-J329</f>
        <v>6000</v>
      </c>
      <c r="L329" s="14">
        <f t="shared" ref="L329:L338" si="82">K329/E329</f>
        <v>0.42857142857142855</v>
      </c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1</v>
      </c>
      <c r="B330" s="10" t="s">
        <v>23</v>
      </c>
      <c r="C330" s="11" t="s">
        <v>98</v>
      </c>
      <c r="D330" s="13">
        <v>18000</v>
      </c>
      <c r="E330" s="13">
        <f t="shared" si="79"/>
        <v>18000</v>
      </c>
      <c r="F330" s="2"/>
      <c r="G330" s="2"/>
      <c r="H330" s="2"/>
      <c r="I330" s="13">
        <v>12000</v>
      </c>
      <c r="J330" s="13">
        <f t="shared" si="80"/>
        <v>12000</v>
      </c>
      <c r="K330" s="13">
        <f t="shared" si="81"/>
        <v>6000</v>
      </c>
      <c r="L330" s="14">
        <f t="shared" si="82"/>
        <v>0.33333333333333331</v>
      </c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2</v>
      </c>
      <c r="B331" s="10" t="s">
        <v>15</v>
      </c>
      <c r="C331" s="11" t="s">
        <v>56</v>
      </c>
      <c r="D331" s="13">
        <v>14000</v>
      </c>
      <c r="E331" s="13">
        <f t="shared" si="79"/>
        <v>28000</v>
      </c>
      <c r="F331" s="2"/>
      <c r="G331" s="2"/>
      <c r="H331" s="2"/>
      <c r="I331" s="13">
        <v>10000</v>
      </c>
      <c r="J331" s="13">
        <f t="shared" si="80"/>
        <v>20000</v>
      </c>
      <c r="K331" s="13">
        <f t="shared" si="81"/>
        <v>8000</v>
      </c>
      <c r="L331" s="14">
        <f t="shared" si="82"/>
        <v>0.2857142857142857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1</v>
      </c>
      <c r="B332" s="10" t="s">
        <v>23</v>
      </c>
      <c r="C332" s="11" t="s">
        <v>99</v>
      </c>
      <c r="D332" s="13">
        <v>10000</v>
      </c>
      <c r="E332" s="13">
        <f t="shared" si="79"/>
        <v>10000</v>
      </c>
      <c r="F332" s="2"/>
      <c r="G332" s="2"/>
      <c r="H332" s="2"/>
      <c r="I332" s="13">
        <v>8000</v>
      </c>
      <c r="J332" s="13">
        <f t="shared" si="80"/>
        <v>8000</v>
      </c>
      <c r="K332" s="13">
        <f t="shared" si="81"/>
        <v>2000</v>
      </c>
      <c r="L332" s="14">
        <f t="shared" si="82"/>
        <v>0.2</v>
      </c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6</v>
      </c>
      <c r="B333" s="10" t="s">
        <v>100</v>
      </c>
      <c r="C333" s="11" t="s">
        <v>55</v>
      </c>
      <c r="D333" s="13">
        <v>5000</v>
      </c>
      <c r="E333" s="13">
        <f t="shared" si="79"/>
        <v>30000</v>
      </c>
      <c r="F333" s="2"/>
      <c r="G333" s="2"/>
      <c r="H333" s="2"/>
      <c r="I333" s="13">
        <v>4000</v>
      </c>
      <c r="J333" s="13">
        <f t="shared" si="80"/>
        <v>24000</v>
      </c>
      <c r="K333" s="13">
        <f t="shared" si="81"/>
        <v>6000</v>
      </c>
      <c r="L333" s="14">
        <f t="shared" si="82"/>
        <v>0.2</v>
      </c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2">
        <v>0.5</v>
      </c>
      <c r="B334" s="10" t="s">
        <v>23</v>
      </c>
      <c r="C334" s="11" t="s">
        <v>81</v>
      </c>
      <c r="D334" s="13">
        <v>18000</v>
      </c>
      <c r="E334" s="13">
        <f t="shared" si="79"/>
        <v>9000</v>
      </c>
      <c r="F334" s="2"/>
      <c r="G334" s="2"/>
      <c r="H334" s="2"/>
      <c r="I334" s="13">
        <v>12000</v>
      </c>
      <c r="J334" s="13">
        <f t="shared" si="80"/>
        <v>6000</v>
      </c>
      <c r="K334" s="13">
        <f t="shared" si="81"/>
        <v>3000</v>
      </c>
      <c r="L334" s="14">
        <f t="shared" si="82"/>
        <v>0.33333333333333331</v>
      </c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2">
        <v>2</v>
      </c>
      <c r="B335" s="10" t="s">
        <v>15</v>
      </c>
      <c r="C335" s="11" t="s">
        <v>16</v>
      </c>
      <c r="D335" s="13">
        <v>12000</v>
      </c>
      <c r="E335" s="13">
        <f t="shared" si="79"/>
        <v>24000</v>
      </c>
      <c r="F335" s="2"/>
      <c r="G335" s="2"/>
      <c r="H335" s="2"/>
      <c r="I335" s="13">
        <v>9000</v>
      </c>
      <c r="J335" s="13">
        <f t="shared" si="80"/>
        <v>18000</v>
      </c>
      <c r="K335" s="13">
        <f t="shared" si="81"/>
        <v>6000</v>
      </c>
      <c r="L335" s="14">
        <f t="shared" si="82"/>
        <v>0.25</v>
      </c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2">
        <v>3</v>
      </c>
      <c r="B336" s="10" t="s">
        <v>21</v>
      </c>
      <c r="C336" s="11" t="s">
        <v>51</v>
      </c>
      <c r="D336" s="13">
        <v>1500</v>
      </c>
      <c r="E336" s="13">
        <f t="shared" si="79"/>
        <v>4500</v>
      </c>
      <c r="F336" s="2"/>
      <c r="G336" s="2"/>
      <c r="H336" s="2"/>
      <c r="I336" s="13">
        <v>1200</v>
      </c>
      <c r="J336" s="13">
        <f t="shared" si="80"/>
        <v>3600</v>
      </c>
      <c r="K336" s="13">
        <f t="shared" si="81"/>
        <v>900</v>
      </c>
      <c r="L336" s="14">
        <f t="shared" si="82"/>
        <v>0.2</v>
      </c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2">
        <v>1</v>
      </c>
      <c r="B337" s="10" t="s">
        <v>21</v>
      </c>
      <c r="C337" s="11" t="s">
        <v>29</v>
      </c>
      <c r="D337" s="13">
        <v>3500</v>
      </c>
      <c r="E337" s="13">
        <f t="shared" si="79"/>
        <v>3500</v>
      </c>
      <c r="F337" s="2"/>
      <c r="G337" s="2"/>
      <c r="H337" s="2"/>
      <c r="I337" s="13">
        <v>1000</v>
      </c>
      <c r="J337" s="13">
        <f t="shared" si="80"/>
        <v>1000</v>
      </c>
      <c r="K337" s="13">
        <f t="shared" si="81"/>
        <v>2500</v>
      </c>
      <c r="L337" s="14">
        <f t="shared" si="82"/>
        <v>0.7142857142857143</v>
      </c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2">
        <v>1</v>
      </c>
      <c r="B338" s="10" t="s">
        <v>23</v>
      </c>
      <c r="C338" s="11" t="s">
        <v>14</v>
      </c>
      <c r="D338" s="13">
        <v>18000</v>
      </c>
      <c r="E338" s="13">
        <f t="shared" si="79"/>
        <v>18000</v>
      </c>
      <c r="F338" s="2"/>
      <c r="G338" s="2"/>
      <c r="H338" s="2"/>
      <c r="I338" s="13">
        <v>18000</v>
      </c>
      <c r="J338" s="13">
        <f t="shared" si="80"/>
        <v>18000</v>
      </c>
      <c r="K338" s="13">
        <f t="shared" si="81"/>
        <v>0</v>
      </c>
      <c r="L338" s="14">
        <f t="shared" si="82"/>
        <v>0</v>
      </c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"/>
      <c r="B339" s="2"/>
      <c r="C339" s="4"/>
      <c r="D339" s="2"/>
      <c r="E339" s="2"/>
      <c r="F339" s="2"/>
      <c r="G339" s="4"/>
      <c r="H339" s="2"/>
      <c r="I339" s="2"/>
      <c r="J339" s="2"/>
      <c r="K339" s="2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"/>
      <c r="B340" s="2"/>
      <c r="C340" s="4"/>
      <c r="D340" s="2"/>
      <c r="E340" s="13">
        <f>SUM(E329:E338)</f>
        <v>159000</v>
      </c>
      <c r="F340" s="2"/>
      <c r="G340" s="2"/>
      <c r="H340" s="2"/>
      <c r="I340" s="2"/>
      <c r="J340" s="2"/>
      <c r="K340" s="13">
        <f>SUM(K329:K338)</f>
        <v>40400</v>
      </c>
      <c r="L340" s="14">
        <f>K340/E340</f>
        <v>0.25408805031446541</v>
      </c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20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20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20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25.5" customHeight="1" x14ac:dyDescent="0.25">
      <c r="A344" s="26" t="s">
        <v>101</v>
      </c>
      <c r="B344" s="27">
        <f>E340+E320+E308+E292+F256+F238+F220+F197+F173+F155+F102+F81+F60+F34+F123</f>
        <v>2366687.2499999995</v>
      </c>
      <c r="C344" s="4"/>
      <c r="D344" s="4"/>
      <c r="E344" s="4"/>
      <c r="F344" s="4"/>
      <c r="G344" s="4"/>
      <c r="H344" s="4"/>
      <c r="I344" s="4"/>
      <c r="J344" s="4"/>
      <c r="K344" s="4"/>
      <c r="L344" s="28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28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27" customHeight="1" x14ac:dyDescent="0.25">
      <c r="A346" s="26" t="s">
        <v>102</v>
      </c>
      <c r="B346" s="27">
        <f>K340+K320+K308+K292+K256+K238+K220+K197+K173+K155+K123+K102+K81+K60+K34</f>
        <v>856395.99666118203</v>
      </c>
      <c r="C346" s="4"/>
      <c r="D346" s="4"/>
      <c r="E346" s="4"/>
      <c r="F346" s="4"/>
      <c r="G346" s="4"/>
      <c r="H346" s="4"/>
      <c r="I346" s="4"/>
      <c r="J346" s="4"/>
      <c r="K346" s="4"/>
      <c r="L346" s="28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28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28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26.25" customHeight="1" x14ac:dyDescent="0.25">
      <c r="A349" s="26" t="s">
        <v>103</v>
      </c>
      <c r="B349" s="29">
        <f>B346/B344</f>
        <v>0.36185431626472075</v>
      </c>
      <c r="C349" s="4"/>
      <c r="D349" s="4"/>
      <c r="E349" s="4"/>
      <c r="F349" s="4"/>
      <c r="G349" s="4"/>
      <c r="H349" s="4"/>
      <c r="I349" s="4"/>
      <c r="J349" s="4"/>
      <c r="K349" s="4"/>
      <c r="L349" s="28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28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77" t="s">
        <v>104</v>
      </c>
      <c r="B351" s="76"/>
      <c r="C351" s="4"/>
      <c r="D351" s="4"/>
      <c r="E351" s="4"/>
      <c r="F351" s="4"/>
      <c r="G351" s="4"/>
      <c r="H351" s="4"/>
      <c r="I351" s="4"/>
      <c r="J351" s="4"/>
      <c r="K351" s="4"/>
      <c r="L351" s="28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20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20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20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20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20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20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20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</sheetData>
  <mergeCells count="12">
    <mergeCell ref="A128:C128"/>
    <mergeCell ref="A158:C158"/>
    <mergeCell ref="A3:C3"/>
    <mergeCell ref="A37:C37"/>
    <mergeCell ref="A64:C64"/>
    <mergeCell ref="A84:C84"/>
    <mergeCell ref="A105:C105"/>
    <mergeCell ref="A176:C176"/>
    <mergeCell ref="A200:C200"/>
    <mergeCell ref="A224:C224"/>
    <mergeCell ref="A242:C242"/>
    <mergeCell ref="A351:B351"/>
  </mergeCells>
  <conditionalFormatting sqref="L1:L358">
    <cfRule type="cellIs" dxfId="27" priority="1" operator="greaterThanOrEqual">
      <formula>"30%"</formula>
    </cfRule>
    <cfRule type="cellIs" dxfId="26" priority="2" operator="between">
      <formula>"25%"</formula>
      <formula>"30%"</formula>
    </cfRule>
    <cfRule type="cellIs" dxfId="25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579"/>
  <sheetViews>
    <sheetView workbookViewId="0"/>
  </sheetViews>
  <sheetFormatPr baseColWidth="10" defaultColWidth="12.6640625" defaultRowHeight="15" customHeight="1" x14ac:dyDescent="0.2"/>
  <cols>
    <col min="1" max="1" width="21" customWidth="1"/>
    <col min="2" max="2" width="18.1640625" customWidth="1"/>
    <col min="3" max="3" width="27.1640625" customWidth="1"/>
    <col min="4" max="4" width="13.83203125" customWidth="1"/>
    <col min="5" max="5" width="13.1640625" customWidth="1"/>
    <col min="6" max="6" width="15.6640625" customWidth="1"/>
    <col min="7" max="7" width="20.332031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4"/>
      <c r="C1" s="4"/>
      <c r="D1" s="2"/>
      <c r="E1" s="2"/>
      <c r="F1" s="2"/>
      <c r="G1" s="4"/>
      <c r="H1" s="4"/>
      <c r="I1" s="4"/>
      <c r="J1" s="4"/>
      <c r="K1" s="2"/>
      <c r="L1" s="31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28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6" t="s">
        <v>91</v>
      </c>
      <c r="B3" s="6"/>
      <c r="C3" s="6"/>
      <c r="D3" s="22" t="s">
        <v>105</v>
      </c>
      <c r="E3" s="8">
        <v>46114</v>
      </c>
      <c r="F3" s="23" t="s">
        <v>106</v>
      </c>
      <c r="G3" s="2"/>
      <c r="H3" s="2"/>
      <c r="I3" s="2"/>
      <c r="J3" s="13"/>
      <c r="K3" s="13"/>
      <c r="L3" s="14"/>
      <c r="M3" s="4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B4" s="2"/>
      <c r="C4" s="4"/>
      <c r="D4" s="2"/>
      <c r="E4" s="2"/>
      <c r="F4" s="2"/>
      <c r="G4" s="2"/>
      <c r="H4" s="2"/>
      <c r="I4" s="2"/>
      <c r="J4" s="13"/>
      <c r="K4" s="13"/>
      <c r="L4" s="14"/>
      <c r="M4" s="4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/>
      <c r="G5" s="2"/>
      <c r="H5" s="2"/>
      <c r="I5" s="10" t="s">
        <v>6</v>
      </c>
      <c r="J5" s="10" t="s">
        <v>7</v>
      </c>
      <c r="K5" s="10" t="s">
        <v>10</v>
      </c>
      <c r="L5" s="14"/>
      <c r="M5" s="4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1</v>
      </c>
      <c r="B6" s="10" t="s">
        <v>23</v>
      </c>
      <c r="C6" s="11" t="s">
        <v>46</v>
      </c>
      <c r="D6" s="13">
        <v>13000</v>
      </c>
      <c r="E6" s="13">
        <f t="shared" ref="E6:E10" si="0">A6*D6</f>
        <v>13000</v>
      </c>
      <c r="F6" s="13"/>
      <c r="G6" s="2"/>
      <c r="H6" s="7"/>
      <c r="I6" s="13">
        <v>8000</v>
      </c>
      <c r="J6" s="13">
        <f t="shared" ref="J6:J10" si="1">I6*A6</f>
        <v>8000</v>
      </c>
      <c r="K6" s="13">
        <f t="shared" ref="K6:K10" si="2">E6-J6</f>
        <v>5000</v>
      </c>
      <c r="L6" s="14">
        <f t="shared" ref="L6:L10" si="3">K6/E6</f>
        <v>0.38461538461538464</v>
      </c>
      <c r="M6" s="4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3</v>
      </c>
      <c r="B7" s="10" t="s">
        <v>21</v>
      </c>
      <c r="C7" s="11" t="s">
        <v>51</v>
      </c>
      <c r="D7" s="13">
        <v>1500</v>
      </c>
      <c r="E7" s="13">
        <f t="shared" si="0"/>
        <v>4500</v>
      </c>
      <c r="F7" s="13"/>
      <c r="G7" s="2"/>
      <c r="H7" s="7"/>
      <c r="I7" s="13">
        <v>1500</v>
      </c>
      <c r="J7" s="13">
        <f t="shared" si="1"/>
        <v>4500</v>
      </c>
      <c r="K7" s="13">
        <f t="shared" si="2"/>
        <v>0</v>
      </c>
      <c r="L7" s="14">
        <f t="shared" si="3"/>
        <v>0</v>
      </c>
      <c r="M7" s="4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5</v>
      </c>
      <c r="B8" s="10" t="s">
        <v>17</v>
      </c>
      <c r="C8" s="11" t="s">
        <v>73</v>
      </c>
      <c r="D8" s="13">
        <v>2200</v>
      </c>
      <c r="E8" s="13">
        <f t="shared" si="0"/>
        <v>11000</v>
      </c>
      <c r="F8" s="13"/>
      <c r="G8" s="2"/>
      <c r="H8" s="7"/>
      <c r="I8" s="13">
        <f>14000/15</f>
        <v>933.33333333333337</v>
      </c>
      <c r="J8" s="13">
        <f t="shared" si="1"/>
        <v>4666.666666666667</v>
      </c>
      <c r="K8" s="13">
        <f t="shared" si="2"/>
        <v>6333.333333333333</v>
      </c>
      <c r="L8" s="14">
        <f t="shared" si="3"/>
        <v>0.57575757575757569</v>
      </c>
      <c r="M8" s="4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0.5</v>
      </c>
      <c r="B9" s="10" t="s">
        <v>17</v>
      </c>
      <c r="C9" s="11" t="s">
        <v>93</v>
      </c>
      <c r="D9" s="13">
        <v>3000</v>
      </c>
      <c r="E9" s="13">
        <f t="shared" si="0"/>
        <v>1500</v>
      </c>
      <c r="F9" s="13"/>
      <c r="G9" s="2"/>
      <c r="H9" s="7"/>
      <c r="I9" s="13">
        <v>1000</v>
      </c>
      <c r="J9" s="13">
        <f t="shared" si="1"/>
        <v>500</v>
      </c>
      <c r="K9" s="13">
        <f t="shared" si="2"/>
        <v>1000</v>
      </c>
      <c r="L9" s="14">
        <f t="shared" si="3"/>
        <v>0.66666666666666663</v>
      </c>
      <c r="M9" s="4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1</v>
      </c>
      <c r="B10" s="10" t="s">
        <v>17</v>
      </c>
      <c r="C10" s="11" t="s">
        <v>79</v>
      </c>
      <c r="D10" s="13">
        <v>3500</v>
      </c>
      <c r="E10" s="13">
        <f t="shared" si="0"/>
        <v>3500</v>
      </c>
      <c r="F10" s="13"/>
      <c r="G10" s="2"/>
      <c r="H10" s="7" t="s">
        <v>107</v>
      </c>
      <c r="I10" s="13">
        <v>0</v>
      </c>
      <c r="J10" s="13">
        <f t="shared" si="1"/>
        <v>0</v>
      </c>
      <c r="K10" s="13">
        <f t="shared" si="2"/>
        <v>3500</v>
      </c>
      <c r="L10" s="14">
        <f t="shared" si="3"/>
        <v>1</v>
      </c>
      <c r="M10" s="4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/>
      <c r="B11" s="10"/>
      <c r="C11" s="11"/>
      <c r="D11" s="13"/>
      <c r="E11" s="13"/>
      <c r="F11" s="13"/>
      <c r="H11" s="2"/>
      <c r="I11" s="2"/>
      <c r="J11" s="13"/>
      <c r="K11" s="13"/>
      <c r="L11" s="14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/>
      <c r="B12" s="10"/>
      <c r="C12" s="11"/>
      <c r="D12" s="13"/>
      <c r="E12" s="13">
        <f>SUM(E6:E11)</f>
        <v>33500</v>
      </c>
      <c r="F12" s="13"/>
      <c r="G12" s="2"/>
      <c r="H12" s="2"/>
      <c r="I12" s="2"/>
      <c r="J12" s="13"/>
      <c r="K12" s="13">
        <f>SUM(K6:K10)</f>
        <v>15833.333333333332</v>
      </c>
      <c r="L12" s="14">
        <f>K12/E12</f>
        <v>0.47263681592039797</v>
      </c>
      <c r="M12" s="4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2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28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28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6" t="s">
        <v>108</v>
      </c>
      <c r="B16" s="6"/>
      <c r="C16" s="6"/>
      <c r="D16" s="22" t="s">
        <v>109</v>
      </c>
      <c r="E16" s="8">
        <v>46114</v>
      </c>
      <c r="F16" s="23" t="s">
        <v>106</v>
      </c>
      <c r="G16" s="2"/>
      <c r="H16" s="2"/>
      <c r="I16" s="2"/>
      <c r="J16" s="13"/>
      <c r="K16" s="13"/>
      <c r="L16" s="14"/>
      <c r="M16" s="4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B17" s="2"/>
      <c r="C17" s="4"/>
      <c r="D17" s="2"/>
      <c r="E17" s="2"/>
      <c r="F17" s="2"/>
      <c r="G17" s="2"/>
      <c r="H17" s="2"/>
      <c r="I17" s="2"/>
      <c r="J17" s="13"/>
      <c r="K17" s="13"/>
      <c r="L17" s="14"/>
      <c r="M17" s="4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ht="15.75" customHeight="1" x14ac:dyDescent="0.2">
      <c r="A18" s="6" t="s">
        <v>3</v>
      </c>
      <c r="B18" s="10" t="s">
        <v>4</v>
      </c>
      <c r="C18" s="11" t="s">
        <v>5</v>
      </c>
      <c r="D18" s="10" t="s">
        <v>6</v>
      </c>
      <c r="E18" s="10" t="s">
        <v>7</v>
      </c>
      <c r="F18" s="10"/>
      <c r="G18" s="2"/>
      <c r="H18" s="2"/>
      <c r="I18" s="10" t="s">
        <v>6</v>
      </c>
      <c r="J18" s="10" t="s">
        <v>7</v>
      </c>
      <c r="K18" s="10" t="s">
        <v>10</v>
      </c>
      <c r="L18" s="14"/>
      <c r="M18" s="4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2">
        <v>4</v>
      </c>
      <c r="B19" s="10" t="s">
        <v>23</v>
      </c>
      <c r="C19" s="11" t="s">
        <v>110</v>
      </c>
      <c r="D19" s="13">
        <v>9000</v>
      </c>
      <c r="E19" s="13">
        <f t="shared" ref="E19:E31" si="4">A19*D19</f>
        <v>36000</v>
      </c>
      <c r="F19" s="13"/>
      <c r="G19" s="2"/>
      <c r="H19" s="7"/>
      <c r="I19" s="13">
        <f>18000/4</f>
        <v>4500</v>
      </c>
      <c r="J19" s="13">
        <f t="shared" ref="J19:J31" si="5">I19*A19</f>
        <v>18000</v>
      </c>
      <c r="K19" s="13">
        <f t="shared" ref="K19:K31" si="6">E19-J19</f>
        <v>18000</v>
      </c>
      <c r="L19" s="14">
        <f t="shared" ref="L19:L31" si="7">K19/E19</f>
        <v>0.5</v>
      </c>
      <c r="M19" s="4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12">
        <v>1</v>
      </c>
      <c r="B20" s="10" t="s">
        <v>17</v>
      </c>
      <c r="C20" s="11" t="s">
        <v>111</v>
      </c>
      <c r="D20" s="13">
        <v>10000</v>
      </c>
      <c r="E20" s="13">
        <f t="shared" si="4"/>
        <v>10000</v>
      </c>
      <c r="F20" s="13"/>
      <c r="G20" s="2"/>
      <c r="H20" s="7"/>
      <c r="I20" s="13">
        <v>8000</v>
      </c>
      <c r="J20" s="13">
        <f t="shared" si="5"/>
        <v>8000</v>
      </c>
      <c r="K20" s="13">
        <f t="shared" si="6"/>
        <v>2000</v>
      </c>
      <c r="L20" s="14">
        <f t="shared" si="7"/>
        <v>0.2</v>
      </c>
      <c r="M20" s="4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ht="15.75" customHeight="1" x14ac:dyDescent="0.2">
      <c r="A21" s="12">
        <v>4</v>
      </c>
      <c r="B21" s="10" t="s">
        <v>21</v>
      </c>
      <c r="C21" s="11" t="s">
        <v>112</v>
      </c>
      <c r="D21" s="13">
        <v>3000</v>
      </c>
      <c r="E21" s="13">
        <f t="shared" si="4"/>
        <v>12000</v>
      </c>
      <c r="F21" s="13"/>
      <c r="G21" s="2"/>
      <c r="H21" s="7"/>
      <c r="I21" s="13">
        <v>2000</v>
      </c>
      <c r="J21" s="13">
        <f t="shared" si="5"/>
        <v>8000</v>
      </c>
      <c r="K21" s="13">
        <f t="shared" si="6"/>
        <v>4000</v>
      </c>
      <c r="L21" s="14">
        <f t="shared" si="7"/>
        <v>0.33333333333333331</v>
      </c>
      <c r="M21" s="4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ht="15.75" customHeight="1" x14ac:dyDescent="0.2">
      <c r="A22" s="12">
        <v>3</v>
      </c>
      <c r="B22" s="10" t="s">
        <v>17</v>
      </c>
      <c r="C22" s="11" t="s">
        <v>113</v>
      </c>
      <c r="D22" s="13">
        <v>4000</v>
      </c>
      <c r="E22" s="13">
        <f t="shared" si="4"/>
        <v>12000</v>
      </c>
      <c r="F22" s="13"/>
      <c r="G22" s="2"/>
      <c r="H22" s="7"/>
      <c r="I22" s="13">
        <v>3000</v>
      </c>
      <c r="J22" s="13">
        <f t="shared" si="5"/>
        <v>9000</v>
      </c>
      <c r="K22" s="13">
        <f t="shared" si="6"/>
        <v>3000</v>
      </c>
      <c r="L22" s="14">
        <f t="shared" si="7"/>
        <v>0.25</v>
      </c>
      <c r="M22" s="4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ht="15.75" customHeight="1" x14ac:dyDescent="0.2">
      <c r="A23" s="12">
        <v>4</v>
      </c>
      <c r="B23" s="10" t="s">
        <v>23</v>
      </c>
      <c r="C23" s="11" t="s">
        <v>88</v>
      </c>
      <c r="D23" s="13">
        <v>28000</v>
      </c>
      <c r="E23" s="13">
        <f t="shared" si="4"/>
        <v>112000</v>
      </c>
      <c r="F23" s="13"/>
      <c r="G23" s="2"/>
      <c r="H23" s="7"/>
      <c r="I23" s="13">
        <v>12000</v>
      </c>
      <c r="J23" s="13">
        <f t="shared" si="5"/>
        <v>48000</v>
      </c>
      <c r="K23" s="13">
        <f t="shared" si="6"/>
        <v>64000</v>
      </c>
      <c r="L23" s="14">
        <f t="shared" si="7"/>
        <v>0.5714285714285714</v>
      </c>
      <c r="M23" s="4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ht="15.75" customHeight="1" x14ac:dyDescent="0.2">
      <c r="A24" s="12">
        <v>3</v>
      </c>
      <c r="B24" s="10" t="s">
        <v>23</v>
      </c>
      <c r="C24" s="11" t="s">
        <v>26</v>
      </c>
      <c r="D24" s="13">
        <v>26000</v>
      </c>
      <c r="E24" s="13">
        <f t="shared" si="4"/>
        <v>78000</v>
      </c>
      <c r="F24" s="13"/>
      <c r="G24" s="2"/>
      <c r="H24" s="7"/>
      <c r="I24" s="13">
        <v>22000</v>
      </c>
      <c r="J24" s="13">
        <f t="shared" si="5"/>
        <v>66000</v>
      </c>
      <c r="K24" s="13">
        <f t="shared" si="6"/>
        <v>12000</v>
      </c>
      <c r="L24" s="14">
        <f t="shared" si="7"/>
        <v>0.15384615384615385</v>
      </c>
      <c r="M24" s="4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ht="15.75" customHeight="1" x14ac:dyDescent="0.2">
      <c r="A25" s="12">
        <v>2</v>
      </c>
      <c r="B25" s="10" t="s">
        <v>21</v>
      </c>
      <c r="C25" s="11" t="s">
        <v>29</v>
      </c>
      <c r="D25" s="13">
        <v>3500</v>
      </c>
      <c r="E25" s="13">
        <f t="shared" si="4"/>
        <v>7000</v>
      </c>
      <c r="F25" s="13"/>
      <c r="G25" s="2"/>
      <c r="H25" s="7"/>
      <c r="I25" s="13">
        <v>1000</v>
      </c>
      <c r="J25" s="13">
        <f t="shared" si="5"/>
        <v>2000</v>
      </c>
      <c r="K25" s="13">
        <f t="shared" si="6"/>
        <v>5000</v>
      </c>
      <c r="L25" s="14">
        <f t="shared" si="7"/>
        <v>0.7142857142857143</v>
      </c>
      <c r="M25" s="4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ht="15.75" customHeight="1" x14ac:dyDescent="0.2">
      <c r="A26" s="12">
        <v>4</v>
      </c>
      <c r="B26" s="10" t="s">
        <v>21</v>
      </c>
      <c r="C26" s="11" t="s">
        <v>42</v>
      </c>
      <c r="D26" s="13">
        <v>4500</v>
      </c>
      <c r="E26" s="13">
        <f t="shared" si="4"/>
        <v>18000</v>
      </c>
      <c r="F26" s="13"/>
      <c r="G26" s="2"/>
      <c r="H26" s="7"/>
      <c r="I26" s="13">
        <v>1200</v>
      </c>
      <c r="J26" s="13">
        <f t="shared" si="5"/>
        <v>4800</v>
      </c>
      <c r="K26" s="13">
        <f t="shared" si="6"/>
        <v>13200</v>
      </c>
      <c r="L26" s="14">
        <f t="shared" si="7"/>
        <v>0.73333333333333328</v>
      </c>
      <c r="M26" s="4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2"/>
    </row>
    <row r="27" spans="1:26" x14ac:dyDescent="0.2">
      <c r="A27" s="12">
        <v>4</v>
      </c>
      <c r="B27" s="10" t="s">
        <v>4</v>
      </c>
      <c r="C27" s="11" t="s">
        <v>114</v>
      </c>
      <c r="D27" s="13">
        <v>3000</v>
      </c>
      <c r="E27" s="13">
        <f t="shared" si="4"/>
        <v>12000</v>
      </c>
      <c r="F27" s="13"/>
      <c r="G27" s="2"/>
      <c r="H27" s="7"/>
      <c r="I27" s="13">
        <f>20000/9</f>
        <v>2222.2222222222222</v>
      </c>
      <c r="J27" s="13">
        <f t="shared" si="5"/>
        <v>8888.8888888888887</v>
      </c>
      <c r="K27" s="13">
        <f t="shared" si="6"/>
        <v>3111.1111111111113</v>
      </c>
      <c r="L27" s="14">
        <f t="shared" si="7"/>
        <v>0.2592592592592593</v>
      </c>
      <c r="M27" s="4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ht="15.75" customHeight="1" x14ac:dyDescent="0.2">
      <c r="A28" s="12">
        <v>2</v>
      </c>
      <c r="B28" s="10" t="s">
        <v>21</v>
      </c>
      <c r="C28" s="11" t="s">
        <v>34</v>
      </c>
      <c r="D28" s="13">
        <v>4000</v>
      </c>
      <c r="E28" s="13">
        <f t="shared" si="4"/>
        <v>8000</v>
      </c>
      <c r="F28" s="13"/>
      <c r="G28" s="2"/>
      <c r="H28" s="7"/>
      <c r="I28" s="13">
        <v>2000</v>
      </c>
      <c r="J28" s="13">
        <f t="shared" si="5"/>
        <v>4000</v>
      </c>
      <c r="K28" s="13">
        <f t="shared" si="6"/>
        <v>4000</v>
      </c>
      <c r="L28" s="14">
        <f t="shared" si="7"/>
        <v>0.5</v>
      </c>
      <c r="M28" s="4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ht="15.75" customHeight="1" x14ac:dyDescent="0.2">
      <c r="A29" s="12">
        <v>1</v>
      </c>
      <c r="B29" s="10" t="s">
        <v>23</v>
      </c>
      <c r="C29" s="11" t="s">
        <v>39</v>
      </c>
      <c r="D29" s="13">
        <v>20000</v>
      </c>
      <c r="E29" s="13">
        <f t="shared" si="4"/>
        <v>20000</v>
      </c>
      <c r="F29" s="13"/>
      <c r="G29" s="2"/>
      <c r="H29" s="7"/>
      <c r="I29" s="13">
        <v>15000</v>
      </c>
      <c r="J29" s="13">
        <f t="shared" si="5"/>
        <v>15000</v>
      </c>
      <c r="K29" s="13">
        <f t="shared" si="6"/>
        <v>5000</v>
      </c>
      <c r="L29" s="14">
        <f t="shared" si="7"/>
        <v>0.25</v>
      </c>
      <c r="M29" s="4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ht="15.75" customHeight="1" x14ac:dyDescent="0.2">
      <c r="A30" s="12">
        <v>2</v>
      </c>
      <c r="B30" s="10" t="s">
        <v>17</v>
      </c>
      <c r="C30" s="11" t="s">
        <v>30</v>
      </c>
      <c r="D30" s="13">
        <v>1500</v>
      </c>
      <c r="E30" s="13">
        <f t="shared" si="4"/>
        <v>3000</v>
      </c>
      <c r="F30" s="13"/>
      <c r="G30" s="7"/>
      <c r="H30" s="7"/>
      <c r="I30" s="13">
        <v>1500</v>
      </c>
      <c r="J30" s="13">
        <f t="shared" si="5"/>
        <v>3000</v>
      </c>
      <c r="K30" s="13">
        <f t="shared" si="6"/>
        <v>0</v>
      </c>
      <c r="L30" s="14">
        <f t="shared" si="7"/>
        <v>0</v>
      </c>
      <c r="M30" s="4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ht="15.75" customHeight="1" x14ac:dyDescent="0.2">
      <c r="A31" s="12">
        <v>0.5</v>
      </c>
      <c r="B31" s="10" t="s">
        <v>86</v>
      </c>
      <c r="C31" s="11" t="s">
        <v>115</v>
      </c>
      <c r="D31" s="13">
        <v>85000</v>
      </c>
      <c r="E31" s="13">
        <f t="shared" si="4"/>
        <v>42500</v>
      </c>
      <c r="F31" s="13"/>
      <c r="G31" s="7"/>
      <c r="H31" s="7"/>
      <c r="I31" s="13">
        <v>82000</v>
      </c>
      <c r="J31" s="13">
        <f t="shared" si="5"/>
        <v>41000</v>
      </c>
      <c r="K31" s="13">
        <f t="shared" si="6"/>
        <v>1500</v>
      </c>
      <c r="L31" s="14">
        <f t="shared" si="7"/>
        <v>3.5294117647058823E-2</v>
      </c>
      <c r="M31" s="4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ht="15.75" customHeight="1" x14ac:dyDescent="0.2">
      <c r="A32" s="12"/>
      <c r="B32" s="10"/>
      <c r="C32" s="11"/>
      <c r="D32" s="13"/>
      <c r="E32" s="13"/>
      <c r="F32" s="13"/>
      <c r="G32" s="2"/>
      <c r="H32" s="2"/>
      <c r="I32" s="2"/>
      <c r="J32" s="13"/>
      <c r="K32" s="13"/>
      <c r="L32" s="14"/>
      <c r="M32" s="4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ht="15.75" customHeight="1" x14ac:dyDescent="0.2">
      <c r="A33" s="12"/>
      <c r="B33" s="10"/>
      <c r="C33" s="11"/>
      <c r="D33" s="13"/>
      <c r="E33" s="13">
        <f>SUM(E19:E31)</f>
        <v>370500</v>
      </c>
      <c r="F33" s="13"/>
      <c r="G33" s="2"/>
      <c r="H33" s="2"/>
      <c r="I33" s="2"/>
      <c r="J33" s="13"/>
      <c r="K33" s="13">
        <f>SUM(K19:K31)</f>
        <v>134811.11111111112</v>
      </c>
      <c r="L33" s="14">
        <f>K33/E33</f>
        <v>0.36386264807317442</v>
      </c>
      <c r="M33" s="4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28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28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6" t="s">
        <v>116</v>
      </c>
      <c r="B36" s="6"/>
      <c r="C36" s="6"/>
      <c r="D36" s="22" t="s">
        <v>117</v>
      </c>
      <c r="E36" s="8">
        <v>46114</v>
      </c>
      <c r="F36" s="23" t="s">
        <v>106</v>
      </c>
      <c r="G36" s="2"/>
      <c r="H36" s="2"/>
      <c r="I36" s="2"/>
      <c r="J36" s="13"/>
      <c r="K36" s="13"/>
      <c r="L36" s="14"/>
      <c r="M36" s="4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ht="15.75" customHeight="1" x14ac:dyDescent="0.2">
      <c r="B37" s="2"/>
      <c r="C37" s="4"/>
      <c r="D37" s="2"/>
      <c r="E37" s="2"/>
      <c r="F37" s="2"/>
      <c r="G37" s="2"/>
      <c r="H37" s="2"/>
      <c r="I37" s="2"/>
      <c r="J37" s="13"/>
      <c r="K37" s="13"/>
      <c r="L37" s="14"/>
      <c r="M37" s="4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ht="15.75" customHeight="1" x14ac:dyDescent="0.2">
      <c r="A38" s="6" t="s">
        <v>3</v>
      </c>
      <c r="B38" s="10" t="s">
        <v>4</v>
      </c>
      <c r="C38" s="11" t="s">
        <v>5</v>
      </c>
      <c r="D38" s="10" t="s">
        <v>6</v>
      </c>
      <c r="E38" s="10" t="s">
        <v>7</v>
      </c>
      <c r="F38" s="10"/>
      <c r="G38" s="2"/>
      <c r="H38" s="2"/>
      <c r="I38" s="10" t="s">
        <v>6</v>
      </c>
      <c r="J38" s="10" t="s">
        <v>7</v>
      </c>
      <c r="K38" s="10" t="s">
        <v>10</v>
      </c>
      <c r="L38" s="14"/>
      <c r="M38" s="4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ht="15.75" customHeight="1" x14ac:dyDescent="0.2">
      <c r="A39" s="12">
        <v>1</v>
      </c>
      <c r="B39" s="10" t="s">
        <v>21</v>
      </c>
      <c r="C39" s="11" t="s">
        <v>64</v>
      </c>
      <c r="D39" s="13">
        <v>2500</v>
      </c>
      <c r="E39" s="13">
        <f t="shared" ref="E39:E51" si="8">A39*D39</f>
        <v>2500</v>
      </c>
      <c r="F39" s="13"/>
      <c r="G39" s="2"/>
      <c r="H39" s="7"/>
      <c r="I39" s="13">
        <v>1000</v>
      </c>
      <c r="J39" s="13">
        <f t="shared" ref="J39:J51" si="9">I39*A39</f>
        <v>1000</v>
      </c>
      <c r="K39" s="13">
        <f t="shared" ref="K39:K51" si="10">E39-J39</f>
        <v>1500</v>
      </c>
      <c r="L39" s="14">
        <f t="shared" ref="L39:L51" si="11">K39/E39</f>
        <v>0.6</v>
      </c>
      <c r="M39" s="4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ht="15.75" customHeight="1" x14ac:dyDescent="0.2">
      <c r="A40" s="12">
        <v>1</v>
      </c>
      <c r="B40" s="10" t="s">
        <v>21</v>
      </c>
      <c r="C40" s="11" t="s">
        <v>34</v>
      </c>
      <c r="D40" s="13">
        <v>5000</v>
      </c>
      <c r="E40" s="13">
        <f t="shared" si="8"/>
        <v>5000</v>
      </c>
      <c r="F40" s="13"/>
      <c r="G40" s="2"/>
      <c r="H40" s="7"/>
      <c r="I40" s="13">
        <v>2000</v>
      </c>
      <c r="J40" s="13">
        <f t="shared" si="9"/>
        <v>2000</v>
      </c>
      <c r="K40" s="13">
        <f t="shared" si="10"/>
        <v>3000</v>
      </c>
      <c r="L40" s="14">
        <f t="shared" si="11"/>
        <v>0.6</v>
      </c>
      <c r="M40" s="4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A41" s="12">
        <v>2</v>
      </c>
      <c r="B41" s="10" t="s">
        <v>17</v>
      </c>
      <c r="C41" s="11" t="s">
        <v>18</v>
      </c>
      <c r="D41" s="13">
        <v>1600</v>
      </c>
      <c r="E41" s="13">
        <f t="shared" si="8"/>
        <v>3200</v>
      </c>
      <c r="F41" s="13"/>
      <c r="G41" s="2"/>
      <c r="H41" s="7"/>
      <c r="I41" s="13">
        <v>1000</v>
      </c>
      <c r="J41" s="13">
        <f t="shared" si="9"/>
        <v>2000</v>
      </c>
      <c r="K41" s="13">
        <f t="shared" si="10"/>
        <v>1200</v>
      </c>
      <c r="L41" s="14">
        <f t="shared" si="11"/>
        <v>0.375</v>
      </c>
      <c r="M41" s="4"/>
      <c r="N41" s="2"/>
      <c r="O41" s="4"/>
      <c r="P41" s="2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A42" s="12">
        <v>8</v>
      </c>
      <c r="B42" s="10" t="s">
        <v>17</v>
      </c>
      <c r="C42" s="11" t="s">
        <v>39</v>
      </c>
      <c r="D42" s="13">
        <v>2200</v>
      </c>
      <c r="E42" s="13">
        <f t="shared" si="8"/>
        <v>17600</v>
      </c>
      <c r="F42" s="13"/>
      <c r="G42" s="2"/>
      <c r="H42" s="7"/>
      <c r="I42" s="13">
        <v>1000</v>
      </c>
      <c r="J42" s="13">
        <f t="shared" si="9"/>
        <v>8000</v>
      </c>
      <c r="K42" s="13">
        <f t="shared" si="10"/>
        <v>9600</v>
      </c>
      <c r="L42" s="14">
        <f t="shared" si="11"/>
        <v>0.54545454545454541</v>
      </c>
      <c r="M42" s="4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2">
        <v>1</v>
      </c>
      <c r="B43" s="10" t="s">
        <v>21</v>
      </c>
      <c r="C43" s="11" t="s">
        <v>28</v>
      </c>
      <c r="D43" s="13">
        <v>3000</v>
      </c>
      <c r="E43" s="13">
        <f t="shared" si="8"/>
        <v>3000</v>
      </c>
      <c r="F43" s="13"/>
      <c r="G43" s="2"/>
      <c r="H43" s="7"/>
      <c r="I43" s="13">
        <v>2000</v>
      </c>
      <c r="J43" s="13">
        <f t="shared" si="9"/>
        <v>2000</v>
      </c>
      <c r="K43" s="13">
        <f t="shared" si="10"/>
        <v>1000</v>
      </c>
      <c r="L43" s="14">
        <f t="shared" si="11"/>
        <v>0.33333333333333331</v>
      </c>
      <c r="M43" s="4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ht="15.75" customHeight="1" x14ac:dyDescent="0.2">
      <c r="A44" s="12">
        <v>2</v>
      </c>
      <c r="B44" s="10" t="s">
        <v>21</v>
      </c>
      <c r="C44" s="11" t="s">
        <v>51</v>
      </c>
      <c r="D44" s="13">
        <v>1500</v>
      </c>
      <c r="E44" s="13">
        <f t="shared" si="8"/>
        <v>3000</v>
      </c>
      <c r="F44" s="13"/>
      <c r="G44" s="2"/>
      <c r="H44" s="7"/>
      <c r="I44" s="13">
        <v>1500</v>
      </c>
      <c r="J44" s="13">
        <f t="shared" si="9"/>
        <v>3000</v>
      </c>
      <c r="K44" s="13">
        <f t="shared" si="10"/>
        <v>0</v>
      </c>
      <c r="L44" s="14">
        <f t="shared" si="11"/>
        <v>0</v>
      </c>
      <c r="M44" s="4"/>
      <c r="N44" s="2"/>
      <c r="O44" s="4"/>
      <c r="P44" s="2"/>
      <c r="Q44" s="2"/>
      <c r="R44" s="4"/>
      <c r="S44" s="2"/>
      <c r="T44" s="2"/>
      <c r="U44" s="1"/>
      <c r="V44" s="2"/>
      <c r="W44" s="2"/>
      <c r="X44" s="2"/>
      <c r="Y44" s="2"/>
      <c r="Z44" s="2"/>
    </row>
    <row r="45" spans="1:26" ht="15.75" customHeight="1" x14ac:dyDescent="0.2">
      <c r="A45" s="12">
        <v>3</v>
      </c>
      <c r="B45" s="10" t="s">
        <v>4</v>
      </c>
      <c r="C45" s="11" t="s">
        <v>114</v>
      </c>
      <c r="D45" s="13">
        <v>3000</v>
      </c>
      <c r="E45" s="13">
        <f t="shared" si="8"/>
        <v>9000</v>
      </c>
      <c r="F45" s="13"/>
      <c r="G45" s="2"/>
      <c r="H45" s="7"/>
      <c r="I45" s="13">
        <v>2222</v>
      </c>
      <c r="J45" s="13">
        <f t="shared" si="9"/>
        <v>6666</v>
      </c>
      <c r="K45" s="13">
        <f t="shared" si="10"/>
        <v>2334</v>
      </c>
      <c r="L45" s="14">
        <f t="shared" si="11"/>
        <v>0.25933333333333336</v>
      </c>
      <c r="M45" s="4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ht="15.75" customHeight="1" x14ac:dyDescent="0.2">
      <c r="A46" s="12">
        <v>2</v>
      </c>
      <c r="B46" s="10" t="s">
        <v>21</v>
      </c>
      <c r="C46" s="11" t="s">
        <v>112</v>
      </c>
      <c r="D46" s="13">
        <v>3000</v>
      </c>
      <c r="E46" s="13">
        <f t="shared" si="8"/>
        <v>6000</v>
      </c>
      <c r="F46" s="13"/>
      <c r="G46" s="2"/>
      <c r="H46" s="7"/>
      <c r="I46" s="13">
        <v>2000</v>
      </c>
      <c r="J46" s="13">
        <f t="shared" si="9"/>
        <v>4000</v>
      </c>
      <c r="K46" s="13">
        <f t="shared" si="10"/>
        <v>2000</v>
      </c>
      <c r="L46" s="14">
        <f t="shared" si="11"/>
        <v>0.33333333333333331</v>
      </c>
      <c r="M46" s="4"/>
      <c r="N46" s="2"/>
      <c r="O46" s="4"/>
      <c r="P46" s="2"/>
      <c r="Q46" s="2"/>
      <c r="R46" s="4"/>
      <c r="S46" s="2"/>
      <c r="T46" s="2"/>
      <c r="U46" s="1"/>
      <c r="V46" s="2"/>
      <c r="W46" s="2"/>
      <c r="X46" s="2"/>
      <c r="Y46" s="2"/>
      <c r="Z46" s="2"/>
    </row>
    <row r="47" spans="1:26" ht="15.75" customHeight="1" x14ac:dyDescent="0.2">
      <c r="A47" s="12">
        <v>6</v>
      </c>
      <c r="B47" s="10" t="s">
        <v>17</v>
      </c>
      <c r="C47" s="11" t="s">
        <v>88</v>
      </c>
      <c r="D47" s="13">
        <v>2400</v>
      </c>
      <c r="E47" s="13">
        <f t="shared" si="8"/>
        <v>14400</v>
      </c>
      <c r="F47" s="13"/>
      <c r="G47" s="2"/>
      <c r="H47" s="7"/>
      <c r="I47" s="13">
        <f>12000/14</f>
        <v>857.14285714285711</v>
      </c>
      <c r="J47" s="13">
        <f t="shared" si="9"/>
        <v>5142.8571428571431</v>
      </c>
      <c r="K47" s="13">
        <f t="shared" si="10"/>
        <v>9257.1428571428569</v>
      </c>
      <c r="L47" s="14">
        <f t="shared" si="11"/>
        <v>0.64285714285714279</v>
      </c>
      <c r="M47" s="4"/>
      <c r="N47" s="2"/>
      <c r="O47" s="4"/>
      <c r="P47" s="2"/>
      <c r="Q47" s="2"/>
      <c r="R47" s="4"/>
      <c r="S47" s="2"/>
      <c r="T47" s="2"/>
      <c r="U47" s="1"/>
      <c r="V47" s="2"/>
      <c r="W47" s="2"/>
      <c r="X47" s="2"/>
      <c r="Y47" s="2"/>
      <c r="Z47" s="2"/>
    </row>
    <row r="48" spans="1:26" ht="15.75" customHeight="1" x14ac:dyDescent="0.2">
      <c r="A48" s="12">
        <v>6</v>
      </c>
      <c r="B48" s="10" t="s">
        <v>17</v>
      </c>
      <c r="C48" s="11" t="s">
        <v>26</v>
      </c>
      <c r="D48" s="13">
        <v>1800</v>
      </c>
      <c r="E48" s="13">
        <f t="shared" si="8"/>
        <v>10800</v>
      </c>
      <c r="F48" s="13"/>
      <c r="G48" s="2"/>
      <c r="H48" s="7"/>
      <c r="I48" s="13">
        <f>22000/15</f>
        <v>1466.6666666666667</v>
      </c>
      <c r="J48" s="13">
        <f t="shared" si="9"/>
        <v>8800</v>
      </c>
      <c r="K48" s="13">
        <f t="shared" si="10"/>
        <v>2000</v>
      </c>
      <c r="L48" s="14">
        <f t="shared" si="11"/>
        <v>0.18518518518518517</v>
      </c>
      <c r="M48" s="4"/>
      <c r="N48" s="2"/>
      <c r="O48" s="4"/>
      <c r="P48" s="2"/>
      <c r="Q48" s="2"/>
      <c r="R48" s="4"/>
      <c r="S48" s="2"/>
      <c r="T48" s="2"/>
      <c r="U48" s="1"/>
      <c r="V48" s="2"/>
      <c r="W48" s="2"/>
      <c r="X48" s="2"/>
      <c r="Y48" s="2"/>
      <c r="Z48" s="2"/>
    </row>
    <row r="49" spans="1:26" ht="15.75" customHeight="1" x14ac:dyDescent="0.2">
      <c r="A49" s="12">
        <v>2</v>
      </c>
      <c r="B49" s="10" t="s">
        <v>4</v>
      </c>
      <c r="C49" s="11" t="s">
        <v>41</v>
      </c>
      <c r="D49" s="13">
        <v>2800</v>
      </c>
      <c r="E49" s="13">
        <f t="shared" si="8"/>
        <v>5600</v>
      </c>
      <c r="F49" s="13"/>
      <c r="G49" s="2"/>
      <c r="H49" s="7"/>
      <c r="I49" s="13">
        <f>18000/10</f>
        <v>1800</v>
      </c>
      <c r="J49" s="13">
        <f t="shared" si="9"/>
        <v>3600</v>
      </c>
      <c r="K49" s="13">
        <f t="shared" si="10"/>
        <v>2000</v>
      </c>
      <c r="L49" s="14">
        <f t="shared" si="11"/>
        <v>0.35714285714285715</v>
      </c>
      <c r="M49" s="4"/>
      <c r="N49" s="2"/>
      <c r="O49" s="4"/>
      <c r="P49" s="2"/>
      <c r="Q49" s="2"/>
      <c r="R49" s="4"/>
      <c r="S49" s="2"/>
      <c r="T49" s="2"/>
      <c r="U49" s="1"/>
      <c r="V49" s="2"/>
      <c r="W49" s="2"/>
      <c r="X49" s="2"/>
      <c r="Y49" s="2"/>
      <c r="Z49" s="2"/>
    </row>
    <row r="50" spans="1:26" ht="15.75" customHeight="1" x14ac:dyDescent="0.2">
      <c r="A50" s="12">
        <v>1</v>
      </c>
      <c r="B50" s="10" t="s">
        <v>23</v>
      </c>
      <c r="C50" s="11" t="s">
        <v>118</v>
      </c>
      <c r="D50" s="13">
        <v>11000</v>
      </c>
      <c r="E50" s="13">
        <f t="shared" si="8"/>
        <v>11000</v>
      </c>
      <c r="F50" s="13"/>
      <c r="G50" s="2"/>
      <c r="H50" s="7"/>
      <c r="I50" s="13">
        <v>6000</v>
      </c>
      <c r="J50" s="13">
        <f t="shared" si="9"/>
        <v>6000</v>
      </c>
      <c r="K50" s="13">
        <f t="shared" si="10"/>
        <v>5000</v>
      </c>
      <c r="L50" s="14">
        <f t="shared" si="11"/>
        <v>0.45454545454545453</v>
      </c>
      <c r="M50" s="4"/>
      <c r="N50" s="2"/>
      <c r="O50" s="4"/>
      <c r="P50" s="2"/>
      <c r="Q50" s="2"/>
      <c r="R50" s="4"/>
      <c r="S50" s="2"/>
      <c r="T50" s="2"/>
      <c r="U50" s="1"/>
      <c r="V50" s="2"/>
      <c r="W50" s="2"/>
      <c r="X50" s="2"/>
      <c r="Y50" s="2"/>
      <c r="Z50" s="2"/>
    </row>
    <row r="51" spans="1:26" ht="15.75" customHeight="1" x14ac:dyDescent="0.2">
      <c r="A51" s="12">
        <v>0.5</v>
      </c>
      <c r="B51" s="10" t="s">
        <v>23</v>
      </c>
      <c r="C51" s="11" t="s">
        <v>46</v>
      </c>
      <c r="D51" s="13">
        <v>12000</v>
      </c>
      <c r="E51" s="13">
        <f t="shared" si="8"/>
        <v>6000</v>
      </c>
      <c r="F51" s="13"/>
      <c r="H51" s="2"/>
      <c r="I51" s="13">
        <v>8000</v>
      </c>
      <c r="J51" s="13">
        <f t="shared" si="9"/>
        <v>4000</v>
      </c>
      <c r="K51" s="13">
        <f t="shared" si="10"/>
        <v>2000</v>
      </c>
      <c r="L51" s="14">
        <f t="shared" si="11"/>
        <v>0.33333333333333331</v>
      </c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12"/>
      <c r="B52" s="10"/>
      <c r="C52" s="11"/>
      <c r="D52" s="13"/>
      <c r="E52" s="13"/>
      <c r="F52" s="13"/>
      <c r="G52" s="2"/>
      <c r="H52" s="2"/>
      <c r="I52" s="2"/>
      <c r="J52" s="13"/>
      <c r="K52" s="13"/>
      <c r="L52" s="14"/>
      <c r="M52" s="4"/>
      <c r="N52" s="2"/>
      <c r="O52" s="4"/>
      <c r="P52" s="2"/>
      <c r="Q52" s="2"/>
      <c r="R52" s="4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12"/>
      <c r="B53" s="10"/>
      <c r="C53" s="11"/>
      <c r="D53" s="13"/>
      <c r="E53" s="13">
        <f>SUM(E39:E51)</f>
        <v>97100</v>
      </c>
      <c r="F53" s="13"/>
      <c r="G53" s="2"/>
      <c r="H53" s="2"/>
      <c r="I53" s="2"/>
      <c r="J53" s="13"/>
      <c r="K53" s="13">
        <f>SUM(K39:K52)</f>
        <v>40891.142857142855</v>
      </c>
      <c r="L53" s="14">
        <f>K53/E53</f>
        <v>0.4211240253052817</v>
      </c>
      <c r="M53" s="4"/>
      <c r="N53" s="2"/>
      <c r="O53" s="4"/>
      <c r="P53" s="2"/>
      <c r="Q53" s="2"/>
      <c r="R53" s="4"/>
      <c r="S53" s="2"/>
      <c r="T53" s="2"/>
      <c r="U53" s="1"/>
      <c r="V53" s="2"/>
      <c r="W53" s="2"/>
      <c r="X53" s="2"/>
      <c r="Y53" s="2"/>
      <c r="Z53" s="2"/>
    </row>
    <row r="54" spans="1:26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28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28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6" t="s">
        <v>119</v>
      </c>
      <c r="B56" s="1"/>
      <c r="C56" s="1"/>
      <c r="D56" s="12" t="s">
        <v>120</v>
      </c>
      <c r="E56" s="8">
        <v>46114</v>
      </c>
      <c r="F56" s="15"/>
      <c r="G56" s="2"/>
      <c r="H56" s="2"/>
      <c r="I56" s="2"/>
      <c r="J56" s="2"/>
      <c r="K56" s="2"/>
      <c r="L56" s="3"/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"/>
      <c r="B57" s="2"/>
      <c r="C57" s="1"/>
      <c r="D57" s="2"/>
      <c r="E57" s="2"/>
      <c r="F57" s="2"/>
      <c r="G57" s="2"/>
      <c r="H57" s="2"/>
      <c r="I57" s="2"/>
      <c r="J57" s="2"/>
      <c r="K57" s="2"/>
      <c r="L57" s="3"/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6" t="s">
        <v>3</v>
      </c>
      <c r="B58" s="10" t="s">
        <v>4</v>
      </c>
      <c r="C58" s="6" t="s">
        <v>5</v>
      </c>
      <c r="D58" s="10" t="s">
        <v>6</v>
      </c>
      <c r="E58" s="10" t="s">
        <v>7</v>
      </c>
      <c r="F58" s="2"/>
      <c r="G58" s="2"/>
      <c r="H58" s="2"/>
      <c r="I58" s="10" t="s">
        <v>6</v>
      </c>
      <c r="J58" s="10" t="s">
        <v>7</v>
      </c>
      <c r="K58" s="10" t="s">
        <v>10</v>
      </c>
      <c r="L58" s="3"/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0.5</v>
      </c>
      <c r="B59" s="10" t="s">
        <v>17</v>
      </c>
      <c r="C59" s="6" t="s">
        <v>90</v>
      </c>
      <c r="D59" s="13">
        <v>8500</v>
      </c>
      <c r="E59" s="13">
        <f t="shared" ref="E59:E63" si="12">A59*D59</f>
        <v>4250</v>
      </c>
      <c r="F59" s="2"/>
      <c r="G59" s="2"/>
      <c r="H59" s="7"/>
      <c r="I59" s="13">
        <f>45000/7</f>
        <v>6428.5714285714284</v>
      </c>
      <c r="J59" s="13">
        <f t="shared" ref="J59:J63" si="13">I59*A59</f>
        <v>3214.2857142857142</v>
      </c>
      <c r="K59" s="13">
        <f t="shared" ref="K59:K63" si="14">E59-J59</f>
        <v>1035.7142857142858</v>
      </c>
      <c r="L59" s="14">
        <f t="shared" ref="L59:L63" si="15">K59/E59</f>
        <v>0.24369747899159666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1</v>
      </c>
      <c r="B60" s="10" t="s">
        <v>17</v>
      </c>
      <c r="C60" s="6" t="s">
        <v>87</v>
      </c>
      <c r="D60" s="13">
        <v>3000</v>
      </c>
      <c r="E60" s="13">
        <f t="shared" si="12"/>
        <v>3000</v>
      </c>
      <c r="F60" s="2"/>
      <c r="G60" s="2"/>
      <c r="H60" s="7" t="s">
        <v>37</v>
      </c>
      <c r="I60" s="13">
        <f>30000/18</f>
        <v>1666.6666666666667</v>
      </c>
      <c r="J60" s="13">
        <f t="shared" si="13"/>
        <v>1666.6666666666667</v>
      </c>
      <c r="K60" s="13">
        <f t="shared" si="14"/>
        <v>1333.3333333333333</v>
      </c>
      <c r="L60" s="14">
        <f t="shared" si="15"/>
        <v>0.44444444444444442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15</v>
      </c>
      <c r="B61" s="10" t="s">
        <v>4</v>
      </c>
      <c r="C61" s="6" t="s">
        <v>65</v>
      </c>
      <c r="D61" s="13">
        <v>1400</v>
      </c>
      <c r="E61" s="13">
        <f t="shared" si="12"/>
        <v>21000</v>
      </c>
      <c r="F61" s="2"/>
      <c r="G61" s="2"/>
      <c r="H61" s="7"/>
      <c r="I61" s="13">
        <v>1078</v>
      </c>
      <c r="J61" s="13">
        <f t="shared" si="13"/>
        <v>16170</v>
      </c>
      <c r="K61" s="13">
        <f t="shared" si="14"/>
        <v>4830</v>
      </c>
      <c r="L61" s="14">
        <f t="shared" si="15"/>
        <v>0.23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1</v>
      </c>
      <c r="B62" s="10" t="s">
        <v>21</v>
      </c>
      <c r="C62" s="6" t="s">
        <v>51</v>
      </c>
      <c r="D62" s="13">
        <v>1500</v>
      </c>
      <c r="E62" s="13">
        <f t="shared" si="12"/>
        <v>1500</v>
      </c>
      <c r="F62" s="2"/>
      <c r="G62" s="2"/>
      <c r="H62" s="7"/>
      <c r="I62" s="13">
        <v>1500</v>
      </c>
      <c r="J62" s="13">
        <f t="shared" si="13"/>
        <v>1500</v>
      </c>
      <c r="K62" s="13">
        <f t="shared" si="14"/>
        <v>0</v>
      </c>
      <c r="L62" s="14">
        <f t="shared" si="15"/>
        <v>0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1</v>
      </c>
      <c r="B63" s="10" t="s">
        <v>23</v>
      </c>
      <c r="C63" s="6" t="s">
        <v>26</v>
      </c>
      <c r="D63" s="13">
        <v>26000</v>
      </c>
      <c r="E63" s="13">
        <f t="shared" si="12"/>
        <v>26000</v>
      </c>
      <c r="F63" s="2"/>
      <c r="G63" s="2"/>
      <c r="H63" s="2"/>
      <c r="I63" s="13">
        <v>22000</v>
      </c>
      <c r="J63" s="13">
        <f t="shared" si="13"/>
        <v>22000</v>
      </c>
      <c r="K63" s="13">
        <f t="shared" si="14"/>
        <v>4000</v>
      </c>
      <c r="L63" s="14">
        <f t="shared" si="15"/>
        <v>0.15384615384615385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"/>
      <c r="B64" s="2"/>
      <c r="C64" s="1"/>
      <c r="D64" s="2"/>
      <c r="E64" s="2"/>
      <c r="F64" s="2"/>
      <c r="G64" s="1"/>
      <c r="H64" s="2"/>
      <c r="I64" s="2"/>
      <c r="J64" s="2"/>
      <c r="K64" s="2"/>
      <c r="L64" s="3"/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"/>
      <c r="B65" s="2"/>
      <c r="C65" s="1"/>
      <c r="D65" s="2"/>
      <c r="E65" s="13">
        <f>SUM(E59:E63)</f>
        <v>55750</v>
      </c>
      <c r="F65" s="2"/>
      <c r="G65" s="2"/>
      <c r="H65" s="2"/>
      <c r="I65" s="2"/>
      <c r="J65" s="2"/>
      <c r="K65" s="13">
        <f>SUM(K59:K63)</f>
        <v>11199.047619047618</v>
      </c>
      <c r="L65" s="14">
        <f>K65/E65</f>
        <v>0.20087977792013664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20"/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20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20"/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6" t="s">
        <v>121</v>
      </c>
      <c r="B69" s="1"/>
      <c r="C69" s="1"/>
      <c r="D69" s="12" t="s">
        <v>122</v>
      </c>
      <c r="E69" s="8">
        <v>46114</v>
      </c>
      <c r="F69" s="15" t="s">
        <v>106</v>
      </c>
      <c r="G69" s="2"/>
      <c r="H69" s="2"/>
      <c r="I69" s="2"/>
      <c r="J69" s="2"/>
      <c r="K69" s="2"/>
      <c r="L69" s="3"/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"/>
      <c r="B70" s="2"/>
      <c r="C70" s="1"/>
      <c r="D70" s="2"/>
      <c r="E70" s="2"/>
      <c r="F70" s="2"/>
      <c r="G70" s="2"/>
      <c r="H70" s="2"/>
      <c r="I70" s="2"/>
      <c r="J70" s="2"/>
      <c r="K70" s="2"/>
      <c r="L70" s="3"/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6" t="s">
        <v>3</v>
      </c>
      <c r="B71" s="10" t="s">
        <v>4</v>
      </c>
      <c r="C71" s="6" t="s">
        <v>5</v>
      </c>
      <c r="D71" s="10" t="s">
        <v>6</v>
      </c>
      <c r="E71" s="10" t="s">
        <v>7</v>
      </c>
      <c r="F71" s="2"/>
      <c r="G71" s="2"/>
      <c r="H71" s="2"/>
      <c r="I71" s="10" t="s">
        <v>6</v>
      </c>
      <c r="J71" s="10" t="s">
        <v>7</v>
      </c>
      <c r="K71" s="10" t="s">
        <v>10</v>
      </c>
      <c r="L71" s="3"/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</v>
      </c>
      <c r="B72" s="10" t="s">
        <v>23</v>
      </c>
      <c r="C72" s="6" t="s">
        <v>26</v>
      </c>
      <c r="D72" s="13">
        <v>26000</v>
      </c>
      <c r="E72" s="13">
        <f t="shared" ref="E72:E76" si="16">A72*D72</f>
        <v>26000</v>
      </c>
      <c r="F72" s="2"/>
      <c r="G72" s="2"/>
      <c r="H72" s="2"/>
      <c r="I72" s="13">
        <v>22000</v>
      </c>
      <c r="J72" s="13">
        <f t="shared" ref="J72:J76" si="17">I72*A72</f>
        <v>22000</v>
      </c>
      <c r="K72" s="13">
        <f t="shared" ref="K72:K76" si="18">E72-J72</f>
        <v>4000</v>
      </c>
      <c r="L72" s="14">
        <f t="shared" ref="L72:L76" si="19">K72/E72</f>
        <v>0.15384615384615385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21</v>
      </c>
      <c r="C73" s="6" t="s">
        <v>51</v>
      </c>
      <c r="D73" s="13">
        <v>1500</v>
      </c>
      <c r="E73" s="13">
        <f t="shared" si="16"/>
        <v>1500</v>
      </c>
      <c r="F73" s="2"/>
      <c r="G73" s="2"/>
      <c r="H73" s="2"/>
      <c r="I73" s="13">
        <v>1500</v>
      </c>
      <c r="J73" s="13">
        <f t="shared" si="17"/>
        <v>1500</v>
      </c>
      <c r="K73" s="13">
        <f t="shared" si="18"/>
        <v>0</v>
      </c>
      <c r="L73" s="14">
        <f t="shared" si="19"/>
        <v>0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12</v>
      </c>
      <c r="B74" s="10" t="s">
        <v>4</v>
      </c>
      <c r="C74" s="6" t="s">
        <v>65</v>
      </c>
      <c r="D74" s="13">
        <v>1400</v>
      </c>
      <c r="E74" s="13">
        <f t="shared" si="16"/>
        <v>16800</v>
      </c>
      <c r="F74" s="2"/>
      <c r="G74" s="2"/>
      <c r="H74" s="7"/>
      <c r="I74" s="13">
        <v>1078</v>
      </c>
      <c r="J74" s="13">
        <f t="shared" si="17"/>
        <v>12936</v>
      </c>
      <c r="K74" s="13">
        <f t="shared" si="18"/>
        <v>3864</v>
      </c>
      <c r="L74" s="14">
        <f t="shared" si="19"/>
        <v>0.23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2</v>
      </c>
      <c r="B75" s="10" t="s">
        <v>17</v>
      </c>
      <c r="C75" s="6" t="s">
        <v>81</v>
      </c>
      <c r="D75" s="13">
        <v>1800</v>
      </c>
      <c r="E75" s="13">
        <f t="shared" si="16"/>
        <v>3600</v>
      </c>
      <c r="F75" s="2"/>
      <c r="G75" s="2"/>
      <c r="H75" s="2"/>
      <c r="I75" s="13">
        <f>14000/15</f>
        <v>933.33333333333337</v>
      </c>
      <c r="J75" s="13">
        <f t="shared" si="17"/>
        <v>1866.6666666666667</v>
      </c>
      <c r="K75" s="13">
        <f t="shared" si="18"/>
        <v>1733.3333333333333</v>
      </c>
      <c r="L75" s="14">
        <f t="shared" si="19"/>
        <v>0.48148148148148145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2</v>
      </c>
      <c r="B76" s="10" t="s">
        <v>17</v>
      </c>
      <c r="C76" s="6" t="s">
        <v>123</v>
      </c>
      <c r="D76" s="13">
        <v>3200</v>
      </c>
      <c r="E76" s="13">
        <f t="shared" si="16"/>
        <v>6400</v>
      </c>
      <c r="F76" s="2"/>
      <c r="G76" s="2"/>
      <c r="H76" s="2"/>
      <c r="I76" s="13">
        <v>800</v>
      </c>
      <c r="J76" s="13">
        <f t="shared" si="17"/>
        <v>1600</v>
      </c>
      <c r="K76" s="13">
        <f t="shared" si="18"/>
        <v>4800</v>
      </c>
      <c r="L76" s="14">
        <f t="shared" si="19"/>
        <v>0.75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"/>
      <c r="B77" s="2"/>
      <c r="C77" s="1"/>
      <c r="D77" s="2"/>
      <c r="E77" s="2"/>
      <c r="F77" s="2"/>
      <c r="G77" s="1"/>
      <c r="H77" s="2"/>
      <c r="I77" s="2"/>
      <c r="J77" s="2"/>
      <c r="K77" s="2"/>
      <c r="L77" s="3"/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"/>
      <c r="B78" s="2"/>
      <c r="C78" s="1"/>
      <c r="D78" s="2"/>
      <c r="E78" s="13">
        <f>SUM(E72:E76)</f>
        <v>54300</v>
      </c>
      <c r="F78" s="2"/>
      <c r="G78" s="2"/>
      <c r="H78" s="2"/>
      <c r="I78" s="2"/>
      <c r="J78" s="2"/>
      <c r="K78" s="13">
        <f>SUM(K72:K76)</f>
        <v>14397.333333333334</v>
      </c>
      <c r="L78" s="14">
        <f>K78/E78</f>
        <v>0.26514426028238186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20"/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28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6" t="s">
        <v>124</v>
      </c>
      <c r="B81" s="1"/>
      <c r="C81" s="1"/>
      <c r="D81" s="22" t="s">
        <v>125</v>
      </c>
      <c r="E81" s="8">
        <v>46114</v>
      </c>
      <c r="F81" s="24" t="s">
        <v>37</v>
      </c>
      <c r="G81" s="2"/>
      <c r="H81" s="2"/>
      <c r="I81" s="2"/>
      <c r="J81" s="2"/>
      <c r="K81" s="2"/>
      <c r="L81" s="3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4"/>
      <c r="B82" s="2"/>
      <c r="C82" s="4"/>
      <c r="D82" s="2"/>
      <c r="E82" s="2"/>
      <c r="F82" s="2"/>
      <c r="G82" s="2"/>
      <c r="H82" s="2"/>
      <c r="I82" s="2"/>
      <c r="J82" s="2"/>
      <c r="K82" s="2"/>
      <c r="L82" s="3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6" t="s">
        <v>3</v>
      </c>
      <c r="B83" s="10" t="s">
        <v>4</v>
      </c>
      <c r="C83" s="11" t="s">
        <v>5</v>
      </c>
      <c r="D83" s="10" t="s">
        <v>6</v>
      </c>
      <c r="E83" s="10" t="s">
        <v>7</v>
      </c>
      <c r="F83" s="7" t="s">
        <v>106</v>
      </c>
      <c r="G83" s="2"/>
      <c r="H83" s="2"/>
      <c r="I83" s="10" t="s">
        <v>6</v>
      </c>
      <c r="J83" s="10" t="s">
        <v>7</v>
      </c>
      <c r="K83" s="10" t="s">
        <v>10</v>
      </c>
      <c r="L83" s="3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4</v>
      </c>
      <c r="B84" s="10" t="s">
        <v>17</v>
      </c>
      <c r="C84" s="11" t="s">
        <v>43</v>
      </c>
      <c r="D84" s="13">
        <v>3500</v>
      </c>
      <c r="E84" s="13">
        <f t="shared" ref="E84:E91" si="20">A84*D84</f>
        <v>14000</v>
      </c>
      <c r="F84" s="2"/>
      <c r="G84" s="2"/>
      <c r="H84" s="7"/>
      <c r="I84" s="13">
        <v>2000</v>
      </c>
      <c r="J84" s="13">
        <f t="shared" ref="J84:J91" si="21">I84*A84</f>
        <v>8000</v>
      </c>
      <c r="K84" s="13">
        <f t="shared" ref="K84:K91" si="22">E84-J84</f>
        <v>6000</v>
      </c>
      <c r="L84" s="32">
        <f t="shared" ref="L84:L91" si="23">K84/E84</f>
        <v>0.42857142857142855</v>
      </c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31</v>
      </c>
      <c r="B85" s="10" t="s">
        <v>126</v>
      </c>
      <c r="C85" s="11" t="s">
        <v>46</v>
      </c>
      <c r="D85" s="13">
        <v>500</v>
      </c>
      <c r="E85" s="13">
        <f t="shared" si="20"/>
        <v>15500</v>
      </c>
      <c r="F85" s="2"/>
      <c r="G85" s="2"/>
      <c r="H85" s="2"/>
      <c r="I85" s="13">
        <f>8000/24</f>
        <v>333.33333333333331</v>
      </c>
      <c r="J85" s="13">
        <f t="shared" si="21"/>
        <v>10333.333333333332</v>
      </c>
      <c r="K85" s="13">
        <f t="shared" si="22"/>
        <v>5166.6666666666679</v>
      </c>
      <c r="L85" s="32">
        <f t="shared" si="23"/>
        <v>0.33333333333333343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1.7</v>
      </c>
      <c r="B86" s="10" t="s">
        <v>17</v>
      </c>
      <c r="C86" s="11" t="s">
        <v>38</v>
      </c>
      <c r="D86" s="13">
        <v>1800</v>
      </c>
      <c r="E86" s="13">
        <f t="shared" si="20"/>
        <v>3060</v>
      </c>
      <c r="F86" s="2"/>
      <c r="G86" s="2"/>
      <c r="H86" s="2"/>
      <c r="I86" s="13">
        <v>1000</v>
      </c>
      <c r="J86" s="13">
        <f t="shared" si="21"/>
        <v>1700</v>
      </c>
      <c r="K86" s="13">
        <f t="shared" si="22"/>
        <v>1360</v>
      </c>
      <c r="L86" s="21">
        <f t="shared" si="23"/>
        <v>0.44444444444444442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12</v>
      </c>
      <c r="B87" s="10" t="s">
        <v>4</v>
      </c>
      <c r="C87" s="11" t="s">
        <v>13</v>
      </c>
      <c r="D87" s="13">
        <v>900</v>
      </c>
      <c r="E87" s="13">
        <f t="shared" si="20"/>
        <v>10800</v>
      </c>
      <c r="F87" s="2"/>
      <c r="G87" s="2"/>
      <c r="H87" s="2"/>
      <c r="I87" s="13">
        <v>460</v>
      </c>
      <c r="J87" s="13">
        <f t="shared" si="21"/>
        <v>5520</v>
      </c>
      <c r="K87" s="13">
        <f t="shared" si="22"/>
        <v>5280</v>
      </c>
      <c r="L87" s="21">
        <f t="shared" si="23"/>
        <v>0.48888888888888887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3</v>
      </c>
      <c r="B88" s="10" t="s">
        <v>23</v>
      </c>
      <c r="C88" s="11" t="s">
        <v>127</v>
      </c>
      <c r="D88" s="13">
        <v>25000</v>
      </c>
      <c r="E88" s="13">
        <f t="shared" si="20"/>
        <v>75000</v>
      </c>
      <c r="F88" s="2"/>
      <c r="G88" s="2"/>
      <c r="H88" s="2"/>
      <c r="I88" s="13">
        <v>22000</v>
      </c>
      <c r="J88" s="13">
        <f t="shared" si="21"/>
        <v>66000</v>
      </c>
      <c r="K88" s="13">
        <f t="shared" si="22"/>
        <v>9000</v>
      </c>
      <c r="L88" s="21">
        <f t="shared" si="23"/>
        <v>0.12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23</v>
      </c>
      <c r="C89" s="11" t="s">
        <v>88</v>
      </c>
      <c r="D89" s="13">
        <v>28000</v>
      </c>
      <c r="E89" s="13">
        <f t="shared" si="20"/>
        <v>28000</v>
      </c>
      <c r="F89" s="2"/>
      <c r="G89" s="2"/>
      <c r="H89" s="7" t="s">
        <v>37</v>
      </c>
      <c r="I89" s="13">
        <v>12000</v>
      </c>
      <c r="J89" s="13">
        <f t="shared" si="21"/>
        <v>12000</v>
      </c>
      <c r="K89" s="13">
        <f t="shared" si="22"/>
        <v>16000</v>
      </c>
      <c r="L89" s="21">
        <f t="shared" si="23"/>
        <v>0.5714285714285714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21</v>
      </c>
      <c r="C90" s="11" t="s">
        <v>112</v>
      </c>
      <c r="D90" s="13">
        <v>3000</v>
      </c>
      <c r="E90" s="13">
        <f t="shared" si="20"/>
        <v>3000</v>
      </c>
      <c r="F90" s="2"/>
      <c r="G90" s="2"/>
      <c r="H90" s="2"/>
      <c r="I90" s="13">
        <v>2000</v>
      </c>
      <c r="J90" s="13">
        <f t="shared" si="21"/>
        <v>2000</v>
      </c>
      <c r="K90" s="13">
        <f t="shared" si="22"/>
        <v>1000</v>
      </c>
      <c r="L90" s="21">
        <f t="shared" si="23"/>
        <v>0.33333333333333331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4</v>
      </c>
      <c r="B91" s="10" t="s">
        <v>17</v>
      </c>
      <c r="C91" s="11" t="s">
        <v>113</v>
      </c>
      <c r="D91" s="13">
        <v>4000</v>
      </c>
      <c r="E91" s="13">
        <f t="shared" si="20"/>
        <v>16000</v>
      </c>
      <c r="F91" s="2"/>
      <c r="G91" s="2"/>
      <c r="H91" s="2"/>
      <c r="I91" s="13">
        <v>3000</v>
      </c>
      <c r="J91" s="13">
        <f t="shared" si="21"/>
        <v>12000</v>
      </c>
      <c r="K91" s="13">
        <f t="shared" si="22"/>
        <v>4000</v>
      </c>
      <c r="L91" s="21">
        <f t="shared" si="23"/>
        <v>0.25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5"/>
      <c r="B92" s="2"/>
      <c r="C92" s="4"/>
      <c r="D92" s="2"/>
      <c r="E92" s="2"/>
      <c r="F92" s="2"/>
      <c r="G92" s="4"/>
      <c r="H92" s="2"/>
      <c r="I92" s="2"/>
      <c r="J92" s="2"/>
      <c r="K92" s="2"/>
      <c r="L92" s="3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"/>
      <c r="B93" s="2"/>
      <c r="C93" s="4"/>
      <c r="D93" s="2"/>
      <c r="E93" s="13">
        <f>SUM(E84:E91)</f>
        <v>165360</v>
      </c>
      <c r="F93" s="2"/>
      <c r="G93" s="2"/>
      <c r="H93" s="2"/>
      <c r="I93" s="2"/>
      <c r="J93" s="2"/>
      <c r="K93" s="13">
        <f>SUM(K84:K91)</f>
        <v>47806.666666666672</v>
      </c>
      <c r="L93" s="14">
        <f>K93/E93</f>
        <v>0.28910659571036934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28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28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75" t="s">
        <v>128</v>
      </c>
      <c r="B96" s="76"/>
      <c r="C96" s="76"/>
      <c r="D96" s="2"/>
      <c r="E96" s="7" t="s">
        <v>1</v>
      </c>
      <c r="F96" s="8">
        <v>46114</v>
      </c>
      <c r="G96" s="7" t="s">
        <v>106</v>
      </c>
      <c r="H96" s="2"/>
      <c r="I96" s="9" t="s">
        <v>2</v>
      </c>
      <c r="J96" s="9"/>
      <c r="K96" s="9"/>
      <c r="L96" s="3"/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"/>
      <c r="B97" s="2"/>
      <c r="C97" s="5"/>
      <c r="D97" s="2"/>
      <c r="E97" s="2"/>
      <c r="F97" s="2"/>
      <c r="G97" s="2"/>
      <c r="H97" s="2"/>
      <c r="I97" s="2"/>
      <c r="J97" s="2"/>
      <c r="K97" s="2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6" t="s">
        <v>3</v>
      </c>
      <c r="B98" s="10" t="s">
        <v>4</v>
      </c>
      <c r="C98" s="11" t="s">
        <v>5</v>
      </c>
      <c r="D98" s="10" t="s">
        <v>6</v>
      </c>
      <c r="E98" s="10" t="s">
        <v>7</v>
      </c>
      <c r="F98" s="10" t="s">
        <v>8</v>
      </c>
      <c r="G98" s="2"/>
      <c r="H98" s="2"/>
      <c r="I98" s="10" t="s">
        <v>9</v>
      </c>
      <c r="J98" s="10" t="s">
        <v>7</v>
      </c>
      <c r="K98" s="10" t="s">
        <v>10</v>
      </c>
      <c r="L98" s="3"/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1</v>
      </c>
      <c r="B99" s="10" t="s">
        <v>23</v>
      </c>
      <c r="C99" s="11" t="s">
        <v>20</v>
      </c>
      <c r="D99" s="13">
        <v>12000</v>
      </c>
      <c r="E99" s="13">
        <f t="shared" ref="E99:E103" si="24">A99*D99</f>
        <v>12000</v>
      </c>
      <c r="F99" s="13">
        <f t="shared" ref="F99:F103" si="25">E99*1.105</f>
        <v>13260</v>
      </c>
      <c r="G99" s="2"/>
      <c r="H99" s="2"/>
      <c r="I99" s="13">
        <v>8000</v>
      </c>
      <c r="J99" s="13">
        <f t="shared" ref="J99:J103" si="26">I99*A99</f>
        <v>8000</v>
      </c>
      <c r="K99" s="13">
        <f t="shared" ref="K99:K103" si="27">F99-J99</f>
        <v>5260</v>
      </c>
      <c r="L99" s="14">
        <f t="shared" ref="L99:L103" si="28">IFERROR(K99/E99, 0)</f>
        <v>0.43833333333333335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5</v>
      </c>
      <c r="B100" s="10" t="s">
        <v>15</v>
      </c>
      <c r="C100" s="11" t="s">
        <v>84</v>
      </c>
      <c r="D100" s="13">
        <v>14000</v>
      </c>
      <c r="E100" s="13">
        <f t="shared" si="24"/>
        <v>70000</v>
      </c>
      <c r="F100" s="13">
        <f t="shared" si="25"/>
        <v>77350</v>
      </c>
      <c r="G100" s="2"/>
      <c r="H100" s="2"/>
      <c r="I100" s="13">
        <v>10000</v>
      </c>
      <c r="J100" s="13">
        <f t="shared" si="26"/>
        <v>50000</v>
      </c>
      <c r="K100" s="13">
        <f t="shared" si="27"/>
        <v>27350</v>
      </c>
      <c r="L100" s="14">
        <f t="shared" si="28"/>
        <v>0.39071428571428574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15</v>
      </c>
      <c r="C101" s="11" t="s">
        <v>129</v>
      </c>
      <c r="D101" s="13">
        <v>15000</v>
      </c>
      <c r="E101" s="13">
        <f t="shared" si="24"/>
        <v>15000</v>
      </c>
      <c r="F101" s="13">
        <f t="shared" si="25"/>
        <v>16575</v>
      </c>
      <c r="G101" s="2"/>
      <c r="H101" s="2"/>
      <c r="I101" s="13">
        <v>12000</v>
      </c>
      <c r="J101" s="13">
        <f t="shared" si="26"/>
        <v>12000</v>
      </c>
      <c r="K101" s="13">
        <f t="shared" si="27"/>
        <v>4575</v>
      </c>
      <c r="L101" s="14">
        <f t="shared" si="28"/>
        <v>0.30499999999999999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</v>
      </c>
      <c r="B102" s="10" t="s">
        <v>15</v>
      </c>
      <c r="C102" s="11" t="s">
        <v>48</v>
      </c>
      <c r="D102" s="13">
        <v>13000</v>
      </c>
      <c r="E102" s="13">
        <f t="shared" si="24"/>
        <v>13000</v>
      </c>
      <c r="F102" s="13">
        <f t="shared" si="25"/>
        <v>14365</v>
      </c>
      <c r="G102" s="2"/>
      <c r="H102" s="2"/>
      <c r="I102" s="13">
        <v>9000</v>
      </c>
      <c r="J102" s="13">
        <f t="shared" si="26"/>
        <v>9000</v>
      </c>
      <c r="K102" s="13">
        <f t="shared" si="27"/>
        <v>5365</v>
      </c>
      <c r="L102" s="14">
        <f t="shared" si="28"/>
        <v>0.41269230769230769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4</v>
      </c>
      <c r="B103" s="10" t="s">
        <v>23</v>
      </c>
      <c r="C103" s="11" t="s">
        <v>130</v>
      </c>
      <c r="D103" s="13">
        <v>11000</v>
      </c>
      <c r="E103" s="13">
        <f t="shared" si="24"/>
        <v>44000</v>
      </c>
      <c r="F103" s="13">
        <f t="shared" si="25"/>
        <v>48620</v>
      </c>
      <c r="G103" s="2"/>
      <c r="H103" s="2"/>
      <c r="I103" s="13">
        <v>8000</v>
      </c>
      <c r="J103" s="13">
        <f t="shared" si="26"/>
        <v>32000</v>
      </c>
      <c r="K103" s="13">
        <f t="shared" si="27"/>
        <v>16620</v>
      </c>
      <c r="L103" s="14">
        <f t="shared" si="28"/>
        <v>0.37772727272727274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"/>
      <c r="B104" s="2"/>
      <c r="C104" s="4"/>
      <c r="D104" s="2"/>
      <c r="E104" s="2"/>
      <c r="F104" s="13"/>
      <c r="G104" s="2"/>
      <c r="H104" s="2"/>
      <c r="I104" s="2"/>
      <c r="J104" s="2"/>
      <c r="K104" s="2"/>
      <c r="L104" s="3"/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"/>
      <c r="B105" s="2"/>
      <c r="C105" s="4"/>
      <c r="D105" s="2"/>
      <c r="E105" s="13">
        <f t="shared" ref="E105:F105" si="29">SUM(E99:E103)</f>
        <v>154000</v>
      </c>
      <c r="F105" s="13">
        <f t="shared" si="29"/>
        <v>170170</v>
      </c>
      <c r="G105" s="2"/>
      <c r="H105" s="2"/>
      <c r="I105" s="2"/>
      <c r="J105" s="2"/>
      <c r="K105" s="13">
        <f>SUM(K99:K103)</f>
        <v>59170</v>
      </c>
      <c r="L105" s="14">
        <f>K105/F105</f>
        <v>0.34771111241699476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28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28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28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6" t="s">
        <v>131</v>
      </c>
      <c r="B109" s="1"/>
      <c r="C109" s="1"/>
      <c r="D109" s="12" t="s">
        <v>132</v>
      </c>
      <c r="E109" s="8">
        <v>46114</v>
      </c>
      <c r="F109" s="15" t="s">
        <v>37</v>
      </c>
      <c r="G109" s="2"/>
      <c r="H109" s="2"/>
      <c r="I109" s="2"/>
      <c r="J109" s="2"/>
      <c r="K109" s="2"/>
      <c r="L109" s="3"/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3"/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6" t="s">
        <v>3</v>
      </c>
      <c r="B111" s="10" t="s">
        <v>4</v>
      </c>
      <c r="C111" s="6" t="s">
        <v>5</v>
      </c>
      <c r="D111" s="10" t="s">
        <v>6</v>
      </c>
      <c r="E111" s="10" t="s">
        <v>7</v>
      </c>
      <c r="F111" s="2"/>
      <c r="G111" s="2"/>
      <c r="H111" s="2"/>
      <c r="I111" s="10" t="s">
        <v>6</v>
      </c>
      <c r="J111" s="10" t="s">
        <v>7</v>
      </c>
      <c r="K111" s="10" t="s">
        <v>10</v>
      </c>
      <c r="L111" s="3"/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1</v>
      </c>
      <c r="B112" s="10" t="s">
        <v>21</v>
      </c>
      <c r="C112" s="6" t="s">
        <v>34</v>
      </c>
      <c r="D112" s="13">
        <v>5000</v>
      </c>
      <c r="E112" s="13">
        <f t="shared" ref="E112:E129" si="30">A112*D112</f>
        <v>5000</v>
      </c>
      <c r="F112" s="2"/>
      <c r="G112" s="2"/>
      <c r="H112" s="2"/>
      <c r="I112" s="13">
        <v>2000</v>
      </c>
      <c r="J112" s="13">
        <f t="shared" ref="J112:J129" si="31">I112*A112</f>
        <v>2000</v>
      </c>
      <c r="K112" s="13">
        <f t="shared" ref="K112:K129" si="32">E112-J112</f>
        <v>3000</v>
      </c>
      <c r="L112" s="14">
        <f t="shared" ref="L112:L129" si="33">K112/E112</f>
        <v>0.6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0.65</v>
      </c>
      <c r="B113" s="10" t="s">
        <v>17</v>
      </c>
      <c r="C113" s="6" t="s">
        <v>73</v>
      </c>
      <c r="D113" s="13">
        <v>2200</v>
      </c>
      <c r="E113" s="13">
        <f t="shared" si="30"/>
        <v>1430</v>
      </c>
      <c r="F113" s="2"/>
      <c r="G113" s="2"/>
      <c r="H113" s="7"/>
      <c r="I113" s="13">
        <f>14000/15</f>
        <v>933.33333333333337</v>
      </c>
      <c r="J113" s="13">
        <f t="shared" si="31"/>
        <v>606.66666666666674</v>
      </c>
      <c r="K113" s="13">
        <f t="shared" si="32"/>
        <v>823.33333333333326</v>
      </c>
      <c r="L113" s="14">
        <f t="shared" si="33"/>
        <v>0.57575757575757569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4</v>
      </c>
      <c r="B114" s="10" t="s">
        <v>21</v>
      </c>
      <c r="C114" s="6" t="s">
        <v>28</v>
      </c>
      <c r="D114" s="13">
        <v>3000</v>
      </c>
      <c r="E114" s="13">
        <f t="shared" si="30"/>
        <v>12000</v>
      </c>
      <c r="F114" s="2"/>
      <c r="G114" s="2"/>
      <c r="H114" s="2"/>
      <c r="I114" s="13">
        <v>2000</v>
      </c>
      <c r="J114" s="13">
        <f t="shared" si="31"/>
        <v>8000</v>
      </c>
      <c r="K114" s="13">
        <f t="shared" si="32"/>
        <v>4000</v>
      </c>
      <c r="L114" s="14">
        <f t="shared" si="33"/>
        <v>0.33333333333333331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3</v>
      </c>
      <c r="B115" s="10" t="s">
        <v>21</v>
      </c>
      <c r="C115" s="6" t="s">
        <v>133</v>
      </c>
      <c r="D115" s="13">
        <v>2000</v>
      </c>
      <c r="E115" s="13">
        <f t="shared" si="30"/>
        <v>6000</v>
      </c>
      <c r="F115" s="2"/>
      <c r="G115" s="2"/>
      <c r="H115" s="2"/>
      <c r="I115" s="13">
        <v>500</v>
      </c>
      <c r="J115" s="13">
        <f t="shared" si="31"/>
        <v>1500</v>
      </c>
      <c r="K115" s="13">
        <f t="shared" si="32"/>
        <v>4500</v>
      </c>
      <c r="L115" s="14">
        <f t="shared" si="33"/>
        <v>0.75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21</v>
      </c>
      <c r="C116" s="6" t="s">
        <v>42</v>
      </c>
      <c r="D116" s="13">
        <v>4500</v>
      </c>
      <c r="E116" s="13">
        <f t="shared" si="30"/>
        <v>4500</v>
      </c>
      <c r="F116" s="2"/>
      <c r="G116" s="2"/>
      <c r="H116" s="7"/>
      <c r="I116" s="13">
        <v>1200</v>
      </c>
      <c r="J116" s="13">
        <f t="shared" si="31"/>
        <v>1200</v>
      </c>
      <c r="K116" s="13">
        <f t="shared" si="32"/>
        <v>3300</v>
      </c>
      <c r="L116" s="14">
        <f t="shared" si="33"/>
        <v>0.73333333333333328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2</v>
      </c>
      <c r="B117" s="10" t="s">
        <v>100</v>
      </c>
      <c r="C117" s="6" t="s">
        <v>134</v>
      </c>
      <c r="D117" s="13">
        <v>6000</v>
      </c>
      <c r="E117" s="13">
        <f t="shared" si="30"/>
        <v>12000</v>
      </c>
      <c r="F117" s="2"/>
      <c r="G117" s="2"/>
      <c r="H117" s="7"/>
      <c r="I117" s="13">
        <v>4500</v>
      </c>
      <c r="J117" s="13">
        <f t="shared" si="31"/>
        <v>9000</v>
      </c>
      <c r="K117" s="13">
        <f t="shared" si="32"/>
        <v>3000</v>
      </c>
      <c r="L117" s="14">
        <f t="shared" si="33"/>
        <v>0.25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4</v>
      </c>
      <c r="B118" s="10" t="s">
        <v>17</v>
      </c>
      <c r="C118" s="6" t="s">
        <v>30</v>
      </c>
      <c r="D118" s="13">
        <v>1500</v>
      </c>
      <c r="E118" s="13">
        <f t="shared" si="30"/>
        <v>6000</v>
      </c>
      <c r="F118" s="2"/>
      <c r="G118" s="2"/>
      <c r="H118" s="7"/>
      <c r="I118" s="13">
        <v>1500</v>
      </c>
      <c r="J118" s="13">
        <f t="shared" si="31"/>
        <v>6000</v>
      </c>
      <c r="K118" s="13">
        <f t="shared" si="32"/>
        <v>0</v>
      </c>
      <c r="L118" s="14">
        <f t="shared" si="33"/>
        <v>0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0.5</v>
      </c>
      <c r="B119" s="10" t="s">
        <v>15</v>
      </c>
      <c r="C119" s="6" t="s">
        <v>135</v>
      </c>
      <c r="D119" s="13">
        <v>18000</v>
      </c>
      <c r="E119" s="13">
        <f t="shared" si="30"/>
        <v>9000</v>
      </c>
      <c r="F119" s="2"/>
      <c r="G119" s="2"/>
      <c r="H119" s="7"/>
      <c r="I119" s="13">
        <v>10000</v>
      </c>
      <c r="J119" s="13">
        <f t="shared" si="31"/>
        <v>5000</v>
      </c>
      <c r="K119" s="13">
        <f t="shared" si="32"/>
        <v>4000</v>
      </c>
      <c r="L119" s="14">
        <f t="shared" si="33"/>
        <v>0.44444444444444442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3</v>
      </c>
      <c r="B120" s="10" t="s">
        <v>17</v>
      </c>
      <c r="C120" s="6" t="s">
        <v>18</v>
      </c>
      <c r="D120" s="13">
        <v>1600</v>
      </c>
      <c r="E120" s="13">
        <f t="shared" si="30"/>
        <v>4800</v>
      </c>
      <c r="F120" s="2"/>
      <c r="G120" s="2"/>
      <c r="H120" s="7"/>
      <c r="I120" s="13">
        <v>1000</v>
      </c>
      <c r="J120" s="13">
        <f t="shared" si="31"/>
        <v>3000</v>
      </c>
      <c r="K120" s="13">
        <f t="shared" si="32"/>
        <v>1800</v>
      </c>
      <c r="L120" s="14">
        <f t="shared" si="33"/>
        <v>0.375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2</v>
      </c>
      <c r="B121" s="10" t="s">
        <v>17</v>
      </c>
      <c r="C121" s="6" t="s">
        <v>136</v>
      </c>
      <c r="D121" s="13">
        <v>2800</v>
      </c>
      <c r="E121" s="13">
        <f t="shared" si="30"/>
        <v>5600</v>
      </c>
      <c r="F121" s="2"/>
      <c r="G121" s="2"/>
      <c r="H121" s="7"/>
      <c r="I121" s="13">
        <v>1000</v>
      </c>
      <c r="J121" s="13">
        <f t="shared" si="31"/>
        <v>2000</v>
      </c>
      <c r="K121" s="13">
        <f t="shared" si="32"/>
        <v>3600</v>
      </c>
      <c r="L121" s="14">
        <f t="shared" si="33"/>
        <v>0.6428571428571429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1</v>
      </c>
      <c r="B122" s="10" t="s">
        <v>17</v>
      </c>
      <c r="C122" s="6" t="s">
        <v>32</v>
      </c>
      <c r="D122" s="13">
        <v>2500</v>
      </c>
      <c r="E122" s="13">
        <f t="shared" si="30"/>
        <v>2500</v>
      </c>
      <c r="F122" s="2"/>
      <c r="G122" s="2"/>
      <c r="H122" s="7"/>
      <c r="I122" s="13">
        <v>1000</v>
      </c>
      <c r="J122" s="13">
        <f t="shared" si="31"/>
        <v>1000</v>
      </c>
      <c r="K122" s="13">
        <f t="shared" si="32"/>
        <v>1500</v>
      </c>
      <c r="L122" s="14">
        <f t="shared" si="33"/>
        <v>0.6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2</v>
      </c>
      <c r="B123" s="10" t="s">
        <v>17</v>
      </c>
      <c r="C123" s="6" t="s">
        <v>61</v>
      </c>
      <c r="D123" s="13">
        <v>1400</v>
      </c>
      <c r="E123" s="13">
        <f t="shared" si="30"/>
        <v>2800</v>
      </c>
      <c r="F123" s="2"/>
      <c r="G123" s="2"/>
      <c r="H123" s="7"/>
      <c r="I123" s="13">
        <v>1000</v>
      </c>
      <c r="J123" s="13">
        <f t="shared" si="31"/>
        <v>2000</v>
      </c>
      <c r="K123" s="13">
        <f t="shared" si="32"/>
        <v>800</v>
      </c>
      <c r="L123" s="14">
        <f t="shared" si="33"/>
        <v>0.2857142857142857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4</v>
      </c>
      <c r="B124" s="10" t="s">
        <v>4</v>
      </c>
      <c r="C124" s="6" t="s">
        <v>13</v>
      </c>
      <c r="D124" s="13">
        <v>900</v>
      </c>
      <c r="E124" s="13">
        <f t="shared" si="30"/>
        <v>3600</v>
      </c>
      <c r="F124" s="2"/>
      <c r="G124" s="2"/>
      <c r="H124" s="7"/>
      <c r="I124" s="13">
        <v>460</v>
      </c>
      <c r="J124" s="13">
        <f t="shared" si="31"/>
        <v>1840</v>
      </c>
      <c r="K124" s="13">
        <f t="shared" si="32"/>
        <v>1760</v>
      </c>
      <c r="L124" s="14">
        <f t="shared" si="33"/>
        <v>0.48888888888888887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0.5</v>
      </c>
      <c r="B125" s="10" t="s">
        <v>17</v>
      </c>
      <c r="C125" s="6" t="s">
        <v>137</v>
      </c>
      <c r="D125" s="13">
        <v>12000</v>
      </c>
      <c r="E125" s="13">
        <f t="shared" si="30"/>
        <v>6000</v>
      </c>
      <c r="F125" s="2"/>
      <c r="G125" s="2"/>
      <c r="H125" s="2"/>
      <c r="I125" s="13">
        <v>8000</v>
      </c>
      <c r="J125" s="13">
        <f t="shared" si="31"/>
        <v>4000</v>
      </c>
      <c r="K125" s="13">
        <f t="shared" si="32"/>
        <v>2000</v>
      </c>
      <c r="L125" s="14">
        <f t="shared" si="33"/>
        <v>0.33333333333333331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0.5</v>
      </c>
      <c r="B126" s="10" t="s">
        <v>17</v>
      </c>
      <c r="C126" s="6" t="s">
        <v>138</v>
      </c>
      <c r="D126" s="13">
        <v>12000</v>
      </c>
      <c r="E126" s="13">
        <f t="shared" si="30"/>
        <v>6000</v>
      </c>
      <c r="F126" s="2"/>
      <c r="G126" s="2"/>
      <c r="H126" s="7"/>
      <c r="I126" s="13">
        <v>7000</v>
      </c>
      <c r="J126" s="13">
        <f t="shared" si="31"/>
        <v>3500</v>
      </c>
      <c r="K126" s="13">
        <f t="shared" si="32"/>
        <v>2500</v>
      </c>
      <c r="L126" s="14">
        <f t="shared" si="33"/>
        <v>0.41666666666666669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0.5</v>
      </c>
      <c r="B127" s="10" t="s">
        <v>17</v>
      </c>
      <c r="C127" s="6" t="s">
        <v>139</v>
      </c>
      <c r="D127" s="13">
        <v>20000</v>
      </c>
      <c r="E127" s="13">
        <f t="shared" si="30"/>
        <v>10000</v>
      </c>
      <c r="F127" s="2"/>
      <c r="G127" s="2"/>
      <c r="H127" s="2"/>
      <c r="I127" s="13">
        <v>16000</v>
      </c>
      <c r="J127" s="13">
        <f t="shared" si="31"/>
        <v>8000</v>
      </c>
      <c r="K127" s="13">
        <f t="shared" si="32"/>
        <v>2000</v>
      </c>
      <c r="L127" s="14">
        <f t="shared" si="33"/>
        <v>0.2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2</v>
      </c>
      <c r="B128" s="10" t="s">
        <v>17</v>
      </c>
      <c r="C128" s="6" t="s">
        <v>113</v>
      </c>
      <c r="D128" s="13">
        <v>4000</v>
      </c>
      <c r="E128" s="13">
        <f t="shared" si="30"/>
        <v>8000</v>
      </c>
      <c r="F128" s="2"/>
      <c r="G128" s="2"/>
      <c r="H128" s="7"/>
      <c r="I128" s="13">
        <v>3000</v>
      </c>
      <c r="J128" s="13">
        <f t="shared" si="31"/>
        <v>6000</v>
      </c>
      <c r="K128" s="13">
        <f t="shared" si="32"/>
        <v>2000</v>
      </c>
      <c r="L128" s="14">
        <f t="shared" si="33"/>
        <v>0.25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86</v>
      </c>
      <c r="C129" s="6" t="s">
        <v>88</v>
      </c>
      <c r="D129" s="13">
        <v>28000</v>
      </c>
      <c r="E129" s="13">
        <f t="shared" si="30"/>
        <v>28000</v>
      </c>
      <c r="F129" s="2"/>
      <c r="G129" s="2"/>
      <c r="H129" s="2"/>
      <c r="I129" s="13">
        <v>12000</v>
      </c>
      <c r="J129" s="13">
        <f t="shared" si="31"/>
        <v>12000</v>
      </c>
      <c r="K129" s="13">
        <f t="shared" si="32"/>
        <v>16000</v>
      </c>
      <c r="L129" s="14">
        <f t="shared" si="33"/>
        <v>0.5714285714285714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"/>
      <c r="B130" s="2"/>
      <c r="C130" s="1"/>
      <c r="D130" s="2"/>
      <c r="E130" s="2"/>
      <c r="F130" s="2"/>
      <c r="G130" s="1"/>
      <c r="H130" s="2"/>
      <c r="I130" s="2"/>
      <c r="J130" s="2"/>
      <c r="K130" s="2"/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"/>
      <c r="B131" s="2"/>
      <c r="C131" s="1"/>
      <c r="D131" s="2"/>
      <c r="E131" s="13">
        <f>SUM(E112:E130)</f>
        <v>133230</v>
      </c>
      <c r="F131" s="2"/>
      <c r="G131" s="2"/>
      <c r="H131" s="2"/>
      <c r="I131" s="2"/>
      <c r="J131" s="2"/>
      <c r="K131" s="13">
        <f>SUM(K112:K129)</f>
        <v>56583.333333333328</v>
      </c>
      <c r="L131" s="14">
        <f>K131/E131</f>
        <v>0.42470414571292747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28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28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6" t="s">
        <v>140</v>
      </c>
      <c r="B134" s="6"/>
      <c r="C134" s="6"/>
      <c r="D134" s="22" t="s">
        <v>97</v>
      </c>
      <c r="E134" s="8">
        <v>46114</v>
      </c>
      <c r="F134" s="23" t="s">
        <v>106</v>
      </c>
      <c r="G134" s="2"/>
      <c r="H134" s="2"/>
      <c r="I134" s="2"/>
      <c r="J134" s="13"/>
      <c r="K134" s="13"/>
      <c r="L134" s="14"/>
      <c r="M134" s="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B135" s="2"/>
      <c r="C135" s="4"/>
      <c r="D135" s="2"/>
      <c r="E135" s="2"/>
      <c r="F135" s="2"/>
      <c r="G135" s="2"/>
      <c r="H135" s="2"/>
      <c r="I135" s="2"/>
      <c r="J135" s="13"/>
      <c r="K135" s="13"/>
      <c r="L135" s="14"/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6" t="s">
        <v>3</v>
      </c>
      <c r="B136" s="10" t="s">
        <v>4</v>
      </c>
      <c r="C136" s="11" t="s">
        <v>5</v>
      </c>
      <c r="D136" s="10" t="s">
        <v>6</v>
      </c>
      <c r="E136" s="10" t="s">
        <v>7</v>
      </c>
      <c r="F136" s="10" t="s">
        <v>8</v>
      </c>
      <c r="G136" s="2"/>
      <c r="H136" s="2"/>
      <c r="I136" s="10" t="s">
        <v>6</v>
      </c>
      <c r="J136" s="10" t="s">
        <v>7</v>
      </c>
      <c r="K136" s="10" t="s">
        <v>10</v>
      </c>
      <c r="L136" s="14"/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12">
        <v>1</v>
      </c>
      <c r="B137" s="10" t="s">
        <v>23</v>
      </c>
      <c r="C137" s="11" t="s">
        <v>130</v>
      </c>
      <c r="D137" s="13">
        <v>11000</v>
      </c>
      <c r="E137" s="13">
        <f t="shared" ref="E137:E140" si="34">A137*D137</f>
        <v>11000</v>
      </c>
      <c r="F137" s="13">
        <f t="shared" ref="F137:F140" si="35">E137*1.105</f>
        <v>12155</v>
      </c>
      <c r="G137" s="2"/>
      <c r="H137" s="7"/>
      <c r="I137" s="13">
        <v>8000</v>
      </c>
      <c r="J137" s="13">
        <f t="shared" ref="J137:J140" si="36">I137*A137</f>
        <v>8000</v>
      </c>
      <c r="K137" s="13">
        <f t="shared" ref="K137:K140" si="37">E137-J137</f>
        <v>3000</v>
      </c>
      <c r="L137" s="14">
        <f t="shared" ref="L137:L140" si="38">K137/E137</f>
        <v>0.27272727272727271</v>
      </c>
      <c r="M137" s="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A138" s="12">
        <v>3</v>
      </c>
      <c r="B138" s="10" t="s">
        <v>15</v>
      </c>
      <c r="C138" s="11" t="s">
        <v>141</v>
      </c>
      <c r="D138" s="13">
        <v>14000</v>
      </c>
      <c r="E138" s="13">
        <f t="shared" si="34"/>
        <v>42000</v>
      </c>
      <c r="F138" s="13">
        <f t="shared" si="35"/>
        <v>46410</v>
      </c>
      <c r="G138" s="2"/>
      <c r="H138" s="7"/>
      <c r="I138" s="13">
        <v>9000</v>
      </c>
      <c r="J138" s="13">
        <f t="shared" si="36"/>
        <v>27000</v>
      </c>
      <c r="K138" s="13">
        <f t="shared" si="37"/>
        <v>15000</v>
      </c>
      <c r="L138" s="14">
        <f t="shared" si="38"/>
        <v>0.35714285714285715</v>
      </c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12">
        <v>3</v>
      </c>
      <c r="B139" s="10" t="s">
        <v>15</v>
      </c>
      <c r="C139" s="11" t="s">
        <v>142</v>
      </c>
      <c r="D139" s="13">
        <v>0</v>
      </c>
      <c r="E139" s="13">
        <f t="shared" si="34"/>
        <v>0</v>
      </c>
      <c r="F139" s="13">
        <f t="shared" si="35"/>
        <v>0</v>
      </c>
      <c r="G139" s="2"/>
      <c r="H139" s="7"/>
      <c r="I139" s="2"/>
      <c r="J139" s="13">
        <f t="shared" si="36"/>
        <v>0</v>
      </c>
      <c r="K139" s="13">
        <f t="shared" si="37"/>
        <v>0</v>
      </c>
      <c r="L139" s="14" t="e">
        <f t="shared" si="38"/>
        <v>#DIV/0!</v>
      </c>
      <c r="M139" s="4"/>
      <c r="N139" s="2"/>
      <c r="O139" s="4"/>
      <c r="P139" s="2"/>
      <c r="Q139" s="2"/>
      <c r="R139" s="4"/>
      <c r="S139" s="2"/>
      <c r="T139" s="2"/>
      <c r="U139" s="1"/>
      <c r="V139" s="2"/>
      <c r="W139" s="2"/>
      <c r="X139" s="2"/>
      <c r="Y139" s="2"/>
      <c r="Z139" s="2"/>
    </row>
    <row r="140" spans="1:26" ht="15.75" customHeight="1" x14ac:dyDescent="0.2">
      <c r="A140" s="12">
        <v>1</v>
      </c>
      <c r="B140" s="10" t="s">
        <v>23</v>
      </c>
      <c r="C140" s="11" t="s">
        <v>73</v>
      </c>
      <c r="D140" s="13">
        <v>20000</v>
      </c>
      <c r="E140" s="13">
        <f t="shared" si="34"/>
        <v>20000</v>
      </c>
      <c r="F140" s="13">
        <f t="shared" si="35"/>
        <v>22100</v>
      </c>
      <c r="G140" s="2"/>
      <c r="H140" s="7"/>
      <c r="I140" s="13">
        <v>15000</v>
      </c>
      <c r="J140" s="13">
        <f t="shared" si="36"/>
        <v>15000</v>
      </c>
      <c r="K140" s="13">
        <f t="shared" si="37"/>
        <v>5000</v>
      </c>
      <c r="L140" s="14">
        <f t="shared" si="38"/>
        <v>0.25</v>
      </c>
      <c r="M140" s="4"/>
      <c r="N140" s="2"/>
      <c r="O140" s="4"/>
      <c r="P140" s="2"/>
      <c r="Q140" s="2"/>
      <c r="R140" s="4"/>
      <c r="S140" s="2"/>
      <c r="T140" s="2"/>
      <c r="U140" s="1"/>
      <c r="V140" s="2"/>
      <c r="W140" s="2"/>
      <c r="X140" s="2"/>
      <c r="Y140" s="2"/>
      <c r="Z140" s="2"/>
    </row>
    <row r="141" spans="1:26" ht="15.75" customHeight="1" x14ac:dyDescent="0.2">
      <c r="A141" s="12"/>
      <c r="B141" s="10"/>
      <c r="C141" s="11"/>
      <c r="D141" s="13"/>
      <c r="E141" s="13"/>
      <c r="F141" s="13"/>
      <c r="H141" s="2"/>
      <c r="I141" s="2"/>
      <c r="J141" s="13"/>
      <c r="K141" s="13"/>
      <c r="L141" s="14"/>
      <c r="N141" s="2"/>
      <c r="O141" s="4"/>
      <c r="P141" s="2"/>
      <c r="Q141" s="2"/>
      <c r="R141" s="4"/>
      <c r="S141" s="2"/>
      <c r="T141" s="2"/>
      <c r="U141" s="1"/>
      <c r="V141" s="2"/>
      <c r="W141" s="2"/>
      <c r="X141" s="2"/>
      <c r="Y141" s="2"/>
      <c r="Z141" s="2"/>
    </row>
    <row r="142" spans="1:26" ht="15.75" customHeight="1" x14ac:dyDescent="0.2">
      <c r="A142" s="12"/>
      <c r="B142" s="10"/>
      <c r="C142" s="11"/>
      <c r="D142" s="13"/>
      <c r="E142" s="13">
        <f>SUM(E137:E141)</f>
        <v>73000</v>
      </c>
      <c r="F142" s="13">
        <f>SUM(F137:F140)</f>
        <v>80665</v>
      </c>
      <c r="G142" s="2"/>
      <c r="H142" s="2"/>
      <c r="I142" s="2"/>
      <c r="J142" s="13"/>
      <c r="K142" s="13">
        <f>SUM(K137:K140)</f>
        <v>23000</v>
      </c>
      <c r="L142" s="14">
        <f>K142/E142</f>
        <v>0.31506849315068491</v>
      </c>
      <c r="M142" s="4"/>
      <c r="N142" s="2"/>
      <c r="O142" s="4"/>
      <c r="P142" s="2"/>
      <c r="Q142" s="2"/>
      <c r="R142" s="4"/>
      <c r="S142" s="2"/>
      <c r="T142" s="2"/>
      <c r="U142" s="1"/>
      <c r="V142" s="2"/>
      <c r="W142" s="2"/>
      <c r="X142" s="2"/>
      <c r="Y142" s="2"/>
      <c r="Z142" s="2"/>
    </row>
    <row r="143" spans="1:26" ht="15.75" customHeight="1" x14ac:dyDescent="0.2">
      <c r="A143" s="4"/>
      <c r="B143" s="4"/>
      <c r="C143" s="4"/>
      <c r="D143" s="4"/>
      <c r="E143" s="4"/>
      <c r="F143" s="13"/>
      <c r="G143" s="4"/>
      <c r="H143" s="4"/>
      <c r="I143" s="4"/>
      <c r="J143" s="4"/>
      <c r="K143" s="4"/>
      <c r="L143" s="28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4"/>
      <c r="B144" s="4"/>
      <c r="C144" s="4"/>
      <c r="D144" s="4"/>
      <c r="E144" s="4"/>
      <c r="F144" s="13"/>
      <c r="G144" s="4"/>
      <c r="H144" s="4"/>
      <c r="I144" s="4"/>
      <c r="J144" s="4"/>
      <c r="K144" s="4"/>
      <c r="L144" s="28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4"/>
      <c r="B145" s="4"/>
      <c r="C145" s="4"/>
      <c r="D145" s="4"/>
      <c r="E145" s="4"/>
      <c r="F145" s="13"/>
      <c r="G145" s="4"/>
      <c r="H145" s="4"/>
      <c r="I145" s="4"/>
      <c r="J145" s="4"/>
      <c r="K145" s="4"/>
      <c r="L145" s="28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22.5" customHeight="1" x14ac:dyDescent="0.25">
      <c r="A146" s="26" t="s">
        <v>101</v>
      </c>
      <c r="B146" s="27">
        <f>F142+E131+F105+E93+E78+E65+E53+E33+E12</f>
        <v>1160575</v>
      </c>
      <c r="C146" s="1"/>
      <c r="D146" s="1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22.5" customHeight="1" x14ac:dyDescent="0.2">
      <c r="A147" s="1"/>
      <c r="B147" s="4"/>
      <c r="C147" s="1"/>
      <c r="D147" s="1"/>
      <c r="E147" s="1"/>
      <c r="F147" s="13"/>
      <c r="G147" s="1"/>
      <c r="H147" s="1"/>
      <c r="I147" s="1"/>
      <c r="J147" s="1"/>
      <c r="K147" s="1"/>
      <c r="L147" s="1"/>
      <c r="M147" s="1"/>
      <c r="N147" s="1"/>
      <c r="O147" s="1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22.5" customHeight="1" x14ac:dyDescent="0.25">
      <c r="A148" s="26" t="s">
        <v>102</v>
      </c>
      <c r="B148" s="27">
        <f>K142+K131+K105+K93+K78+K65+K53+K33+K12</f>
        <v>403691.96825396823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22.5" customHeight="1" x14ac:dyDescent="0.2">
      <c r="A149" s="1"/>
      <c r="B149" s="4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"/>
      <c r="B150" s="4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23.25" customHeight="1" x14ac:dyDescent="0.25">
      <c r="A151" s="26" t="s">
        <v>103</v>
      </c>
      <c r="B151" s="29">
        <f>B148/B146</f>
        <v>0.34783789781269475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"/>
      <c r="B152" s="4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77" t="s">
        <v>104</v>
      </c>
      <c r="B153" s="7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28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28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28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28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28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28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28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28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28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28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28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28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28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28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28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28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28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28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28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28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28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28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28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28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28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28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28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28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28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28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28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28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28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28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28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28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28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28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28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28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28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28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28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28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28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28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28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28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28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28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28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28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28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28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28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28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28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28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28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28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28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28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28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28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28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28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28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28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28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28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28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28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28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28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28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28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28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28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28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28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28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28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28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28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28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28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28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28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28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28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28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28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28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28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28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28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28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28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28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28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28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28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28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28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28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28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28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28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28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28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28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28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28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28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28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28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28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28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28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28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28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28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28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28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28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28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28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28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28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28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28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28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28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28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28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28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28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28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28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28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28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28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28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28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28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28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28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28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28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28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28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28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28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28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28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28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28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28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28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28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28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28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28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28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28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28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28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28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28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28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28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28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28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28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28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28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28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28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28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28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28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28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28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28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28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28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28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28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28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28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28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28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28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28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28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28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28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28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28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28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28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28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28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28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28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28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28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28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28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28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28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28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28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28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28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28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28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28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28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28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28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28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28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28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28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28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28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28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28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28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28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28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28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28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28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28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28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28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28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28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28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28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28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28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28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28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28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28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28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28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28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28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28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28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28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28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28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28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28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28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28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28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28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28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28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28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28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28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28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28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28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28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28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28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28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28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28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28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28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28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28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28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28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28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28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28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28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28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28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28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28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28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28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28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28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28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28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28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28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28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28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28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28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28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28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28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28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28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28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28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28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28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28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28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28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28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28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28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28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28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28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28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28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28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28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28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28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28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28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28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28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28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28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28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28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28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28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28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28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28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28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28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28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28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28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28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28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28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28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28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28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28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28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28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28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28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28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28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28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28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28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28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28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28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28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28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28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28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28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28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28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28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28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28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28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28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28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28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28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28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28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28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28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28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28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28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28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28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28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28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28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28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28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28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28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28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28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28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28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28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28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28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28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28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28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28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28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28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28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28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28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28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28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28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28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28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28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28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28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28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28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28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28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28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28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28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</sheetData>
  <mergeCells count="2">
    <mergeCell ref="A96:C96"/>
    <mergeCell ref="A153:B153"/>
  </mergeCells>
  <conditionalFormatting sqref="L1:L579">
    <cfRule type="cellIs" dxfId="24" priority="1" operator="greaterThanOrEqual">
      <formula>"30%"</formula>
    </cfRule>
    <cfRule type="cellIs" dxfId="23" priority="2" operator="between">
      <formula>"25%"</formula>
      <formula>"30%"</formula>
    </cfRule>
    <cfRule type="cellIs" dxfId="22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679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5" t="s">
        <v>0</v>
      </c>
      <c r="B3" s="76"/>
      <c r="C3" s="76"/>
      <c r="D3" s="2"/>
      <c r="E3" s="7" t="s">
        <v>58</v>
      </c>
      <c r="F3" s="8">
        <v>46118</v>
      </c>
      <c r="G3" s="7"/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1</v>
      </c>
      <c r="B6" s="10" t="s">
        <v>21</v>
      </c>
      <c r="C6" s="11" t="s">
        <v>51</v>
      </c>
      <c r="D6" s="13">
        <v>1500</v>
      </c>
      <c r="E6" s="13">
        <f t="shared" ref="E6:E11" si="0">A6*D6</f>
        <v>1500</v>
      </c>
      <c r="F6" s="13">
        <f t="shared" ref="F6:F11" si="1">E6*1.21</f>
        <v>1815</v>
      </c>
      <c r="G6" s="2"/>
      <c r="H6" s="2"/>
      <c r="I6" s="13">
        <v>1500</v>
      </c>
      <c r="J6" s="13">
        <f t="shared" ref="J6:J11" si="2">I6*A6</f>
        <v>1500</v>
      </c>
      <c r="K6" s="13">
        <f t="shared" ref="K6:K11" si="3">F6-J6</f>
        <v>315</v>
      </c>
      <c r="L6" s="14">
        <f t="shared" ref="L6:L11" si="4">IFERROR(K6/E6, 0)</f>
        <v>0.21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1</v>
      </c>
      <c r="B7" s="10" t="s">
        <v>17</v>
      </c>
      <c r="C7" s="11" t="s">
        <v>89</v>
      </c>
      <c r="D7" s="13">
        <v>11000</v>
      </c>
      <c r="E7" s="13">
        <f t="shared" si="0"/>
        <v>11000</v>
      </c>
      <c r="F7" s="13">
        <f t="shared" si="1"/>
        <v>13310</v>
      </c>
      <c r="G7" s="2"/>
      <c r="H7" s="2"/>
      <c r="I7" s="13">
        <f>38000/4</f>
        <v>9500</v>
      </c>
      <c r="J7" s="13">
        <f t="shared" si="2"/>
        <v>9500</v>
      </c>
      <c r="K7" s="13">
        <f t="shared" si="3"/>
        <v>3810</v>
      </c>
      <c r="L7" s="14">
        <f t="shared" si="4"/>
        <v>0.34636363636363637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1</v>
      </c>
      <c r="B8" s="10" t="s">
        <v>21</v>
      </c>
      <c r="C8" s="11" t="s">
        <v>133</v>
      </c>
      <c r="D8" s="13">
        <v>3000</v>
      </c>
      <c r="E8" s="13">
        <f t="shared" si="0"/>
        <v>3000</v>
      </c>
      <c r="F8" s="13">
        <f t="shared" si="1"/>
        <v>3630</v>
      </c>
      <c r="G8" s="2"/>
      <c r="H8" s="2"/>
      <c r="I8" s="13">
        <v>500</v>
      </c>
      <c r="J8" s="13">
        <f t="shared" si="2"/>
        <v>500</v>
      </c>
      <c r="K8" s="13">
        <f t="shared" si="3"/>
        <v>3130</v>
      </c>
      <c r="L8" s="14">
        <f t="shared" si="4"/>
        <v>1.0433333333333332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1.5</v>
      </c>
      <c r="B9" s="10" t="s">
        <v>17</v>
      </c>
      <c r="C9" s="11" t="s">
        <v>43</v>
      </c>
      <c r="D9" s="13">
        <v>3200</v>
      </c>
      <c r="E9" s="13">
        <f t="shared" si="0"/>
        <v>4800</v>
      </c>
      <c r="F9" s="13">
        <f t="shared" si="1"/>
        <v>5808</v>
      </c>
      <c r="G9" s="2"/>
      <c r="H9" s="2"/>
      <c r="I9" s="13">
        <f>10000/4</f>
        <v>2500</v>
      </c>
      <c r="J9" s="13">
        <f t="shared" si="2"/>
        <v>3750</v>
      </c>
      <c r="K9" s="13">
        <f t="shared" si="3"/>
        <v>2058</v>
      </c>
      <c r="L9" s="14">
        <f t="shared" si="4"/>
        <v>0.42875000000000002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5</v>
      </c>
      <c r="B10" s="10" t="s">
        <v>21</v>
      </c>
      <c r="C10" s="11" t="s">
        <v>46</v>
      </c>
      <c r="D10" s="13">
        <v>600</v>
      </c>
      <c r="E10" s="13">
        <f t="shared" si="0"/>
        <v>3000</v>
      </c>
      <c r="F10" s="13">
        <f t="shared" si="1"/>
        <v>3630</v>
      </c>
      <c r="G10" s="2"/>
      <c r="H10" s="2"/>
      <c r="I10" s="13">
        <f>5000/24</f>
        <v>208.33333333333334</v>
      </c>
      <c r="J10" s="13">
        <f t="shared" si="2"/>
        <v>1041.6666666666667</v>
      </c>
      <c r="K10" s="13">
        <f t="shared" si="3"/>
        <v>2588.333333333333</v>
      </c>
      <c r="L10" s="14">
        <f t="shared" si="4"/>
        <v>0.86277777777777764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5</v>
      </c>
      <c r="B11" s="10" t="s">
        <v>17</v>
      </c>
      <c r="C11" s="11" t="s">
        <v>62</v>
      </c>
      <c r="D11" s="13">
        <v>3000</v>
      </c>
      <c r="E11" s="13">
        <f t="shared" si="0"/>
        <v>15000</v>
      </c>
      <c r="F11" s="13">
        <f t="shared" si="1"/>
        <v>18150</v>
      </c>
      <c r="G11" s="2"/>
      <c r="H11" s="2"/>
      <c r="I11" s="13">
        <f>32000/18</f>
        <v>1777.7777777777778</v>
      </c>
      <c r="J11" s="13">
        <f t="shared" si="2"/>
        <v>8888.8888888888887</v>
      </c>
      <c r="K11" s="13">
        <f t="shared" si="3"/>
        <v>9261.1111111111113</v>
      </c>
      <c r="L11" s="14">
        <f t="shared" si="4"/>
        <v>0.6174074074074074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x14ac:dyDescent="0.2">
      <c r="A12" s="1"/>
      <c r="B12" s="2"/>
      <c r="C12" s="4"/>
      <c r="D12" s="2"/>
      <c r="E12" s="2"/>
      <c r="F12" s="2"/>
      <c r="G12" s="2"/>
      <c r="H12" s="2"/>
      <c r="I12" s="2"/>
      <c r="J12" s="2"/>
      <c r="K12" s="2"/>
      <c r="L12" s="3"/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x14ac:dyDescent="0.2">
      <c r="A13" s="1"/>
      <c r="B13" s="2"/>
      <c r="C13" s="4"/>
      <c r="D13" s="2"/>
      <c r="E13" s="13">
        <f t="shared" ref="E13:F13" si="5">SUM(E6:E11)</f>
        <v>38300</v>
      </c>
      <c r="F13" s="13">
        <f t="shared" si="5"/>
        <v>46343</v>
      </c>
      <c r="G13" s="2"/>
      <c r="H13" s="2"/>
      <c r="I13" s="2"/>
      <c r="J13" s="2"/>
      <c r="K13" s="13">
        <f>SUM(K6:K11)</f>
        <v>21162.444444444445</v>
      </c>
      <c r="L13" s="14">
        <f>K13/F13</f>
        <v>0.45664813336306337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x14ac:dyDescent="0.2">
      <c r="A14" s="1"/>
      <c r="B14" s="2"/>
      <c r="C14" s="4"/>
      <c r="D14" s="2"/>
      <c r="E14" s="2"/>
      <c r="F14" s="2"/>
      <c r="G14" s="2"/>
      <c r="H14" s="2"/>
      <c r="I14" s="2"/>
      <c r="J14" s="2"/>
      <c r="K14" s="2"/>
      <c r="L14" s="3"/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"/>
      <c r="B15" s="1"/>
      <c r="C15" s="1"/>
      <c r="D15" s="2"/>
      <c r="E15" s="2"/>
      <c r="F15" s="5"/>
      <c r="G15" s="2"/>
      <c r="H15" s="2"/>
      <c r="I15" s="2"/>
      <c r="J15" s="2"/>
      <c r="K15" s="2"/>
      <c r="L15" s="3"/>
      <c r="M15" s="4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"/>
      <c r="B16" s="1"/>
      <c r="C16" s="1"/>
      <c r="D16" s="2"/>
      <c r="E16" s="2"/>
      <c r="F16" s="5"/>
      <c r="G16" s="2"/>
      <c r="H16" s="2"/>
      <c r="I16" s="2"/>
      <c r="J16" s="2"/>
      <c r="K16" s="2"/>
      <c r="L16" s="3"/>
      <c r="M16" s="4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"/>
      <c r="B17" s="1"/>
      <c r="C17" s="1"/>
      <c r="D17" s="2"/>
      <c r="E17" s="2"/>
      <c r="F17" s="5"/>
      <c r="G17" s="2"/>
      <c r="H17" s="2"/>
      <c r="I17" s="2"/>
      <c r="J17" s="2"/>
      <c r="K17" s="2"/>
      <c r="L17" s="3"/>
      <c r="M17" s="4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x14ac:dyDescent="0.2">
      <c r="A18" s="75" t="s">
        <v>47</v>
      </c>
      <c r="B18" s="76"/>
      <c r="C18" s="76"/>
      <c r="D18" s="2"/>
      <c r="E18" s="7" t="s">
        <v>58</v>
      </c>
      <c r="F18" s="8">
        <v>46118</v>
      </c>
      <c r="G18" s="7"/>
      <c r="H18" s="2"/>
      <c r="I18" s="9" t="s">
        <v>2</v>
      </c>
      <c r="J18" s="9"/>
      <c r="K18" s="9"/>
      <c r="L18" s="3"/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"/>
      <c r="B19" s="1"/>
      <c r="C19" s="1"/>
      <c r="D19" s="2"/>
      <c r="E19" s="2"/>
      <c r="F19" s="5"/>
      <c r="G19" s="2"/>
      <c r="H19" s="2"/>
      <c r="I19" s="2"/>
      <c r="J19" s="2"/>
      <c r="K19" s="2"/>
      <c r="L19" s="3"/>
      <c r="M19" s="4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6" t="s">
        <v>3</v>
      </c>
      <c r="B20" s="10" t="s">
        <v>4</v>
      </c>
      <c r="C20" s="6" t="s">
        <v>5</v>
      </c>
      <c r="D20" s="10" t="s">
        <v>6</v>
      </c>
      <c r="E20" s="10" t="s">
        <v>7</v>
      </c>
      <c r="F20" s="10" t="s">
        <v>8</v>
      </c>
      <c r="G20" s="2"/>
      <c r="H20" s="2"/>
      <c r="I20" s="10" t="s">
        <v>9</v>
      </c>
      <c r="J20" s="10" t="s">
        <v>7</v>
      </c>
      <c r="K20" s="10" t="s">
        <v>10</v>
      </c>
      <c r="L20" s="3"/>
      <c r="M20" s="1"/>
      <c r="N20" s="1"/>
      <c r="O20" s="1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3</v>
      </c>
      <c r="B21" s="10" t="s">
        <v>15</v>
      </c>
      <c r="C21" s="6" t="s">
        <v>27</v>
      </c>
      <c r="D21" s="13">
        <v>23000</v>
      </c>
      <c r="E21" s="13">
        <f t="shared" ref="E21:E56" si="6">A21*D21</f>
        <v>69000</v>
      </c>
      <c r="F21" s="13">
        <f t="shared" ref="F21:F55" si="7">E21*1.105</f>
        <v>76245</v>
      </c>
      <c r="G21" s="2"/>
      <c r="H21" s="2"/>
      <c r="I21" s="13">
        <v>18000</v>
      </c>
      <c r="J21" s="13">
        <f t="shared" ref="J21:J56" si="8">I21*A21</f>
        <v>54000</v>
      </c>
      <c r="K21" s="13">
        <f t="shared" ref="K21:K56" si="9">F21-J21</f>
        <v>22245</v>
      </c>
      <c r="L21" s="14">
        <f t="shared" ref="L21:L56" si="10">IFERROR(K21/E21, 0)</f>
        <v>0.32239130434782609</v>
      </c>
      <c r="M21" s="1"/>
      <c r="N21" s="1"/>
      <c r="O21" s="1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1</v>
      </c>
      <c r="B22" s="10" t="s">
        <v>15</v>
      </c>
      <c r="C22" s="6" t="s">
        <v>129</v>
      </c>
      <c r="D22" s="13">
        <v>16000</v>
      </c>
      <c r="E22" s="13">
        <f t="shared" si="6"/>
        <v>16000</v>
      </c>
      <c r="F22" s="13">
        <f t="shared" si="7"/>
        <v>17680</v>
      </c>
      <c r="G22" s="2"/>
      <c r="H22" s="2"/>
      <c r="I22" s="13">
        <v>12000</v>
      </c>
      <c r="J22" s="13">
        <f t="shared" si="8"/>
        <v>12000</v>
      </c>
      <c r="K22" s="13">
        <f t="shared" si="9"/>
        <v>5680</v>
      </c>
      <c r="L22" s="14">
        <f t="shared" si="10"/>
        <v>0.35499999999999998</v>
      </c>
      <c r="M22" s="1"/>
      <c r="N22" s="1"/>
      <c r="O22" s="1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1</v>
      </c>
      <c r="B23" s="10" t="s">
        <v>15</v>
      </c>
      <c r="C23" s="6" t="s">
        <v>40</v>
      </c>
      <c r="D23" s="13">
        <v>12000</v>
      </c>
      <c r="E23" s="13">
        <f t="shared" si="6"/>
        <v>12000</v>
      </c>
      <c r="F23" s="13">
        <f t="shared" si="7"/>
        <v>13260</v>
      </c>
      <c r="G23" s="2"/>
      <c r="H23" s="2"/>
      <c r="I23" s="13">
        <v>7000</v>
      </c>
      <c r="J23" s="13">
        <f t="shared" si="8"/>
        <v>7000</v>
      </c>
      <c r="K23" s="13">
        <f t="shared" si="9"/>
        <v>6260</v>
      </c>
      <c r="L23" s="14">
        <f t="shared" si="10"/>
        <v>0.52166666666666661</v>
      </c>
      <c r="M23" s="1"/>
      <c r="N23" s="1"/>
      <c r="O23" s="1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8</v>
      </c>
      <c r="B24" s="10" t="s">
        <v>17</v>
      </c>
      <c r="C24" s="11" t="s">
        <v>39</v>
      </c>
      <c r="D24" s="13">
        <v>2400</v>
      </c>
      <c r="E24" s="13">
        <f t="shared" si="6"/>
        <v>19200</v>
      </c>
      <c r="F24" s="13">
        <f t="shared" si="7"/>
        <v>21216</v>
      </c>
      <c r="G24" s="2"/>
      <c r="H24" s="2"/>
      <c r="I24" s="13">
        <v>1666</v>
      </c>
      <c r="J24" s="13">
        <f t="shared" si="8"/>
        <v>13328</v>
      </c>
      <c r="K24" s="13">
        <f t="shared" si="9"/>
        <v>7888</v>
      </c>
      <c r="L24" s="14">
        <f t="shared" si="10"/>
        <v>0.41083333333333333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3</v>
      </c>
      <c r="B25" s="10" t="s">
        <v>17</v>
      </c>
      <c r="C25" s="11" t="s">
        <v>18</v>
      </c>
      <c r="D25" s="13">
        <v>1600</v>
      </c>
      <c r="E25" s="13">
        <f t="shared" si="6"/>
        <v>4800</v>
      </c>
      <c r="F25" s="13">
        <f t="shared" si="7"/>
        <v>5304</v>
      </c>
      <c r="G25" s="2"/>
      <c r="H25" s="2"/>
      <c r="I25" s="13">
        <v>1000</v>
      </c>
      <c r="J25" s="13">
        <f t="shared" si="8"/>
        <v>3000</v>
      </c>
      <c r="K25" s="13">
        <f t="shared" si="9"/>
        <v>2304</v>
      </c>
      <c r="L25" s="14">
        <f t="shared" si="10"/>
        <v>0.48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2</v>
      </c>
      <c r="B26" s="10" t="s">
        <v>17</v>
      </c>
      <c r="C26" s="11" t="s">
        <v>56</v>
      </c>
      <c r="D26" s="13">
        <v>800</v>
      </c>
      <c r="E26" s="13">
        <f t="shared" si="6"/>
        <v>1600</v>
      </c>
      <c r="F26" s="13">
        <f t="shared" si="7"/>
        <v>1768</v>
      </c>
      <c r="G26" s="2"/>
      <c r="H26" s="2"/>
      <c r="I26" s="13">
        <f>10000/15</f>
        <v>666.66666666666663</v>
      </c>
      <c r="J26" s="13">
        <f t="shared" si="8"/>
        <v>1333.3333333333333</v>
      </c>
      <c r="K26" s="13">
        <f t="shared" si="9"/>
        <v>434.66666666666674</v>
      </c>
      <c r="L26" s="14">
        <f t="shared" si="10"/>
        <v>0.27166666666666672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2</v>
      </c>
      <c r="B27" s="10" t="s">
        <v>17</v>
      </c>
      <c r="C27" s="11" t="s">
        <v>78</v>
      </c>
      <c r="D27" s="13">
        <v>4000</v>
      </c>
      <c r="E27" s="13">
        <f t="shared" si="6"/>
        <v>8000</v>
      </c>
      <c r="F27" s="13">
        <f t="shared" si="7"/>
        <v>8840</v>
      </c>
      <c r="G27" s="2"/>
      <c r="H27" s="2"/>
      <c r="I27" s="13">
        <f>18000/8</f>
        <v>2250</v>
      </c>
      <c r="J27" s="13">
        <f t="shared" si="8"/>
        <v>4500</v>
      </c>
      <c r="K27" s="13">
        <f t="shared" si="9"/>
        <v>4340</v>
      </c>
      <c r="L27" s="14">
        <f t="shared" si="10"/>
        <v>0.54249999999999998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2</v>
      </c>
      <c r="B28" s="10" t="s">
        <v>17</v>
      </c>
      <c r="C28" s="11" t="s">
        <v>61</v>
      </c>
      <c r="D28" s="13">
        <v>1400</v>
      </c>
      <c r="E28" s="13">
        <f t="shared" si="6"/>
        <v>2800</v>
      </c>
      <c r="F28" s="13">
        <f t="shared" si="7"/>
        <v>3094</v>
      </c>
      <c r="G28" s="2"/>
      <c r="H28" s="2"/>
      <c r="I28" s="13">
        <v>1000</v>
      </c>
      <c r="J28" s="13">
        <f t="shared" si="8"/>
        <v>2000</v>
      </c>
      <c r="K28" s="13">
        <f t="shared" si="9"/>
        <v>1094</v>
      </c>
      <c r="L28" s="14">
        <f t="shared" si="10"/>
        <v>0.39071428571428574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17</v>
      </c>
      <c r="C29" s="11" t="s">
        <v>35</v>
      </c>
      <c r="D29" s="13">
        <v>2500</v>
      </c>
      <c r="E29" s="13">
        <f t="shared" si="6"/>
        <v>2500</v>
      </c>
      <c r="F29" s="13">
        <f t="shared" si="7"/>
        <v>2762.5</v>
      </c>
      <c r="G29" s="2"/>
      <c r="H29" s="2"/>
      <c r="I29" s="13">
        <v>1400</v>
      </c>
      <c r="J29" s="13">
        <f t="shared" si="8"/>
        <v>1400</v>
      </c>
      <c r="K29" s="13">
        <f t="shared" si="9"/>
        <v>1362.5</v>
      </c>
      <c r="L29" s="14">
        <f t="shared" si="10"/>
        <v>0.54500000000000004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3</v>
      </c>
      <c r="B30" s="10" t="s">
        <v>4</v>
      </c>
      <c r="C30" s="11" t="s">
        <v>14</v>
      </c>
      <c r="D30" s="13">
        <v>2600</v>
      </c>
      <c r="E30" s="13">
        <f t="shared" si="6"/>
        <v>7800</v>
      </c>
      <c r="F30" s="13">
        <f t="shared" si="7"/>
        <v>8619</v>
      </c>
      <c r="G30" s="2"/>
      <c r="H30" s="2"/>
      <c r="I30" s="13">
        <f>15000/8</f>
        <v>1875</v>
      </c>
      <c r="J30" s="13">
        <f t="shared" si="8"/>
        <v>5625</v>
      </c>
      <c r="K30" s="13">
        <f t="shared" si="9"/>
        <v>2994</v>
      </c>
      <c r="L30" s="14">
        <f t="shared" si="10"/>
        <v>0.38384615384615384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2</v>
      </c>
      <c r="B31" s="10" t="s">
        <v>17</v>
      </c>
      <c r="C31" s="11" t="s">
        <v>82</v>
      </c>
      <c r="D31" s="13">
        <v>1400</v>
      </c>
      <c r="E31" s="13">
        <f t="shared" si="6"/>
        <v>2800</v>
      </c>
      <c r="F31" s="13">
        <f t="shared" si="7"/>
        <v>3094</v>
      </c>
      <c r="G31" s="2"/>
      <c r="H31" s="2"/>
      <c r="I31" s="13">
        <f>16000/15</f>
        <v>1066.6666666666667</v>
      </c>
      <c r="J31" s="13">
        <f t="shared" si="8"/>
        <v>2133.3333333333335</v>
      </c>
      <c r="K31" s="13">
        <f t="shared" si="9"/>
        <v>960.66666666666652</v>
      </c>
      <c r="L31" s="14">
        <f t="shared" si="10"/>
        <v>0.34309523809523806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2</v>
      </c>
      <c r="B32" s="10" t="s">
        <v>17</v>
      </c>
      <c r="C32" s="11" t="s">
        <v>31</v>
      </c>
      <c r="D32" s="13">
        <v>3200</v>
      </c>
      <c r="E32" s="13">
        <f t="shared" si="6"/>
        <v>6400</v>
      </c>
      <c r="F32" s="13">
        <f t="shared" si="7"/>
        <v>7072</v>
      </c>
      <c r="G32" s="2"/>
      <c r="H32" s="2"/>
      <c r="I32" s="13">
        <f t="shared" ref="I32:I33" si="11">15000/7</f>
        <v>2142.8571428571427</v>
      </c>
      <c r="J32" s="13">
        <f t="shared" si="8"/>
        <v>4285.7142857142853</v>
      </c>
      <c r="K32" s="13">
        <f t="shared" si="9"/>
        <v>2786.2857142857147</v>
      </c>
      <c r="L32" s="14">
        <f t="shared" si="10"/>
        <v>0.43535714285714294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1</v>
      </c>
      <c r="B33" s="10" t="s">
        <v>17</v>
      </c>
      <c r="C33" s="11" t="s">
        <v>32</v>
      </c>
      <c r="D33" s="13">
        <v>2400</v>
      </c>
      <c r="E33" s="13">
        <f t="shared" si="6"/>
        <v>2400</v>
      </c>
      <c r="F33" s="13">
        <f t="shared" si="7"/>
        <v>2652</v>
      </c>
      <c r="G33" s="2"/>
      <c r="H33" s="2"/>
      <c r="I33" s="13">
        <f t="shared" si="11"/>
        <v>2142.8571428571427</v>
      </c>
      <c r="J33" s="13">
        <f t="shared" si="8"/>
        <v>2142.8571428571427</v>
      </c>
      <c r="K33" s="13">
        <f t="shared" si="9"/>
        <v>509.14285714285734</v>
      </c>
      <c r="L33" s="14">
        <f t="shared" si="10"/>
        <v>0.21214285714285722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17</v>
      </c>
      <c r="C34" s="11" t="s">
        <v>38</v>
      </c>
      <c r="D34" s="13">
        <v>1800</v>
      </c>
      <c r="E34" s="13">
        <f t="shared" si="6"/>
        <v>1800</v>
      </c>
      <c r="F34" s="13">
        <f t="shared" si="7"/>
        <v>1989</v>
      </c>
      <c r="G34" s="2"/>
      <c r="H34" s="2"/>
      <c r="I34" s="13">
        <v>1000</v>
      </c>
      <c r="J34" s="13">
        <f t="shared" si="8"/>
        <v>1000</v>
      </c>
      <c r="K34" s="13">
        <f t="shared" si="9"/>
        <v>989</v>
      </c>
      <c r="L34" s="14">
        <f t="shared" si="10"/>
        <v>0.5494444444444444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1.8</v>
      </c>
      <c r="B35" s="10" t="s">
        <v>17</v>
      </c>
      <c r="C35" s="11" t="s">
        <v>36</v>
      </c>
      <c r="D35" s="13">
        <v>1800</v>
      </c>
      <c r="E35" s="13">
        <f t="shared" si="6"/>
        <v>3240</v>
      </c>
      <c r="F35" s="13">
        <f t="shared" si="7"/>
        <v>3580.2</v>
      </c>
      <c r="G35" s="2"/>
      <c r="H35" s="2"/>
      <c r="I35" s="13">
        <v>1000</v>
      </c>
      <c r="J35" s="13">
        <f t="shared" si="8"/>
        <v>1800</v>
      </c>
      <c r="K35" s="13">
        <f t="shared" si="9"/>
        <v>1780.1999999999998</v>
      </c>
      <c r="L35" s="14">
        <f t="shared" si="10"/>
        <v>0.5494444444444444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17</v>
      </c>
      <c r="C36" s="11" t="s">
        <v>30</v>
      </c>
      <c r="D36" s="13">
        <v>1500</v>
      </c>
      <c r="E36" s="13">
        <f t="shared" si="6"/>
        <v>1500</v>
      </c>
      <c r="F36" s="13">
        <f t="shared" si="7"/>
        <v>1657.5</v>
      </c>
      <c r="G36" s="2"/>
      <c r="H36" s="2"/>
      <c r="I36" s="13">
        <v>1500</v>
      </c>
      <c r="J36" s="13">
        <f t="shared" si="8"/>
        <v>1500</v>
      </c>
      <c r="K36" s="13">
        <f t="shared" si="9"/>
        <v>157.5</v>
      </c>
      <c r="L36" s="14">
        <f t="shared" si="10"/>
        <v>0.105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20</v>
      </c>
      <c r="B37" s="10" t="s">
        <v>21</v>
      </c>
      <c r="C37" s="11" t="s">
        <v>46</v>
      </c>
      <c r="D37" s="13">
        <v>600</v>
      </c>
      <c r="E37" s="13">
        <f t="shared" si="6"/>
        <v>12000</v>
      </c>
      <c r="F37" s="13">
        <f t="shared" si="7"/>
        <v>13260</v>
      </c>
      <c r="G37" s="2"/>
      <c r="H37" s="2"/>
      <c r="I37" s="13">
        <v>208</v>
      </c>
      <c r="J37" s="13">
        <f t="shared" si="8"/>
        <v>4160</v>
      </c>
      <c r="K37" s="13">
        <f t="shared" si="9"/>
        <v>9100</v>
      </c>
      <c r="L37" s="14">
        <f t="shared" si="10"/>
        <v>0.7583333333333333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2</v>
      </c>
      <c r="B38" s="10" t="s">
        <v>17</v>
      </c>
      <c r="C38" s="11" t="s">
        <v>43</v>
      </c>
      <c r="D38" s="13">
        <v>3200</v>
      </c>
      <c r="E38" s="13">
        <f t="shared" si="6"/>
        <v>6400</v>
      </c>
      <c r="F38" s="13">
        <f t="shared" si="7"/>
        <v>7072</v>
      </c>
      <c r="G38" s="2"/>
      <c r="H38" s="2"/>
      <c r="I38" s="13">
        <f>10000/4</f>
        <v>2500</v>
      </c>
      <c r="J38" s="13">
        <f t="shared" si="8"/>
        <v>5000</v>
      </c>
      <c r="K38" s="13">
        <f t="shared" si="9"/>
        <v>2072</v>
      </c>
      <c r="L38" s="14">
        <f t="shared" si="10"/>
        <v>0.32374999999999998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10</v>
      </c>
      <c r="B39" s="10" t="s">
        <v>21</v>
      </c>
      <c r="C39" s="11" t="s">
        <v>22</v>
      </c>
      <c r="D39" s="13">
        <v>1700</v>
      </c>
      <c r="E39" s="13">
        <f t="shared" si="6"/>
        <v>17000</v>
      </c>
      <c r="F39" s="13">
        <f t="shared" si="7"/>
        <v>18785</v>
      </c>
      <c r="G39" s="2"/>
      <c r="H39" s="2"/>
      <c r="I39" s="13">
        <v>1200</v>
      </c>
      <c r="J39" s="13">
        <f t="shared" si="8"/>
        <v>12000</v>
      </c>
      <c r="K39" s="13">
        <f t="shared" si="9"/>
        <v>6785</v>
      </c>
      <c r="L39" s="14">
        <f t="shared" si="10"/>
        <v>0.39911764705882352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1</v>
      </c>
      <c r="B40" s="10" t="s">
        <v>21</v>
      </c>
      <c r="C40" s="11" t="s">
        <v>133</v>
      </c>
      <c r="D40" s="13">
        <v>3000</v>
      </c>
      <c r="E40" s="13">
        <f t="shared" si="6"/>
        <v>3000</v>
      </c>
      <c r="F40" s="13">
        <f t="shared" si="7"/>
        <v>3315</v>
      </c>
      <c r="G40" s="2"/>
      <c r="H40" s="2"/>
      <c r="I40" s="13">
        <v>500</v>
      </c>
      <c r="J40" s="13">
        <f t="shared" si="8"/>
        <v>500</v>
      </c>
      <c r="K40" s="13">
        <f t="shared" si="9"/>
        <v>2815</v>
      </c>
      <c r="L40" s="14">
        <f t="shared" si="10"/>
        <v>0.93833333333333335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2">
        <v>1</v>
      </c>
      <c r="B41" s="10" t="s">
        <v>21</v>
      </c>
      <c r="C41" s="11" t="s">
        <v>28</v>
      </c>
      <c r="D41" s="13">
        <v>3000</v>
      </c>
      <c r="E41" s="13">
        <f t="shared" si="6"/>
        <v>3000</v>
      </c>
      <c r="F41" s="13">
        <f t="shared" si="7"/>
        <v>3315</v>
      </c>
      <c r="G41" s="2"/>
      <c r="H41" s="2"/>
      <c r="I41" s="13">
        <v>2000</v>
      </c>
      <c r="J41" s="13">
        <f t="shared" si="8"/>
        <v>2000</v>
      </c>
      <c r="K41" s="13">
        <f t="shared" si="9"/>
        <v>1315</v>
      </c>
      <c r="L41" s="14">
        <f t="shared" si="10"/>
        <v>0.43833333333333335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2">
        <v>2</v>
      </c>
      <c r="B42" s="10" t="s">
        <v>21</v>
      </c>
      <c r="C42" s="11" t="s">
        <v>51</v>
      </c>
      <c r="D42" s="13">
        <v>1500</v>
      </c>
      <c r="E42" s="13">
        <f t="shared" si="6"/>
        <v>3000</v>
      </c>
      <c r="F42" s="13">
        <f t="shared" si="7"/>
        <v>3315</v>
      </c>
      <c r="G42" s="2"/>
      <c r="H42" s="2"/>
      <c r="I42" s="13">
        <v>1500</v>
      </c>
      <c r="J42" s="13">
        <f t="shared" si="8"/>
        <v>3000</v>
      </c>
      <c r="K42" s="13">
        <f t="shared" si="9"/>
        <v>315</v>
      </c>
      <c r="L42" s="14">
        <f t="shared" si="10"/>
        <v>0.105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3</v>
      </c>
      <c r="B43" s="10" t="s">
        <v>4</v>
      </c>
      <c r="C43" s="11" t="s">
        <v>65</v>
      </c>
      <c r="D43" s="13">
        <v>1600</v>
      </c>
      <c r="E43" s="13">
        <f t="shared" si="6"/>
        <v>4800</v>
      </c>
      <c r="F43" s="13">
        <f t="shared" si="7"/>
        <v>5304</v>
      </c>
      <c r="G43" s="2"/>
      <c r="H43" s="2"/>
      <c r="I43" s="13">
        <v>1078</v>
      </c>
      <c r="J43" s="13">
        <f t="shared" si="8"/>
        <v>3234</v>
      </c>
      <c r="K43" s="13">
        <f t="shared" si="9"/>
        <v>2070</v>
      </c>
      <c r="L43" s="14">
        <f t="shared" si="10"/>
        <v>0.43125000000000002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0.8</v>
      </c>
      <c r="B44" s="10" t="s">
        <v>17</v>
      </c>
      <c r="C44" s="11" t="s">
        <v>93</v>
      </c>
      <c r="D44" s="13">
        <v>3000</v>
      </c>
      <c r="E44" s="13">
        <f t="shared" si="6"/>
        <v>2400</v>
      </c>
      <c r="F44" s="13">
        <f t="shared" si="7"/>
        <v>2652</v>
      </c>
      <c r="G44" s="2"/>
      <c r="H44" s="2"/>
      <c r="I44" s="13">
        <f>13000/7</f>
        <v>1857.1428571428571</v>
      </c>
      <c r="J44" s="13">
        <f t="shared" si="8"/>
        <v>1485.7142857142858</v>
      </c>
      <c r="K44" s="13">
        <f t="shared" si="9"/>
        <v>1166.2857142857142</v>
      </c>
      <c r="L44" s="14">
        <f t="shared" si="10"/>
        <v>0.48595238095238091</v>
      </c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0.5</v>
      </c>
      <c r="B45" s="10" t="s">
        <v>21</v>
      </c>
      <c r="C45" s="11" t="s">
        <v>29</v>
      </c>
      <c r="D45" s="13">
        <v>3500</v>
      </c>
      <c r="E45" s="13">
        <f t="shared" si="6"/>
        <v>1750</v>
      </c>
      <c r="F45" s="13">
        <f t="shared" si="7"/>
        <v>1933.75</v>
      </c>
      <c r="G45" s="2"/>
      <c r="H45" s="2"/>
      <c r="I45" s="13">
        <v>1500</v>
      </c>
      <c r="J45" s="13">
        <f t="shared" si="8"/>
        <v>750</v>
      </c>
      <c r="K45" s="13">
        <f t="shared" si="9"/>
        <v>1183.75</v>
      </c>
      <c r="L45" s="14">
        <f t="shared" si="10"/>
        <v>0.67642857142857138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0.5</v>
      </c>
      <c r="B46" s="10" t="s">
        <v>21</v>
      </c>
      <c r="C46" s="11" t="s">
        <v>42</v>
      </c>
      <c r="D46" s="13">
        <v>4500</v>
      </c>
      <c r="E46" s="13">
        <f t="shared" si="6"/>
        <v>2250</v>
      </c>
      <c r="F46" s="13">
        <f t="shared" si="7"/>
        <v>2486.25</v>
      </c>
      <c r="G46" s="2"/>
      <c r="H46" s="2"/>
      <c r="I46" s="13">
        <v>1200</v>
      </c>
      <c r="J46" s="13">
        <f t="shared" si="8"/>
        <v>600</v>
      </c>
      <c r="K46" s="13">
        <f t="shared" si="9"/>
        <v>1886.25</v>
      </c>
      <c r="L46" s="14">
        <f t="shared" si="10"/>
        <v>0.83833333333333337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1</v>
      </c>
      <c r="B47" s="10" t="s">
        <v>21</v>
      </c>
      <c r="C47" s="11" t="s">
        <v>64</v>
      </c>
      <c r="D47" s="13">
        <v>2500</v>
      </c>
      <c r="E47" s="13">
        <f t="shared" si="6"/>
        <v>2500</v>
      </c>
      <c r="F47" s="13">
        <f t="shared" si="7"/>
        <v>2762.5</v>
      </c>
      <c r="G47" s="2"/>
      <c r="H47" s="2"/>
      <c r="I47" s="13">
        <v>1000</v>
      </c>
      <c r="J47" s="13">
        <f t="shared" si="8"/>
        <v>1000</v>
      </c>
      <c r="K47" s="13">
        <f t="shared" si="9"/>
        <v>1762.5</v>
      </c>
      <c r="L47" s="14">
        <f t="shared" si="10"/>
        <v>0.70499999999999996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3</v>
      </c>
      <c r="B48" s="10" t="s">
        <v>23</v>
      </c>
      <c r="C48" s="11" t="s">
        <v>26</v>
      </c>
      <c r="D48" s="13">
        <v>26000</v>
      </c>
      <c r="E48" s="13">
        <f t="shared" si="6"/>
        <v>78000</v>
      </c>
      <c r="F48" s="13">
        <f t="shared" si="7"/>
        <v>86190</v>
      </c>
      <c r="G48" s="2"/>
      <c r="H48" s="2"/>
      <c r="I48" s="13">
        <v>22000</v>
      </c>
      <c r="J48" s="13">
        <f t="shared" si="8"/>
        <v>66000</v>
      </c>
      <c r="K48" s="13">
        <f t="shared" si="9"/>
        <v>20190</v>
      </c>
      <c r="L48" s="14">
        <f t="shared" si="10"/>
        <v>0.25884615384615384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7</v>
      </c>
      <c r="B49" s="10" t="s">
        <v>17</v>
      </c>
      <c r="C49" s="11" t="s">
        <v>123</v>
      </c>
      <c r="D49" s="13">
        <v>3200</v>
      </c>
      <c r="E49" s="13">
        <f t="shared" si="6"/>
        <v>22400</v>
      </c>
      <c r="F49" s="13">
        <f t="shared" si="7"/>
        <v>24752</v>
      </c>
      <c r="G49" s="2"/>
      <c r="H49" s="2"/>
      <c r="I49" s="13">
        <f>32000/15</f>
        <v>2133.3333333333335</v>
      </c>
      <c r="J49" s="13">
        <f t="shared" si="8"/>
        <v>14933.333333333334</v>
      </c>
      <c r="K49" s="13">
        <f t="shared" si="9"/>
        <v>9818.6666666666661</v>
      </c>
      <c r="L49" s="14">
        <f t="shared" si="10"/>
        <v>0.4383333333333333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4</v>
      </c>
      <c r="B50" s="10" t="s">
        <v>17</v>
      </c>
      <c r="C50" s="11" t="s">
        <v>24</v>
      </c>
      <c r="D50" s="13">
        <v>3600</v>
      </c>
      <c r="E50" s="13">
        <f t="shared" si="6"/>
        <v>14400</v>
      </c>
      <c r="F50" s="13">
        <f t="shared" si="7"/>
        <v>15912</v>
      </c>
      <c r="G50" s="2"/>
      <c r="H50" s="2"/>
      <c r="I50" s="13">
        <f>52000/17</f>
        <v>3058.8235294117649</v>
      </c>
      <c r="J50" s="13">
        <f t="shared" si="8"/>
        <v>12235.294117647059</v>
      </c>
      <c r="K50" s="13">
        <f t="shared" si="9"/>
        <v>3676.7058823529405</v>
      </c>
      <c r="L50" s="14">
        <f t="shared" si="10"/>
        <v>0.25532679738562086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4</v>
      </c>
      <c r="B51" s="10" t="s">
        <v>17</v>
      </c>
      <c r="C51" s="11" t="s">
        <v>25</v>
      </c>
      <c r="D51" s="13">
        <v>4500</v>
      </c>
      <c r="E51" s="13">
        <f t="shared" si="6"/>
        <v>18000</v>
      </c>
      <c r="F51" s="13">
        <f t="shared" si="7"/>
        <v>19890</v>
      </c>
      <c r="G51" s="2"/>
      <c r="H51" s="2"/>
      <c r="I51" s="13">
        <f>65000/17</f>
        <v>3823.5294117647059</v>
      </c>
      <c r="J51" s="13">
        <f t="shared" si="8"/>
        <v>15294.117647058823</v>
      </c>
      <c r="K51" s="13">
        <f t="shared" si="9"/>
        <v>4595.8823529411766</v>
      </c>
      <c r="L51" s="14">
        <f t="shared" si="10"/>
        <v>0.25532679738562092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3</v>
      </c>
      <c r="B52" s="10" t="s">
        <v>17</v>
      </c>
      <c r="C52" s="11" t="s">
        <v>49</v>
      </c>
      <c r="D52" s="13">
        <v>3000</v>
      </c>
      <c r="E52" s="13">
        <f t="shared" si="6"/>
        <v>9000</v>
      </c>
      <c r="F52" s="13">
        <f t="shared" si="7"/>
        <v>9945</v>
      </c>
      <c r="G52" s="2"/>
      <c r="H52" s="2"/>
      <c r="I52" s="13">
        <f>20000/9</f>
        <v>2222.2222222222222</v>
      </c>
      <c r="J52" s="13">
        <f t="shared" si="8"/>
        <v>6666.6666666666661</v>
      </c>
      <c r="K52" s="13">
        <f t="shared" si="9"/>
        <v>3278.3333333333339</v>
      </c>
      <c r="L52" s="14">
        <f t="shared" si="10"/>
        <v>0.36425925925925934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2</v>
      </c>
      <c r="B53" s="10" t="s">
        <v>17</v>
      </c>
      <c r="C53" s="11" t="s">
        <v>67</v>
      </c>
      <c r="D53" s="13">
        <v>3200</v>
      </c>
      <c r="E53" s="13">
        <f t="shared" si="6"/>
        <v>6400</v>
      </c>
      <c r="F53" s="13">
        <f t="shared" si="7"/>
        <v>7072</v>
      </c>
      <c r="G53" s="2"/>
      <c r="H53" s="13"/>
      <c r="I53" s="13">
        <v>1000</v>
      </c>
      <c r="J53" s="13">
        <f t="shared" si="8"/>
        <v>2000</v>
      </c>
      <c r="K53" s="13">
        <f t="shared" si="9"/>
        <v>5072</v>
      </c>
      <c r="L53" s="14">
        <f t="shared" si="10"/>
        <v>0.79249999999999998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0.5</v>
      </c>
      <c r="B54" s="10" t="s">
        <v>17</v>
      </c>
      <c r="C54" s="11" t="s">
        <v>89</v>
      </c>
      <c r="D54" s="13">
        <v>11000</v>
      </c>
      <c r="E54" s="13">
        <f t="shared" si="6"/>
        <v>5500</v>
      </c>
      <c r="F54" s="13">
        <f t="shared" si="7"/>
        <v>6077.5</v>
      </c>
      <c r="G54" s="2"/>
      <c r="H54" s="2"/>
      <c r="I54" s="13">
        <v>9500</v>
      </c>
      <c r="J54" s="13">
        <f t="shared" si="8"/>
        <v>4750</v>
      </c>
      <c r="K54" s="13">
        <f t="shared" si="9"/>
        <v>1327.5</v>
      </c>
      <c r="L54" s="14">
        <f t="shared" si="10"/>
        <v>0.24136363636363636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2</v>
      </c>
      <c r="B55" s="10" t="s">
        <v>17</v>
      </c>
      <c r="C55" s="11" t="s">
        <v>62</v>
      </c>
      <c r="D55" s="13">
        <v>3000</v>
      </c>
      <c r="E55" s="13">
        <f t="shared" si="6"/>
        <v>6000</v>
      </c>
      <c r="F55" s="13">
        <f t="shared" si="7"/>
        <v>6630</v>
      </c>
      <c r="G55" s="2"/>
      <c r="H55" s="2"/>
      <c r="I55" s="13">
        <f>32000/18</f>
        <v>1777.7777777777778</v>
      </c>
      <c r="J55" s="13">
        <f t="shared" si="8"/>
        <v>3555.5555555555557</v>
      </c>
      <c r="K55" s="13">
        <f t="shared" si="9"/>
        <v>3074.4444444444443</v>
      </c>
      <c r="L55" s="14">
        <f t="shared" si="10"/>
        <v>0.51240740740740742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0.5</v>
      </c>
      <c r="B56" s="10" t="s">
        <v>23</v>
      </c>
      <c r="C56" s="11" t="s">
        <v>12</v>
      </c>
      <c r="D56" s="13">
        <v>54000</v>
      </c>
      <c r="E56" s="13">
        <f t="shared" si="6"/>
        <v>27000</v>
      </c>
      <c r="F56" s="13">
        <f>E56*1.21</f>
        <v>32670</v>
      </c>
      <c r="G56" s="2"/>
      <c r="H56" s="2"/>
      <c r="I56" s="13">
        <v>54000</v>
      </c>
      <c r="J56" s="13">
        <f t="shared" si="8"/>
        <v>27000</v>
      </c>
      <c r="K56" s="13">
        <f t="shared" si="9"/>
        <v>5670</v>
      </c>
      <c r="L56" s="14">
        <f t="shared" si="10"/>
        <v>0.21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"/>
      <c r="B57" s="2"/>
      <c r="C57" s="4"/>
      <c r="D57" s="2"/>
      <c r="E57" s="2"/>
      <c r="F57" s="2"/>
      <c r="G57" s="2"/>
      <c r="H57" s="2"/>
      <c r="I57" s="2"/>
      <c r="J57" s="2"/>
      <c r="K57" s="2"/>
      <c r="L57" s="3"/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"/>
      <c r="B58" s="2"/>
      <c r="C58" s="4"/>
      <c r="D58" s="2"/>
      <c r="E58" s="13">
        <f t="shared" ref="E58:F58" si="12">SUM(E21:E56)</f>
        <v>406640</v>
      </c>
      <c r="F58" s="13">
        <f t="shared" si="12"/>
        <v>452172.2</v>
      </c>
      <c r="G58" s="2"/>
      <c r="H58" s="2"/>
      <c r="I58" s="2"/>
      <c r="J58" s="2"/>
      <c r="K58" s="13">
        <f>SUM(K21:K56)</f>
        <v>148959.28029878618</v>
      </c>
      <c r="L58" s="14">
        <f>K58/F58</f>
        <v>0.32943042561835112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1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1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75" t="s">
        <v>50</v>
      </c>
      <c r="B61" s="76"/>
      <c r="C61" s="76"/>
      <c r="D61" s="2"/>
      <c r="E61" s="7" t="s">
        <v>58</v>
      </c>
      <c r="F61" s="8">
        <v>46118</v>
      </c>
      <c r="G61" s="2"/>
      <c r="H61" s="2"/>
      <c r="I61" s="9" t="s">
        <v>2</v>
      </c>
      <c r="J61" s="9"/>
      <c r="K61" s="9"/>
      <c r="L61" s="3"/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"/>
      <c r="B62" s="2"/>
      <c r="C62" s="5"/>
      <c r="D62" s="2"/>
      <c r="E62" s="2"/>
      <c r="F62" s="2"/>
      <c r="G62" s="2"/>
      <c r="H62" s="2"/>
      <c r="I62" s="2"/>
      <c r="J62" s="2"/>
      <c r="K62" s="2"/>
      <c r="L62" s="3"/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6" t="s">
        <v>3</v>
      </c>
      <c r="B63" s="10" t="s">
        <v>4</v>
      </c>
      <c r="C63" s="11" t="s">
        <v>5</v>
      </c>
      <c r="D63" s="10" t="s">
        <v>6</v>
      </c>
      <c r="E63" s="10" t="s">
        <v>7</v>
      </c>
      <c r="F63" s="10" t="s">
        <v>8</v>
      </c>
      <c r="G63" s="2"/>
      <c r="H63" s="2"/>
      <c r="I63" s="10" t="s">
        <v>9</v>
      </c>
      <c r="J63" s="10" t="s">
        <v>7</v>
      </c>
      <c r="K63" s="10" t="s">
        <v>10</v>
      </c>
      <c r="L63" s="3"/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4</v>
      </c>
      <c r="B64" s="10" t="s">
        <v>17</v>
      </c>
      <c r="C64" s="11" t="s">
        <v>43</v>
      </c>
      <c r="D64" s="13">
        <v>3200</v>
      </c>
      <c r="E64" s="13">
        <f t="shared" ref="E64:E92" si="13">A64*D64</f>
        <v>12800</v>
      </c>
      <c r="F64" s="13">
        <f t="shared" ref="F64:F83" si="14">E64*1.105</f>
        <v>14144</v>
      </c>
      <c r="G64" s="2"/>
      <c r="H64" s="2"/>
      <c r="I64" s="13">
        <f>10000/4</f>
        <v>2500</v>
      </c>
      <c r="J64" s="13">
        <f t="shared" ref="J64:J92" si="15">I64*A64</f>
        <v>10000</v>
      </c>
      <c r="K64" s="13">
        <f t="shared" ref="K64:K92" si="16">F64-J64</f>
        <v>4144</v>
      </c>
      <c r="L64" s="14">
        <f t="shared" ref="L64:L92" si="17">IFERROR(K64/E64, 0)</f>
        <v>0.32374999999999998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15</v>
      </c>
      <c r="B65" s="10" t="s">
        <v>21</v>
      </c>
      <c r="C65" s="11" t="s">
        <v>46</v>
      </c>
      <c r="D65" s="13">
        <v>600</v>
      </c>
      <c r="E65" s="13">
        <f t="shared" si="13"/>
        <v>9000</v>
      </c>
      <c r="F65" s="13">
        <f t="shared" si="14"/>
        <v>9945</v>
      </c>
      <c r="G65" s="2"/>
      <c r="H65" s="2"/>
      <c r="I65" s="13">
        <v>208</v>
      </c>
      <c r="J65" s="13">
        <f t="shared" si="15"/>
        <v>3120</v>
      </c>
      <c r="K65" s="13">
        <f t="shared" si="16"/>
        <v>6825</v>
      </c>
      <c r="L65" s="14">
        <f t="shared" si="17"/>
        <v>0.7583333333333333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5</v>
      </c>
      <c r="B66" s="10" t="s">
        <v>17</v>
      </c>
      <c r="C66" s="11" t="s">
        <v>62</v>
      </c>
      <c r="D66" s="13">
        <v>3000</v>
      </c>
      <c r="E66" s="13">
        <f t="shared" si="13"/>
        <v>15000</v>
      </c>
      <c r="F66" s="13">
        <f t="shared" si="14"/>
        <v>16575</v>
      </c>
      <c r="G66" s="2"/>
      <c r="H66" s="2"/>
      <c r="I66" s="13">
        <f>32000/18</f>
        <v>1777.7777777777778</v>
      </c>
      <c r="J66" s="13">
        <f t="shared" si="15"/>
        <v>8888.8888888888887</v>
      </c>
      <c r="K66" s="13">
        <f t="shared" si="16"/>
        <v>7686.1111111111113</v>
      </c>
      <c r="L66" s="14">
        <f t="shared" si="17"/>
        <v>0.51240740740740742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</v>
      </c>
      <c r="B67" s="10" t="s">
        <v>23</v>
      </c>
      <c r="C67" s="11" t="s">
        <v>26</v>
      </c>
      <c r="D67" s="13">
        <v>26000</v>
      </c>
      <c r="E67" s="13">
        <f t="shared" si="13"/>
        <v>26000</v>
      </c>
      <c r="F67" s="13">
        <f t="shared" si="14"/>
        <v>28730</v>
      </c>
      <c r="G67" s="2"/>
      <c r="H67" s="2"/>
      <c r="I67" s="13">
        <v>22000</v>
      </c>
      <c r="J67" s="13">
        <f t="shared" si="15"/>
        <v>22000</v>
      </c>
      <c r="K67" s="13">
        <f t="shared" si="16"/>
        <v>6730</v>
      </c>
      <c r="L67" s="14">
        <f t="shared" si="17"/>
        <v>0.25884615384615384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13</v>
      </c>
      <c r="B68" s="10" t="s">
        <v>21</v>
      </c>
      <c r="C68" s="11" t="s">
        <v>22</v>
      </c>
      <c r="D68" s="13">
        <v>1700</v>
      </c>
      <c r="E68" s="13">
        <f t="shared" si="13"/>
        <v>22100</v>
      </c>
      <c r="F68" s="13">
        <f t="shared" si="14"/>
        <v>24420.5</v>
      </c>
      <c r="G68" s="2"/>
      <c r="H68" s="2"/>
      <c r="I68" s="13">
        <v>1200</v>
      </c>
      <c r="J68" s="13">
        <f t="shared" si="15"/>
        <v>15600</v>
      </c>
      <c r="K68" s="13">
        <f t="shared" si="16"/>
        <v>8820.5</v>
      </c>
      <c r="L68" s="14">
        <f t="shared" si="17"/>
        <v>0.39911764705882352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2</v>
      </c>
      <c r="B69" s="10" t="s">
        <v>21</v>
      </c>
      <c r="C69" s="11" t="s">
        <v>28</v>
      </c>
      <c r="D69" s="13">
        <v>3000</v>
      </c>
      <c r="E69" s="13">
        <f t="shared" si="13"/>
        <v>6000</v>
      </c>
      <c r="F69" s="13">
        <f t="shared" si="14"/>
        <v>6630</v>
      </c>
      <c r="G69" s="2"/>
      <c r="H69" s="2"/>
      <c r="I69" s="13">
        <v>2000</v>
      </c>
      <c r="J69" s="13">
        <f t="shared" si="15"/>
        <v>4000</v>
      </c>
      <c r="K69" s="13">
        <f t="shared" si="16"/>
        <v>2630</v>
      </c>
      <c r="L69" s="14">
        <f t="shared" si="17"/>
        <v>0.43833333333333335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0.5</v>
      </c>
      <c r="B70" s="10" t="s">
        <v>21</v>
      </c>
      <c r="C70" s="11" t="s">
        <v>29</v>
      </c>
      <c r="D70" s="13">
        <v>3500</v>
      </c>
      <c r="E70" s="13">
        <f t="shared" si="13"/>
        <v>1750</v>
      </c>
      <c r="F70" s="13">
        <f t="shared" si="14"/>
        <v>1933.75</v>
      </c>
      <c r="G70" s="2"/>
      <c r="H70" s="2"/>
      <c r="I70" s="13">
        <v>1500</v>
      </c>
      <c r="J70" s="13">
        <f t="shared" si="15"/>
        <v>750</v>
      </c>
      <c r="K70" s="13">
        <f t="shared" si="16"/>
        <v>1183.75</v>
      </c>
      <c r="L70" s="14">
        <f t="shared" si="17"/>
        <v>0.67642857142857138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8</v>
      </c>
      <c r="B71" s="10" t="s">
        <v>17</v>
      </c>
      <c r="C71" s="11" t="s">
        <v>39</v>
      </c>
      <c r="D71" s="13">
        <v>2400</v>
      </c>
      <c r="E71" s="13">
        <f t="shared" si="13"/>
        <v>19200</v>
      </c>
      <c r="F71" s="13">
        <f t="shared" si="14"/>
        <v>21216</v>
      </c>
      <c r="G71" s="2"/>
      <c r="H71" s="2"/>
      <c r="I71" s="13">
        <v>1666</v>
      </c>
      <c r="J71" s="13">
        <f t="shared" si="15"/>
        <v>13328</v>
      </c>
      <c r="K71" s="13">
        <f t="shared" si="16"/>
        <v>7888</v>
      </c>
      <c r="L71" s="14">
        <f t="shared" si="17"/>
        <v>0.41083333333333333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4.5</v>
      </c>
      <c r="B72" s="10" t="s">
        <v>17</v>
      </c>
      <c r="C72" s="11" t="s">
        <v>78</v>
      </c>
      <c r="D72" s="13">
        <v>4000</v>
      </c>
      <c r="E72" s="13">
        <f t="shared" si="13"/>
        <v>18000</v>
      </c>
      <c r="F72" s="13">
        <f t="shared" si="14"/>
        <v>19890</v>
      </c>
      <c r="G72" s="2"/>
      <c r="H72" s="2"/>
      <c r="I72" s="13">
        <f>18000/8</f>
        <v>2250</v>
      </c>
      <c r="J72" s="13">
        <f t="shared" si="15"/>
        <v>10125</v>
      </c>
      <c r="K72" s="13">
        <f t="shared" si="16"/>
        <v>9765</v>
      </c>
      <c r="L72" s="14">
        <f t="shared" si="17"/>
        <v>0.54249999999999998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2</v>
      </c>
      <c r="B73" s="10" t="s">
        <v>4</v>
      </c>
      <c r="C73" s="11" t="s">
        <v>65</v>
      </c>
      <c r="D73" s="13">
        <v>1600</v>
      </c>
      <c r="E73" s="13">
        <f t="shared" si="13"/>
        <v>3200</v>
      </c>
      <c r="F73" s="13">
        <f t="shared" si="14"/>
        <v>3536</v>
      </c>
      <c r="G73" s="2"/>
      <c r="H73" s="2"/>
      <c r="I73" s="13">
        <v>1078</v>
      </c>
      <c r="J73" s="13">
        <f t="shared" si="15"/>
        <v>2156</v>
      </c>
      <c r="K73" s="13">
        <f t="shared" si="16"/>
        <v>1380</v>
      </c>
      <c r="L73" s="14">
        <f t="shared" si="17"/>
        <v>0.43125000000000002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5</v>
      </c>
      <c r="B74" s="10" t="s">
        <v>17</v>
      </c>
      <c r="C74" s="11" t="s">
        <v>129</v>
      </c>
      <c r="D74" s="13">
        <v>1600</v>
      </c>
      <c r="E74" s="13">
        <f t="shared" si="13"/>
        <v>8000</v>
      </c>
      <c r="F74" s="13">
        <f t="shared" si="14"/>
        <v>8840</v>
      </c>
      <c r="G74" s="2"/>
      <c r="H74" s="2"/>
      <c r="I74" s="13">
        <v>1200</v>
      </c>
      <c r="J74" s="13">
        <f t="shared" si="15"/>
        <v>6000</v>
      </c>
      <c r="K74" s="13">
        <f t="shared" si="16"/>
        <v>2840</v>
      </c>
      <c r="L74" s="14">
        <f t="shared" si="17"/>
        <v>0.35499999999999998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10</v>
      </c>
      <c r="B75" s="10" t="s">
        <v>17</v>
      </c>
      <c r="C75" s="11" t="s">
        <v>48</v>
      </c>
      <c r="D75" s="13">
        <v>1000</v>
      </c>
      <c r="E75" s="13">
        <f t="shared" si="13"/>
        <v>10000</v>
      </c>
      <c r="F75" s="13">
        <f t="shared" si="14"/>
        <v>11050</v>
      </c>
      <c r="G75" s="2"/>
      <c r="H75" s="2"/>
      <c r="I75" s="13">
        <v>500</v>
      </c>
      <c r="J75" s="13">
        <f t="shared" si="15"/>
        <v>5000</v>
      </c>
      <c r="K75" s="13">
        <f t="shared" si="16"/>
        <v>6050</v>
      </c>
      <c r="L75" s="18">
        <f t="shared" si="17"/>
        <v>0.60499999999999998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4</v>
      </c>
      <c r="B76" s="10" t="s">
        <v>15</v>
      </c>
      <c r="C76" s="11" t="s">
        <v>27</v>
      </c>
      <c r="D76" s="13">
        <v>23000</v>
      </c>
      <c r="E76" s="13">
        <f t="shared" si="13"/>
        <v>92000</v>
      </c>
      <c r="F76" s="13">
        <f t="shared" si="14"/>
        <v>101660</v>
      </c>
      <c r="G76" s="2"/>
      <c r="H76" s="2"/>
      <c r="I76" s="13">
        <v>18000</v>
      </c>
      <c r="J76" s="13">
        <f t="shared" si="15"/>
        <v>72000</v>
      </c>
      <c r="K76" s="13">
        <f t="shared" si="16"/>
        <v>29660</v>
      </c>
      <c r="L76" s="18">
        <f t="shared" si="17"/>
        <v>0.32239130434782609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2</v>
      </c>
      <c r="B77" s="10" t="s">
        <v>17</v>
      </c>
      <c r="C77" s="11" t="s">
        <v>82</v>
      </c>
      <c r="D77" s="13">
        <v>1400</v>
      </c>
      <c r="E77" s="13">
        <f t="shared" si="13"/>
        <v>2800</v>
      </c>
      <c r="F77" s="13">
        <f t="shared" si="14"/>
        <v>3094</v>
      </c>
      <c r="G77" s="2"/>
      <c r="H77" s="2"/>
      <c r="I77" s="13">
        <f>16000/15</f>
        <v>1066.6666666666667</v>
      </c>
      <c r="J77" s="13">
        <f t="shared" si="15"/>
        <v>2133.3333333333335</v>
      </c>
      <c r="K77" s="13">
        <f t="shared" si="16"/>
        <v>960.66666666666652</v>
      </c>
      <c r="L77" s="18">
        <f t="shared" si="17"/>
        <v>0.34309523809523806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2</v>
      </c>
      <c r="B78" s="10" t="s">
        <v>4</v>
      </c>
      <c r="C78" s="11" t="s">
        <v>14</v>
      </c>
      <c r="D78" s="13">
        <v>2600</v>
      </c>
      <c r="E78" s="13">
        <f t="shared" si="13"/>
        <v>5200</v>
      </c>
      <c r="F78" s="13">
        <f t="shared" si="14"/>
        <v>5746</v>
      </c>
      <c r="G78" s="2"/>
      <c r="H78" s="2"/>
      <c r="I78" s="13">
        <f>15000/8</f>
        <v>1875</v>
      </c>
      <c r="J78" s="13">
        <f t="shared" si="15"/>
        <v>3750</v>
      </c>
      <c r="K78" s="13">
        <f t="shared" si="16"/>
        <v>1996</v>
      </c>
      <c r="L78" s="18">
        <f t="shared" si="17"/>
        <v>0.38384615384615384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1</v>
      </c>
      <c r="B79" s="10" t="s">
        <v>17</v>
      </c>
      <c r="C79" s="11" t="s">
        <v>35</v>
      </c>
      <c r="D79" s="13">
        <v>2500</v>
      </c>
      <c r="E79" s="13">
        <f t="shared" si="13"/>
        <v>2500</v>
      </c>
      <c r="F79" s="13">
        <f t="shared" si="14"/>
        <v>2762.5</v>
      </c>
      <c r="G79" s="2"/>
      <c r="H79" s="2"/>
      <c r="I79" s="13">
        <v>1400</v>
      </c>
      <c r="J79" s="13">
        <f t="shared" si="15"/>
        <v>1400</v>
      </c>
      <c r="K79" s="13">
        <f t="shared" si="16"/>
        <v>1362.5</v>
      </c>
      <c r="L79" s="18">
        <f t="shared" si="17"/>
        <v>0.54500000000000004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</v>
      </c>
      <c r="B80" s="10" t="s">
        <v>15</v>
      </c>
      <c r="C80" s="11" t="s">
        <v>40</v>
      </c>
      <c r="D80" s="13">
        <v>12000</v>
      </c>
      <c r="E80" s="13">
        <f t="shared" si="13"/>
        <v>12000</v>
      </c>
      <c r="F80" s="13">
        <f t="shared" si="14"/>
        <v>13260</v>
      </c>
      <c r="G80" s="2"/>
      <c r="H80" s="2"/>
      <c r="I80" s="13">
        <v>7000</v>
      </c>
      <c r="J80" s="13">
        <f t="shared" si="15"/>
        <v>7000</v>
      </c>
      <c r="K80" s="13">
        <f t="shared" si="16"/>
        <v>6260</v>
      </c>
      <c r="L80" s="33">
        <f t="shared" si="17"/>
        <v>0.52166666666666661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3</v>
      </c>
      <c r="B81" s="10" t="s">
        <v>17</v>
      </c>
      <c r="C81" s="11" t="s">
        <v>40</v>
      </c>
      <c r="D81" s="13">
        <v>1300</v>
      </c>
      <c r="E81" s="13">
        <f t="shared" si="13"/>
        <v>3900</v>
      </c>
      <c r="F81" s="13">
        <f t="shared" si="14"/>
        <v>4309.5</v>
      </c>
      <c r="G81" s="2"/>
      <c r="H81" s="2"/>
      <c r="I81" s="13">
        <f>7000/9</f>
        <v>777.77777777777783</v>
      </c>
      <c r="J81" s="13">
        <f t="shared" si="15"/>
        <v>2333.3333333333335</v>
      </c>
      <c r="K81" s="13">
        <f t="shared" si="16"/>
        <v>1976.1666666666665</v>
      </c>
      <c r="L81" s="33">
        <f t="shared" si="17"/>
        <v>0.50670940170940171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1</v>
      </c>
      <c r="B82" s="10" t="s">
        <v>23</v>
      </c>
      <c r="C82" s="11" t="s">
        <v>25</v>
      </c>
      <c r="D82" s="13">
        <v>72000</v>
      </c>
      <c r="E82" s="13">
        <f t="shared" si="13"/>
        <v>72000</v>
      </c>
      <c r="F82" s="13">
        <f t="shared" si="14"/>
        <v>79560</v>
      </c>
      <c r="G82" s="2"/>
      <c r="H82" s="2"/>
      <c r="I82" s="13">
        <v>65000</v>
      </c>
      <c r="J82" s="13">
        <f t="shared" si="15"/>
        <v>65000</v>
      </c>
      <c r="K82" s="13">
        <f t="shared" si="16"/>
        <v>14560</v>
      </c>
      <c r="L82" s="18">
        <f t="shared" si="17"/>
        <v>0.20222222222222222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1</v>
      </c>
      <c r="B83" s="10" t="s">
        <v>23</v>
      </c>
      <c r="C83" s="11" t="s">
        <v>24</v>
      </c>
      <c r="D83" s="13">
        <v>60000</v>
      </c>
      <c r="E83" s="13">
        <f t="shared" si="13"/>
        <v>60000</v>
      </c>
      <c r="F83" s="13">
        <f t="shared" si="14"/>
        <v>66300</v>
      </c>
      <c r="G83" s="2"/>
      <c r="H83" s="2"/>
      <c r="I83" s="13">
        <v>52000</v>
      </c>
      <c r="J83" s="13">
        <f t="shared" si="15"/>
        <v>52000</v>
      </c>
      <c r="K83" s="13">
        <f t="shared" si="16"/>
        <v>14300</v>
      </c>
      <c r="L83" s="18">
        <f t="shared" si="17"/>
        <v>0.23833333333333334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0.5</v>
      </c>
      <c r="B84" s="10" t="s">
        <v>23</v>
      </c>
      <c r="C84" s="11" t="s">
        <v>12</v>
      </c>
      <c r="D84" s="13">
        <v>54000</v>
      </c>
      <c r="E84" s="13">
        <f t="shared" si="13"/>
        <v>27000</v>
      </c>
      <c r="F84" s="13">
        <f>E84*1.21</f>
        <v>32670</v>
      </c>
      <c r="G84" s="2"/>
      <c r="H84" s="2"/>
      <c r="I84" s="13">
        <v>54000</v>
      </c>
      <c r="J84" s="13">
        <f t="shared" si="15"/>
        <v>27000</v>
      </c>
      <c r="K84" s="13">
        <f t="shared" si="16"/>
        <v>5670</v>
      </c>
      <c r="L84" s="33">
        <f t="shared" si="17"/>
        <v>0.21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1.65</v>
      </c>
      <c r="B85" s="10" t="s">
        <v>17</v>
      </c>
      <c r="C85" s="11" t="s">
        <v>36</v>
      </c>
      <c r="D85" s="13">
        <v>1800</v>
      </c>
      <c r="E85" s="13">
        <f t="shared" si="13"/>
        <v>2970</v>
      </c>
      <c r="F85" s="13">
        <f t="shared" ref="F85:F92" si="18">E85*1.105</f>
        <v>3281.85</v>
      </c>
      <c r="G85" s="2"/>
      <c r="H85" s="2"/>
      <c r="I85" s="13">
        <v>1000</v>
      </c>
      <c r="J85" s="13">
        <f t="shared" si="15"/>
        <v>1650</v>
      </c>
      <c r="K85" s="13">
        <f t="shared" si="16"/>
        <v>1631.85</v>
      </c>
      <c r="L85" s="18">
        <f t="shared" si="17"/>
        <v>0.5494444444444444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1.4</v>
      </c>
      <c r="B86" s="10" t="s">
        <v>17</v>
      </c>
      <c r="C86" s="11" t="s">
        <v>38</v>
      </c>
      <c r="D86" s="13">
        <v>1800</v>
      </c>
      <c r="E86" s="13">
        <f t="shared" si="13"/>
        <v>2520</v>
      </c>
      <c r="F86" s="13">
        <f t="shared" si="18"/>
        <v>2784.6</v>
      </c>
      <c r="G86" s="2"/>
      <c r="H86" s="2"/>
      <c r="I86" s="13">
        <v>1000</v>
      </c>
      <c r="J86" s="13">
        <f t="shared" si="15"/>
        <v>1400</v>
      </c>
      <c r="K86" s="13">
        <f t="shared" si="16"/>
        <v>1384.6</v>
      </c>
      <c r="L86" s="14">
        <f t="shared" si="17"/>
        <v>0.5494444444444444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</v>
      </c>
      <c r="B87" s="10" t="s">
        <v>17</v>
      </c>
      <c r="C87" s="11" t="s">
        <v>89</v>
      </c>
      <c r="D87" s="13">
        <v>11000</v>
      </c>
      <c r="E87" s="13">
        <f t="shared" si="13"/>
        <v>11000</v>
      </c>
      <c r="F87" s="13">
        <f t="shared" si="18"/>
        <v>12155</v>
      </c>
      <c r="G87" s="2"/>
      <c r="H87" s="2"/>
      <c r="I87" s="13">
        <f>38000/4</f>
        <v>9500</v>
      </c>
      <c r="J87" s="13">
        <f t="shared" si="15"/>
        <v>9500</v>
      </c>
      <c r="K87" s="13">
        <f t="shared" si="16"/>
        <v>2655</v>
      </c>
      <c r="L87" s="14">
        <f t="shared" si="17"/>
        <v>0.24136363636363636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4</v>
      </c>
      <c r="B88" s="10" t="s">
        <v>17</v>
      </c>
      <c r="C88" s="11" t="s">
        <v>123</v>
      </c>
      <c r="D88" s="13">
        <v>3200</v>
      </c>
      <c r="E88" s="13">
        <f t="shared" si="13"/>
        <v>12800</v>
      </c>
      <c r="F88" s="13">
        <f t="shared" si="18"/>
        <v>14144</v>
      </c>
      <c r="G88" s="2"/>
      <c r="H88" s="2"/>
      <c r="I88" s="13">
        <f>32000/15</f>
        <v>2133.3333333333335</v>
      </c>
      <c r="J88" s="13">
        <f t="shared" si="15"/>
        <v>8533.3333333333339</v>
      </c>
      <c r="K88" s="13">
        <f t="shared" si="16"/>
        <v>5610.6666666666661</v>
      </c>
      <c r="L88" s="14">
        <f t="shared" si="17"/>
        <v>0.4383333333333333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2</v>
      </c>
      <c r="B89" s="10" t="s">
        <v>17</v>
      </c>
      <c r="C89" s="11" t="s">
        <v>31</v>
      </c>
      <c r="D89" s="13">
        <v>3200</v>
      </c>
      <c r="E89" s="13">
        <f t="shared" si="13"/>
        <v>6400</v>
      </c>
      <c r="F89" s="13">
        <f t="shared" si="18"/>
        <v>7072</v>
      </c>
      <c r="G89" s="2"/>
      <c r="H89" s="2"/>
      <c r="I89" s="13">
        <f t="shared" ref="I89:I90" si="19">15000/7</f>
        <v>2142.8571428571427</v>
      </c>
      <c r="J89" s="13">
        <f t="shared" si="15"/>
        <v>4285.7142857142853</v>
      </c>
      <c r="K89" s="13">
        <f t="shared" si="16"/>
        <v>2786.2857142857147</v>
      </c>
      <c r="L89" s="14">
        <f t="shared" si="17"/>
        <v>0.43535714285714294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17</v>
      </c>
      <c r="C90" s="11" t="s">
        <v>32</v>
      </c>
      <c r="D90" s="13">
        <v>2400</v>
      </c>
      <c r="E90" s="13">
        <f t="shared" si="13"/>
        <v>2400</v>
      </c>
      <c r="F90" s="13">
        <f t="shared" si="18"/>
        <v>2652</v>
      </c>
      <c r="G90" s="2"/>
      <c r="H90" s="2"/>
      <c r="I90" s="13">
        <f t="shared" si="19"/>
        <v>2142.8571428571427</v>
      </c>
      <c r="J90" s="13">
        <f t="shared" si="15"/>
        <v>2142.8571428571427</v>
      </c>
      <c r="K90" s="13">
        <f t="shared" si="16"/>
        <v>509.14285714285734</v>
      </c>
      <c r="L90" s="14">
        <f t="shared" si="17"/>
        <v>0.21214285714285722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2</v>
      </c>
      <c r="B91" s="10" t="s">
        <v>17</v>
      </c>
      <c r="C91" s="11" t="s">
        <v>34</v>
      </c>
      <c r="D91" s="13">
        <v>5000</v>
      </c>
      <c r="E91" s="13">
        <f t="shared" si="13"/>
        <v>10000</v>
      </c>
      <c r="F91" s="13">
        <f t="shared" si="18"/>
        <v>11050</v>
      </c>
      <c r="G91" s="2"/>
      <c r="H91" s="2"/>
      <c r="I91" s="13">
        <v>2500</v>
      </c>
      <c r="J91" s="13">
        <f t="shared" si="15"/>
        <v>5000</v>
      </c>
      <c r="K91" s="13">
        <f t="shared" si="16"/>
        <v>6050</v>
      </c>
      <c r="L91" s="14">
        <f t="shared" si="17"/>
        <v>0.60499999999999998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</v>
      </c>
      <c r="B92" s="10" t="s">
        <v>17</v>
      </c>
      <c r="C92" s="11" t="s">
        <v>64</v>
      </c>
      <c r="D92" s="13">
        <v>2500</v>
      </c>
      <c r="E92" s="13">
        <f t="shared" si="13"/>
        <v>2500</v>
      </c>
      <c r="F92" s="13">
        <f t="shared" si="18"/>
        <v>2762.5</v>
      </c>
      <c r="G92" s="2"/>
      <c r="H92" s="2"/>
      <c r="I92" s="13">
        <v>1000</v>
      </c>
      <c r="J92" s="13">
        <f t="shared" si="15"/>
        <v>1000</v>
      </c>
      <c r="K92" s="13">
        <f t="shared" si="16"/>
        <v>1762.5</v>
      </c>
      <c r="L92" s="14">
        <f t="shared" si="17"/>
        <v>0.70499999999999996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5"/>
      <c r="B93" s="2"/>
      <c r="C93" s="4"/>
      <c r="D93" s="2"/>
      <c r="E93" s="2"/>
      <c r="F93" s="2"/>
      <c r="G93" s="2"/>
      <c r="H93" s="2"/>
      <c r="I93" s="2"/>
      <c r="J93" s="2"/>
      <c r="K93" s="2"/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"/>
      <c r="B94" s="2"/>
      <c r="C94" s="4"/>
      <c r="D94" s="2"/>
      <c r="E94" s="13">
        <f t="shared" ref="E94:F94" si="20">SUM(E64:E92)</f>
        <v>479040</v>
      </c>
      <c r="F94" s="13">
        <f t="shared" si="20"/>
        <v>532174.19999999995</v>
      </c>
      <c r="G94" s="2"/>
      <c r="H94" s="2"/>
      <c r="I94" s="2"/>
      <c r="J94" s="2"/>
      <c r="K94" s="13">
        <f>SUM(K64:K92)</f>
        <v>165077.73968253969</v>
      </c>
      <c r="L94" s="14">
        <f>K94/F94</f>
        <v>0.31019493181469471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1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75" t="s">
        <v>53</v>
      </c>
      <c r="B97" s="76"/>
      <c r="C97" s="76"/>
      <c r="D97" s="2"/>
      <c r="E97" s="7" t="s">
        <v>69</v>
      </c>
      <c r="F97" s="8">
        <v>46118</v>
      </c>
      <c r="G97" s="2"/>
      <c r="H97" s="2"/>
      <c r="I97" s="9" t="s">
        <v>2</v>
      </c>
      <c r="J97" s="9"/>
      <c r="K97" s="9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"/>
      <c r="B98" s="2"/>
      <c r="C98" s="5"/>
      <c r="D98" s="2"/>
      <c r="E98" s="2"/>
      <c r="F98" s="2"/>
      <c r="G98" s="2"/>
      <c r="H98" s="2"/>
      <c r="I98" s="2"/>
      <c r="J98" s="2"/>
      <c r="K98" s="2"/>
      <c r="L98" s="3"/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6" t="s">
        <v>3</v>
      </c>
      <c r="B99" s="10" t="s">
        <v>4</v>
      </c>
      <c r="C99" s="11" t="s">
        <v>5</v>
      </c>
      <c r="D99" s="10" t="s">
        <v>6</v>
      </c>
      <c r="E99" s="10" t="s">
        <v>7</v>
      </c>
      <c r="F99" s="10" t="s">
        <v>8</v>
      </c>
      <c r="G99" s="2"/>
      <c r="H99" s="2"/>
      <c r="I99" s="10" t="s">
        <v>9</v>
      </c>
      <c r="J99" s="10" t="s">
        <v>7</v>
      </c>
      <c r="K99" s="10" t="s">
        <v>10</v>
      </c>
      <c r="L99" s="3"/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2</v>
      </c>
      <c r="B100" s="10" t="s">
        <v>23</v>
      </c>
      <c r="C100" s="11" t="s">
        <v>39</v>
      </c>
      <c r="D100" s="13">
        <v>36000</v>
      </c>
      <c r="E100" s="13">
        <f t="shared" ref="E100:E135" si="21">A100*D100</f>
        <v>72000</v>
      </c>
      <c r="F100" s="13">
        <f t="shared" ref="F100:F134" si="22">E100*1.105</f>
        <v>79560</v>
      </c>
      <c r="G100" s="2"/>
      <c r="H100" s="2"/>
      <c r="I100" s="13">
        <v>25000</v>
      </c>
      <c r="J100" s="13">
        <f t="shared" ref="J100:J135" si="23">I100*A100</f>
        <v>50000</v>
      </c>
      <c r="K100" s="13">
        <f t="shared" ref="K100:K135" si="24">F100-J100</f>
        <v>29560</v>
      </c>
      <c r="L100" s="14">
        <f t="shared" ref="L100:L135" si="25">IFERROR(K100/E100, 0)</f>
        <v>0.41055555555555556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23</v>
      </c>
      <c r="C101" s="11" t="s">
        <v>43</v>
      </c>
      <c r="D101" s="13">
        <v>21000</v>
      </c>
      <c r="E101" s="13">
        <f t="shared" si="21"/>
        <v>21000</v>
      </c>
      <c r="F101" s="13">
        <f t="shared" si="22"/>
        <v>23205</v>
      </c>
      <c r="G101" s="2"/>
      <c r="H101" s="2"/>
      <c r="I101" s="13">
        <v>17000</v>
      </c>
      <c r="J101" s="13">
        <f t="shared" si="23"/>
        <v>17000</v>
      </c>
      <c r="K101" s="13">
        <f t="shared" si="24"/>
        <v>6205</v>
      </c>
      <c r="L101" s="14">
        <f t="shared" si="25"/>
        <v>0.2954761904761905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</v>
      </c>
      <c r="B102" s="10" t="s">
        <v>23</v>
      </c>
      <c r="C102" s="11" t="s">
        <v>46</v>
      </c>
      <c r="D102" s="13">
        <v>9000</v>
      </c>
      <c r="E102" s="13">
        <f t="shared" si="21"/>
        <v>9000</v>
      </c>
      <c r="F102" s="13">
        <f t="shared" si="22"/>
        <v>9945</v>
      </c>
      <c r="G102" s="2"/>
      <c r="H102" s="2"/>
      <c r="I102" s="13">
        <v>5000</v>
      </c>
      <c r="J102" s="13">
        <f t="shared" si="23"/>
        <v>5000</v>
      </c>
      <c r="K102" s="13">
        <f t="shared" si="24"/>
        <v>4945</v>
      </c>
      <c r="L102" s="14">
        <f t="shared" si="25"/>
        <v>0.5494444444444444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4</v>
      </c>
      <c r="B103" s="10" t="s">
        <v>15</v>
      </c>
      <c r="C103" s="11" t="s">
        <v>40</v>
      </c>
      <c r="D103" s="13">
        <v>12000</v>
      </c>
      <c r="E103" s="13">
        <f t="shared" si="21"/>
        <v>48000</v>
      </c>
      <c r="F103" s="13">
        <f t="shared" si="22"/>
        <v>53040</v>
      </c>
      <c r="G103" s="2"/>
      <c r="H103" s="2"/>
      <c r="I103" s="13">
        <v>7000</v>
      </c>
      <c r="J103" s="13">
        <f t="shared" si="23"/>
        <v>28000</v>
      </c>
      <c r="K103" s="13">
        <f t="shared" si="24"/>
        <v>25040</v>
      </c>
      <c r="L103" s="14">
        <f t="shared" si="25"/>
        <v>0.52166666666666661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5</v>
      </c>
      <c r="B104" s="10" t="s">
        <v>15</v>
      </c>
      <c r="C104" s="11" t="s">
        <v>27</v>
      </c>
      <c r="D104" s="13">
        <v>23000</v>
      </c>
      <c r="E104" s="13">
        <f t="shared" si="21"/>
        <v>115000</v>
      </c>
      <c r="F104" s="13">
        <f t="shared" si="22"/>
        <v>127075</v>
      </c>
      <c r="G104" s="2"/>
      <c r="H104" s="2"/>
      <c r="I104" s="13">
        <v>18000</v>
      </c>
      <c r="J104" s="13">
        <f t="shared" si="23"/>
        <v>90000</v>
      </c>
      <c r="K104" s="13">
        <f t="shared" si="24"/>
        <v>37075</v>
      </c>
      <c r="L104" s="14">
        <f t="shared" si="25"/>
        <v>0.32239130434782609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15</v>
      </c>
      <c r="C105" s="11" t="s">
        <v>16</v>
      </c>
      <c r="D105" s="13">
        <v>13000</v>
      </c>
      <c r="E105" s="13">
        <f t="shared" si="21"/>
        <v>26000</v>
      </c>
      <c r="F105" s="13">
        <f t="shared" si="22"/>
        <v>28730</v>
      </c>
      <c r="G105" s="2"/>
      <c r="H105" s="2"/>
      <c r="I105" s="13">
        <v>8000</v>
      </c>
      <c r="J105" s="13">
        <f t="shared" si="23"/>
        <v>16000</v>
      </c>
      <c r="K105" s="13">
        <f t="shared" si="24"/>
        <v>12730</v>
      </c>
      <c r="L105" s="14">
        <f t="shared" si="25"/>
        <v>0.48961538461538462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1</v>
      </c>
      <c r="B106" s="10" t="s">
        <v>15</v>
      </c>
      <c r="C106" s="11" t="s">
        <v>129</v>
      </c>
      <c r="D106" s="13">
        <v>15000</v>
      </c>
      <c r="E106" s="13">
        <f t="shared" si="21"/>
        <v>15000</v>
      </c>
      <c r="F106" s="13">
        <f t="shared" si="22"/>
        <v>16575</v>
      </c>
      <c r="G106" s="2"/>
      <c r="H106" s="2"/>
      <c r="I106" s="13">
        <v>12000</v>
      </c>
      <c r="J106" s="13">
        <f t="shared" si="23"/>
        <v>12000</v>
      </c>
      <c r="K106" s="13">
        <f t="shared" si="24"/>
        <v>4575</v>
      </c>
      <c r="L106" s="14">
        <f t="shared" si="25"/>
        <v>0.30499999999999999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6.2</v>
      </c>
      <c r="B107" s="10" t="s">
        <v>17</v>
      </c>
      <c r="C107" s="11" t="s">
        <v>36</v>
      </c>
      <c r="D107" s="13">
        <v>1800</v>
      </c>
      <c r="E107" s="13">
        <f t="shared" si="21"/>
        <v>11160</v>
      </c>
      <c r="F107" s="13">
        <f t="shared" si="22"/>
        <v>12331.8</v>
      </c>
      <c r="G107" s="2"/>
      <c r="H107" s="2"/>
      <c r="I107" s="13">
        <v>1000</v>
      </c>
      <c r="J107" s="13">
        <f t="shared" si="23"/>
        <v>6200</v>
      </c>
      <c r="K107" s="13">
        <f t="shared" si="24"/>
        <v>6131.7999999999993</v>
      </c>
      <c r="L107" s="14">
        <f t="shared" si="25"/>
        <v>0.5494444444444444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7.4</v>
      </c>
      <c r="B108" s="10" t="s">
        <v>17</v>
      </c>
      <c r="C108" s="11" t="s">
        <v>38</v>
      </c>
      <c r="D108" s="13">
        <v>1800</v>
      </c>
      <c r="E108" s="13">
        <f t="shared" si="21"/>
        <v>13320</v>
      </c>
      <c r="F108" s="13">
        <f t="shared" si="22"/>
        <v>14718.6</v>
      </c>
      <c r="G108" s="2"/>
      <c r="H108" s="2"/>
      <c r="I108" s="13">
        <v>1000</v>
      </c>
      <c r="J108" s="13">
        <f t="shared" si="23"/>
        <v>7400</v>
      </c>
      <c r="K108" s="13">
        <f t="shared" si="24"/>
        <v>7318.6</v>
      </c>
      <c r="L108" s="14">
        <f t="shared" si="25"/>
        <v>0.54944444444444451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6</v>
      </c>
      <c r="B109" s="10" t="s">
        <v>17</v>
      </c>
      <c r="C109" s="34" t="s">
        <v>82</v>
      </c>
      <c r="D109" s="13">
        <v>1400</v>
      </c>
      <c r="E109" s="13">
        <f t="shared" si="21"/>
        <v>8400</v>
      </c>
      <c r="F109" s="13">
        <f t="shared" si="22"/>
        <v>9282</v>
      </c>
      <c r="G109" s="2"/>
      <c r="H109" s="2"/>
      <c r="I109" s="13">
        <f>16000/15</f>
        <v>1066.6666666666667</v>
      </c>
      <c r="J109" s="13">
        <f t="shared" si="23"/>
        <v>6400</v>
      </c>
      <c r="K109" s="13">
        <f t="shared" si="24"/>
        <v>2882</v>
      </c>
      <c r="L109" s="14">
        <f t="shared" si="25"/>
        <v>0.34309523809523812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3</v>
      </c>
      <c r="B110" s="10" t="s">
        <v>17</v>
      </c>
      <c r="C110" s="11" t="s">
        <v>31</v>
      </c>
      <c r="D110" s="13">
        <v>3200</v>
      </c>
      <c r="E110" s="13">
        <f t="shared" si="21"/>
        <v>9600</v>
      </c>
      <c r="F110" s="13">
        <f t="shared" si="22"/>
        <v>10608</v>
      </c>
      <c r="G110" s="2"/>
      <c r="H110" s="2"/>
      <c r="I110" s="13">
        <f t="shared" ref="I110:I112" si="26">15000/7</f>
        <v>2142.8571428571427</v>
      </c>
      <c r="J110" s="13">
        <f t="shared" si="23"/>
        <v>6428.5714285714275</v>
      </c>
      <c r="K110" s="13">
        <f t="shared" si="24"/>
        <v>4179.4285714285725</v>
      </c>
      <c r="L110" s="14">
        <f t="shared" si="25"/>
        <v>0.43535714285714294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2</v>
      </c>
      <c r="B111" s="10" t="s">
        <v>17</v>
      </c>
      <c r="C111" s="11" t="s">
        <v>32</v>
      </c>
      <c r="D111" s="13">
        <v>2400</v>
      </c>
      <c r="E111" s="13">
        <f t="shared" si="21"/>
        <v>4800</v>
      </c>
      <c r="F111" s="13">
        <f t="shared" si="22"/>
        <v>5304</v>
      </c>
      <c r="G111" s="2"/>
      <c r="H111" s="2"/>
      <c r="I111" s="13">
        <f t="shared" si="26"/>
        <v>2142.8571428571427</v>
      </c>
      <c r="J111" s="13">
        <f t="shared" si="23"/>
        <v>4285.7142857142853</v>
      </c>
      <c r="K111" s="13">
        <f t="shared" si="24"/>
        <v>1018.2857142857147</v>
      </c>
      <c r="L111" s="14">
        <f t="shared" si="25"/>
        <v>0.21214285714285722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</v>
      </c>
      <c r="B112" s="10" t="s">
        <v>17</v>
      </c>
      <c r="C112" s="11" t="s">
        <v>33</v>
      </c>
      <c r="D112" s="13">
        <v>2800</v>
      </c>
      <c r="E112" s="13">
        <f t="shared" si="21"/>
        <v>5600</v>
      </c>
      <c r="F112" s="13">
        <f t="shared" si="22"/>
        <v>6188</v>
      </c>
      <c r="G112" s="2"/>
      <c r="H112" s="13"/>
      <c r="I112" s="13">
        <f t="shared" si="26"/>
        <v>2142.8571428571427</v>
      </c>
      <c r="J112" s="13">
        <f t="shared" si="23"/>
        <v>4285.7142857142853</v>
      </c>
      <c r="K112" s="13">
        <f t="shared" si="24"/>
        <v>1902.2857142857147</v>
      </c>
      <c r="L112" s="14">
        <f t="shared" si="25"/>
        <v>0.33969387755102048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</v>
      </c>
      <c r="B113" s="10" t="s">
        <v>17</v>
      </c>
      <c r="C113" s="11" t="s">
        <v>19</v>
      </c>
      <c r="D113" s="13">
        <v>4000</v>
      </c>
      <c r="E113" s="13">
        <f t="shared" si="21"/>
        <v>4000</v>
      </c>
      <c r="F113" s="13">
        <f t="shared" si="22"/>
        <v>4420</v>
      </c>
      <c r="G113" s="2"/>
      <c r="H113" s="13"/>
      <c r="I113" s="13">
        <f>18000/8</f>
        <v>2250</v>
      </c>
      <c r="J113" s="13">
        <f t="shared" si="23"/>
        <v>2250</v>
      </c>
      <c r="K113" s="13">
        <f t="shared" si="24"/>
        <v>2170</v>
      </c>
      <c r="L113" s="14">
        <f t="shared" si="25"/>
        <v>0.54249999999999998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5</v>
      </c>
      <c r="B114" s="10" t="s">
        <v>17</v>
      </c>
      <c r="C114" s="11" t="s">
        <v>78</v>
      </c>
      <c r="D114" s="13">
        <v>4000</v>
      </c>
      <c r="E114" s="13">
        <f t="shared" si="21"/>
        <v>20000</v>
      </c>
      <c r="F114" s="13">
        <f t="shared" si="22"/>
        <v>22100</v>
      </c>
      <c r="G114" s="2"/>
      <c r="H114" s="2"/>
      <c r="I114" s="13">
        <f>13000/8</f>
        <v>1625</v>
      </c>
      <c r="J114" s="13">
        <f t="shared" si="23"/>
        <v>8125</v>
      </c>
      <c r="K114" s="13">
        <f t="shared" si="24"/>
        <v>13975</v>
      </c>
      <c r="L114" s="14">
        <f t="shared" si="25"/>
        <v>0.69874999999999998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21</v>
      </c>
      <c r="C115" s="11" t="s">
        <v>42</v>
      </c>
      <c r="D115" s="13">
        <v>4500</v>
      </c>
      <c r="E115" s="13">
        <f t="shared" si="21"/>
        <v>4500</v>
      </c>
      <c r="F115" s="13">
        <f t="shared" si="22"/>
        <v>4972.5</v>
      </c>
      <c r="G115" s="2"/>
      <c r="H115" s="2"/>
      <c r="I115" s="13">
        <v>1200</v>
      </c>
      <c r="J115" s="13">
        <f t="shared" si="23"/>
        <v>1200</v>
      </c>
      <c r="K115" s="13">
        <f t="shared" si="24"/>
        <v>3772.5</v>
      </c>
      <c r="L115" s="14">
        <f t="shared" si="25"/>
        <v>0.83833333333333337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4</v>
      </c>
      <c r="C116" s="11" t="s">
        <v>64</v>
      </c>
      <c r="D116" s="13">
        <v>2500</v>
      </c>
      <c r="E116" s="13">
        <f t="shared" si="21"/>
        <v>2500</v>
      </c>
      <c r="F116" s="13">
        <f t="shared" si="22"/>
        <v>2762.5</v>
      </c>
      <c r="G116" s="2"/>
      <c r="H116" s="2"/>
      <c r="I116" s="13">
        <v>1000</v>
      </c>
      <c r="J116" s="13">
        <f t="shared" si="23"/>
        <v>1000</v>
      </c>
      <c r="K116" s="13">
        <f t="shared" si="24"/>
        <v>1762.5</v>
      </c>
      <c r="L116" s="14">
        <f t="shared" si="25"/>
        <v>0.70499999999999996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4</v>
      </c>
      <c r="B117" s="10" t="s">
        <v>4</v>
      </c>
      <c r="C117" s="11" t="s">
        <v>65</v>
      </c>
      <c r="D117" s="13">
        <v>1600</v>
      </c>
      <c r="E117" s="13">
        <f t="shared" si="21"/>
        <v>6400</v>
      </c>
      <c r="F117" s="13">
        <f t="shared" si="22"/>
        <v>7072</v>
      </c>
      <c r="G117" s="2"/>
      <c r="H117" s="2"/>
      <c r="I117" s="13">
        <v>1078</v>
      </c>
      <c r="J117" s="13">
        <f t="shared" si="23"/>
        <v>4312</v>
      </c>
      <c r="K117" s="13">
        <f t="shared" si="24"/>
        <v>2760</v>
      </c>
      <c r="L117" s="14">
        <f t="shared" si="25"/>
        <v>0.43125000000000002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1</v>
      </c>
      <c r="B118" s="10" t="s">
        <v>17</v>
      </c>
      <c r="C118" s="11" t="s">
        <v>93</v>
      </c>
      <c r="D118" s="13">
        <v>3000</v>
      </c>
      <c r="E118" s="13">
        <f t="shared" si="21"/>
        <v>3000</v>
      </c>
      <c r="F118" s="13">
        <f t="shared" si="22"/>
        <v>3315</v>
      </c>
      <c r="G118" s="2"/>
      <c r="H118" s="2"/>
      <c r="I118" s="13">
        <v>1857.14</v>
      </c>
      <c r="J118" s="13">
        <f t="shared" si="23"/>
        <v>1857.14</v>
      </c>
      <c r="K118" s="13">
        <f t="shared" si="24"/>
        <v>1457.86</v>
      </c>
      <c r="L118" s="14">
        <f t="shared" si="25"/>
        <v>0.48595333333333329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21</v>
      </c>
      <c r="C119" s="11" t="s">
        <v>133</v>
      </c>
      <c r="D119" s="13">
        <v>3000</v>
      </c>
      <c r="E119" s="13">
        <f t="shared" si="21"/>
        <v>6000</v>
      </c>
      <c r="F119" s="13">
        <f t="shared" si="22"/>
        <v>6630</v>
      </c>
      <c r="G119" s="2"/>
      <c r="H119" s="2"/>
      <c r="I119" s="17">
        <v>500</v>
      </c>
      <c r="J119" s="13">
        <f t="shared" si="23"/>
        <v>1000</v>
      </c>
      <c r="K119" s="13">
        <f t="shared" si="24"/>
        <v>5630</v>
      </c>
      <c r="L119" s="14">
        <f t="shared" si="25"/>
        <v>0.93833333333333335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2</v>
      </c>
      <c r="B120" s="10" t="s">
        <v>21</v>
      </c>
      <c r="C120" s="11" t="s">
        <v>28</v>
      </c>
      <c r="D120" s="13">
        <v>3000</v>
      </c>
      <c r="E120" s="13">
        <f t="shared" si="21"/>
        <v>6000</v>
      </c>
      <c r="F120" s="13">
        <f t="shared" si="22"/>
        <v>6630</v>
      </c>
      <c r="G120" s="2"/>
      <c r="H120" s="2"/>
      <c r="I120" s="13">
        <v>2000</v>
      </c>
      <c r="J120" s="13">
        <f t="shared" si="23"/>
        <v>4000</v>
      </c>
      <c r="K120" s="13">
        <f t="shared" si="24"/>
        <v>2630</v>
      </c>
      <c r="L120" s="14">
        <f t="shared" si="25"/>
        <v>0.43833333333333335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0.5</v>
      </c>
      <c r="B121" s="10" t="s">
        <v>17</v>
      </c>
      <c r="C121" s="11" t="s">
        <v>30</v>
      </c>
      <c r="D121" s="13">
        <v>1500</v>
      </c>
      <c r="E121" s="13">
        <f t="shared" si="21"/>
        <v>750</v>
      </c>
      <c r="F121" s="13">
        <f t="shared" si="22"/>
        <v>828.75</v>
      </c>
      <c r="G121" s="2"/>
      <c r="H121" s="2"/>
      <c r="I121" s="13">
        <v>1500</v>
      </c>
      <c r="J121" s="13">
        <f t="shared" si="23"/>
        <v>750</v>
      </c>
      <c r="K121" s="13">
        <f t="shared" si="24"/>
        <v>78.75</v>
      </c>
      <c r="L121" s="14">
        <f t="shared" si="25"/>
        <v>0.105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2</v>
      </c>
      <c r="B122" s="10" t="s">
        <v>17</v>
      </c>
      <c r="C122" s="11" t="s">
        <v>61</v>
      </c>
      <c r="D122" s="13">
        <v>1400</v>
      </c>
      <c r="E122" s="13">
        <f t="shared" si="21"/>
        <v>2800</v>
      </c>
      <c r="F122" s="13">
        <f t="shared" si="22"/>
        <v>3094</v>
      </c>
      <c r="G122" s="2"/>
      <c r="H122" s="2"/>
      <c r="I122" s="13">
        <v>1000</v>
      </c>
      <c r="J122" s="13">
        <f t="shared" si="23"/>
        <v>2000</v>
      </c>
      <c r="K122" s="13">
        <f t="shared" si="24"/>
        <v>1094</v>
      </c>
      <c r="L122" s="14">
        <f t="shared" si="25"/>
        <v>0.39071428571428574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4</v>
      </c>
      <c r="B123" s="10" t="s">
        <v>17</v>
      </c>
      <c r="C123" s="11" t="s">
        <v>56</v>
      </c>
      <c r="D123" s="13">
        <v>800</v>
      </c>
      <c r="E123" s="13">
        <f t="shared" si="21"/>
        <v>3200</v>
      </c>
      <c r="F123" s="13">
        <f t="shared" si="22"/>
        <v>3536</v>
      </c>
      <c r="G123" s="2"/>
      <c r="H123" s="2"/>
      <c r="I123" s="13">
        <f>10000/15</f>
        <v>666.66666666666663</v>
      </c>
      <c r="J123" s="13">
        <f t="shared" si="23"/>
        <v>2666.6666666666665</v>
      </c>
      <c r="K123" s="13">
        <f t="shared" si="24"/>
        <v>869.33333333333348</v>
      </c>
      <c r="L123" s="14">
        <f t="shared" si="25"/>
        <v>0.27166666666666672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4</v>
      </c>
      <c r="B124" s="10" t="s">
        <v>17</v>
      </c>
      <c r="C124" s="11" t="s">
        <v>18</v>
      </c>
      <c r="D124" s="13">
        <v>1600</v>
      </c>
      <c r="E124" s="13">
        <f t="shared" si="21"/>
        <v>6400</v>
      </c>
      <c r="F124" s="13">
        <f t="shared" si="22"/>
        <v>7072</v>
      </c>
      <c r="G124" s="2"/>
      <c r="H124" s="2"/>
      <c r="I124" s="13">
        <v>1000</v>
      </c>
      <c r="J124" s="13">
        <f t="shared" si="23"/>
        <v>4000</v>
      </c>
      <c r="K124" s="13">
        <f t="shared" si="24"/>
        <v>3072</v>
      </c>
      <c r="L124" s="14">
        <f t="shared" si="25"/>
        <v>0.48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5</v>
      </c>
      <c r="B125" s="10" t="s">
        <v>21</v>
      </c>
      <c r="C125" s="11" t="s">
        <v>22</v>
      </c>
      <c r="D125" s="13">
        <v>1700</v>
      </c>
      <c r="E125" s="13">
        <f t="shared" si="21"/>
        <v>8500</v>
      </c>
      <c r="F125" s="13">
        <f t="shared" si="22"/>
        <v>9392.5</v>
      </c>
      <c r="G125" s="2"/>
      <c r="H125" s="2"/>
      <c r="I125" s="13">
        <v>1200</v>
      </c>
      <c r="J125" s="13">
        <f t="shared" si="23"/>
        <v>6000</v>
      </c>
      <c r="K125" s="13">
        <f t="shared" si="24"/>
        <v>3392.5</v>
      </c>
      <c r="L125" s="14">
        <f t="shared" si="25"/>
        <v>0.39911764705882352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1</v>
      </c>
      <c r="B126" s="10" t="s">
        <v>21</v>
      </c>
      <c r="C126" s="11" t="s">
        <v>51</v>
      </c>
      <c r="D126" s="13">
        <v>1500</v>
      </c>
      <c r="E126" s="13">
        <f t="shared" si="21"/>
        <v>1500</v>
      </c>
      <c r="F126" s="13">
        <f t="shared" si="22"/>
        <v>1657.5</v>
      </c>
      <c r="G126" s="2"/>
      <c r="H126" s="2"/>
      <c r="I126" s="13">
        <v>1500</v>
      </c>
      <c r="J126" s="13">
        <f t="shared" si="23"/>
        <v>1500</v>
      </c>
      <c r="K126" s="13">
        <f t="shared" si="24"/>
        <v>157.5</v>
      </c>
      <c r="L126" s="14">
        <f t="shared" si="25"/>
        <v>0.105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3</v>
      </c>
      <c r="B127" s="10" t="s">
        <v>4</v>
      </c>
      <c r="C127" s="11" t="s">
        <v>41</v>
      </c>
      <c r="D127" s="13">
        <v>2800</v>
      </c>
      <c r="E127" s="13">
        <f t="shared" si="21"/>
        <v>8400</v>
      </c>
      <c r="F127" s="13">
        <f t="shared" si="22"/>
        <v>9282</v>
      </c>
      <c r="G127" s="2"/>
      <c r="H127" s="2"/>
      <c r="I127" s="13">
        <f>18000/10</f>
        <v>1800</v>
      </c>
      <c r="J127" s="13">
        <f t="shared" si="23"/>
        <v>5400</v>
      </c>
      <c r="K127" s="13">
        <f t="shared" si="24"/>
        <v>3882</v>
      </c>
      <c r="L127" s="14">
        <f t="shared" si="25"/>
        <v>0.46214285714285713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24</v>
      </c>
      <c r="B128" s="10" t="s">
        <v>4</v>
      </c>
      <c r="C128" s="11" t="s">
        <v>20</v>
      </c>
      <c r="D128" s="13">
        <v>800</v>
      </c>
      <c r="E128" s="13">
        <f t="shared" si="21"/>
        <v>19200</v>
      </c>
      <c r="F128" s="13">
        <f t="shared" si="22"/>
        <v>21216</v>
      </c>
      <c r="G128" s="2"/>
      <c r="H128" s="2"/>
      <c r="I128" s="13">
        <f>30000/94</f>
        <v>319.14893617021278</v>
      </c>
      <c r="J128" s="13">
        <f t="shared" si="23"/>
        <v>7659.5744680851067</v>
      </c>
      <c r="K128" s="13">
        <f t="shared" si="24"/>
        <v>13556.425531914894</v>
      </c>
      <c r="L128" s="14">
        <f t="shared" si="25"/>
        <v>0.70606382978723403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23</v>
      </c>
      <c r="C129" s="11" t="s">
        <v>24</v>
      </c>
      <c r="D129" s="13">
        <v>60000</v>
      </c>
      <c r="E129" s="13">
        <f t="shared" si="21"/>
        <v>60000</v>
      </c>
      <c r="F129" s="13">
        <f t="shared" si="22"/>
        <v>66300</v>
      </c>
      <c r="G129" s="2"/>
      <c r="H129" s="2"/>
      <c r="I129" s="13">
        <v>50000</v>
      </c>
      <c r="J129" s="13">
        <f t="shared" si="23"/>
        <v>50000</v>
      </c>
      <c r="K129" s="13">
        <f t="shared" si="24"/>
        <v>16300</v>
      </c>
      <c r="L129" s="14">
        <f t="shared" si="25"/>
        <v>0.27166666666666667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1</v>
      </c>
      <c r="B130" s="10" t="s">
        <v>23</v>
      </c>
      <c r="C130" s="11" t="s">
        <v>25</v>
      </c>
      <c r="D130" s="13">
        <v>72000</v>
      </c>
      <c r="E130" s="13">
        <f t="shared" si="21"/>
        <v>72000</v>
      </c>
      <c r="F130" s="13">
        <f t="shared" si="22"/>
        <v>79560</v>
      </c>
      <c r="G130" s="2"/>
      <c r="H130" s="2"/>
      <c r="I130" s="13">
        <v>65000</v>
      </c>
      <c r="J130" s="13">
        <f t="shared" si="23"/>
        <v>65000</v>
      </c>
      <c r="K130" s="13">
        <f t="shared" si="24"/>
        <v>14560</v>
      </c>
      <c r="L130" s="14">
        <f t="shared" si="25"/>
        <v>0.20222222222222222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3</v>
      </c>
      <c r="B131" s="10" t="s">
        <v>23</v>
      </c>
      <c r="C131" s="11" t="s">
        <v>26</v>
      </c>
      <c r="D131" s="13">
        <v>26000</v>
      </c>
      <c r="E131" s="13">
        <f t="shared" si="21"/>
        <v>78000</v>
      </c>
      <c r="F131" s="13">
        <f t="shared" si="22"/>
        <v>86190</v>
      </c>
      <c r="G131" s="2"/>
      <c r="H131" s="7" t="s">
        <v>37</v>
      </c>
      <c r="I131" s="13">
        <v>22000</v>
      </c>
      <c r="J131" s="13">
        <f t="shared" si="23"/>
        <v>66000</v>
      </c>
      <c r="K131" s="13">
        <f t="shared" si="24"/>
        <v>20190</v>
      </c>
      <c r="L131" s="14">
        <f t="shared" si="25"/>
        <v>0.25884615384615384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20</v>
      </c>
      <c r="B132" s="10" t="s">
        <v>17</v>
      </c>
      <c r="C132" s="11" t="s">
        <v>49</v>
      </c>
      <c r="D132" s="13">
        <v>3000</v>
      </c>
      <c r="E132" s="13">
        <f t="shared" si="21"/>
        <v>60000</v>
      </c>
      <c r="F132" s="13">
        <f t="shared" si="22"/>
        <v>66300</v>
      </c>
      <c r="G132" s="2"/>
      <c r="H132" s="2"/>
      <c r="I132" s="13">
        <f>20000/9</f>
        <v>2222.2222222222222</v>
      </c>
      <c r="J132" s="13">
        <f t="shared" si="23"/>
        <v>44444.444444444445</v>
      </c>
      <c r="K132" s="13">
        <f t="shared" si="24"/>
        <v>21855.555555555555</v>
      </c>
      <c r="L132" s="14">
        <f t="shared" si="25"/>
        <v>0.36425925925925923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13.85</v>
      </c>
      <c r="B133" s="10" t="s">
        <v>4</v>
      </c>
      <c r="C133" s="11" t="s">
        <v>62</v>
      </c>
      <c r="D133" s="13">
        <v>3000</v>
      </c>
      <c r="E133" s="13">
        <f t="shared" si="21"/>
        <v>41550</v>
      </c>
      <c r="F133" s="13">
        <f t="shared" si="22"/>
        <v>45912.75</v>
      </c>
      <c r="G133" s="2"/>
      <c r="H133" s="2"/>
      <c r="I133" s="13">
        <f>32000/18</f>
        <v>1777.7777777777778</v>
      </c>
      <c r="J133" s="13">
        <f t="shared" si="23"/>
        <v>24622.222222222223</v>
      </c>
      <c r="K133" s="13">
        <f t="shared" si="24"/>
        <v>21290.527777777777</v>
      </c>
      <c r="L133" s="14">
        <f t="shared" si="25"/>
        <v>0.51240740740740742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2</v>
      </c>
      <c r="B134" s="10" t="s">
        <v>17</v>
      </c>
      <c r="C134" s="11" t="s">
        <v>89</v>
      </c>
      <c r="D134" s="13">
        <v>11000</v>
      </c>
      <c r="E134" s="13">
        <f t="shared" si="21"/>
        <v>22000</v>
      </c>
      <c r="F134" s="13">
        <f t="shared" si="22"/>
        <v>24310</v>
      </c>
      <c r="G134" s="2"/>
      <c r="H134" s="13"/>
      <c r="I134" s="13">
        <v>9500</v>
      </c>
      <c r="J134" s="13">
        <f t="shared" si="23"/>
        <v>19000</v>
      </c>
      <c r="K134" s="13">
        <f t="shared" si="24"/>
        <v>5310</v>
      </c>
      <c r="L134" s="14">
        <f t="shared" si="25"/>
        <v>0.24136363636363636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0.5</v>
      </c>
      <c r="B135" s="10" t="s">
        <v>23</v>
      </c>
      <c r="C135" s="11" t="s">
        <v>12</v>
      </c>
      <c r="D135" s="13">
        <v>54000</v>
      </c>
      <c r="E135" s="13">
        <f t="shared" si="21"/>
        <v>27000</v>
      </c>
      <c r="F135" s="13">
        <f>E135*1.21</f>
        <v>32670</v>
      </c>
      <c r="G135" s="2"/>
      <c r="H135" s="2"/>
      <c r="I135" s="13">
        <v>54000</v>
      </c>
      <c r="J135" s="13">
        <f t="shared" si="23"/>
        <v>27000</v>
      </c>
      <c r="K135" s="13">
        <f t="shared" si="24"/>
        <v>5670</v>
      </c>
      <c r="L135" s="14">
        <f t="shared" si="25"/>
        <v>0.21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5"/>
      <c r="B136" s="2"/>
      <c r="C136" s="4"/>
      <c r="D136" s="2"/>
      <c r="E136" s="2"/>
      <c r="F136" s="2"/>
      <c r="G136" s="2"/>
      <c r="H136" s="2"/>
      <c r="I136" s="2"/>
      <c r="J136" s="2"/>
      <c r="K136" s="2"/>
      <c r="L136" s="3"/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"/>
      <c r="B137" s="2"/>
      <c r="C137" s="4"/>
      <c r="D137" s="2"/>
      <c r="E137" s="13">
        <f t="shared" ref="E137:F137" si="27">SUM(E100:E135)</f>
        <v>822580</v>
      </c>
      <c r="F137" s="13">
        <f t="shared" si="27"/>
        <v>911785.89999999991</v>
      </c>
      <c r="G137" s="2"/>
      <c r="H137" s="2"/>
      <c r="I137" s="2"/>
      <c r="J137" s="2"/>
      <c r="K137" s="13">
        <f>SUM(K100:K135)</f>
        <v>308998.8521985815</v>
      </c>
      <c r="L137" s="14">
        <f>K137/F137</f>
        <v>0.33889408927971088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"/>
      <c r="B138" s="2"/>
      <c r="C138" s="4"/>
      <c r="D138" s="2"/>
      <c r="E138" s="2"/>
      <c r="F138" s="2"/>
      <c r="G138" s="2"/>
      <c r="H138" s="2"/>
      <c r="I138" s="2"/>
      <c r="J138" s="2"/>
      <c r="K138" s="2"/>
      <c r="L138" s="3"/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"/>
      <c r="B139" s="2"/>
      <c r="C139" s="4"/>
      <c r="D139" s="2"/>
      <c r="E139" s="2"/>
      <c r="F139" s="2"/>
      <c r="G139" s="2"/>
      <c r="H139" s="2"/>
      <c r="I139" s="2"/>
      <c r="J139" s="2"/>
      <c r="K139" s="2"/>
      <c r="L139" s="3"/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"/>
      <c r="B140" s="2"/>
      <c r="C140" s="4"/>
      <c r="D140" s="2"/>
      <c r="E140" s="2"/>
      <c r="F140" s="2"/>
      <c r="G140" s="2"/>
      <c r="H140" s="2"/>
      <c r="I140" s="2"/>
      <c r="J140" s="2"/>
      <c r="K140" s="2"/>
      <c r="L140" s="3"/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"/>
      <c r="B141" s="1"/>
      <c r="C141" s="1"/>
      <c r="D141" s="2"/>
      <c r="E141" s="2"/>
      <c r="F141" s="5"/>
      <c r="G141" s="2"/>
      <c r="H141" s="2"/>
      <c r="I141" s="2"/>
      <c r="J141" s="2"/>
      <c r="K141" s="2"/>
      <c r="L141" s="3"/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75" t="s">
        <v>57</v>
      </c>
      <c r="B142" s="76"/>
      <c r="C142" s="76"/>
      <c r="D142" s="2"/>
      <c r="E142" s="7" t="s">
        <v>143</v>
      </c>
      <c r="F142" s="8">
        <v>46118</v>
      </c>
      <c r="G142" s="2"/>
      <c r="H142" s="2"/>
      <c r="I142" s="9" t="s">
        <v>2</v>
      </c>
      <c r="J142" s="9"/>
      <c r="K142" s="9"/>
      <c r="L142" s="3"/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5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6" t="s">
        <v>3</v>
      </c>
      <c r="B144" s="10" t="s">
        <v>4</v>
      </c>
      <c r="C144" s="11" t="s">
        <v>5</v>
      </c>
      <c r="D144" s="10" t="s">
        <v>6</v>
      </c>
      <c r="E144" s="10" t="s">
        <v>7</v>
      </c>
      <c r="F144" s="10" t="s">
        <v>8</v>
      </c>
      <c r="G144" s="2"/>
      <c r="H144" s="2"/>
      <c r="I144" s="10" t="s">
        <v>9</v>
      </c>
      <c r="J144" s="10" t="s">
        <v>7</v>
      </c>
      <c r="K144" s="10" t="s">
        <v>10</v>
      </c>
      <c r="L144" s="3"/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25</v>
      </c>
      <c r="B145" s="10" t="s">
        <v>4</v>
      </c>
      <c r="C145" s="11" t="s">
        <v>20</v>
      </c>
      <c r="D145" s="13">
        <v>800</v>
      </c>
      <c r="E145" s="13">
        <f t="shared" ref="E145:E158" si="28">A145*D145</f>
        <v>20000</v>
      </c>
      <c r="F145" s="13">
        <f t="shared" ref="F145:F157" si="29">E145*1.105</f>
        <v>22100</v>
      </c>
      <c r="G145" s="2"/>
      <c r="H145" s="2"/>
      <c r="I145" s="13">
        <f>30000/94</f>
        <v>319.14893617021278</v>
      </c>
      <c r="J145" s="13">
        <f t="shared" ref="J145:J158" si="30">I145*A145</f>
        <v>7978.7234042553191</v>
      </c>
      <c r="K145" s="13">
        <f t="shared" ref="K145:K158" si="31">F145-J145</f>
        <v>14121.276595744681</v>
      </c>
      <c r="L145" s="14">
        <f t="shared" ref="L145:L158" si="32">IFERROR(K145/E145, 0)</f>
        <v>0.70606382978723403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1</v>
      </c>
      <c r="B146" s="10" t="s">
        <v>15</v>
      </c>
      <c r="C146" s="11" t="s">
        <v>129</v>
      </c>
      <c r="D146" s="13">
        <v>16000</v>
      </c>
      <c r="E146" s="13">
        <f t="shared" si="28"/>
        <v>16000</v>
      </c>
      <c r="F146" s="13">
        <f t="shared" si="29"/>
        <v>17680</v>
      </c>
      <c r="G146" s="2"/>
      <c r="H146" s="2"/>
      <c r="I146" s="13">
        <v>12000</v>
      </c>
      <c r="J146" s="13">
        <f t="shared" si="30"/>
        <v>12000</v>
      </c>
      <c r="K146" s="13">
        <f t="shared" si="31"/>
        <v>5680</v>
      </c>
      <c r="L146" s="14">
        <f t="shared" si="32"/>
        <v>0.35499999999999998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5</v>
      </c>
      <c r="B147" s="10" t="s">
        <v>17</v>
      </c>
      <c r="C147" s="11" t="s">
        <v>144</v>
      </c>
      <c r="D147" s="13">
        <v>4000</v>
      </c>
      <c r="E147" s="13">
        <f t="shared" si="28"/>
        <v>20000</v>
      </c>
      <c r="F147" s="13">
        <f t="shared" si="29"/>
        <v>22100</v>
      </c>
      <c r="G147" s="2"/>
      <c r="H147" s="2"/>
      <c r="I147" s="13">
        <f t="shared" ref="I147:I148" si="33">18000/8</f>
        <v>2250</v>
      </c>
      <c r="J147" s="13">
        <f t="shared" si="30"/>
        <v>11250</v>
      </c>
      <c r="K147" s="13">
        <f t="shared" si="31"/>
        <v>10850</v>
      </c>
      <c r="L147" s="14">
        <f t="shared" si="32"/>
        <v>0.54249999999999998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2</v>
      </c>
      <c r="B148" s="10" t="s">
        <v>17</v>
      </c>
      <c r="C148" s="11" t="s">
        <v>19</v>
      </c>
      <c r="D148" s="13">
        <v>4000</v>
      </c>
      <c r="E148" s="13">
        <f t="shared" si="28"/>
        <v>8000</v>
      </c>
      <c r="F148" s="13">
        <f t="shared" si="29"/>
        <v>8840</v>
      </c>
      <c r="G148" s="2"/>
      <c r="H148" s="2"/>
      <c r="I148" s="13">
        <f t="shared" si="33"/>
        <v>2250</v>
      </c>
      <c r="J148" s="13">
        <f t="shared" si="30"/>
        <v>4500</v>
      </c>
      <c r="K148" s="13">
        <f t="shared" si="31"/>
        <v>4340</v>
      </c>
      <c r="L148" s="14">
        <f t="shared" si="32"/>
        <v>0.54249999999999998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4</v>
      </c>
      <c r="B149" s="10" t="s">
        <v>17</v>
      </c>
      <c r="C149" s="11" t="s">
        <v>62</v>
      </c>
      <c r="D149" s="13">
        <v>3000</v>
      </c>
      <c r="E149" s="13">
        <f t="shared" si="28"/>
        <v>12000</v>
      </c>
      <c r="F149" s="13">
        <f t="shared" si="29"/>
        <v>13260</v>
      </c>
      <c r="G149" s="2"/>
      <c r="H149" s="2"/>
      <c r="I149" s="13">
        <f>32000/18</f>
        <v>1777.7777777777778</v>
      </c>
      <c r="J149" s="13">
        <f t="shared" si="30"/>
        <v>7111.1111111111113</v>
      </c>
      <c r="K149" s="13">
        <f t="shared" si="31"/>
        <v>6148.8888888888887</v>
      </c>
      <c r="L149" s="14">
        <f t="shared" si="32"/>
        <v>0.51240740740740742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0.5</v>
      </c>
      <c r="B150" s="10" t="s">
        <v>17</v>
      </c>
      <c r="C150" s="11" t="s">
        <v>89</v>
      </c>
      <c r="D150" s="13">
        <v>11000</v>
      </c>
      <c r="E150" s="13">
        <f t="shared" si="28"/>
        <v>5500</v>
      </c>
      <c r="F150" s="13">
        <f t="shared" si="29"/>
        <v>6077.5</v>
      </c>
      <c r="G150" s="2"/>
      <c r="H150" s="2"/>
      <c r="I150" s="13">
        <v>9500</v>
      </c>
      <c r="J150" s="13">
        <f t="shared" si="30"/>
        <v>4750</v>
      </c>
      <c r="K150" s="13">
        <f t="shared" si="31"/>
        <v>1327.5</v>
      </c>
      <c r="L150" s="14">
        <f t="shared" si="32"/>
        <v>0.24136363636363636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2</v>
      </c>
      <c r="B151" s="10" t="s">
        <v>4</v>
      </c>
      <c r="C151" s="11" t="s">
        <v>41</v>
      </c>
      <c r="D151" s="13">
        <v>2800</v>
      </c>
      <c r="E151" s="13">
        <f t="shared" si="28"/>
        <v>5600</v>
      </c>
      <c r="F151" s="13">
        <f t="shared" si="29"/>
        <v>6188</v>
      </c>
      <c r="G151" s="2"/>
      <c r="H151" s="2"/>
      <c r="I151" s="13">
        <v>1800</v>
      </c>
      <c r="J151" s="13">
        <f t="shared" si="30"/>
        <v>3600</v>
      </c>
      <c r="K151" s="13">
        <f t="shared" si="31"/>
        <v>2588</v>
      </c>
      <c r="L151" s="14">
        <f t="shared" si="32"/>
        <v>0.46214285714285713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21</v>
      </c>
      <c r="C152" s="11" t="s">
        <v>51</v>
      </c>
      <c r="D152" s="13">
        <v>1500</v>
      </c>
      <c r="E152" s="13">
        <f t="shared" si="28"/>
        <v>1500</v>
      </c>
      <c r="F152" s="13">
        <f t="shared" si="29"/>
        <v>1657.5</v>
      </c>
      <c r="G152" s="2"/>
      <c r="H152" s="2"/>
      <c r="I152" s="13">
        <v>1500</v>
      </c>
      <c r="J152" s="13">
        <f t="shared" si="30"/>
        <v>1500</v>
      </c>
      <c r="K152" s="13">
        <f t="shared" si="31"/>
        <v>157.5</v>
      </c>
      <c r="L152" s="14">
        <f t="shared" si="32"/>
        <v>0.105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3</v>
      </c>
      <c r="B153" s="10" t="s">
        <v>17</v>
      </c>
      <c r="C153" s="11" t="s">
        <v>43</v>
      </c>
      <c r="D153" s="13">
        <v>3200</v>
      </c>
      <c r="E153" s="13">
        <f t="shared" si="28"/>
        <v>9600</v>
      </c>
      <c r="F153" s="13">
        <f t="shared" si="29"/>
        <v>10608</v>
      </c>
      <c r="G153" s="2"/>
      <c r="H153" s="2"/>
      <c r="I153" s="13">
        <v>2500</v>
      </c>
      <c r="J153" s="13">
        <f t="shared" si="30"/>
        <v>7500</v>
      </c>
      <c r="K153" s="13">
        <f t="shared" si="31"/>
        <v>3108</v>
      </c>
      <c r="L153" s="14">
        <f t="shared" si="32"/>
        <v>0.32374999999999998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25</v>
      </c>
      <c r="B154" s="10" t="s">
        <v>21</v>
      </c>
      <c r="C154" s="11" t="s">
        <v>46</v>
      </c>
      <c r="D154" s="13">
        <v>600</v>
      </c>
      <c r="E154" s="13">
        <f t="shared" si="28"/>
        <v>15000</v>
      </c>
      <c r="F154" s="13">
        <f t="shared" si="29"/>
        <v>16575</v>
      </c>
      <c r="G154" s="2"/>
      <c r="H154" s="2"/>
      <c r="I154" s="13">
        <f>5000/24</f>
        <v>208.33333333333334</v>
      </c>
      <c r="J154" s="13">
        <f t="shared" si="30"/>
        <v>5208.3333333333339</v>
      </c>
      <c r="K154" s="13">
        <f t="shared" si="31"/>
        <v>11366.666666666666</v>
      </c>
      <c r="L154" s="14">
        <f t="shared" si="32"/>
        <v>0.75777777777777777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</v>
      </c>
      <c r="B155" s="10" t="s">
        <v>23</v>
      </c>
      <c r="C155" s="11" t="s">
        <v>26</v>
      </c>
      <c r="D155" s="13">
        <v>26000</v>
      </c>
      <c r="E155" s="13">
        <f t="shared" si="28"/>
        <v>26000</v>
      </c>
      <c r="F155" s="13">
        <f t="shared" si="29"/>
        <v>28730</v>
      </c>
      <c r="G155" s="2"/>
      <c r="H155" s="2"/>
      <c r="I155" s="13">
        <v>22000</v>
      </c>
      <c r="J155" s="13">
        <f t="shared" si="30"/>
        <v>22000</v>
      </c>
      <c r="K155" s="13">
        <f t="shared" si="31"/>
        <v>6730</v>
      </c>
      <c r="L155" s="14">
        <f t="shared" si="32"/>
        <v>0.25884615384615384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</v>
      </c>
      <c r="B156" s="10" t="s">
        <v>23</v>
      </c>
      <c r="C156" s="11" t="s">
        <v>25</v>
      </c>
      <c r="D156" s="13">
        <v>72000</v>
      </c>
      <c r="E156" s="13">
        <f t="shared" si="28"/>
        <v>72000</v>
      </c>
      <c r="F156" s="13">
        <f t="shared" si="29"/>
        <v>79560</v>
      </c>
      <c r="G156" s="2"/>
      <c r="H156" s="2"/>
      <c r="I156" s="13">
        <v>65000</v>
      </c>
      <c r="J156" s="13">
        <f t="shared" si="30"/>
        <v>65000</v>
      </c>
      <c r="K156" s="13">
        <f t="shared" si="31"/>
        <v>14560</v>
      </c>
      <c r="L156" s="14">
        <f t="shared" si="32"/>
        <v>0.20222222222222222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</v>
      </c>
      <c r="B157" s="10" t="s">
        <v>23</v>
      </c>
      <c r="C157" s="11" t="s">
        <v>24</v>
      </c>
      <c r="D157" s="13">
        <v>60000</v>
      </c>
      <c r="E157" s="13">
        <f t="shared" si="28"/>
        <v>60000</v>
      </c>
      <c r="F157" s="13">
        <f t="shared" si="29"/>
        <v>66300</v>
      </c>
      <c r="G157" s="2"/>
      <c r="H157" s="2"/>
      <c r="I157" s="13">
        <v>53000</v>
      </c>
      <c r="J157" s="13">
        <f t="shared" si="30"/>
        <v>53000</v>
      </c>
      <c r="K157" s="13">
        <f t="shared" si="31"/>
        <v>13300</v>
      </c>
      <c r="L157" s="14">
        <f t="shared" si="32"/>
        <v>0.22166666666666668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4</v>
      </c>
      <c r="B158" s="10" t="s">
        <v>11</v>
      </c>
      <c r="C158" s="11" t="s">
        <v>12</v>
      </c>
      <c r="D158" s="13">
        <v>4500</v>
      </c>
      <c r="E158" s="13">
        <f t="shared" si="28"/>
        <v>18000</v>
      </c>
      <c r="F158" s="13">
        <f>E158*1.21</f>
        <v>21780</v>
      </c>
      <c r="G158" s="2"/>
      <c r="H158" s="2"/>
      <c r="I158" s="13">
        <v>4500</v>
      </c>
      <c r="J158" s="13">
        <f t="shared" si="30"/>
        <v>18000</v>
      </c>
      <c r="K158" s="13">
        <f t="shared" si="31"/>
        <v>3780</v>
      </c>
      <c r="L158" s="14">
        <f t="shared" si="32"/>
        <v>0.21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5"/>
      <c r="B159" s="2"/>
      <c r="C159" s="4"/>
      <c r="D159" s="2"/>
      <c r="E159" s="2"/>
      <c r="F159" s="2"/>
      <c r="G159" s="2"/>
      <c r="H159" s="2"/>
      <c r="I159" s="2"/>
      <c r="J159" s="2"/>
      <c r="K159" s="2"/>
      <c r="L159" s="3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"/>
      <c r="B160" s="2"/>
      <c r="C160" s="4"/>
      <c r="D160" s="2"/>
      <c r="E160" s="13">
        <f t="shared" ref="E160:F160" si="34">SUM(E145:E158)</f>
        <v>289200</v>
      </c>
      <c r="F160" s="13">
        <f t="shared" si="34"/>
        <v>321456</v>
      </c>
      <c r="G160" s="2"/>
      <c r="H160" s="2"/>
      <c r="I160" s="2"/>
      <c r="J160" s="2"/>
      <c r="K160" s="13">
        <f>SUM(K145:K158)</f>
        <v>98057.832151300245</v>
      </c>
      <c r="L160" s="14">
        <f>K160/F160</f>
        <v>0.3050427808200819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1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1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75" t="s">
        <v>59</v>
      </c>
      <c r="B163" s="76"/>
      <c r="C163" s="76"/>
      <c r="D163" s="2"/>
      <c r="E163" s="7" t="s">
        <v>54</v>
      </c>
      <c r="F163" s="8">
        <v>46118</v>
      </c>
      <c r="G163" s="2"/>
      <c r="H163" s="2"/>
      <c r="I163" s="9" t="s">
        <v>2</v>
      </c>
      <c r="J163" s="9"/>
      <c r="K163" s="9"/>
      <c r="L163" s="3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"/>
      <c r="B164" s="2"/>
      <c r="C164" s="5"/>
      <c r="D164" s="2"/>
      <c r="E164" s="2"/>
      <c r="F164" s="2"/>
      <c r="G164" s="2"/>
      <c r="H164" s="2"/>
      <c r="I164" s="2"/>
      <c r="J164" s="2"/>
      <c r="K164" s="2"/>
      <c r="L164" s="3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6" t="s">
        <v>3</v>
      </c>
      <c r="B165" s="10" t="s">
        <v>4</v>
      </c>
      <c r="C165" s="11" t="s">
        <v>5</v>
      </c>
      <c r="D165" s="10" t="s">
        <v>6</v>
      </c>
      <c r="E165" s="10" t="s">
        <v>7</v>
      </c>
      <c r="F165" s="10" t="s">
        <v>8</v>
      </c>
      <c r="G165" s="2"/>
      <c r="H165" s="2"/>
      <c r="I165" s="10" t="s">
        <v>9</v>
      </c>
      <c r="J165" s="10" t="s">
        <v>7</v>
      </c>
      <c r="K165" s="10" t="s">
        <v>10</v>
      </c>
      <c r="L165" s="3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5</v>
      </c>
      <c r="B166" s="10" t="s">
        <v>17</v>
      </c>
      <c r="C166" s="11" t="s">
        <v>43</v>
      </c>
      <c r="D166" s="13">
        <v>3200</v>
      </c>
      <c r="E166" s="13">
        <f t="shared" ref="E166:E200" si="35">A166*D166</f>
        <v>16000</v>
      </c>
      <c r="F166" s="13">
        <f t="shared" ref="F166:F193" si="36">E166*1.105</f>
        <v>17680</v>
      </c>
      <c r="G166" s="2"/>
      <c r="H166" s="2"/>
      <c r="I166" s="13">
        <v>2500</v>
      </c>
      <c r="J166" s="13">
        <f t="shared" ref="J166:J200" si="37">I166*A166</f>
        <v>12500</v>
      </c>
      <c r="K166" s="13">
        <f t="shared" ref="K166:K200" si="38">F166-J166</f>
        <v>5180</v>
      </c>
      <c r="L166" s="14">
        <f t="shared" ref="L166:L200" si="39">IFERROR(K166/E166, 0)</f>
        <v>0.32374999999999998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15</v>
      </c>
      <c r="B167" s="10" t="s">
        <v>21</v>
      </c>
      <c r="C167" s="11" t="s">
        <v>46</v>
      </c>
      <c r="D167" s="13">
        <v>600</v>
      </c>
      <c r="E167" s="13">
        <f t="shared" si="35"/>
        <v>9000</v>
      </c>
      <c r="F167" s="13">
        <f t="shared" si="36"/>
        <v>9945</v>
      </c>
      <c r="G167" s="2"/>
      <c r="H167" s="2"/>
      <c r="I167" s="13">
        <v>208</v>
      </c>
      <c r="J167" s="13">
        <f t="shared" si="37"/>
        <v>3120</v>
      </c>
      <c r="K167" s="13">
        <f t="shared" si="38"/>
        <v>6825</v>
      </c>
      <c r="L167" s="14">
        <f t="shared" si="39"/>
        <v>0.7583333333333333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12</v>
      </c>
      <c r="B168" s="10" t="s">
        <v>17</v>
      </c>
      <c r="C168" s="11" t="s">
        <v>39</v>
      </c>
      <c r="D168" s="13">
        <v>2400</v>
      </c>
      <c r="E168" s="13">
        <f t="shared" si="35"/>
        <v>28800</v>
      </c>
      <c r="F168" s="13">
        <f t="shared" si="36"/>
        <v>31824</v>
      </c>
      <c r="G168" s="2"/>
      <c r="H168" s="2"/>
      <c r="I168" s="13">
        <v>1666</v>
      </c>
      <c r="J168" s="13">
        <f t="shared" si="37"/>
        <v>19992</v>
      </c>
      <c r="K168" s="13">
        <f t="shared" si="38"/>
        <v>11832</v>
      </c>
      <c r="L168" s="14">
        <f t="shared" si="39"/>
        <v>0.41083333333333333</v>
      </c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3</v>
      </c>
      <c r="B169" s="10" t="s">
        <v>17</v>
      </c>
      <c r="C169" s="11" t="s">
        <v>38</v>
      </c>
      <c r="D169" s="13">
        <v>1800</v>
      </c>
      <c r="E169" s="13">
        <f t="shared" si="35"/>
        <v>5400</v>
      </c>
      <c r="F169" s="13">
        <f t="shared" si="36"/>
        <v>5967</v>
      </c>
      <c r="G169" s="2"/>
      <c r="H169" s="2"/>
      <c r="I169" s="13">
        <v>1000</v>
      </c>
      <c r="J169" s="13">
        <f t="shared" si="37"/>
        <v>3000</v>
      </c>
      <c r="K169" s="13">
        <f t="shared" si="38"/>
        <v>2967</v>
      </c>
      <c r="L169" s="14">
        <f t="shared" si="39"/>
        <v>0.5494444444444444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3</v>
      </c>
      <c r="B170" s="10" t="s">
        <v>17</v>
      </c>
      <c r="C170" s="11" t="s">
        <v>36</v>
      </c>
      <c r="D170" s="13">
        <v>1800</v>
      </c>
      <c r="E170" s="13">
        <f t="shared" si="35"/>
        <v>5400</v>
      </c>
      <c r="F170" s="13">
        <f t="shared" si="36"/>
        <v>5967</v>
      </c>
      <c r="G170" s="2"/>
      <c r="H170" s="2"/>
      <c r="I170" s="13">
        <v>1000</v>
      </c>
      <c r="J170" s="13">
        <f t="shared" si="37"/>
        <v>3000</v>
      </c>
      <c r="K170" s="13">
        <f t="shared" si="38"/>
        <v>2967</v>
      </c>
      <c r="L170" s="14">
        <f t="shared" si="39"/>
        <v>0.5494444444444444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10</v>
      </c>
      <c r="B171" s="10" t="s">
        <v>4</v>
      </c>
      <c r="C171" s="11" t="s">
        <v>20</v>
      </c>
      <c r="D171" s="13">
        <v>800</v>
      </c>
      <c r="E171" s="13">
        <f t="shared" si="35"/>
        <v>8000</v>
      </c>
      <c r="F171" s="13">
        <f t="shared" si="36"/>
        <v>8840</v>
      </c>
      <c r="G171" s="2"/>
      <c r="H171" s="2"/>
      <c r="I171" s="13">
        <f>30000/94</f>
        <v>319.14893617021278</v>
      </c>
      <c r="J171" s="13">
        <f t="shared" si="37"/>
        <v>3191.489361702128</v>
      </c>
      <c r="K171" s="13">
        <f t="shared" si="38"/>
        <v>5648.510638297872</v>
      </c>
      <c r="L171" s="14">
        <f t="shared" si="39"/>
        <v>0.70606382978723403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3</v>
      </c>
      <c r="B172" s="10" t="s">
        <v>4</v>
      </c>
      <c r="C172" s="11" t="s">
        <v>41</v>
      </c>
      <c r="D172" s="13">
        <v>2800</v>
      </c>
      <c r="E172" s="13">
        <f t="shared" si="35"/>
        <v>8400</v>
      </c>
      <c r="F172" s="13">
        <f t="shared" si="36"/>
        <v>9282</v>
      </c>
      <c r="G172" s="2"/>
      <c r="H172" s="2"/>
      <c r="I172" s="13">
        <v>1800</v>
      </c>
      <c r="J172" s="13">
        <f t="shared" si="37"/>
        <v>5400</v>
      </c>
      <c r="K172" s="13">
        <f t="shared" si="38"/>
        <v>3882</v>
      </c>
      <c r="L172" s="14">
        <f t="shared" si="39"/>
        <v>0.46214285714285713</v>
      </c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2</v>
      </c>
      <c r="B173" s="10" t="s">
        <v>17</v>
      </c>
      <c r="C173" s="11" t="s">
        <v>19</v>
      </c>
      <c r="D173" s="13">
        <v>4000</v>
      </c>
      <c r="E173" s="13">
        <f t="shared" si="35"/>
        <v>8000</v>
      </c>
      <c r="F173" s="13">
        <f t="shared" si="36"/>
        <v>8840</v>
      </c>
      <c r="G173" s="2"/>
      <c r="H173" s="2"/>
      <c r="I173" s="13">
        <f>13000/8</f>
        <v>1625</v>
      </c>
      <c r="J173" s="13">
        <f t="shared" si="37"/>
        <v>3250</v>
      </c>
      <c r="K173" s="13">
        <f t="shared" si="38"/>
        <v>5590</v>
      </c>
      <c r="L173" s="14">
        <f t="shared" si="39"/>
        <v>0.69874999999999998</v>
      </c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2.5</v>
      </c>
      <c r="B174" s="10" t="s">
        <v>17</v>
      </c>
      <c r="C174" s="11" t="s">
        <v>78</v>
      </c>
      <c r="D174" s="13">
        <v>4000</v>
      </c>
      <c r="E174" s="13">
        <f t="shared" si="35"/>
        <v>10000</v>
      </c>
      <c r="F174" s="13">
        <f t="shared" si="36"/>
        <v>11050</v>
      </c>
      <c r="G174" s="2"/>
      <c r="H174" s="2"/>
      <c r="I174" s="13">
        <f>18000/8</f>
        <v>2250</v>
      </c>
      <c r="J174" s="13">
        <f t="shared" si="37"/>
        <v>5625</v>
      </c>
      <c r="K174" s="13">
        <f t="shared" si="38"/>
        <v>5425</v>
      </c>
      <c r="L174" s="14">
        <f t="shared" si="39"/>
        <v>0.54249999999999998</v>
      </c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3</v>
      </c>
      <c r="B175" s="10" t="s">
        <v>17</v>
      </c>
      <c r="C175" s="11" t="s">
        <v>31</v>
      </c>
      <c r="D175" s="13">
        <v>3200</v>
      </c>
      <c r="E175" s="13">
        <f t="shared" si="35"/>
        <v>9600</v>
      </c>
      <c r="F175" s="13">
        <f t="shared" si="36"/>
        <v>10608</v>
      </c>
      <c r="G175" s="2"/>
      <c r="H175" s="2"/>
      <c r="I175" s="13">
        <f t="shared" ref="I175:I177" si="40">15000/7</f>
        <v>2142.8571428571427</v>
      </c>
      <c r="J175" s="13">
        <f t="shared" si="37"/>
        <v>6428.5714285714275</v>
      </c>
      <c r="K175" s="13">
        <f t="shared" si="38"/>
        <v>4179.4285714285725</v>
      </c>
      <c r="L175" s="14">
        <f t="shared" si="39"/>
        <v>0.43535714285714294</v>
      </c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2</v>
      </c>
      <c r="B176" s="10" t="s">
        <v>17</v>
      </c>
      <c r="C176" s="11" t="s">
        <v>32</v>
      </c>
      <c r="D176" s="13">
        <v>2400</v>
      </c>
      <c r="E176" s="13">
        <f t="shared" si="35"/>
        <v>4800</v>
      </c>
      <c r="F176" s="13">
        <f t="shared" si="36"/>
        <v>5304</v>
      </c>
      <c r="G176" s="2"/>
      <c r="H176" s="2"/>
      <c r="I176" s="13">
        <f t="shared" si="40"/>
        <v>2142.8571428571427</v>
      </c>
      <c r="J176" s="13">
        <f t="shared" si="37"/>
        <v>4285.7142857142853</v>
      </c>
      <c r="K176" s="13">
        <f t="shared" si="38"/>
        <v>1018.2857142857147</v>
      </c>
      <c r="L176" s="14">
        <f t="shared" si="39"/>
        <v>0.21214285714285722</v>
      </c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1</v>
      </c>
      <c r="B177" s="10" t="s">
        <v>17</v>
      </c>
      <c r="C177" s="11" t="s">
        <v>33</v>
      </c>
      <c r="D177" s="13">
        <v>2800</v>
      </c>
      <c r="E177" s="13">
        <f t="shared" si="35"/>
        <v>2800</v>
      </c>
      <c r="F177" s="13">
        <f t="shared" si="36"/>
        <v>3094</v>
      </c>
      <c r="G177" s="2"/>
      <c r="H177" s="2"/>
      <c r="I177" s="13">
        <f t="shared" si="40"/>
        <v>2142.8571428571427</v>
      </c>
      <c r="J177" s="13">
        <f t="shared" si="37"/>
        <v>2142.8571428571427</v>
      </c>
      <c r="K177" s="13">
        <f t="shared" si="38"/>
        <v>951.14285714285734</v>
      </c>
      <c r="L177" s="14">
        <f t="shared" si="39"/>
        <v>0.33969387755102048</v>
      </c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2">
        <v>2</v>
      </c>
      <c r="B178" s="10" t="s">
        <v>17</v>
      </c>
      <c r="C178" s="11" t="s">
        <v>18</v>
      </c>
      <c r="D178" s="13">
        <v>1600</v>
      </c>
      <c r="E178" s="13">
        <f t="shared" si="35"/>
        <v>3200</v>
      </c>
      <c r="F178" s="13">
        <f t="shared" si="36"/>
        <v>3536</v>
      </c>
      <c r="G178" s="2"/>
      <c r="H178" s="2"/>
      <c r="I178" s="13">
        <v>1000</v>
      </c>
      <c r="J178" s="13">
        <f t="shared" si="37"/>
        <v>2000</v>
      </c>
      <c r="K178" s="13">
        <f t="shared" si="38"/>
        <v>1536</v>
      </c>
      <c r="L178" s="14">
        <f t="shared" si="39"/>
        <v>0.48</v>
      </c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1</v>
      </c>
      <c r="B179" s="10" t="s">
        <v>17</v>
      </c>
      <c r="C179" s="11" t="s">
        <v>56</v>
      </c>
      <c r="D179" s="13">
        <v>800</v>
      </c>
      <c r="E179" s="13">
        <f t="shared" si="35"/>
        <v>800</v>
      </c>
      <c r="F179" s="13">
        <f t="shared" si="36"/>
        <v>884</v>
      </c>
      <c r="G179" s="2"/>
      <c r="H179" s="2"/>
      <c r="I179" s="13">
        <f>10000/15</f>
        <v>666.66666666666663</v>
      </c>
      <c r="J179" s="13">
        <f t="shared" si="37"/>
        <v>666.66666666666663</v>
      </c>
      <c r="K179" s="13">
        <f t="shared" si="38"/>
        <v>217.33333333333337</v>
      </c>
      <c r="L179" s="14">
        <f t="shared" si="39"/>
        <v>0.27166666666666672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1</v>
      </c>
      <c r="B180" s="10" t="s">
        <v>17</v>
      </c>
      <c r="C180" s="11" t="s">
        <v>30</v>
      </c>
      <c r="D180" s="13">
        <v>1500</v>
      </c>
      <c r="E180" s="13">
        <f t="shared" si="35"/>
        <v>1500</v>
      </c>
      <c r="F180" s="13">
        <f t="shared" si="36"/>
        <v>1657.5</v>
      </c>
      <c r="G180" s="2"/>
      <c r="H180" s="2"/>
      <c r="I180" s="13">
        <v>1500</v>
      </c>
      <c r="J180" s="13">
        <f t="shared" si="37"/>
        <v>1500</v>
      </c>
      <c r="K180" s="13">
        <f t="shared" si="38"/>
        <v>157.5</v>
      </c>
      <c r="L180" s="14">
        <f t="shared" si="39"/>
        <v>0.105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2</v>
      </c>
      <c r="B181" s="10" t="s">
        <v>17</v>
      </c>
      <c r="C181" s="11" t="s">
        <v>35</v>
      </c>
      <c r="D181" s="13">
        <v>2500</v>
      </c>
      <c r="E181" s="13">
        <f t="shared" si="35"/>
        <v>5000</v>
      </c>
      <c r="F181" s="13">
        <f t="shared" si="36"/>
        <v>5525</v>
      </c>
      <c r="G181" s="2"/>
      <c r="H181" s="2"/>
      <c r="I181" s="13">
        <v>1400</v>
      </c>
      <c r="J181" s="13">
        <f t="shared" si="37"/>
        <v>2800</v>
      </c>
      <c r="K181" s="13">
        <f t="shared" si="38"/>
        <v>2725</v>
      </c>
      <c r="L181" s="14">
        <f t="shared" si="39"/>
        <v>0.54500000000000004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0.5</v>
      </c>
      <c r="B182" s="10" t="s">
        <v>17</v>
      </c>
      <c r="C182" s="11" t="s">
        <v>93</v>
      </c>
      <c r="D182" s="13">
        <v>3000</v>
      </c>
      <c r="E182" s="13">
        <f t="shared" si="35"/>
        <v>1500</v>
      </c>
      <c r="F182" s="13">
        <f t="shared" si="36"/>
        <v>1657.5</v>
      </c>
      <c r="G182" s="2"/>
      <c r="H182" s="2"/>
      <c r="I182" s="13">
        <f>13000/7</f>
        <v>1857.1428571428571</v>
      </c>
      <c r="J182" s="13">
        <f t="shared" si="37"/>
        <v>928.57142857142856</v>
      </c>
      <c r="K182" s="13">
        <f t="shared" si="38"/>
        <v>728.92857142857144</v>
      </c>
      <c r="L182" s="14">
        <f t="shared" si="39"/>
        <v>0.48595238095238097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2</v>
      </c>
      <c r="B183" s="10" t="s">
        <v>4</v>
      </c>
      <c r="C183" s="11" t="s">
        <v>65</v>
      </c>
      <c r="D183" s="13">
        <v>1600</v>
      </c>
      <c r="E183" s="13">
        <f t="shared" si="35"/>
        <v>3200</v>
      </c>
      <c r="F183" s="13">
        <f t="shared" si="36"/>
        <v>3536</v>
      </c>
      <c r="G183" s="2"/>
      <c r="H183" s="2"/>
      <c r="I183" s="13">
        <v>1078</v>
      </c>
      <c r="J183" s="13">
        <f t="shared" si="37"/>
        <v>2156</v>
      </c>
      <c r="K183" s="13">
        <f t="shared" si="38"/>
        <v>1380</v>
      </c>
      <c r="L183" s="14">
        <f t="shared" si="39"/>
        <v>0.43125000000000002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2</v>
      </c>
      <c r="B184" s="10" t="s">
        <v>17</v>
      </c>
      <c r="C184" s="11" t="s">
        <v>34</v>
      </c>
      <c r="D184" s="13">
        <v>5000</v>
      </c>
      <c r="E184" s="13">
        <f t="shared" si="35"/>
        <v>10000</v>
      </c>
      <c r="F184" s="13">
        <f t="shared" si="36"/>
        <v>11050</v>
      </c>
      <c r="G184" s="2"/>
      <c r="H184" s="2"/>
      <c r="I184" s="17">
        <v>2000</v>
      </c>
      <c r="J184" s="13">
        <f t="shared" si="37"/>
        <v>4000</v>
      </c>
      <c r="K184" s="13">
        <f t="shared" si="38"/>
        <v>7050</v>
      </c>
      <c r="L184" s="14">
        <f t="shared" si="39"/>
        <v>0.70499999999999996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2</v>
      </c>
      <c r="B185" s="10" t="s">
        <v>4</v>
      </c>
      <c r="C185" s="11" t="s">
        <v>13</v>
      </c>
      <c r="D185" s="13">
        <v>900</v>
      </c>
      <c r="E185" s="13">
        <f t="shared" si="35"/>
        <v>1800</v>
      </c>
      <c r="F185" s="13">
        <f t="shared" si="36"/>
        <v>1989</v>
      </c>
      <c r="G185" s="2"/>
      <c r="H185" s="2"/>
      <c r="I185" s="13">
        <v>460</v>
      </c>
      <c r="J185" s="13">
        <f t="shared" si="37"/>
        <v>920</v>
      </c>
      <c r="K185" s="13">
        <f t="shared" si="38"/>
        <v>1069</v>
      </c>
      <c r="L185" s="14">
        <f t="shared" si="39"/>
        <v>0.59388888888888891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1</v>
      </c>
      <c r="B186" s="10" t="s">
        <v>21</v>
      </c>
      <c r="C186" s="11" t="s">
        <v>51</v>
      </c>
      <c r="D186" s="13">
        <v>1500</v>
      </c>
      <c r="E186" s="13">
        <f t="shared" si="35"/>
        <v>1500</v>
      </c>
      <c r="F186" s="13">
        <f t="shared" si="36"/>
        <v>1657.5</v>
      </c>
      <c r="G186" s="2"/>
      <c r="H186" s="2"/>
      <c r="I186" s="13">
        <v>1500</v>
      </c>
      <c r="J186" s="13">
        <f t="shared" si="37"/>
        <v>1500</v>
      </c>
      <c r="K186" s="13">
        <f t="shared" si="38"/>
        <v>157.5</v>
      </c>
      <c r="L186" s="14">
        <f t="shared" si="39"/>
        <v>0.105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1</v>
      </c>
      <c r="B187" s="10" t="s">
        <v>21</v>
      </c>
      <c r="C187" s="11" t="s">
        <v>28</v>
      </c>
      <c r="D187" s="13">
        <v>3000</v>
      </c>
      <c r="E187" s="13">
        <f t="shared" si="35"/>
        <v>3000</v>
      </c>
      <c r="F187" s="13">
        <f t="shared" si="36"/>
        <v>3315</v>
      </c>
      <c r="G187" s="2"/>
      <c r="H187" s="2"/>
      <c r="I187" s="13">
        <v>2000</v>
      </c>
      <c r="J187" s="13">
        <f t="shared" si="37"/>
        <v>2000</v>
      </c>
      <c r="K187" s="13">
        <f t="shared" si="38"/>
        <v>1315</v>
      </c>
      <c r="L187" s="14">
        <f t="shared" si="39"/>
        <v>0.43833333333333335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1</v>
      </c>
      <c r="B188" s="10" t="s">
        <v>21</v>
      </c>
      <c r="C188" s="11" t="s">
        <v>29</v>
      </c>
      <c r="D188" s="13">
        <v>3500</v>
      </c>
      <c r="E188" s="13">
        <f t="shared" si="35"/>
        <v>3500</v>
      </c>
      <c r="F188" s="13">
        <f t="shared" si="36"/>
        <v>3867.5</v>
      </c>
      <c r="G188" s="2"/>
      <c r="H188" s="2"/>
      <c r="I188" s="13">
        <v>1500</v>
      </c>
      <c r="J188" s="13">
        <f t="shared" si="37"/>
        <v>1500</v>
      </c>
      <c r="K188" s="13">
        <f t="shared" si="38"/>
        <v>2367.5</v>
      </c>
      <c r="L188" s="14">
        <f t="shared" si="39"/>
        <v>0.67642857142857138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1</v>
      </c>
      <c r="B189" s="10" t="s">
        <v>21</v>
      </c>
      <c r="C189" s="11" t="s">
        <v>42</v>
      </c>
      <c r="D189" s="13">
        <v>4500</v>
      </c>
      <c r="E189" s="13">
        <f t="shared" si="35"/>
        <v>4500</v>
      </c>
      <c r="F189" s="13">
        <f t="shared" si="36"/>
        <v>4972.5</v>
      </c>
      <c r="G189" s="2"/>
      <c r="H189" s="2"/>
      <c r="I189" s="13">
        <v>1200</v>
      </c>
      <c r="J189" s="13">
        <f t="shared" si="37"/>
        <v>1200</v>
      </c>
      <c r="K189" s="13">
        <f t="shared" si="38"/>
        <v>3772.5</v>
      </c>
      <c r="L189" s="14">
        <f t="shared" si="39"/>
        <v>0.83833333333333337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4</v>
      </c>
      <c r="B190" s="10" t="s">
        <v>15</v>
      </c>
      <c r="C190" s="11" t="s">
        <v>27</v>
      </c>
      <c r="D190" s="13">
        <v>23000</v>
      </c>
      <c r="E190" s="13">
        <f t="shared" si="35"/>
        <v>92000</v>
      </c>
      <c r="F190" s="13">
        <f t="shared" si="36"/>
        <v>101660</v>
      </c>
      <c r="G190" s="2"/>
      <c r="H190" s="2"/>
      <c r="I190" s="13">
        <v>18000</v>
      </c>
      <c r="J190" s="13">
        <f t="shared" si="37"/>
        <v>72000</v>
      </c>
      <c r="K190" s="13">
        <f t="shared" si="38"/>
        <v>29660</v>
      </c>
      <c r="L190" s="14">
        <f t="shared" si="39"/>
        <v>0.32239130434782609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15</v>
      </c>
      <c r="C191" s="11" t="s">
        <v>129</v>
      </c>
      <c r="D191" s="13">
        <v>16000</v>
      </c>
      <c r="E191" s="13">
        <f t="shared" si="35"/>
        <v>16000</v>
      </c>
      <c r="F191" s="13">
        <f t="shared" si="36"/>
        <v>17680</v>
      </c>
      <c r="G191" s="2"/>
      <c r="H191" s="2"/>
      <c r="I191" s="13">
        <v>12000</v>
      </c>
      <c r="J191" s="13">
        <f t="shared" si="37"/>
        <v>12000</v>
      </c>
      <c r="K191" s="13">
        <f t="shared" si="38"/>
        <v>5680</v>
      </c>
      <c r="L191" s="14">
        <f t="shared" si="39"/>
        <v>0.35499999999999998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1</v>
      </c>
      <c r="B192" s="10" t="s">
        <v>15</v>
      </c>
      <c r="C192" s="11" t="s">
        <v>40</v>
      </c>
      <c r="D192" s="13">
        <v>12000</v>
      </c>
      <c r="E192" s="13">
        <f t="shared" si="35"/>
        <v>12000</v>
      </c>
      <c r="F192" s="13">
        <f t="shared" si="36"/>
        <v>13260</v>
      </c>
      <c r="G192" s="2"/>
      <c r="H192" s="2"/>
      <c r="I192" s="13">
        <v>7000</v>
      </c>
      <c r="J192" s="13">
        <f t="shared" si="37"/>
        <v>7000</v>
      </c>
      <c r="K192" s="13">
        <f t="shared" si="38"/>
        <v>6260</v>
      </c>
      <c r="L192" s="14">
        <f t="shared" si="39"/>
        <v>0.52166666666666661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1</v>
      </c>
      <c r="B193" s="10" t="s">
        <v>15</v>
      </c>
      <c r="C193" s="11" t="s">
        <v>48</v>
      </c>
      <c r="D193" s="13">
        <v>13000</v>
      </c>
      <c r="E193" s="13">
        <f t="shared" si="35"/>
        <v>13000</v>
      </c>
      <c r="F193" s="13">
        <f t="shared" si="36"/>
        <v>14365</v>
      </c>
      <c r="G193" s="2"/>
      <c r="H193" s="2"/>
      <c r="I193" s="13">
        <v>8000</v>
      </c>
      <c r="J193" s="13">
        <f t="shared" si="37"/>
        <v>8000</v>
      </c>
      <c r="K193" s="13">
        <f t="shared" si="38"/>
        <v>6365</v>
      </c>
      <c r="L193" s="14">
        <f t="shared" si="39"/>
        <v>0.48961538461538462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0.5</v>
      </c>
      <c r="B194" s="10" t="s">
        <v>23</v>
      </c>
      <c r="C194" s="11" t="s">
        <v>12</v>
      </c>
      <c r="D194" s="13">
        <v>54000</v>
      </c>
      <c r="E194" s="13">
        <f t="shared" si="35"/>
        <v>27000</v>
      </c>
      <c r="F194" s="13">
        <f>E194*1.21</f>
        <v>32670</v>
      </c>
      <c r="G194" s="2"/>
      <c r="H194" s="2"/>
      <c r="I194" s="13">
        <v>54000</v>
      </c>
      <c r="J194" s="13">
        <f t="shared" si="37"/>
        <v>27000</v>
      </c>
      <c r="K194" s="13">
        <f t="shared" si="38"/>
        <v>5670</v>
      </c>
      <c r="L194" s="14">
        <f t="shared" si="39"/>
        <v>0.21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2</v>
      </c>
      <c r="B195" s="10" t="s">
        <v>23</v>
      </c>
      <c r="C195" s="11" t="s">
        <v>26</v>
      </c>
      <c r="D195" s="13">
        <v>26000</v>
      </c>
      <c r="E195" s="13">
        <f t="shared" si="35"/>
        <v>52000</v>
      </c>
      <c r="F195" s="13">
        <f t="shared" ref="F195:F200" si="41">E195*1.105</f>
        <v>57460</v>
      </c>
      <c r="G195" s="2"/>
      <c r="H195" s="2"/>
      <c r="I195" s="13">
        <v>22000</v>
      </c>
      <c r="J195" s="13">
        <f t="shared" si="37"/>
        <v>44000</v>
      </c>
      <c r="K195" s="13">
        <f t="shared" si="38"/>
        <v>13460</v>
      </c>
      <c r="L195" s="14">
        <f t="shared" si="39"/>
        <v>0.25884615384615384</v>
      </c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5</v>
      </c>
      <c r="B196" s="10" t="s">
        <v>17</v>
      </c>
      <c r="C196" s="11" t="s">
        <v>123</v>
      </c>
      <c r="D196" s="13">
        <v>3200</v>
      </c>
      <c r="E196" s="13">
        <f t="shared" si="35"/>
        <v>16000</v>
      </c>
      <c r="F196" s="13">
        <f t="shared" si="41"/>
        <v>17680</v>
      </c>
      <c r="G196" s="2"/>
      <c r="H196" s="2"/>
      <c r="I196" s="13">
        <f>32000/15</f>
        <v>2133.3333333333335</v>
      </c>
      <c r="J196" s="13">
        <f t="shared" si="37"/>
        <v>10666.666666666668</v>
      </c>
      <c r="K196" s="13">
        <f t="shared" si="38"/>
        <v>7013.3333333333321</v>
      </c>
      <c r="L196" s="14">
        <f t="shared" si="39"/>
        <v>0.43833333333333324</v>
      </c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2">
        <v>1</v>
      </c>
      <c r="B197" s="10" t="s">
        <v>17</v>
      </c>
      <c r="C197" s="11" t="s">
        <v>89</v>
      </c>
      <c r="D197" s="13">
        <v>11000</v>
      </c>
      <c r="E197" s="13">
        <f t="shared" si="35"/>
        <v>11000</v>
      </c>
      <c r="F197" s="13">
        <f t="shared" si="41"/>
        <v>12155</v>
      </c>
      <c r="G197" s="2"/>
      <c r="H197" s="2"/>
      <c r="I197" s="17">
        <v>9500</v>
      </c>
      <c r="J197" s="13">
        <f t="shared" si="37"/>
        <v>9500</v>
      </c>
      <c r="K197" s="13">
        <f t="shared" si="38"/>
        <v>2655</v>
      </c>
      <c r="L197" s="14">
        <f t="shared" si="39"/>
        <v>0.24136363636363636</v>
      </c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2">
        <v>4</v>
      </c>
      <c r="B198" s="10" t="s">
        <v>17</v>
      </c>
      <c r="C198" s="11" t="s">
        <v>62</v>
      </c>
      <c r="D198" s="13">
        <v>3000</v>
      </c>
      <c r="E198" s="13">
        <f t="shared" si="35"/>
        <v>12000</v>
      </c>
      <c r="F198" s="13">
        <f t="shared" si="41"/>
        <v>13260</v>
      </c>
      <c r="G198" s="2"/>
      <c r="H198" s="2"/>
      <c r="I198" s="13">
        <f>32000/18</f>
        <v>1777.7777777777778</v>
      </c>
      <c r="J198" s="13">
        <f t="shared" si="37"/>
        <v>7111.1111111111113</v>
      </c>
      <c r="K198" s="13">
        <f t="shared" si="38"/>
        <v>6148.8888888888887</v>
      </c>
      <c r="L198" s="14">
        <f t="shared" si="39"/>
        <v>0.51240740740740742</v>
      </c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2">
        <v>5</v>
      </c>
      <c r="B199" s="10" t="s">
        <v>17</v>
      </c>
      <c r="C199" s="11" t="s">
        <v>24</v>
      </c>
      <c r="D199" s="13">
        <v>3600</v>
      </c>
      <c r="E199" s="13">
        <f t="shared" si="35"/>
        <v>18000</v>
      </c>
      <c r="F199" s="13">
        <f t="shared" si="41"/>
        <v>19890</v>
      </c>
      <c r="G199" s="2"/>
      <c r="H199" s="2"/>
      <c r="I199" s="13">
        <f>52000/17</f>
        <v>3058.8235294117649</v>
      </c>
      <c r="J199" s="13">
        <f t="shared" si="37"/>
        <v>15294.117647058825</v>
      </c>
      <c r="K199" s="13">
        <f t="shared" si="38"/>
        <v>4595.8823529411748</v>
      </c>
      <c r="L199" s="14">
        <f t="shared" si="39"/>
        <v>0.25532679738562081</v>
      </c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2">
        <v>5</v>
      </c>
      <c r="B200" s="10" t="s">
        <v>17</v>
      </c>
      <c r="C200" s="11" t="s">
        <v>25</v>
      </c>
      <c r="D200" s="13">
        <v>4500</v>
      </c>
      <c r="E200" s="13">
        <f t="shared" si="35"/>
        <v>22500</v>
      </c>
      <c r="F200" s="13">
        <f t="shared" si="41"/>
        <v>24862.5</v>
      </c>
      <c r="G200" s="2"/>
      <c r="H200" s="2"/>
      <c r="I200" s="13">
        <f>65000/17</f>
        <v>3823.5294117647059</v>
      </c>
      <c r="J200" s="13">
        <f t="shared" si="37"/>
        <v>19117.647058823528</v>
      </c>
      <c r="K200" s="13">
        <f t="shared" si="38"/>
        <v>5744.8529411764721</v>
      </c>
      <c r="L200" s="14">
        <f t="shared" si="39"/>
        <v>0.25532679738562097</v>
      </c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5"/>
      <c r="B201" s="2"/>
      <c r="C201" s="4"/>
      <c r="D201" s="2"/>
      <c r="E201" s="2"/>
      <c r="F201" s="2"/>
      <c r="G201" s="2"/>
      <c r="H201" s="2"/>
      <c r="I201" s="2"/>
      <c r="J201" s="2"/>
      <c r="K201" s="2"/>
      <c r="L201" s="3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"/>
      <c r="B202" s="2"/>
      <c r="C202" s="4"/>
      <c r="D202" s="2"/>
      <c r="E202" s="13">
        <f t="shared" ref="E202:F202" si="42">SUM(E166:E200)</f>
        <v>447200</v>
      </c>
      <c r="F202" s="13">
        <f t="shared" si="42"/>
        <v>496991</v>
      </c>
      <c r="G202" s="2"/>
      <c r="H202" s="2"/>
      <c r="I202" s="2"/>
      <c r="J202" s="2"/>
      <c r="K202" s="13">
        <f>SUM(K166:K200)</f>
        <v>172194.58720225681</v>
      </c>
      <c r="L202" s="14">
        <f>K202/F202</f>
        <v>0.34647425648001029</v>
      </c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1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1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75" t="s">
        <v>63</v>
      </c>
      <c r="B205" s="76"/>
      <c r="C205" s="76"/>
      <c r="D205" s="2"/>
      <c r="E205" s="7" t="s">
        <v>143</v>
      </c>
      <c r="F205" s="8">
        <v>46118</v>
      </c>
      <c r="G205" s="7"/>
      <c r="H205" s="2"/>
      <c r="I205" s="9" t="s">
        <v>2</v>
      </c>
      <c r="J205" s="9"/>
      <c r="K205" s="9"/>
      <c r="L205" s="3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"/>
      <c r="B206" s="2"/>
      <c r="C206" s="5"/>
      <c r="D206" s="2"/>
      <c r="E206" s="2"/>
      <c r="F206" s="2"/>
      <c r="G206" s="2"/>
      <c r="H206" s="2"/>
      <c r="I206" s="2"/>
      <c r="J206" s="2"/>
      <c r="K206" s="2"/>
      <c r="L206" s="3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6" t="s">
        <v>3</v>
      </c>
      <c r="B207" s="10" t="s">
        <v>4</v>
      </c>
      <c r="C207" s="11" t="s">
        <v>5</v>
      </c>
      <c r="D207" s="10" t="s">
        <v>6</v>
      </c>
      <c r="E207" s="10" t="s">
        <v>7</v>
      </c>
      <c r="F207" s="10" t="s">
        <v>8</v>
      </c>
      <c r="G207" s="2"/>
      <c r="H207" s="2"/>
      <c r="I207" s="10" t="s">
        <v>9</v>
      </c>
      <c r="J207" s="10" t="s">
        <v>7</v>
      </c>
      <c r="K207" s="10" t="s">
        <v>10</v>
      </c>
      <c r="L207" s="3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3</v>
      </c>
      <c r="B208" s="10" t="s">
        <v>4</v>
      </c>
      <c r="C208" s="11" t="s">
        <v>13</v>
      </c>
      <c r="D208" s="13">
        <v>900</v>
      </c>
      <c r="E208" s="13">
        <f t="shared" ref="E208:E240" si="43">A208*D208</f>
        <v>2700</v>
      </c>
      <c r="F208" s="13">
        <f t="shared" ref="F208:F222" si="44">E208*1.105</f>
        <v>2983.5</v>
      </c>
      <c r="G208" s="2"/>
      <c r="H208" s="2"/>
      <c r="I208" s="13">
        <v>460</v>
      </c>
      <c r="J208" s="13">
        <f t="shared" ref="J208:J240" si="45">I208*A208</f>
        <v>1380</v>
      </c>
      <c r="K208" s="13">
        <f t="shared" ref="K208:K240" si="46">F208-J208</f>
        <v>1603.5</v>
      </c>
      <c r="L208" s="14">
        <f t="shared" ref="L208:L240" si="47">IFERROR(K208/E208, 0)</f>
        <v>0.59388888888888891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1</v>
      </c>
      <c r="B209" s="10" t="s">
        <v>21</v>
      </c>
      <c r="C209" s="11" t="s">
        <v>51</v>
      </c>
      <c r="D209" s="13">
        <v>1500</v>
      </c>
      <c r="E209" s="13">
        <f t="shared" si="43"/>
        <v>1500</v>
      </c>
      <c r="F209" s="13">
        <f t="shared" si="44"/>
        <v>1657.5</v>
      </c>
      <c r="G209" s="2"/>
      <c r="H209" s="2"/>
      <c r="I209" s="13">
        <v>1500</v>
      </c>
      <c r="J209" s="13">
        <f t="shared" si="45"/>
        <v>1500</v>
      </c>
      <c r="K209" s="13">
        <f t="shared" si="46"/>
        <v>157.5</v>
      </c>
      <c r="L209" s="14">
        <f t="shared" si="47"/>
        <v>0.105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6.25</v>
      </c>
      <c r="B210" s="10" t="s">
        <v>17</v>
      </c>
      <c r="C210" s="11" t="s">
        <v>62</v>
      </c>
      <c r="D210" s="13">
        <v>3000</v>
      </c>
      <c r="E210" s="13">
        <f t="shared" si="43"/>
        <v>18750</v>
      </c>
      <c r="F210" s="13">
        <f t="shared" si="44"/>
        <v>20718.75</v>
      </c>
      <c r="G210" s="2"/>
      <c r="H210" s="2"/>
      <c r="I210" s="13">
        <f>32000/18</f>
        <v>1777.7777777777778</v>
      </c>
      <c r="J210" s="13">
        <f t="shared" si="45"/>
        <v>11111.111111111111</v>
      </c>
      <c r="K210" s="13">
        <f t="shared" si="46"/>
        <v>9607.6388888888887</v>
      </c>
      <c r="L210" s="14">
        <f t="shared" si="47"/>
        <v>0.51240740740740742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0.5</v>
      </c>
      <c r="B211" s="10" t="s">
        <v>15</v>
      </c>
      <c r="C211" s="11" t="s">
        <v>129</v>
      </c>
      <c r="D211" s="13">
        <v>16000</v>
      </c>
      <c r="E211" s="13">
        <f t="shared" si="43"/>
        <v>8000</v>
      </c>
      <c r="F211" s="13">
        <f t="shared" si="44"/>
        <v>8840</v>
      </c>
      <c r="G211" s="2"/>
      <c r="H211" s="2"/>
      <c r="I211" s="13">
        <v>12000</v>
      </c>
      <c r="J211" s="13">
        <f t="shared" si="45"/>
        <v>6000</v>
      </c>
      <c r="K211" s="13">
        <f t="shared" si="46"/>
        <v>2840</v>
      </c>
      <c r="L211" s="14">
        <f t="shared" si="47"/>
        <v>0.35499999999999998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4</v>
      </c>
      <c r="B212" s="10" t="s">
        <v>4</v>
      </c>
      <c r="C212" s="11" t="s">
        <v>14</v>
      </c>
      <c r="D212" s="13">
        <v>2600</v>
      </c>
      <c r="E212" s="13">
        <f t="shared" si="43"/>
        <v>10400</v>
      </c>
      <c r="F212" s="13">
        <f t="shared" si="44"/>
        <v>11492</v>
      </c>
      <c r="G212" s="2"/>
      <c r="H212" s="2"/>
      <c r="I212" s="13">
        <f>15000/8</f>
        <v>1875</v>
      </c>
      <c r="J212" s="13">
        <f t="shared" si="45"/>
        <v>7500</v>
      </c>
      <c r="K212" s="13">
        <f t="shared" si="46"/>
        <v>3992</v>
      </c>
      <c r="L212" s="14">
        <f t="shared" si="47"/>
        <v>0.38384615384615384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0.8</v>
      </c>
      <c r="B213" s="10" t="s">
        <v>17</v>
      </c>
      <c r="C213" s="11" t="s">
        <v>42</v>
      </c>
      <c r="D213" s="13">
        <v>4500</v>
      </c>
      <c r="E213" s="13">
        <f t="shared" si="43"/>
        <v>3600</v>
      </c>
      <c r="F213" s="13">
        <f t="shared" si="44"/>
        <v>3978</v>
      </c>
      <c r="G213" s="2"/>
      <c r="H213" s="2"/>
      <c r="I213" s="13">
        <v>1200</v>
      </c>
      <c r="J213" s="13">
        <f t="shared" si="45"/>
        <v>960</v>
      </c>
      <c r="K213" s="13">
        <f t="shared" si="46"/>
        <v>3018</v>
      </c>
      <c r="L213" s="14">
        <f t="shared" si="47"/>
        <v>0.83833333333333337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0.4</v>
      </c>
      <c r="B214" s="10" t="s">
        <v>4</v>
      </c>
      <c r="C214" s="11" t="s">
        <v>64</v>
      </c>
      <c r="D214" s="13">
        <v>2500</v>
      </c>
      <c r="E214" s="13">
        <f t="shared" si="43"/>
        <v>1000</v>
      </c>
      <c r="F214" s="13">
        <f t="shared" si="44"/>
        <v>1105</v>
      </c>
      <c r="G214" s="2"/>
      <c r="H214" s="2"/>
      <c r="I214" s="13">
        <v>1000</v>
      </c>
      <c r="J214" s="13">
        <f t="shared" si="45"/>
        <v>400</v>
      </c>
      <c r="K214" s="13">
        <f t="shared" si="46"/>
        <v>705</v>
      </c>
      <c r="L214" s="14">
        <f t="shared" si="47"/>
        <v>0.70499999999999996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4</v>
      </c>
      <c r="B215" s="10" t="s">
        <v>17</v>
      </c>
      <c r="C215" s="11" t="s">
        <v>18</v>
      </c>
      <c r="D215" s="13">
        <v>1600</v>
      </c>
      <c r="E215" s="13">
        <f t="shared" si="43"/>
        <v>6400</v>
      </c>
      <c r="F215" s="13">
        <f t="shared" si="44"/>
        <v>7072</v>
      </c>
      <c r="G215" s="2"/>
      <c r="H215" s="2"/>
      <c r="I215" s="13">
        <v>1000</v>
      </c>
      <c r="J215" s="13">
        <f t="shared" si="45"/>
        <v>4000</v>
      </c>
      <c r="K215" s="13">
        <f t="shared" si="46"/>
        <v>3072</v>
      </c>
      <c r="L215" s="14">
        <f t="shared" si="47"/>
        <v>0.48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1.3</v>
      </c>
      <c r="B216" s="10" t="s">
        <v>17</v>
      </c>
      <c r="C216" s="11" t="s">
        <v>19</v>
      </c>
      <c r="D216" s="13">
        <v>4000</v>
      </c>
      <c r="E216" s="13">
        <f t="shared" si="43"/>
        <v>5200</v>
      </c>
      <c r="F216" s="13">
        <f t="shared" si="44"/>
        <v>5746</v>
      </c>
      <c r="G216" s="2"/>
      <c r="H216" s="2"/>
      <c r="I216" s="13">
        <f>13000/8</f>
        <v>1625</v>
      </c>
      <c r="J216" s="13">
        <f t="shared" si="45"/>
        <v>2112.5</v>
      </c>
      <c r="K216" s="13">
        <f t="shared" si="46"/>
        <v>3633.5</v>
      </c>
      <c r="L216" s="14">
        <f t="shared" si="47"/>
        <v>0.69874999999999998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4</v>
      </c>
      <c r="B217" s="10" t="s">
        <v>17</v>
      </c>
      <c r="C217" s="11" t="s">
        <v>78</v>
      </c>
      <c r="D217" s="13">
        <v>4000</v>
      </c>
      <c r="E217" s="13">
        <f t="shared" si="43"/>
        <v>16000</v>
      </c>
      <c r="F217" s="13">
        <f t="shared" si="44"/>
        <v>17680</v>
      </c>
      <c r="G217" s="2"/>
      <c r="H217" s="2"/>
      <c r="I217" s="13">
        <f>18000/8</f>
        <v>2250</v>
      </c>
      <c r="J217" s="13">
        <f t="shared" si="45"/>
        <v>9000</v>
      </c>
      <c r="K217" s="13">
        <f t="shared" si="46"/>
        <v>8680</v>
      </c>
      <c r="L217" s="14">
        <f t="shared" si="47"/>
        <v>0.54249999999999998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1</v>
      </c>
      <c r="B218" s="10" t="s">
        <v>21</v>
      </c>
      <c r="C218" s="11" t="s">
        <v>133</v>
      </c>
      <c r="D218" s="13">
        <v>3000</v>
      </c>
      <c r="E218" s="13">
        <f t="shared" si="43"/>
        <v>3000</v>
      </c>
      <c r="F218" s="13">
        <f t="shared" si="44"/>
        <v>3315</v>
      </c>
      <c r="G218" s="2"/>
      <c r="H218" s="2"/>
      <c r="I218" s="13">
        <v>500</v>
      </c>
      <c r="J218" s="13">
        <f t="shared" si="45"/>
        <v>500</v>
      </c>
      <c r="K218" s="13">
        <f t="shared" si="46"/>
        <v>2815</v>
      </c>
      <c r="L218" s="14">
        <f t="shared" si="47"/>
        <v>0.93833333333333335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1</v>
      </c>
      <c r="B219" s="10" t="s">
        <v>21</v>
      </c>
      <c r="C219" s="11" t="s">
        <v>28</v>
      </c>
      <c r="D219" s="13">
        <v>3000</v>
      </c>
      <c r="E219" s="13">
        <f t="shared" si="43"/>
        <v>3000</v>
      </c>
      <c r="F219" s="13">
        <f t="shared" si="44"/>
        <v>3315</v>
      </c>
      <c r="G219" s="7" t="s">
        <v>37</v>
      </c>
      <c r="H219" s="2"/>
      <c r="I219" s="13">
        <v>2000</v>
      </c>
      <c r="J219" s="13">
        <f t="shared" si="45"/>
        <v>2000</v>
      </c>
      <c r="K219" s="13">
        <f t="shared" si="46"/>
        <v>1315</v>
      </c>
      <c r="L219" s="14">
        <f t="shared" si="47"/>
        <v>0.43833333333333335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4</v>
      </c>
      <c r="B220" s="10" t="s">
        <v>4</v>
      </c>
      <c r="C220" s="11" t="s">
        <v>41</v>
      </c>
      <c r="D220" s="13">
        <v>2800</v>
      </c>
      <c r="E220" s="13">
        <f t="shared" si="43"/>
        <v>11200</v>
      </c>
      <c r="F220" s="13">
        <f t="shared" si="44"/>
        <v>12376</v>
      </c>
      <c r="G220" s="2"/>
      <c r="H220" s="2"/>
      <c r="I220" s="17">
        <v>1800</v>
      </c>
      <c r="J220" s="13">
        <f t="shared" si="45"/>
        <v>7200</v>
      </c>
      <c r="K220" s="13">
        <f t="shared" si="46"/>
        <v>5176</v>
      </c>
      <c r="L220" s="18">
        <f t="shared" si="47"/>
        <v>0.46214285714285713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24</v>
      </c>
      <c r="B221" s="10" t="s">
        <v>21</v>
      </c>
      <c r="C221" s="11" t="s">
        <v>22</v>
      </c>
      <c r="D221" s="13">
        <v>1700</v>
      </c>
      <c r="E221" s="13">
        <f t="shared" si="43"/>
        <v>40800</v>
      </c>
      <c r="F221" s="13">
        <f t="shared" si="44"/>
        <v>45084</v>
      </c>
      <c r="G221" s="2"/>
      <c r="H221" s="2"/>
      <c r="I221" s="17">
        <v>1200</v>
      </c>
      <c r="J221" s="13">
        <f t="shared" si="45"/>
        <v>28800</v>
      </c>
      <c r="K221" s="13">
        <f t="shared" si="46"/>
        <v>16284</v>
      </c>
      <c r="L221" s="18">
        <f t="shared" si="47"/>
        <v>0.39911764705882352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2.5</v>
      </c>
      <c r="B222" s="10" t="s">
        <v>17</v>
      </c>
      <c r="C222" s="11" t="s">
        <v>89</v>
      </c>
      <c r="D222" s="13">
        <v>11000</v>
      </c>
      <c r="E222" s="13">
        <f t="shared" si="43"/>
        <v>27500</v>
      </c>
      <c r="F222" s="13">
        <f t="shared" si="44"/>
        <v>30387.5</v>
      </c>
      <c r="G222" s="2"/>
      <c r="H222" s="2"/>
      <c r="I222" s="17">
        <v>9500</v>
      </c>
      <c r="J222" s="13">
        <f t="shared" si="45"/>
        <v>23750</v>
      </c>
      <c r="K222" s="13">
        <f t="shared" si="46"/>
        <v>6637.5</v>
      </c>
      <c r="L222" s="18">
        <f t="shared" si="47"/>
        <v>0.24136363636363636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0.5</v>
      </c>
      <c r="B223" s="10" t="s">
        <v>23</v>
      </c>
      <c r="C223" s="11" t="s">
        <v>12</v>
      </c>
      <c r="D223" s="13">
        <v>54000</v>
      </c>
      <c r="E223" s="13">
        <f t="shared" si="43"/>
        <v>27000</v>
      </c>
      <c r="F223" s="13">
        <f>E223*1.21</f>
        <v>32670</v>
      </c>
      <c r="G223" s="2"/>
      <c r="H223" s="2"/>
      <c r="I223" s="17">
        <v>54000</v>
      </c>
      <c r="J223" s="13">
        <f t="shared" si="45"/>
        <v>27000</v>
      </c>
      <c r="K223" s="13">
        <f t="shared" si="46"/>
        <v>5670</v>
      </c>
      <c r="L223" s="18">
        <f t="shared" si="47"/>
        <v>0.21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2">
        <v>7</v>
      </c>
      <c r="B224" s="10" t="s">
        <v>17</v>
      </c>
      <c r="C224" s="11" t="s">
        <v>43</v>
      </c>
      <c r="D224" s="13">
        <v>3200</v>
      </c>
      <c r="E224" s="13">
        <f t="shared" si="43"/>
        <v>22400</v>
      </c>
      <c r="F224" s="13">
        <f t="shared" ref="F224:F240" si="48">E224*1.105</f>
        <v>24752</v>
      </c>
      <c r="G224" s="7" t="s">
        <v>37</v>
      </c>
      <c r="H224" s="2"/>
      <c r="I224" s="17">
        <v>2500</v>
      </c>
      <c r="J224" s="13">
        <f t="shared" si="45"/>
        <v>17500</v>
      </c>
      <c r="K224" s="13">
        <f t="shared" si="46"/>
        <v>7252</v>
      </c>
      <c r="L224" s="18">
        <f t="shared" si="47"/>
        <v>0.32374999999999998</v>
      </c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2">
        <v>0.5</v>
      </c>
      <c r="B225" s="10" t="s">
        <v>17</v>
      </c>
      <c r="C225" s="11" t="s">
        <v>88</v>
      </c>
      <c r="D225" s="13">
        <v>2600</v>
      </c>
      <c r="E225" s="13">
        <f t="shared" si="43"/>
        <v>1300</v>
      </c>
      <c r="F225" s="13">
        <f t="shared" si="48"/>
        <v>1436.5</v>
      </c>
      <c r="G225" s="2"/>
      <c r="H225" s="2"/>
      <c r="I225" s="13">
        <f>20000/15</f>
        <v>1333.3333333333333</v>
      </c>
      <c r="J225" s="13">
        <f t="shared" si="45"/>
        <v>666.66666666666663</v>
      </c>
      <c r="K225" s="13">
        <f t="shared" si="46"/>
        <v>769.83333333333337</v>
      </c>
      <c r="L225" s="18">
        <f t="shared" si="47"/>
        <v>0.59217948717948721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6</v>
      </c>
      <c r="B226" s="10" t="s">
        <v>15</v>
      </c>
      <c r="C226" s="11" t="s">
        <v>27</v>
      </c>
      <c r="D226" s="13">
        <v>23000</v>
      </c>
      <c r="E226" s="13">
        <f t="shared" si="43"/>
        <v>138000</v>
      </c>
      <c r="F226" s="13">
        <f t="shared" si="48"/>
        <v>152490</v>
      </c>
      <c r="G226" s="2"/>
      <c r="H226" s="2"/>
      <c r="I226" s="13">
        <v>18000</v>
      </c>
      <c r="J226" s="13">
        <f t="shared" si="45"/>
        <v>108000</v>
      </c>
      <c r="K226" s="13">
        <f t="shared" si="46"/>
        <v>44490</v>
      </c>
      <c r="L226" s="14">
        <f t="shared" si="47"/>
        <v>0.32239130434782609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1</v>
      </c>
      <c r="B227" s="10" t="s">
        <v>21</v>
      </c>
      <c r="C227" s="11" t="s">
        <v>29</v>
      </c>
      <c r="D227" s="13">
        <v>3500</v>
      </c>
      <c r="E227" s="13">
        <f t="shared" si="43"/>
        <v>3500</v>
      </c>
      <c r="F227" s="13">
        <f t="shared" si="48"/>
        <v>3867.5</v>
      </c>
      <c r="G227" s="7" t="s">
        <v>37</v>
      </c>
      <c r="H227" s="2"/>
      <c r="I227" s="13">
        <v>1500</v>
      </c>
      <c r="J227" s="13">
        <f t="shared" si="45"/>
        <v>1500</v>
      </c>
      <c r="K227" s="13">
        <f t="shared" si="46"/>
        <v>2367.5</v>
      </c>
      <c r="L227" s="14">
        <f t="shared" si="47"/>
        <v>0.67642857142857138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15</v>
      </c>
      <c r="B228" s="10" t="s">
        <v>17</v>
      </c>
      <c r="C228" s="11" t="s">
        <v>39</v>
      </c>
      <c r="D228" s="13">
        <v>2400</v>
      </c>
      <c r="E228" s="13">
        <f t="shared" si="43"/>
        <v>36000</v>
      </c>
      <c r="F228" s="13">
        <f t="shared" si="48"/>
        <v>39780</v>
      </c>
      <c r="G228" s="7" t="s">
        <v>37</v>
      </c>
      <c r="H228" s="2"/>
      <c r="I228" s="13">
        <v>1666</v>
      </c>
      <c r="J228" s="13">
        <f t="shared" si="45"/>
        <v>24990</v>
      </c>
      <c r="K228" s="13">
        <f t="shared" si="46"/>
        <v>14790</v>
      </c>
      <c r="L228" s="14">
        <f t="shared" si="47"/>
        <v>0.41083333333333333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2</v>
      </c>
      <c r="B229" s="10" t="s">
        <v>15</v>
      </c>
      <c r="C229" s="11" t="s">
        <v>40</v>
      </c>
      <c r="D229" s="13">
        <v>12000</v>
      </c>
      <c r="E229" s="13">
        <f t="shared" si="43"/>
        <v>24000</v>
      </c>
      <c r="F229" s="13">
        <f t="shared" si="48"/>
        <v>26520</v>
      </c>
      <c r="G229" s="2"/>
      <c r="H229" s="2"/>
      <c r="I229" s="13">
        <v>7000</v>
      </c>
      <c r="J229" s="13">
        <f t="shared" si="45"/>
        <v>14000</v>
      </c>
      <c r="K229" s="13">
        <f t="shared" si="46"/>
        <v>12520</v>
      </c>
      <c r="L229" s="14">
        <f t="shared" si="47"/>
        <v>0.52166666666666661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2</v>
      </c>
      <c r="B230" s="10" t="s">
        <v>23</v>
      </c>
      <c r="C230" s="11" t="s">
        <v>26</v>
      </c>
      <c r="D230" s="13">
        <v>26000</v>
      </c>
      <c r="E230" s="13">
        <f t="shared" si="43"/>
        <v>52000</v>
      </c>
      <c r="F230" s="13">
        <f t="shared" si="48"/>
        <v>57460</v>
      </c>
      <c r="G230" s="2"/>
      <c r="H230" s="2"/>
      <c r="I230" s="13">
        <v>22000</v>
      </c>
      <c r="J230" s="13">
        <f t="shared" si="45"/>
        <v>44000</v>
      </c>
      <c r="K230" s="13">
        <f t="shared" si="46"/>
        <v>13460</v>
      </c>
      <c r="L230" s="14">
        <f t="shared" si="47"/>
        <v>0.25884615384615384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12</v>
      </c>
      <c r="B231" s="10" t="s">
        <v>17</v>
      </c>
      <c r="C231" s="11" t="s">
        <v>25</v>
      </c>
      <c r="D231" s="13">
        <v>4500</v>
      </c>
      <c r="E231" s="13">
        <f t="shared" si="43"/>
        <v>54000</v>
      </c>
      <c r="F231" s="13">
        <f t="shared" si="48"/>
        <v>59670</v>
      </c>
      <c r="G231" s="2"/>
      <c r="H231" s="2"/>
      <c r="I231" s="13">
        <f>65000/18</f>
        <v>3611.1111111111113</v>
      </c>
      <c r="J231" s="13">
        <f t="shared" si="45"/>
        <v>43333.333333333336</v>
      </c>
      <c r="K231" s="13">
        <f t="shared" si="46"/>
        <v>16336.666666666664</v>
      </c>
      <c r="L231" s="14">
        <f t="shared" si="47"/>
        <v>0.30253086419753084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10</v>
      </c>
      <c r="B232" s="10" t="s">
        <v>17</v>
      </c>
      <c r="C232" s="11" t="s">
        <v>24</v>
      </c>
      <c r="D232" s="13">
        <v>3600</v>
      </c>
      <c r="E232" s="13">
        <f t="shared" si="43"/>
        <v>36000</v>
      </c>
      <c r="F232" s="13">
        <f t="shared" si="48"/>
        <v>39780</v>
      </c>
      <c r="G232" s="2"/>
      <c r="H232" s="2"/>
      <c r="I232" s="13">
        <f>53000/18</f>
        <v>2944.4444444444443</v>
      </c>
      <c r="J232" s="13">
        <f t="shared" si="45"/>
        <v>29444.444444444445</v>
      </c>
      <c r="K232" s="13">
        <f t="shared" si="46"/>
        <v>10335.555555555555</v>
      </c>
      <c r="L232" s="14">
        <f t="shared" si="47"/>
        <v>0.28709876543209872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3</v>
      </c>
      <c r="B233" s="10" t="s">
        <v>4</v>
      </c>
      <c r="C233" s="11" t="s">
        <v>65</v>
      </c>
      <c r="D233" s="13">
        <v>1600</v>
      </c>
      <c r="E233" s="13">
        <f t="shared" si="43"/>
        <v>4800</v>
      </c>
      <c r="F233" s="13">
        <f t="shared" si="48"/>
        <v>5304</v>
      </c>
      <c r="G233" s="2"/>
      <c r="H233" s="2"/>
      <c r="I233" s="13">
        <v>1078</v>
      </c>
      <c r="J233" s="13">
        <f t="shared" si="45"/>
        <v>3234</v>
      </c>
      <c r="K233" s="13">
        <f t="shared" si="46"/>
        <v>2070</v>
      </c>
      <c r="L233" s="14">
        <f t="shared" si="47"/>
        <v>0.43125000000000002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20</v>
      </c>
      <c r="B234" s="10" t="s">
        <v>21</v>
      </c>
      <c r="C234" s="11" t="s">
        <v>46</v>
      </c>
      <c r="D234" s="13">
        <v>600</v>
      </c>
      <c r="E234" s="13">
        <f t="shared" si="43"/>
        <v>12000</v>
      </c>
      <c r="F234" s="13">
        <f t="shared" si="48"/>
        <v>13260</v>
      </c>
      <c r="G234" s="2"/>
      <c r="H234" s="2"/>
      <c r="I234" s="13">
        <v>208</v>
      </c>
      <c r="J234" s="13">
        <f t="shared" si="45"/>
        <v>4160</v>
      </c>
      <c r="K234" s="13">
        <f t="shared" si="46"/>
        <v>9100</v>
      </c>
      <c r="L234" s="14">
        <f t="shared" si="47"/>
        <v>0.7583333333333333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2</v>
      </c>
      <c r="B235" s="10" t="s">
        <v>17</v>
      </c>
      <c r="C235" s="11" t="s">
        <v>56</v>
      </c>
      <c r="D235" s="13">
        <v>800</v>
      </c>
      <c r="E235" s="13">
        <f t="shared" si="43"/>
        <v>1600</v>
      </c>
      <c r="F235" s="13">
        <f t="shared" si="48"/>
        <v>1768</v>
      </c>
      <c r="G235" s="2"/>
      <c r="H235" s="2"/>
      <c r="I235" s="13">
        <f>10000/15</f>
        <v>666.66666666666663</v>
      </c>
      <c r="J235" s="13">
        <f t="shared" si="45"/>
        <v>1333.3333333333333</v>
      </c>
      <c r="K235" s="13">
        <f t="shared" si="46"/>
        <v>434.66666666666674</v>
      </c>
      <c r="L235" s="14">
        <f t="shared" si="47"/>
        <v>0.27166666666666672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1</v>
      </c>
      <c r="B236" s="10" t="s">
        <v>17</v>
      </c>
      <c r="C236" s="11" t="s">
        <v>30</v>
      </c>
      <c r="D236" s="13">
        <v>1500</v>
      </c>
      <c r="E236" s="13">
        <f t="shared" si="43"/>
        <v>1500</v>
      </c>
      <c r="F236" s="13">
        <f t="shared" si="48"/>
        <v>1657.5</v>
      </c>
      <c r="G236" s="2"/>
      <c r="H236" s="2"/>
      <c r="I236" s="13">
        <v>1500</v>
      </c>
      <c r="J236" s="13">
        <f t="shared" si="45"/>
        <v>1500</v>
      </c>
      <c r="K236" s="13">
        <f t="shared" si="46"/>
        <v>157.5</v>
      </c>
      <c r="L236" s="14">
        <f t="shared" si="47"/>
        <v>0.105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7</v>
      </c>
      <c r="B237" s="10" t="s">
        <v>17</v>
      </c>
      <c r="C237" s="11" t="s">
        <v>82</v>
      </c>
      <c r="D237" s="13">
        <v>1400</v>
      </c>
      <c r="E237" s="13">
        <f t="shared" si="43"/>
        <v>9800</v>
      </c>
      <c r="F237" s="13">
        <f t="shared" si="48"/>
        <v>10829</v>
      </c>
      <c r="G237" s="2"/>
      <c r="H237" s="2"/>
      <c r="I237" s="13">
        <f>16000/15</f>
        <v>1066.6666666666667</v>
      </c>
      <c r="J237" s="13">
        <f t="shared" si="45"/>
        <v>7466.666666666667</v>
      </c>
      <c r="K237" s="13">
        <f t="shared" si="46"/>
        <v>3362.333333333333</v>
      </c>
      <c r="L237" s="14">
        <f t="shared" si="47"/>
        <v>0.34309523809523806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0.6</v>
      </c>
      <c r="B238" s="10" t="s">
        <v>17</v>
      </c>
      <c r="C238" s="11" t="s">
        <v>61</v>
      </c>
      <c r="D238" s="13">
        <v>1400</v>
      </c>
      <c r="E238" s="13">
        <f t="shared" si="43"/>
        <v>840</v>
      </c>
      <c r="F238" s="13">
        <f t="shared" si="48"/>
        <v>928.19999999999993</v>
      </c>
      <c r="G238" s="2"/>
      <c r="H238" s="7"/>
      <c r="I238" s="13">
        <v>1000</v>
      </c>
      <c r="J238" s="13">
        <f t="shared" si="45"/>
        <v>600</v>
      </c>
      <c r="K238" s="13">
        <f t="shared" si="46"/>
        <v>328.19999999999993</v>
      </c>
      <c r="L238" s="14">
        <f t="shared" si="47"/>
        <v>0.39071428571428563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1.3</v>
      </c>
      <c r="B239" s="10" t="s">
        <v>17</v>
      </c>
      <c r="C239" s="11" t="s">
        <v>93</v>
      </c>
      <c r="D239" s="13">
        <v>3000</v>
      </c>
      <c r="E239" s="13">
        <f t="shared" si="43"/>
        <v>3900</v>
      </c>
      <c r="F239" s="13">
        <f t="shared" si="48"/>
        <v>4309.5</v>
      </c>
      <c r="G239" s="2"/>
      <c r="H239" s="2"/>
      <c r="I239" s="13">
        <f>13000/7</f>
        <v>1857.1428571428571</v>
      </c>
      <c r="J239" s="13">
        <f t="shared" si="45"/>
        <v>2414.2857142857142</v>
      </c>
      <c r="K239" s="13">
        <f t="shared" si="46"/>
        <v>1895.2142857142858</v>
      </c>
      <c r="L239" s="14">
        <f t="shared" si="47"/>
        <v>0.48595238095238097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>
        <v>0.6</v>
      </c>
      <c r="B240" s="10" t="s">
        <v>17</v>
      </c>
      <c r="C240" s="11" t="s">
        <v>99</v>
      </c>
      <c r="D240" s="13">
        <v>1500</v>
      </c>
      <c r="E240" s="13">
        <f t="shared" si="43"/>
        <v>900</v>
      </c>
      <c r="F240" s="13">
        <f t="shared" si="48"/>
        <v>994.5</v>
      </c>
      <c r="G240" s="2"/>
      <c r="H240" s="2"/>
      <c r="I240" s="13">
        <v>1250</v>
      </c>
      <c r="J240" s="13">
        <f t="shared" si="45"/>
        <v>750</v>
      </c>
      <c r="K240" s="13">
        <f t="shared" si="46"/>
        <v>244.5</v>
      </c>
      <c r="L240" s="14">
        <f t="shared" si="47"/>
        <v>0.27166666666666667</v>
      </c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2"/>
      <c r="C241" s="4"/>
      <c r="D241" s="2"/>
      <c r="E241" s="2"/>
      <c r="F241" s="2"/>
      <c r="G241" s="2"/>
      <c r="H241" s="2"/>
      <c r="I241" s="2"/>
      <c r="J241" s="2"/>
      <c r="K241" s="2"/>
      <c r="L241" s="3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"/>
      <c r="B242" s="2"/>
      <c r="C242" s="4"/>
      <c r="D242" s="2"/>
      <c r="E242" s="13">
        <f t="shared" ref="E242:F242" si="49">SUM(E208:E240)</f>
        <v>588590</v>
      </c>
      <c r="F242" s="13">
        <f t="shared" si="49"/>
        <v>653226.94999999995</v>
      </c>
      <c r="G242" s="2"/>
      <c r="H242" s="2"/>
      <c r="I242" s="2"/>
      <c r="J242" s="2"/>
      <c r="K242" s="13">
        <f>SUM(K208:K240)</f>
        <v>215120.60873015874</v>
      </c>
      <c r="L242" s="14">
        <f>K242/F242</f>
        <v>0.32931986154300391</v>
      </c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20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20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75" t="s">
        <v>66</v>
      </c>
      <c r="B245" s="76"/>
      <c r="C245" s="76"/>
      <c r="D245" s="2"/>
      <c r="E245" s="7" t="s">
        <v>69</v>
      </c>
      <c r="F245" s="8">
        <v>46118</v>
      </c>
      <c r="G245" s="2"/>
      <c r="H245" s="2"/>
      <c r="I245" s="9" t="s">
        <v>2</v>
      </c>
      <c r="J245" s="9"/>
      <c r="K245" s="9"/>
      <c r="L245" s="3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"/>
      <c r="B246" s="2"/>
      <c r="C246" s="5"/>
      <c r="D246" s="2"/>
      <c r="E246" s="2"/>
      <c r="F246" s="2"/>
      <c r="G246" s="2"/>
      <c r="H246" s="2"/>
      <c r="I246" s="2"/>
      <c r="J246" s="2"/>
      <c r="K246" s="2"/>
      <c r="L246" s="3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6" t="s">
        <v>3</v>
      </c>
      <c r="B247" s="10" t="s">
        <v>4</v>
      </c>
      <c r="C247" s="11" t="s">
        <v>5</v>
      </c>
      <c r="D247" s="10" t="s">
        <v>6</v>
      </c>
      <c r="E247" s="10" t="s">
        <v>7</v>
      </c>
      <c r="F247" s="10" t="s">
        <v>8</v>
      </c>
      <c r="G247" s="2"/>
      <c r="H247" s="2"/>
      <c r="I247" s="10" t="s">
        <v>9</v>
      </c>
      <c r="J247" s="10" t="s">
        <v>7</v>
      </c>
      <c r="K247" s="10" t="s">
        <v>10</v>
      </c>
      <c r="L247" s="3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6</v>
      </c>
      <c r="B248" s="10" t="s">
        <v>17</v>
      </c>
      <c r="C248" s="11" t="s">
        <v>39</v>
      </c>
      <c r="D248" s="13">
        <v>2400</v>
      </c>
      <c r="E248" s="13">
        <f t="shared" ref="E248:E275" si="50">A248*D248</f>
        <v>14400</v>
      </c>
      <c r="F248" s="13">
        <f t="shared" ref="F248:F275" si="51">E248*1.105</f>
        <v>15912</v>
      </c>
      <c r="G248" s="2"/>
      <c r="H248" s="2"/>
      <c r="I248" s="13">
        <f>25000/15</f>
        <v>1666.6666666666667</v>
      </c>
      <c r="J248" s="13">
        <f t="shared" ref="J248:J275" si="52">I248*A248</f>
        <v>10000</v>
      </c>
      <c r="K248" s="13">
        <f t="shared" ref="K248:K275" si="53">F248-J248</f>
        <v>5912</v>
      </c>
      <c r="L248" s="14">
        <f t="shared" ref="L248:L275" si="54">IFERROR(K248/E248, 0)</f>
        <v>0.41055555555555556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0.5</v>
      </c>
      <c r="B249" s="10" t="s">
        <v>21</v>
      </c>
      <c r="C249" s="11" t="s">
        <v>29</v>
      </c>
      <c r="D249" s="13">
        <v>3500</v>
      </c>
      <c r="E249" s="13">
        <f t="shared" si="50"/>
        <v>1750</v>
      </c>
      <c r="F249" s="13">
        <f t="shared" si="51"/>
        <v>1933.75</v>
      </c>
      <c r="G249" s="2"/>
      <c r="H249" s="2"/>
      <c r="I249" s="13">
        <v>1500</v>
      </c>
      <c r="J249" s="13">
        <f t="shared" si="52"/>
        <v>750</v>
      </c>
      <c r="K249" s="13">
        <f t="shared" si="53"/>
        <v>1183.75</v>
      </c>
      <c r="L249" s="14">
        <f t="shared" si="54"/>
        <v>0.67642857142857138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2.2999999999999998</v>
      </c>
      <c r="B250" s="10" t="s">
        <v>17</v>
      </c>
      <c r="C250" s="11" t="s">
        <v>36</v>
      </c>
      <c r="D250" s="13">
        <v>1800</v>
      </c>
      <c r="E250" s="13">
        <f t="shared" si="50"/>
        <v>4140</v>
      </c>
      <c r="F250" s="13">
        <f t="shared" si="51"/>
        <v>4574.7</v>
      </c>
      <c r="G250" s="2"/>
      <c r="H250" s="7" t="s">
        <v>37</v>
      </c>
      <c r="I250" s="13">
        <v>1000</v>
      </c>
      <c r="J250" s="13">
        <f t="shared" si="52"/>
        <v>2300</v>
      </c>
      <c r="K250" s="13">
        <f t="shared" si="53"/>
        <v>2274.6999999999998</v>
      </c>
      <c r="L250" s="14">
        <f t="shared" si="54"/>
        <v>0.5494444444444444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15</v>
      </c>
      <c r="C251" s="11" t="s">
        <v>40</v>
      </c>
      <c r="D251" s="13">
        <v>12000</v>
      </c>
      <c r="E251" s="13">
        <f t="shared" si="50"/>
        <v>12000</v>
      </c>
      <c r="F251" s="13">
        <f t="shared" si="51"/>
        <v>13260</v>
      </c>
      <c r="G251" s="2"/>
      <c r="H251" s="2"/>
      <c r="I251" s="13">
        <v>7000</v>
      </c>
      <c r="J251" s="13">
        <f t="shared" si="52"/>
        <v>7000</v>
      </c>
      <c r="K251" s="13">
        <f t="shared" si="53"/>
        <v>6260</v>
      </c>
      <c r="L251" s="14">
        <f t="shared" si="54"/>
        <v>0.52166666666666661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4</v>
      </c>
      <c r="B252" s="10" t="s">
        <v>17</v>
      </c>
      <c r="C252" s="11" t="s">
        <v>43</v>
      </c>
      <c r="D252" s="13">
        <v>3200</v>
      </c>
      <c r="E252" s="13">
        <f t="shared" si="50"/>
        <v>12800</v>
      </c>
      <c r="F252" s="13">
        <f t="shared" si="51"/>
        <v>14144</v>
      </c>
      <c r="G252" s="2"/>
      <c r="H252" s="2"/>
      <c r="I252" s="13">
        <v>2500</v>
      </c>
      <c r="J252" s="13">
        <f t="shared" si="52"/>
        <v>10000</v>
      </c>
      <c r="K252" s="13">
        <f t="shared" si="53"/>
        <v>4144</v>
      </c>
      <c r="L252" s="14">
        <f t="shared" si="54"/>
        <v>0.32374999999999998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16</v>
      </c>
      <c r="B253" s="10" t="s">
        <v>21</v>
      </c>
      <c r="C253" s="11" t="s">
        <v>46</v>
      </c>
      <c r="D253" s="13">
        <v>600</v>
      </c>
      <c r="E253" s="13">
        <f t="shared" si="50"/>
        <v>9600</v>
      </c>
      <c r="F253" s="13">
        <f t="shared" si="51"/>
        <v>10608</v>
      </c>
      <c r="G253" s="2"/>
      <c r="H253" s="2"/>
      <c r="I253" s="13">
        <v>208</v>
      </c>
      <c r="J253" s="13">
        <f t="shared" si="52"/>
        <v>3328</v>
      </c>
      <c r="K253" s="13">
        <f t="shared" si="53"/>
        <v>7280</v>
      </c>
      <c r="L253" s="14">
        <f t="shared" si="54"/>
        <v>0.7583333333333333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0.5</v>
      </c>
      <c r="B254" s="10" t="s">
        <v>17</v>
      </c>
      <c r="C254" s="11" t="s">
        <v>35</v>
      </c>
      <c r="D254" s="13">
        <v>2500</v>
      </c>
      <c r="E254" s="13">
        <f t="shared" si="50"/>
        <v>1250</v>
      </c>
      <c r="F254" s="13">
        <f t="shared" si="51"/>
        <v>1381.25</v>
      </c>
      <c r="G254" s="2"/>
      <c r="H254" s="2"/>
      <c r="I254" s="13">
        <v>1400</v>
      </c>
      <c r="J254" s="13">
        <f t="shared" si="52"/>
        <v>700</v>
      </c>
      <c r="K254" s="13">
        <f t="shared" si="53"/>
        <v>681.25</v>
      </c>
      <c r="L254" s="14">
        <f t="shared" si="54"/>
        <v>0.54500000000000004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</v>
      </c>
      <c r="B255" s="10" t="s">
        <v>15</v>
      </c>
      <c r="C255" s="11" t="s">
        <v>16</v>
      </c>
      <c r="D255" s="13">
        <v>13000</v>
      </c>
      <c r="E255" s="13">
        <f t="shared" si="50"/>
        <v>13000</v>
      </c>
      <c r="F255" s="13">
        <f t="shared" si="51"/>
        <v>14365</v>
      </c>
      <c r="G255" s="2"/>
      <c r="H255" s="2"/>
      <c r="I255" s="13">
        <v>8000</v>
      </c>
      <c r="J255" s="13">
        <f t="shared" si="52"/>
        <v>8000</v>
      </c>
      <c r="K255" s="13">
        <f t="shared" si="53"/>
        <v>6365</v>
      </c>
      <c r="L255" s="14">
        <f t="shared" si="54"/>
        <v>0.48961538461538462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3</v>
      </c>
      <c r="B256" s="10" t="s">
        <v>15</v>
      </c>
      <c r="C256" s="11" t="s">
        <v>27</v>
      </c>
      <c r="D256" s="13">
        <v>23000</v>
      </c>
      <c r="E256" s="13">
        <f t="shared" si="50"/>
        <v>69000</v>
      </c>
      <c r="F256" s="13">
        <f t="shared" si="51"/>
        <v>76245</v>
      </c>
      <c r="G256" s="2"/>
      <c r="H256" s="2"/>
      <c r="I256" s="13">
        <v>18000</v>
      </c>
      <c r="J256" s="13">
        <f t="shared" si="52"/>
        <v>54000</v>
      </c>
      <c r="K256" s="13">
        <f t="shared" si="53"/>
        <v>22245</v>
      </c>
      <c r="L256" s="14">
        <f t="shared" si="54"/>
        <v>0.32239130434782609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1</v>
      </c>
      <c r="B257" s="10" t="s">
        <v>15</v>
      </c>
      <c r="C257" s="11" t="s">
        <v>129</v>
      </c>
      <c r="D257" s="13">
        <v>16000</v>
      </c>
      <c r="E257" s="13">
        <f t="shared" si="50"/>
        <v>16000</v>
      </c>
      <c r="F257" s="13">
        <f t="shared" si="51"/>
        <v>17680</v>
      </c>
      <c r="G257" s="2"/>
      <c r="H257" s="2"/>
      <c r="I257" s="13">
        <v>12000</v>
      </c>
      <c r="J257" s="13">
        <f t="shared" si="52"/>
        <v>12000</v>
      </c>
      <c r="K257" s="13">
        <f t="shared" si="53"/>
        <v>5680</v>
      </c>
      <c r="L257" s="14">
        <f t="shared" si="54"/>
        <v>0.35499999999999998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5</v>
      </c>
      <c r="B258" s="10" t="s">
        <v>17</v>
      </c>
      <c r="C258" s="11" t="s">
        <v>25</v>
      </c>
      <c r="D258" s="13">
        <v>4500</v>
      </c>
      <c r="E258" s="13">
        <f t="shared" si="50"/>
        <v>22500</v>
      </c>
      <c r="F258" s="13">
        <f t="shared" si="51"/>
        <v>24862.5</v>
      </c>
      <c r="G258" s="2"/>
      <c r="H258" s="2"/>
      <c r="I258" s="17">
        <f>65000/17</f>
        <v>3823.5294117647059</v>
      </c>
      <c r="J258" s="13">
        <f t="shared" si="52"/>
        <v>19117.647058823528</v>
      </c>
      <c r="K258" s="13">
        <f t="shared" si="53"/>
        <v>5744.8529411764721</v>
      </c>
      <c r="L258" s="14">
        <f t="shared" si="54"/>
        <v>0.25532679738562097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10</v>
      </c>
      <c r="B259" s="10" t="s">
        <v>17</v>
      </c>
      <c r="C259" s="11" t="s">
        <v>24</v>
      </c>
      <c r="D259" s="13">
        <v>3600</v>
      </c>
      <c r="E259" s="13">
        <f t="shared" si="50"/>
        <v>36000</v>
      </c>
      <c r="F259" s="13">
        <f t="shared" si="51"/>
        <v>39780</v>
      </c>
      <c r="G259" s="2"/>
      <c r="H259" s="2"/>
      <c r="I259" s="13">
        <f>52000/17</f>
        <v>3058.8235294117649</v>
      </c>
      <c r="J259" s="13">
        <f t="shared" si="52"/>
        <v>30588.23529411765</v>
      </c>
      <c r="K259" s="13">
        <f t="shared" si="53"/>
        <v>9191.7647058823495</v>
      </c>
      <c r="L259" s="14">
        <f t="shared" si="54"/>
        <v>0.25532679738562081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1</v>
      </c>
      <c r="B260" s="10" t="s">
        <v>23</v>
      </c>
      <c r="C260" s="11" t="s">
        <v>26</v>
      </c>
      <c r="D260" s="13">
        <v>26000</v>
      </c>
      <c r="E260" s="13">
        <f t="shared" si="50"/>
        <v>26000</v>
      </c>
      <c r="F260" s="13">
        <f t="shared" si="51"/>
        <v>28730</v>
      </c>
      <c r="G260" s="2"/>
      <c r="H260" s="2"/>
      <c r="I260" s="13">
        <v>22000</v>
      </c>
      <c r="J260" s="13">
        <f t="shared" si="52"/>
        <v>22000</v>
      </c>
      <c r="K260" s="13">
        <f t="shared" si="53"/>
        <v>6730</v>
      </c>
      <c r="L260" s="14">
        <f t="shared" si="54"/>
        <v>0.25884615384615384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3</v>
      </c>
      <c r="B261" s="10" t="s">
        <v>17</v>
      </c>
      <c r="C261" s="11" t="s">
        <v>62</v>
      </c>
      <c r="D261" s="13">
        <v>3000</v>
      </c>
      <c r="E261" s="13">
        <f t="shared" si="50"/>
        <v>9000</v>
      </c>
      <c r="F261" s="13">
        <f t="shared" si="51"/>
        <v>9945</v>
      </c>
      <c r="G261" s="2"/>
      <c r="H261" s="2"/>
      <c r="I261" s="13">
        <f>32000/18</f>
        <v>1777.7777777777778</v>
      </c>
      <c r="J261" s="13">
        <f t="shared" si="52"/>
        <v>5333.3333333333339</v>
      </c>
      <c r="K261" s="13">
        <f t="shared" si="53"/>
        <v>4611.6666666666661</v>
      </c>
      <c r="L261" s="14">
        <f t="shared" si="54"/>
        <v>0.51240740740740731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3</v>
      </c>
      <c r="B262" s="10" t="s">
        <v>17</v>
      </c>
      <c r="C262" s="11" t="s">
        <v>31</v>
      </c>
      <c r="D262" s="13">
        <v>3200</v>
      </c>
      <c r="E262" s="13">
        <f t="shared" si="50"/>
        <v>9600</v>
      </c>
      <c r="F262" s="13">
        <f t="shared" si="51"/>
        <v>10608</v>
      </c>
      <c r="G262" s="2"/>
      <c r="H262" s="2"/>
      <c r="I262" s="13">
        <f t="shared" ref="I262:I264" si="55">15000/7</f>
        <v>2142.8571428571427</v>
      </c>
      <c r="J262" s="13">
        <f t="shared" si="52"/>
        <v>6428.5714285714275</v>
      </c>
      <c r="K262" s="13">
        <f t="shared" si="53"/>
        <v>4179.4285714285725</v>
      </c>
      <c r="L262" s="14">
        <f t="shared" si="54"/>
        <v>0.43535714285714294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1.5</v>
      </c>
      <c r="B263" s="10" t="s">
        <v>17</v>
      </c>
      <c r="C263" s="11" t="s">
        <v>33</v>
      </c>
      <c r="D263" s="13">
        <v>2800</v>
      </c>
      <c r="E263" s="13">
        <f t="shared" si="50"/>
        <v>4200</v>
      </c>
      <c r="F263" s="13">
        <f t="shared" si="51"/>
        <v>4641</v>
      </c>
      <c r="G263" s="2"/>
      <c r="H263" s="2"/>
      <c r="I263" s="13">
        <f t="shared" si="55"/>
        <v>2142.8571428571427</v>
      </c>
      <c r="J263" s="13">
        <f t="shared" si="52"/>
        <v>3214.2857142857138</v>
      </c>
      <c r="K263" s="13">
        <f t="shared" si="53"/>
        <v>1426.7142857142862</v>
      </c>
      <c r="L263" s="14">
        <f t="shared" si="54"/>
        <v>0.33969387755102054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1</v>
      </c>
      <c r="B264" s="10" t="s">
        <v>17</v>
      </c>
      <c r="C264" s="11" t="s">
        <v>32</v>
      </c>
      <c r="D264" s="13">
        <v>2400</v>
      </c>
      <c r="E264" s="13">
        <f t="shared" si="50"/>
        <v>2400</v>
      </c>
      <c r="F264" s="13">
        <f t="shared" si="51"/>
        <v>2652</v>
      </c>
      <c r="G264" s="2"/>
      <c r="H264" s="2"/>
      <c r="I264" s="13">
        <f t="shared" si="55"/>
        <v>2142.8571428571427</v>
      </c>
      <c r="J264" s="13">
        <f t="shared" si="52"/>
        <v>2142.8571428571427</v>
      </c>
      <c r="K264" s="13">
        <f t="shared" si="53"/>
        <v>509.14285714285734</v>
      </c>
      <c r="L264" s="14">
        <f t="shared" si="54"/>
        <v>0.21214285714285722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1</v>
      </c>
      <c r="B265" s="10" t="s">
        <v>17</v>
      </c>
      <c r="C265" s="11" t="s">
        <v>56</v>
      </c>
      <c r="D265" s="13">
        <v>800</v>
      </c>
      <c r="E265" s="13">
        <f t="shared" si="50"/>
        <v>800</v>
      </c>
      <c r="F265" s="13">
        <f t="shared" si="51"/>
        <v>884</v>
      </c>
      <c r="G265" s="2"/>
      <c r="H265" s="13"/>
      <c r="I265" s="13">
        <f>10000/15</f>
        <v>666.66666666666663</v>
      </c>
      <c r="J265" s="13">
        <f t="shared" si="52"/>
        <v>666.66666666666663</v>
      </c>
      <c r="K265" s="13">
        <f t="shared" si="53"/>
        <v>217.33333333333337</v>
      </c>
      <c r="L265" s="14">
        <f t="shared" si="54"/>
        <v>0.27166666666666672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1</v>
      </c>
      <c r="B266" s="10" t="s">
        <v>17</v>
      </c>
      <c r="C266" s="11" t="s">
        <v>61</v>
      </c>
      <c r="D266" s="13">
        <v>1400</v>
      </c>
      <c r="E266" s="13">
        <f t="shared" si="50"/>
        <v>1400</v>
      </c>
      <c r="F266" s="13">
        <f t="shared" si="51"/>
        <v>1547</v>
      </c>
      <c r="G266" s="2"/>
      <c r="H266" s="13"/>
      <c r="I266" s="13">
        <v>1000</v>
      </c>
      <c r="J266" s="13">
        <f t="shared" si="52"/>
        <v>1000</v>
      </c>
      <c r="K266" s="13">
        <f t="shared" si="53"/>
        <v>547</v>
      </c>
      <c r="L266" s="14">
        <f t="shared" si="54"/>
        <v>0.39071428571428574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0.5</v>
      </c>
      <c r="B267" s="10" t="s">
        <v>17</v>
      </c>
      <c r="C267" s="11" t="s">
        <v>93</v>
      </c>
      <c r="D267" s="13">
        <v>3000</v>
      </c>
      <c r="E267" s="13">
        <f t="shared" si="50"/>
        <v>1500</v>
      </c>
      <c r="F267" s="13">
        <f t="shared" si="51"/>
        <v>1657.5</v>
      </c>
      <c r="G267" s="2"/>
      <c r="H267" s="2"/>
      <c r="I267" s="13">
        <f>13000/7</f>
        <v>1857.1428571428571</v>
      </c>
      <c r="J267" s="13">
        <f t="shared" si="52"/>
        <v>928.57142857142856</v>
      </c>
      <c r="K267" s="13">
        <f t="shared" si="53"/>
        <v>728.92857142857144</v>
      </c>
      <c r="L267" s="14">
        <f t="shared" si="54"/>
        <v>0.48595238095238097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25</v>
      </c>
      <c r="B268" s="10" t="s">
        <v>4</v>
      </c>
      <c r="C268" s="11" t="s">
        <v>20</v>
      </c>
      <c r="D268" s="13">
        <v>800</v>
      </c>
      <c r="E268" s="13">
        <f t="shared" si="50"/>
        <v>20000</v>
      </c>
      <c r="F268" s="13">
        <f t="shared" si="51"/>
        <v>22100</v>
      </c>
      <c r="G268" s="2"/>
      <c r="H268" s="2"/>
      <c r="I268" s="13">
        <f>30000/94</f>
        <v>319.14893617021278</v>
      </c>
      <c r="J268" s="13">
        <f t="shared" si="52"/>
        <v>7978.7234042553191</v>
      </c>
      <c r="K268" s="13">
        <f t="shared" si="53"/>
        <v>14121.276595744681</v>
      </c>
      <c r="L268" s="14">
        <f t="shared" si="54"/>
        <v>0.70606382978723403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1</v>
      </c>
      <c r="B269" s="10" t="s">
        <v>4</v>
      </c>
      <c r="C269" s="11" t="s">
        <v>41</v>
      </c>
      <c r="D269" s="13">
        <v>2800</v>
      </c>
      <c r="E269" s="13">
        <f t="shared" si="50"/>
        <v>2800</v>
      </c>
      <c r="F269" s="13">
        <f t="shared" si="51"/>
        <v>3094</v>
      </c>
      <c r="G269" s="2"/>
      <c r="H269" s="2"/>
      <c r="I269" s="13">
        <v>1800</v>
      </c>
      <c r="J269" s="13">
        <f t="shared" si="52"/>
        <v>1800</v>
      </c>
      <c r="K269" s="13">
        <f t="shared" si="53"/>
        <v>1294</v>
      </c>
      <c r="L269" s="14">
        <f t="shared" si="54"/>
        <v>0.46214285714285713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10</v>
      </c>
      <c r="B270" s="10" t="s">
        <v>21</v>
      </c>
      <c r="C270" s="11" t="s">
        <v>22</v>
      </c>
      <c r="D270" s="13">
        <v>1700</v>
      </c>
      <c r="E270" s="13">
        <f t="shared" si="50"/>
        <v>17000</v>
      </c>
      <c r="F270" s="13">
        <f t="shared" si="51"/>
        <v>18785</v>
      </c>
      <c r="G270" s="2"/>
      <c r="H270" s="2"/>
      <c r="I270" s="13">
        <v>1200</v>
      </c>
      <c r="J270" s="13">
        <f t="shared" si="52"/>
        <v>12000</v>
      </c>
      <c r="K270" s="13">
        <f t="shared" si="53"/>
        <v>6785</v>
      </c>
      <c r="L270" s="14">
        <f t="shared" si="54"/>
        <v>0.39911764705882352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1.5</v>
      </c>
      <c r="B271" s="10" t="s">
        <v>17</v>
      </c>
      <c r="C271" s="11" t="s">
        <v>19</v>
      </c>
      <c r="D271" s="13">
        <v>4000</v>
      </c>
      <c r="E271" s="13">
        <f t="shared" si="50"/>
        <v>6000</v>
      </c>
      <c r="F271" s="13">
        <f t="shared" si="51"/>
        <v>6630</v>
      </c>
      <c r="G271" s="2"/>
      <c r="H271" s="2"/>
      <c r="I271" s="13">
        <f>13000/8</f>
        <v>1625</v>
      </c>
      <c r="J271" s="13">
        <f t="shared" si="52"/>
        <v>2437.5</v>
      </c>
      <c r="K271" s="13">
        <f t="shared" si="53"/>
        <v>4192.5</v>
      </c>
      <c r="L271" s="14">
        <f t="shared" si="54"/>
        <v>0.69874999999999998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2</v>
      </c>
      <c r="B272" s="10" t="s">
        <v>17</v>
      </c>
      <c r="C272" s="11" t="s">
        <v>78</v>
      </c>
      <c r="D272" s="13">
        <v>4000</v>
      </c>
      <c r="E272" s="13">
        <f t="shared" si="50"/>
        <v>8000</v>
      </c>
      <c r="F272" s="13">
        <f t="shared" si="51"/>
        <v>8840</v>
      </c>
      <c r="G272" s="2"/>
      <c r="H272" s="2"/>
      <c r="I272" s="13">
        <f>18000/8</f>
        <v>2250</v>
      </c>
      <c r="J272" s="13">
        <f t="shared" si="52"/>
        <v>4500</v>
      </c>
      <c r="K272" s="13">
        <f t="shared" si="53"/>
        <v>4340</v>
      </c>
      <c r="L272" s="14">
        <f t="shared" si="54"/>
        <v>0.54249999999999998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1</v>
      </c>
      <c r="B273" s="10" t="s">
        <v>4</v>
      </c>
      <c r="C273" s="11" t="s">
        <v>64</v>
      </c>
      <c r="D273" s="13">
        <v>2500</v>
      </c>
      <c r="E273" s="13">
        <f t="shared" si="50"/>
        <v>2500</v>
      </c>
      <c r="F273" s="13">
        <f t="shared" si="51"/>
        <v>2762.5</v>
      </c>
      <c r="G273" s="2"/>
      <c r="H273" s="2"/>
      <c r="I273" s="13">
        <v>1000</v>
      </c>
      <c r="J273" s="13">
        <f t="shared" si="52"/>
        <v>1000</v>
      </c>
      <c r="K273" s="13">
        <f t="shared" si="53"/>
        <v>1762.5</v>
      </c>
      <c r="L273" s="14">
        <f t="shared" si="54"/>
        <v>0.70499999999999996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21</v>
      </c>
      <c r="C274" s="11" t="s">
        <v>133</v>
      </c>
      <c r="D274" s="13">
        <v>3000</v>
      </c>
      <c r="E274" s="13">
        <f t="shared" si="50"/>
        <v>3000</v>
      </c>
      <c r="F274" s="13">
        <f t="shared" si="51"/>
        <v>3315</v>
      </c>
      <c r="G274" s="2"/>
      <c r="H274" s="2"/>
      <c r="I274" s="13">
        <v>500</v>
      </c>
      <c r="J274" s="13">
        <f t="shared" si="52"/>
        <v>500</v>
      </c>
      <c r="K274" s="13">
        <f t="shared" si="53"/>
        <v>2815</v>
      </c>
      <c r="L274" s="14">
        <f t="shared" si="54"/>
        <v>0.93833333333333335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1</v>
      </c>
      <c r="B275" s="10" t="s">
        <v>17</v>
      </c>
      <c r="C275" s="11" t="s">
        <v>89</v>
      </c>
      <c r="D275" s="13">
        <v>11000</v>
      </c>
      <c r="E275" s="13">
        <f t="shared" si="50"/>
        <v>11000</v>
      </c>
      <c r="F275" s="13">
        <f t="shared" si="51"/>
        <v>12155</v>
      </c>
      <c r="G275" s="2"/>
      <c r="H275" s="2"/>
      <c r="I275" s="13">
        <v>9500</v>
      </c>
      <c r="J275" s="13">
        <f t="shared" si="52"/>
        <v>9500</v>
      </c>
      <c r="K275" s="13">
        <f t="shared" si="53"/>
        <v>2655</v>
      </c>
      <c r="L275" s="14">
        <f t="shared" si="54"/>
        <v>0.24136363636363636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2"/>
      <c r="C276" s="4"/>
      <c r="D276" s="2"/>
      <c r="E276" s="2"/>
      <c r="F276" s="2"/>
      <c r="G276" s="2"/>
      <c r="H276" s="2"/>
      <c r="I276" s="2"/>
      <c r="J276" s="2"/>
      <c r="K276" s="2"/>
      <c r="L276" s="3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"/>
      <c r="B277" s="2"/>
      <c r="C277" s="4"/>
      <c r="D277" s="2"/>
      <c r="E277" s="13">
        <f t="shared" ref="E277:F277" si="56">SUM(E248:E275)</f>
        <v>337640</v>
      </c>
      <c r="F277" s="13">
        <f t="shared" si="56"/>
        <v>373092.2</v>
      </c>
      <c r="G277" s="2"/>
      <c r="H277" s="2"/>
      <c r="I277" s="2"/>
      <c r="J277" s="2"/>
      <c r="K277" s="13">
        <f>SUM(K248:K275)</f>
        <v>133877.80852851778</v>
      </c>
      <c r="L277" s="14">
        <f>K277/F277</f>
        <v>0.35883304054203702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20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20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20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75" t="s">
        <v>68</v>
      </c>
      <c r="B281" s="76"/>
      <c r="C281" s="76"/>
      <c r="D281" s="2"/>
      <c r="E281" s="7" t="s">
        <v>76</v>
      </c>
      <c r="F281" s="8">
        <v>46118</v>
      </c>
      <c r="G281" s="2"/>
      <c r="H281" s="2"/>
      <c r="I281" s="9" t="s">
        <v>2</v>
      </c>
      <c r="J281" s="9"/>
      <c r="K281" s="9"/>
      <c r="L281" s="3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"/>
      <c r="B282" s="2"/>
      <c r="C282" s="5"/>
      <c r="D282" s="2"/>
      <c r="E282" s="2"/>
      <c r="F282" s="2"/>
      <c r="G282" s="2"/>
      <c r="H282" s="2"/>
      <c r="I282" s="2"/>
      <c r="J282" s="2"/>
      <c r="K282" s="2"/>
      <c r="L282" s="3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6" t="s">
        <v>3</v>
      </c>
      <c r="B283" s="10" t="s">
        <v>4</v>
      </c>
      <c r="C283" s="11" t="s">
        <v>5</v>
      </c>
      <c r="D283" s="10" t="s">
        <v>6</v>
      </c>
      <c r="E283" s="10" t="s">
        <v>7</v>
      </c>
      <c r="F283" s="10" t="s">
        <v>8</v>
      </c>
      <c r="G283" s="2"/>
      <c r="H283" s="2"/>
      <c r="I283" s="10" t="s">
        <v>9</v>
      </c>
      <c r="J283" s="10" t="s">
        <v>7</v>
      </c>
      <c r="K283" s="10" t="s">
        <v>10</v>
      </c>
      <c r="L283" s="3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2</v>
      </c>
      <c r="B284" s="10" t="s">
        <v>15</v>
      </c>
      <c r="C284" s="11" t="s">
        <v>27</v>
      </c>
      <c r="D284" s="13">
        <v>23000</v>
      </c>
      <c r="E284" s="13">
        <f t="shared" ref="E284:E311" si="57">A284*D284</f>
        <v>46000</v>
      </c>
      <c r="F284" s="13">
        <f t="shared" ref="F284:F311" si="58">E284*1.105</f>
        <v>50830</v>
      </c>
      <c r="G284" s="2"/>
      <c r="H284" s="2"/>
      <c r="I284" s="13">
        <v>18000</v>
      </c>
      <c r="J284" s="13">
        <f t="shared" ref="J284:J311" si="59">I284*A284</f>
        <v>36000</v>
      </c>
      <c r="K284" s="13">
        <f t="shared" ref="K284:K311" si="60">F284-J284</f>
        <v>14830</v>
      </c>
      <c r="L284" s="14">
        <f t="shared" ref="L284:L311" si="61">IFERROR(K284/E284, 0)</f>
        <v>0.32239130434782609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20</v>
      </c>
      <c r="B285" s="10" t="s">
        <v>4</v>
      </c>
      <c r="C285" s="11" t="s">
        <v>20</v>
      </c>
      <c r="D285" s="13">
        <v>800</v>
      </c>
      <c r="E285" s="13">
        <f t="shared" si="57"/>
        <v>16000</v>
      </c>
      <c r="F285" s="13">
        <f t="shared" si="58"/>
        <v>17680</v>
      </c>
      <c r="G285" s="2"/>
      <c r="H285" s="2"/>
      <c r="I285" s="13">
        <f>30000/94</f>
        <v>319.14893617021278</v>
      </c>
      <c r="J285" s="13">
        <f t="shared" si="59"/>
        <v>6382.978723404256</v>
      </c>
      <c r="K285" s="13">
        <f t="shared" si="60"/>
        <v>11297.021276595744</v>
      </c>
      <c r="L285" s="14">
        <f t="shared" si="61"/>
        <v>0.70606382978723403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8</v>
      </c>
      <c r="B286" s="10" t="s">
        <v>17</v>
      </c>
      <c r="C286" s="11" t="s">
        <v>39</v>
      </c>
      <c r="D286" s="13">
        <v>2400</v>
      </c>
      <c r="E286" s="13">
        <f t="shared" si="57"/>
        <v>19200</v>
      </c>
      <c r="F286" s="13">
        <f t="shared" si="58"/>
        <v>21216</v>
      </c>
      <c r="G286" s="2"/>
      <c r="H286" s="2"/>
      <c r="I286" s="13">
        <f>25000/15</f>
        <v>1666.6666666666667</v>
      </c>
      <c r="J286" s="13">
        <f t="shared" si="59"/>
        <v>13333.333333333334</v>
      </c>
      <c r="K286" s="13">
        <f t="shared" si="60"/>
        <v>7882.6666666666661</v>
      </c>
      <c r="L286" s="14">
        <f t="shared" si="61"/>
        <v>0.41055555555555551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1</v>
      </c>
      <c r="B287" s="10" t="s">
        <v>21</v>
      </c>
      <c r="C287" s="11" t="s">
        <v>51</v>
      </c>
      <c r="D287" s="13">
        <v>1500</v>
      </c>
      <c r="E287" s="13">
        <f t="shared" si="57"/>
        <v>1500</v>
      </c>
      <c r="F287" s="13">
        <f t="shared" si="58"/>
        <v>1657.5</v>
      </c>
      <c r="G287" s="2"/>
      <c r="H287" s="2"/>
      <c r="I287" s="13">
        <v>1500</v>
      </c>
      <c r="J287" s="13">
        <f t="shared" si="59"/>
        <v>1500</v>
      </c>
      <c r="K287" s="13">
        <f t="shared" si="60"/>
        <v>157.5</v>
      </c>
      <c r="L287" s="14">
        <f t="shared" si="61"/>
        <v>0.105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1</v>
      </c>
      <c r="B288" s="10" t="s">
        <v>17</v>
      </c>
      <c r="C288" s="11" t="s">
        <v>19</v>
      </c>
      <c r="D288" s="13">
        <v>4000</v>
      </c>
      <c r="E288" s="13">
        <f t="shared" si="57"/>
        <v>4000</v>
      </c>
      <c r="F288" s="13">
        <f t="shared" si="58"/>
        <v>4420</v>
      </c>
      <c r="G288" s="2"/>
      <c r="H288" s="2"/>
      <c r="I288" s="13">
        <v>1625</v>
      </c>
      <c r="J288" s="13">
        <f t="shared" si="59"/>
        <v>1625</v>
      </c>
      <c r="K288" s="13">
        <f t="shared" si="60"/>
        <v>2795</v>
      </c>
      <c r="L288" s="14">
        <f t="shared" si="61"/>
        <v>0.69874999999999998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3.3</v>
      </c>
      <c r="B289" s="10" t="s">
        <v>17</v>
      </c>
      <c r="C289" s="11" t="s">
        <v>38</v>
      </c>
      <c r="D289" s="13">
        <v>1800</v>
      </c>
      <c r="E289" s="13">
        <f t="shared" si="57"/>
        <v>5940</v>
      </c>
      <c r="F289" s="13">
        <f t="shared" si="58"/>
        <v>6563.7</v>
      </c>
      <c r="G289" s="2"/>
      <c r="H289" s="2"/>
      <c r="I289" s="13">
        <v>1000</v>
      </c>
      <c r="J289" s="13">
        <f t="shared" si="59"/>
        <v>3300</v>
      </c>
      <c r="K289" s="13">
        <f t="shared" si="60"/>
        <v>3263.7</v>
      </c>
      <c r="L289" s="14">
        <f t="shared" si="61"/>
        <v>0.5494444444444444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2.7</v>
      </c>
      <c r="B290" s="10" t="s">
        <v>17</v>
      </c>
      <c r="C290" s="11" t="s">
        <v>36</v>
      </c>
      <c r="D290" s="13">
        <v>1800</v>
      </c>
      <c r="E290" s="13">
        <f t="shared" si="57"/>
        <v>4860</v>
      </c>
      <c r="F290" s="13">
        <f t="shared" si="58"/>
        <v>5370.3</v>
      </c>
      <c r="G290" s="2"/>
      <c r="H290" s="2"/>
      <c r="I290" s="13">
        <v>1000</v>
      </c>
      <c r="J290" s="13">
        <f t="shared" si="59"/>
        <v>2700</v>
      </c>
      <c r="K290" s="13">
        <f t="shared" si="60"/>
        <v>2670.3</v>
      </c>
      <c r="L290" s="14">
        <f t="shared" si="61"/>
        <v>0.54944444444444451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1</v>
      </c>
      <c r="B291" s="10" t="s">
        <v>17</v>
      </c>
      <c r="C291" s="11" t="s">
        <v>43</v>
      </c>
      <c r="D291" s="13">
        <v>3200</v>
      </c>
      <c r="E291" s="13">
        <f t="shared" si="57"/>
        <v>3200</v>
      </c>
      <c r="F291" s="13">
        <f t="shared" si="58"/>
        <v>3536</v>
      </c>
      <c r="G291" s="2"/>
      <c r="H291" s="2"/>
      <c r="I291" s="13">
        <v>2500</v>
      </c>
      <c r="J291" s="13">
        <f t="shared" si="59"/>
        <v>2500</v>
      </c>
      <c r="K291" s="13">
        <f t="shared" si="60"/>
        <v>1036</v>
      </c>
      <c r="L291" s="14">
        <f t="shared" si="61"/>
        <v>0.32374999999999998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12</v>
      </c>
      <c r="B292" s="10" t="s">
        <v>21</v>
      </c>
      <c r="C292" s="11" t="s">
        <v>46</v>
      </c>
      <c r="D292" s="13">
        <v>600</v>
      </c>
      <c r="E292" s="13">
        <f t="shared" si="57"/>
        <v>7200</v>
      </c>
      <c r="F292" s="13">
        <f t="shared" si="58"/>
        <v>7956</v>
      </c>
      <c r="G292" s="2"/>
      <c r="H292" s="2"/>
      <c r="I292" s="13">
        <v>208</v>
      </c>
      <c r="J292" s="13">
        <f t="shared" si="59"/>
        <v>2496</v>
      </c>
      <c r="K292" s="13">
        <f t="shared" si="60"/>
        <v>5460</v>
      </c>
      <c r="L292" s="14">
        <f t="shared" si="61"/>
        <v>0.7583333333333333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1</v>
      </c>
      <c r="B293" s="10" t="s">
        <v>17</v>
      </c>
      <c r="C293" s="11" t="s">
        <v>30</v>
      </c>
      <c r="D293" s="13">
        <v>1500</v>
      </c>
      <c r="E293" s="13">
        <f t="shared" si="57"/>
        <v>1500</v>
      </c>
      <c r="F293" s="13">
        <f t="shared" si="58"/>
        <v>1657.5</v>
      </c>
      <c r="G293" s="2"/>
      <c r="H293" s="2"/>
      <c r="I293" s="13">
        <v>1500</v>
      </c>
      <c r="J293" s="13">
        <f t="shared" si="59"/>
        <v>1500</v>
      </c>
      <c r="K293" s="13">
        <f t="shared" si="60"/>
        <v>157.5</v>
      </c>
      <c r="L293" s="14">
        <f t="shared" si="61"/>
        <v>0.105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17</v>
      </c>
      <c r="C294" s="11" t="s">
        <v>31</v>
      </c>
      <c r="D294" s="13">
        <v>3200</v>
      </c>
      <c r="E294" s="13">
        <f t="shared" si="57"/>
        <v>3200</v>
      </c>
      <c r="F294" s="13">
        <f t="shared" si="58"/>
        <v>3536</v>
      </c>
      <c r="G294" s="2"/>
      <c r="H294" s="2"/>
      <c r="I294" s="13">
        <f t="shared" ref="I294:I296" si="62">15000/7</f>
        <v>2142.8571428571427</v>
      </c>
      <c r="J294" s="13">
        <f t="shared" si="59"/>
        <v>2142.8571428571427</v>
      </c>
      <c r="K294" s="13">
        <f t="shared" si="60"/>
        <v>1393.1428571428573</v>
      </c>
      <c r="L294" s="14">
        <f t="shared" si="61"/>
        <v>0.43535714285714294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1</v>
      </c>
      <c r="B295" s="10" t="s">
        <v>17</v>
      </c>
      <c r="C295" s="11" t="s">
        <v>32</v>
      </c>
      <c r="D295" s="13">
        <v>2400</v>
      </c>
      <c r="E295" s="13">
        <f t="shared" si="57"/>
        <v>2400</v>
      </c>
      <c r="F295" s="13">
        <f t="shared" si="58"/>
        <v>2652</v>
      </c>
      <c r="G295" s="2"/>
      <c r="H295" s="2"/>
      <c r="I295" s="13">
        <f t="shared" si="62"/>
        <v>2142.8571428571427</v>
      </c>
      <c r="J295" s="13">
        <f t="shared" si="59"/>
        <v>2142.8571428571427</v>
      </c>
      <c r="K295" s="13">
        <f t="shared" si="60"/>
        <v>509.14285714285734</v>
      </c>
      <c r="L295" s="14">
        <f t="shared" si="61"/>
        <v>0.21214285714285722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1</v>
      </c>
      <c r="B296" s="10" t="s">
        <v>17</v>
      </c>
      <c r="C296" s="11" t="s">
        <v>33</v>
      </c>
      <c r="D296" s="13">
        <v>2800</v>
      </c>
      <c r="E296" s="13">
        <f t="shared" si="57"/>
        <v>2800</v>
      </c>
      <c r="F296" s="13">
        <f t="shared" si="58"/>
        <v>3094</v>
      </c>
      <c r="G296" s="2"/>
      <c r="H296" s="2"/>
      <c r="I296" s="13">
        <f t="shared" si="62"/>
        <v>2142.8571428571427</v>
      </c>
      <c r="J296" s="13">
        <f t="shared" si="59"/>
        <v>2142.8571428571427</v>
      </c>
      <c r="K296" s="13">
        <f t="shared" si="60"/>
        <v>951.14285714285734</v>
      </c>
      <c r="L296" s="14">
        <f t="shared" si="61"/>
        <v>0.33969387755102048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1</v>
      </c>
      <c r="B297" s="10" t="s">
        <v>17</v>
      </c>
      <c r="C297" s="11" t="s">
        <v>35</v>
      </c>
      <c r="D297" s="13">
        <v>2500</v>
      </c>
      <c r="E297" s="13">
        <f t="shared" si="57"/>
        <v>2500</v>
      </c>
      <c r="F297" s="13">
        <f t="shared" si="58"/>
        <v>2762.5</v>
      </c>
      <c r="G297" s="2"/>
      <c r="H297" s="2"/>
      <c r="I297" s="13">
        <v>1400</v>
      </c>
      <c r="J297" s="13">
        <f t="shared" si="59"/>
        <v>1400</v>
      </c>
      <c r="K297" s="13">
        <f t="shared" si="60"/>
        <v>1362.5</v>
      </c>
      <c r="L297" s="14">
        <f t="shared" si="61"/>
        <v>0.54500000000000004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3</v>
      </c>
      <c r="B298" s="10" t="s">
        <v>4</v>
      </c>
      <c r="C298" s="11" t="s">
        <v>41</v>
      </c>
      <c r="D298" s="13">
        <v>2800</v>
      </c>
      <c r="E298" s="13">
        <f t="shared" si="57"/>
        <v>8400</v>
      </c>
      <c r="F298" s="13">
        <f t="shared" si="58"/>
        <v>9282</v>
      </c>
      <c r="G298" s="2"/>
      <c r="H298" s="2"/>
      <c r="I298" s="13">
        <v>1800</v>
      </c>
      <c r="J298" s="13">
        <f t="shared" si="59"/>
        <v>5400</v>
      </c>
      <c r="K298" s="13">
        <f t="shared" si="60"/>
        <v>3882</v>
      </c>
      <c r="L298" s="14">
        <f t="shared" si="61"/>
        <v>0.46214285714285713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2</v>
      </c>
      <c r="B299" s="10" t="s">
        <v>4</v>
      </c>
      <c r="C299" s="11" t="s">
        <v>13</v>
      </c>
      <c r="D299" s="13">
        <v>900</v>
      </c>
      <c r="E299" s="13">
        <f t="shared" si="57"/>
        <v>1800</v>
      </c>
      <c r="F299" s="13">
        <f t="shared" si="58"/>
        <v>1989</v>
      </c>
      <c r="G299" s="2"/>
      <c r="H299" s="2"/>
      <c r="I299" s="13">
        <v>460</v>
      </c>
      <c r="J299" s="13">
        <f t="shared" si="59"/>
        <v>920</v>
      </c>
      <c r="K299" s="13">
        <f t="shared" si="60"/>
        <v>1069</v>
      </c>
      <c r="L299" s="14">
        <f t="shared" si="61"/>
        <v>0.59388888888888891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21</v>
      </c>
      <c r="C300" s="11" t="s">
        <v>28</v>
      </c>
      <c r="D300" s="13">
        <v>3000</v>
      </c>
      <c r="E300" s="13">
        <f t="shared" si="57"/>
        <v>3000</v>
      </c>
      <c r="F300" s="13">
        <f t="shared" si="58"/>
        <v>3315</v>
      </c>
      <c r="G300" s="2"/>
      <c r="H300" s="2"/>
      <c r="I300" s="13">
        <v>2000</v>
      </c>
      <c r="J300" s="13">
        <f t="shared" si="59"/>
        <v>2000</v>
      </c>
      <c r="K300" s="13">
        <f t="shared" si="60"/>
        <v>1315</v>
      </c>
      <c r="L300" s="14">
        <f t="shared" si="61"/>
        <v>0.43833333333333335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0.5</v>
      </c>
      <c r="B301" s="10" t="s">
        <v>17</v>
      </c>
      <c r="C301" s="11" t="s">
        <v>93</v>
      </c>
      <c r="D301" s="13">
        <v>3000</v>
      </c>
      <c r="E301" s="13">
        <f t="shared" si="57"/>
        <v>1500</v>
      </c>
      <c r="F301" s="13">
        <f t="shared" si="58"/>
        <v>1657.5</v>
      </c>
      <c r="G301" s="2"/>
      <c r="H301" s="2"/>
      <c r="I301" s="13">
        <f>13000/7</f>
        <v>1857.1428571428571</v>
      </c>
      <c r="J301" s="13">
        <f t="shared" si="59"/>
        <v>928.57142857142856</v>
      </c>
      <c r="K301" s="13">
        <f t="shared" si="60"/>
        <v>728.92857142857144</v>
      </c>
      <c r="L301" s="14">
        <f t="shared" si="61"/>
        <v>0.48595238095238097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1</v>
      </c>
      <c r="B302" s="10" t="s">
        <v>21</v>
      </c>
      <c r="C302" s="11" t="s">
        <v>133</v>
      </c>
      <c r="D302" s="13">
        <v>3000</v>
      </c>
      <c r="E302" s="13">
        <f t="shared" si="57"/>
        <v>3000</v>
      </c>
      <c r="F302" s="13">
        <f t="shared" si="58"/>
        <v>3315</v>
      </c>
      <c r="G302" s="2"/>
      <c r="H302" s="2"/>
      <c r="I302" s="13">
        <v>500</v>
      </c>
      <c r="J302" s="13">
        <f t="shared" si="59"/>
        <v>500</v>
      </c>
      <c r="K302" s="13">
        <f t="shared" si="60"/>
        <v>2815</v>
      </c>
      <c r="L302" s="14">
        <f t="shared" si="61"/>
        <v>0.93833333333333335</v>
      </c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3</v>
      </c>
      <c r="B303" s="10" t="s">
        <v>4</v>
      </c>
      <c r="C303" s="11" t="s">
        <v>65</v>
      </c>
      <c r="D303" s="13">
        <v>1600</v>
      </c>
      <c r="E303" s="13">
        <f t="shared" si="57"/>
        <v>4800</v>
      </c>
      <c r="F303" s="13">
        <f t="shared" si="58"/>
        <v>5304</v>
      </c>
      <c r="G303" s="2"/>
      <c r="H303" s="2"/>
      <c r="I303" s="13">
        <v>1078</v>
      </c>
      <c r="J303" s="13">
        <f t="shared" si="59"/>
        <v>3234</v>
      </c>
      <c r="K303" s="13">
        <f t="shared" si="60"/>
        <v>2070</v>
      </c>
      <c r="L303" s="14">
        <f t="shared" si="61"/>
        <v>0.43125000000000002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1</v>
      </c>
      <c r="B304" s="10" t="s">
        <v>15</v>
      </c>
      <c r="C304" s="11" t="s">
        <v>40</v>
      </c>
      <c r="D304" s="13">
        <v>12000</v>
      </c>
      <c r="E304" s="13">
        <f t="shared" si="57"/>
        <v>12000</v>
      </c>
      <c r="F304" s="13">
        <f t="shared" si="58"/>
        <v>13260</v>
      </c>
      <c r="G304" s="2"/>
      <c r="H304" s="2"/>
      <c r="I304" s="13">
        <v>7000</v>
      </c>
      <c r="J304" s="13">
        <f t="shared" si="59"/>
        <v>7000</v>
      </c>
      <c r="K304" s="13">
        <f t="shared" si="60"/>
        <v>6260</v>
      </c>
      <c r="L304" s="14">
        <f t="shared" si="61"/>
        <v>0.52166666666666661</v>
      </c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2</v>
      </c>
      <c r="B305" s="10" t="s">
        <v>17</v>
      </c>
      <c r="C305" s="11" t="s">
        <v>78</v>
      </c>
      <c r="D305" s="13">
        <v>4000</v>
      </c>
      <c r="E305" s="13">
        <f t="shared" si="57"/>
        <v>8000</v>
      </c>
      <c r="F305" s="13">
        <f t="shared" si="58"/>
        <v>8840</v>
      </c>
      <c r="G305" s="2"/>
      <c r="H305" s="2"/>
      <c r="I305" s="13">
        <v>2250</v>
      </c>
      <c r="J305" s="13">
        <f t="shared" si="59"/>
        <v>4500</v>
      </c>
      <c r="K305" s="13">
        <f t="shared" si="60"/>
        <v>4340</v>
      </c>
      <c r="L305" s="14">
        <f t="shared" si="61"/>
        <v>0.54249999999999998</v>
      </c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1</v>
      </c>
      <c r="B306" s="10" t="s">
        <v>21</v>
      </c>
      <c r="C306" s="11" t="s">
        <v>29</v>
      </c>
      <c r="D306" s="13">
        <v>3500</v>
      </c>
      <c r="E306" s="13">
        <f t="shared" si="57"/>
        <v>3500</v>
      </c>
      <c r="F306" s="13">
        <f t="shared" si="58"/>
        <v>3867.5</v>
      </c>
      <c r="G306" s="2"/>
      <c r="H306" s="2"/>
      <c r="I306" s="13">
        <v>1500</v>
      </c>
      <c r="J306" s="13">
        <f t="shared" si="59"/>
        <v>1500</v>
      </c>
      <c r="K306" s="13">
        <f t="shared" si="60"/>
        <v>2367.5</v>
      </c>
      <c r="L306" s="14">
        <f t="shared" si="61"/>
        <v>0.67642857142857138</v>
      </c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2">
        <v>1</v>
      </c>
      <c r="B307" s="10" t="s">
        <v>17</v>
      </c>
      <c r="C307" s="11" t="s">
        <v>89</v>
      </c>
      <c r="D307" s="13">
        <v>11000</v>
      </c>
      <c r="E307" s="13">
        <f t="shared" si="57"/>
        <v>11000</v>
      </c>
      <c r="F307" s="13">
        <f t="shared" si="58"/>
        <v>12155</v>
      </c>
      <c r="G307" s="2"/>
      <c r="H307" s="2"/>
      <c r="I307" s="13">
        <f>38000/4</f>
        <v>9500</v>
      </c>
      <c r="J307" s="13">
        <f t="shared" si="59"/>
        <v>9500</v>
      </c>
      <c r="K307" s="13">
        <f t="shared" si="60"/>
        <v>2655</v>
      </c>
      <c r="L307" s="14">
        <f t="shared" si="61"/>
        <v>0.24136363636363636</v>
      </c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2">
        <v>1</v>
      </c>
      <c r="B308" s="10" t="s">
        <v>23</v>
      </c>
      <c r="C308" s="11" t="s">
        <v>25</v>
      </c>
      <c r="D308" s="13">
        <v>72000</v>
      </c>
      <c r="E308" s="13">
        <f t="shared" si="57"/>
        <v>72000</v>
      </c>
      <c r="F308" s="13">
        <f t="shared" si="58"/>
        <v>79560</v>
      </c>
      <c r="G308" s="2"/>
      <c r="H308" s="2"/>
      <c r="I308" s="13">
        <v>65000</v>
      </c>
      <c r="J308" s="13">
        <f t="shared" si="59"/>
        <v>65000</v>
      </c>
      <c r="K308" s="13">
        <f t="shared" si="60"/>
        <v>14560</v>
      </c>
      <c r="L308" s="14">
        <f t="shared" si="61"/>
        <v>0.20222222222222222</v>
      </c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1</v>
      </c>
      <c r="B309" s="10" t="s">
        <v>23</v>
      </c>
      <c r="C309" s="11" t="s">
        <v>24</v>
      </c>
      <c r="D309" s="13">
        <v>60000</v>
      </c>
      <c r="E309" s="13">
        <f t="shared" si="57"/>
        <v>60000</v>
      </c>
      <c r="F309" s="13">
        <f t="shared" si="58"/>
        <v>66300</v>
      </c>
      <c r="G309" s="2"/>
      <c r="H309" s="2"/>
      <c r="I309" s="13">
        <v>50000</v>
      </c>
      <c r="J309" s="13">
        <f t="shared" si="59"/>
        <v>50000</v>
      </c>
      <c r="K309" s="13">
        <f t="shared" si="60"/>
        <v>16300</v>
      </c>
      <c r="L309" s="14">
        <f t="shared" si="61"/>
        <v>0.27166666666666667</v>
      </c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4</v>
      </c>
      <c r="B310" s="10" t="s">
        <v>17</v>
      </c>
      <c r="C310" s="11" t="s">
        <v>62</v>
      </c>
      <c r="D310" s="13">
        <v>3000</v>
      </c>
      <c r="E310" s="13">
        <f t="shared" si="57"/>
        <v>12000</v>
      </c>
      <c r="F310" s="13">
        <f t="shared" si="58"/>
        <v>13260</v>
      </c>
      <c r="G310" s="2"/>
      <c r="H310" s="2"/>
      <c r="I310" s="13">
        <f>32000/18</f>
        <v>1777.7777777777778</v>
      </c>
      <c r="J310" s="13">
        <f t="shared" si="59"/>
        <v>7111.1111111111113</v>
      </c>
      <c r="K310" s="13">
        <f t="shared" si="60"/>
        <v>6148.8888888888887</v>
      </c>
      <c r="L310" s="14">
        <f t="shared" si="61"/>
        <v>0.51240740740740742</v>
      </c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>
        <v>3</v>
      </c>
      <c r="B311" s="10" t="s">
        <v>17</v>
      </c>
      <c r="C311" s="11" t="s">
        <v>67</v>
      </c>
      <c r="D311" s="13">
        <v>3200</v>
      </c>
      <c r="E311" s="13">
        <f t="shared" si="57"/>
        <v>9600</v>
      </c>
      <c r="F311" s="13">
        <f t="shared" si="58"/>
        <v>10608</v>
      </c>
      <c r="G311" s="2"/>
      <c r="H311" s="2"/>
      <c r="I311" s="13">
        <v>1000</v>
      </c>
      <c r="J311" s="13">
        <f t="shared" si="59"/>
        <v>3000</v>
      </c>
      <c r="K311" s="13">
        <f t="shared" si="60"/>
        <v>7608</v>
      </c>
      <c r="L311" s="14">
        <f t="shared" si="61"/>
        <v>0.79249999999999998</v>
      </c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2"/>
      <c r="C312" s="4"/>
      <c r="D312" s="2"/>
      <c r="E312" s="2"/>
      <c r="F312" s="2"/>
      <c r="G312" s="2"/>
      <c r="H312" s="2"/>
      <c r="I312" s="2"/>
      <c r="J312" s="2"/>
      <c r="K312" s="2"/>
      <c r="L312" s="3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"/>
      <c r="B313" s="2"/>
      <c r="C313" s="4"/>
      <c r="D313" s="2"/>
      <c r="E313" s="13">
        <f t="shared" ref="E313:F313" si="63">SUM(E284:E311)</f>
        <v>330900</v>
      </c>
      <c r="F313" s="13">
        <f t="shared" si="63"/>
        <v>365644.5</v>
      </c>
      <c r="G313" s="2"/>
      <c r="H313" s="2"/>
      <c r="I313" s="2"/>
      <c r="J313" s="2"/>
      <c r="K313" s="13">
        <f>SUM(K284:K311)</f>
        <v>125884.93397500845</v>
      </c>
      <c r="L313" s="14">
        <f>K313/F313</f>
        <v>0.34428231239635343</v>
      </c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20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20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20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6" t="s">
        <v>119</v>
      </c>
      <c r="B317" s="1"/>
      <c r="C317" s="1"/>
      <c r="D317" s="22" t="s">
        <v>145</v>
      </c>
      <c r="E317" s="8">
        <v>46118</v>
      </c>
      <c r="F317" s="24" t="s">
        <v>37</v>
      </c>
      <c r="G317" s="2"/>
      <c r="H317" s="2"/>
      <c r="I317" s="2"/>
      <c r="J317" s="2"/>
      <c r="K317" s="2"/>
      <c r="L317" s="3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4"/>
      <c r="B318" s="2"/>
      <c r="C318" s="4"/>
      <c r="D318" s="2"/>
      <c r="E318" s="2"/>
      <c r="F318" s="2"/>
      <c r="G318" s="2"/>
      <c r="H318" s="2"/>
      <c r="I318" s="2"/>
      <c r="J318" s="2"/>
      <c r="K318" s="2"/>
      <c r="L318" s="3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6" t="s">
        <v>3</v>
      </c>
      <c r="B319" s="10" t="s">
        <v>4</v>
      </c>
      <c r="C319" s="11" t="s">
        <v>5</v>
      </c>
      <c r="D319" s="10" t="s">
        <v>6</v>
      </c>
      <c r="E319" s="10" t="s">
        <v>7</v>
      </c>
      <c r="F319" s="2"/>
      <c r="G319" s="2"/>
      <c r="H319" s="2"/>
      <c r="I319" s="10" t="s">
        <v>6</v>
      </c>
      <c r="J319" s="10" t="s">
        <v>7</v>
      </c>
      <c r="K319" s="10" t="s">
        <v>10</v>
      </c>
      <c r="L319" s="3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2">
        <v>16</v>
      </c>
      <c r="B320" s="10" t="s">
        <v>4</v>
      </c>
      <c r="C320" s="11" t="s">
        <v>13</v>
      </c>
      <c r="D320" s="13">
        <v>900</v>
      </c>
      <c r="E320" s="13">
        <f t="shared" ref="E320:E333" si="64">A320*D320</f>
        <v>14400</v>
      </c>
      <c r="F320" s="2"/>
      <c r="G320" s="2"/>
      <c r="H320" s="2"/>
      <c r="I320" s="13">
        <v>460</v>
      </c>
      <c r="J320" s="13">
        <f t="shared" ref="J320:J333" si="65">I320*A320</f>
        <v>7360</v>
      </c>
      <c r="K320" s="13">
        <f t="shared" ref="K320:K333" si="66">E320-J320</f>
        <v>7040</v>
      </c>
      <c r="L320" s="21">
        <f t="shared" ref="L320:L333" si="67">K320/E320</f>
        <v>0.48888888888888887</v>
      </c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2">
        <v>2</v>
      </c>
      <c r="B321" s="10" t="s">
        <v>17</v>
      </c>
      <c r="C321" s="11" t="s">
        <v>87</v>
      </c>
      <c r="D321" s="13">
        <v>3000</v>
      </c>
      <c r="E321" s="13">
        <f t="shared" si="64"/>
        <v>6000</v>
      </c>
      <c r="F321" s="2"/>
      <c r="G321" s="2"/>
      <c r="H321" s="2"/>
      <c r="I321" s="13">
        <f>32000/18</f>
        <v>1777.7777777777778</v>
      </c>
      <c r="J321" s="13">
        <f t="shared" si="65"/>
        <v>3555.5555555555557</v>
      </c>
      <c r="K321" s="13">
        <f t="shared" si="66"/>
        <v>2444.4444444444443</v>
      </c>
      <c r="L321" s="21">
        <f t="shared" si="67"/>
        <v>0.40740740740740738</v>
      </c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2">
        <v>0.5</v>
      </c>
      <c r="B322" s="10" t="s">
        <v>17</v>
      </c>
      <c r="C322" s="11" t="s">
        <v>55</v>
      </c>
      <c r="D322" s="13">
        <v>21000</v>
      </c>
      <c r="E322" s="13">
        <f t="shared" si="64"/>
        <v>10500</v>
      </c>
      <c r="F322" s="2"/>
      <c r="G322" s="2"/>
      <c r="H322" s="2"/>
      <c r="I322" s="13">
        <v>17000</v>
      </c>
      <c r="J322" s="13">
        <f t="shared" si="65"/>
        <v>8500</v>
      </c>
      <c r="K322" s="13">
        <f t="shared" si="66"/>
        <v>2000</v>
      </c>
      <c r="L322" s="32">
        <f t="shared" si="67"/>
        <v>0.19047619047619047</v>
      </c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2">
        <v>8</v>
      </c>
      <c r="B323" s="10" t="s">
        <v>126</v>
      </c>
      <c r="C323" s="11" t="s">
        <v>22</v>
      </c>
      <c r="D323" s="13">
        <v>1600</v>
      </c>
      <c r="E323" s="13">
        <f t="shared" si="64"/>
        <v>12800</v>
      </c>
      <c r="F323" s="2"/>
      <c r="G323" s="2"/>
      <c r="H323" s="2"/>
      <c r="I323" s="13">
        <f>1200</f>
        <v>1200</v>
      </c>
      <c r="J323" s="13">
        <f t="shared" si="65"/>
        <v>9600</v>
      </c>
      <c r="K323" s="13">
        <f t="shared" si="66"/>
        <v>3200</v>
      </c>
      <c r="L323" s="32">
        <f t="shared" si="67"/>
        <v>0.25</v>
      </c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2">
        <v>1.5</v>
      </c>
      <c r="B324" s="10" t="s">
        <v>17</v>
      </c>
      <c r="C324" s="11" t="s">
        <v>89</v>
      </c>
      <c r="D324" s="13">
        <v>11000</v>
      </c>
      <c r="E324" s="13">
        <f t="shared" si="64"/>
        <v>16500</v>
      </c>
      <c r="F324" s="2"/>
      <c r="G324" s="2"/>
      <c r="H324" s="2"/>
      <c r="I324" s="13">
        <v>9500</v>
      </c>
      <c r="J324" s="13">
        <f t="shared" si="65"/>
        <v>14250</v>
      </c>
      <c r="K324" s="13">
        <f t="shared" si="66"/>
        <v>2250</v>
      </c>
      <c r="L324" s="35">
        <f t="shared" si="67"/>
        <v>0.13636363636363635</v>
      </c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2">
        <v>2</v>
      </c>
      <c r="B325" s="10" t="s">
        <v>17</v>
      </c>
      <c r="C325" s="11" t="s">
        <v>113</v>
      </c>
      <c r="D325" s="13">
        <v>4000</v>
      </c>
      <c r="E325" s="13">
        <f t="shared" si="64"/>
        <v>8000</v>
      </c>
      <c r="F325" s="2"/>
      <c r="G325" s="2"/>
      <c r="H325" s="2"/>
      <c r="I325" s="13">
        <v>3000</v>
      </c>
      <c r="J325" s="13">
        <f t="shared" si="65"/>
        <v>6000</v>
      </c>
      <c r="K325" s="13">
        <f t="shared" si="66"/>
        <v>2000</v>
      </c>
      <c r="L325" s="32">
        <f t="shared" si="67"/>
        <v>0.25</v>
      </c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2">
        <v>1</v>
      </c>
      <c r="B326" s="10" t="s">
        <v>23</v>
      </c>
      <c r="C326" s="11" t="s">
        <v>26</v>
      </c>
      <c r="D326" s="13">
        <v>26000</v>
      </c>
      <c r="E326" s="13">
        <f t="shared" si="64"/>
        <v>26000</v>
      </c>
      <c r="F326" s="2"/>
      <c r="G326" s="2"/>
      <c r="H326" s="2"/>
      <c r="I326" s="13">
        <v>22000</v>
      </c>
      <c r="J326" s="13">
        <f t="shared" si="65"/>
        <v>22000</v>
      </c>
      <c r="K326" s="13">
        <f t="shared" si="66"/>
        <v>4000</v>
      </c>
      <c r="L326" s="35">
        <f t="shared" si="67"/>
        <v>0.15384615384615385</v>
      </c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2">
        <v>5</v>
      </c>
      <c r="B327" s="10" t="s">
        <v>17</v>
      </c>
      <c r="C327" s="11" t="s">
        <v>84</v>
      </c>
      <c r="D327" s="13">
        <v>1600</v>
      </c>
      <c r="E327" s="13">
        <f t="shared" si="64"/>
        <v>8000</v>
      </c>
      <c r="F327" s="2"/>
      <c r="G327" s="2"/>
      <c r="H327" s="2"/>
      <c r="I327" s="13">
        <f>18000/17</f>
        <v>1058.8235294117646</v>
      </c>
      <c r="J327" s="13">
        <f t="shared" si="65"/>
        <v>5294.1176470588234</v>
      </c>
      <c r="K327" s="13">
        <f t="shared" si="66"/>
        <v>2705.8823529411766</v>
      </c>
      <c r="L327" s="32">
        <f t="shared" si="67"/>
        <v>0.33823529411764708</v>
      </c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2">
        <v>0.5</v>
      </c>
      <c r="B328" s="10" t="s">
        <v>17</v>
      </c>
      <c r="C328" s="11" t="s">
        <v>30</v>
      </c>
      <c r="D328" s="13">
        <v>1500</v>
      </c>
      <c r="E328" s="13">
        <f t="shared" si="64"/>
        <v>750</v>
      </c>
      <c r="F328" s="2"/>
      <c r="G328" s="2"/>
      <c r="H328" s="2"/>
      <c r="I328" s="13">
        <v>1500</v>
      </c>
      <c r="J328" s="13">
        <f t="shared" si="65"/>
        <v>750</v>
      </c>
      <c r="K328" s="13">
        <f t="shared" si="66"/>
        <v>0</v>
      </c>
      <c r="L328" s="35">
        <f t="shared" si="67"/>
        <v>0</v>
      </c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3</v>
      </c>
      <c r="B329" s="10" t="s">
        <v>21</v>
      </c>
      <c r="C329" s="11" t="s">
        <v>34</v>
      </c>
      <c r="D329" s="13">
        <v>5000</v>
      </c>
      <c r="E329" s="13">
        <f t="shared" si="64"/>
        <v>15000</v>
      </c>
      <c r="F329" s="2"/>
      <c r="G329" s="2"/>
      <c r="H329" s="2"/>
      <c r="I329" s="13">
        <v>2000</v>
      </c>
      <c r="J329" s="13">
        <f t="shared" si="65"/>
        <v>6000</v>
      </c>
      <c r="K329" s="13">
        <f t="shared" si="66"/>
        <v>9000</v>
      </c>
      <c r="L329" s="32">
        <f t="shared" si="67"/>
        <v>0.6</v>
      </c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1</v>
      </c>
      <c r="B330" s="10" t="s">
        <v>17</v>
      </c>
      <c r="C330" s="11" t="s">
        <v>93</v>
      </c>
      <c r="D330" s="13">
        <v>3000</v>
      </c>
      <c r="E330" s="13">
        <f t="shared" si="64"/>
        <v>3000</v>
      </c>
      <c r="F330" s="2"/>
      <c r="G330" s="2"/>
      <c r="H330" s="2"/>
      <c r="I330" s="13">
        <f>13000/7</f>
        <v>1857.1428571428571</v>
      </c>
      <c r="J330" s="13">
        <f t="shared" si="65"/>
        <v>1857.1428571428571</v>
      </c>
      <c r="K330" s="13">
        <f t="shared" si="66"/>
        <v>1142.8571428571429</v>
      </c>
      <c r="L330" s="32">
        <f t="shared" si="67"/>
        <v>0.38095238095238099</v>
      </c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1</v>
      </c>
      <c r="B331" s="10" t="s">
        <v>23</v>
      </c>
      <c r="C331" s="11" t="s">
        <v>81</v>
      </c>
      <c r="D331" s="13">
        <v>20000</v>
      </c>
      <c r="E331" s="13">
        <f t="shared" si="64"/>
        <v>20000</v>
      </c>
      <c r="F331" s="2"/>
      <c r="G331" s="2"/>
      <c r="H331" s="2"/>
      <c r="I331" s="13">
        <v>12000</v>
      </c>
      <c r="J331" s="13">
        <f t="shared" si="65"/>
        <v>12000</v>
      </c>
      <c r="K331" s="13">
        <f t="shared" si="66"/>
        <v>8000</v>
      </c>
      <c r="L331" s="35">
        <f t="shared" si="67"/>
        <v>0.4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3</v>
      </c>
      <c r="B332" s="10" t="s">
        <v>17</v>
      </c>
      <c r="C332" s="11" t="s">
        <v>16</v>
      </c>
      <c r="D332" s="13">
        <v>1000</v>
      </c>
      <c r="E332" s="13">
        <f t="shared" si="64"/>
        <v>3000</v>
      </c>
      <c r="F332" s="2"/>
      <c r="G332" s="2"/>
      <c r="H332" s="2"/>
      <c r="I332" s="13">
        <v>500</v>
      </c>
      <c r="J332" s="13">
        <f t="shared" si="65"/>
        <v>1500</v>
      </c>
      <c r="K332" s="13">
        <f t="shared" si="66"/>
        <v>1500</v>
      </c>
      <c r="L332" s="32">
        <f t="shared" si="67"/>
        <v>0.5</v>
      </c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1</v>
      </c>
      <c r="B333" s="10" t="s">
        <v>23</v>
      </c>
      <c r="C333" s="11" t="s">
        <v>85</v>
      </c>
      <c r="D333" s="13">
        <v>55000</v>
      </c>
      <c r="E333" s="13">
        <f t="shared" si="64"/>
        <v>55000</v>
      </c>
      <c r="F333" s="2"/>
      <c r="G333" s="2"/>
      <c r="H333" s="2"/>
      <c r="I333" s="13">
        <v>50000</v>
      </c>
      <c r="J333" s="13">
        <f t="shared" si="65"/>
        <v>50000</v>
      </c>
      <c r="K333" s="13">
        <f t="shared" si="66"/>
        <v>5000</v>
      </c>
      <c r="L333" s="32">
        <f t="shared" si="67"/>
        <v>9.0909090909090912E-2</v>
      </c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5"/>
      <c r="B334" s="2"/>
      <c r="C334" s="4"/>
      <c r="D334" s="2"/>
      <c r="E334" s="2"/>
      <c r="F334" s="2"/>
      <c r="G334" s="4"/>
      <c r="H334" s="2"/>
      <c r="I334" s="2"/>
      <c r="J334" s="2"/>
      <c r="K334" s="2"/>
      <c r="L334" s="3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"/>
      <c r="B335" s="2"/>
      <c r="C335" s="4"/>
      <c r="D335" s="2"/>
      <c r="E335" s="13">
        <f>SUM(E320:E333)</f>
        <v>198950</v>
      </c>
      <c r="F335" s="2"/>
      <c r="G335" s="2"/>
      <c r="H335" s="2"/>
      <c r="I335" s="2"/>
      <c r="J335" s="2"/>
      <c r="K335" s="13">
        <f>SUM(K320:K333)</f>
        <v>50283.183940242765</v>
      </c>
      <c r="L335" s="14">
        <f>K335/E335</f>
        <v>0.25274281950360777</v>
      </c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20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20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6" t="s">
        <v>121</v>
      </c>
      <c r="B338" s="1"/>
      <c r="C338" s="1"/>
      <c r="D338" s="22" t="s">
        <v>146</v>
      </c>
      <c r="E338" s="8">
        <v>46118</v>
      </c>
      <c r="F338" s="24" t="s">
        <v>37</v>
      </c>
      <c r="G338" s="2"/>
      <c r="H338" s="2"/>
      <c r="I338" s="2"/>
      <c r="J338" s="2"/>
      <c r="K338" s="2"/>
      <c r="L338" s="3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4"/>
      <c r="B339" s="2"/>
      <c r="C339" s="4"/>
      <c r="D339" s="2"/>
      <c r="E339" s="2"/>
      <c r="F339" s="2"/>
      <c r="G339" s="2"/>
      <c r="H339" s="2"/>
      <c r="I339" s="2"/>
      <c r="J339" s="2"/>
      <c r="K339" s="2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6" t="s">
        <v>3</v>
      </c>
      <c r="B340" s="10" t="s">
        <v>4</v>
      </c>
      <c r="C340" s="11" t="s">
        <v>5</v>
      </c>
      <c r="D340" s="10" t="s">
        <v>6</v>
      </c>
      <c r="E340" s="10" t="s">
        <v>7</v>
      </c>
      <c r="F340" s="2"/>
      <c r="G340" s="2"/>
      <c r="H340" s="2"/>
      <c r="I340" s="10" t="s">
        <v>6</v>
      </c>
      <c r="J340" s="10" t="s">
        <v>7</v>
      </c>
      <c r="K340" s="10" t="s">
        <v>10</v>
      </c>
      <c r="L340" s="3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2">
        <v>1</v>
      </c>
      <c r="B341" s="10" t="s">
        <v>21</v>
      </c>
      <c r="C341" s="11" t="s">
        <v>51</v>
      </c>
      <c r="D341" s="13">
        <v>1500</v>
      </c>
      <c r="E341" s="13">
        <f t="shared" ref="E341:E357" si="68">A341*D341</f>
        <v>1500</v>
      </c>
      <c r="F341" s="2"/>
      <c r="G341" s="2"/>
      <c r="H341" s="2"/>
      <c r="I341" s="13">
        <v>1500</v>
      </c>
      <c r="J341" s="13">
        <f t="shared" ref="J341:J357" si="69">I341*A341</f>
        <v>1500</v>
      </c>
      <c r="K341" s="13">
        <f t="shared" ref="K341:K357" si="70">E341-J341</f>
        <v>0</v>
      </c>
      <c r="L341" s="21">
        <f t="shared" ref="L341:L357" si="71">K341/E341</f>
        <v>0</v>
      </c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2">
        <v>1</v>
      </c>
      <c r="B342" s="10" t="s">
        <v>17</v>
      </c>
      <c r="C342" s="11" t="s">
        <v>87</v>
      </c>
      <c r="D342" s="13">
        <v>3000</v>
      </c>
      <c r="E342" s="13">
        <f t="shared" si="68"/>
        <v>3000</v>
      </c>
      <c r="F342" s="2"/>
      <c r="G342" s="2"/>
      <c r="H342" s="2"/>
      <c r="I342" s="13">
        <f>32000/18</f>
        <v>1777.7777777777778</v>
      </c>
      <c r="J342" s="13">
        <f t="shared" si="69"/>
        <v>1777.7777777777778</v>
      </c>
      <c r="K342" s="13">
        <f t="shared" si="70"/>
        <v>1222.2222222222222</v>
      </c>
      <c r="L342" s="21">
        <f t="shared" si="71"/>
        <v>0.40740740740740738</v>
      </c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2">
        <v>1</v>
      </c>
      <c r="B343" s="10" t="s">
        <v>17</v>
      </c>
      <c r="C343" s="11" t="s">
        <v>99</v>
      </c>
      <c r="D343" s="13">
        <v>1500</v>
      </c>
      <c r="E343" s="13">
        <f t="shared" si="68"/>
        <v>1500</v>
      </c>
      <c r="F343" s="2"/>
      <c r="G343" s="2"/>
      <c r="H343" s="2"/>
      <c r="I343" s="13">
        <f>10000/8</f>
        <v>1250</v>
      </c>
      <c r="J343" s="13">
        <f t="shared" si="69"/>
        <v>1250</v>
      </c>
      <c r="K343" s="13">
        <f t="shared" si="70"/>
        <v>250</v>
      </c>
      <c r="L343" s="21">
        <f t="shared" si="71"/>
        <v>0.16666666666666666</v>
      </c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12">
        <v>1</v>
      </c>
      <c r="B344" s="10" t="s">
        <v>17</v>
      </c>
      <c r="C344" s="11" t="s">
        <v>129</v>
      </c>
      <c r="D344" s="13">
        <v>1200</v>
      </c>
      <c r="E344" s="13">
        <f t="shared" si="68"/>
        <v>1200</v>
      </c>
      <c r="F344" s="2"/>
      <c r="G344" s="2"/>
      <c r="H344" s="2"/>
      <c r="I344" s="13">
        <f>12000/11</f>
        <v>1090.909090909091</v>
      </c>
      <c r="J344" s="13">
        <f t="shared" si="69"/>
        <v>1090.909090909091</v>
      </c>
      <c r="K344" s="13">
        <f t="shared" si="70"/>
        <v>109.09090909090901</v>
      </c>
      <c r="L344" s="21">
        <f t="shared" si="71"/>
        <v>9.0909090909090842E-2</v>
      </c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2">
        <v>1</v>
      </c>
      <c r="B345" s="10" t="s">
        <v>17</v>
      </c>
      <c r="C345" s="11" t="s">
        <v>56</v>
      </c>
      <c r="D345" s="13">
        <v>800</v>
      </c>
      <c r="E345" s="13">
        <f t="shared" si="68"/>
        <v>800</v>
      </c>
      <c r="F345" s="2"/>
      <c r="G345" s="2"/>
      <c r="H345" s="2"/>
      <c r="I345" s="13">
        <f>10000/17</f>
        <v>588.23529411764707</v>
      </c>
      <c r="J345" s="13">
        <f t="shared" si="69"/>
        <v>588.23529411764707</v>
      </c>
      <c r="K345" s="13">
        <f t="shared" si="70"/>
        <v>211.76470588235293</v>
      </c>
      <c r="L345" s="21">
        <f t="shared" si="71"/>
        <v>0.26470588235294118</v>
      </c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12">
        <v>0.5</v>
      </c>
      <c r="B346" s="10" t="s">
        <v>17</v>
      </c>
      <c r="C346" s="11" t="s">
        <v>55</v>
      </c>
      <c r="D346" s="13">
        <v>21000</v>
      </c>
      <c r="E346" s="13">
        <f t="shared" si="68"/>
        <v>10500</v>
      </c>
      <c r="F346" s="2"/>
      <c r="G346" s="2"/>
      <c r="H346" s="2"/>
      <c r="I346" s="13">
        <v>17000</v>
      </c>
      <c r="J346" s="13">
        <f t="shared" si="69"/>
        <v>8500</v>
      </c>
      <c r="K346" s="13">
        <f t="shared" si="70"/>
        <v>2000</v>
      </c>
      <c r="L346" s="21">
        <f t="shared" si="71"/>
        <v>0.19047619047619047</v>
      </c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2">
        <v>0.5</v>
      </c>
      <c r="B347" s="10" t="s">
        <v>17</v>
      </c>
      <c r="C347" s="11" t="s">
        <v>89</v>
      </c>
      <c r="D347" s="13">
        <v>11000</v>
      </c>
      <c r="E347" s="13">
        <f t="shared" si="68"/>
        <v>5500</v>
      </c>
      <c r="F347" s="2"/>
      <c r="G347" s="2"/>
      <c r="H347" s="2"/>
      <c r="I347" s="13">
        <v>9500</v>
      </c>
      <c r="J347" s="13">
        <f t="shared" si="69"/>
        <v>4750</v>
      </c>
      <c r="K347" s="13">
        <f t="shared" si="70"/>
        <v>750</v>
      </c>
      <c r="L347" s="21">
        <f t="shared" si="71"/>
        <v>0.13636363636363635</v>
      </c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2">
        <v>0.2</v>
      </c>
      <c r="B348" s="10" t="s">
        <v>17</v>
      </c>
      <c r="C348" s="11" t="s">
        <v>111</v>
      </c>
      <c r="D348" s="13">
        <v>10500</v>
      </c>
      <c r="E348" s="13">
        <f t="shared" si="68"/>
        <v>2100</v>
      </c>
      <c r="F348" s="2"/>
      <c r="G348" s="2"/>
      <c r="H348" s="2"/>
      <c r="I348" s="13">
        <v>7000</v>
      </c>
      <c r="J348" s="13">
        <f t="shared" si="69"/>
        <v>1400</v>
      </c>
      <c r="K348" s="13">
        <f t="shared" si="70"/>
        <v>700</v>
      </c>
      <c r="L348" s="21">
        <f t="shared" si="71"/>
        <v>0.33333333333333331</v>
      </c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2">
        <v>1</v>
      </c>
      <c r="B349" s="10" t="s">
        <v>21</v>
      </c>
      <c r="C349" s="11" t="s">
        <v>112</v>
      </c>
      <c r="D349" s="13">
        <v>3000</v>
      </c>
      <c r="E349" s="13">
        <f t="shared" si="68"/>
        <v>3000</v>
      </c>
      <c r="F349" s="2"/>
      <c r="G349" s="2"/>
      <c r="H349" s="2"/>
      <c r="I349" s="13">
        <v>2000</v>
      </c>
      <c r="J349" s="13">
        <f t="shared" si="69"/>
        <v>2000</v>
      </c>
      <c r="K349" s="13">
        <f t="shared" si="70"/>
        <v>1000</v>
      </c>
      <c r="L349" s="21">
        <f t="shared" si="71"/>
        <v>0.33333333333333331</v>
      </c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2">
        <v>0.5</v>
      </c>
      <c r="B350" s="10" t="s">
        <v>17</v>
      </c>
      <c r="C350" s="11" t="s">
        <v>31</v>
      </c>
      <c r="D350" s="13">
        <v>2800</v>
      </c>
      <c r="E350" s="13">
        <f t="shared" si="68"/>
        <v>1400</v>
      </c>
      <c r="F350" s="2"/>
      <c r="G350" s="2"/>
      <c r="H350" s="2"/>
      <c r="I350" s="13">
        <f t="shared" ref="I350:I351" si="72">15000/7</f>
        <v>2142.8571428571427</v>
      </c>
      <c r="J350" s="13">
        <f t="shared" si="69"/>
        <v>1071.4285714285713</v>
      </c>
      <c r="K350" s="13">
        <f t="shared" si="70"/>
        <v>328.57142857142867</v>
      </c>
      <c r="L350" s="21">
        <f t="shared" si="71"/>
        <v>0.23469387755102047</v>
      </c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2">
        <v>0.5</v>
      </c>
      <c r="B351" s="10" t="s">
        <v>17</v>
      </c>
      <c r="C351" s="11" t="s">
        <v>32</v>
      </c>
      <c r="D351" s="13">
        <v>2400</v>
      </c>
      <c r="E351" s="13">
        <f t="shared" si="68"/>
        <v>1200</v>
      </c>
      <c r="F351" s="2"/>
      <c r="G351" s="2"/>
      <c r="H351" s="2"/>
      <c r="I351" s="13">
        <f t="shared" si="72"/>
        <v>2142.8571428571427</v>
      </c>
      <c r="J351" s="13">
        <f t="shared" si="69"/>
        <v>1071.4285714285713</v>
      </c>
      <c r="K351" s="13">
        <f t="shared" si="70"/>
        <v>128.57142857142867</v>
      </c>
      <c r="L351" s="21">
        <f t="shared" si="71"/>
        <v>0.10714285714285722</v>
      </c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2">
        <v>1</v>
      </c>
      <c r="B352" s="10" t="s">
        <v>17</v>
      </c>
      <c r="C352" s="11" t="s">
        <v>84</v>
      </c>
      <c r="D352" s="13">
        <v>1600</v>
      </c>
      <c r="E352" s="13">
        <f t="shared" si="68"/>
        <v>1600</v>
      </c>
      <c r="F352" s="2"/>
      <c r="G352" s="2"/>
      <c r="H352" s="2"/>
      <c r="I352" s="13">
        <f>18000/16</f>
        <v>1125</v>
      </c>
      <c r="J352" s="13">
        <f t="shared" si="69"/>
        <v>1125</v>
      </c>
      <c r="K352" s="13">
        <f t="shared" si="70"/>
        <v>475</v>
      </c>
      <c r="L352" s="21">
        <f t="shared" si="71"/>
        <v>0.296875</v>
      </c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2">
        <v>0.5</v>
      </c>
      <c r="B353" s="10" t="s">
        <v>17</v>
      </c>
      <c r="C353" s="11" t="s">
        <v>147</v>
      </c>
      <c r="D353" s="13">
        <v>2200</v>
      </c>
      <c r="E353" s="13">
        <f t="shared" si="68"/>
        <v>1100</v>
      </c>
      <c r="F353" s="2"/>
      <c r="G353" s="2"/>
      <c r="H353" s="2"/>
      <c r="I353" s="13">
        <v>1800</v>
      </c>
      <c r="J353" s="13">
        <f t="shared" si="69"/>
        <v>900</v>
      </c>
      <c r="K353" s="13">
        <f t="shared" si="70"/>
        <v>200</v>
      </c>
      <c r="L353" s="21">
        <f t="shared" si="71"/>
        <v>0.18181818181818182</v>
      </c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2">
        <v>0.5</v>
      </c>
      <c r="B354" s="10" t="s">
        <v>17</v>
      </c>
      <c r="C354" s="11" t="s">
        <v>93</v>
      </c>
      <c r="D354" s="13">
        <v>3000</v>
      </c>
      <c r="E354" s="13">
        <f t="shared" si="68"/>
        <v>1500</v>
      </c>
      <c r="F354" s="2"/>
      <c r="G354" s="2"/>
      <c r="H354" s="2"/>
      <c r="I354" s="13">
        <f>13000/7</f>
        <v>1857.1428571428571</v>
      </c>
      <c r="J354" s="13">
        <f t="shared" si="69"/>
        <v>928.57142857142856</v>
      </c>
      <c r="K354" s="13">
        <f t="shared" si="70"/>
        <v>571.42857142857144</v>
      </c>
      <c r="L354" s="21">
        <f t="shared" si="71"/>
        <v>0.38095238095238099</v>
      </c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2">
        <v>2</v>
      </c>
      <c r="B355" s="10" t="s">
        <v>17</v>
      </c>
      <c r="C355" s="11" t="s">
        <v>81</v>
      </c>
      <c r="D355" s="13">
        <v>1800</v>
      </c>
      <c r="E355" s="13">
        <f t="shared" si="68"/>
        <v>3600</v>
      </c>
      <c r="F355" s="2"/>
      <c r="G355" s="2"/>
      <c r="H355" s="2"/>
      <c r="I355" s="13">
        <v>800</v>
      </c>
      <c r="J355" s="13">
        <f t="shared" si="69"/>
        <v>1600</v>
      </c>
      <c r="K355" s="13">
        <f t="shared" si="70"/>
        <v>2000</v>
      </c>
      <c r="L355" s="21">
        <f t="shared" si="71"/>
        <v>0.55555555555555558</v>
      </c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2">
        <v>1</v>
      </c>
      <c r="B356" s="10" t="s">
        <v>15</v>
      </c>
      <c r="C356" s="11" t="s">
        <v>40</v>
      </c>
      <c r="D356" s="13">
        <v>12000</v>
      </c>
      <c r="E356" s="13">
        <f t="shared" si="68"/>
        <v>12000</v>
      </c>
      <c r="F356" s="2"/>
      <c r="G356" s="2"/>
      <c r="H356" s="2"/>
      <c r="I356" s="13">
        <v>7000</v>
      </c>
      <c r="J356" s="13">
        <f t="shared" si="69"/>
        <v>7000</v>
      </c>
      <c r="K356" s="13">
        <f t="shared" si="70"/>
        <v>5000</v>
      </c>
      <c r="L356" s="21">
        <f t="shared" si="71"/>
        <v>0.41666666666666669</v>
      </c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2">
        <v>1</v>
      </c>
      <c r="B357" s="10" t="s">
        <v>17</v>
      </c>
      <c r="C357" s="11" t="s">
        <v>61</v>
      </c>
      <c r="D357" s="13">
        <v>1400</v>
      </c>
      <c r="E357" s="13">
        <f t="shared" si="68"/>
        <v>1400</v>
      </c>
      <c r="F357" s="2"/>
      <c r="G357" s="2"/>
      <c r="H357" s="2"/>
      <c r="I357" s="13">
        <v>1000</v>
      </c>
      <c r="J357" s="13">
        <f t="shared" si="69"/>
        <v>1000</v>
      </c>
      <c r="K357" s="13">
        <f t="shared" si="70"/>
        <v>400</v>
      </c>
      <c r="L357" s="21">
        <f t="shared" si="71"/>
        <v>0.2857142857142857</v>
      </c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5"/>
      <c r="B358" s="2"/>
      <c r="C358" s="4"/>
      <c r="D358" s="2"/>
      <c r="E358" s="2"/>
      <c r="F358" s="2"/>
      <c r="G358" s="4"/>
      <c r="H358" s="2"/>
      <c r="I358" s="2"/>
      <c r="J358" s="2"/>
      <c r="K358" s="2"/>
      <c r="L358" s="3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"/>
      <c r="B359" s="2"/>
      <c r="C359" s="4"/>
      <c r="D359" s="2"/>
      <c r="E359" s="13">
        <f>SUM(E341:E357)</f>
        <v>52900</v>
      </c>
      <c r="F359" s="2"/>
      <c r="G359" s="2"/>
      <c r="H359" s="2"/>
      <c r="I359" s="2"/>
      <c r="J359" s="2"/>
      <c r="K359" s="13">
        <f>SUM(K341:K357)</f>
        <v>15346.649265766911</v>
      </c>
      <c r="L359" s="14">
        <f>K359/E359</f>
        <v>0.29010679141336315</v>
      </c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20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20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20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6" t="s">
        <v>116</v>
      </c>
      <c r="B363" s="1"/>
      <c r="C363" s="1"/>
      <c r="D363" s="22" t="s">
        <v>148</v>
      </c>
      <c r="E363" s="8">
        <v>46118</v>
      </c>
      <c r="F363" s="24" t="s">
        <v>37</v>
      </c>
      <c r="G363" s="2"/>
      <c r="H363" s="2"/>
      <c r="I363" s="2"/>
      <c r="J363" s="2"/>
      <c r="K363" s="2"/>
      <c r="L363" s="3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4"/>
      <c r="B364" s="2"/>
      <c r="C364" s="4"/>
      <c r="D364" s="2"/>
      <c r="E364" s="2"/>
      <c r="F364" s="2"/>
      <c r="G364" s="2"/>
      <c r="H364" s="2"/>
      <c r="I364" s="2"/>
      <c r="J364" s="2"/>
      <c r="K364" s="2"/>
      <c r="L364" s="3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6" t="s">
        <v>3</v>
      </c>
      <c r="B365" s="10" t="s">
        <v>4</v>
      </c>
      <c r="C365" s="11" t="s">
        <v>5</v>
      </c>
      <c r="D365" s="10" t="s">
        <v>6</v>
      </c>
      <c r="E365" s="10" t="s">
        <v>7</v>
      </c>
      <c r="F365" s="2"/>
      <c r="G365" s="2"/>
      <c r="H365" s="2"/>
      <c r="I365" s="10" t="s">
        <v>6</v>
      </c>
      <c r="J365" s="10" t="s">
        <v>7</v>
      </c>
      <c r="K365" s="10" t="s">
        <v>10</v>
      </c>
      <c r="L365" s="3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2">
        <v>3</v>
      </c>
      <c r="B366" s="10" t="s">
        <v>23</v>
      </c>
      <c r="C366" s="11" t="s">
        <v>22</v>
      </c>
      <c r="D366" s="13">
        <v>16000</v>
      </c>
      <c r="E366" s="13">
        <f t="shared" ref="E366:E387" si="73">A366*D366</f>
        <v>48000</v>
      </c>
      <c r="F366" s="2"/>
      <c r="G366" s="2"/>
      <c r="H366" s="2"/>
      <c r="I366" s="13">
        <v>12000</v>
      </c>
      <c r="J366" s="13">
        <f t="shared" ref="J366:J387" si="74">I366*A366</f>
        <v>36000</v>
      </c>
      <c r="K366" s="13">
        <f t="shared" ref="K366:K387" si="75">E366-J366</f>
        <v>12000</v>
      </c>
      <c r="L366" s="14">
        <f t="shared" ref="L366:L387" si="76">K366/E366</f>
        <v>0.25</v>
      </c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2">
        <v>8</v>
      </c>
      <c r="B367" s="10" t="s">
        <v>17</v>
      </c>
      <c r="C367" s="11" t="s">
        <v>39</v>
      </c>
      <c r="D367" s="13">
        <v>2200</v>
      </c>
      <c r="E367" s="13">
        <f t="shared" si="73"/>
        <v>17600</v>
      </c>
      <c r="F367" s="2"/>
      <c r="G367" s="2"/>
      <c r="H367" s="2"/>
      <c r="I367" s="13">
        <f>25000/15</f>
        <v>1666.6666666666667</v>
      </c>
      <c r="J367" s="13">
        <f t="shared" si="74"/>
        <v>13333.333333333334</v>
      </c>
      <c r="K367" s="13">
        <f t="shared" si="75"/>
        <v>4266.6666666666661</v>
      </c>
      <c r="L367" s="14">
        <f t="shared" si="76"/>
        <v>0.2424242424242424</v>
      </c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12">
        <v>1</v>
      </c>
      <c r="B368" s="10" t="s">
        <v>21</v>
      </c>
      <c r="C368" s="11" t="s">
        <v>64</v>
      </c>
      <c r="D368" s="13">
        <v>2500</v>
      </c>
      <c r="E368" s="13">
        <f t="shared" si="73"/>
        <v>2500</v>
      </c>
      <c r="F368" s="2"/>
      <c r="G368" s="2"/>
      <c r="H368" s="2"/>
      <c r="I368" s="13">
        <v>1000</v>
      </c>
      <c r="J368" s="13">
        <f t="shared" si="74"/>
        <v>1000</v>
      </c>
      <c r="K368" s="13">
        <f t="shared" si="75"/>
        <v>1500</v>
      </c>
      <c r="L368" s="14">
        <f t="shared" si="76"/>
        <v>0.6</v>
      </c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12">
        <v>3</v>
      </c>
      <c r="B369" s="10" t="s">
        <v>17</v>
      </c>
      <c r="C369" s="11" t="s">
        <v>31</v>
      </c>
      <c r="D369" s="13">
        <v>2800</v>
      </c>
      <c r="E369" s="13">
        <f t="shared" si="73"/>
        <v>8400</v>
      </c>
      <c r="F369" s="2"/>
      <c r="G369" s="2"/>
      <c r="H369" s="2"/>
      <c r="I369" s="13">
        <f>15000/7</f>
        <v>2142.8571428571427</v>
      </c>
      <c r="J369" s="13">
        <f t="shared" si="74"/>
        <v>6428.5714285714275</v>
      </c>
      <c r="K369" s="13">
        <f t="shared" si="75"/>
        <v>1971.4285714285725</v>
      </c>
      <c r="L369" s="14">
        <f t="shared" si="76"/>
        <v>0.23469387755102053</v>
      </c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12">
        <v>1</v>
      </c>
      <c r="B370" s="10" t="s">
        <v>15</v>
      </c>
      <c r="C370" s="11" t="s">
        <v>40</v>
      </c>
      <c r="D370" s="13">
        <v>12000</v>
      </c>
      <c r="E370" s="13">
        <f t="shared" si="73"/>
        <v>12000</v>
      </c>
      <c r="F370" s="2"/>
      <c r="G370" s="2"/>
      <c r="H370" s="2"/>
      <c r="I370" s="13">
        <v>7000</v>
      </c>
      <c r="J370" s="13">
        <f t="shared" si="74"/>
        <v>7000</v>
      </c>
      <c r="K370" s="13">
        <f t="shared" si="75"/>
        <v>5000</v>
      </c>
      <c r="L370" s="14">
        <f t="shared" si="76"/>
        <v>0.41666666666666669</v>
      </c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2">
        <v>1</v>
      </c>
      <c r="B371" s="10" t="s">
        <v>23</v>
      </c>
      <c r="C371" s="11" t="s">
        <v>85</v>
      </c>
      <c r="D371" s="13">
        <v>58000</v>
      </c>
      <c r="E371" s="13">
        <f t="shared" si="73"/>
        <v>58000</v>
      </c>
      <c r="F371" s="2"/>
      <c r="G371" s="2"/>
      <c r="H371" s="2"/>
      <c r="I371" s="13">
        <v>50000</v>
      </c>
      <c r="J371" s="13">
        <f t="shared" si="74"/>
        <v>50000</v>
      </c>
      <c r="K371" s="13">
        <f t="shared" si="75"/>
        <v>8000</v>
      </c>
      <c r="L371" s="14">
        <f t="shared" si="76"/>
        <v>0.13793103448275862</v>
      </c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2">
        <v>7</v>
      </c>
      <c r="B372" s="10" t="s">
        <v>4</v>
      </c>
      <c r="C372" s="11" t="s">
        <v>65</v>
      </c>
      <c r="D372" s="13">
        <v>1600</v>
      </c>
      <c r="E372" s="13">
        <f t="shared" si="73"/>
        <v>11200</v>
      </c>
      <c r="F372" s="2"/>
      <c r="G372" s="2"/>
      <c r="H372" s="2"/>
      <c r="I372" s="13">
        <v>1078</v>
      </c>
      <c r="J372" s="13">
        <f t="shared" si="74"/>
        <v>7546</v>
      </c>
      <c r="K372" s="13">
        <f t="shared" si="75"/>
        <v>3654</v>
      </c>
      <c r="L372" s="14">
        <f t="shared" si="76"/>
        <v>0.32624999999999998</v>
      </c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2">
        <v>1</v>
      </c>
      <c r="B373" s="10" t="s">
        <v>23</v>
      </c>
      <c r="C373" s="11" t="s">
        <v>46</v>
      </c>
      <c r="D373" s="13">
        <v>9000</v>
      </c>
      <c r="E373" s="13">
        <f t="shared" si="73"/>
        <v>9000</v>
      </c>
      <c r="F373" s="2"/>
      <c r="G373" s="2"/>
      <c r="H373" s="2"/>
      <c r="I373" s="13">
        <v>5000</v>
      </c>
      <c r="J373" s="13">
        <f t="shared" si="74"/>
        <v>5000</v>
      </c>
      <c r="K373" s="13">
        <f t="shared" si="75"/>
        <v>4000</v>
      </c>
      <c r="L373" s="14">
        <f t="shared" si="76"/>
        <v>0.44444444444444442</v>
      </c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2">
        <v>0.5</v>
      </c>
      <c r="B374" s="10" t="s">
        <v>23</v>
      </c>
      <c r="C374" s="11" t="s">
        <v>110</v>
      </c>
      <c r="D374" s="13">
        <v>12000</v>
      </c>
      <c r="E374" s="13">
        <f t="shared" si="73"/>
        <v>6000</v>
      </c>
      <c r="F374" s="2"/>
      <c r="G374" s="2"/>
      <c r="H374" s="2"/>
      <c r="I374" s="13">
        <v>10000</v>
      </c>
      <c r="J374" s="13">
        <f t="shared" si="74"/>
        <v>5000</v>
      </c>
      <c r="K374" s="13">
        <f t="shared" si="75"/>
        <v>1000</v>
      </c>
      <c r="L374" s="14">
        <f t="shared" si="76"/>
        <v>0.16666666666666666</v>
      </c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2">
        <v>1</v>
      </c>
      <c r="B375" s="10" t="s">
        <v>17</v>
      </c>
      <c r="C375" s="11" t="s">
        <v>113</v>
      </c>
      <c r="D375" s="13">
        <v>4000</v>
      </c>
      <c r="E375" s="13">
        <f t="shared" si="73"/>
        <v>4000</v>
      </c>
      <c r="F375" s="2"/>
      <c r="G375" s="2"/>
      <c r="H375" s="2"/>
      <c r="I375" s="13">
        <v>3000</v>
      </c>
      <c r="J375" s="13">
        <f t="shared" si="74"/>
        <v>3000</v>
      </c>
      <c r="K375" s="13">
        <f t="shared" si="75"/>
        <v>1000</v>
      </c>
      <c r="L375" s="14">
        <f t="shared" si="76"/>
        <v>0.25</v>
      </c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2">
        <v>1</v>
      </c>
      <c r="B376" s="10" t="s">
        <v>21</v>
      </c>
      <c r="C376" s="11" t="s">
        <v>133</v>
      </c>
      <c r="D376" s="13">
        <v>3000</v>
      </c>
      <c r="E376" s="13">
        <f t="shared" si="73"/>
        <v>3000</v>
      </c>
      <c r="F376" s="2"/>
      <c r="G376" s="2"/>
      <c r="H376" s="2"/>
      <c r="I376" s="13">
        <v>500</v>
      </c>
      <c r="J376" s="13">
        <f t="shared" si="74"/>
        <v>500</v>
      </c>
      <c r="K376" s="13">
        <f t="shared" si="75"/>
        <v>2500</v>
      </c>
      <c r="L376" s="14">
        <f t="shared" si="76"/>
        <v>0.83333333333333337</v>
      </c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2">
        <v>2</v>
      </c>
      <c r="B377" s="10" t="s">
        <v>17</v>
      </c>
      <c r="C377" s="11" t="s">
        <v>61</v>
      </c>
      <c r="D377" s="13">
        <v>1400</v>
      </c>
      <c r="E377" s="13">
        <f t="shared" si="73"/>
        <v>2800</v>
      </c>
      <c r="F377" s="2"/>
      <c r="G377" s="2"/>
      <c r="H377" s="2"/>
      <c r="I377" s="13">
        <v>1000</v>
      </c>
      <c r="J377" s="13">
        <f t="shared" si="74"/>
        <v>2000</v>
      </c>
      <c r="K377" s="13">
        <f t="shared" si="75"/>
        <v>800</v>
      </c>
      <c r="L377" s="14">
        <f t="shared" si="76"/>
        <v>0.2857142857142857</v>
      </c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2">
        <v>2</v>
      </c>
      <c r="B378" s="10" t="s">
        <v>17</v>
      </c>
      <c r="C378" s="11" t="s">
        <v>99</v>
      </c>
      <c r="D378" s="13">
        <v>1500</v>
      </c>
      <c r="E378" s="13">
        <f t="shared" si="73"/>
        <v>3000</v>
      </c>
      <c r="F378" s="2"/>
      <c r="G378" s="2"/>
      <c r="H378" s="2"/>
      <c r="I378" s="17">
        <v>1250</v>
      </c>
      <c r="J378" s="13">
        <f t="shared" si="74"/>
        <v>2500</v>
      </c>
      <c r="K378" s="13">
        <f t="shared" si="75"/>
        <v>500</v>
      </c>
      <c r="L378" s="14">
        <f t="shared" si="76"/>
        <v>0.16666666666666666</v>
      </c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2">
        <v>1</v>
      </c>
      <c r="B379" s="10" t="s">
        <v>17</v>
      </c>
      <c r="C379" s="11" t="s">
        <v>33</v>
      </c>
      <c r="D379" s="13">
        <v>3200</v>
      </c>
      <c r="E379" s="13">
        <f t="shared" si="73"/>
        <v>3200</v>
      </c>
      <c r="F379" s="2"/>
      <c r="G379" s="2"/>
      <c r="H379" s="2"/>
      <c r="I379" s="13">
        <f t="shared" ref="I379:I380" si="77">15000/7</f>
        <v>2142.8571428571427</v>
      </c>
      <c r="J379" s="13">
        <f t="shared" si="74"/>
        <v>2142.8571428571427</v>
      </c>
      <c r="K379" s="13">
        <f t="shared" si="75"/>
        <v>1057.1428571428573</v>
      </c>
      <c r="L379" s="14">
        <f t="shared" si="76"/>
        <v>0.3303571428571429</v>
      </c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2">
        <v>1</v>
      </c>
      <c r="B380" s="10" t="s">
        <v>17</v>
      </c>
      <c r="C380" s="11" t="s">
        <v>32</v>
      </c>
      <c r="D380" s="13">
        <v>2800</v>
      </c>
      <c r="E380" s="13">
        <f t="shared" si="73"/>
        <v>2800</v>
      </c>
      <c r="F380" s="2"/>
      <c r="G380" s="2"/>
      <c r="H380" s="2"/>
      <c r="I380" s="13">
        <f t="shared" si="77"/>
        <v>2142.8571428571427</v>
      </c>
      <c r="J380" s="13">
        <f t="shared" si="74"/>
        <v>2142.8571428571427</v>
      </c>
      <c r="K380" s="13">
        <f t="shared" si="75"/>
        <v>657.14285714285734</v>
      </c>
      <c r="L380" s="14">
        <f t="shared" si="76"/>
        <v>0.23469387755102047</v>
      </c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2">
        <v>10</v>
      </c>
      <c r="B381" s="10" t="s">
        <v>17</v>
      </c>
      <c r="C381" s="11" t="s">
        <v>26</v>
      </c>
      <c r="D381" s="13">
        <v>1800</v>
      </c>
      <c r="E381" s="13">
        <f t="shared" si="73"/>
        <v>18000</v>
      </c>
      <c r="F381" s="2"/>
      <c r="G381" s="2"/>
      <c r="H381" s="2"/>
      <c r="I381" s="13">
        <f>22000/15</f>
        <v>1466.6666666666667</v>
      </c>
      <c r="J381" s="13">
        <f t="shared" si="74"/>
        <v>14666.666666666668</v>
      </c>
      <c r="K381" s="13">
        <f t="shared" si="75"/>
        <v>3333.3333333333321</v>
      </c>
      <c r="L381" s="14">
        <f t="shared" si="76"/>
        <v>0.18518518518518512</v>
      </c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2">
        <v>10</v>
      </c>
      <c r="B382" s="10" t="s">
        <v>17</v>
      </c>
      <c r="C382" s="11" t="s">
        <v>88</v>
      </c>
      <c r="D382" s="13">
        <v>2400</v>
      </c>
      <c r="E382" s="13">
        <f t="shared" si="73"/>
        <v>24000</v>
      </c>
      <c r="F382" s="2"/>
      <c r="G382" s="2"/>
      <c r="H382" s="2"/>
      <c r="I382" s="13">
        <f>20000/15</f>
        <v>1333.3333333333333</v>
      </c>
      <c r="J382" s="13">
        <f t="shared" si="74"/>
        <v>13333.333333333332</v>
      </c>
      <c r="K382" s="13">
        <f t="shared" si="75"/>
        <v>10666.666666666668</v>
      </c>
      <c r="L382" s="14">
        <f t="shared" si="76"/>
        <v>0.44444444444444448</v>
      </c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2">
        <v>0.25</v>
      </c>
      <c r="B383" s="10" t="s">
        <v>17</v>
      </c>
      <c r="C383" s="11" t="s">
        <v>111</v>
      </c>
      <c r="D383" s="13">
        <v>11000</v>
      </c>
      <c r="E383" s="13">
        <f t="shared" si="73"/>
        <v>2750</v>
      </c>
      <c r="F383" s="2"/>
      <c r="G383" s="2"/>
      <c r="H383" s="2"/>
      <c r="I383" s="13">
        <v>7000</v>
      </c>
      <c r="J383" s="13">
        <f t="shared" si="74"/>
        <v>1750</v>
      </c>
      <c r="K383" s="13">
        <f t="shared" si="75"/>
        <v>1000</v>
      </c>
      <c r="L383" s="14">
        <f t="shared" si="76"/>
        <v>0.36363636363636365</v>
      </c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12">
        <v>2</v>
      </c>
      <c r="B384" s="10" t="s">
        <v>17</v>
      </c>
      <c r="C384" s="11" t="s">
        <v>35</v>
      </c>
      <c r="D384" s="13">
        <v>2500</v>
      </c>
      <c r="E384" s="13">
        <f t="shared" si="73"/>
        <v>5000</v>
      </c>
      <c r="F384" s="2"/>
      <c r="G384" s="2"/>
      <c r="H384" s="2"/>
      <c r="I384" s="13">
        <v>1400</v>
      </c>
      <c r="J384" s="13">
        <f t="shared" si="74"/>
        <v>2800</v>
      </c>
      <c r="K384" s="13">
        <f t="shared" si="75"/>
        <v>2200</v>
      </c>
      <c r="L384" s="14">
        <f t="shared" si="76"/>
        <v>0.44</v>
      </c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2">
        <v>1</v>
      </c>
      <c r="B385" s="10" t="s">
        <v>21</v>
      </c>
      <c r="C385" s="11" t="s">
        <v>29</v>
      </c>
      <c r="D385" s="13">
        <v>3500</v>
      </c>
      <c r="E385" s="13">
        <f t="shared" si="73"/>
        <v>3500</v>
      </c>
      <c r="F385" s="2"/>
      <c r="G385" s="2"/>
      <c r="H385" s="2"/>
      <c r="I385" s="13">
        <v>1500</v>
      </c>
      <c r="J385" s="13">
        <f t="shared" si="74"/>
        <v>1500</v>
      </c>
      <c r="K385" s="13">
        <f t="shared" si="75"/>
        <v>2000</v>
      </c>
      <c r="L385" s="14">
        <f t="shared" si="76"/>
        <v>0.5714285714285714</v>
      </c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12">
        <v>1</v>
      </c>
      <c r="B386" s="10" t="s">
        <v>23</v>
      </c>
      <c r="C386" s="11" t="s">
        <v>41</v>
      </c>
      <c r="D386" s="13">
        <v>21000</v>
      </c>
      <c r="E386" s="13">
        <f t="shared" si="73"/>
        <v>21000</v>
      </c>
      <c r="F386" s="2"/>
      <c r="G386" s="2"/>
      <c r="H386" s="2"/>
      <c r="I386" s="13">
        <v>16000</v>
      </c>
      <c r="J386" s="13">
        <f t="shared" si="74"/>
        <v>16000</v>
      </c>
      <c r="K386" s="13">
        <f t="shared" si="75"/>
        <v>5000</v>
      </c>
      <c r="L386" s="14">
        <f t="shared" si="76"/>
        <v>0.23809523809523808</v>
      </c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12">
        <v>1</v>
      </c>
      <c r="B387" s="10" t="s">
        <v>21</v>
      </c>
      <c r="C387" s="11" t="s">
        <v>112</v>
      </c>
      <c r="D387" s="13">
        <v>3000</v>
      </c>
      <c r="E387" s="13">
        <f t="shared" si="73"/>
        <v>3000</v>
      </c>
      <c r="F387" s="2"/>
      <c r="G387" s="2"/>
      <c r="H387" s="2"/>
      <c r="I387" s="13">
        <v>2000</v>
      </c>
      <c r="J387" s="13">
        <f t="shared" si="74"/>
        <v>2000</v>
      </c>
      <c r="K387" s="13">
        <f t="shared" si="75"/>
        <v>1000</v>
      </c>
      <c r="L387" s="14">
        <f t="shared" si="76"/>
        <v>0.33333333333333331</v>
      </c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1"/>
      <c r="B388" s="2"/>
      <c r="C388" s="4"/>
      <c r="D388" s="2"/>
      <c r="E388" s="2"/>
      <c r="F388" s="2"/>
      <c r="G388" s="4"/>
      <c r="H388" s="2"/>
      <c r="I388" s="2"/>
      <c r="J388" s="2"/>
      <c r="K388" s="2"/>
      <c r="L388" s="3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1"/>
      <c r="B389" s="2"/>
      <c r="C389" s="4"/>
      <c r="D389" s="2"/>
      <c r="E389" s="13">
        <f>SUM(E366:E387)</f>
        <v>268750</v>
      </c>
      <c r="F389" s="2"/>
      <c r="G389" s="2"/>
      <c r="H389" s="2"/>
      <c r="I389" s="2"/>
      <c r="J389" s="2"/>
      <c r="K389" s="13">
        <f>SUM(K366:K387)</f>
        <v>73106.380952380947</v>
      </c>
      <c r="L389" s="14">
        <f>K389/E389</f>
        <v>0.27202374307862676</v>
      </c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20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20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6" t="s">
        <v>149</v>
      </c>
      <c r="B392" s="1"/>
      <c r="C392" s="1"/>
      <c r="D392" s="22" t="s">
        <v>150</v>
      </c>
      <c r="E392" s="8">
        <v>46118</v>
      </c>
      <c r="F392" s="24" t="s">
        <v>37</v>
      </c>
      <c r="G392" s="2"/>
      <c r="H392" s="2"/>
      <c r="I392" s="2"/>
      <c r="J392" s="2"/>
      <c r="K392" s="2"/>
      <c r="L392" s="3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4"/>
      <c r="B393" s="2"/>
      <c r="C393" s="4"/>
      <c r="D393" s="2"/>
      <c r="E393" s="2"/>
      <c r="F393" s="2"/>
      <c r="G393" s="2"/>
      <c r="H393" s="2"/>
      <c r="I393" s="2"/>
      <c r="J393" s="2"/>
      <c r="K393" s="2"/>
      <c r="L393" s="3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6" t="s">
        <v>3</v>
      </c>
      <c r="B394" s="10" t="s">
        <v>4</v>
      </c>
      <c r="C394" s="11" t="s">
        <v>5</v>
      </c>
      <c r="D394" s="10" t="s">
        <v>6</v>
      </c>
      <c r="E394" s="10" t="s">
        <v>7</v>
      </c>
      <c r="F394" s="2"/>
      <c r="G394" s="2"/>
      <c r="H394" s="2"/>
      <c r="I394" s="10" t="s">
        <v>6</v>
      </c>
      <c r="J394" s="10" t="s">
        <v>7</v>
      </c>
      <c r="K394" s="10" t="s">
        <v>10</v>
      </c>
      <c r="L394" s="3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12">
        <v>2</v>
      </c>
      <c r="B395" s="10" t="s">
        <v>15</v>
      </c>
      <c r="C395" s="11" t="s">
        <v>27</v>
      </c>
      <c r="D395" s="13">
        <v>23000</v>
      </c>
      <c r="E395" s="13">
        <f t="shared" ref="E395:E420" si="78">A395*D395</f>
        <v>46000</v>
      </c>
      <c r="F395" s="2"/>
      <c r="G395" s="2"/>
      <c r="H395" s="2"/>
      <c r="I395" s="13">
        <v>18000</v>
      </c>
      <c r="J395" s="13">
        <f t="shared" ref="J395:J420" si="79">I395*A395</f>
        <v>36000</v>
      </c>
      <c r="K395" s="13">
        <f t="shared" ref="K395:K420" si="80">E395-J395</f>
        <v>10000</v>
      </c>
      <c r="L395" s="14">
        <f t="shared" ref="L395:L420" si="81">K395/E395</f>
        <v>0.21739130434782608</v>
      </c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12">
        <v>2</v>
      </c>
      <c r="B396" s="10" t="s">
        <v>23</v>
      </c>
      <c r="C396" s="11" t="s">
        <v>22</v>
      </c>
      <c r="D396" s="13">
        <v>16000</v>
      </c>
      <c r="E396" s="13">
        <f t="shared" si="78"/>
        <v>32000</v>
      </c>
      <c r="F396" s="2"/>
      <c r="G396" s="2"/>
      <c r="H396" s="2"/>
      <c r="I396" s="13">
        <v>12000</v>
      </c>
      <c r="J396" s="13">
        <f t="shared" si="79"/>
        <v>24000</v>
      </c>
      <c r="K396" s="13">
        <f t="shared" si="80"/>
        <v>8000</v>
      </c>
      <c r="L396" s="14">
        <f t="shared" si="81"/>
        <v>0.25</v>
      </c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12">
        <v>2</v>
      </c>
      <c r="B397" s="10" t="s">
        <v>17</v>
      </c>
      <c r="C397" s="11" t="s">
        <v>31</v>
      </c>
      <c r="D397" s="13">
        <v>2800</v>
      </c>
      <c r="E397" s="13">
        <f t="shared" si="78"/>
        <v>5600</v>
      </c>
      <c r="F397" s="2"/>
      <c r="G397" s="2"/>
      <c r="H397" s="2"/>
      <c r="I397" s="13">
        <f>15000/7</f>
        <v>2142.8571428571427</v>
      </c>
      <c r="J397" s="13">
        <f t="shared" si="79"/>
        <v>4285.7142857142853</v>
      </c>
      <c r="K397" s="13">
        <f t="shared" si="80"/>
        <v>1314.2857142857147</v>
      </c>
      <c r="L397" s="14">
        <f t="shared" si="81"/>
        <v>0.23469387755102047</v>
      </c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12">
        <v>1</v>
      </c>
      <c r="B398" s="10" t="s">
        <v>23</v>
      </c>
      <c r="C398" s="11" t="s">
        <v>93</v>
      </c>
      <c r="D398" s="13">
        <v>20000</v>
      </c>
      <c r="E398" s="13">
        <f t="shared" si="78"/>
        <v>20000</v>
      </c>
      <c r="F398" s="2"/>
      <c r="G398" s="2"/>
      <c r="H398" s="2"/>
      <c r="I398" s="13">
        <v>13000</v>
      </c>
      <c r="J398" s="13">
        <f t="shared" si="79"/>
        <v>13000</v>
      </c>
      <c r="K398" s="13">
        <f t="shared" si="80"/>
        <v>7000</v>
      </c>
      <c r="L398" s="14">
        <f t="shared" si="81"/>
        <v>0.35</v>
      </c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12">
        <v>12</v>
      </c>
      <c r="B399" s="10" t="s">
        <v>4</v>
      </c>
      <c r="C399" s="11" t="s">
        <v>65</v>
      </c>
      <c r="D399" s="13">
        <v>1600</v>
      </c>
      <c r="E399" s="13">
        <f t="shared" si="78"/>
        <v>19200</v>
      </c>
      <c r="F399" s="2"/>
      <c r="G399" s="2"/>
      <c r="H399" s="2"/>
      <c r="I399" s="13">
        <v>1078</v>
      </c>
      <c r="J399" s="13">
        <f t="shared" si="79"/>
        <v>12936</v>
      </c>
      <c r="K399" s="13">
        <f t="shared" si="80"/>
        <v>6264</v>
      </c>
      <c r="L399" s="14">
        <f t="shared" si="81"/>
        <v>0.32624999999999998</v>
      </c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12">
        <v>2</v>
      </c>
      <c r="B400" s="10" t="s">
        <v>17</v>
      </c>
      <c r="C400" s="11" t="s">
        <v>61</v>
      </c>
      <c r="D400" s="13">
        <v>1400</v>
      </c>
      <c r="E400" s="13">
        <f t="shared" si="78"/>
        <v>2800</v>
      </c>
      <c r="F400" s="2"/>
      <c r="G400" s="2"/>
      <c r="H400" s="2"/>
      <c r="I400" s="13">
        <v>1000</v>
      </c>
      <c r="J400" s="13">
        <f t="shared" si="79"/>
        <v>2000</v>
      </c>
      <c r="K400" s="13">
        <f t="shared" si="80"/>
        <v>800</v>
      </c>
      <c r="L400" s="14">
        <f t="shared" si="81"/>
        <v>0.2857142857142857</v>
      </c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12">
        <v>2</v>
      </c>
      <c r="B401" s="10" t="s">
        <v>17</v>
      </c>
      <c r="C401" s="11" t="s">
        <v>99</v>
      </c>
      <c r="D401" s="13">
        <v>1500</v>
      </c>
      <c r="E401" s="13">
        <f t="shared" si="78"/>
        <v>3000</v>
      </c>
      <c r="F401" s="2"/>
      <c r="G401" s="2"/>
      <c r="H401" s="2"/>
      <c r="I401" s="13">
        <v>1250</v>
      </c>
      <c r="J401" s="13">
        <f t="shared" si="79"/>
        <v>2500</v>
      </c>
      <c r="K401" s="13">
        <f t="shared" si="80"/>
        <v>500</v>
      </c>
      <c r="L401" s="14">
        <f t="shared" si="81"/>
        <v>0.16666666666666666</v>
      </c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12">
        <v>2</v>
      </c>
      <c r="B402" s="10" t="s">
        <v>17</v>
      </c>
      <c r="C402" s="11" t="s">
        <v>32</v>
      </c>
      <c r="D402" s="13">
        <v>2800</v>
      </c>
      <c r="E402" s="13">
        <f t="shared" si="78"/>
        <v>5600</v>
      </c>
      <c r="F402" s="2"/>
      <c r="G402" s="2"/>
      <c r="H402" s="2"/>
      <c r="I402" s="13">
        <f t="shared" ref="I402:I403" si="82">15000/7</f>
        <v>2142.8571428571427</v>
      </c>
      <c r="J402" s="13">
        <f t="shared" si="79"/>
        <v>4285.7142857142853</v>
      </c>
      <c r="K402" s="13">
        <f t="shared" si="80"/>
        <v>1314.2857142857147</v>
      </c>
      <c r="L402" s="14">
        <f t="shared" si="81"/>
        <v>0.23469387755102047</v>
      </c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12">
        <v>2</v>
      </c>
      <c r="B403" s="10" t="s">
        <v>17</v>
      </c>
      <c r="C403" s="11" t="s">
        <v>33</v>
      </c>
      <c r="D403" s="13">
        <v>3200</v>
      </c>
      <c r="E403" s="13">
        <f t="shared" si="78"/>
        <v>6400</v>
      </c>
      <c r="F403" s="2"/>
      <c r="G403" s="2"/>
      <c r="H403" s="2"/>
      <c r="I403" s="13">
        <f t="shared" si="82"/>
        <v>2142.8571428571427</v>
      </c>
      <c r="J403" s="13">
        <f t="shared" si="79"/>
        <v>4285.7142857142853</v>
      </c>
      <c r="K403" s="13">
        <f t="shared" si="80"/>
        <v>2114.2857142857147</v>
      </c>
      <c r="L403" s="14">
        <f t="shared" si="81"/>
        <v>0.3303571428571429</v>
      </c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12">
        <v>4</v>
      </c>
      <c r="B404" s="10" t="s">
        <v>17</v>
      </c>
      <c r="C404" s="11" t="s">
        <v>39</v>
      </c>
      <c r="D404" s="13">
        <v>2200</v>
      </c>
      <c r="E404" s="13">
        <f t="shared" si="78"/>
        <v>8800</v>
      </c>
      <c r="F404" s="2"/>
      <c r="G404" s="2"/>
      <c r="H404" s="2"/>
      <c r="I404" s="13">
        <f>25000/15</f>
        <v>1666.6666666666667</v>
      </c>
      <c r="J404" s="13">
        <f t="shared" si="79"/>
        <v>6666.666666666667</v>
      </c>
      <c r="K404" s="13">
        <f t="shared" si="80"/>
        <v>2133.333333333333</v>
      </c>
      <c r="L404" s="14">
        <f t="shared" si="81"/>
        <v>0.2424242424242424</v>
      </c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12">
        <v>2</v>
      </c>
      <c r="B405" s="10" t="s">
        <v>17</v>
      </c>
      <c r="C405" s="11" t="s">
        <v>35</v>
      </c>
      <c r="D405" s="13">
        <v>2500</v>
      </c>
      <c r="E405" s="13">
        <f t="shared" si="78"/>
        <v>5000</v>
      </c>
      <c r="F405" s="2"/>
      <c r="G405" s="2"/>
      <c r="H405" s="2"/>
      <c r="I405" s="13">
        <v>1400</v>
      </c>
      <c r="J405" s="13">
        <f t="shared" si="79"/>
        <v>2800</v>
      </c>
      <c r="K405" s="13">
        <f t="shared" si="80"/>
        <v>2200</v>
      </c>
      <c r="L405" s="14">
        <f t="shared" si="81"/>
        <v>0.44</v>
      </c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2">
        <v>1</v>
      </c>
      <c r="B406" s="10" t="s">
        <v>23</v>
      </c>
      <c r="C406" s="11" t="s">
        <v>46</v>
      </c>
      <c r="D406" s="13">
        <v>9000</v>
      </c>
      <c r="E406" s="13">
        <f t="shared" si="78"/>
        <v>9000</v>
      </c>
      <c r="F406" s="2"/>
      <c r="G406" s="2"/>
      <c r="H406" s="2"/>
      <c r="I406" s="13">
        <v>5000</v>
      </c>
      <c r="J406" s="13">
        <f t="shared" si="79"/>
        <v>5000</v>
      </c>
      <c r="K406" s="13">
        <f t="shared" si="80"/>
        <v>4000</v>
      </c>
      <c r="L406" s="14">
        <f t="shared" si="81"/>
        <v>0.44444444444444442</v>
      </c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12">
        <v>1</v>
      </c>
      <c r="B407" s="10" t="s">
        <v>23</v>
      </c>
      <c r="C407" s="11" t="s">
        <v>110</v>
      </c>
      <c r="D407" s="13">
        <v>12000</v>
      </c>
      <c r="E407" s="13">
        <f t="shared" si="78"/>
        <v>12000</v>
      </c>
      <c r="F407" s="2"/>
      <c r="G407" s="2"/>
      <c r="H407" s="2"/>
      <c r="I407" s="13">
        <v>10000</v>
      </c>
      <c r="J407" s="13">
        <f t="shared" si="79"/>
        <v>10000</v>
      </c>
      <c r="K407" s="13">
        <f t="shared" si="80"/>
        <v>2000</v>
      </c>
      <c r="L407" s="14">
        <f t="shared" si="81"/>
        <v>0.16666666666666666</v>
      </c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12">
        <v>2</v>
      </c>
      <c r="B408" s="10" t="s">
        <v>17</v>
      </c>
      <c r="C408" s="11" t="s">
        <v>55</v>
      </c>
      <c r="D408" s="13">
        <v>21000</v>
      </c>
      <c r="E408" s="13">
        <f t="shared" si="78"/>
        <v>42000</v>
      </c>
      <c r="F408" s="2"/>
      <c r="G408" s="2"/>
      <c r="H408" s="2"/>
      <c r="I408" s="13">
        <v>17000</v>
      </c>
      <c r="J408" s="13">
        <f t="shared" si="79"/>
        <v>34000</v>
      </c>
      <c r="K408" s="13">
        <f t="shared" si="80"/>
        <v>8000</v>
      </c>
      <c r="L408" s="14">
        <f t="shared" si="81"/>
        <v>0.19047619047619047</v>
      </c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12">
        <v>2</v>
      </c>
      <c r="B409" s="10" t="s">
        <v>17</v>
      </c>
      <c r="C409" s="11" t="s">
        <v>134</v>
      </c>
      <c r="D409" s="13">
        <v>23000</v>
      </c>
      <c r="E409" s="13">
        <f t="shared" si="78"/>
        <v>46000</v>
      </c>
      <c r="F409" s="2"/>
      <c r="G409" s="2"/>
      <c r="H409" s="2"/>
      <c r="I409" s="13">
        <v>20000</v>
      </c>
      <c r="J409" s="13">
        <f t="shared" si="79"/>
        <v>40000</v>
      </c>
      <c r="K409" s="13">
        <f t="shared" si="80"/>
        <v>6000</v>
      </c>
      <c r="L409" s="14">
        <f t="shared" si="81"/>
        <v>0.13043478260869565</v>
      </c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12">
        <v>1</v>
      </c>
      <c r="B410" s="10" t="s">
        <v>23</v>
      </c>
      <c r="C410" s="11" t="s">
        <v>85</v>
      </c>
      <c r="D410" s="13">
        <v>58000</v>
      </c>
      <c r="E410" s="13">
        <f t="shared" si="78"/>
        <v>58000</v>
      </c>
      <c r="F410" s="2"/>
      <c r="G410" s="2"/>
      <c r="H410" s="2"/>
      <c r="I410" s="13">
        <v>50000</v>
      </c>
      <c r="J410" s="13">
        <f t="shared" si="79"/>
        <v>50000</v>
      </c>
      <c r="K410" s="13">
        <f t="shared" si="80"/>
        <v>8000</v>
      </c>
      <c r="L410" s="14">
        <f t="shared" si="81"/>
        <v>0.13793103448275862</v>
      </c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12">
        <v>2</v>
      </c>
      <c r="B411" s="10" t="s">
        <v>21</v>
      </c>
      <c r="C411" s="11" t="s">
        <v>51</v>
      </c>
      <c r="D411" s="13">
        <v>1500</v>
      </c>
      <c r="E411" s="13">
        <f t="shared" si="78"/>
        <v>3000</v>
      </c>
      <c r="F411" s="2"/>
      <c r="G411" s="2"/>
      <c r="H411" s="2"/>
      <c r="I411" s="13">
        <v>1500</v>
      </c>
      <c r="J411" s="13">
        <f t="shared" si="79"/>
        <v>3000</v>
      </c>
      <c r="K411" s="13">
        <f t="shared" si="80"/>
        <v>0</v>
      </c>
      <c r="L411" s="14">
        <f t="shared" si="81"/>
        <v>0</v>
      </c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12">
        <v>1</v>
      </c>
      <c r="B412" s="10" t="s">
        <v>21</v>
      </c>
      <c r="C412" s="11" t="s">
        <v>42</v>
      </c>
      <c r="D412" s="13">
        <v>4500</v>
      </c>
      <c r="E412" s="13">
        <f t="shared" si="78"/>
        <v>4500</v>
      </c>
      <c r="F412" s="2"/>
      <c r="G412" s="2"/>
      <c r="H412" s="2"/>
      <c r="I412" s="13">
        <v>1200</v>
      </c>
      <c r="J412" s="13">
        <f t="shared" si="79"/>
        <v>1200</v>
      </c>
      <c r="K412" s="13">
        <f t="shared" si="80"/>
        <v>3300</v>
      </c>
      <c r="L412" s="14">
        <f t="shared" si="81"/>
        <v>0.73333333333333328</v>
      </c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12">
        <v>1</v>
      </c>
      <c r="B413" s="10" t="s">
        <v>21</v>
      </c>
      <c r="C413" s="11" t="s">
        <v>28</v>
      </c>
      <c r="D413" s="13">
        <v>3000</v>
      </c>
      <c r="E413" s="13">
        <f t="shared" si="78"/>
        <v>3000</v>
      </c>
      <c r="F413" s="2"/>
      <c r="G413" s="2"/>
      <c r="H413" s="2"/>
      <c r="I413" s="13">
        <v>2000</v>
      </c>
      <c r="J413" s="13">
        <f t="shared" si="79"/>
        <v>2000</v>
      </c>
      <c r="K413" s="13">
        <f t="shared" si="80"/>
        <v>1000</v>
      </c>
      <c r="L413" s="14">
        <f t="shared" si="81"/>
        <v>0.33333333333333331</v>
      </c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12">
        <v>1</v>
      </c>
      <c r="B414" s="10" t="s">
        <v>21</v>
      </c>
      <c r="C414" s="11" t="s">
        <v>151</v>
      </c>
      <c r="D414" s="13">
        <v>3000</v>
      </c>
      <c r="E414" s="13">
        <f t="shared" si="78"/>
        <v>3000</v>
      </c>
      <c r="F414" s="2"/>
      <c r="G414" s="2"/>
      <c r="H414" s="2"/>
      <c r="I414" s="13">
        <v>2000</v>
      </c>
      <c r="J414" s="13">
        <f t="shared" si="79"/>
        <v>2000</v>
      </c>
      <c r="K414" s="13">
        <f t="shared" si="80"/>
        <v>1000</v>
      </c>
      <c r="L414" s="14">
        <f t="shared" si="81"/>
        <v>0.33333333333333331</v>
      </c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12">
        <v>2</v>
      </c>
      <c r="B415" s="10" t="s">
        <v>17</v>
      </c>
      <c r="C415" s="11" t="s">
        <v>40</v>
      </c>
      <c r="D415" s="13">
        <v>1400</v>
      </c>
      <c r="E415" s="13">
        <f t="shared" si="78"/>
        <v>2800</v>
      </c>
      <c r="F415" s="2"/>
      <c r="G415" s="2"/>
      <c r="H415" s="2"/>
      <c r="I415" s="13">
        <f>7000/9</f>
        <v>777.77777777777783</v>
      </c>
      <c r="J415" s="13">
        <f t="shared" si="79"/>
        <v>1555.5555555555557</v>
      </c>
      <c r="K415" s="13">
        <f t="shared" si="80"/>
        <v>1244.4444444444443</v>
      </c>
      <c r="L415" s="14">
        <f t="shared" si="81"/>
        <v>0.44444444444444442</v>
      </c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12">
        <v>1</v>
      </c>
      <c r="B416" s="10" t="s">
        <v>21</v>
      </c>
      <c r="C416" s="11" t="s">
        <v>64</v>
      </c>
      <c r="D416" s="13">
        <v>2500</v>
      </c>
      <c r="E416" s="13">
        <f t="shared" si="78"/>
        <v>2500</v>
      </c>
      <c r="F416" s="2"/>
      <c r="G416" s="2"/>
      <c r="H416" s="2"/>
      <c r="I416" s="13">
        <v>1000</v>
      </c>
      <c r="J416" s="13">
        <f t="shared" si="79"/>
        <v>1000</v>
      </c>
      <c r="K416" s="13">
        <f t="shared" si="80"/>
        <v>1500</v>
      </c>
      <c r="L416" s="14">
        <f t="shared" si="81"/>
        <v>0.6</v>
      </c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12">
        <v>1</v>
      </c>
      <c r="B417" s="10" t="s">
        <v>21</v>
      </c>
      <c r="C417" s="11" t="s">
        <v>34</v>
      </c>
      <c r="D417" s="13">
        <v>5000</v>
      </c>
      <c r="E417" s="13">
        <f t="shared" si="78"/>
        <v>5000</v>
      </c>
      <c r="F417" s="2"/>
      <c r="G417" s="2"/>
      <c r="H417" s="2"/>
      <c r="I417" s="13">
        <v>2000</v>
      </c>
      <c r="J417" s="13">
        <f t="shared" si="79"/>
        <v>2000</v>
      </c>
      <c r="K417" s="13">
        <f t="shared" si="80"/>
        <v>3000</v>
      </c>
      <c r="L417" s="14">
        <f t="shared" si="81"/>
        <v>0.6</v>
      </c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12">
        <v>0.5</v>
      </c>
      <c r="B418" s="10" t="s">
        <v>23</v>
      </c>
      <c r="C418" s="11" t="s">
        <v>88</v>
      </c>
      <c r="D418" s="13">
        <v>28000</v>
      </c>
      <c r="E418" s="13">
        <f t="shared" si="78"/>
        <v>14000</v>
      </c>
      <c r="F418" s="2"/>
      <c r="G418" s="2"/>
      <c r="H418" s="2"/>
      <c r="I418" s="13">
        <v>20000</v>
      </c>
      <c r="J418" s="13">
        <f t="shared" si="79"/>
        <v>10000</v>
      </c>
      <c r="K418" s="13">
        <f t="shared" si="80"/>
        <v>4000</v>
      </c>
      <c r="L418" s="14">
        <f t="shared" si="81"/>
        <v>0.2857142857142857</v>
      </c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12">
        <v>0.5</v>
      </c>
      <c r="B419" s="10" t="s">
        <v>23</v>
      </c>
      <c r="C419" s="11" t="s">
        <v>26</v>
      </c>
      <c r="D419" s="13">
        <v>26000</v>
      </c>
      <c r="E419" s="13">
        <f t="shared" si="78"/>
        <v>13000</v>
      </c>
      <c r="F419" s="2"/>
      <c r="G419" s="2"/>
      <c r="H419" s="2"/>
      <c r="I419" s="13">
        <v>22000</v>
      </c>
      <c r="J419" s="13">
        <f t="shared" si="79"/>
        <v>11000</v>
      </c>
      <c r="K419" s="13">
        <f t="shared" si="80"/>
        <v>2000</v>
      </c>
      <c r="L419" s="14">
        <f t="shared" si="81"/>
        <v>0.15384615384615385</v>
      </c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12">
        <v>0.5</v>
      </c>
      <c r="B420" s="10" t="s">
        <v>23</v>
      </c>
      <c r="C420" s="11" t="s">
        <v>123</v>
      </c>
      <c r="D420" s="13">
        <v>28000</v>
      </c>
      <c r="E420" s="13">
        <f t="shared" si="78"/>
        <v>14000</v>
      </c>
      <c r="F420" s="2"/>
      <c r="G420" s="2"/>
      <c r="H420" s="2"/>
      <c r="I420" s="13">
        <v>20000</v>
      </c>
      <c r="J420" s="13">
        <f t="shared" si="79"/>
        <v>10000</v>
      </c>
      <c r="K420" s="13">
        <f t="shared" si="80"/>
        <v>4000</v>
      </c>
      <c r="L420" s="14">
        <f t="shared" si="81"/>
        <v>0.2857142857142857</v>
      </c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1"/>
      <c r="B421" s="2"/>
      <c r="C421" s="4"/>
      <c r="D421" s="2"/>
      <c r="E421" s="2"/>
      <c r="F421" s="2"/>
      <c r="G421" s="4"/>
      <c r="H421" s="2"/>
      <c r="I421" s="2"/>
      <c r="J421" s="2"/>
      <c r="K421" s="2"/>
      <c r="L421" s="3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2"/>
      <c r="C422" s="4"/>
      <c r="D422" s="2"/>
      <c r="E422" s="13">
        <f>SUM(E395:E420)</f>
        <v>386200</v>
      </c>
      <c r="F422" s="2"/>
      <c r="G422" s="2"/>
      <c r="H422" s="2"/>
      <c r="I422" s="2"/>
      <c r="J422" s="2"/>
      <c r="K422" s="13">
        <f>SUM(K395:K420)</f>
        <v>90684.634920634911</v>
      </c>
      <c r="L422" s="14">
        <f>K422/E422</f>
        <v>0.23481262278776519</v>
      </c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20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20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6" t="s">
        <v>131</v>
      </c>
      <c r="B425" s="1"/>
      <c r="C425" s="1"/>
      <c r="D425" s="12" t="s">
        <v>152</v>
      </c>
      <c r="E425" s="8">
        <v>46118</v>
      </c>
      <c r="F425" s="15" t="s">
        <v>37</v>
      </c>
      <c r="G425" s="2"/>
      <c r="H425" s="2"/>
      <c r="I425" s="2"/>
      <c r="J425" s="2"/>
      <c r="K425" s="2"/>
      <c r="L425" s="3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1"/>
      <c r="B426" s="2"/>
      <c r="C426" s="1"/>
      <c r="D426" s="2"/>
      <c r="E426" s="2"/>
      <c r="F426" s="2"/>
      <c r="G426" s="2"/>
      <c r="H426" s="2"/>
      <c r="I426" s="2"/>
      <c r="J426" s="2"/>
      <c r="K426" s="2"/>
      <c r="L426" s="3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6" t="s">
        <v>3</v>
      </c>
      <c r="B427" s="10" t="s">
        <v>4</v>
      </c>
      <c r="C427" s="6" t="s">
        <v>5</v>
      </c>
      <c r="D427" s="10" t="s">
        <v>6</v>
      </c>
      <c r="E427" s="10" t="s">
        <v>7</v>
      </c>
      <c r="F427" s="2"/>
      <c r="G427" s="2"/>
      <c r="H427" s="2"/>
      <c r="I427" s="10" t="s">
        <v>6</v>
      </c>
      <c r="J427" s="10" t="s">
        <v>7</v>
      </c>
      <c r="K427" s="10" t="s">
        <v>10</v>
      </c>
      <c r="L427" s="3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12">
        <v>2</v>
      </c>
      <c r="B428" s="10" t="s">
        <v>21</v>
      </c>
      <c r="C428" s="6" t="s">
        <v>42</v>
      </c>
      <c r="D428" s="13">
        <v>4500</v>
      </c>
      <c r="E428" s="13">
        <f t="shared" ref="E428:E446" si="83">A428*D428</f>
        <v>9000</v>
      </c>
      <c r="F428" s="2"/>
      <c r="G428" s="2"/>
      <c r="H428" s="2"/>
      <c r="I428" s="13">
        <v>1200</v>
      </c>
      <c r="J428" s="13">
        <f t="shared" ref="J428:J446" si="84">I428*A428</f>
        <v>2400</v>
      </c>
      <c r="K428" s="13">
        <f t="shared" ref="K428:K446" si="85">E428-J428</f>
        <v>6600</v>
      </c>
      <c r="L428" s="14">
        <f t="shared" ref="L428:L446" si="86">K428/E428</f>
        <v>0.73333333333333328</v>
      </c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12">
        <v>4</v>
      </c>
      <c r="B429" s="10" t="s">
        <v>21</v>
      </c>
      <c r="C429" s="6" t="s">
        <v>28</v>
      </c>
      <c r="D429" s="13">
        <v>3000</v>
      </c>
      <c r="E429" s="13">
        <f t="shared" si="83"/>
        <v>12000</v>
      </c>
      <c r="F429" s="2"/>
      <c r="G429" s="2"/>
      <c r="H429" s="7"/>
      <c r="I429" s="13">
        <v>2000</v>
      </c>
      <c r="J429" s="13">
        <f t="shared" si="84"/>
        <v>8000</v>
      </c>
      <c r="K429" s="13">
        <f t="shared" si="85"/>
        <v>4000</v>
      </c>
      <c r="L429" s="14">
        <f t="shared" si="86"/>
        <v>0.33333333333333331</v>
      </c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12">
        <v>2</v>
      </c>
      <c r="B430" s="10" t="s">
        <v>21</v>
      </c>
      <c r="C430" s="6" t="s">
        <v>133</v>
      </c>
      <c r="D430" s="13">
        <v>3000</v>
      </c>
      <c r="E430" s="13">
        <f t="shared" si="83"/>
        <v>6000</v>
      </c>
      <c r="F430" s="2"/>
      <c r="G430" s="2"/>
      <c r="H430" s="2"/>
      <c r="I430" s="13">
        <v>500</v>
      </c>
      <c r="J430" s="13">
        <f t="shared" si="84"/>
        <v>1000</v>
      </c>
      <c r="K430" s="13">
        <f t="shared" si="85"/>
        <v>5000</v>
      </c>
      <c r="L430" s="14">
        <f t="shared" si="86"/>
        <v>0.83333333333333337</v>
      </c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12">
        <v>1</v>
      </c>
      <c r="B431" s="10" t="s">
        <v>21</v>
      </c>
      <c r="C431" s="6" t="s">
        <v>151</v>
      </c>
      <c r="D431" s="13">
        <v>3000</v>
      </c>
      <c r="E431" s="13">
        <f t="shared" si="83"/>
        <v>3000</v>
      </c>
      <c r="F431" s="2"/>
      <c r="G431" s="2"/>
      <c r="H431" s="2"/>
      <c r="I431" s="13">
        <v>2000</v>
      </c>
      <c r="J431" s="13">
        <f t="shared" si="84"/>
        <v>2000</v>
      </c>
      <c r="K431" s="13">
        <f t="shared" si="85"/>
        <v>1000</v>
      </c>
      <c r="L431" s="14">
        <f t="shared" si="86"/>
        <v>0.33333333333333331</v>
      </c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12">
        <v>0.5</v>
      </c>
      <c r="B432" s="10" t="s">
        <v>15</v>
      </c>
      <c r="C432" s="6" t="s">
        <v>129</v>
      </c>
      <c r="D432" s="13">
        <v>16000</v>
      </c>
      <c r="E432" s="13">
        <f t="shared" si="83"/>
        <v>8000</v>
      </c>
      <c r="F432" s="2"/>
      <c r="G432" s="2"/>
      <c r="H432" s="7"/>
      <c r="I432" s="13">
        <v>12000</v>
      </c>
      <c r="J432" s="13">
        <f t="shared" si="84"/>
        <v>6000</v>
      </c>
      <c r="K432" s="13">
        <f t="shared" si="85"/>
        <v>2000</v>
      </c>
      <c r="L432" s="14">
        <f t="shared" si="86"/>
        <v>0.25</v>
      </c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12">
        <v>2</v>
      </c>
      <c r="B433" s="10" t="s">
        <v>17</v>
      </c>
      <c r="C433" s="6" t="s">
        <v>153</v>
      </c>
      <c r="D433" s="13">
        <v>2800</v>
      </c>
      <c r="E433" s="13">
        <f t="shared" si="83"/>
        <v>5600</v>
      </c>
      <c r="F433" s="2"/>
      <c r="G433" s="2"/>
      <c r="H433" s="7"/>
      <c r="I433" s="13">
        <f t="shared" ref="I433:I434" si="87">15000/7</f>
        <v>2142.8571428571427</v>
      </c>
      <c r="J433" s="13">
        <f t="shared" si="84"/>
        <v>4285.7142857142853</v>
      </c>
      <c r="K433" s="13">
        <f t="shared" si="85"/>
        <v>1314.2857142857147</v>
      </c>
      <c r="L433" s="14">
        <f t="shared" si="86"/>
        <v>0.23469387755102047</v>
      </c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12">
        <v>1</v>
      </c>
      <c r="B434" s="10" t="s">
        <v>17</v>
      </c>
      <c r="C434" s="6" t="s">
        <v>32</v>
      </c>
      <c r="D434" s="13">
        <v>2800</v>
      </c>
      <c r="E434" s="13">
        <f t="shared" si="83"/>
        <v>2800</v>
      </c>
      <c r="F434" s="2"/>
      <c r="G434" s="2"/>
      <c r="H434" s="7"/>
      <c r="I434" s="13">
        <f t="shared" si="87"/>
        <v>2142.8571428571427</v>
      </c>
      <c r="J434" s="13">
        <f t="shared" si="84"/>
        <v>2142.8571428571427</v>
      </c>
      <c r="K434" s="13">
        <f t="shared" si="85"/>
        <v>657.14285714285734</v>
      </c>
      <c r="L434" s="14">
        <f t="shared" si="86"/>
        <v>0.23469387755102047</v>
      </c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12">
        <v>1.2</v>
      </c>
      <c r="B435" s="10" t="s">
        <v>17</v>
      </c>
      <c r="C435" s="6" t="s">
        <v>30</v>
      </c>
      <c r="D435" s="13">
        <v>1500</v>
      </c>
      <c r="E435" s="13">
        <f t="shared" si="83"/>
        <v>1800</v>
      </c>
      <c r="F435" s="2"/>
      <c r="G435" s="2"/>
      <c r="H435" s="7"/>
      <c r="I435" s="13">
        <v>1500</v>
      </c>
      <c r="J435" s="13">
        <f t="shared" si="84"/>
        <v>1800</v>
      </c>
      <c r="K435" s="13">
        <f t="shared" si="85"/>
        <v>0</v>
      </c>
      <c r="L435" s="14">
        <f t="shared" si="86"/>
        <v>0</v>
      </c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12">
        <v>2</v>
      </c>
      <c r="B436" s="10" t="s">
        <v>4</v>
      </c>
      <c r="C436" s="6" t="s">
        <v>64</v>
      </c>
      <c r="D436" s="13">
        <v>2500</v>
      </c>
      <c r="E436" s="13">
        <f t="shared" si="83"/>
        <v>5000</v>
      </c>
      <c r="F436" s="2"/>
      <c r="G436" s="2"/>
      <c r="H436" s="7"/>
      <c r="I436" s="13">
        <v>1000</v>
      </c>
      <c r="J436" s="13">
        <f t="shared" si="84"/>
        <v>2000</v>
      </c>
      <c r="K436" s="13">
        <f t="shared" si="85"/>
        <v>3000</v>
      </c>
      <c r="L436" s="14">
        <f t="shared" si="86"/>
        <v>0.6</v>
      </c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2">
        <v>2</v>
      </c>
      <c r="B437" s="10" t="s">
        <v>4</v>
      </c>
      <c r="C437" s="6" t="s">
        <v>13</v>
      </c>
      <c r="D437" s="13">
        <v>900</v>
      </c>
      <c r="E437" s="13">
        <f t="shared" si="83"/>
        <v>1800</v>
      </c>
      <c r="F437" s="2"/>
      <c r="G437" s="2"/>
      <c r="H437" s="2"/>
      <c r="I437" s="13">
        <v>460</v>
      </c>
      <c r="J437" s="13">
        <f t="shared" si="84"/>
        <v>920</v>
      </c>
      <c r="K437" s="13">
        <f t="shared" si="85"/>
        <v>880</v>
      </c>
      <c r="L437" s="14">
        <f t="shared" si="86"/>
        <v>0.48888888888888887</v>
      </c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2">
        <v>0.5</v>
      </c>
      <c r="B438" s="10" t="s">
        <v>15</v>
      </c>
      <c r="C438" s="6" t="s">
        <v>154</v>
      </c>
      <c r="D438" s="13">
        <v>23000</v>
      </c>
      <c r="E438" s="13">
        <f t="shared" si="83"/>
        <v>11500</v>
      </c>
      <c r="F438" s="2"/>
      <c r="G438" s="2"/>
      <c r="H438" s="7"/>
      <c r="I438" s="13">
        <v>18000</v>
      </c>
      <c r="J438" s="13">
        <f t="shared" si="84"/>
        <v>9000</v>
      </c>
      <c r="K438" s="13">
        <f t="shared" si="85"/>
        <v>2500</v>
      </c>
      <c r="L438" s="14">
        <f t="shared" si="86"/>
        <v>0.21739130434782608</v>
      </c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12">
        <v>2</v>
      </c>
      <c r="B439" s="10" t="s">
        <v>21</v>
      </c>
      <c r="C439" s="6" t="s">
        <v>34</v>
      </c>
      <c r="D439" s="13">
        <v>5000</v>
      </c>
      <c r="E439" s="13">
        <f t="shared" si="83"/>
        <v>10000</v>
      </c>
      <c r="F439" s="2"/>
      <c r="G439" s="2"/>
      <c r="H439" s="7"/>
      <c r="I439" s="13">
        <v>2000</v>
      </c>
      <c r="J439" s="13">
        <f t="shared" si="84"/>
        <v>4000</v>
      </c>
      <c r="K439" s="13">
        <f t="shared" si="85"/>
        <v>6000</v>
      </c>
      <c r="L439" s="14">
        <f t="shared" si="86"/>
        <v>0.6</v>
      </c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2">
        <v>2</v>
      </c>
      <c r="B440" s="10" t="s">
        <v>4</v>
      </c>
      <c r="C440" s="6" t="s">
        <v>20</v>
      </c>
      <c r="D440" s="13">
        <v>800</v>
      </c>
      <c r="E440" s="13">
        <f t="shared" si="83"/>
        <v>1600</v>
      </c>
      <c r="F440" s="2"/>
      <c r="G440" s="2"/>
      <c r="H440" s="7"/>
      <c r="I440" s="13">
        <f>30000/94</f>
        <v>319.14893617021278</v>
      </c>
      <c r="J440" s="13">
        <f t="shared" si="84"/>
        <v>638.29787234042556</v>
      </c>
      <c r="K440" s="13">
        <f t="shared" si="85"/>
        <v>961.70212765957444</v>
      </c>
      <c r="L440" s="14">
        <f t="shared" si="86"/>
        <v>0.60106382978723405</v>
      </c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12">
        <v>1</v>
      </c>
      <c r="B441" s="10" t="s">
        <v>17</v>
      </c>
      <c r="C441" s="6" t="s">
        <v>35</v>
      </c>
      <c r="D441" s="13">
        <v>2500</v>
      </c>
      <c r="E441" s="13">
        <f t="shared" si="83"/>
        <v>2500</v>
      </c>
      <c r="F441" s="2"/>
      <c r="G441" s="2"/>
      <c r="H441" s="7"/>
      <c r="I441" s="13">
        <v>1400</v>
      </c>
      <c r="J441" s="13">
        <f t="shared" si="84"/>
        <v>1400</v>
      </c>
      <c r="K441" s="13">
        <f t="shared" si="85"/>
        <v>1100</v>
      </c>
      <c r="L441" s="14">
        <f t="shared" si="86"/>
        <v>0.44</v>
      </c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2">
        <v>1</v>
      </c>
      <c r="B442" s="10" t="s">
        <v>100</v>
      </c>
      <c r="C442" s="6" t="s">
        <v>155</v>
      </c>
      <c r="D442" s="13">
        <v>6000</v>
      </c>
      <c r="E442" s="13">
        <f t="shared" si="83"/>
        <v>6000</v>
      </c>
      <c r="F442" s="2"/>
      <c r="G442" s="2"/>
      <c r="H442" s="7"/>
      <c r="I442" s="13">
        <v>4500</v>
      </c>
      <c r="J442" s="13">
        <f t="shared" si="84"/>
        <v>4500</v>
      </c>
      <c r="K442" s="13">
        <f t="shared" si="85"/>
        <v>1500</v>
      </c>
      <c r="L442" s="14">
        <f t="shared" si="86"/>
        <v>0.25</v>
      </c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2">
        <v>1</v>
      </c>
      <c r="B443" s="10" t="s">
        <v>100</v>
      </c>
      <c r="C443" s="6" t="s">
        <v>134</v>
      </c>
      <c r="D443" s="13">
        <v>6000</v>
      </c>
      <c r="E443" s="13">
        <f t="shared" si="83"/>
        <v>6000</v>
      </c>
      <c r="F443" s="2"/>
      <c r="G443" s="2"/>
      <c r="H443" s="7"/>
      <c r="I443" s="13">
        <v>4500</v>
      </c>
      <c r="J443" s="13">
        <f t="shared" si="84"/>
        <v>4500</v>
      </c>
      <c r="K443" s="13">
        <f t="shared" si="85"/>
        <v>1500</v>
      </c>
      <c r="L443" s="14">
        <f t="shared" si="86"/>
        <v>0.25</v>
      </c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2">
        <v>0.5</v>
      </c>
      <c r="B444" s="10" t="s">
        <v>17</v>
      </c>
      <c r="C444" s="6" t="s">
        <v>156</v>
      </c>
      <c r="D444" s="13">
        <v>12000</v>
      </c>
      <c r="E444" s="13">
        <f t="shared" si="83"/>
        <v>6000</v>
      </c>
      <c r="F444" s="2"/>
      <c r="G444" s="2"/>
      <c r="H444" s="7"/>
      <c r="I444" s="13">
        <v>7000</v>
      </c>
      <c r="J444" s="13">
        <f t="shared" si="84"/>
        <v>3500</v>
      </c>
      <c r="K444" s="13">
        <f t="shared" si="85"/>
        <v>2500</v>
      </c>
      <c r="L444" s="14">
        <f t="shared" si="86"/>
        <v>0.41666666666666669</v>
      </c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2">
        <v>0.5</v>
      </c>
      <c r="B445" s="10" t="s">
        <v>17</v>
      </c>
      <c r="C445" s="6" t="s">
        <v>73</v>
      </c>
      <c r="D445" s="13">
        <v>1800</v>
      </c>
      <c r="E445" s="13">
        <f t="shared" si="83"/>
        <v>900</v>
      </c>
      <c r="F445" s="2"/>
      <c r="G445" s="2"/>
      <c r="H445" s="7"/>
      <c r="I445" s="13">
        <v>800</v>
      </c>
      <c r="J445" s="13">
        <f t="shared" si="84"/>
        <v>400</v>
      </c>
      <c r="K445" s="13">
        <f t="shared" si="85"/>
        <v>500</v>
      </c>
      <c r="L445" s="14">
        <f t="shared" si="86"/>
        <v>0.55555555555555558</v>
      </c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2">
        <v>1</v>
      </c>
      <c r="B446" s="10" t="s">
        <v>17</v>
      </c>
      <c r="C446" s="6" t="s">
        <v>40</v>
      </c>
      <c r="D446" s="13">
        <v>1400</v>
      </c>
      <c r="E446" s="13">
        <f t="shared" si="83"/>
        <v>1400</v>
      </c>
      <c r="F446" s="2"/>
      <c r="G446" s="2"/>
      <c r="H446" s="7"/>
      <c r="I446" s="13">
        <f>7000/9</f>
        <v>777.77777777777783</v>
      </c>
      <c r="J446" s="13">
        <f t="shared" si="84"/>
        <v>777.77777777777783</v>
      </c>
      <c r="K446" s="13">
        <f t="shared" si="85"/>
        <v>622.22222222222217</v>
      </c>
      <c r="L446" s="14">
        <f t="shared" si="86"/>
        <v>0.44444444444444442</v>
      </c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"/>
      <c r="B447" s="2"/>
      <c r="C447" s="1"/>
      <c r="D447" s="2"/>
      <c r="E447" s="2"/>
      <c r="F447" s="2"/>
      <c r="G447" s="1"/>
      <c r="H447" s="2"/>
      <c r="I447" s="2"/>
      <c r="J447" s="2"/>
      <c r="K447" s="2"/>
      <c r="L447" s="3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"/>
      <c r="B448" s="2"/>
      <c r="C448" s="1"/>
      <c r="D448" s="2"/>
      <c r="E448" s="13">
        <f>SUM(E428:E447)</f>
        <v>100900</v>
      </c>
      <c r="F448" s="2"/>
      <c r="G448" s="2"/>
      <c r="H448" s="2"/>
      <c r="I448" s="2"/>
      <c r="J448" s="2"/>
      <c r="K448" s="13">
        <f>SUM(K428:K446)</f>
        <v>41635.352921310368</v>
      </c>
      <c r="L448" s="14">
        <f>K448/E448</f>
        <v>0.41263977127165874</v>
      </c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20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20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6" t="s">
        <v>157</v>
      </c>
      <c r="B451" s="6"/>
      <c r="C451" s="6"/>
      <c r="D451" s="22" t="s">
        <v>158</v>
      </c>
      <c r="E451" s="8">
        <v>46118</v>
      </c>
      <c r="F451" s="23"/>
      <c r="G451" s="2"/>
      <c r="H451" s="2"/>
      <c r="I451" s="2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B452" s="2"/>
      <c r="C452" s="4"/>
      <c r="D452" s="2"/>
      <c r="E452" s="2"/>
      <c r="F452" s="2"/>
      <c r="G452" s="2"/>
      <c r="H452" s="2"/>
      <c r="I452" s="2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6" t="s">
        <v>3</v>
      </c>
      <c r="B453" s="10" t="s">
        <v>4</v>
      </c>
      <c r="C453" s="11" t="s">
        <v>5</v>
      </c>
      <c r="D453" s="10" t="s">
        <v>6</v>
      </c>
      <c r="E453" s="10" t="s">
        <v>7</v>
      </c>
      <c r="F453" s="10"/>
      <c r="G453" s="2"/>
      <c r="H453" s="2"/>
      <c r="I453" s="10" t="s">
        <v>6</v>
      </c>
      <c r="J453" s="10" t="s">
        <v>7</v>
      </c>
      <c r="K453" s="10" t="s">
        <v>10</v>
      </c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>
        <v>1</v>
      </c>
      <c r="B454" s="10" t="s">
        <v>15</v>
      </c>
      <c r="C454" s="11" t="s">
        <v>135</v>
      </c>
      <c r="D454" s="13">
        <v>17000</v>
      </c>
      <c r="E454" s="13">
        <f t="shared" ref="E454:E466" si="88">A454*D454</f>
        <v>17000</v>
      </c>
      <c r="F454" s="13"/>
      <c r="G454" s="2"/>
      <c r="H454" s="7"/>
      <c r="I454" s="13">
        <v>14000</v>
      </c>
      <c r="J454" s="13">
        <f t="shared" ref="J454:J466" si="89">I454*A454</f>
        <v>14000</v>
      </c>
      <c r="K454" s="13">
        <f t="shared" ref="K454:K466" si="90">E454-J454</f>
        <v>3000</v>
      </c>
      <c r="L454" s="14">
        <f t="shared" ref="L454:L466" si="91">K454/E454</f>
        <v>0.17647058823529413</v>
      </c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>
        <v>0.5</v>
      </c>
      <c r="B455" s="10" t="s">
        <v>15</v>
      </c>
      <c r="C455" s="11" t="s">
        <v>56</v>
      </c>
      <c r="D455" s="13">
        <v>13000</v>
      </c>
      <c r="E455" s="13">
        <f t="shared" si="88"/>
        <v>6500</v>
      </c>
      <c r="F455" s="13"/>
      <c r="G455" s="2"/>
      <c r="H455" s="7"/>
      <c r="I455" s="13">
        <v>10000</v>
      </c>
      <c r="J455" s="13">
        <f t="shared" si="89"/>
        <v>5000</v>
      </c>
      <c r="K455" s="13">
        <f t="shared" si="90"/>
        <v>1500</v>
      </c>
      <c r="L455" s="14">
        <f t="shared" si="91"/>
        <v>0.23076923076923078</v>
      </c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>
        <v>0.5</v>
      </c>
      <c r="B456" s="10" t="s">
        <v>23</v>
      </c>
      <c r="C456" s="11" t="s">
        <v>99</v>
      </c>
      <c r="D456" s="13">
        <v>12000</v>
      </c>
      <c r="E456" s="13">
        <f t="shared" si="88"/>
        <v>6000</v>
      </c>
      <c r="F456" s="13"/>
      <c r="G456" s="2"/>
      <c r="H456" s="7"/>
      <c r="I456" s="13">
        <v>10000</v>
      </c>
      <c r="J456" s="13">
        <f t="shared" si="89"/>
        <v>5000</v>
      </c>
      <c r="K456" s="13">
        <f t="shared" si="90"/>
        <v>1000</v>
      </c>
      <c r="L456" s="14">
        <f t="shared" si="91"/>
        <v>0.16666666666666666</v>
      </c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>
        <v>1</v>
      </c>
      <c r="B457" s="10" t="s">
        <v>23</v>
      </c>
      <c r="C457" s="11" t="s">
        <v>39</v>
      </c>
      <c r="D457" s="13">
        <v>28000</v>
      </c>
      <c r="E457" s="13">
        <f t="shared" si="88"/>
        <v>28000</v>
      </c>
      <c r="F457" s="13"/>
      <c r="G457" s="2"/>
      <c r="H457" s="7"/>
      <c r="I457" s="13">
        <v>25000</v>
      </c>
      <c r="J457" s="13">
        <f t="shared" si="89"/>
        <v>25000</v>
      </c>
      <c r="K457" s="13">
        <f t="shared" si="90"/>
        <v>3000</v>
      </c>
      <c r="L457" s="14">
        <f t="shared" si="91"/>
        <v>0.10714285714285714</v>
      </c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>
        <v>1</v>
      </c>
      <c r="B458" s="10" t="s">
        <v>23</v>
      </c>
      <c r="C458" s="11" t="s">
        <v>14</v>
      </c>
      <c r="D458" s="13">
        <v>18000</v>
      </c>
      <c r="E458" s="13">
        <f t="shared" si="88"/>
        <v>18000</v>
      </c>
      <c r="F458" s="13"/>
      <c r="G458" s="2"/>
      <c r="H458" s="7"/>
      <c r="I458" s="13">
        <v>15000</v>
      </c>
      <c r="J458" s="13">
        <f t="shared" si="89"/>
        <v>15000</v>
      </c>
      <c r="K458" s="13">
        <f t="shared" si="90"/>
        <v>3000</v>
      </c>
      <c r="L458" s="14">
        <f t="shared" si="91"/>
        <v>0.16666666666666666</v>
      </c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>
        <v>1</v>
      </c>
      <c r="B459" s="10" t="s">
        <v>23</v>
      </c>
      <c r="C459" s="11" t="s">
        <v>130</v>
      </c>
      <c r="D459" s="13">
        <v>13000</v>
      </c>
      <c r="E459" s="13">
        <f t="shared" si="88"/>
        <v>13000</v>
      </c>
      <c r="F459" s="13"/>
      <c r="G459" s="2"/>
      <c r="H459" s="7"/>
      <c r="I459" s="13">
        <v>10000</v>
      </c>
      <c r="J459" s="13">
        <f t="shared" si="89"/>
        <v>10000</v>
      </c>
      <c r="K459" s="13">
        <f t="shared" si="90"/>
        <v>3000</v>
      </c>
      <c r="L459" s="14">
        <f t="shared" si="91"/>
        <v>0.23076923076923078</v>
      </c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>
        <v>1</v>
      </c>
      <c r="B460" s="10" t="s">
        <v>15</v>
      </c>
      <c r="C460" s="11" t="s">
        <v>40</v>
      </c>
      <c r="D460" s="13">
        <v>10500</v>
      </c>
      <c r="E460" s="13">
        <f t="shared" si="88"/>
        <v>10500</v>
      </c>
      <c r="F460" s="13"/>
      <c r="G460" s="2"/>
      <c r="H460" s="7"/>
      <c r="I460" s="13">
        <v>7000</v>
      </c>
      <c r="J460" s="13">
        <f t="shared" si="89"/>
        <v>7000</v>
      </c>
      <c r="K460" s="13">
        <f t="shared" si="90"/>
        <v>3500</v>
      </c>
      <c r="L460" s="14">
        <f t="shared" si="91"/>
        <v>0.33333333333333331</v>
      </c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>
        <v>4.3</v>
      </c>
      <c r="B461" s="10" t="s">
        <v>17</v>
      </c>
      <c r="C461" s="11" t="s">
        <v>35</v>
      </c>
      <c r="D461" s="13">
        <v>2200</v>
      </c>
      <c r="E461" s="13">
        <f t="shared" si="88"/>
        <v>9460</v>
      </c>
      <c r="F461" s="13"/>
      <c r="G461" s="2"/>
      <c r="H461" s="7"/>
      <c r="I461" s="13">
        <v>1400</v>
      </c>
      <c r="J461" s="13">
        <f t="shared" si="89"/>
        <v>6020</v>
      </c>
      <c r="K461" s="13">
        <f t="shared" si="90"/>
        <v>3440</v>
      </c>
      <c r="L461" s="14">
        <f t="shared" si="91"/>
        <v>0.36363636363636365</v>
      </c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>
        <v>6</v>
      </c>
      <c r="B462" s="10" t="s">
        <v>21</v>
      </c>
      <c r="C462" s="11" t="s">
        <v>46</v>
      </c>
      <c r="D462" s="13">
        <v>400</v>
      </c>
      <c r="E462" s="13">
        <f t="shared" si="88"/>
        <v>2400</v>
      </c>
      <c r="F462" s="13"/>
      <c r="G462" s="2"/>
      <c r="H462" s="7"/>
      <c r="I462" s="13">
        <f>5000/24</f>
        <v>208.33333333333334</v>
      </c>
      <c r="J462" s="13">
        <f t="shared" si="89"/>
        <v>1250</v>
      </c>
      <c r="K462" s="13">
        <f t="shared" si="90"/>
        <v>1150</v>
      </c>
      <c r="L462" s="14">
        <f t="shared" si="91"/>
        <v>0.47916666666666669</v>
      </c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>
        <v>3</v>
      </c>
      <c r="B463" s="10" t="s">
        <v>17</v>
      </c>
      <c r="C463" s="11" t="s">
        <v>88</v>
      </c>
      <c r="D463" s="13">
        <v>2500</v>
      </c>
      <c r="E463" s="13">
        <f t="shared" si="88"/>
        <v>7500</v>
      </c>
      <c r="F463" s="13"/>
      <c r="G463" s="2"/>
      <c r="H463" s="7"/>
      <c r="I463" s="13">
        <f>20000/15</f>
        <v>1333.3333333333333</v>
      </c>
      <c r="J463" s="13">
        <f t="shared" si="89"/>
        <v>4000</v>
      </c>
      <c r="K463" s="13">
        <f t="shared" si="90"/>
        <v>3500</v>
      </c>
      <c r="L463" s="14">
        <f t="shared" si="91"/>
        <v>0.46666666666666667</v>
      </c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>
        <v>0.5</v>
      </c>
      <c r="B464" s="10" t="s">
        <v>23</v>
      </c>
      <c r="C464" s="11" t="s">
        <v>87</v>
      </c>
      <c r="D464" s="13">
        <v>40000</v>
      </c>
      <c r="E464" s="13">
        <f t="shared" si="88"/>
        <v>20000</v>
      </c>
      <c r="F464" s="13" t="s">
        <v>37</v>
      </c>
      <c r="G464" s="2"/>
      <c r="H464" s="7"/>
      <c r="I464" s="13">
        <v>32000</v>
      </c>
      <c r="J464" s="13">
        <f t="shared" si="89"/>
        <v>16000</v>
      </c>
      <c r="K464" s="13">
        <f t="shared" si="90"/>
        <v>4000</v>
      </c>
      <c r="L464" s="14">
        <f t="shared" si="91"/>
        <v>0.2</v>
      </c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>
        <v>10</v>
      </c>
      <c r="B465" s="10" t="s">
        <v>4</v>
      </c>
      <c r="C465" s="11" t="s">
        <v>159</v>
      </c>
      <c r="D465" s="13">
        <v>1600</v>
      </c>
      <c r="E465" s="13">
        <f t="shared" si="88"/>
        <v>16000</v>
      </c>
      <c r="F465" s="13"/>
      <c r="G465" s="2"/>
      <c r="H465" s="7"/>
      <c r="I465" s="13">
        <v>1078</v>
      </c>
      <c r="J465" s="13">
        <f t="shared" si="89"/>
        <v>10780</v>
      </c>
      <c r="K465" s="13">
        <f t="shared" si="90"/>
        <v>5220</v>
      </c>
      <c r="L465" s="14">
        <f t="shared" si="91"/>
        <v>0.32624999999999998</v>
      </c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6.5" customHeight="1" x14ac:dyDescent="0.2">
      <c r="A466" s="12">
        <v>4</v>
      </c>
      <c r="B466" s="10" t="s">
        <v>17</v>
      </c>
      <c r="C466" s="11" t="s">
        <v>110</v>
      </c>
      <c r="D466" s="13">
        <v>2800</v>
      </c>
      <c r="E466" s="13">
        <f t="shared" si="88"/>
        <v>11200</v>
      </c>
      <c r="F466" s="13"/>
      <c r="G466" s="2"/>
      <c r="H466" s="7"/>
      <c r="I466" s="13">
        <f>10000/6</f>
        <v>1666.6666666666667</v>
      </c>
      <c r="J466" s="13">
        <f t="shared" si="89"/>
        <v>6666.666666666667</v>
      </c>
      <c r="K466" s="13">
        <f t="shared" si="90"/>
        <v>4533.333333333333</v>
      </c>
      <c r="L466" s="14">
        <f t="shared" si="91"/>
        <v>0.40476190476190471</v>
      </c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H467" s="2"/>
      <c r="I467" s="2"/>
      <c r="J467" s="13"/>
      <c r="K467" s="13"/>
      <c r="L467" s="1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>
        <f>SUM(E454:E467)</f>
        <v>165560</v>
      </c>
      <c r="F468" s="13"/>
      <c r="G468" s="2"/>
      <c r="H468" s="2"/>
      <c r="I468" s="2"/>
      <c r="J468" s="13"/>
      <c r="K468" s="13">
        <f>SUM(K454:K466)</f>
        <v>39843.333333333336</v>
      </c>
      <c r="L468" s="14">
        <f>K468/E468</f>
        <v>0.24065796891358623</v>
      </c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2"/>
      <c r="J469" s="13"/>
      <c r="K469" s="13"/>
      <c r="L469" s="1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20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20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75" t="s">
        <v>160</v>
      </c>
      <c r="B472" s="76"/>
      <c r="C472" s="76"/>
      <c r="D472" s="2"/>
      <c r="E472" s="7" t="s">
        <v>161</v>
      </c>
      <c r="F472" s="8">
        <v>46118</v>
      </c>
      <c r="G472" s="2"/>
      <c r="H472" s="2"/>
      <c r="I472" s="9" t="s">
        <v>2</v>
      </c>
      <c r="J472" s="9"/>
      <c r="K472" s="9"/>
      <c r="L472" s="3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"/>
      <c r="B473" s="2"/>
      <c r="C473" s="5"/>
      <c r="D473" s="2"/>
      <c r="E473" s="2"/>
      <c r="F473" s="2"/>
      <c r="G473" s="2"/>
      <c r="H473" s="2"/>
      <c r="I473" s="2"/>
      <c r="J473" s="2"/>
      <c r="K473" s="2"/>
      <c r="L473" s="3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6" t="s">
        <v>3</v>
      </c>
      <c r="B474" s="10" t="s">
        <v>4</v>
      </c>
      <c r="C474" s="11" t="s">
        <v>5</v>
      </c>
      <c r="D474" s="10" t="s">
        <v>6</v>
      </c>
      <c r="E474" s="10" t="s">
        <v>7</v>
      </c>
      <c r="F474" s="10" t="s">
        <v>8</v>
      </c>
      <c r="G474" s="2"/>
      <c r="H474" s="2"/>
      <c r="I474" s="10" t="s">
        <v>9</v>
      </c>
      <c r="J474" s="10" t="s">
        <v>7</v>
      </c>
      <c r="K474" s="10" t="s">
        <v>10</v>
      </c>
      <c r="L474" s="3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2">
        <v>6</v>
      </c>
      <c r="B475" s="10" t="s">
        <v>23</v>
      </c>
      <c r="C475" s="11" t="s">
        <v>26</v>
      </c>
      <c r="D475" s="13">
        <v>26000</v>
      </c>
      <c r="E475" s="13">
        <f t="shared" ref="E475:E495" si="92">A475*D475</f>
        <v>156000</v>
      </c>
      <c r="F475" s="13">
        <f t="shared" ref="F475:F479" si="93">E475*1.105</f>
        <v>172380</v>
      </c>
      <c r="G475" s="2"/>
      <c r="H475" s="2"/>
      <c r="I475" s="13">
        <v>22000</v>
      </c>
      <c r="J475" s="13">
        <f t="shared" ref="J475:J495" si="94">I475*A475</f>
        <v>132000</v>
      </c>
      <c r="K475" s="13">
        <f t="shared" ref="K475:K495" si="95">F475-J475</f>
        <v>40380</v>
      </c>
      <c r="L475" s="14">
        <f t="shared" ref="L475:L495" si="96">IFERROR(K475/E475, 0)</f>
        <v>0.25884615384615384</v>
      </c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2">
        <v>4</v>
      </c>
      <c r="B476" s="10" t="s">
        <v>23</v>
      </c>
      <c r="C476" s="11" t="s">
        <v>24</v>
      </c>
      <c r="D476" s="13">
        <v>45000</v>
      </c>
      <c r="E476" s="13">
        <f t="shared" si="92"/>
        <v>180000</v>
      </c>
      <c r="F476" s="13">
        <f t="shared" si="93"/>
        <v>198900</v>
      </c>
      <c r="G476" s="2"/>
      <c r="H476" s="2"/>
      <c r="I476" s="13">
        <f>13000*3</f>
        <v>39000</v>
      </c>
      <c r="J476" s="13">
        <f t="shared" si="94"/>
        <v>156000</v>
      </c>
      <c r="K476" s="13">
        <f t="shared" si="95"/>
        <v>42900</v>
      </c>
      <c r="L476" s="14">
        <f t="shared" si="96"/>
        <v>0.23833333333333334</v>
      </c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2">
        <v>4</v>
      </c>
      <c r="B477" s="10" t="s">
        <v>23</v>
      </c>
      <c r="C477" s="11" t="s">
        <v>25</v>
      </c>
      <c r="D477" s="13">
        <v>60000</v>
      </c>
      <c r="E477" s="13">
        <f t="shared" si="92"/>
        <v>240000</v>
      </c>
      <c r="F477" s="13">
        <f t="shared" si="93"/>
        <v>265200</v>
      </c>
      <c r="G477" s="7"/>
      <c r="H477" s="2"/>
      <c r="I477" s="13">
        <v>20000</v>
      </c>
      <c r="J477" s="13">
        <f t="shared" si="94"/>
        <v>80000</v>
      </c>
      <c r="K477" s="13">
        <f t="shared" si="95"/>
        <v>185200</v>
      </c>
      <c r="L477" s="18">
        <f t="shared" si="96"/>
        <v>0.77166666666666661</v>
      </c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2">
        <v>4</v>
      </c>
      <c r="B478" s="10" t="s">
        <v>23</v>
      </c>
      <c r="C478" s="11" t="s">
        <v>162</v>
      </c>
      <c r="D478" s="13">
        <v>40000</v>
      </c>
      <c r="E478" s="13">
        <f t="shared" si="92"/>
        <v>160000</v>
      </c>
      <c r="F478" s="13">
        <f t="shared" si="93"/>
        <v>176800</v>
      </c>
      <c r="G478" s="2"/>
      <c r="H478" s="2"/>
      <c r="I478" s="13">
        <v>27000</v>
      </c>
      <c r="J478" s="13">
        <f t="shared" si="94"/>
        <v>108000</v>
      </c>
      <c r="K478" s="13">
        <f t="shared" si="95"/>
        <v>68800</v>
      </c>
      <c r="L478" s="14">
        <f t="shared" si="96"/>
        <v>0.43</v>
      </c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2">
        <v>3</v>
      </c>
      <c r="B479" s="10" t="s">
        <v>23</v>
      </c>
      <c r="C479" s="11" t="s">
        <v>62</v>
      </c>
      <c r="D479" s="13">
        <v>40000</v>
      </c>
      <c r="E479" s="13">
        <f t="shared" si="92"/>
        <v>120000</v>
      </c>
      <c r="F479" s="13">
        <f t="shared" si="93"/>
        <v>132600</v>
      </c>
      <c r="G479" s="7"/>
      <c r="H479" s="2"/>
      <c r="I479" s="13">
        <v>32000</v>
      </c>
      <c r="J479" s="13">
        <f t="shared" si="94"/>
        <v>96000</v>
      </c>
      <c r="K479" s="13">
        <f t="shared" si="95"/>
        <v>36600</v>
      </c>
      <c r="L479" s="14">
        <f t="shared" si="96"/>
        <v>0.30499999999999999</v>
      </c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2">
        <v>2</v>
      </c>
      <c r="B480" s="10" t="s">
        <v>23</v>
      </c>
      <c r="C480" s="11" t="s">
        <v>85</v>
      </c>
      <c r="D480" s="13">
        <v>54000</v>
      </c>
      <c r="E480" s="13">
        <f t="shared" si="92"/>
        <v>108000</v>
      </c>
      <c r="F480" s="13">
        <f>E480*1.21</f>
        <v>130680</v>
      </c>
      <c r="G480" s="2"/>
      <c r="H480" s="2"/>
      <c r="I480" s="13">
        <v>50000</v>
      </c>
      <c r="J480" s="13">
        <f t="shared" si="94"/>
        <v>100000</v>
      </c>
      <c r="K480" s="13">
        <f t="shared" si="95"/>
        <v>30680</v>
      </c>
      <c r="L480" s="18">
        <f t="shared" si="96"/>
        <v>0.28407407407407409</v>
      </c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2">
        <v>2</v>
      </c>
      <c r="B481" s="10" t="s">
        <v>23</v>
      </c>
      <c r="C481" s="11" t="s">
        <v>93</v>
      </c>
      <c r="D481" s="13">
        <v>30000</v>
      </c>
      <c r="E481" s="13">
        <f t="shared" si="92"/>
        <v>60000</v>
      </c>
      <c r="F481" s="13">
        <f t="shared" ref="F481:F494" si="97">E481*1.105</f>
        <v>66300</v>
      </c>
      <c r="G481" s="2"/>
      <c r="H481" s="2"/>
      <c r="I481" s="13">
        <v>13000</v>
      </c>
      <c r="J481" s="13">
        <f t="shared" si="94"/>
        <v>26000</v>
      </c>
      <c r="K481" s="13">
        <f t="shared" si="95"/>
        <v>40300</v>
      </c>
      <c r="L481" s="18">
        <f t="shared" si="96"/>
        <v>0.67166666666666663</v>
      </c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2">
        <v>2</v>
      </c>
      <c r="B482" s="10" t="s">
        <v>23</v>
      </c>
      <c r="C482" s="11" t="s">
        <v>73</v>
      </c>
      <c r="D482" s="13">
        <v>22000</v>
      </c>
      <c r="E482" s="13">
        <f t="shared" si="92"/>
        <v>44000</v>
      </c>
      <c r="F482" s="13">
        <f t="shared" si="97"/>
        <v>48620</v>
      </c>
      <c r="G482" s="2"/>
      <c r="H482" s="2"/>
      <c r="I482" s="13">
        <v>12000</v>
      </c>
      <c r="J482" s="13">
        <f t="shared" si="94"/>
        <v>24000</v>
      </c>
      <c r="K482" s="13">
        <f t="shared" si="95"/>
        <v>24620</v>
      </c>
      <c r="L482" s="18">
        <f t="shared" si="96"/>
        <v>0.55954545454545457</v>
      </c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2">
        <v>1</v>
      </c>
      <c r="B483" s="10" t="s">
        <v>23</v>
      </c>
      <c r="C483" s="11" t="s">
        <v>32</v>
      </c>
      <c r="D483" s="13">
        <v>20000</v>
      </c>
      <c r="E483" s="13">
        <f t="shared" si="92"/>
        <v>20000</v>
      </c>
      <c r="F483" s="13">
        <f t="shared" si="97"/>
        <v>22100</v>
      </c>
      <c r="G483" s="2"/>
      <c r="H483" s="2"/>
      <c r="I483" s="13">
        <v>15000</v>
      </c>
      <c r="J483" s="13">
        <f t="shared" si="94"/>
        <v>15000</v>
      </c>
      <c r="K483" s="13">
        <f t="shared" si="95"/>
        <v>7100</v>
      </c>
      <c r="L483" s="18">
        <f t="shared" si="96"/>
        <v>0.35499999999999998</v>
      </c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12">
        <v>1</v>
      </c>
      <c r="B484" s="10" t="s">
        <v>23</v>
      </c>
      <c r="C484" s="11" t="s">
        <v>31</v>
      </c>
      <c r="D484" s="13">
        <v>20000</v>
      </c>
      <c r="E484" s="13">
        <f t="shared" si="92"/>
        <v>20000</v>
      </c>
      <c r="F484" s="13">
        <f t="shared" si="97"/>
        <v>22100</v>
      </c>
      <c r="G484" s="2"/>
      <c r="H484" s="2"/>
      <c r="I484" s="13">
        <v>15000</v>
      </c>
      <c r="J484" s="13">
        <f t="shared" si="94"/>
        <v>15000</v>
      </c>
      <c r="K484" s="13">
        <f t="shared" si="95"/>
        <v>7100</v>
      </c>
      <c r="L484" s="18">
        <f t="shared" si="96"/>
        <v>0.35499999999999998</v>
      </c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12">
        <v>10</v>
      </c>
      <c r="B485" s="10" t="s">
        <v>4</v>
      </c>
      <c r="C485" s="11" t="s">
        <v>159</v>
      </c>
      <c r="D485" s="13">
        <v>1600</v>
      </c>
      <c r="E485" s="13">
        <f t="shared" si="92"/>
        <v>16000</v>
      </c>
      <c r="F485" s="13">
        <f t="shared" si="97"/>
        <v>17680</v>
      </c>
      <c r="G485" s="2"/>
      <c r="H485" s="2"/>
      <c r="I485" s="13">
        <f>70000/50</f>
        <v>1400</v>
      </c>
      <c r="J485" s="13">
        <f t="shared" si="94"/>
        <v>14000</v>
      </c>
      <c r="K485" s="13">
        <f t="shared" si="95"/>
        <v>3680</v>
      </c>
      <c r="L485" s="36">
        <f t="shared" si="96"/>
        <v>0.23</v>
      </c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12">
        <v>3</v>
      </c>
      <c r="B486" s="10" t="s">
        <v>23</v>
      </c>
      <c r="C486" s="11" t="s">
        <v>163</v>
      </c>
      <c r="D486" s="13">
        <v>30000</v>
      </c>
      <c r="E486" s="13">
        <f t="shared" si="92"/>
        <v>90000</v>
      </c>
      <c r="F486" s="13">
        <f t="shared" si="97"/>
        <v>99450</v>
      </c>
      <c r="G486" s="2"/>
      <c r="H486" s="2"/>
      <c r="I486" s="13">
        <v>26000</v>
      </c>
      <c r="J486" s="13">
        <f t="shared" si="94"/>
        <v>78000</v>
      </c>
      <c r="K486" s="13">
        <f t="shared" si="95"/>
        <v>21450</v>
      </c>
      <c r="L486" s="18">
        <f t="shared" si="96"/>
        <v>0.23833333333333334</v>
      </c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2">
        <v>1</v>
      </c>
      <c r="B487" s="10" t="s">
        <v>23</v>
      </c>
      <c r="C487" s="11" t="s">
        <v>31</v>
      </c>
      <c r="D487" s="13">
        <v>20000</v>
      </c>
      <c r="E487" s="13">
        <f t="shared" si="92"/>
        <v>20000</v>
      </c>
      <c r="F487" s="13">
        <f t="shared" si="97"/>
        <v>22100</v>
      </c>
      <c r="G487" s="7" t="s">
        <v>15</v>
      </c>
      <c r="H487" s="2"/>
      <c r="I487" s="2"/>
      <c r="J487" s="13">
        <f t="shared" si="94"/>
        <v>0</v>
      </c>
      <c r="K487" s="13">
        <f t="shared" si="95"/>
        <v>22100</v>
      </c>
      <c r="L487" s="14">
        <f t="shared" si="96"/>
        <v>1.105</v>
      </c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2">
        <v>1</v>
      </c>
      <c r="B488" s="10" t="s">
        <v>23</v>
      </c>
      <c r="C488" s="11" t="s">
        <v>32</v>
      </c>
      <c r="D488" s="13">
        <v>20000</v>
      </c>
      <c r="E488" s="13">
        <f t="shared" si="92"/>
        <v>20000</v>
      </c>
      <c r="F488" s="13">
        <f t="shared" si="97"/>
        <v>22100</v>
      </c>
      <c r="G488" s="7" t="s">
        <v>15</v>
      </c>
      <c r="H488" s="2"/>
      <c r="I488" s="2"/>
      <c r="J488" s="13">
        <f t="shared" si="94"/>
        <v>0</v>
      </c>
      <c r="K488" s="13">
        <f t="shared" si="95"/>
        <v>22100</v>
      </c>
      <c r="L488" s="14">
        <f t="shared" si="96"/>
        <v>1.105</v>
      </c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2">
        <v>1</v>
      </c>
      <c r="B489" s="10" t="s">
        <v>23</v>
      </c>
      <c r="C489" s="11" t="s">
        <v>87</v>
      </c>
      <c r="D489" s="13">
        <v>40000</v>
      </c>
      <c r="E489" s="13">
        <f t="shared" si="92"/>
        <v>40000</v>
      </c>
      <c r="F489" s="13">
        <f t="shared" si="97"/>
        <v>44200</v>
      </c>
      <c r="G489" s="7" t="s">
        <v>15</v>
      </c>
      <c r="H489" s="2"/>
      <c r="I489" s="2"/>
      <c r="J489" s="13">
        <f t="shared" si="94"/>
        <v>0</v>
      </c>
      <c r="K489" s="13">
        <f t="shared" si="95"/>
        <v>44200</v>
      </c>
      <c r="L489" s="14">
        <f t="shared" si="96"/>
        <v>1.105</v>
      </c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2">
        <v>1</v>
      </c>
      <c r="B490" s="10" t="s">
        <v>23</v>
      </c>
      <c r="C490" s="11" t="s">
        <v>127</v>
      </c>
      <c r="D490" s="13">
        <v>26000</v>
      </c>
      <c r="E490" s="13">
        <f t="shared" si="92"/>
        <v>26000</v>
      </c>
      <c r="F490" s="13">
        <f t="shared" si="97"/>
        <v>28730</v>
      </c>
      <c r="G490" s="7" t="s">
        <v>15</v>
      </c>
      <c r="H490" s="2"/>
      <c r="I490" s="2"/>
      <c r="J490" s="13">
        <f t="shared" si="94"/>
        <v>0</v>
      </c>
      <c r="K490" s="13">
        <f t="shared" si="95"/>
        <v>28730</v>
      </c>
      <c r="L490" s="14">
        <f t="shared" si="96"/>
        <v>1.105</v>
      </c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2">
        <v>1</v>
      </c>
      <c r="B491" s="10" t="s">
        <v>23</v>
      </c>
      <c r="C491" s="11" t="s">
        <v>24</v>
      </c>
      <c r="D491" s="13">
        <v>45000</v>
      </c>
      <c r="E491" s="13">
        <f t="shared" si="92"/>
        <v>45000</v>
      </c>
      <c r="F491" s="13">
        <f t="shared" si="97"/>
        <v>49725</v>
      </c>
      <c r="G491" s="7" t="s">
        <v>15</v>
      </c>
      <c r="H491" s="2"/>
      <c r="I491" s="2"/>
      <c r="J491" s="13">
        <f t="shared" si="94"/>
        <v>0</v>
      </c>
      <c r="K491" s="13">
        <f t="shared" si="95"/>
        <v>49725</v>
      </c>
      <c r="L491" s="14">
        <f t="shared" si="96"/>
        <v>1.105</v>
      </c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2">
        <v>1</v>
      </c>
      <c r="B492" s="10" t="s">
        <v>23</v>
      </c>
      <c r="C492" s="11" t="s">
        <v>25</v>
      </c>
      <c r="D492" s="13">
        <v>60000</v>
      </c>
      <c r="E492" s="13">
        <f t="shared" si="92"/>
        <v>60000</v>
      </c>
      <c r="F492" s="13">
        <f t="shared" si="97"/>
        <v>66300</v>
      </c>
      <c r="G492" s="7" t="s">
        <v>164</v>
      </c>
      <c r="H492" s="2"/>
      <c r="I492" s="2"/>
      <c r="J492" s="13">
        <f t="shared" si="94"/>
        <v>0</v>
      </c>
      <c r="K492" s="13">
        <f t="shared" si="95"/>
        <v>66300</v>
      </c>
      <c r="L492" s="14">
        <f t="shared" si="96"/>
        <v>1.105</v>
      </c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2">
        <v>1</v>
      </c>
      <c r="B493" s="10" t="s">
        <v>23</v>
      </c>
      <c r="C493" s="11" t="s">
        <v>81</v>
      </c>
      <c r="D493" s="13">
        <v>22000</v>
      </c>
      <c r="E493" s="13">
        <f t="shared" si="92"/>
        <v>22000</v>
      </c>
      <c r="F493" s="13">
        <f t="shared" si="97"/>
        <v>24310</v>
      </c>
      <c r="G493" s="7" t="s">
        <v>164</v>
      </c>
      <c r="H493" s="2"/>
      <c r="I493" s="2"/>
      <c r="J493" s="13">
        <f t="shared" si="94"/>
        <v>0</v>
      </c>
      <c r="K493" s="13">
        <f t="shared" si="95"/>
        <v>24310</v>
      </c>
      <c r="L493" s="14">
        <f t="shared" si="96"/>
        <v>1.105</v>
      </c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2">
        <v>1</v>
      </c>
      <c r="B494" s="10" t="s">
        <v>23</v>
      </c>
      <c r="C494" s="11" t="s">
        <v>93</v>
      </c>
      <c r="D494" s="13">
        <v>30000</v>
      </c>
      <c r="E494" s="13">
        <f t="shared" si="92"/>
        <v>30000</v>
      </c>
      <c r="F494" s="13">
        <f t="shared" si="97"/>
        <v>33150</v>
      </c>
      <c r="G494" s="7" t="s">
        <v>164</v>
      </c>
      <c r="H494" s="2"/>
      <c r="I494" s="2"/>
      <c r="J494" s="13">
        <f t="shared" si="94"/>
        <v>0</v>
      </c>
      <c r="K494" s="13">
        <f t="shared" si="95"/>
        <v>33150</v>
      </c>
      <c r="L494" s="14">
        <f t="shared" si="96"/>
        <v>1.105</v>
      </c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2">
        <v>1</v>
      </c>
      <c r="B495" s="10" t="s">
        <v>23</v>
      </c>
      <c r="C495" s="11" t="s">
        <v>12</v>
      </c>
      <c r="D495" s="13">
        <v>54000</v>
      </c>
      <c r="E495" s="13">
        <f t="shared" si="92"/>
        <v>54000</v>
      </c>
      <c r="F495" s="13">
        <f>E495*1.21</f>
        <v>65340</v>
      </c>
      <c r="G495" s="7" t="s">
        <v>164</v>
      </c>
      <c r="H495" s="2"/>
      <c r="I495" s="2"/>
      <c r="J495" s="13">
        <f t="shared" si="94"/>
        <v>0</v>
      </c>
      <c r="K495" s="13">
        <f t="shared" si="95"/>
        <v>65340</v>
      </c>
      <c r="L495" s="14">
        <f t="shared" si="96"/>
        <v>1.21</v>
      </c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"/>
      <c r="B496" s="2"/>
      <c r="C496" s="4"/>
      <c r="D496" s="2"/>
      <c r="E496" s="2"/>
      <c r="F496" s="13"/>
      <c r="G496" s="2"/>
      <c r="H496" s="2"/>
      <c r="I496" s="2"/>
      <c r="J496" s="2"/>
      <c r="K496" s="2"/>
      <c r="L496" s="3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"/>
      <c r="B497" s="2"/>
      <c r="C497" s="4"/>
      <c r="D497" s="2"/>
      <c r="E497" s="13">
        <f t="shared" ref="E497:F497" si="98">SUM(E475:E495)</f>
        <v>1531000</v>
      </c>
      <c r="F497" s="13">
        <f t="shared" si="98"/>
        <v>1708765</v>
      </c>
      <c r="G497" s="2"/>
      <c r="H497" s="2"/>
      <c r="I497" s="2"/>
      <c r="J497" s="2"/>
      <c r="K497" s="13">
        <f>SUM(K475:K495)</f>
        <v>864765</v>
      </c>
      <c r="L497" s="14">
        <f>K497/F497</f>
        <v>0.50607602566766052</v>
      </c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20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20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20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2">
      <c r="A501" s="6" t="s">
        <v>165</v>
      </c>
      <c r="B501" s="25" t="s">
        <v>166</v>
      </c>
      <c r="C501" s="6"/>
      <c r="D501" s="7"/>
      <c r="E501" s="7" t="s">
        <v>76</v>
      </c>
      <c r="F501" s="8">
        <v>46118</v>
      </c>
      <c r="G501" s="7" t="s">
        <v>106</v>
      </c>
      <c r="H501" s="2"/>
      <c r="I501" s="9" t="s">
        <v>2</v>
      </c>
      <c r="J501" s="9"/>
      <c r="K501" s="9"/>
      <c r="L501" s="31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x14ac:dyDescent="0.2">
      <c r="A502" s="1"/>
      <c r="B502" s="2"/>
      <c r="C502" s="5"/>
      <c r="D502" s="2"/>
      <c r="E502" s="2"/>
      <c r="F502" s="2"/>
      <c r="G502" s="2"/>
      <c r="H502" s="2"/>
      <c r="I502" s="2"/>
      <c r="J502" s="2"/>
      <c r="K502" s="2"/>
      <c r="L502" s="31"/>
      <c r="M502" s="1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x14ac:dyDescent="0.2">
      <c r="A503" s="6" t="s">
        <v>3</v>
      </c>
      <c r="B503" s="10" t="s">
        <v>4</v>
      </c>
      <c r="C503" s="11" t="s">
        <v>5</v>
      </c>
      <c r="D503" s="10" t="s">
        <v>6</v>
      </c>
      <c r="E503" s="10" t="s">
        <v>7</v>
      </c>
      <c r="F503" s="10" t="s">
        <v>8</v>
      </c>
      <c r="G503" s="37"/>
      <c r="H503" s="37"/>
      <c r="I503" s="10" t="s">
        <v>9</v>
      </c>
      <c r="J503" s="10" t="s">
        <v>7</v>
      </c>
      <c r="K503" s="10" t="s">
        <v>10</v>
      </c>
      <c r="L503" s="38"/>
      <c r="M503" s="1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x14ac:dyDescent="0.2">
      <c r="A504" s="12">
        <v>6</v>
      </c>
      <c r="B504" s="10" t="s">
        <v>4</v>
      </c>
      <c r="C504" s="11" t="s">
        <v>14</v>
      </c>
      <c r="D504" s="13">
        <v>2800</v>
      </c>
      <c r="E504" s="13">
        <f t="shared" ref="E504:E523" si="99">A504*D504</f>
        <v>16800</v>
      </c>
      <c r="F504" s="13">
        <f t="shared" ref="F504:F512" si="100">E504*1.105</f>
        <v>18564</v>
      </c>
      <c r="G504" s="2"/>
      <c r="H504" s="2"/>
      <c r="I504" s="13">
        <v>1875</v>
      </c>
      <c r="J504" s="13">
        <f t="shared" ref="J504:J523" si="101">I504*A504</f>
        <v>11250</v>
      </c>
      <c r="K504" s="13">
        <f t="shared" ref="K504:K523" si="102">F504-J504</f>
        <v>7314</v>
      </c>
      <c r="L504" s="14">
        <f t="shared" ref="L504:L523" si="103">IFERROR(K504/E504, 0)</f>
        <v>0.43535714285714283</v>
      </c>
      <c r="M504" s="1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x14ac:dyDescent="0.2">
      <c r="A505" s="12">
        <v>10</v>
      </c>
      <c r="B505" s="10" t="s">
        <v>21</v>
      </c>
      <c r="C505" s="11" t="s">
        <v>46</v>
      </c>
      <c r="D505" s="13">
        <v>400</v>
      </c>
      <c r="E505" s="13">
        <f t="shared" si="99"/>
        <v>4000</v>
      </c>
      <c r="F505" s="13">
        <f t="shared" si="100"/>
        <v>4420</v>
      </c>
      <c r="G505" s="2"/>
      <c r="H505" s="2"/>
      <c r="I505" s="13">
        <f>5000/24</f>
        <v>208.33333333333334</v>
      </c>
      <c r="J505" s="13">
        <f t="shared" si="101"/>
        <v>2083.3333333333335</v>
      </c>
      <c r="K505" s="13">
        <f t="shared" si="102"/>
        <v>2336.6666666666665</v>
      </c>
      <c r="L505" s="14">
        <f t="shared" si="103"/>
        <v>0.58416666666666661</v>
      </c>
      <c r="M505" s="1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x14ac:dyDescent="0.2">
      <c r="A506" s="12">
        <v>2</v>
      </c>
      <c r="B506" s="10" t="s">
        <v>15</v>
      </c>
      <c r="C506" s="11" t="s">
        <v>48</v>
      </c>
      <c r="D506" s="13">
        <v>13000</v>
      </c>
      <c r="E506" s="13">
        <f t="shared" si="99"/>
        <v>26000</v>
      </c>
      <c r="F506" s="13">
        <f t="shared" si="100"/>
        <v>28730</v>
      </c>
      <c r="G506" s="2"/>
      <c r="H506" s="2"/>
      <c r="I506" s="13">
        <v>8000</v>
      </c>
      <c r="J506" s="13">
        <f t="shared" si="101"/>
        <v>16000</v>
      </c>
      <c r="K506" s="13">
        <f t="shared" si="102"/>
        <v>12730</v>
      </c>
      <c r="L506" s="14">
        <f t="shared" si="103"/>
        <v>0.48961538461538462</v>
      </c>
      <c r="M506" s="1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x14ac:dyDescent="0.2">
      <c r="A507" s="12">
        <v>6</v>
      </c>
      <c r="B507" s="10" t="s">
        <v>17</v>
      </c>
      <c r="C507" s="11" t="s">
        <v>43</v>
      </c>
      <c r="D507" s="13">
        <v>3000</v>
      </c>
      <c r="E507" s="13">
        <f t="shared" si="99"/>
        <v>18000</v>
      </c>
      <c r="F507" s="13">
        <f t="shared" si="100"/>
        <v>19890</v>
      </c>
      <c r="G507" s="2"/>
      <c r="H507" s="2"/>
      <c r="I507" s="2"/>
      <c r="J507" s="13">
        <f t="shared" si="101"/>
        <v>0</v>
      </c>
      <c r="K507" s="13">
        <f t="shared" si="102"/>
        <v>19890</v>
      </c>
      <c r="L507" s="14">
        <f t="shared" si="103"/>
        <v>1.105</v>
      </c>
      <c r="M507" s="1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x14ac:dyDescent="0.2">
      <c r="A508" s="12">
        <v>8</v>
      </c>
      <c r="B508" s="10" t="s">
        <v>17</v>
      </c>
      <c r="C508" s="11" t="s">
        <v>99</v>
      </c>
      <c r="D508" s="13">
        <v>1500</v>
      </c>
      <c r="E508" s="13">
        <f t="shared" si="99"/>
        <v>12000</v>
      </c>
      <c r="F508" s="13">
        <f t="shared" si="100"/>
        <v>13260</v>
      </c>
      <c r="G508" s="2"/>
      <c r="H508" s="2"/>
      <c r="I508" s="13">
        <v>1250</v>
      </c>
      <c r="J508" s="13">
        <f t="shared" si="101"/>
        <v>10000</v>
      </c>
      <c r="K508" s="13">
        <f t="shared" si="102"/>
        <v>3260</v>
      </c>
      <c r="L508" s="14">
        <f t="shared" si="103"/>
        <v>0.27166666666666667</v>
      </c>
      <c r="M508" s="1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x14ac:dyDescent="0.2">
      <c r="A509" s="12">
        <v>1</v>
      </c>
      <c r="B509" s="10" t="s">
        <v>15</v>
      </c>
      <c r="C509" s="11" t="s">
        <v>167</v>
      </c>
      <c r="D509" s="13">
        <v>16000</v>
      </c>
      <c r="E509" s="13">
        <f t="shared" si="99"/>
        <v>16000</v>
      </c>
      <c r="F509" s="13">
        <f t="shared" si="100"/>
        <v>17680</v>
      </c>
      <c r="G509" s="2"/>
      <c r="H509" s="7"/>
      <c r="I509" s="13">
        <v>10000</v>
      </c>
      <c r="J509" s="13">
        <f t="shared" si="101"/>
        <v>10000</v>
      </c>
      <c r="K509" s="13">
        <f t="shared" si="102"/>
        <v>7680</v>
      </c>
      <c r="L509" s="14">
        <f t="shared" si="103"/>
        <v>0.48</v>
      </c>
      <c r="M509" s="1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x14ac:dyDescent="0.2">
      <c r="A510" s="12">
        <v>2</v>
      </c>
      <c r="B510" s="10" t="s">
        <v>15</v>
      </c>
      <c r="C510" s="11" t="s">
        <v>56</v>
      </c>
      <c r="D510" s="13">
        <v>14000</v>
      </c>
      <c r="E510" s="13">
        <f t="shared" si="99"/>
        <v>28000</v>
      </c>
      <c r="F510" s="13">
        <f t="shared" si="100"/>
        <v>30940</v>
      </c>
      <c r="G510" s="2"/>
      <c r="H510" s="2"/>
      <c r="I510" s="13">
        <v>10000</v>
      </c>
      <c r="J510" s="13">
        <f t="shared" si="101"/>
        <v>20000</v>
      </c>
      <c r="K510" s="13">
        <f t="shared" si="102"/>
        <v>10940</v>
      </c>
      <c r="L510" s="14">
        <f t="shared" si="103"/>
        <v>0.39071428571428574</v>
      </c>
      <c r="M510" s="1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x14ac:dyDescent="0.2">
      <c r="A511" s="12">
        <v>5</v>
      </c>
      <c r="B511" s="10" t="s">
        <v>17</v>
      </c>
      <c r="C511" s="11" t="s">
        <v>31</v>
      </c>
      <c r="D511" s="13">
        <v>3000</v>
      </c>
      <c r="E511" s="13">
        <f t="shared" si="99"/>
        <v>15000</v>
      </c>
      <c r="F511" s="13">
        <f t="shared" si="100"/>
        <v>16575</v>
      </c>
      <c r="G511" s="2"/>
      <c r="H511" s="2"/>
      <c r="I511" s="13">
        <f t="shared" ref="I511:I512" si="104">15000/7</f>
        <v>2142.8571428571427</v>
      </c>
      <c r="J511" s="13">
        <f t="shared" si="101"/>
        <v>10714.285714285714</v>
      </c>
      <c r="K511" s="13">
        <f t="shared" si="102"/>
        <v>5860.7142857142862</v>
      </c>
      <c r="L511" s="14">
        <f t="shared" si="103"/>
        <v>0.39071428571428574</v>
      </c>
      <c r="M511" s="1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x14ac:dyDescent="0.2">
      <c r="A512" s="12">
        <v>5</v>
      </c>
      <c r="B512" s="10" t="s">
        <v>17</v>
      </c>
      <c r="C512" s="11" t="s">
        <v>32</v>
      </c>
      <c r="D512" s="13">
        <v>3000</v>
      </c>
      <c r="E512" s="13">
        <f t="shared" si="99"/>
        <v>15000</v>
      </c>
      <c r="F512" s="13">
        <f t="shared" si="100"/>
        <v>16575</v>
      </c>
      <c r="G512" s="2"/>
      <c r="H512" s="2"/>
      <c r="I512" s="13">
        <f t="shared" si="104"/>
        <v>2142.8571428571427</v>
      </c>
      <c r="J512" s="13">
        <f t="shared" si="101"/>
        <v>10714.285714285714</v>
      </c>
      <c r="K512" s="13">
        <f t="shared" si="102"/>
        <v>5860.7142857142862</v>
      </c>
      <c r="L512" s="14">
        <f t="shared" si="103"/>
        <v>0.39071428571428574</v>
      </c>
      <c r="M512" s="1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x14ac:dyDescent="0.2">
      <c r="A513" s="12">
        <v>2</v>
      </c>
      <c r="B513" s="10" t="s">
        <v>23</v>
      </c>
      <c r="C513" s="11" t="s">
        <v>85</v>
      </c>
      <c r="D513" s="13">
        <v>54000</v>
      </c>
      <c r="E513" s="13">
        <f t="shared" si="99"/>
        <v>108000</v>
      </c>
      <c r="F513" s="13">
        <f>E513*1.21</f>
        <v>130680</v>
      </c>
      <c r="G513" s="2"/>
      <c r="H513" s="2"/>
      <c r="I513" s="13">
        <v>50000</v>
      </c>
      <c r="J513" s="13">
        <f t="shared" si="101"/>
        <v>100000</v>
      </c>
      <c r="K513" s="13">
        <f t="shared" si="102"/>
        <v>30680</v>
      </c>
      <c r="L513" s="14">
        <f t="shared" si="103"/>
        <v>0.28407407407407409</v>
      </c>
      <c r="M513" s="1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x14ac:dyDescent="0.2">
      <c r="A514" s="12">
        <v>10</v>
      </c>
      <c r="B514" s="10" t="s">
        <v>17</v>
      </c>
      <c r="C514" s="11" t="s">
        <v>82</v>
      </c>
      <c r="D514" s="13">
        <v>1400</v>
      </c>
      <c r="E514" s="13">
        <f t="shared" si="99"/>
        <v>14000</v>
      </c>
      <c r="F514" s="13">
        <f t="shared" ref="F514:F523" si="105">E514*1.105</f>
        <v>15470</v>
      </c>
      <c r="G514" s="2"/>
      <c r="H514" s="2"/>
      <c r="I514" s="13">
        <f>16000/15</f>
        <v>1066.6666666666667</v>
      </c>
      <c r="J514" s="13">
        <f t="shared" si="101"/>
        <v>10666.666666666668</v>
      </c>
      <c r="K514" s="13">
        <f t="shared" si="102"/>
        <v>4803.3333333333321</v>
      </c>
      <c r="L514" s="14">
        <f t="shared" si="103"/>
        <v>0.34309523809523801</v>
      </c>
      <c r="M514" s="1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x14ac:dyDescent="0.2">
      <c r="A515" s="12">
        <v>1</v>
      </c>
      <c r="B515" s="10" t="s">
        <v>15</v>
      </c>
      <c r="C515" s="11" t="s">
        <v>129</v>
      </c>
      <c r="D515" s="13">
        <v>16000</v>
      </c>
      <c r="E515" s="13">
        <f t="shared" si="99"/>
        <v>16000</v>
      </c>
      <c r="F515" s="13">
        <f t="shared" si="105"/>
        <v>17680</v>
      </c>
      <c r="G515" s="2"/>
      <c r="H515" s="7"/>
      <c r="I515" s="13">
        <v>12000</v>
      </c>
      <c r="J515" s="13">
        <f t="shared" si="101"/>
        <v>12000</v>
      </c>
      <c r="K515" s="13">
        <f t="shared" si="102"/>
        <v>5680</v>
      </c>
      <c r="L515" s="14">
        <f t="shared" si="103"/>
        <v>0.35499999999999998</v>
      </c>
      <c r="M515" s="1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x14ac:dyDescent="0.2">
      <c r="A516" s="12">
        <v>2</v>
      </c>
      <c r="B516" s="10" t="s">
        <v>15</v>
      </c>
      <c r="C516" s="11" t="s">
        <v>135</v>
      </c>
      <c r="D516" s="13">
        <v>18000</v>
      </c>
      <c r="E516" s="13">
        <f t="shared" si="99"/>
        <v>36000</v>
      </c>
      <c r="F516" s="13">
        <f t="shared" si="105"/>
        <v>39780</v>
      </c>
      <c r="G516" s="2"/>
      <c r="H516" s="2"/>
      <c r="I516" s="13">
        <v>14000</v>
      </c>
      <c r="J516" s="13">
        <f t="shared" si="101"/>
        <v>28000</v>
      </c>
      <c r="K516" s="13">
        <f t="shared" si="102"/>
        <v>11780</v>
      </c>
      <c r="L516" s="14">
        <f t="shared" si="103"/>
        <v>0.32722222222222225</v>
      </c>
      <c r="M516" s="1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x14ac:dyDescent="0.2">
      <c r="A517" s="12">
        <v>10</v>
      </c>
      <c r="B517" s="10" t="s">
        <v>4</v>
      </c>
      <c r="C517" s="11" t="s">
        <v>13</v>
      </c>
      <c r="D517" s="13">
        <v>1000</v>
      </c>
      <c r="E517" s="13">
        <f t="shared" si="99"/>
        <v>10000</v>
      </c>
      <c r="F517" s="13">
        <f t="shared" si="105"/>
        <v>11050</v>
      </c>
      <c r="G517" s="2"/>
      <c r="H517" s="2"/>
      <c r="I517" s="13">
        <v>460</v>
      </c>
      <c r="J517" s="13">
        <f t="shared" si="101"/>
        <v>4600</v>
      </c>
      <c r="K517" s="13">
        <f t="shared" si="102"/>
        <v>6450</v>
      </c>
      <c r="L517" s="14">
        <f t="shared" si="103"/>
        <v>0.64500000000000002</v>
      </c>
      <c r="M517" s="1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x14ac:dyDescent="0.2">
      <c r="A518" s="12">
        <v>6</v>
      </c>
      <c r="B518" s="10" t="s">
        <v>17</v>
      </c>
      <c r="C518" s="11" t="s">
        <v>81</v>
      </c>
      <c r="D518" s="13">
        <v>1600</v>
      </c>
      <c r="E518" s="13">
        <f t="shared" si="99"/>
        <v>9600</v>
      </c>
      <c r="F518" s="13">
        <f t="shared" si="105"/>
        <v>10608</v>
      </c>
      <c r="G518" s="2"/>
      <c r="H518" s="7"/>
      <c r="I518" s="13">
        <v>800</v>
      </c>
      <c r="J518" s="13">
        <f t="shared" si="101"/>
        <v>4800</v>
      </c>
      <c r="K518" s="13">
        <f t="shared" si="102"/>
        <v>5808</v>
      </c>
      <c r="L518" s="14">
        <f t="shared" si="103"/>
        <v>0.60499999999999998</v>
      </c>
      <c r="M518" s="1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x14ac:dyDescent="0.2">
      <c r="A519" s="12">
        <v>1</v>
      </c>
      <c r="B519" s="10" t="s">
        <v>23</v>
      </c>
      <c r="C519" s="11" t="s">
        <v>87</v>
      </c>
      <c r="D519" s="13">
        <v>40000</v>
      </c>
      <c r="E519" s="13">
        <f t="shared" si="99"/>
        <v>40000</v>
      </c>
      <c r="F519" s="13">
        <f t="shared" si="105"/>
        <v>44200</v>
      </c>
      <c r="G519" s="2"/>
      <c r="H519" s="2"/>
      <c r="I519" s="13">
        <v>32000</v>
      </c>
      <c r="J519" s="13">
        <f t="shared" si="101"/>
        <v>32000</v>
      </c>
      <c r="K519" s="13">
        <f t="shared" si="102"/>
        <v>12200</v>
      </c>
      <c r="L519" s="14">
        <f t="shared" si="103"/>
        <v>0.30499999999999999</v>
      </c>
      <c r="M519" s="1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x14ac:dyDescent="0.2">
      <c r="A520" s="12">
        <v>1</v>
      </c>
      <c r="B520" s="10" t="s">
        <v>23</v>
      </c>
      <c r="C520" s="11" t="s">
        <v>24</v>
      </c>
      <c r="D520" s="13">
        <v>60000</v>
      </c>
      <c r="E520" s="13">
        <f t="shared" si="99"/>
        <v>60000</v>
      </c>
      <c r="F520" s="13">
        <f t="shared" si="105"/>
        <v>66300</v>
      </c>
      <c r="G520" s="2"/>
      <c r="H520" s="2"/>
      <c r="I520" s="13">
        <v>50000</v>
      </c>
      <c r="J520" s="13">
        <f t="shared" si="101"/>
        <v>50000</v>
      </c>
      <c r="K520" s="13">
        <f t="shared" si="102"/>
        <v>16300</v>
      </c>
      <c r="L520" s="14">
        <f t="shared" si="103"/>
        <v>0.27166666666666667</v>
      </c>
      <c r="M520" s="1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x14ac:dyDescent="0.2">
      <c r="A521" s="12">
        <v>3</v>
      </c>
      <c r="B521" s="10" t="s">
        <v>17</v>
      </c>
      <c r="C521" s="11" t="s">
        <v>89</v>
      </c>
      <c r="D521" s="13">
        <v>11000</v>
      </c>
      <c r="E521" s="13">
        <f t="shared" si="99"/>
        <v>33000</v>
      </c>
      <c r="F521" s="13">
        <f t="shared" si="105"/>
        <v>36465</v>
      </c>
      <c r="G521" s="2"/>
      <c r="H521" s="2"/>
      <c r="I521" s="13">
        <v>9500</v>
      </c>
      <c r="J521" s="13">
        <f t="shared" si="101"/>
        <v>28500</v>
      </c>
      <c r="K521" s="13">
        <f t="shared" si="102"/>
        <v>7965</v>
      </c>
      <c r="L521" s="14">
        <f t="shared" si="103"/>
        <v>0.24136363636363636</v>
      </c>
      <c r="M521" s="1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x14ac:dyDescent="0.2">
      <c r="A522" s="12">
        <v>3</v>
      </c>
      <c r="B522" s="10" t="s">
        <v>17</v>
      </c>
      <c r="C522" s="11" t="s">
        <v>90</v>
      </c>
      <c r="D522" s="13">
        <v>8000</v>
      </c>
      <c r="E522" s="13">
        <f t="shared" si="99"/>
        <v>24000</v>
      </c>
      <c r="F522" s="13">
        <f t="shared" si="105"/>
        <v>26520</v>
      </c>
      <c r="G522" s="2"/>
      <c r="H522" s="2"/>
      <c r="I522" s="13">
        <f>45000/7</f>
        <v>6428.5714285714284</v>
      </c>
      <c r="J522" s="13">
        <f t="shared" si="101"/>
        <v>19285.714285714286</v>
      </c>
      <c r="K522" s="13">
        <f t="shared" si="102"/>
        <v>7234.2857142857138</v>
      </c>
      <c r="L522" s="14">
        <f t="shared" si="103"/>
        <v>0.30142857142857143</v>
      </c>
      <c r="M522" s="1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x14ac:dyDescent="0.2">
      <c r="A523" s="12">
        <v>8</v>
      </c>
      <c r="B523" s="10" t="s">
        <v>17</v>
      </c>
      <c r="C523" s="11" t="s">
        <v>127</v>
      </c>
      <c r="D523" s="13">
        <v>1900</v>
      </c>
      <c r="E523" s="13">
        <f t="shared" si="99"/>
        <v>15200</v>
      </c>
      <c r="F523" s="13">
        <f t="shared" si="105"/>
        <v>16796</v>
      </c>
      <c r="G523" s="2"/>
      <c r="H523" s="2"/>
      <c r="I523" s="13">
        <f>22000/15</f>
        <v>1466.6666666666667</v>
      </c>
      <c r="J523" s="13">
        <f t="shared" si="101"/>
        <v>11733.333333333334</v>
      </c>
      <c r="K523" s="13">
        <f t="shared" si="102"/>
        <v>5062.6666666666661</v>
      </c>
      <c r="L523" s="14">
        <f t="shared" si="103"/>
        <v>0.33307017543859646</v>
      </c>
      <c r="M523" s="1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x14ac:dyDescent="0.2">
      <c r="A524" s="39"/>
      <c r="B524" s="37"/>
      <c r="C524" s="23"/>
      <c r="D524" s="37"/>
      <c r="E524" s="37"/>
      <c r="F524" s="37"/>
      <c r="G524" s="37"/>
      <c r="H524" s="37"/>
      <c r="I524" s="2"/>
      <c r="J524" s="37"/>
      <c r="K524" s="37"/>
      <c r="L524" s="14"/>
      <c r="M524" s="1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x14ac:dyDescent="0.2">
      <c r="A525" s="39"/>
      <c r="B525" s="37"/>
      <c r="C525" s="23"/>
      <c r="D525" s="37"/>
      <c r="E525" s="13">
        <f t="shared" ref="E525:F525" si="106">SUM(E504:E523)</f>
        <v>516600</v>
      </c>
      <c r="F525" s="13">
        <f t="shared" si="106"/>
        <v>582183</v>
      </c>
      <c r="G525" s="37"/>
      <c r="H525" s="37"/>
      <c r="I525" s="2"/>
      <c r="J525" s="37"/>
      <c r="K525" s="13">
        <f>SUM(K504:K523)</f>
        <v>189835.38095238095</v>
      </c>
      <c r="L525" s="14">
        <f>IFERROR(K525/E525, 0)</f>
        <v>0.3674707335508729</v>
      </c>
      <c r="M525" s="1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x14ac:dyDescent="0.2">
      <c r="A526" s="12"/>
      <c r="B526" s="10"/>
      <c r="C526" s="11"/>
      <c r="D526" s="13"/>
      <c r="E526" s="13"/>
      <c r="F526" s="13"/>
      <c r="G526" s="2"/>
      <c r="H526" s="2"/>
      <c r="I526" s="2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28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6"/>
      <c r="B528" s="25"/>
      <c r="C528" s="6"/>
      <c r="D528" s="7"/>
      <c r="E528" s="7"/>
      <c r="F528" s="8"/>
      <c r="G528" s="7"/>
      <c r="H528" s="2"/>
      <c r="I528" s="2"/>
      <c r="J528" s="9"/>
      <c r="K528" s="9"/>
      <c r="L528" s="31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6" t="s">
        <v>165</v>
      </c>
      <c r="B529" s="25" t="s">
        <v>168</v>
      </c>
      <c r="C529" s="6"/>
      <c r="D529" s="7"/>
      <c r="E529" s="7" t="s">
        <v>54</v>
      </c>
      <c r="F529" s="8">
        <v>46118</v>
      </c>
      <c r="G529" s="7" t="s">
        <v>106</v>
      </c>
      <c r="H529" s="2"/>
      <c r="I529" s="9" t="s">
        <v>2</v>
      </c>
      <c r="J529" s="9"/>
      <c r="K529" s="9"/>
      <c r="L529" s="31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2">
      <c r="A530" s="1"/>
      <c r="B530" s="2"/>
      <c r="C530" s="5"/>
      <c r="D530" s="2"/>
      <c r="E530" s="2"/>
      <c r="F530" s="2"/>
      <c r="G530" s="2"/>
      <c r="H530" s="2"/>
      <c r="I530" s="2"/>
      <c r="J530" s="2"/>
      <c r="K530" s="2"/>
      <c r="L530" s="31"/>
      <c r="M530" s="1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x14ac:dyDescent="0.2">
      <c r="A531" s="6" t="s">
        <v>3</v>
      </c>
      <c r="B531" s="10" t="s">
        <v>4</v>
      </c>
      <c r="C531" s="11" t="s">
        <v>5</v>
      </c>
      <c r="D531" s="10" t="s">
        <v>6</v>
      </c>
      <c r="E531" s="10" t="s">
        <v>7</v>
      </c>
      <c r="F531" s="10" t="s">
        <v>8</v>
      </c>
      <c r="G531" s="37"/>
      <c r="H531" s="37"/>
      <c r="I531" s="10" t="s">
        <v>9</v>
      </c>
      <c r="J531" s="10" t="s">
        <v>7</v>
      </c>
      <c r="K531" s="10" t="s">
        <v>10</v>
      </c>
      <c r="L531" s="38"/>
      <c r="M531" s="1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x14ac:dyDescent="0.2">
      <c r="A532" s="12">
        <v>0.5</v>
      </c>
      <c r="B532" s="10" t="s">
        <v>23</v>
      </c>
      <c r="C532" s="11" t="s">
        <v>24</v>
      </c>
      <c r="D532" s="13">
        <v>60000</v>
      </c>
      <c r="E532" s="13">
        <f t="shared" ref="E532:E553" si="107">A532*D532</f>
        <v>30000</v>
      </c>
      <c r="F532" s="13">
        <f t="shared" ref="F532:F548" si="108">E532*1.105</f>
        <v>33150</v>
      </c>
      <c r="G532" s="2"/>
      <c r="H532" s="2"/>
      <c r="I532" s="13">
        <v>52000</v>
      </c>
      <c r="J532" s="13">
        <f t="shared" ref="J532:J553" si="109">I532*A532</f>
        <v>26000</v>
      </c>
      <c r="K532" s="13">
        <f t="shared" ref="K532:K553" si="110">F532-J532</f>
        <v>7150</v>
      </c>
      <c r="L532" s="14">
        <f t="shared" ref="L532:L553" si="111">IFERROR(K532/E532, 0)</f>
        <v>0.23833333333333334</v>
      </c>
      <c r="M532" s="1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x14ac:dyDescent="0.2">
      <c r="A533" s="12">
        <v>5</v>
      </c>
      <c r="B533" s="10" t="s">
        <v>17</v>
      </c>
      <c r="C533" s="11" t="s">
        <v>127</v>
      </c>
      <c r="D533" s="13">
        <v>1900</v>
      </c>
      <c r="E533" s="13">
        <f t="shared" si="107"/>
        <v>9500</v>
      </c>
      <c r="F533" s="13">
        <f t="shared" si="108"/>
        <v>10497.5</v>
      </c>
      <c r="G533" s="2"/>
      <c r="H533" s="2"/>
      <c r="I533" s="13">
        <v>1466.67</v>
      </c>
      <c r="J533" s="13">
        <f t="shared" si="109"/>
        <v>7333.35</v>
      </c>
      <c r="K533" s="13">
        <f t="shared" si="110"/>
        <v>3164.1499999999996</v>
      </c>
      <c r="L533" s="14">
        <f t="shared" si="111"/>
        <v>0.33306842105263151</v>
      </c>
      <c r="M533" s="1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x14ac:dyDescent="0.2">
      <c r="A534" s="12">
        <v>1</v>
      </c>
      <c r="B534" s="10" t="s">
        <v>17</v>
      </c>
      <c r="C534" s="11" t="s">
        <v>89</v>
      </c>
      <c r="D534" s="13">
        <v>11000</v>
      </c>
      <c r="E534" s="13">
        <f t="shared" si="107"/>
        <v>11000</v>
      </c>
      <c r="F534" s="13">
        <f t="shared" si="108"/>
        <v>12155</v>
      </c>
      <c r="G534" s="2"/>
      <c r="H534" s="2"/>
      <c r="I534" s="13">
        <v>9500</v>
      </c>
      <c r="J534" s="13">
        <f t="shared" si="109"/>
        <v>9500</v>
      </c>
      <c r="K534" s="13">
        <f t="shared" si="110"/>
        <v>2655</v>
      </c>
      <c r="L534" s="14">
        <f t="shared" si="111"/>
        <v>0.24136363636363636</v>
      </c>
      <c r="M534" s="1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x14ac:dyDescent="0.2">
      <c r="A535" s="12">
        <v>1</v>
      </c>
      <c r="B535" s="10" t="s">
        <v>17</v>
      </c>
      <c r="C535" s="11" t="s">
        <v>90</v>
      </c>
      <c r="D535" s="13">
        <v>8000</v>
      </c>
      <c r="E535" s="13">
        <f t="shared" si="107"/>
        <v>8000</v>
      </c>
      <c r="F535" s="13">
        <f t="shared" si="108"/>
        <v>8840</v>
      </c>
      <c r="G535" s="2"/>
      <c r="H535" s="2"/>
      <c r="I535" s="13">
        <f>45000/7</f>
        <v>6428.5714285714284</v>
      </c>
      <c r="J535" s="13">
        <f t="shared" si="109"/>
        <v>6428.5714285714284</v>
      </c>
      <c r="K535" s="13">
        <f t="shared" si="110"/>
        <v>2411.4285714285716</v>
      </c>
      <c r="L535" s="14">
        <f t="shared" si="111"/>
        <v>0.30142857142857143</v>
      </c>
      <c r="M535" s="1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x14ac:dyDescent="0.2">
      <c r="A536" s="12">
        <v>0.5</v>
      </c>
      <c r="B536" s="10" t="s">
        <v>23</v>
      </c>
      <c r="C536" s="11" t="s">
        <v>87</v>
      </c>
      <c r="D536" s="13">
        <v>40000</v>
      </c>
      <c r="E536" s="13">
        <f t="shared" si="107"/>
        <v>20000</v>
      </c>
      <c r="F536" s="13">
        <f t="shared" si="108"/>
        <v>22100</v>
      </c>
      <c r="G536" s="2"/>
      <c r="H536" s="2"/>
      <c r="I536" s="13">
        <v>32000</v>
      </c>
      <c r="J536" s="13">
        <f t="shared" si="109"/>
        <v>16000</v>
      </c>
      <c r="K536" s="13">
        <f t="shared" si="110"/>
        <v>6100</v>
      </c>
      <c r="L536" s="14">
        <f t="shared" si="111"/>
        <v>0.30499999999999999</v>
      </c>
      <c r="M536" s="1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x14ac:dyDescent="0.2">
      <c r="A537" s="12">
        <v>2</v>
      </c>
      <c r="B537" s="10" t="s">
        <v>17</v>
      </c>
      <c r="C537" s="11" t="s">
        <v>162</v>
      </c>
      <c r="D537" s="13">
        <v>4000</v>
      </c>
      <c r="E537" s="13">
        <f t="shared" si="107"/>
        <v>8000</v>
      </c>
      <c r="F537" s="13">
        <f t="shared" si="108"/>
        <v>8840</v>
      </c>
      <c r="G537" s="2"/>
      <c r="H537" s="7" t="s">
        <v>107</v>
      </c>
      <c r="I537" s="13">
        <v>0</v>
      </c>
      <c r="J537" s="13">
        <f t="shared" si="109"/>
        <v>0</v>
      </c>
      <c r="K537" s="13">
        <f t="shared" si="110"/>
        <v>8840</v>
      </c>
      <c r="L537" s="14">
        <f t="shared" si="111"/>
        <v>1.105</v>
      </c>
      <c r="M537" s="1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x14ac:dyDescent="0.2">
      <c r="A538" s="12">
        <v>4</v>
      </c>
      <c r="B538" s="10" t="s">
        <v>4</v>
      </c>
      <c r="C538" s="11" t="s">
        <v>14</v>
      </c>
      <c r="D538" s="13">
        <v>2800</v>
      </c>
      <c r="E538" s="13">
        <f t="shared" si="107"/>
        <v>11200</v>
      </c>
      <c r="F538" s="13">
        <f t="shared" si="108"/>
        <v>12376</v>
      </c>
      <c r="G538" s="2"/>
      <c r="H538" s="2"/>
      <c r="I538" s="13">
        <f>15000/8</f>
        <v>1875</v>
      </c>
      <c r="J538" s="13">
        <f t="shared" si="109"/>
        <v>7500</v>
      </c>
      <c r="K538" s="13">
        <f t="shared" si="110"/>
        <v>4876</v>
      </c>
      <c r="L538" s="14">
        <f t="shared" si="111"/>
        <v>0.43535714285714283</v>
      </c>
      <c r="M538" s="1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x14ac:dyDescent="0.2">
      <c r="A539" s="12">
        <v>2</v>
      </c>
      <c r="B539" s="10" t="s">
        <v>15</v>
      </c>
      <c r="C539" s="11" t="s">
        <v>48</v>
      </c>
      <c r="D539" s="13">
        <v>13000</v>
      </c>
      <c r="E539" s="13">
        <f t="shared" si="107"/>
        <v>26000</v>
      </c>
      <c r="F539" s="13">
        <f t="shared" si="108"/>
        <v>28730</v>
      </c>
      <c r="G539" s="2"/>
      <c r="H539" s="2"/>
      <c r="I539" s="13">
        <v>8000</v>
      </c>
      <c r="J539" s="13">
        <f t="shared" si="109"/>
        <v>16000</v>
      </c>
      <c r="K539" s="13">
        <f t="shared" si="110"/>
        <v>12730</v>
      </c>
      <c r="L539" s="14">
        <f t="shared" si="111"/>
        <v>0.48961538461538462</v>
      </c>
      <c r="M539" s="1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x14ac:dyDescent="0.2">
      <c r="A540" s="12">
        <v>2</v>
      </c>
      <c r="B540" s="10" t="s">
        <v>17</v>
      </c>
      <c r="C540" s="11" t="s">
        <v>31</v>
      </c>
      <c r="D540" s="13">
        <v>3000</v>
      </c>
      <c r="E540" s="13">
        <f t="shared" si="107"/>
        <v>6000</v>
      </c>
      <c r="F540" s="13">
        <f t="shared" si="108"/>
        <v>6630</v>
      </c>
      <c r="G540" s="2"/>
      <c r="H540" s="2"/>
      <c r="I540" s="13">
        <f t="shared" ref="I540:I541" si="112">15000/7</f>
        <v>2142.8571428571427</v>
      </c>
      <c r="J540" s="13">
        <f t="shared" si="109"/>
        <v>4285.7142857142853</v>
      </c>
      <c r="K540" s="13">
        <f t="shared" si="110"/>
        <v>2344.2857142857147</v>
      </c>
      <c r="L540" s="18">
        <f t="shared" si="111"/>
        <v>0.39071428571428579</v>
      </c>
      <c r="M540" s="1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x14ac:dyDescent="0.2">
      <c r="A541" s="12">
        <v>2</v>
      </c>
      <c r="B541" s="10" t="s">
        <v>17</v>
      </c>
      <c r="C541" s="11" t="s">
        <v>32</v>
      </c>
      <c r="D541" s="13">
        <v>3000</v>
      </c>
      <c r="E541" s="13">
        <f t="shared" si="107"/>
        <v>6000</v>
      </c>
      <c r="F541" s="13">
        <f t="shared" si="108"/>
        <v>6630</v>
      </c>
      <c r="G541" s="2"/>
      <c r="H541" s="2"/>
      <c r="I541" s="13">
        <f t="shared" si="112"/>
        <v>2142.8571428571427</v>
      </c>
      <c r="J541" s="13">
        <f t="shared" si="109"/>
        <v>4285.7142857142853</v>
      </c>
      <c r="K541" s="13">
        <f t="shared" si="110"/>
        <v>2344.2857142857147</v>
      </c>
      <c r="L541" s="18">
        <f t="shared" si="111"/>
        <v>0.39071428571428579</v>
      </c>
      <c r="M541" s="1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x14ac:dyDescent="0.2">
      <c r="A542" s="12">
        <v>1</v>
      </c>
      <c r="B542" s="10" t="s">
        <v>15</v>
      </c>
      <c r="C542" s="11" t="s">
        <v>167</v>
      </c>
      <c r="D542" s="13">
        <v>16000</v>
      </c>
      <c r="E542" s="13">
        <f t="shared" si="107"/>
        <v>16000</v>
      </c>
      <c r="F542" s="13">
        <f t="shared" si="108"/>
        <v>17680</v>
      </c>
      <c r="G542" s="2"/>
      <c r="H542" s="2"/>
      <c r="I542" s="13">
        <v>10000</v>
      </c>
      <c r="J542" s="13">
        <f t="shared" si="109"/>
        <v>10000</v>
      </c>
      <c r="K542" s="13">
        <f t="shared" si="110"/>
        <v>7680</v>
      </c>
      <c r="L542" s="18">
        <f t="shared" si="111"/>
        <v>0.48</v>
      </c>
      <c r="M542" s="1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x14ac:dyDescent="0.2">
      <c r="A543" s="12">
        <v>0.5</v>
      </c>
      <c r="B543" s="10" t="s">
        <v>23</v>
      </c>
      <c r="C543" s="11" t="s">
        <v>81</v>
      </c>
      <c r="D543" s="13">
        <v>22000</v>
      </c>
      <c r="E543" s="13">
        <f t="shared" si="107"/>
        <v>11000</v>
      </c>
      <c r="F543" s="13">
        <f t="shared" si="108"/>
        <v>12155</v>
      </c>
      <c r="G543" s="2"/>
      <c r="H543" s="2"/>
      <c r="I543" s="13">
        <v>12000</v>
      </c>
      <c r="J543" s="13">
        <f t="shared" si="109"/>
        <v>6000</v>
      </c>
      <c r="K543" s="13">
        <f t="shared" si="110"/>
        <v>6155</v>
      </c>
      <c r="L543" s="18">
        <f t="shared" si="111"/>
        <v>0.55954545454545457</v>
      </c>
      <c r="M543" s="1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x14ac:dyDescent="0.2">
      <c r="A544" s="12">
        <v>1</v>
      </c>
      <c r="B544" s="10" t="s">
        <v>21</v>
      </c>
      <c r="C544" s="11" t="s">
        <v>51</v>
      </c>
      <c r="D544" s="13">
        <v>1500</v>
      </c>
      <c r="E544" s="13">
        <f t="shared" si="107"/>
        <v>1500</v>
      </c>
      <c r="F544" s="13">
        <f t="shared" si="108"/>
        <v>1657.5</v>
      </c>
      <c r="G544" s="2"/>
      <c r="H544" s="2"/>
      <c r="I544" s="13">
        <v>1500</v>
      </c>
      <c r="J544" s="13">
        <f t="shared" si="109"/>
        <v>1500</v>
      </c>
      <c r="K544" s="13">
        <f t="shared" si="110"/>
        <v>157.5</v>
      </c>
      <c r="L544" s="36">
        <f t="shared" si="111"/>
        <v>0.105</v>
      </c>
      <c r="M544" s="1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x14ac:dyDescent="0.2">
      <c r="A545" s="12">
        <v>0.5</v>
      </c>
      <c r="B545" s="10" t="s">
        <v>23</v>
      </c>
      <c r="C545" s="11" t="s">
        <v>110</v>
      </c>
      <c r="D545" s="13">
        <v>14000</v>
      </c>
      <c r="E545" s="13">
        <f t="shared" si="107"/>
        <v>7000</v>
      </c>
      <c r="F545" s="13">
        <f t="shared" si="108"/>
        <v>7735</v>
      </c>
      <c r="G545" s="2"/>
      <c r="H545" s="2"/>
      <c r="I545" s="2"/>
      <c r="J545" s="13">
        <f t="shared" si="109"/>
        <v>0</v>
      </c>
      <c r="K545" s="13">
        <f t="shared" si="110"/>
        <v>7735</v>
      </c>
      <c r="L545" s="18">
        <f t="shared" si="111"/>
        <v>1.105</v>
      </c>
      <c r="M545" s="1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x14ac:dyDescent="0.2">
      <c r="A546" s="12">
        <v>1</v>
      </c>
      <c r="B546" s="10" t="s">
        <v>17</v>
      </c>
      <c r="C546" s="11" t="s">
        <v>36</v>
      </c>
      <c r="D546" s="13">
        <v>1800</v>
      </c>
      <c r="E546" s="13">
        <f t="shared" si="107"/>
        <v>1800</v>
      </c>
      <c r="F546" s="13">
        <f t="shared" si="108"/>
        <v>1989</v>
      </c>
      <c r="G546" s="2"/>
      <c r="H546" s="2"/>
      <c r="I546" s="13">
        <v>1000</v>
      </c>
      <c r="J546" s="13">
        <f t="shared" si="109"/>
        <v>1000</v>
      </c>
      <c r="K546" s="13">
        <f t="shared" si="110"/>
        <v>989</v>
      </c>
      <c r="L546" s="18">
        <f t="shared" si="111"/>
        <v>0.5494444444444444</v>
      </c>
      <c r="M546" s="1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x14ac:dyDescent="0.2">
      <c r="A547" s="12">
        <v>3</v>
      </c>
      <c r="B547" s="10" t="s">
        <v>21</v>
      </c>
      <c r="C547" s="11" t="s">
        <v>46</v>
      </c>
      <c r="D547" s="13">
        <v>400</v>
      </c>
      <c r="E547" s="13">
        <f t="shared" si="107"/>
        <v>1200</v>
      </c>
      <c r="F547" s="13">
        <f t="shared" si="108"/>
        <v>1326</v>
      </c>
      <c r="G547" s="2"/>
      <c r="H547" s="2"/>
      <c r="I547" s="13">
        <f>5000/24</f>
        <v>208.33333333333334</v>
      </c>
      <c r="J547" s="13">
        <f t="shared" si="109"/>
        <v>625</v>
      </c>
      <c r="K547" s="13">
        <f t="shared" si="110"/>
        <v>701</v>
      </c>
      <c r="L547" s="14">
        <f t="shared" si="111"/>
        <v>0.58416666666666661</v>
      </c>
      <c r="M547" s="1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x14ac:dyDescent="0.2">
      <c r="A548" s="12">
        <v>2</v>
      </c>
      <c r="B548" s="10" t="s">
        <v>17</v>
      </c>
      <c r="C548" s="11" t="s">
        <v>78</v>
      </c>
      <c r="D548" s="13">
        <v>4000</v>
      </c>
      <c r="E548" s="13">
        <f t="shared" si="107"/>
        <v>8000</v>
      </c>
      <c r="F548" s="13">
        <f t="shared" si="108"/>
        <v>8840</v>
      </c>
      <c r="G548" s="2"/>
      <c r="H548" s="2"/>
      <c r="I548" s="13">
        <v>1625</v>
      </c>
      <c r="J548" s="13">
        <f t="shared" si="109"/>
        <v>3250</v>
      </c>
      <c r="K548" s="13">
        <f t="shared" si="110"/>
        <v>5590</v>
      </c>
      <c r="L548" s="14">
        <f t="shared" si="111"/>
        <v>0.69874999999999998</v>
      </c>
      <c r="M548" s="1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x14ac:dyDescent="0.2">
      <c r="A549" s="12">
        <v>0.5</v>
      </c>
      <c r="B549" s="10" t="s">
        <v>23</v>
      </c>
      <c r="C549" s="11" t="s">
        <v>85</v>
      </c>
      <c r="D549" s="13">
        <v>54000</v>
      </c>
      <c r="E549" s="13">
        <f t="shared" si="107"/>
        <v>27000</v>
      </c>
      <c r="F549" s="13">
        <f>E549*1.21</f>
        <v>32670</v>
      </c>
      <c r="G549" s="2"/>
      <c r="H549" s="2"/>
      <c r="I549" s="13">
        <v>50000</v>
      </c>
      <c r="J549" s="13">
        <f t="shared" si="109"/>
        <v>25000</v>
      </c>
      <c r="K549" s="13">
        <f t="shared" si="110"/>
        <v>7670</v>
      </c>
      <c r="L549" s="14">
        <f t="shared" si="111"/>
        <v>0.28407407407407409</v>
      </c>
      <c r="M549" s="1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x14ac:dyDescent="0.2">
      <c r="A550" s="12">
        <v>2</v>
      </c>
      <c r="B550" s="10" t="s">
        <v>15</v>
      </c>
      <c r="C550" s="11" t="s">
        <v>135</v>
      </c>
      <c r="D550" s="13">
        <v>18000</v>
      </c>
      <c r="E550" s="13">
        <f t="shared" si="107"/>
        <v>36000</v>
      </c>
      <c r="F550" s="13">
        <f t="shared" ref="F550:F553" si="113">E550*1.105</f>
        <v>39780</v>
      </c>
      <c r="G550" s="2"/>
      <c r="H550" s="2"/>
      <c r="I550" s="13">
        <v>14000</v>
      </c>
      <c r="J550" s="13">
        <f t="shared" si="109"/>
        <v>28000</v>
      </c>
      <c r="K550" s="13">
        <f t="shared" si="110"/>
        <v>11780</v>
      </c>
      <c r="L550" s="14">
        <f t="shared" si="111"/>
        <v>0.32722222222222225</v>
      </c>
      <c r="M550" s="1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x14ac:dyDescent="0.2">
      <c r="A551" s="12">
        <v>1</v>
      </c>
      <c r="B551" s="10" t="s">
        <v>15</v>
      </c>
      <c r="C551" s="11" t="s">
        <v>129</v>
      </c>
      <c r="D551" s="13">
        <v>16000</v>
      </c>
      <c r="E551" s="13">
        <f t="shared" si="107"/>
        <v>16000</v>
      </c>
      <c r="F551" s="13">
        <f t="shared" si="113"/>
        <v>17680</v>
      </c>
      <c r="G551" s="2"/>
      <c r="H551" s="2"/>
      <c r="I551" s="13">
        <v>12000</v>
      </c>
      <c r="J551" s="13">
        <f t="shared" si="109"/>
        <v>12000</v>
      </c>
      <c r="K551" s="13">
        <f t="shared" si="110"/>
        <v>5680</v>
      </c>
      <c r="L551" s="14">
        <f t="shared" si="111"/>
        <v>0.35499999999999998</v>
      </c>
      <c r="M551" s="1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x14ac:dyDescent="0.2">
      <c r="A552" s="12">
        <v>10</v>
      </c>
      <c r="B552" s="10" t="s">
        <v>17</v>
      </c>
      <c r="C552" s="11" t="s">
        <v>82</v>
      </c>
      <c r="D552" s="13">
        <v>1400</v>
      </c>
      <c r="E552" s="13">
        <f t="shared" si="107"/>
        <v>14000</v>
      </c>
      <c r="F552" s="13">
        <f t="shared" si="113"/>
        <v>15470</v>
      </c>
      <c r="G552" s="2"/>
      <c r="H552" s="2"/>
      <c r="I552" s="13">
        <f>16000/15</f>
        <v>1066.6666666666667</v>
      </c>
      <c r="J552" s="13">
        <f t="shared" si="109"/>
        <v>10666.666666666668</v>
      </c>
      <c r="K552" s="13">
        <f t="shared" si="110"/>
        <v>4803.3333333333321</v>
      </c>
      <c r="L552" s="14">
        <f t="shared" si="111"/>
        <v>0.34309523809523801</v>
      </c>
      <c r="M552" s="1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x14ac:dyDescent="0.2">
      <c r="A553" s="12">
        <v>5</v>
      </c>
      <c r="B553" s="10" t="s">
        <v>17</v>
      </c>
      <c r="C553" s="11" t="s">
        <v>99</v>
      </c>
      <c r="D553" s="13">
        <v>1500</v>
      </c>
      <c r="E553" s="13">
        <f t="shared" si="107"/>
        <v>7500</v>
      </c>
      <c r="F553" s="13">
        <f t="shared" si="113"/>
        <v>8287.5</v>
      </c>
      <c r="G553" s="2"/>
      <c r="H553" s="2"/>
      <c r="I553" s="13">
        <v>1250</v>
      </c>
      <c r="J553" s="13">
        <f t="shared" si="109"/>
        <v>6250</v>
      </c>
      <c r="K553" s="13">
        <f t="shared" si="110"/>
        <v>2037.5</v>
      </c>
      <c r="L553" s="14">
        <f t="shared" si="111"/>
        <v>0.27166666666666667</v>
      </c>
      <c r="M553" s="1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x14ac:dyDescent="0.2">
      <c r="A554" s="39"/>
      <c r="B554" s="37"/>
      <c r="C554" s="23"/>
      <c r="D554" s="37"/>
      <c r="E554" s="37"/>
      <c r="F554" s="37"/>
      <c r="G554" s="37"/>
      <c r="H554" s="37"/>
      <c r="I554" s="2"/>
      <c r="J554" s="37"/>
      <c r="K554" s="37"/>
      <c r="L554" s="14"/>
      <c r="M554" s="1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x14ac:dyDescent="0.2">
      <c r="A555" s="39"/>
      <c r="B555" s="37"/>
      <c r="C555" s="23"/>
      <c r="D555" s="37"/>
      <c r="E555" s="13">
        <f t="shared" ref="E555:F555" si="114">SUM(E532:E553)</f>
        <v>282700</v>
      </c>
      <c r="F555" s="13">
        <f t="shared" si="114"/>
        <v>315218.5</v>
      </c>
      <c r="G555" s="37"/>
      <c r="H555" s="37"/>
      <c r="I555" s="2"/>
      <c r="J555" s="37"/>
      <c r="K555" s="13">
        <f>SUM(K532:K553)</f>
        <v>113593.48333333334</v>
      </c>
      <c r="L555" s="14">
        <f>IFERROR(K555/E555, 0)</f>
        <v>0.40181635420351375</v>
      </c>
      <c r="M555" s="1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x14ac:dyDescent="0.2">
      <c r="A556" s="4"/>
      <c r="B556" s="4"/>
      <c r="C556" s="4"/>
      <c r="D556" s="4"/>
      <c r="E556" s="4"/>
      <c r="F556" s="4"/>
      <c r="G556" s="4"/>
      <c r="H556" s="4"/>
      <c r="I556" s="2"/>
      <c r="J556" s="4"/>
      <c r="K556" s="4"/>
      <c r="L556" s="28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x14ac:dyDescent="0.2">
      <c r="A557" s="6"/>
      <c r="B557" s="6"/>
      <c r="C557" s="6"/>
      <c r="D557" s="22"/>
      <c r="E557" s="8"/>
      <c r="F557" s="23"/>
      <c r="G557" s="2"/>
      <c r="H557" s="2"/>
      <c r="I557" s="2"/>
      <c r="J557" s="13"/>
      <c r="K557" s="13"/>
      <c r="L557" s="31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20"/>
      <c r="M558" s="1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20"/>
      <c r="M559" s="1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6" t="s">
        <v>169</v>
      </c>
      <c r="B560" s="6"/>
      <c r="C560" s="6"/>
      <c r="D560" s="22" t="s">
        <v>76</v>
      </c>
      <c r="E560" s="8">
        <v>46118</v>
      </c>
      <c r="F560" s="23"/>
      <c r="G560" s="2"/>
      <c r="H560" s="2"/>
      <c r="I560" s="2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B561" s="2"/>
      <c r="C561" s="4"/>
      <c r="D561" s="2"/>
      <c r="E561" s="2"/>
      <c r="F561" s="2"/>
      <c r="G561" s="2"/>
      <c r="H561" s="2"/>
      <c r="I561" s="2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6" t="s">
        <v>3</v>
      </c>
      <c r="B562" s="10" t="s">
        <v>4</v>
      </c>
      <c r="C562" s="11" t="s">
        <v>5</v>
      </c>
      <c r="D562" s="10" t="s">
        <v>6</v>
      </c>
      <c r="E562" s="10" t="s">
        <v>7</v>
      </c>
      <c r="F562" s="10"/>
      <c r="G562" s="2"/>
      <c r="H562" s="2"/>
      <c r="I562" s="10" t="s">
        <v>6</v>
      </c>
      <c r="J562" s="10" t="s">
        <v>7</v>
      </c>
      <c r="K562" s="10" t="s">
        <v>10</v>
      </c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>
        <v>2</v>
      </c>
      <c r="B563" s="10" t="s">
        <v>23</v>
      </c>
      <c r="C563" s="11" t="s">
        <v>87</v>
      </c>
      <c r="D563" s="13">
        <v>42000</v>
      </c>
      <c r="E563" s="13">
        <f t="shared" ref="E563:E579" si="115">A563*D563</f>
        <v>84000</v>
      </c>
      <c r="F563" s="13"/>
      <c r="G563" s="2"/>
      <c r="H563" s="7"/>
      <c r="I563" s="13">
        <v>32000</v>
      </c>
      <c r="J563" s="13">
        <f t="shared" ref="J563:J579" si="116">I563*A563</f>
        <v>64000</v>
      </c>
      <c r="K563" s="13">
        <f t="shared" ref="K563:K579" si="117">E563-J563</f>
        <v>20000</v>
      </c>
      <c r="L563" s="14">
        <f t="shared" ref="L563:L579" si="118">K563/E563</f>
        <v>0.23809523809523808</v>
      </c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>
        <v>2</v>
      </c>
      <c r="B564" s="10" t="s">
        <v>23</v>
      </c>
      <c r="C564" s="11" t="s">
        <v>24</v>
      </c>
      <c r="D564" s="13">
        <v>60000</v>
      </c>
      <c r="E564" s="13">
        <f t="shared" si="115"/>
        <v>120000</v>
      </c>
      <c r="F564" s="13"/>
      <c r="G564" s="2"/>
      <c r="H564" s="7"/>
      <c r="I564" s="13">
        <v>30000</v>
      </c>
      <c r="J564" s="13">
        <f t="shared" si="116"/>
        <v>60000</v>
      </c>
      <c r="K564" s="13">
        <f t="shared" si="117"/>
        <v>60000</v>
      </c>
      <c r="L564" s="14">
        <f t="shared" si="118"/>
        <v>0.5</v>
      </c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>
        <v>1</v>
      </c>
      <c r="B565" s="10" t="s">
        <v>23</v>
      </c>
      <c r="C565" s="11" t="s">
        <v>85</v>
      </c>
      <c r="D565" s="13">
        <v>60000</v>
      </c>
      <c r="E565" s="13">
        <f t="shared" si="115"/>
        <v>60000</v>
      </c>
      <c r="F565" s="13"/>
      <c r="G565" s="2"/>
      <c r="H565" s="7"/>
      <c r="I565" s="13">
        <v>50000</v>
      </c>
      <c r="J565" s="13">
        <f t="shared" si="116"/>
        <v>50000</v>
      </c>
      <c r="K565" s="13">
        <f t="shared" si="117"/>
        <v>10000</v>
      </c>
      <c r="L565" s="14">
        <f t="shared" si="118"/>
        <v>0.16666666666666666</v>
      </c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>
        <v>2.5</v>
      </c>
      <c r="B566" s="10" t="s">
        <v>23</v>
      </c>
      <c r="C566" s="11" t="s">
        <v>82</v>
      </c>
      <c r="D566" s="13">
        <v>18000</v>
      </c>
      <c r="E566" s="13">
        <f t="shared" si="115"/>
        <v>45000</v>
      </c>
      <c r="F566" s="13"/>
      <c r="G566" s="2"/>
      <c r="H566" s="7"/>
      <c r="I566" s="13">
        <v>16000</v>
      </c>
      <c r="J566" s="13">
        <f t="shared" si="116"/>
        <v>40000</v>
      </c>
      <c r="K566" s="13">
        <f t="shared" si="117"/>
        <v>5000</v>
      </c>
      <c r="L566" s="14">
        <f t="shared" si="118"/>
        <v>0.1111111111111111</v>
      </c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>
        <v>2</v>
      </c>
      <c r="B567" s="10" t="s">
        <v>15</v>
      </c>
      <c r="C567" s="11" t="s">
        <v>40</v>
      </c>
      <c r="D567" s="13">
        <v>13000</v>
      </c>
      <c r="E567" s="13">
        <f t="shared" si="115"/>
        <v>26000</v>
      </c>
      <c r="F567" s="13"/>
      <c r="G567" s="2"/>
      <c r="H567" s="7"/>
      <c r="I567" s="13">
        <v>7000</v>
      </c>
      <c r="J567" s="13">
        <f t="shared" si="116"/>
        <v>14000</v>
      </c>
      <c r="K567" s="13">
        <f t="shared" si="117"/>
        <v>12000</v>
      </c>
      <c r="L567" s="14">
        <f t="shared" si="118"/>
        <v>0.46153846153846156</v>
      </c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>
        <v>3</v>
      </c>
      <c r="B568" s="10" t="s">
        <v>15</v>
      </c>
      <c r="C568" s="11" t="s">
        <v>16</v>
      </c>
      <c r="D568" s="13">
        <v>13000</v>
      </c>
      <c r="E568" s="13">
        <f t="shared" si="115"/>
        <v>39000</v>
      </c>
      <c r="F568" s="13"/>
      <c r="G568" s="2"/>
      <c r="H568" s="7"/>
      <c r="I568" s="13">
        <v>8000</v>
      </c>
      <c r="J568" s="13">
        <f t="shared" si="116"/>
        <v>24000</v>
      </c>
      <c r="K568" s="13">
        <f t="shared" si="117"/>
        <v>15000</v>
      </c>
      <c r="L568" s="14">
        <f t="shared" si="118"/>
        <v>0.38461538461538464</v>
      </c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>
        <v>2</v>
      </c>
      <c r="B569" s="10" t="s">
        <v>4</v>
      </c>
      <c r="C569" s="11" t="s">
        <v>64</v>
      </c>
      <c r="D569" s="13">
        <v>2500</v>
      </c>
      <c r="E569" s="13">
        <f t="shared" si="115"/>
        <v>5000</v>
      </c>
      <c r="F569" s="13"/>
      <c r="G569" s="2"/>
      <c r="H569" s="7"/>
      <c r="I569" s="13">
        <v>1000</v>
      </c>
      <c r="J569" s="13">
        <f t="shared" si="116"/>
        <v>2000</v>
      </c>
      <c r="K569" s="13">
        <f t="shared" si="117"/>
        <v>3000</v>
      </c>
      <c r="L569" s="14">
        <f t="shared" si="118"/>
        <v>0.6</v>
      </c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>
        <v>4</v>
      </c>
      <c r="B570" s="10" t="s">
        <v>4</v>
      </c>
      <c r="C570" s="11" t="s">
        <v>13</v>
      </c>
      <c r="D570" s="13">
        <v>900</v>
      </c>
      <c r="E570" s="13">
        <f t="shared" si="115"/>
        <v>3600</v>
      </c>
      <c r="F570" s="13"/>
      <c r="G570" s="2"/>
      <c r="H570" s="7"/>
      <c r="I570" s="13">
        <v>460</v>
      </c>
      <c r="J570" s="13">
        <f t="shared" si="116"/>
        <v>1840</v>
      </c>
      <c r="K570" s="13">
        <f t="shared" si="117"/>
        <v>1760</v>
      </c>
      <c r="L570" s="14">
        <f t="shared" si="118"/>
        <v>0.48888888888888887</v>
      </c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6.5" customHeight="1" x14ac:dyDescent="0.2">
      <c r="A571" s="12">
        <v>8</v>
      </c>
      <c r="B571" s="10" t="s">
        <v>17</v>
      </c>
      <c r="C571" s="11" t="s">
        <v>81</v>
      </c>
      <c r="D571" s="13">
        <v>1900</v>
      </c>
      <c r="E571" s="13">
        <f t="shared" si="115"/>
        <v>15200</v>
      </c>
      <c r="F571" s="13"/>
      <c r="G571" s="2"/>
      <c r="H571" s="7"/>
      <c r="I571" s="13">
        <f>12000/15</f>
        <v>800</v>
      </c>
      <c r="J571" s="13">
        <f t="shared" si="116"/>
        <v>6400</v>
      </c>
      <c r="K571" s="13">
        <f t="shared" si="117"/>
        <v>8800</v>
      </c>
      <c r="L571" s="14">
        <f t="shared" si="118"/>
        <v>0.57894736842105265</v>
      </c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6.5" customHeight="1" x14ac:dyDescent="0.2">
      <c r="A572" s="12">
        <v>2</v>
      </c>
      <c r="B572" s="10" t="s">
        <v>21</v>
      </c>
      <c r="C572" s="11" t="s">
        <v>51</v>
      </c>
      <c r="D572" s="13">
        <v>1500</v>
      </c>
      <c r="E572" s="13">
        <f t="shared" si="115"/>
        <v>3000</v>
      </c>
      <c r="F572" s="13"/>
      <c r="G572" s="2"/>
      <c r="H572" s="7"/>
      <c r="I572" s="13">
        <v>1000</v>
      </c>
      <c r="J572" s="13">
        <f t="shared" si="116"/>
        <v>2000</v>
      </c>
      <c r="K572" s="13">
        <f t="shared" si="117"/>
        <v>1000</v>
      </c>
      <c r="L572" s="14">
        <f t="shared" si="118"/>
        <v>0.33333333333333331</v>
      </c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>
        <v>1</v>
      </c>
      <c r="B573" s="10" t="s">
        <v>17</v>
      </c>
      <c r="C573" s="11" t="s">
        <v>88</v>
      </c>
      <c r="D573" s="13">
        <v>2500</v>
      </c>
      <c r="E573" s="13">
        <f t="shared" si="115"/>
        <v>2500</v>
      </c>
      <c r="F573" s="13"/>
      <c r="G573" s="2"/>
      <c r="H573" s="7"/>
      <c r="I573" s="13">
        <f>20000/15</f>
        <v>1333.3333333333333</v>
      </c>
      <c r="J573" s="13">
        <f t="shared" si="116"/>
        <v>1333.3333333333333</v>
      </c>
      <c r="K573" s="13">
        <f t="shared" si="117"/>
        <v>1166.6666666666667</v>
      </c>
      <c r="L573" s="14">
        <f t="shared" si="118"/>
        <v>0.46666666666666667</v>
      </c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>
        <v>1</v>
      </c>
      <c r="B574" s="10" t="s">
        <v>17</v>
      </c>
      <c r="C574" s="11" t="s">
        <v>79</v>
      </c>
      <c r="D574" s="13">
        <v>3200</v>
      </c>
      <c r="E574" s="13">
        <f t="shared" si="115"/>
        <v>3200</v>
      </c>
      <c r="F574" s="13"/>
      <c r="G574" s="2"/>
      <c r="H574" s="7"/>
      <c r="I574" s="13">
        <v>0</v>
      </c>
      <c r="J574" s="13">
        <f t="shared" si="116"/>
        <v>0</v>
      </c>
      <c r="K574" s="13">
        <f t="shared" si="117"/>
        <v>3200</v>
      </c>
      <c r="L574" s="14">
        <f t="shared" si="118"/>
        <v>1</v>
      </c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>
        <v>0.5</v>
      </c>
      <c r="B575" s="10" t="s">
        <v>23</v>
      </c>
      <c r="C575" s="11" t="s">
        <v>170</v>
      </c>
      <c r="D575" s="13">
        <v>26000</v>
      </c>
      <c r="E575" s="13">
        <f t="shared" si="115"/>
        <v>13000</v>
      </c>
      <c r="F575" s="13"/>
      <c r="G575" s="2"/>
      <c r="H575" s="7"/>
      <c r="I575" s="13">
        <v>22000</v>
      </c>
      <c r="J575" s="13">
        <f t="shared" si="116"/>
        <v>11000</v>
      </c>
      <c r="K575" s="13">
        <f t="shared" si="117"/>
        <v>2000</v>
      </c>
      <c r="L575" s="14">
        <f t="shared" si="118"/>
        <v>0.15384615384615385</v>
      </c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>
        <v>1</v>
      </c>
      <c r="B576" s="10" t="s">
        <v>15</v>
      </c>
      <c r="C576" s="11" t="s">
        <v>135</v>
      </c>
      <c r="D576" s="13">
        <v>18000</v>
      </c>
      <c r="E576" s="13">
        <f t="shared" si="115"/>
        <v>18000</v>
      </c>
      <c r="F576" s="13"/>
      <c r="G576" s="2"/>
      <c r="H576" s="7"/>
      <c r="I576" s="13">
        <v>14000</v>
      </c>
      <c r="J576" s="13">
        <f t="shared" si="116"/>
        <v>14000</v>
      </c>
      <c r="K576" s="13">
        <f t="shared" si="117"/>
        <v>4000</v>
      </c>
      <c r="L576" s="14">
        <f t="shared" si="118"/>
        <v>0.22222222222222221</v>
      </c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>
        <v>1</v>
      </c>
      <c r="B577" s="10" t="s">
        <v>15</v>
      </c>
      <c r="C577" s="11" t="s">
        <v>56</v>
      </c>
      <c r="D577" s="13">
        <v>14000</v>
      </c>
      <c r="E577" s="13">
        <f t="shared" si="115"/>
        <v>14000</v>
      </c>
      <c r="F577" s="13"/>
      <c r="G577" s="2"/>
      <c r="H577" s="7"/>
      <c r="I577" s="13">
        <v>10000</v>
      </c>
      <c r="J577" s="13">
        <f t="shared" si="116"/>
        <v>10000</v>
      </c>
      <c r="K577" s="13">
        <f t="shared" si="117"/>
        <v>4000</v>
      </c>
      <c r="L577" s="14">
        <f t="shared" si="118"/>
        <v>0.2857142857142857</v>
      </c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>
        <v>0.9</v>
      </c>
      <c r="B578" s="10" t="s">
        <v>17</v>
      </c>
      <c r="C578" s="11" t="s">
        <v>31</v>
      </c>
      <c r="D578" s="13">
        <v>2800</v>
      </c>
      <c r="E578" s="13">
        <f t="shared" si="115"/>
        <v>2520</v>
      </c>
      <c r="F578" s="13"/>
      <c r="G578" s="2"/>
      <c r="H578" s="7"/>
      <c r="I578" s="13">
        <f>15000/7</f>
        <v>2142.8571428571427</v>
      </c>
      <c r="J578" s="13">
        <f t="shared" si="116"/>
        <v>1928.5714285714284</v>
      </c>
      <c r="K578" s="13">
        <f t="shared" si="117"/>
        <v>591.42857142857156</v>
      </c>
      <c r="L578" s="14">
        <f t="shared" si="118"/>
        <v>0.23469387755102045</v>
      </c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>
        <v>6</v>
      </c>
      <c r="B579" s="10" t="s">
        <v>21</v>
      </c>
      <c r="C579" s="11" t="s">
        <v>130</v>
      </c>
      <c r="D579" s="13">
        <v>1400</v>
      </c>
      <c r="E579" s="13">
        <f t="shared" si="115"/>
        <v>8400</v>
      </c>
      <c r="F579" s="13"/>
      <c r="G579" s="2"/>
      <c r="H579" s="7"/>
      <c r="I579" s="13">
        <v>1000</v>
      </c>
      <c r="J579" s="13">
        <f t="shared" si="116"/>
        <v>6000</v>
      </c>
      <c r="K579" s="13">
        <f t="shared" si="117"/>
        <v>2400</v>
      </c>
      <c r="L579" s="14">
        <f t="shared" si="118"/>
        <v>0.2857142857142857</v>
      </c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H580" s="2"/>
      <c r="I580" s="2"/>
      <c r="J580" s="13"/>
      <c r="K580" s="13"/>
      <c r="L580" s="1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>
        <f>SUM(E563:E579)</f>
        <v>462420</v>
      </c>
      <c r="F581" s="13"/>
      <c r="G581" s="2"/>
      <c r="H581" s="2"/>
      <c r="I581" s="2"/>
      <c r="J581" s="13"/>
      <c r="K581" s="13">
        <f>SUM(K563:K579)</f>
        <v>153918.09523809524</v>
      </c>
      <c r="L581" s="14">
        <f>K581/E581</f>
        <v>0.33285345624777307</v>
      </c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20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20"/>
      <c r="M583" s="1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20"/>
      <c r="M584" s="1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75" t="s">
        <v>171</v>
      </c>
      <c r="B585" s="76"/>
      <c r="C585" s="76"/>
      <c r="D585" s="2"/>
      <c r="E585" s="7" t="s">
        <v>172</v>
      </c>
      <c r="F585" s="8">
        <v>46118</v>
      </c>
      <c r="G585" s="7"/>
      <c r="H585" s="2"/>
      <c r="I585" s="9" t="s">
        <v>2</v>
      </c>
      <c r="J585" s="9"/>
      <c r="K585" s="9"/>
      <c r="L585" s="3"/>
      <c r="M585" s="1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"/>
      <c r="B586" s="2"/>
      <c r="C586" s="5"/>
      <c r="D586" s="2"/>
      <c r="E586" s="2"/>
      <c r="F586" s="2"/>
      <c r="G586" s="2"/>
      <c r="H586" s="2"/>
      <c r="I586" s="2"/>
      <c r="J586" s="2"/>
      <c r="K586" s="2"/>
      <c r="L586" s="3"/>
      <c r="M586" s="1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6" t="s">
        <v>3</v>
      </c>
      <c r="B587" s="10" t="s">
        <v>4</v>
      </c>
      <c r="C587" s="11" t="s">
        <v>5</v>
      </c>
      <c r="D587" s="10" t="s">
        <v>6</v>
      </c>
      <c r="E587" s="10" t="s">
        <v>7</v>
      </c>
      <c r="F587" s="10" t="s">
        <v>8</v>
      </c>
      <c r="G587" s="2"/>
      <c r="H587" s="2"/>
      <c r="I587" s="10" t="s">
        <v>9</v>
      </c>
      <c r="J587" s="10" t="s">
        <v>7</v>
      </c>
      <c r="K587" s="10" t="s">
        <v>10</v>
      </c>
      <c r="L587" s="3"/>
      <c r="M587" s="1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2">
        <v>2</v>
      </c>
      <c r="B588" s="10" t="s">
        <v>17</v>
      </c>
      <c r="C588" s="11" t="s">
        <v>93</v>
      </c>
      <c r="D588" s="13">
        <v>3500</v>
      </c>
      <c r="E588" s="13">
        <f t="shared" ref="E588:E593" si="119">A588*D588</f>
        <v>7000</v>
      </c>
      <c r="F588" s="13">
        <f t="shared" ref="F588:F589" si="120">E588*1.105</f>
        <v>7735</v>
      </c>
      <c r="G588" s="2"/>
      <c r="H588" s="2"/>
      <c r="I588" s="13">
        <f>13000/7</f>
        <v>1857.1428571428571</v>
      </c>
      <c r="J588" s="13">
        <f t="shared" ref="J588:J593" si="121">I588*A588</f>
        <v>3714.2857142857142</v>
      </c>
      <c r="K588" s="13">
        <f t="shared" ref="K588:K593" si="122">F588-J588</f>
        <v>4020.7142857142858</v>
      </c>
      <c r="L588" s="14">
        <f t="shared" ref="L588:L593" si="123">IFERROR(K588/E588, 0)</f>
        <v>0.57438775510204088</v>
      </c>
      <c r="M588" s="1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2">
        <v>0.5</v>
      </c>
      <c r="B589" s="10" t="s">
        <v>17</v>
      </c>
      <c r="C589" s="11" t="s">
        <v>43</v>
      </c>
      <c r="D589" s="13">
        <v>3500</v>
      </c>
      <c r="E589" s="13">
        <f t="shared" si="119"/>
        <v>1750</v>
      </c>
      <c r="F589" s="13">
        <f t="shared" si="120"/>
        <v>1933.75</v>
      </c>
      <c r="G589" s="2"/>
      <c r="H589" s="2"/>
      <c r="I589" s="13">
        <v>0</v>
      </c>
      <c r="J589" s="13">
        <f t="shared" si="121"/>
        <v>0</v>
      </c>
      <c r="K589" s="13">
        <f t="shared" si="122"/>
        <v>1933.75</v>
      </c>
      <c r="L589" s="14">
        <f t="shared" si="123"/>
        <v>1.105</v>
      </c>
      <c r="M589" s="1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2">
        <v>1</v>
      </c>
      <c r="B590" s="10" t="s">
        <v>11</v>
      </c>
      <c r="C590" s="11" t="s">
        <v>85</v>
      </c>
      <c r="D590" s="13">
        <v>5000</v>
      </c>
      <c r="E590" s="13">
        <f t="shared" si="119"/>
        <v>5000</v>
      </c>
      <c r="F590" s="13">
        <f>E590*1.21</f>
        <v>6050</v>
      </c>
      <c r="G590" s="2"/>
      <c r="H590" s="2"/>
      <c r="I590" s="13">
        <f>50000/12</f>
        <v>4166.666666666667</v>
      </c>
      <c r="J590" s="13">
        <f t="shared" si="121"/>
        <v>4166.666666666667</v>
      </c>
      <c r="K590" s="13">
        <f t="shared" si="122"/>
        <v>1883.333333333333</v>
      </c>
      <c r="L590" s="14">
        <f t="shared" si="123"/>
        <v>0.37666666666666659</v>
      </c>
      <c r="M590" s="1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2">
        <v>1</v>
      </c>
      <c r="B591" s="10" t="s">
        <v>21</v>
      </c>
      <c r="C591" s="11" t="s">
        <v>112</v>
      </c>
      <c r="D591" s="13">
        <v>3000</v>
      </c>
      <c r="E591" s="13">
        <f t="shared" si="119"/>
        <v>3000</v>
      </c>
      <c r="F591" s="13">
        <f t="shared" ref="F591:F593" si="124">E591*1.105</f>
        <v>3315</v>
      </c>
      <c r="G591" s="2"/>
      <c r="H591" s="2"/>
      <c r="I591" s="13">
        <v>2000</v>
      </c>
      <c r="J591" s="13">
        <f t="shared" si="121"/>
        <v>2000</v>
      </c>
      <c r="K591" s="13">
        <f t="shared" si="122"/>
        <v>1315</v>
      </c>
      <c r="L591" s="14">
        <f t="shared" si="123"/>
        <v>0.43833333333333335</v>
      </c>
      <c r="M591" s="1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2">
        <v>0.5</v>
      </c>
      <c r="B592" s="10" t="s">
        <v>23</v>
      </c>
      <c r="C592" s="11" t="s">
        <v>88</v>
      </c>
      <c r="D592" s="13">
        <v>32000</v>
      </c>
      <c r="E592" s="13">
        <f t="shared" si="119"/>
        <v>16000</v>
      </c>
      <c r="F592" s="13">
        <f t="shared" si="124"/>
        <v>17680</v>
      </c>
      <c r="G592" s="2"/>
      <c r="H592" s="2"/>
      <c r="I592" s="13">
        <v>20000</v>
      </c>
      <c r="J592" s="13">
        <f t="shared" si="121"/>
        <v>10000</v>
      </c>
      <c r="K592" s="13">
        <f t="shared" si="122"/>
        <v>7680</v>
      </c>
      <c r="L592" s="14">
        <f t="shared" si="123"/>
        <v>0.48</v>
      </c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2">
        <v>0.2</v>
      </c>
      <c r="B593" s="10" t="s">
        <v>17</v>
      </c>
      <c r="C593" s="11" t="s">
        <v>111</v>
      </c>
      <c r="D593" s="13">
        <v>10500</v>
      </c>
      <c r="E593" s="13">
        <f t="shared" si="119"/>
        <v>2100</v>
      </c>
      <c r="F593" s="13">
        <f t="shared" si="124"/>
        <v>2320.5</v>
      </c>
      <c r="G593" s="2"/>
      <c r="H593" s="2"/>
      <c r="I593" s="13">
        <v>7000</v>
      </c>
      <c r="J593" s="13">
        <f t="shared" si="121"/>
        <v>1400</v>
      </c>
      <c r="K593" s="13">
        <f t="shared" si="122"/>
        <v>920.5</v>
      </c>
      <c r="L593" s="14">
        <f t="shared" si="123"/>
        <v>0.43833333333333335</v>
      </c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1"/>
      <c r="B594" s="2"/>
      <c r="C594" s="4"/>
      <c r="D594" s="2"/>
      <c r="E594" s="2"/>
      <c r="F594" s="13"/>
      <c r="G594" s="2"/>
      <c r="H594" s="2"/>
      <c r="I594" s="2"/>
      <c r="J594" s="2"/>
      <c r="K594" s="2"/>
      <c r="L594" s="3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4"/>
      <c r="D595" s="2"/>
      <c r="E595" s="13">
        <f t="shared" ref="E595:F595" si="125">SUM(E588:E593)</f>
        <v>34850</v>
      </c>
      <c r="F595" s="13">
        <f t="shared" si="125"/>
        <v>39034.25</v>
      </c>
      <c r="G595" s="2"/>
      <c r="H595" s="2"/>
      <c r="I595" s="2"/>
      <c r="J595" s="2"/>
      <c r="K595" s="13">
        <f>SUM(K588:K593)</f>
        <v>17753.297619047618</v>
      </c>
      <c r="L595" s="14">
        <f>K595/F595</f>
        <v>0.4548133400551469</v>
      </c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5" t="s">
        <v>37</v>
      </c>
      <c r="I596" s="15" t="s">
        <v>37</v>
      </c>
      <c r="J596" s="1"/>
      <c r="K596" s="1"/>
      <c r="L596" s="20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20"/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20"/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6" t="s">
        <v>91</v>
      </c>
      <c r="B599" s="25"/>
      <c r="C599" s="1"/>
      <c r="D599" s="12" t="s">
        <v>173</v>
      </c>
      <c r="E599" s="8">
        <v>46118</v>
      </c>
      <c r="F599" s="15" t="s">
        <v>37</v>
      </c>
      <c r="G599" s="2"/>
      <c r="H599" s="2"/>
      <c r="I599" s="2"/>
      <c r="J599" s="2"/>
      <c r="K599" s="2"/>
      <c r="L599" s="3"/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"/>
      <c r="B600" s="2"/>
      <c r="C600" s="1"/>
      <c r="D600" s="2"/>
      <c r="E600" s="2"/>
      <c r="F600" s="2"/>
      <c r="G600" s="2"/>
      <c r="H600" s="2"/>
      <c r="I600" s="2"/>
      <c r="J600" s="2"/>
      <c r="K600" s="2"/>
      <c r="L600" s="3"/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6" t="s">
        <v>3</v>
      </c>
      <c r="B601" s="10" t="s">
        <v>4</v>
      </c>
      <c r="C601" s="6" t="s">
        <v>5</v>
      </c>
      <c r="D601" s="10" t="s">
        <v>6</v>
      </c>
      <c r="E601" s="10" t="s">
        <v>7</v>
      </c>
      <c r="F601" s="2"/>
      <c r="G601" s="2"/>
      <c r="H601" s="2"/>
      <c r="I601" s="10" t="s">
        <v>6</v>
      </c>
      <c r="J601" s="10" t="s">
        <v>7</v>
      </c>
      <c r="K601" s="10" t="s">
        <v>10</v>
      </c>
      <c r="L601" s="3"/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2">
        <v>1</v>
      </c>
      <c r="B602" s="10" t="s">
        <v>23</v>
      </c>
      <c r="C602" s="6" t="s">
        <v>46</v>
      </c>
      <c r="D602" s="13">
        <v>13000</v>
      </c>
      <c r="E602" s="13">
        <f t="shared" ref="E602:E609" si="126">A602*D602</f>
        <v>13000</v>
      </c>
      <c r="F602" s="2"/>
      <c r="G602" s="2"/>
      <c r="H602" s="2"/>
      <c r="I602" s="13">
        <v>5000</v>
      </c>
      <c r="J602" s="13">
        <f t="shared" ref="J602:J609" si="127">I602*A602</f>
        <v>5000</v>
      </c>
      <c r="K602" s="13">
        <f t="shared" ref="K602:K609" si="128">E602-J602</f>
        <v>8000</v>
      </c>
      <c r="L602" s="14">
        <f t="shared" ref="L602:L609" si="129">K602/E602</f>
        <v>0.61538461538461542</v>
      </c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2">
        <v>1</v>
      </c>
      <c r="B603" s="10" t="s">
        <v>23</v>
      </c>
      <c r="C603" s="6" t="s">
        <v>99</v>
      </c>
      <c r="D603" s="13">
        <v>13000</v>
      </c>
      <c r="E603" s="13">
        <f t="shared" si="126"/>
        <v>13000</v>
      </c>
      <c r="F603" s="2"/>
      <c r="G603" s="2"/>
      <c r="H603" s="2"/>
      <c r="I603" s="13">
        <v>10000</v>
      </c>
      <c r="J603" s="13">
        <f t="shared" si="127"/>
        <v>10000</v>
      </c>
      <c r="K603" s="13">
        <f t="shared" si="128"/>
        <v>3000</v>
      </c>
      <c r="L603" s="14">
        <f t="shared" si="129"/>
        <v>0.23076923076923078</v>
      </c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2">
        <v>1</v>
      </c>
      <c r="B604" s="10" t="s">
        <v>17</v>
      </c>
      <c r="C604" s="6" t="s">
        <v>88</v>
      </c>
      <c r="D604" s="13">
        <v>2600</v>
      </c>
      <c r="E604" s="13">
        <f t="shared" si="126"/>
        <v>2600</v>
      </c>
      <c r="F604" s="2"/>
      <c r="G604" s="2"/>
      <c r="H604" s="2"/>
      <c r="I604" s="13">
        <f>20000/15</f>
        <v>1333.3333333333333</v>
      </c>
      <c r="J604" s="13">
        <f t="shared" si="127"/>
        <v>1333.3333333333333</v>
      </c>
      <c r="K604" s="13">
        <f t="shared" si="128"/>
        <v>1266.6666666666667</v>
      </c>
      <c r="L604" s="14">
        <f t="shared" si="129"/>
        <v>0.48717948717948723</v>
      </c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2">
        <v>1</v>
      </c>
      <c r="B605" s="10" t="s">
        <v>17</v>
      </c>
      <c r="C605" s="6" t="s">
        <v>79</v>
      </c>
      <c r="D605" s="13">
        <v>3500</v>
      </c>
      <c r="E605" s="13">
        <f t="shared" si="126"/>
        <v>3500</v>
      </c>
      <c r="F605" s="2"/>
      <c r="G605" s="2"/>
      <c r="H605" s="2"/>
      <c r="I605" s="13">
        <v>0</v>
      </c>
      <c r="J605" s="13">
        <f t="shared" si="127"/>
        <v>0</v>
      </c>
      <c r="K605" s="13">
        <f t="shared" si="128"/>
        <v>3500</v>
      </c>
      <c r="L605" s="14">
        <f t="shared" si="129"/>
        <v>1</v>
      </c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2">
        <v>3</v>
      </c>
      <c r="B606" s="10" t="s">
        <v>17</v>
      </c>
      <c r="C606" s="6" t="s">
        <v>73</v>
      </c>
      <c r="D606" s="13">
        <v>2200</v>
      </c>
      <c r="E606" s="13">
        <f t="shared" si="126"/>
        <v>6600</v>
      </c>
      <c r="F606" s="2"/>
      <c r="G606" s="2"/>
      <c r="H606" s="2"/>
      <c r="I606" s="13">
        <f>12000/15</f>
        <v>800</v>
      </c>
      <c r="J606" s="13">
        <f t="shared" si="127"/>
        <v>2400</v>
      </c>
      <c r="K606" s="13">
        <f t="shared" si="128"/>
        <v>4200</v>
      </c>
      <c r="L606" s="14">
        <f t="shared" si="129"/>
        <v>0.63636363636363635</v>
      </c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2">
        <v>1</v>
      </c>
      <c r="B607" s="10" t="s">
        <v>17</v>
      </c>
      <c r="C607" s="6" t="s">
        <v>40</v>
      </c>
      <c r="D607" s="13">
        <v>1500</v>
      </c>
      <c r="E607" s="13">
        <f t="shared" si="126"/>
        <v>1500</v>
      </c>
      <c r="F607" s="2"/>
      <c r="G607" s="2"/>
      <c r="H607" s="2"/>
      <c r="I607" s="13">
        <f>7000/9</f>
        <v>777.77777777777783</v>
      </c>
      <c r="J607" s="13">
        <f t="shared" si="127"/>
        <v>777.77777777777783</v>
      </c>
      <c r="K607" s="13">
        <f t="shared" si="128"/>
        <v>722.22222222222217</v>
      </c>
      <c r="L607" s="14">
        <f t="shared" si="129"/>
        <v>0.48148148148148145</v>
      </c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2">
        <v>2</v>
      </c>
      <c r="B608" s="10" t="s">
        <v>21</v>
      </c>
      <c r="C608" s="6" t="s">
        <v>22</v>
      </c>
      <c r="D608" s="13">
        <v>1700</v>
      </c>
      <c r="E608" s="13">
        <f t="shared" si="126"/>
        <v>3400</v>
      </c>
      <c r="F608" s="2"/>
      <c r="G608" s="2"/>
      <c r="H608" s="2"/>
      <c r="I608" s="13">
        <v>1200</v>
      </c>
      <c r="J608" s="13">
        <f t="shared" si="127"/>
        <v>2400</v>
      </c>
      <c r="K608" s="13">
        <f t="shared" si="128"/>
        <v>1000</v>
      </c>
      <c r="L608" s="14">
        <f t="shared" si="129"/>
        <v>0.29411764705882354</v>
      </c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2">
        <v>0.2</v>
      </c>
      <c r="B609" s="10" t="s">
        <v>17</v>
      </c>
      <c r="C609" s="6" t="s">
        <v>93</v>
      </c>
      <c r="D609" s="13">
        <v>3500</v>
      </c>
      <c r="E609" s="13">
        <f t="shared" si="126"/>
        <v>700</v>
      </c>
      <c r="F609" s="2"/>
      <c r="G609" s="2"/>
      <c r="H609" s="2"/>
      <c r="I609" s="13">
        <f>13000/7</f>
        <v>1857.1428571428571</v>
      </c>
      <c r="J609" s="13">
        <f t="shared" si="127"/>
        <v>371.42857142857144</v>
      </c>
      <c r="K609" s="13">
        <f t="shared" si="128"/>
        <v>328.57142857142856</v>
      </c>
      <c r="L609" s="14">
        <f t="shared" si="129"/>
        <v>0.46938775510204078</v>
      </c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"/>
      <c r="B610" s="2"/>
      <c r="C610" s="1"/>
      <c r="D610" s="2"/>
      <c r="E610" s="2"/>
      <c r="F610" s="2"/>
      <c r="G610" s="1"/>
      <c r="H610" s="2"/>
      <c r="I610" s="2"/>
      <c r="J610" s="2"/>
      <c r="K610" s="2"/>
      <c r="L610" s="3"/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"/>
      <c r="B611" s="2"/>
      <c r="C611" s="1"/>
      <c r="D611" s="2"/>
      <c r="E611" s="13">
        <f>SUM(E602:E609)</f>
        <v>44300</v>
      </c>
      <c r="F611" s="2"/>
      <c r="G611" s="2"/>
      <c r="H611" s="2"/>
      <c r="I611" s="2"/>
      <c r="J611" s="2"/>
      <c r="K611" s="13">
        <f>SUM(K602:K609)</f>
        <v>22017.460317460314</v>
      </c>
      <c r="L611" s="14">
        <f>K611/E611</f>
        <v>0.49700813357698226</v>
      </c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20"/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20"/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20"/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6" t="s">
        <v>174</v>
      </c>
      <c r="B615" s="25"/>
      <c r="C615" s="1"/>
      <c r="D615" s="12" t="s">
        <v>143</v>
      </c>
      <c r="E615" s="8">
        <v>46118</v>
      </c>
      <c r="F615" s="15" t="s">
        <v>37</v>
      </c>
      <c r="G615" s="2"/>
      <c r="H615" s="2"/>
      <c r="I615" s="2"/>
      <c r="J615" s="2"/>
      <c r="K615" s="2"/>
      <c r="L615" s="3"/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"/>
      <c r="B616" s="2"/>
      <c r="C616" s="1"/>
      <c r="D616" s="2"/>
      <c r="E616" s="2"/>
      <c r="F616" s="2"/>
      <c r="G616" s="2"/>
      <c r="H616" s="2"/>
      <c r="I616" s="2"/>
      <c r="J616" s="2"/>
      <c r="K616" s="2"/>
      <c r="L616" s="3"/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6" t="s">
        <v>3</v>
      </c>
      <c r="B617" s="10" t="s">
        <v>4</v>
      </c>
      <c r="C617" s="6" t="s">
        <v>5</v>
      </c>
      <c r="D617" s="10" t="s">
        <v>6</v>
      </c>
      <c r="E617" s="10" t="s">
        <v>7</v>
      </c>
      <c r="F617" s="2"/>
      <c r="G617" s="2"/>
      <c r="H617" s="2"/>
      <c r="I617" s="10" t="s">
        <v>6</v>
      </c>
      <c r="J617" s="10" t="s">
        <v>7</v>
      </c>
      <c r="K617" s="10" t="s">
        <v>10</v>
      </c>
      <c r="L617" s="3"/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2">
        <v>1</v>
      </c>
      <c r="B618" s="10" t="s">
        <v>86</v>
      </c>
      <c r="C618" s="6" t="s">
        <v>175</v>
      </c>
      <c r="D618" s="13">
        <v>38000</v>
      </c>
      <c r="E618" s="13">
        <f t="shared" ref="E618:E621" si="130">A618*D618</f>
        <v>38000</v>
      </c>
      <c r="F618" s="2"/>
      <c r="G618" s="2"/>
      <c r="H618" s="2"/>
      <c r="I618" s="13">
        <v>33250</v>
      </c>
      <c r="J618" s="13">
        <f t="shared" ref="J618:J621" si="131">I618*A618</f>
        <v>33250</v>
      </c>
      <c r="K618" s="13">
        <f t="shared" ref="K618:K621" si="132">E618-J618</f>
        <v>4750</v>
      </c>
      <c r="L618" s="14">
        <f t="shared" ref="L618:L621" si="133">K618/E618</f>
        <v>0.125</v>
      </c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2">
        <v>0.5</v>
      </c>
      <c r="B619" s="10" t="s">
        <v>86</v>
      </c>
      <c r="C619" s="6" t="s">
        <v>114</v>
      </c>
      <c r="D619" s="13">
        <v>25000</v>
      </c>
      <c r="E619" s="13">
        <f t="shared" si="130"/>
        <v>12500</v>
      </c>
      <c r="F619" s="2"/>
      <c r="G619" s="2"/>
      <c r="H619" s="2"/>
      <c r="I619" s="13">
        <v>20000</v>
      </c>
      <c r="J619" s="13">
        <f t="shared" si="131"/>
        <v>10000</v>
      </c>
      <c r="K619" s="13">
        <f t="shared" si="132"/>
        <v>2500</v>
      </c>
      <c r="L619" s="14">
        <f t="shared" si="133"/>
        <v>0.2</v>
      </c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2">
        <v>0.5</v>
      </c>
      <c r="B620" s="10" t="s">
        <v>86</v>
      </c>
      <c r="C620" s="6" t="s">
        <v>87</v>
      </c>
      <c r="D620" s="13">
        <v>38000</v>
      </c>
      <c r="E620" s="13">
        <f t="shared" si="130"/>
        <v>19000</v>
      </c>
      <c r="F620" s="2"/>
      <c r="G620" s="2"/>
      <c r="H620" s="2"/>
      <c r="I620" s="13">
        <v>32000</v>
      </c>
      <c r="J620" s="13">
        <f t="shared" si="131"/>
        <v>16000</v>
      </c>
      <c r="K620" s="13">
        <f t="shared" si="132"/>
        <v>3000</v>
      </c>
      <c r="L620" s="14">
        <f t="shared" si="133"/>
        <v>0.15789473684210525</v>
      </c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2">
        <v>1</v>
      </c>
      <c r="B621" s="10" t="s">
        <v>23</v>
      </c>
      <c r="C621" s="6" t="s">
        <v>88</v>
      </c>
      <c r="D621" s="13">
        <v>28000</v>
      </c>
      <c r="E621" s="13">
        <f t="shared" si="130"/>
        <v>28000</v>
      </c>
      <c r="F621" s="2"/>
      <c r="G621" s="2"/>
      <c r="H621" s="2"/>
      <c r="I621" s="13">
        <v>14000</v>
      </c>
      <c r="J621" s="13">
        <f t="shared" si="131"/>
        <v>14000</v>
      </c>
      <c r="K621" s="13">
        <f t="shared" si="132"/>
        <v>14000</v>
      </c>
      <c r="L621" s="14">
        <f t="shared" si="133"/>
        <v>0.5</v>
      </c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2"/>
      <c r="C622" s="1"/>
      <c r="D622" s="2"/>
      <c r="E622" s="2"/>
      <c r="F622" s="2"/>
      <c r="G622" s="1"/>
      <c r="H622" s="2"/>
      <c r="I622" s="2"/>
      <c r="J622" s="2"/>
      <c r="K622" s="2"/>
      <c r="L622" s="3"/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2"/>
      <c r="C623" s="1"/>
      <c r="D623" s="2"/>
      <c r="E623" s="13">
        <f>SUM(E618:E621)</f>
        <v>97500</v>
      </c>
      <c r="F623" s="2"/>
      <c r="G623" s="2"/>
      <c r="H623" s="2"/>
      <c r="I623" s="2"/>
      <c r="J623" s="2"/>
      <c r="K623" s="13">
        <f>SUM(K618:K621)</f>
        <v>24250</v>
      </c>
      <c r="L623" s="14">
        <f>K623/E623</f>
        <v>0.24871794871794872</v>
      </c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20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6" t="s">
        <v>96</v>
      </c>
      <c r="B625" s="1"/>
      <c r="C625" s="1"/>
      <c r="D625" s="22" t="s">
        <v>176</v>
      </c>
      <c r="E625" s="8">
        <v>46118</v>
      </c>
      <c r="F625" s="24" t="s">
        <v>37</v>
      </c>
      <c r="G625" s="2"/>
      <c r="H625" s="2"/>
      <c r="I625" s="2"/>
      <c r="J625" s="2"/>
      <c r="K625" s="2"/>
      <c r="L625" s="3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4"/>
      <c r="B626" s="2"/>
      <c r="C626" s="4"/>
      <c r="D626" s="2"/>
      <c r="E626" s="2"/>
      <c r="F626" s="2"/>
      <c r="G626" s="2"/>
      <c r="H626" s="2"/>
      <c r="I626" s="2"/>
      <c r="J626" s="2"/>
      <c r="K626" s="2"/>
      <c r="L626" s="3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6" t="s">
        <v>3</v>
      </c>
      <c r="B627" s="10" t="s">
        <v>4</v>
      </c>
      <c r="C627" s="11" t="s">
        <v>5</v>
      </c>
      <c r="D627" s="10" t="s">
        <v>6</v>
      </c>
      <c r="E627" s="10" t="s">
        <v>7</v>
      </c>
      <c r="F627" s="2"/>
      <c r="G627" s="2"/>
      <c r="H627" s="2"/>
      <c r="I627" s="10" t="s">
        <v>6</v>
      </c>
      <c r="J627" s="10" t="s">
        <v>7</v>
      </c>
      <c r="K627" s="10" t="s">
        <v>10</v>
      </c>
      <c r="L627" s="3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2">
        <v>1</v>
      </c>
      <c r="B628" s="10" t="s">
        <v>23</v>
      </c>
      <c r="C628" s="11" t="s">
        <v>82</v>
      </c>
      <c r="D628" s="13">
        <v>19000</v>
      </c>
      <c r="E628" s="13">
        <f t="shared" ref="E628:E637" si="134">A628*D628</f>
        <v>19000</v>
      </c>
      <c r="F628" s="2"/>
      <c r="G628" s="2"/>
      <c r="H628" s="2"/>
      <c r="I628" s="13">
        <v>16000</v>
      </c>
      <c r="J628" s="13">
        <f t="shared" ref="J628:J637" si="135">I628*A628</f>
        <v>16000</v>
      </c>
      <c r="K628" s="13">
        <f t="shared" ref="K628:K637" si="136">E628-J628</f>
        <v>3000</v>
      </c>
      <c r="L628" s="14">
        <f t="shared" ref="L628:L637" si="137">K628/E628</f>
        <v>0.15789473684210525</v>
      </c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2">
        <v>1</v>
      </c>
      <c r="B629" s="10" t="s">
        <v>23</v>
      </c>
      <c r="C629" s="11" t="s">
        <v>31</v>
      </c>
      <c r="D629" s="13">
        <v>20000</v>
      </c>
      <c r="E629" s="13">
        <f t="shared" si="134"/>
        <v>20000</v>
      </c>
      <c r="F629" s="2"/>
      <c r="G629" s="2"/>
      <c r="H629" s="2"/>
      <c r="I629" s="13">
        <v>15000</v>
      </c>
      <c r="J629" s="13">
        <f t="shared" si="135"/>
        <v>15000</v>
      </c>
      <c r="K629" s="13">
        <f t="shared" si="136"/>
        <v>5000</v>
      </c>
      <c r="L629" s="14">
        <f t="shared" si="137"/>
        <v>0.25</v>
      </c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2">
        <v>1</v>
      </c>
      <c r="B630" s="10" t="s">
        <v>23</v>
      </c>
      <c r="C630" s="11" t="s">
        <v>99</v>
      </c>
      <c r="D630" s="13">
        <v>13000</v>
      </c>
      <c r="E630" s="13">
        <f t="shared" si="134"/>
        <v>13000</v>
      </c>
      <c r="F630" s="2"/>
      <c r="G630" s="2"/>
      <c r="H630" s="2"/>
      <c r="I630" s="13">
        <v>10000</v>
      </c>
      <c r="J630" s="13">
        <f t="shared" si="135"/>
        <v>10000</v>
      </c>
      <c r="K630" s="13">
        <f t="shared" si="136"/>
        <v>3000</v>
      </c>
      <c r="L630" s="14">
        <f t="shared" si="137"/>
        <v>0.23076923076923078</v>
      </c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2">
        <v>0.5</v>
      </c>
      <c r="B631" s="10" t="s">
        <v>23</v>
      </c>
      <c r="C631" s="11" t="s">
        <v>81</v>
      </c>
      <c r="D631" s="13">
        <v>18000</v>
      </c>
      <c r="E631" s="13">
        <f t="shared" si="134"/>
        <v>9000</v>
      </c>
      <c r="F631" s="2"/>
      <c r="G631" s="2"/>
      <c r="H631" s="2"/>
      <c r="I631" s="13">
        <v>12000</v>
      </c>
      <c r="J631" s="13">
        <f t="shared" si="135"/>
        <v>6000</v>
      </c>
      <c r="K631" s="13">
        <f t="shared" si="136"/>
        <v>3000</v>
      </c>
      <c r="L631" s="14">
        <f t="shared" si="137"/>
        <v>0.33333333333333331</v>
      </c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2">
        <v>2</v>
      </c>
      <c r="B632" s="10" t="s">
        <v>15</v>
      </c>
      <c r="C632" s="11" t="s">
        <v>16</v>
      </c>
      <c r="D632" s="13">
        <v>13000</v>
      </c>
      <c r="E632" s="13">
        <f t="shared" si="134"/>
        <v>26000</v>
      </c>
      <c r="F632" s="2"/>
      <c r="G632" s="2"/>
      <c r="H632" s="2"/>
      <c r="I632" s="13">
        <v>8000</v>
      </c>
      <c r="J632" s="13">
        <f t="shared" si="135"/>
        <v>16000</v>
      </c>
      <c r="K632" s="13">
        <f t="shared" si="136"/>
        <v>10000</v>
      </c>
      <c r="L632" s="14">
        <f t="shared" si="137"/>
        <v>0.38461538461538464</v>
      </c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2">
        <v>5</v>
      </c>
      <c r="B633" s="10" t="s">
        <v>4</v>
      </c>
      <c r="C633" s="11" t="s">
        <v>14</v>
      </c>
      <c r="D633" s="13">
        <v>2600</v>
      </c>
      <c r="E633" s="13">
        <f t="shared" si="134"/>
        <v>13000</v>
      </c>
      <c r="F633" s="2"/>
      <c r="G633" s="2"/>
      <c r="H633" s="2"/>
      <c r="I633" s="13">
        <f>15000/8</f>
        <v>1875</v>
      </c>
      <c r="J633" s="13">
        <f t="shared" si="135"/>
        <v>9375</v>
      </c>
      <c r="K633" s="13">
        <f t="shared" si="136"/>
        <v>3625</v>
      </c>
      <c r="L633" s="14">
        <f t="shared" si="137"/>
        <v>0.27884615384615385</v>
      </c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2">
        <v>2</v>
      </c>
      <c r="B634" s="10" t="s">
        <v>15</v>
      </c>
      <c r="C634" s="11" t="s">
        <v>56</v>
      </c>
      <c r="D634" s="13">
        <v>14000</v>
      </c>
      <c r="E634" s="13">
        <f t="shared" si="134"/>
        <v>28000</v>
      </c>
      <c r="F634" s="2"/>
      <c r="G634" s="2"/>
      <c r="H634" s="2"/>
      <c r="I634" s="13">
        <v>10000</v>
      </c>
      <c r="J634" s="13">
        <f t="shared" si="135"/>
        <v>20000</v>
      </c>
      <c r="K634" s="13">
        <f t="shared" si="136"/>
        <v>8000</v>
      </c>
      <c r="L634" s="14">
        <f t="shared" si="137"/>
        <v>0.2857142857142857</v>
      </c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2">
        <v>2</v>
      </c>
      <c r="B635" s="10" t="s">
        <v>23</v>
      </c>
      <c r="C635" s="11" t="s">
        <v>22</v>
      </c>
      <c r="D635" s="13">
        <v>16000</v>
      </c>
      <c r="E635" s="13">
        <f t="shared" si="134"/>
        <v>32000</v>
      </c>
      <c r="F635" s="2"/>
      <c r="G635" s="2"/>
      <c r="H635" s="2"/>
      <c r="I635" s="13">
        <v>12000</v>
      </c>
      <c r="J635" s="13">
        <f t="shared" si="135"/>
        <v>24000</v>
      </c>
      <c r="K635" s="13">
        <f t="shared" si="136"/>
        <v>8000</v>
      </c>
      <c r="L635" s="14">
        <f t="shared" si="137"/>
        <v>0.25</v>
      </c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2">
        <v>1</v>
      </c>
      <c r="B636" s="10" t="s">
        <v>15</v>
      </c>
      <c r="C636" s="11" t="s">
        <v>167</v>
      </c>
      <c r="D636" s="13">
        <v>16000</v>
      </c>
      <c r="E636" s="13">
        <f t="shared" si="134"/>
        <v>16000</v>
      </c>
      <c r="F636" s="2"/>
      <c r="G636" s="2"/>
      <c r="H636" s="2"/>
      <c r="I636" s="13">
        <v>10000</v>
      </c>
      <c r="J636" s="13">
        <f t="shared" si="135"/>
        <v>10000</v>
      </c>
      <c r="K636" s="13">
        <f t="shared" si="136"/>
        <v>6000</v>
      </c>
      <c r="L636" s="14">
        <f t="shared" si="137"/>
        <v>0.375</v>
      </c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2">
        <v>12</v>
      </c>
      <c r="B637" s="10" t="s">
        <v>21</v>
      </c>
      <c r="C637" s="11" t="s">
        <v>46</v>
      </c>
      <c r="D637" s="13">
        <v>500</v>
      </c>
      <c r="E637" s="13">
        <f t="shared" si="134"/>
        <v>6000</v>
      </c>
      <c r="F637" s="2"/>
      <c r="G637" s="2"/>
      <c r="H637" s="2"/>
      <c r="I637" s="13">
        <f>5000/24</f>
        <v>208.33333333333334</v>
      </c>
      <c r="J637" s="13">
        <f t="shared" si="135"/>
        <v>2500</v>
      </c>
      <c r="K637" s="13">
        <f t="shared" si="136"/>
        <v>3500</v>
      </c>
      <c r="L637" s="14">
        <f t="shared" si="137"/>
        <v>0.58333333333333337</v>
      </c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2"/>
      <c r="C638" s="4"/>
      <c r="D638" s="2"/>
      <c r="E638" s="2"/>
      <c r="F638" s="2"/>
      <c r="G638" s="4"/>
      <c r="H638" s="2"/>
      <c r="I638" s="2"/>
      <c r="J638" s="2"/>
      <c r="K638" s="2"/>
      <c r="L638" s="3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2"/>
      <c r="C639" s="4"/>
      <c r="D639" s="2"/>
      <c r="E639" s="13">
        <f>SUM(E628:E637)</f>
        <v>182000</v>
      </c>
      <c r="F639" s="2"/>
      <c r="G639" s="2"/>
      <c r="H639" s="2"/>
      <c r="I639" s="2"/>
      <c r="J639" s="2"/>
      <c r="K639" s="13">
        <f>SUM(K628:K637)</f>
        <v>53125</v>
      </c>
      <c r="L639" s="14">
        <f>K639/E639</f>
        <v>0.29189560439560441</v>
      </c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20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20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20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6" t="s">
        <v>177</v>
      </c>
      <c r="B643" s="1"/>
      <c r="C643" s="1"/>
      <c r="D643" s="22" t="s">
        <v>178</v>
      </c>
      <c r="E643" s="8">
        <v>46118</v>
      </c>
      <c r="F643" s="24" t="s">
        <v>37</v>
      </c>
      <c r="G643" s="2"/>
      <c r="H643" s="2"/>
      <c r="I643" s="2"/>
      <c r="J643" s="2"/>
      <c r="K643" s="2"/>
      <c r="L643" s="3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4"/>
      <c r="B644" s="2"/>
      <c r="C644" s="4"/>
      <c r="D644" s="2"/>
      <c r="E644" s="2"/>
      <c r="F644" s="2"/>
      <c r="G644" s="2"/>
      <c r="H644" s="2"/>
      <c r="I644" s="2"/>
      <c r="J644" s="2"/>
      <c r="K644" s="2"/>
      <c r="L644" s="3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6" t="s">
        <v>3</v>
      </c>
      <c r="B645" s="10" t="s">
        <v>4</v>
      </c>
      <c r="C645" s="11" t="s">
        <v>5</v>
      </c>
      <c r="D645" s="10" t="s">
        <v>6</v>
      </c>
      <c r="E645" s="10" t="s">
        <v>7</v>
      </c>
      <c r="F645" s="2"/>
      <c r="G645" s="2"/>
      <c r="H645" s="2"/>
      <c r="I645" s="10" t="s">
        <v>6</v>
      </c>
      <c r="J645" s="10" t="s">
        <v>7</v>
      </c>
      <c r="K645" s="10" t="s">
        <v>10</v>
      </c>
      <c r="L645" s="3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12">
        <v>1</v>
      </c>
      <c r="B646" s="10" t="s">
        <v>15</v>
      </c>
      <c r="C646" s="11" t="s">
        <v>16</v>
      </c>
      <c r="D646" s="13">
        <v>13000</v>
      </c>
      <c r="E646" s="13">
        <f t="shared" ref="E646:E655" si="138">A646*D646</f>
        <v>13000</v>
      </c>
      <c r="F646" s="2"/>
      <c r="G646" s="2"/>
      <c r="H646" s="2"/>
      <c r="I646" s="13">
        <v>8000</v>
      </c>
      <c r="J646" s="13">
        <f t="shared" ref="J646:J655" si="139">I646*A646</f>
        <v>8000</v>
      </c>
      <c r="K646" s="13">
        <f t="shared" ref="K646:K655" si="140">E646-J646</f>
        <v>5000</v>
      </c>
      <c r="L646" s="14">
        <f t="shared" ref="L646:L655" si="141">K646/E646</f>
        <v>0.38461538461538464</v>
      </c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2">
        <v>2</v>
      </c>
      <c r="B647" s="10" t="s">
        <v>17</v>
      </c>
      <c r="C647" s="11" t="s">
        <v>99</v>
      </c>
      <c r="D647" s="13">
        <v>1500</v>
      </c>
      <c r="E647" s="13">
        <f t="shared" si="138"/>
        <v>3000</v>
      </c>
      <c r="F647" s="2"/>
      <c r="G647" s="2"/>
      <c r="H647" s="2"/>
      <c r="I647" s="13">
        <v>1000</v>
      </c>
      <c r="J647" s="13">
        <f t="shared" si="139"/>
        <v>2000</v>
      </c>
      <c r="K647" s="13">
        <f t="shared" si="140"/>
        <v>1000</v>
      </c>
      <c r="L647" s="14">
        <f t="shared" si="141"/>
        <v>0.33333333333333331</v>
      </c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2">
        <v>3</v>
      </c>
      <c r="B648" s="10" t="s">
        <v>17</v>
      </c>
      <c r="C648" s="11" t="s">
        <v>88</v>
      </c>
      <c r="D648" s="13">
        <v>2400</v>
      </c>
      <c r="E648" s="13">
        <f t="shared" si="138"/>
        <v>7200</v>
      </c>
      <c r="F648" s="2"/>
      <c r="G648" s="2"/>
      <c r="H648" s="2"/>
      <c r="I648" s="13">
        <f>20000/15</f>
        <v>1333.3333333333333</v>
      </c>
      <c r="J648" s="13">
        <f t="shared" si="139"/>
        <v>4000</v>
      </c>
      <c r="K648" s="13">
        <f t="shared" si="140"/>
        <v>3200</v>
      </c>
      <c r="L648" s="14">
        <f t="shared" si="141"/>
        <v>0.44444444444444442</v>
      </c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12">
        <v>1</v>
      </c>
      <c r="B649" s="10" t="s">
        <v>17</v>
      </c>
      <c r="C649" s="11" t="s">
        <v>127</v>
      </c>
      <c r="D649" s="13">
        <v>1800</v>
      </c>
      <c r="E649" s="13">
        <f t="shared" si="138"/>
        <v>1800</v>
      </c>
      <c r="F649" s="2"/>
      <c r="G649" s="2"/>
      <c r="H649" s="2"/>
      <c r="I649" s="13">
        <f>22000/15</f>
        <v>1466.6666666666667</v>
      </c>
      <c r="J649" s="13">
        <f t="shared" si="139"/>
        <v>1466.6666666666667</v>
      </c>
      <c r="K649" s="13">
        <f t="shared" si="140"/>
        <v>333.33333333333326</v>
      </c>
      <c r="L649" s="14">
        <f t="shared" si="141"/>
        <v>0.18518518518518515</v>
      </c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2">
        <v>4</v>
      </c>
      <c r="B650" s="10" t="s">
        <v>17</v>
      </c>
      <c r="C650" s="11" t="s">
        <v>81</v>
      </c>
      <c r="D650" s="13">
        <v>1800</v>
      </c>
      <c r="E650" s="13">
        <f t="shared" si="138"/>
        <v>7200</v>
      </c>
      <c r="F650" s="2"/>
      <c r="G650" s="2"/>
      <c r="H650" s="2"/>
      <c r="I650" s="13">
        <f>12000/15</f>
        <v>800</v>
      </c>
      <c r="J650" s="13">
        <f t="shared" si="139"/>
        <v>3200</v>
      </c>
      <c r="K650" s="13">
        <f t="shared" si="140"/>
        <v>4000</v>
      </c>
      <c r="L650" s="14">
        <f t="shared" si="141"/>
        <v>0.55555555555555558</v>
      </c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12">
        <v>3</v>
      </c>
      <c r="B651" s="10" t="s">
        <v>17</v>
      </c>
      <c r="C651" s="11" t="s">
        <v>82</v>
      </c>
      <c r="D651" s="13">
        <v>1400</v>
      </c>
      <c r="E651" s="13">
        <f t="shared" si="138"/>
        <v>4200</v>
      </c>
      <c r="F651" s="2"/>
      <c r="G651" s="2"/>
      <c r="H651" s="2"/>
      <c r="I651" s="13">
        <f>16000/15</f>
        <v>1066.6666666666667</v>
      </c>
      <c r="J651" s="13">
        <f t="shared" si="139"/>
        <v>3200</v>
      </c>
      <c r="K651" s="13">
        <f t="shared" si="140"/>
        <v>1000</v>
      </c>
      <c r="L651" s="14">
        <f t="shared" si="141"/>
        <v>0.23809523809523808</v>
      </c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2">
        <v>3</v>
      </c>
      <c r="B652" s="10" t="s">
        <v>17</v>
      </c>
      <c r="C652" s="11" t="s">
        <v>31</v>
      </c>
      <c r="D652" s="13">
        <v>3000</v>
      </c>
      <c r="E652" s="13">
        <f t="shared" si="138"/>
        <v>9000</v>
      </c>
      <c r="F652" s="2"/>
      <c r="G652" s="2"/>
      <c r="H652" s="2"/>
      <c r="I652" s="13">
        <f>15000/7</f>
        <v>2142.8571428571427</v>
      </c>
      <c r="J652" s="13">
        <f t="shared" si="139"/>
        <v>6428.5714285714275</v>
      </c>
      <c r="K652" s="13">
        <f t="shared" si="140"/>
        <v>2571.4285714285725</v>
      </c>
      <c r="L652" s="14">
        <f t="shared" si="141"/>
        <v>0.28571428571428581</v>
      </c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2">
        <v>2.4500000000000002</v>
      </c>
      <c r="B653" s="10" t="s">
        <v>17</v>
      </c>
      <c r="C653" s="11" t="s">
        <v>87</v>
      </c>
      <c r="D653" s="13">
        <v>3000</v>
      </c>
      <c r="E653" s="13">
        <f t="shared" si="138"/>
        <v>7350.0000000000009</v>
      </c>
      <c r="F653" s="2"/>
      <c r="G653" s="2"/>
      <c r="H653" s="2"/>
      <c r="I653" s="13">
        <f>32000/18</f>
        <v>1777.7777777777778</v>
      </c>
      <c r="J653" s="13">
        <f t="shared" si="139"/>
        <v>4355.5555555555557</v>
      </c>
      <c r="K653" s="13">
        <f t="shared" si="140"/>
        <v>2994.4444444444453</v>
      </c>
      <c r="L653" s="14">
        <f t="shared" si="141"/>
        <v>0.40740740740740744</v>
      </c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2">
        <v>1.3</v>
      </c>
      <c r="B654" s="10" t="s">
        <v>17</v>
      </c>
      <c r="C654" s="11" t="s">
        <v>24</v>
      </c>
      <c r="D654" s="13">
        <v>3600</v>
      </c>
      <c r="E654" s="13">
        <f t="shared" si="138"/>
        <v>4680</v>
      </c>
      <c r="F654" s="2"/>
      <c r="G654" s="2"/>
      <c r="H654" s="2"/>
      <c r="I654" s="13">
        <f>50000/17</f>
        <v>2941.1764705882351</v>
      </c>
      <c r="J654" s="13">
        <f t="shared" si="139"/>
        <v>3823.5294117647059</v>
      </c>
      <c r="K654" s="13">
        <f t="shared" si="140"/>
        <v>856.47058823529414</v>
      </c>
      <c r="L654" s="14">
        <f t="shared" si="141"/>
        <v>0.18300653594771243</v>
      </c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2">
        <v>2</v>
      </c>
      <c r="B655" s="10" t="s">
        <v>21</v>
      </c>
      <c r="C655" s="11" t="s">
        <v>46</v>
      </c>
      <c r="D655" s="13">
        <v>500</v>
      </c>
      <c r="E655" s="13">
        <f t="shared" si="138"/>
        <v>1000</v>
      </c>
      <c r="F655" s="2"/>
      <c r="G655" s="2"/>
      <c r="H655" s="2"/>
      <c r="I655" s="13">
        <f>5000/24</f>
        <v>208.33333333333334</v>
      </c>
      <c r="J655" s="13">
        <f t="shared" si="139"/>
        <v>416.66666666666669</v>
      </c>
      <c r="K655" s="13">
        <f t="shared" si="140"/>
        <v>583.33333333333326</v>
      </c>
      <c r="L655" s="14">
        <f t="shared" si="141"/>
        <v>0.58333333333333326</v>
      </c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2"/>
      <c r="C656" s="4"/>
      <c r="D656" s="2"/>
      <c r="E656" s="2"/>
      <c r="F656" s="2"/>
      <c r="G656" s="4"/>
      <c r="H656" s="2"/>
      <c r="I656" s="2"/>
      <c r="J656" s="2"/>
      <c r="K656" s="2"/>
      <c r="L656" s="3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2"/>
      <c r="C657" s="4"/>
      <c r="D657" s="2"/>
      <c r="E657" s="13">
        <f>SUM(E646:E655)</f>
        <v>58430</v>
      </c>
      <c r="F657" s="2"/>
      <c r="G657" s="2"/>
      <c r="H657" s="2"/>
      <c r="I657" s="2"/>
      <c r="J657" s="2"/>
      <c r="K657" s="13">
        <f>SUM(K646:K655)</f>
        <v>21539.010270774979</v>
      </c>
      <c r="L657" s="14">
        <f>K657/E657</f>
        <v>0.36862930465129179</v>
      </c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20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20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20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20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20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20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20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25.5" customHeight="1" x14ac:dyDescent="0.25">
      <c r="A665" s="26" t="s">
        <v>101</v>
      </c>
      <c r="B665" s="27">
        <f>E657+E639+E623+E611+F595+E581+F555+F525+F497+E468+E448+E422+E389+E359+E335+F313+F277+F242+F202+F160+F137+F94+F58+F13</f>
        <v>8815996.7000000011</v>
      </c>
      <c r="C665" s="4"/>
      <c r="D665" s="4"/>
      <c r="E665" s="4"/>
      <c r="F665" s="4"/>
      <c r="G665" s="4"/>
      <c r="H665" s="4"/>
      <c r="I665" s="4"/>
      <c r="J665" s="4"/>
      <c r="K665" s="4"/>
      <c r="L665" s="28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28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27" customHeight="1" x14ac:dyDescent="0.25">
      <c r="A667" s="26" t="s">
        <v>102</v>
      </c>
      <c r="B667" s="27">
        <f>K657+K639+K623+K611+K595+K581+K555+K525+K497+K468+K448+K422+K389+K359+K335+K313+K277+K242+K202+K160+K137+K94+K58+K13</f>
        <v>3161030.3502763561</v>
      </c>
      <c r="C667" s="4"/>
      <c r="D667" s="4"/>
      <c r="E667" s="4"/>
      <c r="F667" s="4"/>
      <c r="G667" s="4"/>
      <c r="H667" s="4"/>
      <c r="I667" s="4"/>
      <c r="J667" s="4"/>
      <c r="K667" s="4"/>
      <c r="L667" s="28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28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28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26.25" customHeight="1" x14ac:dyDescent="0.25">
      <c r="A670" s="26" t="s">
        <v>103</v>
      </c>
      <c r="B670" s="29">
        <f>B667/B665</f>
        <v>0.35855620842920183</v>
      </c>
      <c r="C670" s="4"/>
      <c r="D670" s="4"/>
      <c r="E670" s="4"/>
      <c r="F670" s="4"/>
      <c r="G670" s="4"/>
      <c r="H670" s="4"/>
      <c r="I670" s="4"/>
      <c r="J670" s="4"/>
      <c r="K670" s="4"/>
      <c r="L670" s="28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28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77" t="s">
        <v>104</v>
      </c>
      <c r="B672" s="76"/>
      <c r="C672" s="4"/>
      <c r="D672" s="4"/>
      <c r="E672" s="4"/>
      <c r="F672" s="4"/>
      <c r="G672" s="4"/>
      <c r="H672" s="4"/>
      <c r="I672" s="4"/>
      <c r="J672" s="4"/>
      <c r="K672" s="4"/>
      <c r="L672" s="28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20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20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20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20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20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20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20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</sheetData>
  <mergeCells count="12">
    <mergeCell ref="A163:C163"/>
    <mergeCell ref="A205:C205"/>
    <mergeCell ref="A3:C3"/>
    <mergeCell ref="A18:C18"/>
    <mergeCell ref="A61:C61"/>
    <mergeCell ref="A97:C97"/>
    <mergeCell ref="A142:C142"/>
    <mergeCell ref="A245:C245"/>
    <mergeCell ref="A281:C281"/>
    <mergeCell ref="A472:C472"/>
    <mergeCell ref="A585:C585"/>
    <mergeCell ref="A672:B672"/>
  </mergeCells>
  <conditionalFormatting sqref="L1:L679">
    <cfRule type="cellIs" dxfId="21" priority="1" operator="greaterThanOrEqual">
      <formula>"30%"</formula>
    </cfRule>
    <cfRule type="cellIs" dxfId="20" priority="2" operator="between">
      <formula>"25%"</formula>
      <formula>"30%"</formula>
    </cfRule>
    <cfRule type="cellIs" dxfId="19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280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5" t="s">
        <v>44</v>
      </c>
      <c r="B3" s="76"/>
      <c r="C3" s="76"/>
      <c r="D3" s="2"/>
      <c r="E3" s="7" t="s">
        <v>1</v>
      </c>
      <c r="F3" s="8">
        <v>46119</v>
      </c>
      <c r="G3" s="2"/>
      <c r="H3" s="2"/>
      <c r="I3" s="78" t="s">
        <v>2</v>
      </c>
      <c r="J3" s="76"/>
      <c r="K3" s="76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15</v>
      </c>
      <c r="C6" s="11" t="s">
        <v>16</v>
      </c>
      <c r="D6" s="13">
        <v>13000</v>
      </c>
      <c r="E6" s="13">
        <f t="shared" ref="E6:E43" si="0">A6*D6</f>
        <v>13000</v>
      </c>
      <c r="F6" s="13">
        <f t="shared" ref="F6:F42" si="1">E6*1.105</f>
        <v>14365</v>
      </c>
      <c r="G6" s="2"/>
      <c r="H6" s="2"/>
      <c r="I6" s="13">
        <v>7000</v>
      </c>
      <c r="J6" s="13">
        <f t="shared" ref="J6:J43" si="2">I6*A6</f>
        <v>7000</v>
      </c>
      <c r="K6" s="13">
        <f t="shared" ref="K6:K43" si="3">F6-J6</f>
        <v>7365</v>
      </c>
      <c r="L6" s="14">
        <f t="shared" ref="L6:L43" si="4">IFERROR(K6/E6, 0)</f>
        <v>0.56653846153846155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2</v>
      </c>
      <c r="B7" s="10" t="s">
        <v>17</v>
      </c>
      <c r="C7" s="11" t="s">
        <v>16</v>
      </c>
      <c r="D7" s="13">
        <v>1000</v>
      </c>
      <c r="E7" s="13">
        <f t="shared" si="0"/>
        <v>2000</v>
      </c>
      <c r="F7" s="13">
        <f t="shared" si="1"/>
        <v>2210</v>
      </c>
      <c r="G7" s="2"/>
      <c r="H7" s="2"/>
      <c r="I7" s="13">
        <f>7000/15</f>
        <v>466.66666666666669</v>
      </c>
      <c r="J7" s="13">
        <f t="shared" si="2"/>
        <v>933.33333333333337</v>
      </c>
      <c r="K7" s="13">
        <f t="shared" si="3"/>
        <v>1276.6666666666665</v>
      </c>
      <c r="L7" s="14">
        <f t="shared" si="4"/>
        <v>0.63833333333333331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</v>
      </c>
      <c r="B8" s="10" t="s">
        <v>15</v>
      </c>
      <c r="C8" s="11" t="s">
        <v>129</v>
      </c>
      <c r="D8" s="13">
        <v>16000</v>
      </c>
      <c r="E8" s="13">
        <f t="shared" si="0"/>
        <v>16000</v>
      </c>
      <c r="F8" s="13">
        <f t="shared" si="1"/>
        <v>17680</v>
      </c>
      <c r="G8" s="2"/>
      <c r="H8" s="2"/>
      <c r="I8" s="13">
        <v>12000</v>
      </c>
      <c r="J8" s="13">
        <f t="shared" si="2"/>
        <v>12000</v>
      </c>
      <c r="K8" s="13">
        <f t="shared" si="3"/>
        <v>5680</v>
      </c>
      <c r="L8" s="14">
        <f t="shared" si="4"/>
        <v>0.35499999999999998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5</v>
      </c>
      <c r="B9" s="10" t="s">
        <v>15</v>
      </c>
      <c r="C9" s="11" t="s">
        <v>27</v>
      </c>
      <c r="D9" s="13">
        <v>23000</v>
      </c>
      <c r="E9" s="13">
        <f t="shared" si="0"/>
        <v>115000</v>
      </c>
      <c r="F9" s="13">
        <f t="shared" si="1"/>
        <v>127075</v>
      </c>
      <c r="G9" s="2"/>
      <c r="H9" s="2"/>
      <c r="I9" s="13">
        <v>17500</v>
      </c>
      <c r="J9" s="13">
        <f t="shared" si="2"/>
        <v>87500</v>
      </c>
      <c r="K9" s="13">
        <f t="shared" si="3"/>
        <v>39575</v>
      </c>
      <c r="L9" s="14">
        <f t="shared" si="4"/>
        <v>0.34413043478260869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1.5</v>
      </c>
      <c r="B10" s="10" t="s">
        <v>15</v>
      </c>
      <c r="C10" s="11" t="s">
        <v>40</v>
      </c>
      <c r="D10" s="13">
        <v>12000</v>
      </c>
      <c r="E10" s="13">
        <f t="shared" si="0"/>
        <v>18000</v>
      </c>
      <c r="F10" s="13">
        <f t="shared" si="1"/>
        <v>19890</v>
      </c>
      <c r="G10" s="2"/>
      <c r="H10" s="2"/>
      <c r="I10" s="13">
        <v>7000</v>
      </c>
      <c r="J10" s="13">
        <f t="shared" si="2"/>
        <v>10500</v>
      </c>
      <c r="K10" s="13">
        <f t="shared" si="3"/>
        <v>9390</v>
      </c>
      <c r="L10" s="14">
        <f t="shared" si="4"/>
        <v>0.52166666666666661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</v>
      </c>
      <c r="B11" s="10" t="s">
        <v>4</v>
      </c>
      <c r="C11" s="11" t="s">
        <v>41</v>
      </c>
      <c r="D11" s="13">
        <v>2800</v>
      </c>
      <c r="E11" s="13">
        <f t="shared" si="0"/>
        <v>8400</v>
      </c>
      <c r="F11" s="13">
        <f t="shared" si="1"/>
        <v>9282</v>
      </c>
      <c r="G11" s="2"/>
      <c r="H11" s="2"/>
      <c r="I11" s="13">
        <f>16000/10</f>
        <v>1600</v>
      </c>
      <c r="J11" s="13">
        <f t="shared" si="2"/>
        <v>4800</v>
      </c>
      <c r="K11" s="13">
        <f t="shared" si="3"/>
        <v>4482</v>
      </c>
      <c r="L11" s="14">
        <f t="shared" si="4"/>
        <v>0.53357142857142859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3.5</v>
      </c>
      <c r="B12" s="10" t="s">
        <v>17</v>
      </c>
      <c r="C12" s="11" t="s">
        <v>18</v>
      </c>
      <c r="D12" s="13">
        <v>1600</v>
      </c>
      <c r="E12" s="13">
        <f t="shared" si="0"/>
        <v>5600</v>
      </c>
      <c r="F12" s="13">
        <f t="shared" si="1"/>
        <v>6188</v>
      </c>
      <c r="G12" s="2"/>
      <c r="H12" s="2"/>
      <c r="I12" s="13">
        <v>1000</v>
      </c>
      <c r="J12" s="13">
        <f t="shared" si="2"/>
        <v>3500</v>
      </c>
      <c r="K12" s="13">
        <f t="shared" si="3"/>
        <v>2688</v>
      </c>
      <c r="L12" s="14">
        <f t="shared" si="4"/>
        <v>0.48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</v>
      </c>
      <c r="B13" s="10" t="s">
        <v>17</v>
      </c>
      <c r="C13" s="11" t="s">
        <v>56</v>
      </c>
      <c r="D13" s="13">
        <v>800</v>
      </c>
      <c r="E13" s="13">
        <f t="shared" si="0"/>
        <v>800</v>
      </c>
      <c r="F13" s="13">
        <f t="shared" si="1"/>
        <v>884</v>
      </c>
      <c r="G13" s="2"/>
      <c r="H13" s="2"/>
      <c r="I13" s="13">
        <f>10000/15</f>
        <v>666.66666666666663</v>
      </c>
      <c r="J13" s="13">
        <f t="shared" si="2"/>
        <v>666.66666666666663</v>
      </c>
      <c r="K13" s="13">
        <f t="shared" si="3"/>
        <v>217.33333333333337</v>
      </c>
      <c r="L13" s="14">
        <f t="shared" si="4"/>
        <v>0.27166666666666672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4</v>
      </c>
      <c r="C14" s="11" t="s">
        <v>13</v>
      </c>
      <c r="D14" s="13">
        <v>900</v>
      </c>
      <c r="E14" s="13">
        <f t="shared" si="0"/>
        <v>1800</v>
      </c>
      <c r="F14" s="13">
        <f t="shared" si="1"/>
        <v>1989</v>
      </c>
      <c r="G14" s="2"/>
      <c r="H14" s="2"/>
      <c r="I14" s="13">
        <v>460</v>
      </c>
      <c r="J14" s="13">
        <f t="shared" si="2"/>
        <v>920</v>
      </c>
      <c r="K14" s="13">
        <f t="shared" si="3"/>
        <v>1069</v>
      </c>
      <c r="L14" s="14">
        <f t="shared" si="4"/>
        <v>0.59388888888888891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3.75</v>
      </c>
      <c r="B15" s="10" t="s">
        <v>17</v>
      </c>
      <c r="C15" s="11" t="s">
        <v>36</v>
      </c>
      <c r="D15" s="13">
        <v>1800</v>
      </c>
      <c r="E15" s="13">
        <f t="shared" si="0"/>
        <v>6750</v>
      </c>
      <c r="F15" s="13">
        <f t="shared" si="1"/>
        <v>7458.75</v>
      </c>
      <c r="G15" s="2"/>
      <c r="H15" s="2"/>
      <c r="I15" s="13">
        <v>1000</v>
      </c>
      <c r="J15" s="13">
        <f t="shared" si="2"/>
        <v>3750</v>
      </c>
      <c r="K15" s="13">
        <f t="shared" si="3"/>
        <v>3708.75</v>
      </c>
      <c r="L15" s="14">
        <f t="shared" si="4"/>
        <v>0.5494444444444444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3</v>
      </c>
      <c r="B16" s="10" t="s">
        <v>17</v>
      </c>
      <c r="C16" s="11" t="s">
        <v>38</v>
      </c>
      <c r="D16" s="13">
        <v>1800</v>
      </c>
      <c r="E16" s="13">
        <f t="shared" si="0"/>
        <v>5400</v>
      </c>
      <c r="F16" s="13">
        <f t="shared" si="1"/>
        <v>5967</v>
      </c>
      <c r="G16" s="2"/>
      <c r="H16" s="2"/>
      <c r="I16" s="13">
        <v>1000</v>
      </c>
      <c r="J16" s="13">
        <f t="shared" si="2"/>
        <v>3000</v>
      </c>
      <c r="K16" s="13">
        <f t="shared" si="3"/>
        <v>2967</v>
      </c>
      <c r="L16" s="14">
        <f t="shared" si="4"/>
        <v>0.5494444444444444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17</v>
      </c>
      <c r="C17" s="11" t="s">
        <v>61</v>
      </c>
      <c r="D17" s="13">
        <v>1400</v>
      </c>
      <c r="E17" s="13">
        <f t="shared" si="0"/>
        <v>1400</v>
      </c>
      <c r="F17" s="13">
        <f t="shared" si="1"/>
        <v>1547</v>
      </c>
      <c r="G17" s="2"/>
      <c r="H17" s="2"/>
      <c r="I17" s="13">
        <f>12000/14</f>
        <v>857.14285714285711</v>
      </c>
      <c r="J17" s="13">
        <f t="shared" si="2"/>
        <v>857.14285714285711</v>
      </c>
      <c r="K17" s="13">
        <f t="shared" si="3"/>
        <v>689.85714285714289</v>
      </c>
      <c r="L17" s="18">
        <f t="shared" si="4"/>
        <v>0.49275510204081635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0.5</v>
      </c>
      <c r="B18" s="10" t="s">
        <v>17</v>
      </c>
      <c r="C18" s="11" t="s">
        <v>99</v>
      </c>
      <c r="D18" s="13">
        <v>1500</v>
      </c>
      <c r="E18" s="13">
        <f t="shared" si="0"/>
        <v>750</v>
      </c>
      <c r="F18" s="13">
        <f t="shared" si="1"/>
        <v>828.75</v>
      </c>
      <c r="G18" s="2"/>
      <c r="H18" s="2"/>
      <c r="I18" s="13">
        <f>10000/8</f>
        <v>1250</v>
      </c>
      <c r="J18" s="13">
        <f t="shared" si="2"/>
        <v>625</v>
      </c>
      <c r="K18" s="13">
        <f t="shared" si="3"/>
        <v>203.75</v>
      </c>
      <c r="L18" s="18">
        <f t="shared" si="4"/>
        <v>0.27166666666666667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0.5</v>
      </c>
      <c r="B19" s="10" t="s">
        <v>17</v>
      </c>
      <c r="C19" s="11" t="s">
        <v>64</v>
      </c>
      <c r="D19" s="13">
        <v>2500</v>
      </c>
      <c r="E19" s="13">
        <f t="shared" si="0"/>
        <v>1250</v>
      </c>
      <c r="F19" s="13">
        <f t="shared" si="1"/>
        <v>1381.25</v>
      </c>
      <c r="G19" s="2"/>
      <c r="H19" s="2"/>
      <c r="I19" s="13">
        <f>9000/8</f>
        <v>1125</v>
      </c>
      <c r="J19" s="13">
        <f t="shared" si="2"/>
        <v>562.5</v>
      </c>
      <c r="K19" s="13">
        <f t="shared" si="3"/>
        <v>818.75</v>
      </c>
      <c r="L19" s="18">
        <f t="shared" si="4"/>
        <v>0.65500000000000003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1</v>
      </c>
      <c r="B20" s="10" t="s">
        <v>21</v>
      </c>
      <c r="C20" s="11" t="s">
        <v>29</v>
      </c>
      <c r="D20" s="13">
        <v>3500</v>
      </c>
      <c r="E20" s="13">
        <f t="shared" si="0"/>
        <v>3500</v>
      </c>
      <c r="F20" s="13">
        <f t="shared" si="1"/>
        <v>3867.5</v>
      </c>
      <c r="G20" s="2"/>
      <c r="H20" s="2"/>
      <c r="I20" s="13">
        <v>1500</v>
      </c>
      <c r="J20" s="13">
        <f t="shared" si="2"/>
        <v>1500</v>
      </c>
      <c r="K20" s="13">
        <f t="shared" si="3"/>
        <v>2367.5</v>
      </c>
      <c r="L20" s="18">
        <f t="shared" si="4"/>
        <v>0.67642857142857138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21</v>
      </c>
      <c r="C21" s="11" t="s">
        <v>28</v>
      </c>
      <c r="D21" s="13">
        <v>3000</v>
      </c>
      <c r="E21" s="13">
        <f t="shared" si="0"/>
        <v>3000</v>
      </c>
      <c r="F21" s="13">
        <f t="shared" si="1"/>
        <v>3315</v>
      </c>
      <c r="G21" s="2"/>
      <c r="H21" s="2"/>
      <c r="I21" s="13">
        <v>2000</v>
      </c>
      <c r="J21" s="13">
        <f t="shared" si="2"/>
        <v>2000</v>
      </c>
      <c r="K21" s="13">
        <f t="shared" si="3"/>
        <v>1315</v>
      </c>
      <c r="L21" s="18">
        <f t="shared" si="4"/>
        <v>0.43833333333333335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1</v>
      </c>
      <c r="B22" s="10" t="s">
        <v>21</v>
      </c>
      <c r="C22" s="11" t="s">
        <v>133</v>
      </c>
      <c r="D22" s="13">
        <v>3000</v>
      </c>
      <c r="E22" s="13">
        <f t="shared" si="0"/>
        <v>3000</v>
      </c>
      <c r="F22" s="13">
        <f t="shared" si="1"/>
        <v>3315</v>
      </c>
      <c r="G22" s="2"/>
      <c r="H22" s="2"/>
      <c r="I22" s="13">
        <v>2000</v>
      </c>
      <c r="J22" s="13">
        <f t="shared" si="2"/>
        <v>2000</v>
      </c>
      <c r="K22" s="13">
        <f t="shared" si="3"/>
        <v>1315</v>
      </c>
      <c r="L22" s="33">
        <f t="shared" si="4"/>
        <v>0.43833333333333335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0.5</v>
      </c>
      <c r="B23" s="10" t="s">
        <v>17</v>
      </c>
      <c r="C23" s="11" t="s">
        <v>42</v>
      </c>
      <c r="D23" s="13">
        <v>4500</v>
      </c>
      <c r="E23" s="13">
        <f t="shared" si="0"/>
        <v>2250</v>
      </c>
      <c r="F23" s="13">
        <f t="shared" si="1"/>
        <v>2486.25</v>
      </c>
      <c r="G23" s="2"/>
      <c r="H23" s="2"/>
      <c r="I23" s="13">
        <v>2000</v>
      </c>
      <c r="J23" s="13">
        <f t="shared" si="2"/>
        <v>1000</v>
      </c>
      <c r="K23" s="13">
        <f t="shared" si="3"/>
        <v>1486.25</v>
      </c>
      <c r="L23" s="33">
        <f t="shared" si="4"/>
        <v>0.66055555555555556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2</v>
      </c>
      <c r="B24" s="10" t="s">
        <v>21</v>
      </c>
      <c r="C24" s="11" t="s">
        <v>51</v>
      </c>
      <c r="D24" s="13">
        <v>1500</v>
      </c>
      <c r="E24" s="13">
        <f t="shared" si="0"/>
        <v>3000</v>
      </c>
      <c r="F24" s="13">
        <f t="shared" si="1"/>
        <v>3315</v>
      </c>
      <c r="G24" s="2"/>
      <c r="H24" s="2"/>
      <c r="I24" s="13">
        <v>1000</v>
      </c>
      <c r="J24" s="13">
        <f t="shared" si="2"/>
        <v>2000</v>
      </c>
      <c r="K24" s="13">
        <f t="shared" si="3"/>
        <v>1315</v>
      </c>
      <c r="L24" s="18">
        <f t="shared" si="4"/>
        <v>0.43833333333333335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1</v>
      </c>
      <c r="B25" s="10" t="s">
        <v>17</v>
      </c>
      <c r="C25" s="11" t="s">
        <v>35</v>
      </c>
      <c r="D25" s="13">
        <v>2500</v>
      </c>
      <c r="E25" s="13">
        <f t="shared" si="0"/>
        <v>2500</v>
      </c>
      <c r="F25" s="13">
        <f t="shared" si="1"/>
        <v>2762.5</v>
      </c>
      <c r="G25" s="2"/>
      <c r="H25" s="2"/>
      <c r="I25" s="13">
        <f>14000/9</f>
        <v>1555.5555555555557</v>
      </c>
      <c r="J25" s="13">
        <f t="shared" si="2"/>
        <v>1555.5555555555557</v>
      </c>
      <c r="K25" s="13">
        <f t="shared" si="3"/>
        <v>1206.9444444444443</v>
      </c>
      <c r="L25" s="18">
        <f t="shared" si="4"/>
        <v>0.48277777777777775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1</v>
      </c>
      <c r="B26" s="10" t="s">
        <v>4</v>
      </c>
      <c r="C26" s="11" t="s">
        <v>14</v>
      </c>
      <c r="D26" s="13">
        <v>2600</v>
      </c>
      <c r="E26" s="13">
        <f t="shared" si="0"/>
        <v>2600</v>
      </c>
      <c r="F26" s="13">
        <f t="shared" si="1"/>
        <v>2873</v>
      </c>
      <c r="G26" s="2"/>
      <c r="H26" s="2"/>
      <c r="I26" s="13">
        <f>15000/8</f>
        <v>1875</v>
      </c>
      <c r="J26" s="13">
        <f t="shared" si="2"/>
        <v>1875</v>
      </c>
      <c r="K26" s="13">
        <f t="shared" si="3"/>
        <v>998</v>
      </c>
      <c r="L26" s="14">
        <f t="shared" si="4"/>
        <v>0.38384615384615384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0.7</v>
      </c>
      <c r="B27" s="10" t="s">
        <v>17</v>
      </c>
      <c r="C27" s="11" t="s">
        <v>93</v>
      </c>
      <c r="D27" s="13">
        <v>3000</v>
      </c>
      <c r="E27" s="13">
        <f t="shared" si="0"/>
        <v>2100</v>
      </c>
      <c r="F27" s="13">
        <f t="shared" si="1"/>
        <v>2320.5</v>
      </c>
      <c r="G27" s="2"/>
      <c r="H27" s="2"/>
      <c r="I27" s="13">
        <f>7000/6</f>
        <v>1166.6666666666667</v>
      </c>
      <c r="J27" s="13">
        <f t="shared" si="2"/>
        <v>816.66666666666663</v>
      </c>
      <c r="K27" s="13">
        <f t="shared" si="3"/>
        <v>1503.8333333333335</v>
      </c>
      <c r="L27" s="14">
        <f t="shared" si="4"/>
        <v>0.71611111111111114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16</v>
      </c>
      <c r="B28" s="10" t="s">
        <v>17</v>
      </c>
      <c r="C28" s="11" t="s">
        <v>39</v>
      </c>
      <c r="D28" s="13">
        <v>2400</v>
      </c>
      <c r="E28" s="13">
        <f t="shared" si="0"/>
        <v>38400</v>
      </c>
      <c r="F28" s="13">
        <f t="shared" si="1"/>
        <v>42432</v>
      </c>
      <c r="G28" s="2"/>
      <c r="H28" s="2"/>
      <c r="I28" s="13">
        <f>25000/15</f>
        <v>1666.6666666666667</v>
      </c>
      <c r="J28" s="13">
        <f t="shared" si="2"/>
        <v>26666.666666666668</v>
      </c>
      <c r="K28" s="13">
        <f t="shared" si="3"/>
        <v>15765.333333333332</v>
      </c>
      <c r="L28" s="14">
        <f t="shared" si="4"/>
        <v>0.41055555555555551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4</v>
      </c>
      <c r="B29" s="10" t="s">
        <v>17</v>
      </c>
      <c r="C29" s="11" t="s">
        <v>43</v>
      </c>
      <c r="D29" s="13">
        <v>4000</v>
      </c>
      <c r="E29" s="13">
        <f t="shared" si="0"/>
        <v>16000</v>
      </c>
      <c r="F29" s="13">
        <f t="shared" si="1"/>
        <v>17680</v>
      </c>
      <c r="G29" s="2"/>
      <c r="H29" s="2"/>
      <c r="I29" s="13">
        <f>18000/4</f>
        <v>4500</v>
      </c>
      <c r="J29" s="13">
        <f t="shared" si="2"/>
        <v>18000</v>
      </c>
      <c r="K29" s="13">
        <f t="shared" si="3"/>
        <v>-320</v>
      </c>
      <c r="L29" s="14">
        <f t="shared" si="4"/>
        <v>-0.02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25</v>
      </c>
      <c r="B30" s="10" t="s">
        <v>21</v>
      </c>
      <c r="C30" s="11" t="s">
        <v>46</v>
      </c>
      <c r="D30" s="13">
        <v>600</v>
      </c>
      <c r="E30" s="13">
        <f t="shared" si="0"/>
        <v>15000</v>
      </c>
      <c r="F30" s="13">
        <f t="shared" si="1"/>
        <v>16575</v>
      </c>
      <c r="G30" s="2"/>
      <c r="H30" s="2"/>
      <c r="I30" s="13">
        <f>8000/24</f>
        <v>333.33333333333331</v>
      </c>
      <c r="J30" s="13">
        <f t="shared" si="2"/>
        <v>8333.3333333333321</v>
      </c>
      <c r="K30" s="13">
        <f t="shared" si="3"/>
        <v>8241.6666666666679</v>
      </c>
      <c r="L30" s="14">
        <f t="shared" si="4"/>
        <v>0.54944444444444451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9</v>
      </c>
      <c r="B31" s="10" t="s">
        <v>21</v>
      </c>
      <c r="C31" s="11" t="s">
        <v>22</v>
      </c>
      <c r="D31" s="13">
        <v>1700</v>
      </c>
      <c r="E31" s="13">
        <f t="shared" si="0"/>
        <v>15300</v>
      </c>
      <c r="F31" s="13">
        <f t="shared" si="1"/>
        <v>16906.5</v>
      </c>
      <c r="G31" s="2"/>
      <c r="H31" s="2"/>
      <c r="I31" s="13">
        <f>13000/12</f>
        <v>1083.3333333333333</v>
      </c>
      <c r="J31" s="13">
        <f t="shared" si="2"/>
        <v>9750</v>
      </c>
      <c r="K31" s="13">
        <f t="shared" si="3"/>
        <v>7156.5</v>
      </c>
      <c r="L31" s="14">
        <f t="shared" si="4"/>
        <v>0.46774509803921571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0.1</v>
      </c>
      <c r="B32" s="10" t="s">
        <v>17</v>
      </c>
      <c r="C32" s="11" t="s">
        <v>88</v>
      </c>
      <c r="D32" s="13">
        <v>2400</v>
      </c>
      <c r="E32" s="13">
        <f t="shared" si="0"/>
        <v>240</v>
      </c>
      <c r="F32" s="13">
        <f t="shared" si="1"/>
        <v>265.2</v>
      </c>
      <c r="G32" s="2"/>
      <c r="H32" s="2"/>
      <c r="I32" s="13">
        <f>20000/15</f>
        <v>1333.3333333333333</v>
      </c>
      <c r="J32" s="13">
        <f t="shared" si="2"/>
        <v>133.33333333333334</v>
      </c>
      <c r="K32" s="13">
        <f t="shared" si="3"/>
        <v>131.86666666666665</v>
      </c>
      <c r="L32" s="14">
        <f t="shared" si="4"/>
        <v>0.5494444444444444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5</v>
      </c>
      <c r="B33" s="10" t="s">
        <v>17</v>
      </c>
      <c r="C33" s="11" t="s">
        <v>123</v>
      </c>
      <c r="D33" s="13">
        <v>3200</v>
      </c>
      <c r="E33" s="13">
        <f t="shared" si="0"/>
        <v>16000</v>
      </c>
      <c r="F33" s="13">
        <f t="shared" si="1"/>
        <v>17680</v>
      </c>
      <c r="G33" s="2"/>
      <c r="H33" s="2"/>
      <c r="I33" s="13">
        <f>32000/15</f>
        <v>2133.3333333333335</v>
      </c>
      <c r="J33" s="13">
        <f t="shared" si="2"/>
        <v>10666.666666666668</v>
      </c>
      <c r="K33" s="13">
        <f t="shared" si="3"/>
        <v>7013.3333333333321</v>
      </c>
      <c r="L33" s="18">
        <f t="shared" si="4"/>
        <v>0.43833333333333324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5</v>
      </c>
      <c r="B34" s="10" t="s">
        <v>17</v>
      </c>
      <c r="C34" s="11" t="s">
        <v>82</v>
      </c>
      <c r="D34" s="13">
        <v>1400</v>
      </c>
      <c r="E34" s="13">
        <f t="shared" si="0"/>
        <v>7000</v>
      </c>
      <c r="F34" s="13">
        <f t="shared" si="1"/>
        <v>7735</v>
      </c>
      <c r="G34" s="2"/>
      <c r="H34" s="2"/>
      <c r="I34" s="13">
        <f>15000/14</f>
        <v>1071.4285714285713</v>
      </c>
      <c r="J34" s="13">
        <f t="shared" si="2"/>
        <v>5357.1428571428569</v>
      </c>
      <c r="K34" s="13">
        <f t="shared" si="3"/>
        <v>2377.8571428571431</v>
      </c>
      <c r="L34" s="18">
        <f t="shared" si="4"/>
        <v>0.33969387755102043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2</v>
      </c>
      <c r="B35" s="10" t="s">
        <v>23</v>
      </c>
      <c r="C35" s="11" t="s">
        <v>26</v>
      </c>
      <c r="D35" s="13">
        <v>26000</v>
      </c>
      <c r="E35" s="13">
        <f t="shared" si="0"/>
        <v>52000</v>
      </c>
      <c r="F35" s="13">
        <f t="shared" si="1"/>
        <v>57460</v>
      </c>
      <c r="G35" s="2"/>
      <c r="H35" s="2"/>
      <c r="I35" s="13">
        <v>25000</v>
      </c>
      <c r="J35" s="13">
        <f t="shared" si="2"/>
        <v>50000</v>
      </c>
      <c r="K35" s="13">
        <f t="shared" si="3"/>
        <v>7460</v>
      </c>
      <c r="L35" s="18">
        <f t="shared" si="4"/>
        <v>0.14346153846153847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23</v>
      </c>
      <c r="C36" s="11" t="s">
        <v>24</v>
      </c>
      <c r="D36" s="13">
        <v>60000</v>
      </c>
      <c r="E36" s="13">
        <f t="shared" si="0"/>
        <v>60000</v>
      </c>
      <c r="F36" s="13">
        <f t="shared" si="1"/>
        <v>66300</v>
      </c>
      <c r="G36" s="2"/>
      <c r="H36" s="2"/>
      <c r="I36" s="13">
        <v>50000</v>
      </c>
      <c r="J36" s="13">
        <f t="shared" si="2"/>
        <v>50000</v>
      </c>
      <c r="K36" s="13">
        <f t="shared" si="3"/>
        <v>16300</v>
      </c>
      <c r="L36" s="18">
        <f t="shared" si="4"/>
        <v>0.27166666666666667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4</v>
      </c>
      <c r="B37" s="10" t="s">
        <v>17</v>
      </c>
      <c r="C37" s="11" t="s">
        <v>25</v>
      </c>
      <c r="D37" s="13">
        <v>4500</v>
      </c>
      <c r="E37" s="13">
        <f t="shared" si="0"/>
        <v>18000</v>
      </c>
      <c r="F37" s="13">
        <f t="shared" si="1"/>
        <v>19890</v>
      </c>
      <c r="G37" s="2"/>
      <c r="H37" s="2"/>
      <c r="I37" s="13">
        <f>65000/17</f>
        <v>3823.5294117647059</v>
      </c>
      <c r="J37" s="13">
        <f t="shared" si="2"/>
        <v>15294.117647058823</v>
      </c>
      <c r="K37" s="13">
        <f t="shared" si="3"/>
        <v>4595.8823529411766</v>
      </c>
      <c r="L37" s="33">
        <f t="shared" si="4"/>
        <v>0.25532679738562092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5</v>
      </c>
      <c r="B38" s="10" t="s">
        <v>17</v>
      </c>
      <c r="C38" s="11" t="s">
        <v>78</v>
      </c>
      <c r="D38" s="13">
        <v>4000</v>
      </c>
      <c r="E38" s="13">
        <f t="shared" si="0"/>
        <v>20000</v>
      </c>
      <c r="F38" s="13">
        <f t="shared" si="1"/>
        <v>22100</v>
      </c>
      <c r="G38" s="2"/>
      <c r="H38" s="2"/>
      <c r="I38" s="13">
        <f>18000/8</f>
        <v>2250</v>
      </c>
      <c r="J38" s="13">
        <f t="shared" si="2"/>
        <v>11250</v>
      </c>
      <c r="K38" s="13">
        <f t="shared" si="3"/>
        <v>10850</v>
      </c>
      <c r="L38" s="33">
        <f t="shared" si="4"/>
        <v>0.54249999999999998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1.8</v>
      </c>
      <c r="B39" s="10" t="s">
        <v>17</v>
      </c>
      <c r="C39" s="11" t="s">
        <v>19</v>
      </c>
      <c r="D39" s="13">
        <v>4000</v>
      </c>
      <c r="E39" s="13">
        <f t="shared" si="0"/>
        <v>7200</v>
      </c>
      <c r="F39" s="13">
        <f t="shared" si="1"/>
        <v>7956</v>
      </c>
      <c r="G39" s="2"/>
      <c r="H39" s="2"/>
      <c r="I39" s="13">
        <v>2250</v>
      </c>
      <c r="J39" s="13">
        <f t="shared" si="2"/>
        <v>4050</v>
      </c>
      <c r="K39" s="13">
        <f t="shared" si="3"/>
        <v>3906</v>
      </c>
      <c r="L39" s="18">
        <f t="shared" si="4"/>
        <v>0.54249999999999998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4</v>
      </c>
      <c r="B40" s="10" t="s">
        <v>17</v>
      </c>
      <c r="C40" s="11" t="s">
        <v>31</v>
      </c>
      <c r="D40" s="13">
        <v>3200</v>
      </c>
      <c r="E40" s="13">
        <f t="shared" si="0"/>
        <v>12800</v>
      </c>
      <c r="F40" s="13">
        <f t="shared" si="1"/>
        <v>14144</v>
      </c>
      <c r="G40" s="2"/>
      <c r="H40" s="2"/>
      <c r="I40" s="13">
        <f>20000/7</f>
        <v>2857.1428571428573</v>
      </c>
      <c r="J40" s="13">
        <f t="shared" si="2"/>
        <v>11428.571428571429</v>
      </c>
      <c r="K40" s="13">
        <f t="shared" si="3"/>
        <v>2715.4285714285706</v>
      </c>
      <c r="L40" s="33">
        <f t="shared" si="4"/>
        <v>0.21214285714285708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2">
        <v>2</v>
      </c>
      <c r="B41" s="10" t="s">
        <v>17</v>
      </c>
      <c r="C41" s="11" t="s">
        <v>33</v>
      </c>
      <c r="D41" s="13">
        <v>2800</v>
      </c>
      <c r="E41" s="13">
        <f t="shared" si="0"/>
        <v>5600</v>
      </c>
      <c r="F41" s="13">
        <f t="shared" si="1"/>
        <v>6188</v>
      </c>
      <c r="G41" s="2"/>
      <c r="H41" s="2"/>
      <c r="I41" s="13">
        <f>15000/7</f>
        <v>2142.8571428571427</v>
      </c>
      <c r="J41" s="13">
        <f t="shared" si="2"/>
        <v>4285.7142857142853</v>
      </c>
      <c r="K41" s="13">
        <f t="shared" si="3"/>
        <v>1902.2857142857147</v>
      </c>
      <c r="L41" s="18">
        <f t="shared" si="4"/>
        <v>0.33969387755102048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2">
        <v>2</v>
      </c>
      <c r="B42" s="10" t="s">
        <v>17</v>
      </c>
      <c r="C42" s="11" t="s">
        <v>32</v>
      </c>
      <c r="D42" s="13">
        <v>2400</v>
      </c>
      <c r="E42" s="13">
        <f t="shared" si="0"/>
        <v>4800</v>
      </c>
      <c r="F42" s="13">
        <f t="shared" si="1"/>
        <v>5304</v>
      </c>
      <c r="G42" s="2"/>
      <c r="H42" s="2"/>
      <c r="I42" s="13">
        <f>12000/7</f>
        <v>1714.2857142857142</v>
      </c>
      <c r="J42" s="13">
        <f t="shared" si="2"/>
        <v>3428.5714285714284</v>
      </c>
      <c r="K42" s="13">
        <f t="shared" si="3"/>
        <v>1875.4285714285716</v>
      </c>
      <c r="L42" s="14">
        <f t="shared" si="4"/>
        <v>0.39071428571428574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0.5</v>
      </c>
      <c r="B43" s="10" t="s">
        <v>23</v>
      </c>
      <c r="C43" s="11" t="s">
        <v>12</v>
      </c>
      <c r="D43" s="13">
        <v>54000</v>
      </c>
      <c r="E43" s="13">
        <f t="shared" si="0"/>
        <v>27000</v>
      </c>
      <c r="F43" s="13">
        <f>E43*1.21</f>
        <v>32670</v>
      </c>
      <c r="G43" s="2"/>
      <c r="H43" s="2"/>
      <c r="I43" s="13">
        <v>50000</v>
      </c>
      <c r="J43" s="13">
        <f t="shared" si="2"/>
        <v>25000</v>
      </c>
      <c r="K43" s="13">
        <f t="shared" si="3"/>
        <v>7670</v>
      </c>
      <c r="L43" s="14">
        <f t="shared" si="4"/>
        <v>0.28407407407407409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5"/>
      <c r="B44" s="2"/>
      <c r="C44" s="4"/>
      <c r="D44" s="2"/>
      <c r="E44" s="2"/>
      <c r="F44" s="2"/>
      <c r="G44" s="2"/>
      <c r="H44" s="2"/>
      <c r="I44" s="2"/>
      <c r="J44" s="2"/>
      <c r="K44" s="2"/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"/>
      <c r="B45" s="2"/>
      <c r="C45" s="4"/>
      <c r="D45" s="2"/>
      <c r="E45" s="13">
        <f t="shared" ref="E45:F45" si="5">SUM(E6:E43)</f>
        <v>533440</v>
      </c>
      <c r="F45" s="13">
        <f t="shared" si="5"/>
        <v>592286.19999999995</v>
      </c>
      <c r="G45" s="2"/>
      <c r="H45" s="2"/>
      <c r="I45" s="2"/>
      <c r="J45" s="2"/>
      <c r="K45" s="13">
        <f>SUM(K6:K43)</f>
        <v>189280.21727357607</v>
      </c>
      <c r="L45" s="14">
        <f>K45/F45</f>
        <v>0.31957559921804035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1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1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75" t="s">
        <v>0</v>
      </c>
      <c r="B48" s="76"/>
      <c r="C48" s="76"/>
      <c r="D48" s="2"/>
      <c r="E48" s="7" t="s">
        <v>143</v>
      </c>
      <c r="F48" s="8">
        <v>46119</v>
      </c>
      <c r="G48" s="2"/>
      <c r="H48" s="2"/>
      <c r="I48" s="78" t="s">
        <v>2</v>
      </c>
      <c r="J48" s="76"/>
      <c r="K48" s="76"/>
      <c r="L48" s="3"/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"/>
      <c r="B49" s="2"/>
      <c r="C49" s="5"/>
      <c r="D49" s="2"/>
      <c r="E49" s="2"/>
      <c r="F49" s="2"/>
      <c r="G49" s="2"/>
      <c r="H49" s="2"/>
      <c r="I49" s="2"/>
      <c r="J49" s="2"/>
      <c r="K49" s="2"/>
      <c r="L49" s="3"/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6" t="s">
        <v>3</v>
      </c>
      <c r="B50" s="10" t="s">
        <v>4</v>
      </c>
      <c r="C50" s="11" t="s">
        <v>5</v>
      </c>
      <c r="D50" s="10" t="s">
        <v>6</v>
      </c>
      <c r="E50" s="10" t="s">
        <v>7</v>
      </c>
      <c r="F50" s="10" t="s">
        <v>8</v>
      </c>
      <c r="G50" s="2"/>
      <c r="H50" s="2"/>
      <c r="I50" s="10" t="s">
        <v>9</v>
      </c>
      <c r="J50" s="10" t="s">
        <v>7</v>
      </c>
      <c r="K50" s="10" t="s">
        <v>10</v>
      </c>
      <c r="L50" s="3"/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0.5</v>
      </c>
      <c r="B51" s="10" t="s">
        <v>17</v>
      </c>
      <c r="C51" s="11" t="s">
        <v>42</v>
      </c>
      <c r="D51" s="13">
        <v>4500</v>
      </c>
      <c r="E51" s="13">
        <f t="shared" ref="E51:E87" si="6">A51*D51</f>
        <v>2250</v>
      </c>
      <c r="F51" s="13">
        <f t="shared" ref="F51:F86" si="7">E51*1.105</f>
        <v>2486.25</v>
      </c>
      <c r="G51" s="2"/>
      <c r="H51" s="2"/>
      <c r="I51" s="13">
        <v>2000</v>
      </c>
      <c r="J51" s="13">
        <f t="shared" ref="J51:J87" si="8">I51*A51</f>
        <v>1000</v>
      </c>
      <c r="K51" s="13">
        <f t="shared" ref="K51:K87" si="9">F51-J51</f>
        <v>1486.25</v>
      </c>
      <c r="L51" s="14">
        <f t="shared" ref="L51:L87" si="10">IFERROR(K51/E51, 0)</f>
        <v>0.66055555555555556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2</v>
      </c>
      <c r="B52" s="10" t="s">
        <v>4</v>
      </c>
      <c r="C52" s="11" t="s">
        <v>13</v>
      </c>
      <c r="D52" s="13">
        <v>900</v>
      </c>
      <c r="E52" s="13">
        <f t="shared" si="6"/>
        <v>1800</v>
      </c>
      <c r="F52" s="13">
        <f t="shared" si="7"/>
        <v>1989</v>
      </c>
      <c r="G52" s="2"/>
      <c r="H52" s="2"/>
      <c r="I52" s="13">
        <v>460</v>
      </c>
      <c r="J52" s="13">
        <f t="shared" si="8"/>
        <v>920</v>
      </c>
      <c r="K52" s="13">
        <f t="shared" si="9"/>
        <v>1069</v>
      </c>
      <c r="L52" s="14">
        <f t="shared" si="10"/>
        <v>0.59388888888888891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1</v>
      </c>
      <c r="B53" s="10" t="s">
        <v>21</v>
      </c>
      <c r="C53" s="11" t="s">
        <v>51</v>
      </c>
      <c r="D53" s="13">
        <v>1500</v>
      </c>
      <c r="E53" s="13">
        <f t="shared" si="6"/>
        <v>1500</v>
      </c>
      <c r="F53" s="13">
        <f t="shared" si="7"/>
        <v>1657.5</v>
      </c>
      <c r="G53" s="2"/>
      <c r="H53" s="2"/>
      <c r="I53" s="13">
        <v>1000</v>
      </c>
      <c r="J53" s="13">
        <f t="shared" si="8"/>
        <v>1000</v>
      </c>
      <c r="K53" s="13">
        <f t="shared" si="9"/>
        <v>657.5</v>
      </c>
      <c r="L53" s="14">
        <f t="shared" si="10"/>
        <v>0.43833333333333335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0.25</v>
      </c>
      <c r="B54" s="10" t="s">
        <v>17</v>
      </c>
      <c r="C54" s="11" t="s">
        <v>64</v>
      </c>
      <c r="D54" s="13">
        <v>2500</v>
      </c>
      <c r="E54" s="13">
        <f t="shared" si="6"/>
        <v>625</v>
      </c>
      <c r="F54" s="13">
        <f t="shared" si="7"/>
        <v>690.625</v>
      </c>
      <c r="G54" s="2"/>
      <c r="H54" s="2"/>
      <c r="I54" s="13">
        <f>9000/8</f>
        <v>1125</v>
      </c>
      <c r="J54" s="13">
        <f t="shared" si="8"/>
        <v>281.25</v>
      </c>
      <c r="K54" s="13">
        <f t="shared" si="9"/>
        <v>409.375</v>
      </c>
      <c r="L54" s="14">
        <f t="shared" si="10"/>
        <v>0.65500000000000003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3</v>
      </c>
      <c r="B55" s="10" t="s">
        <v>17</v>
      </c>
      <c r="C55" s="11" t="s">
        <v>62</v>
      </c>
      <c r="D55" s="13">
        <v>3000</v>
      </c>
      <c r="E55" s="13">
        <f t="shared" si="6"/>
        <v>9000</v>
      </c>
      <c r="F55" s="13">
        <f t="shared" si="7"/>
        <v>9945</v>
      </c>
      <c r="G55" s="2"/>
      <c r="H55" s="2"/>
      <c r="I55" s="13">
        <f>32000/17</f>
        <v>1882.3529411764705</v>
      </c>
      <c r="J55" s="13">
        <f t="shared" si="8"/>
        <v>5647.0588235294117</v>
      </c>
      <c r="K55" s="13">
        <f t="shared" si="9"/>
        <v>4297.9411764705883</v>
      </c>
      <c r="L55" s="14">
        <f t="shared" si="10"/>
        <v>0.47754901960784313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1</v>
      </c>
      <c r="B56" s="10" t="s">
        <v>15</v>
      </c>
      <c r="C56" s="11" t="s">
        <v>129</v>
      </c>
      <c r="D56" s="13">
        <v>16000</v>
      </c>
      <c r="E56" s="13">
        <f t="shared" si="6"/>
        <v>16000</v>
      </c>
      <c r="F56" s="13">
        <f t="shared" si="7"/>
        <v>17680</v>
      </c>
      <c r="G56" s="2"/>
      <c r="H56" s="2"/>
      <c r="I56" s="13">
        <v>12000</v>
      </c>
      <c r="J56" s="13">
        <f t="shared" si="8"/>
        <v>12000</v>
      </c>
      <c r="K56" s="13">
        <f t="shared" si="9"/>
        <v>5680</v>
      </c>
      <c r="L56" s="14">
        <f t="shared" si="10"/>
        <v>0.35499999999999998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3</v>
      </c>
      <c r="B57" s="10" t="s">
        <v>17</v>
      </c>
      <c r="C57" s="11" t="s">
        <v>129</v>
      </c>
      <c r="D57" s="13">
        <v>1600</v>
      </c>
      <c r="E57" s="13">
        <f t="shared" si="6"/>
        <v>4800</v>
      </c>
      <c r="F57" s="13">
        <f t="shared" si="7"/>
        <v>5304</v>
      </c>
      <c r="G57" s="2"/>
      <c r="H57" s="2"/>
      <c r="I57" s="13">
        <f>12000/11</f>
        <v>1090.909090909091</v>
      </c>
      <c r="J57" s="13">
        <f t="shared" si="8"/>
        <v>3272.727272727273</v>
      </c>
      <c r="K57" s="13">
        <f t="shared" si="9"/>
        <v>2031.272727272727</v>
      </c>
      <c r="L57" s="14">
        <f t="shared" si="10"/>
        <v>0.4231818181818181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2</v>
      </c>
      <c r="B58" s="10" t="s">
        <v>4</v>
      </c>
      <c r="C58" s="11" t="s">
        <v>14</v>
      </c>
      <c r="D58" s="13">
        <v>2600</v>
      </c>
      <c r="E58" s="13">
        <f t="shared" si="6"/>
        <v>5200</v>
      </c>
      <c r="F58" s="13">
        <f t="shared" si="7"/>
        <v>5746</v>
      </c>
      <c r="G58" s="2"/>
      <c r="H58" s="2"/>
      <c r="I58" s="13">
        <f>15000/8</f>
        <v>1875</v>
      </c>
      <c r="J58" s="13">
        <f t="shared" si="8"/>
        <v>3750</v>
      </c>
      <c r="K58" s="13">
        <f t="shared" si="9"/>
        <v>1996</v>
      </c>
      <c r="L58" s="14">
        <f t="shared" si="10"/>
        <v>0.38384615384615384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1</v>
      </c>
      <c r="B59" s="10" t="s">
        <v>15</v>
      </c>
      <c r="C59" s="11" t="s">
        <v>48</v>
      </c>
      <c r="D59" s="13">
        <v>13000</v>
      </c>
      <c r="E59" s="13">
        <f t="shared" si="6"/>
        <v>13000</v>
      </c>
      <c r="F59" s="13">
        <f t="shared" si="7"/>
        <v>14365</v>
      </c>
      <c r="G59" s="2"/>
      <c r="H59" s="2"/>
      <c r="I59" s="13">
        <v>7000</v>
      </c>
      <c r="J59" s="13">
        <f t="shared" si="8"/>
        <v>7000</v>
      </c>
      <c r="K59" s="13">
        <f t="shared" si="9"/>
        <v>7365</v>
      </c>
      <c r="L59" s="14">
        <f t="shared" si="10"/>
        <v>0.56653846153846155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3.5</v>
      </c>
      <c r="B60" s="10" t="s">
        <v>17</v>
      </c>
      <c r="C60" s="11" t="s">
        <v>18</v>
      </c>
      <c r="D60" s="13">
        <v>1600</v>
      </c>
      <c r="E60" s="13">
        <f t="shared" si="6"/>
        <v>5600</v>
      </c>
      <c r="F60" s="13">
        <f t="shared" si="7"/>
        <v>6188</v>
      </c>
      <c r="G60" s="2"/>
      <c r="H60" s="2"/>
      <c r="I60" s="13">
        <v>1000</v>
      </c>
      <c r="J60" s="13">
        <f t="shared" si="8"/>
        <v>3500</v>
      </c>
      <c r="K60" s="13">
        <f t="shared" si="9"/>
        <v>2688</v>
      </c>
      <c r="L60" s="14">
        <f t="shared" si="10"/>
        <v>0.48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3</v>
      </c>
      <c r="B61" s="10" t="s">
        <v>17</v>
      </c>
      <c r="C61" s="34" t="s">
        <v>56</v>
      </c>
      <c r="D61" s="13">
        <v>800</v>
      </c>
      <c r="E61" s="13">
        <f t="shared" si="6"/>
        <v>2400</v>
      </c>
      <c r="F61" s="13">
        <f t="shared" si="7"/>
        <v>2652</v>
      </c>
      <c r="G61" s="2"/>
      <c r="H61" s="2"/>
      <c r="I61" s="13">
        <f>10000/15</f>
        <v>666.66666666666663</v>
      </c>
      <c r="J61" s="13">
        <f t="shared" si="8"/>
        <v>2000</v>
      </c>
      <c r="K61" s="13">
        <f t="shared" si="9"/>
        <v>652</v>
      </c>
      <c r="L61" s="14">
        <f t="shared" si="10"/>
        <v>0.27166666666666667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3</v>
      </c>
      <c r="B62" s="10" t="s">
        <v>17</v>
      </c>
      <c r="C62" s="11" t="s">
        <v>78</v>
      </c>
      <c r="D62" s="13">
        <v>4000</v>
      </c>
      <c r="E62" s="13">
        <f t="shared" si="6"/>
        <v>12000</v>
      </c>
      <c r="F62" s="13">
        <f t="shared" si="7"/>
        <v>13260</v>
      </c>
      <c r="G62" s="2"/>
      <c r="H62" s="2"/>
      <c r="I62" s="13">
        <f>18000/8</f>
        <v>2250</v>
      </c>
      <c r="J62" s="13">
        <f t="shared" si="8"/>
        <v>6750</v>
      </c>
      <c r="K62" s="13">
        <f t="shared" si="9"/>
        <v>6510</v>
      </c>
      <c r="L62" s="14">
        <f t="shared" si="10"/>
        <v>0.54249999999999998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6</v>
      </c>
      <c r="B63" s="10" t="s">
        <v>21</v>
      </c>
      <c r="C63" s="11" t="s">
        <v>22</v>
      </c>
      <c r="D63" s="13">
        <v>1700</v>
      </c>
      <c r="E63" s="13">
        <f t="shared" si="6"/>
        <v>10200</v>
      </c>
      <c r="F63" s="13">
        <f t="shared" si="7"/>
        <v>11271</v>
      </c>
      <c r="G63" s="2"/>
      <c r="H63" s="13"/>
      <c r="I63" s="13">
        <f>1070</f>
        <v>1070</v>
      </c>
      <c r="J63" s="13">
        <f t="shared" si="8"/>
        <v>6420</v>
      </c>
      <c r="K63" s="13">
        <f t="shared" si="9"/>
        <v>4851</v>
      </c>
      <c r="L63" s="14">
        <f t="shared" si="10"/>
        <v>0.47558823529411764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0.5</v>
      </c>
      <c r="B64" s="10" t="s">
        <v>23</v>
      </c>
      <c r="C64" s="11" t="s">
        <v>24</v>
      </c>
      <c r="D64" s="13">
        <v>60000</v>
      </c>
      <c r="E64" s="13">
        <f t="shared" si="6"/>
        <v>30000</v>
      </c>
      <c r="F64" s="13">
        <f t="shared" si="7"/>
        <v>33150</v>
      </c>
      <c r="G64" s="2"/>
      <c r="H64" s="13"/>
      <c r="I64" s="13">
        <v>50000</v>
      </c>
      <c r="J64" s="13">
        <f t="shared" si="8"/>
        <v>25000</v>
      </c>
      <c r="K64" s="13">
        <f t="shared" si="9"/>
        <v>8150</v>
      </c>
      <c r="L64" s="14">
        <f t="shared" si="10"/>
        <v>0.27166666666666667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0.5</v>
      </c>
      <c r="B65" s="10" t="s">
        <v>23</v>
      </c>
      <c r="C65" s="11" t="s">
        <v>25</v>
      </c>
      <c r="D65" s="13">
        <v>72000</v>
      </c>
      <c r="E65" s="13">
        <f t="shared" si="6"/>
        <v>36000</v>
      </c>
      <c r="F65" s="13">
        <f t="shared" si="7"/>
        <v>39780</v>
      </c>
      <c r="G65" s="2"/>
      <c r="H65" s="2"/>
      <c r="I65" s="13">
        <v>65000</v>
      </c>
      <c r="J65" s="13">
        <f t="shared" si="8"/>
        <v>32500</v>
      </c>
      <c r="K65" s="13">
        <f t="shared" si="9"/>
        <v>7280</v>
      </c>
      <c r="L65" s="14">
        <f t="shared" si="10"/>
        <v>0.20222222222222222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1.5</v>
      </c>
      <c r="B66" s="10" t="s">
        <v>23</v>
      </c>
      <c r="C66" s="11" t="s">
        <v>26</v>
      </c>
      <c r="D66" s="13">
        <v>26000</v>
      </c>
      <c r="E66" s="13">
        <f t="shared" si="6"/>
        <v>39000</v>
      </c>
      <c r="F66" s="13">
        <f t="shared" si="7"/>
        <v>43095</v>
      </c>
      <c r="G66" s="2"/>
      <c r="H66" s="2"/>
      <c r="I66" s="13">
        <v>25000</v>
      </c>
      <c r="J66" s="13">
        <f t="shared" si="8"/>
        <v>37500</v>
      </c>
      <c r="K66" s="13">
        <f t="shared" si="9"/>
        <v>5595</v>
      </c>
      <c r="L66" s="14">
        <f t="shared" si="10"/>
        <v>0.14346153846153847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3</v>
      </c>
      <c r="B67" s="10" t="s">
        <v>15</v>
      </c>
      <c r="C67" s="11" t="s">
        <v>27</v>
      </c>
      <c r="D67" s="13">
        <v>23000</v>
      </c>
      <c r="E67" s="13">
        <f t="shared" si="6"/>
        <v>69000</v>
      </c>
      <c r="F67" s="13">
        <f t="shared" si="7"/>
        <v>76245</v>
      </c>
      <c r="G67" s="2"/>
      <c r="H67" s="2"/>
      <c r="I67" s="13">
        <v>17000</v>
      </c>
      <c r="J67" s="13">
        <f t="shared" si="8"/>
        <v>51000</v>
      </c>
      <c r="K67" s="13">
        <f t="shared" si="9"/>
        <v>25245</v>
      </c>
      <c r="L67" s="14">
        <f t="shared" si="10"/>
        <v>0.36586956521739128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</v>
      </c>
      <c r="B68" s="10" t="s">
        <v>21</v>
      </c>
      <c r="C68" s="11" t="s">
        <v>133</v>
      </c>
      <c r="D68" s="13">
        <v>3000</v>
      </c>
      <c r="E68" s="13">
        <f t="shared" si="6"/>
        <v>3000</v>
      </c>
      <c r="F68" s="13">
        <f t="shared" si="7"/>
        <v>3315</v>
      </c>
      <c r="G68" s="2"/>
      <c r="H68" s="2"/>
      <c r="I68" s="13">
        <v>2000</v>
      </c>
      <c r="J68" s="13">
        <f t="shared" si="8"/>
        <v>2000</v>
      </c>
      <c r="K68" s="13">
        <f t="shared" si="9"/>
        <v>1315</v>
      </c>
      <c r="L68" s="14">
        <f t="shared" si="10"/>
        <v>0.43833333333333335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0.3</v>
      </c>
      <c r="B69" s="10" t="s">
        <v>17</v>
      </c>
      <c r="C69" s="11" t="s">
        <v>29</v>
      </c>
      <c r="D69" s="13">
        <v>3500</v>
      </c>
      <c r="E69" s="13">
        <f t="shared" si="6"/>
        <v>1050</v>
      </c>
      <c r="F69" s="13">
        <f t="shared" si="7"/>
        <v>1160.25</v>
      </c>
      <c r="G69" s="2"/>
      <c r="H69" s="2"/>
      <c r="I69" s="13">
        <v>1500</v>
      </c>
      <c r="J69" s="13">
        <f t="shared" si="8"/>
        <v>450</v>
      </c>
      <c r="K69" s="13">
        <f t="shared" si="9"/>
        <v>710.25</v>
      </c>
      <c r="L69" s="14">
        <f t="shared" si="10"/>
        <v>0.67642857142857138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0.5</v>
      </c>
      <c r="B70" s="10" t="s">
        <v>17</v>
      </c>
      <c r="C70" s="11" t="s">
        <v>30</v>
      </c>
      <c r="D70" s="13">
        <v>1500</v>
      </c>
      <c r="E70" s="13">
        <f t="shared" si="6"/>
        <v>750</v>
      </c>
      <c r="F70" s="13">
        <f t="shared" si="7"/>
        <v>828.75</v>
      </c>
      <c r="G70" s="2"/>
      <c r="H70" s="2"/>
      <c r="I70" s="17">
        <f>8000/14</f>
        <v>571.42857142857144</v>
      </c>
      <c r="J70" s="13">
        <f t="shared" si="8"/>
        <v>285.71428571428572</v>
      </c>
      <c r="K70" s="13">
        <f t="shared" si="9"/>
        <v>543.03571428571422</v>
      </c>
      <c r="L70" s="14">
        <f t="shared" si="10"/>
        <v>0.72404761904761894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3.5</v>
      </c>
      <c r="B71" s="10" t="s">
        <v>17</v>
      </c>
      <c r="C71" s="11" t="s">
        <v>31</v>
      </c>
      <c r="D71" s="13">
        <v>3200</v>
      </c>
      <c r="E71" s="13">
        <f t="shared" si="6"/>
        <v>11200</v>
      </c>
      <c r="F71" s="13">
        <f t="shared" si="7"/>
        <v>12376</v>
      </c>
      <c r="G71" s="2"/>
      <c r="H71" s="2"/>
      <c r="I71" s="13">
        <f>20000/7</f>
        <v>2857.1428571428573</v>
      </c>
      <c r="J71" s="13">
        <f t="shared" si="8"/>
        <v>10000</v>
      </c>
      <c r="K71" s="13">
        <f t="shared" si="9"/>
        <v>2376</v>
      </c>
      <c r="L71" s="14">
        <f t="shared" si="10"/>
        <v>0.21214285714285713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0.5</v>
      </c>
      <c r="B72" s="10" t="s">
        <v>17</v>
      </c>
      <c r="C72" s="11" t="s">
        <v>32</v>
      </c>
      <c r="D72" s="13">
        <v>2400</v>
      </c>
      <c r="E72" s="13">
        <f t="shared" si="6"/>
        <v>1200</v>
      </c>
      <c r="F72" s="13">
        <f t="shared" si="7"/>
        <v>1326</v>
      </c>
      <c r="G72" s="2"/>
      <c r="H72" s="2"/>
      <c r="I72" s="13">
        <f>12000/7</f>
        <v>1714.2857142857142</v>
      </c>
      <c r="J72" s="13">
        <f t="shared" si="8"/>
        <v>857.14285714285711</v>
      </c>
      <c r="K72" s="13">
        <f t="shared" si="9"/>
        <v>468.85714285714289</v>
      </c>
      <c r="L72" s="14">
        <f t="shared" si="10"/>
        <v>0.39071428571428574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0.5</v>
      </c>
      <c r="B73" s="10" t="s">
        <v>17</v>
      </c>
      <c r="C73" s="11" t="s">
        <v>33</v>
      </c>
      <c r="D73" s="13">
        <v>2800</v>
      </c>
      <c r="E73" s="13">
        <f t="shared" si="6"/>
        <v>1400</v>
      </c>
      <c r="F73" s="13">
        <f t="shared" si="7"/>
        <v>1547</v>
      </c>
      <c r="G73" s="2"/>
      <c r="H73" s="2"/>
      <c r="I73" s="13">
        <f>15000/7</f>
        <v>2142.8571428571427</v>
      </c>
      <c r="J73" s="13">
        <f t="shared" si="8"/>
        <v>1071.4285714285713</v>
      </c>
      <c r="K73" s="13">
        <f t="shared" si="9"/>
        <v>475.57142857142867</v>
      </c>
      <c r="L73" s="14">
        <f t="shared" si="10"/>
        <v>0.33969387755102048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5</v>
      </c>
      <c r="B74" s="10" t="s">
        <v>17</v>
      </c>
      <c r="C74" s="11" t="s">
        <v>123</v>
      </c>
      <c r="D74" s="13">
        <v>3200</v>
      </c>
      <c r="E74" s="13">
        <f t="shared" si="6"/>
        <v>16000</v>
      </c>
      <c r="F74" s="13">
        <f t="shared" si="7"/>
        <v>17680</v>
      </c>
      <c r="G74" s="2"/>
      <c r="H74" s="2"/>
      <c r="I74" s="13">
        <f>32000/15</f>
        <v>2133.3333333333335</v>
      </c>
      <c r="J74" s="13">
        <f t="shared" si="8"/>
        <v>10666.666666666668</v>
      </c>
      <c r="K74" s="13">
        <f t="shared" si="9"/>
        <v>7013.3333333333321</v>
      </c>
      <c r="L74" s="14">
        <f t="shared" si="10"/>
        <v>0.43833333333333324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</v>
      </c>
      <c r="B75" s="10" t="s">
        <v>17</v>
      </c>
      <c r="C75" s="11" t="s">
        <v>35</v>
      </c>
      <c r="D75" s="13">
        <v>2500</v>
      </c>
      <c r="E75" s="13">
        <f t="shared" si="6"/>
        <v>2500</v>
      </c>
      <c r="F75" s="13">
        <f t="shared" si="7"/>
        <v>2762.5</v>
      </c>
      <c r="G75" s="2"/>
      <c r="H75" s="2"/>
      <c r="I75" s="13">
        <f>14000/9</f>
        <v>1555.5555555555557</v>
      </c>
      <c r="J75" s="13">
        <f t="shared" si="8"/>
        <v>1555.5555555555557</v>
      </c>
      <c r="K75" s="13">
        <f t="shared" si="9"/>
        <v>1206.9444444444443</v>
      </c>
      <c r="L75" s="14">
        <f t="shared" si="10"/>
        <v>0.48277777777777775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2</v>
      </c>
      <c r="B76" s="10" t="s">
        <v>17</v>
      </c>
      <c r="C76" s="11" t="s">
        <v>36</v>
      </c>
      <c r="D76" s="13">
        <v>1800</v>
      </c>
      <c r="E76" s="13">
        <f t="shared" si="6"/>
        <v>3600</v>
      </c>
      <c r="F76" s="13">
        <f t="shared" si="7"/>
        <v>3978</v>
      </c>
      <c r="G76" s="2"/>
      <c r="H76" s="2"/>
      <c r="I76" s="13">
        <v>1000</v>
      </c>
      <c r="J76" s="13">
        <f t="shared" si="8"/>
        <v>2000</v>
      </c>
      <c r="K76" s="13">
        <f t="shared" si="9"/>
        <v>1978</v>
      </c>
      <c r="L76" s="14">
        <f t="shared" si="10"/>
        <v>0.5494444444444444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1.5</v>
      </c>
      <c r="B77" s="10" t="s">
        <v>17</v>
      </c>
      <c r="C77" s="11" t="s">
        <v>38</v>
      </c>
      <c r="D77" s="13">
        <v>1800</v>
      </c>
      <c r="E77" s="13">
        <f t="shared" si="6"/>
        <v>2700</v>
      </c>
      <c r="F77" s="13">
        <f t="shared" si="7"/>
        <v>2983.5</v>
      </c>
      <c r="G77" s="2"/>
      <c r="H77" s="2"/>
      <c r="I77" s="13">
        <v>1000</v>
      </c>
      <c r="J77" s="13">
        <f t="shared" si="8"/>
        <v>1500</v>
      </c>
      <c r="K77" s="13">
        <f t="shared" si="9"/>
        <v>1483.5</v>
      </c>
      <c r="L77" s="14">
        <f t="shared" si="10"/>
        <v>0.5494444444444444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11</v>
      </c>
      <c r="B78" s="10" t="s">
        <v>17</v>
      </c>
      <c r="C78" s="11" t="s">
        <v>39</v>
      </c>
      <c r="D78" s="13">
        <v>2400</v>
      </c>
      <c r="E78" s="13">
        <f t="shared" si="6"/>
        <v>26400</v>
      </c>
      <c r="F78" s="13">
        <f t="shared" si="7"/>
        <v>29172</v>
      </c>
      <c r="G78" s="2"/>
      <c r="H78" s="2"/>
      <c r="I78" s="13">
        <f>25000/15</f>
        <v>1666.6666666666667</v>
      </c>
      <c r="J78" s="13">
        <f t="shared" si="8"/>
        <v>18333.333333333336</v>
      </c>
      <c r="K78" s="13">
        <f t="shared" si="9"/>
        <v>10838.666666666664</v>
      </c>
      <c r="L78" s="14">
        <f t="shared" si="10"/>
        <v>0.41055555555555545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0.8</v>
      </c>
      <c r="B79" s="10" t="s">
        <v>17</v>
      </c>
      <c r="C79" s="11" t="s">
        <v>93</v>
      </c>
      <c r="D79" s="13">
        <v>3000</v>
      </c>
      <c r="E79" s="13">
        <f t="shared" si="6"/>
        <v>2400</v>
      </c>
      <c r="F79" s="13">
        <f t="shared" si="7"/>
        <v>2652</v>
      </c>
      <c r="G79" s="2"/>
      <c r="H79" s="2"/>
      <c r="I79" s="13">
        <f>7000/6</f>
        <v>1166.6666666666667</v>
      </c>
      <c r="J79" s="13">
        <f t="shared" si="8"/>
        <v>933.33333333333348</v>
      </c>
      <c r="K79" s="13">
        <f t="shared" si="9"/>
        <v>1718.6666666666665</v>
      </c>
      <c r="L79" s="14">
        <f t="shared" si="10"/>
        <v>0.71611111111111103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</v>
      </c>
      <c r="B80" s="10" t="s">
        <v>15</v>
      </c>
      <c r="C80" s="11" t="s">
        <v>40</v>
      </c>
      <c r="D80" s="13">
        <v>12000</v>
      </c>
      <c r="E80" s="13">
        <f t="shared" si="6"/>
        <v>12000</v>
      </c>
      <c r="F80" s="13">
        <f t="shared" si="7"/>
        <v>13260</v>
      </c>
      <c r="G80" s="2"/>
      <c r="H80" s="2"/>
      <c r="I80" s="13">
        <v>7000</v>
      </c>
      <c r="J80" s="13">
        <f t="shared" si="8"/>
        <v>7000</v>
      </c>
      <c r="K80" s="13">
        <f t="shared" si="9"/>
        <v>6260</v>
      </c>
      <c r="L80" s="14">
        <f t="shared" si="10"/>
        <v>0.52166666666666661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4.5</v>
      </c>
      <c r="B81" s="10" t="s">
        <v>17</v>
      </c>
      <c r="C81" s="11" t="s">
        <v>40</v>
      </c>
      <c r="D81" s="13">
        <v>1300</v>
      </c>
      <c r="E81" s="13">
        <f t="shared" si="6"/>
        <v>5850</v>
      </c>
      <c r="F81" s="13">
        <f t="shared" si="7"/>
        <v>6464.25</v>
      </c>
      <c r="G81" s="2"/>
      <c r="H81" s="2"/>
      <c r="I81" s="13">
        <v>1000</v>
      </c>
      <c r="J81" s="13">
        <f t="shared" si="8"/>
        <v>4500</v>
      </c>
      <c r="K81" s="13">
        <f t="shared" si="9"/>
        <v>1964.25</v>
      </c>
      <c r="L81" s="14">
        <f t="shared" si="10"/>
        <v>0.33576923076923076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3.5</v>
      </c>
      <c r="B82" s="10" t="s">
        <v>17</v>
      </c>
      <c r="C82" s="11" t="s">
        <v>82</v>
      </c>
      <c r="D82" s="13">
        <v>1400</v>
      </c>
      <c r="E82" s="13">
        <f t="shared" si="6"/>
        <v>4900</v>
      </c>
      <c r="F82" s="13">
        <f t="shared" si="7"/>
        <v>5414.5</v>
      </c>
      <c r="G82" s="2"/>
      <c r="H82" s="2"/>
      <c r="I82" s="13">
        <f>15000/14</f>
        <v>1071.4285714285713</v>
      </c>
      <c r="J82" s="13">
        <f t="shared" si="8"/>
        <v>3749.9999999999995</v>
      </c>
      <c r="K82" s="13">
        <f t="shared" si="9"/>
        <v>1664.5000000000005</v>
      </c>
      <c r="L82" s="14">
        <f t="shared" si="10"/>
        <v>0.33969387755102048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0.5</v>
      </c>
      <c r="B83" s="10" t="s">
        <v>17</v>
      </c>
      <c r="C83" s="11" t="s">
        <v>99</v>
      </c>
      <c r="D83" s="13">
        <v>1500</v>
      </c>
      <c r="E83" s="13">
        <f t="shared" si="6"/>
        <v>750</v>
      </c>
      <c r="F83" s="13">
        <f t="shared" si="7"/>
        <v>828.75</v>
      </c>
      <c r="G83" s="2"/>
      <c r="H83" s="7" t="s">
        <v>37</v>
      </c>
      <c r="I83" s="13">
        <f>32000/17</f>
        <v>1882.3529411764705</v>
      </c>
      <c r="J83" s="13">
        <f t="shared" si="8"/>
        <v>941.17647058823525</v>
      </c>
      <c r="K83" s="13">
        <f t="shared" si="9"/>
        <v>-112.42647058823525</v>
      </c>
      <c r="L83" s="14">
        <f t="shared" si="10"/>
        <v>-0.14990196078431367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2</v>
      </c>
      <c r="B84" s="10" t="s">
        <v>17</v>
      </c>
      <c r="C84" s="11" t="s">
        <v>43</v>
      </c>
      <c r="D84" s="13">
        <v>4000</v>
      </c>
      <c r="E84" s="13">
        <f t="shared" si="6"/>
        <v>8000</v>
      </c>
      <c r="F84" s="13">
        <f t="shared" si="7"/>
        <v>8840</v>
      </c>
      <c r="G84" s="2"/>
      <c r="H84" s="2"/>
      <c r="I84" s="13">
        <f>18000/4</f>
        <v>4500</v>
      </c>
      <c r="J84" s="13">
        <f t="shared" si="8"/>
        <v>9000</v>
      </c>
      <c r="K84" s="13">
        <f t="shared" si="9"/>
        <v>-160</v>
      </c>
      <c r="L84" s="14">
        <f t="shared" si="10"/>
        <v>-0.02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15</v>
      </c>
      <c r="B85" s="10" t="s">
        <v>21</v>
      </c>
      <c r="C85" s="11" t="s">
        <v>46</v>
      </c>
      <c r="D85" s="13">
        <v>600</v>
      </c>
      <c r="E85" s="13">
        <f t="shared" si="6"/>
        <v>9000</v>
      </c>
      <c r="F85" s="13">
        <f t="shared" si="7"/>
        <v>9945</v>
      </c>
      <c r="G85" s="2"/>
      <c r="H85" s="2"/>
      <c r="I85" s="13">
        <f>8000/24</f>
        <v>333.33333333333331</v>
      </c>
      <c r="J85" s="13">
        <f t="shared" si="8"/>
        <v>5000</v>
      </c>
      <c r="K85" s="13">
        <f t="shared" si="9"/>
        <v>4945</v>
      </c>
      <c r="L85" s="14">
        <f t="shared" si="10"/>
        <v>0.5494444444444444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1.5</v>
      </c>
      <c r="B86" s="10" t="s">
        <v>17</v>
      </c>
      <c r="C86" s="11" t="s">
        <v>61</v>
      </c>
      <c r="D86" s="13">
        <v>1400</v>
      </c>
      <c r="E86" s="13">
        <f t="shared" si="6"/>
        <v>2100</v>
      </c>
      <c r="F86" s="13">
        <f t="shared" si="7"/>
        <v>2320.5</v>
      </c>
      <c r="G86" s="2"/>
      <c r="H86" s="13"/>
      <c r="I86" s="13">
        <f>12000/14</f>
        <v>857.14285714285711</v>
      </c>
      <c r="J86" s="13">
        <f t="shared" si="8"/>
        <v>1285.7142857142858</v>
      </c>
      <c r="K86" s="13">
        <f t="shared" si="9"/>
        <v>1034.7857142857142</v>
      </c>
      <c r="L86" s="14">
        <f t="shared" si="10"/>
        <v>0.4927551020408163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0.5</v>
      </c>
      <c r="B87" s="10" t="s">
        <v>23</v>
      </c>
      <c r="C87" s="11" t="s">
        <v>12</v>
      </c>
      <c r="D87" s="13">
        <v>54000</v>
      </c>
      <c r="E87" s="13">
        <f t="shared" si="6"/>
        <v>27000</v>
      </c>
      <c r="F87" s="13">
        <f>E87*1.21</f>
        <v>32670</v>
      </c>
      <c r="G87" s="2"/>
      <c r="H87" s="2"/>
      <c r="I87" s="13">
        <v>50000</v>
      </c>
      <c r="J87" s="13">
        <f t="shared" si="8"/>
        <v>25000</v>
      </c>
      <c r="K87" s="13">
        <f t="shared" si="9"/>
        <v>7670</v>
      </c>
      <c r="L87" s="14">
        <f t="shared" si="10"/>
        <v>0.28407407407407409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5"/>
      <c r="B88" s="2"/>
      <c r="C88" s="4"/>
      <c r="D88" s="2"/>
      <c r="E88" s="2"/>
      <c r="F88" s="2"/>
      <c r="G88" s="2"/>
      <c r="H88" s="2"/>
      <c r="I88" s="2"/>
      <c r="J88" s="2"/>
      <c r="K88" s="2"/>
      <c r="L88" s="3"/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"/>
      <c r="B89" s="2"/>
      <c r="C89" s="4"/>
      <c r="D89" s="2"/>
      <c r="E89" s="13">
        <f t="shared" ref="E89:F89" si="11">SUM(E51:E87)</f>
        <v>400175</v>
      </c>
      <c r="F89" s="13">
        <f t="shared" si="11"/>
        <v>445028.375</v>
      </c>
      <c r="G89" s="2"/>
      <c r="H89" s="2"/>
      <c r="I89" s="2"/>
      <c r="J89" s="2"/>
      <c r="K89" s="13">
        <f>SUM(K51:K87)</f>
        <v>139357.27354426618</v>
      </c>
      <c r="L89" s="14">
        <f>K89/F89</f>
        <v>0.31314244523007367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"/>
      <c r="B90" s="2"/>
      <c r="C90" s="4"/>
      <c r="D90" s="2"/>
      <c r="E90" s="2"/>
      <c r="F90" s="2"/>
      <c r="G90" s="2"/>
      <c r="H90" s="2"/>
      <c r="I90" s="2"/>
      <c r="J90" s="2"/>
      <c r="K90" s="2"/>
      <c r="L90" s="3"/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"/>
      <c r="B91" s="2"/>
      <c r="C91" s="4"/>
      <c r="D91" s="2"/>
      <c r="E91" s="2"/>
      <c r="F91" s="2"/>
      <c r="G91" s="2"/>
      <c r="H91" s="2"/>
      <c r="I91" s="2"/>
      <c r="J91" s="2"/>
      <c r="K91" s="2"/>
      <c r="L91" s="3"/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"/>
      <c r="B92" s="2"/>
      <c r="C92" s="4"/>
      <c r="D92" s="2"/>
      <c r="E92" s="2"/>
      <c r="F92" s="2"/>
      <c r="G92" s="2"/>
      <c r="H92" s="2"/>
      <c r="I92" s="2"/>
      <c r="J92" s="2"/>
      <c r="K92" s="2"/>
      <c r="L92" s="3"/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"/>
      <c r="B93" s="1"/>
      <c r="C93" s="1"/>
      <c r="D93" s="2"/>
      <c r="E93" s="2"/>
      <c r="F93" s="5"/>
      <c r="G93" s="2"/>
      <c r="H93" s="2"/>
      <c r="I93" s="2"/>
      <c r="J93" s="2"/>
      <c r="K93" s="2"/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75" t="s">
        <v>57</v>
      </c>
      <c r="B94" s="76"/>
      <c r="C94" s="76"/>
      <c r="D94" s="2"/>
      <c r="E94" s="7" t="s">
        <v>179</v>
      </c>
      <c r="F94" s="8">
        <v>46119</v>
      </c>
      <c r="G94" s="2"/>
      <c r="H94" s="2"/>
      <c r="I94" s="78" t="s">
        <v>2</v>
      </c>
      <c r="J94" s="76"/>
      <c r="K94" s="76"/>
      <c r="L94" s="3"/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"/>
      <c r="B95" s="2"/>
      <c r="C95" s="5"/>
      <c r="D95" s="2"/>
      <c r="E95" s="2"/>
      <c r="F95" s="2"/>
      <c r="G95" s="2"/>
      <c r="H95" s="2"/>
      <c r="I95" s="2"/>
      <c r="J95" s="2"/>
      <c r="K95" s="2"/>
      <c r="L95" s="3"/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6" t="s">
        <v>3</v>
      </c>
      <c r="B96" s="10" t="s">
        <v>4</v>
      </c>
      <c r="C96" s="11" t="s">
        <v>5</v>
      </c>
      <c r="D96" s="10" t="s">
        <v>6</v>
      </c>
      <c r="E96" s="10" t="s">
        <v>7</v>
      </c>
      <c r="F96" s="10" t="s">
        <v>8</v>
      </c>
      <c r="G96" s="2"/>
      <c r="H96" s="2"/>
      <c r="I96" s="10" t="s">
        <v>9</v>
      </c>
      <c r="J96" s="10" t="s">
        <v>7</v>
      </c>
      <c r="K96" s="10" t="s">
        <v>10</v>
      </c>
      <c r="L96" s="3"/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10.199999999999999</v>
      </c>
      <c r="B97" s="10" t="s">
        <v>17</v>
      </c>
      <c r="C97" s="11" t="s">
        <v>123</v>
      </c>
      <c r="D97" s="13">
        <v>3200</v>
      </c>
      <c r="E97" s="13">
        <f t="shared" ref="E97:E125" si="12">A97*D97</f>
        <v>32639.999999999996</v>
      </c>
      <c r="F97" s="13">
        <f t="shared" ref="F97:F124" si="13">E97*1.105</f>
        <v>36067.199999999997</v>
      </c>
      <c r="G97" s="2"/>
      <c r="H97" s="2"/>
      <c r="I97" s="13">
        <f>32000/15</f>
        <v>2133.3333333333335</v>
      </c>
      <c r="J97" s="13">
        <f t="shared" ref="J97:J125" si="14">I97*A97</f>
        <v>21760</v>
      </c>
      <c r="K97" s="13">
        <f t="shared" ref="K97:K125" si="15">F97-J97</f>
        <v>14307.199999999997</v>
      </c>
      <c r="L97" s="14">
        <f t="shared" ref="L97:L125" si="16">IFERROR(K97/E97, 0)</f>
        <v>0.4383333333333333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23</v>
      </c>
      <c r="C98" s="11" t="s">
        <v>26</v>
      </c>
      <c r="D98" s="13">
        <v>26000</v>
      </c>
      <c r="E98" s="13">
        <f t="shared" si="12"/>
        <v>52000</v>
      </c>
      <c r="F98" s="13">
        <f t="shared" si="13"/>
        <v>57460</v>
      </c>
      <c r="G98" s="2"/>
      <c r="H98" s="2"/>
      <c r="I98" s="13">
        <v>25000</v>
      </c>
      <c r="J98" s="13">
        <f t="shared" si="14"/>
        <v>50000</v>
      </c>
      <c r="K98" s="13">
        <f t="shared" si="15"/>
        <v>7460</v>
      </c>
      <c r="L98" s="14">
        <f t="shared" si="16"/>
        <v>0.14346153846153847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17</v>
      </c>
      <c r="C99" s="11" t="s">
        <v>62</v>
      </c>
      <c r="D99" s="13">
        <v>3000</v>
      </c>
      <c r="E99" s="13">
        <f t="shared" si="12"/>
        <v>9000</v>
      </c>
      <c r="F99" s="13">
        <f t="shared" si="13"/>
        <v>9945</v>
      </c>
      <c r="G99" s="2"/>
      <c r="H99" s="2"/>
      <c r="I99" s="13">
        <f>32000/17</f>
        <v>1882.3529411764705</v>
      </c>
      <c r="J99" s="13">
        <f t="shared" si="14"/>
        <v>5647.0588235294117</v>
      </c>
      <c r="K99" s="13">
        <f t="shared" si="15"/>
        <v>4297.9411764705883</v>
      </c>
      <c r="L99" s="14">
        <f t="shared" si="16"/>
        <v>0.47754901960784313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10</v>
      </c>
      <c r="B100" s="10" t="s">
        <v>17</v>
      </c>
      <c r="C100" s="11" t="s">
        <v>24</v>
      </c>
      <c r="D100" s="13">
        <v>3600</v>
      </c>
      <c r="E100" s="13">
        <f t="shared" si="12"/>
        <v>36000</v>
      </c>
      <c r="F100" s="13">
        <f t="shared" si="13"/>
        <v>39780</v>
      </c>
      <c r="G100" s="2"/>
      <c r="H100" s="2"/>
      <c r="I100" s="13">
        <f>50000/17</f>
        <v>2941.1764705882351</v>
      </c>
      <c r="J100" s="13">
        <f t="shared" si="14"/>
        <v>29411.76470588235</v>
      </c>
      <c r="K100" s="13">
        <f t="shared" si="15"/>
        <v>10368.23529411765</v>
      </c>
      <c r="L100" s="14">
        <f t="shared" si="16"/>
        <v>0.28800653594771253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7</v>
      </c>
      <c r="B101" s="10" t="s">
        <v>21</v>
      </c>
      <c r="C101" s="11" t="s">
        <v>22</v>
      </c>
      <c r="D101" s="13">
        <v>1700</v>
      </c>
      <c r="E101" s="13">
        <f t="shared" si="12"/>
        <v>11900</v>
      </c>
      <c r="F101" s="13">
        <f t="shared" si="13"/>
        <v>13149.5</v>
      </c>
      <c r="G101" s="2"/>
      <c r="H101" s="2"/>
      <c r="I101" s="13">
        <v>1070</v>
      </c>
      <c r="J101" s="13">
        <f t="shared" si="14"/>
        <v>7490</v>
      </c>
      <c r="K101" s="13">
        <f t="shared" si="15"/>
        <v>5659.5</v>
      </c>
      <c r="L101" s="14">
        <f t="shared" si="16"/>
        <v>0.47558823529411764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0.8</v>
      </c>
      <c r="B102" s="10" t="s">
        <v>17</v>
      </c>
      <c r="C102" s="11" t="s">
        <v>93</v>
      </c>
      <c r="D102" s="13">
        <v>3000</v>
      </c>
      <c r="E102" s="13">
        <f t="shared" si="12"/>
        <v>2400</v>
      </c>
      <c r="F102" s="13">
        <f t="shared" si="13"/>
        <v>2652</v>
      </c>
      <c r="G102" s="2"/>
      <c r="H102" s="2"/>
      <c r="I102" s="13">
        <f>7000/6</f>
        <v>1166.6666666666667</v>
      </c>
      <c r="J102" s="13">
        <f t="shared" si="14"/>
        <v>933.33333333333348</v>
      </c>
      <c r="K102" s="13">
        <f t="shared" si="15"/>
        <v>1718.6666666666665</v>
      </c>
      <c r="L102" s="14">
        <f t="shared" si="16"/>
        <v>0.71611111111111103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1</v>
      </c>
      <c r="B103" s="10" t="s">
        <v>17</v>
      </c>
      <c r="C103" s="11" t="s">
        <v>18</v>
      </c>
      <c r="D103" s="13">
        <v>1600</v>
      </c>
      <c r="E103" s="13">
        <f t="shared" si="12"/>
        <v>1600</v>
      </c>
      <c r="F103" s="13">
        <f t="shared" si="13"/>
        <v>1768</v>
      </c>
      <c r="G103" s="2"/>
      <c r="H103" s="2"/>
      <c r="I103" s="13">
        <v>1000</v>
      </c>
      <c r="J103" s="13">
        <f t="shared" si="14"/>
        <v>1000</v>
      </c>
      <c r="K103" s="13">
        <f t="shared" si="15"/>
        <v>768</v>
      </c>
      <c r="L103" s="14">
        <f t="shared" si="16"/>
        <v>0.48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1</v>
      </c>
      <c r="B104" s="10" t="s">
        <v>17</v>
      </c>
      <c r="C104" s="11" t="s">
        <v>56</v>
      </c>
      <c r="D104" s="13">
        <v>800</v>
      </c>
      <c r="E104" s="13">
        <f t="shared" si="12"/>
        <v>800</v>
      </c>
      <c r="F104" s="13">
        <f t="shared" si="13"/>
        <v>884</v>
      </c>
      <c r="G104" s="2"/>
      <c r="H104" s="2"/>
      <c r="I104" s="13">
        <f>10000/15</f>
        <v>666.66666666666663</v>
      </c>
      <c r="J104" s="13">
        <f t="shared" si="14"/>
        <v>666.66666666666663</v>
      </c>
      <c r="K104" s="13">
        <f t="shared" si="15"/>
        <v>217.33333333333337</v>
      </c>
      <c r="L104" s="14">
        <f t="shared" si="16"/>
        <v>0.27166666666666672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15</v>
      </c>
      <c r="C105" s="11" t="s">
        <v>40</v>
      </c>
      <c r="D105" s="13">
        <v>12000</v>
      </c>
      <c r="E105" s="13">
        <f t="shared" si="12"/>
        <v>24000</v>
      </c>
      <c r="F105" s="13">
        <f t="shared" si="13"/>
        <v>26520</v>
      </c>
      <c r="G105" s="2"/>
      <c r="H105" s="2"/>
      <c r="I105" s="13">
        <v>7000</v>
      </c>
      <c r="J105" s="13">
        <f t="shared" si="14"/>
        <v>14000</v>
      </c>
      <c r="K105" s="13">
        <f t="shared" si="15"/>
        <v>12520</v>
      </c>
      <c r="L105" s="14">
        <f t="shared" si="16"/>
        <v>0.52166666666666661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4</v>
      </c>
      <c r="B106" s="10" t="s">
        <v>17</v>
      </c>
      <c r="C106" s="11" t="s">
        <v>82</v>
      </c>
      <c r="D106" s="13">
        <v>1400</v>
      </c>
      <c r="E106" s="13">
        <f t="shared" si="12"/>
        <v>5600</v>
      </c>
      <c r="F106" s="13">
        <f t="shared" si="13"/>
        <v>6188</v>
      </c>
      <c r="G106" s="2"/>
      <c r="H106" s="2"/>
      <c r="I106" s="13">
        <f>15000/14</f>
        <v>1071.4285714285713</v>
      </c>
      <c r="J106" s="13">
        <f t="shared" si="14"/>
        <v>4285.7142857142853</v>
      </c>
      <c r="K106" s="13">
        <f t="shared" si="15"/>
        <v>1902.2857142857147</v>
      </c>
      <c r="L106" s="14">
        <f t="shared" si="16"/>
        <v>0.33969387755102048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2</v>
      </c>
      <c r="B107" s="10" t="s">
        <v>17</v>
      </c>
      <c r="C107" s="11" t="s">
        <v>61</v>
      </c>
      <c r="D107" s="13">
        <v>1400</v>
      </c>
      <c r="E107" s="13">
        <f t="shared" si="12"/>
        <v>2800</v>
      </c>
      <c r="F107" s="13">
        <f t="shared" si="13"/>
        <v>3094</v>
      </c>
      <c r="G107" s="2"/>
      <c r="H107" s="2"/>
      <c r="I107" s="13">
        <f>12000/14</f>
        <v>857.14285714285711</v>
      </c>
      <c r="J107" s="13">
        <f t="shared" si="14"/>
        <v>1714.2857142857142</v>
      </c>
      <c r="K107" s="13">
        <f t="shared" si="15"/>
        <v>1379.7142857142858</v>
      </c>
      <c r="L107" s="14">
        <f t="shared" si="16"/>
        <v>0.49275510204081635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</v>
      </c>
      <c r="B108" s="10" t="s">
        <v>17</v>
      </c>
      <c r="C108" s="11" t="s">
        <v>99</v>
      </c>
      <c r="D108" s="13">
        <v>1500</v>
      </c>
      <c r="E108" s="13">
        <f t="shared" si="12"/>
        <v>3000</v>
      </c>
      <c r="F108" s="13">
        <f t="shared" si="13"/>
        <v>3315</v>
      </c>
      <c r="G108" s="2"/>
      <c r="H108" s="2"/>
      <c r="I108" s="13">
        <f>10000/8</f>
        <v>1250</v>
      </c>
      <c r="J108" s="13">
        <f t="shared" si="14"/>
        <v>2500</v>
      </c>
      <c r="K108" s="13">
        <f t="shared" si="15"/>
        <v>815</v>
      </c>
      <c r="L108" s="14">
        <f t="shared" si="16"/>
        <v>0.27166666666666667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14</v>
      </c>
      <c r="B109" s="10" t="s">
        <v>17</v>
      </c>
      <c r="C109" s="11" t="s">
        <v>39</v>
      </c>
      <c r="D109" s="13">
        <v>2400</v>
      </c>
      <c r="E109" s="13">
        <f t="shared" si="12"/>
        <v>33600</v>
      </c>
      <c r="F109" s="13">
        <f t="shared" si="13"/>
        <v>37128</v>
      </c>
      <c r="G109" s="2"/>
      <c r="H109" s="2"/>
      <c r="I109" s="13">
        <f>25000/15</f>
        <v>1666.6666666666667</v>
      </c>
      <c r="J109" s="13">
        <f t="shared" si="14"/>
        <v>23333.333333333336</v>
      </c>
      <c r="K109" s="13">
        <f t="shared" si="15"/>
        <v>13794.666666666664</v>
      </c>
      <c r="L109" s="14">
        <f t="shared" si="16"/>
        <v>0.41055555555555551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0.2</v>
      </c>
      <c r="B110" s="10" t="s">
        <v>17</v>
      </c>
      <c r="C110" s="11" t="s">
        <v>64</v>
      </c>
      <c r="D110" s="13">
        <v>2500</v>
      </c>
      <c r="E110" s="13">
        <f t="shared" si="12"/>
        <v>500</v>
      </c>
      <c r="F110" s="13">
        <f t="shared" si="13"/>
        <v>552.5</v>
      </c>
      <c r="G110" s="2"/>
      <c r="H110" s="2"/>
      <c r="I110" s="13">
        <f>9000/8</f>
        <v>1125</v>
      </c>
      <c r="J110" s="13">
        <f t="shared" si="14"/>
        <v>225</v>
      </c>
      <c r="K110" s="13">
        <f t="shared" si="15"/>
        <v>327.5</v>
      </c>
      <c r="L110" s="14">
        <f t="shared" si="16"/>
        <v>0.65500000000000003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2</v>
      </c>
      <c r="B111" s="10" t="s">
        <v>17</v>
      </c>
      <c r="C111" s="11" t="s">
        <v>36</v>
      </c>
      <c r="D111" s="13">
        <v>1800</v>
      </c>
      <c r="E111" s="13">
        <f t="shared" si="12"/>
        <v>3600</v>
      </c>
      <c r="F111" s="13">
        <f t="shared" si="13"/>
        <v>3978</v>
      </c>
      <c r="G111" s="2"/>
      <c r="H111" s="2"/>
      <c r="I111" s="13">
        <v>1000</v>
      </c>
      <c r="J111" s="13">
        <f t="shared" si="14"/>
        <v>2000</v>
      </c>
      <c r="K111" s="13">
        <f t="shared" si="15"/>
        <v>1978</v>
      </c>
      <c r="L111" s="14">
        <f t="shared" si="16"/>
        <v>0.5494444444444444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2.2000000000000002</v>
      </c>
      <c r="B112" s="10" t="s">
        <v>17</v>
      </c>
      <c r="C112" s="11" t="s">
        <v>38</v>
      </c>
      <c r="D112" s="13">
        <v>1800</v>
      </c>
      <c r="E112" s="13">
        <f t="shared" si="12"/>
        <v>3960.0000000000005</v>
      </c>
      <c r="F112" s="13">
        <f t="shared" si="13"/>
        <v>4375.8</v>
      </c>
      <c r="G112" s="2"/>
      <c r="H112" s="2"/>
      <c r="I112" s="13">
        <v>1000</v>
      </c>
      <c r="J112" s="13">
        <f t="shared" si="14"/>
        <v>2200</v>
      </c>
      <c r="K112" s="13">
        <f t="shared" si="15"/>
        <v>2175.8000000000002</v>
      </c>
      <c r="L112" s="14">
        <f t="shared" si="16"/>
        <v>0.5494444444444444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</v>
      </c>
      <c r="B113" s="10" t="s">
        <v>21</v>
      </c>
      <c r="C113" s="11" t="s">
        <v>28</v>
      </c>
      <c r="D113" s="13">
        <v>3000</v>
      </c>
      <c r="E113" s="13">
        <f t="shared" si="12"/>
        <v>3000</v>
      </c>
      <c r="F113" s="13">
        <f t="shared" si="13"/>
        <v>3315</v>
      </c>
      <c r="G113" s="2"/>
      <c r="H113" s="2"/>
      <c r="I113" s="13">
        <v>2000</v>
      </c>
      <c r="J113" s="13">
        <f t="shared" si="14"/>
        <v>2000</v>
      </c>
      <c r="K113" s="13">
        <f t="shared" si="15"/>
        <v>1315</v>
      </c>
      <c r="L113" s="14">
        <f t="shared" si="16"/>
        <v>0.43833333333333335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1</v>
      </c>
      <c r="B114" s="10" t="s">
        <v>21</v>
      </c>
      <c r="C114" s="11" t="s">
        <v>133</v>
      </c>
      <c r="D114" s="13">
        <v>3000</v>
      </c>
      <c r="E114" s="13">
        <f t="shared" si="12"/>
        <v>3000</v>
      </c>
      <c r="F114" s="13">
        <f t="shared" si="13"/>
        <v>3315</v>
      </c>
      <c r="G114" s="2"/>
      <c r="H114" s="2"/>
      <c r="I114" s="13">
        <v>2000</v>
      </c>
      <c r="J114" s="13">
        <f t="shared" si="14"/>
        <v>2000</v>
      </c>
      <c r="K114" s="13">
        <f t="shared" si="15"/>
        <v>1315</v>
      </c>
      <c r="L114" s="14">
        <f t="shared" si="16"/>
        <v>0.43833333333333335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21</v>
      </c>
      <c r="C115" s="11" t="s">
        <v>29</v>
      </c>
      <c r="D115" s="13">
        <v>3500</v>
      </c>
      <c r="E115" s="13">
        <f t="shared" si="12"/>
        <v>3500</v>
      </c>
      <c r="F115" s="13">
        <f t="shared" si="13"/>
        <v>3867.5</v>
      </c>
      <c r="G115" s="2"/>
      <c r="H115" s="2"/>
      <c r="I115" s="13">
        <v>1500</v>
      </c>
      <c r="J115" s="13">
        <f t="shared" si="14"/>
        <v>1500</v>
      </c>
      <c r="K115" s="13">
        <f t="shared" si="15"/>
        <v>2367.5</v>
      </c>
      <c r="L115" s="14">
        <f t="shared" si="16"/>
        <v>0.67642857142857138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17</v>
      </c>
      <c r="C116" s="11" t="s">
        <v>31</v>
      </c>
      <c r="D116" s="13">
        <v>3200</v>
      </c>
      <c r="E116" s="13">
        <f t="shared" si="12"/>
        <v>3200</v>
      </c>
      <c r="F116" s="13">
        <f t="shared" si="13"/>
        <v>3536</v>
      </c>
      <c r="G116" s="2"/>
      <c r="H116" s="2"/>
      <c r="I116" s="13">
        <f>20000/7</f>
        <v>2857.1428571428573</v>
      </c>
      <c r="J116" s="13">
        <f t="shared" si="14"/>
        <v>2857.1428571428573</v>
      </c>
      <c r="K116" s="13">
        <f t="shared" si="15"/>
        <v>678.85714285714266</v>
      </c>
      <c r="L116" s="14">
        <f t="shared" si="16"/>
        <v>0.21214285714285708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1</v>
      </c>
      <c r="B117" s="10" t="s">
        <v>17</v>
      </c>
      <c r="C117" s="11" t="s">
        <v>32</v>
      </c>
      <c r="D117" s="13">
        <v>2400</v>
      </c>
      <c r="E117" s="13">
        <f t="shared" si="12"/>
        <v>2400</v>
      </c>
      <c r="F117" s="13">
        <f t="shared" si="13"/>
        <v>2652</v>
      </c>
      <c r="G117" s="2"/>
      <c r="H117" s="2"/>
      <c r="I117" s="13">
        <f>12000/7</f>
        <v>1714.2857142857142</v>
      </c>
      <c r="J117" s="13">
        <f t="shared" si="14"/>
        <v>1714.2857142857142</v>
      </c>
      <c r="K117" s="13">
        <f t="shared" si="15"/>
        <v>937.71428571428578</v>
      </c>
      <c r="L117" s="14">
        <f t="shared" si="16"/>
        <v>0.39071428571428574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1</v>
      </c>
      <c r="B118" s="10" t="s">
        <v>17</v>
      </c>
      <c r="C118" s="11" t="s">
        <v>33</v>
      </c>
      <c r="D118" s="13">
        <v>2800</v>
      </c>
      <c r="E118" s="13">
        <f t="shared" si="12"/>
        <v>2800</v>
      </c>
      <c r="F118" s="13">
        <f t="shared" si="13"/>
        <v>3094</v>
      </c>
      <c r="G118" s="2"/>
      <c r="H118" s="2"/>
      <c r="I118" s="13">
        <f>15000/7</f>
        <v>2142.8571428571427</v>
      </c>
      <c r="J118" s="13">
        <f t="shared" si="14"/>
        <v>2142.8571428571427</v>
      </c>
      <c r="K118" s="13">
        <f t="shared" si="15"/>
        <v>951.14285714285734</v>
      </c>
      <c r="L118" s="14">
        <f t="shared" si="16"/>
        <v>0.33969387755102048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4</v>
      </c>
      <c r="C119" s="11" t="s">
        <v>14</v>
      </c>
      <c r="D119" s="13">
        <v>2600</v>
      </c>
      <c r="E119" s="13">
        <f t="shared" si="12"/>
        <v>5200</v>
      </c>
      <c r="F119" s="13">
        <f t="shared" si="13"/>
        <v>5746</v>
      </c>
      <c r="G119" s="2"/>
      <c r="H119" s="2"/>
      <c r="I119" s="13">
        <f>15000/8</f>
        <v>1875</v>
      </c>
      <c r="J119" s="13">
        <f t="shared" si="14"/>
        <v>3750</v>
      </c>
      <c r="K119" s="13">
        <f t="shared" si="15"/>
        <v>1996</v>
      </c>
      <c r="L119" s="14">
        <f t="shared" si="16"/>
        <v>0.38384615384615384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15</v>
      </c>
      <c r="B120" s="10" t="s">
        <v>21</v>
      </c>
      <c r="C120" s="11" t="s">
        <v>46</v>
      </c>
      <c r="D120" s="13">
        <v>600</v>
      </c>
      <c r="E120" s="13">
        <f t="shared" si="12"/>
        <v>9000</v>
      </c>
      <c r="F120" s="13">
        <f t="shared" si="13"/>
        <v>9945</v>
      </c>
      <c r="G120" s="2"/>
      <c r="H120" s="2"/>
      <c r="I120" s="13">
        <f>8000/24</f>
        <v>333.33333333333331</v>
      </c>
      <c r="J120" s="13">
        <f t="shared" si="14"/>
        <v>5000</v>
      </c>
      <c r="K120" s="13">
        <f t="shared" si="15"/>
        <v>4945</v>
      </c>
      <c r="L120" s="14">
        <f t="shared" si="16"/>
        <v>0.5494444444444444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17</v>
      </c>
      <c r="C121" s="11" t="s">
        <v>35</v>
      </c>
      <c r="D121" s="13">
        <v>2500</v>
      </c>
      <c r="E121" s="13">
        <f t="shared" si="12"/>
        <v>2500</v>
      </c>
      <c r="F121" s="13">
        <f t="shared" si="13"/>
        <v>2762.5</v>
      </c>
      <c r="G121" s="2"/>
      <c r="H121" s="2"/>
      <c r="I121" s="13">
        <f>14000/9</f>
        <v>1555.5555555555557</v>
      </c>
      <c r="J121" s="13">
        <f t="shared" si="14"/>
        <v>1555.5555555555557</v>
      </c>
      <c r="K121" s="13">
        <f t="shared" si="15"/>
        <v>1206.9444444444443</v>
      </c>
      <c r="L121" s="14">
        <f t="shared" si="16"/>
        <v>0.48277777777777775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4</v>
      </c>
      <c r="B122" s="10" t="s">
        <v>15</v>
      </c>
      <c r="C122" s="11" t="s">
        <v>27</v>
      </c>
      <c r="D122" s="13">
        <v>23000</v>
      </c>
      <c r="E122" s="13">
        <f t="shared" si="12"/>
        <v>92000</v>
      </c>
      <c r="F122" s="13">
        <f t="shared" si="13"/>
        <v>101660</v>
      </c>
      <c r="G122" s="2"/>
      <c r="H122" s="2"/>
      <c r="I122" s="13">
        <v>17500</v>
      </c>
      <c r="J122" s="13">
        <f t="shared" si="14"/>
        <v>70000</v>
      </c>
      <c r="K122" s="13">
        <f t="shared" si="15"/>
        <v>31660</v>
      </c>
      <c r="L122" s="14">
        <f t="shared" si="16"/>
        <v>0.34413043478260869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7.8</v>
      </c>
      <c r="B123" s="10" t="s">
        <v>17</v>
      </c>
      <c r="C123" s="11" t="s">
        <v>16</v>
      </c>
      <c r="D123" s="13">
        <v>1000</v>
      </c>
      <c r="E123" s="13">
        <f t="shared" si="12"/>
        <v>7800</v>
      </c>
      <c r="F123" s="13">
        <f t="shared" si="13"/>
        <v>8619</v>
      </c>
      <c r="G123" s="2"/>
      <c r="H123" s="2"/>
      <c r="I123" s="13">
        <f>7000/15</f>
        <v>466.66666666666669</v>
      </c>
      <c r="J123" s="13">
        <f t="shared" si="14"/>
        <v>3640</v>
      </c>
      <c r="K123" s="13">
        <f t="shared" si="15"/>
        <v>4979</v>
      </c>
      <c r="L123" s="14">
        <f t="shared" si="16"/>
        <v>0.63833333333333331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0.25</v>
      </c>
      <c r="B124" s="10" t="s">
        <v>17</v>
      </c>
      <c r="C124" s="11" t="s">
        <v>88</v>
      </c>
      <c r="D124" s="13">
        <v>2400</v>
      </c>
      <c r="E124" s="13">
        <f t="shared" si="12"/>
        <v>600</v>
      </c>
      <c r="F124" s="13">
        <f t="shared" si="13"/>
        <v>663</v>
      </c>
      <c r="G124" s="2"/>
      <c r="H124" s="2"/>
      <c r="I124" s="13">
        <f>20000/15</f>
        <v>1333.3333333333333</v>
      </c>
      <c r="J124" s="13">
        <f t="shared" si="14"/>
        <v>333.33333333333331</v>
      </c>
      <c r="K124" s="13">
        <f t="shared" si="15"/>
        <v>329.66666666666669</v>
      </c>
      <c r="L124" s="14">
        <f t="shared" si="16"/>
        <v>0.54944444444444451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5</v>
      </c>
      <c r="B125" s="10" t="s">
        <v>11</v>
      </c>
      <c r="C125" s="11" t="s">
        <v>12</v>
      </c>
      <c r="D125" s="13">
        <v>4500</v>
      </c>
      <c r="E125" s="13">
        <f t="shared" si="12"/>
        <v>22500</v>
      </c>
      <c r="F125" s="13">
        <f>E125*1.21</f>
        <v>27225</v>
      </c>
      <c r="G125" s="2"/>
      <c r="H125" s="2"/>
      <c r="I125" s="13">
        <f>50000/12</f>
        <v>4166.666666666667</v>
      </c>
      <c r="J125" s="13">
        <f t="shared" si="14"/>
        <v>20833.333333333336</v>
      </c>
      <c r="K125" s="13">
        <f t="shared" si="15"/>
        <v>6391.6666666666642</v>
      </c>
      <c r="L125" s="14">
        <f t="shared" si="16"/>
        <v>0.28407407407407398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5"/>
      <c r="B126" s="2"/>
      <c r="C126" s="4"/>
      <c r="D126" s="2"/>
      <c r="E126" s="2"/>
      <c r="F126" s="2"/>
      <c r="G126" s="2"/>
      <c r="H126" s="2"/>
      <c r="I126" s="2"/>
      <c r="J126" s="2"/>
      <c r="K126" s="2"/>
      <c r="L126" s="3"/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"/>
      <c r="B127" s="2"/>
      <c r="C127" s="4"/>
      <c r="D127" s="2"/>
      <c r="E127" s="13">
        <f t="shared" ref="E127:F127" si="17">SUM(E97:E125)</f>
        <v>380900</v>
      </c>
      <c r="F127" s="13">
        <f t="shared" si="17"/>
        <v>423257</v>
      </c>
      <c r="G127" s="2"/>
      <c r="H127" s="2"/>
      <c r="I127" s="2"/>
      <c r="J127" s="2"/>
      <c r="K127" s="13">
        <f>SUM(K97:K125)</f>
        <v>138763.33520074695</v>
      </c>
      <c r="L127" s="14">
        <f>K127/F127</f>
        <v>0.32784652161865474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1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1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1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1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75" t="s">
        <v>63</v>
      </c>
      <c r="B132" s="76"/>
      <c r="C132" s="76"/>
      <c r="D132" s="2"/>
      <c r="E132" s="7" t="s">
        <v>179</v>
      </c>
      <c r="F132" s="8">
        <v>46119</v>
      </c>
      <c r="G132" s="7"/>
      <c r="H132" s="2"/>
      <c r="I132" s="78" t="s">
        <v>2</v>
      </c>
      <c r="J132" s="76"/>
      <c r="K132" s="76"/>
      <c r="L132" s="3"/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"/>
      <c r="B133" s="2"/>
      <c r="C133" s="5"/>
      <c r="D133" s="2"/>
      <c r="E133" s="2"/>
      <c r="F133" s="2"/>
      <c r="G133" s="2"/>
      <c r="H133" s="2"/>
      <c r="I133" s="2"/>
      <c r="J133" s="2"/>
      <c r="K133" s="2"/>
      <c r="L133" s="3"/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6" t="s">
        <v>3</v>
      </c>
      <c r="B134" s="10" t="s">
        <v>4</v>
      </c>
      <c r="C134" s="11" t="s">
        <v>5</v>
      </c>
      <c r="D134" s="10" t="s">
        <v>6</v>
      </c>
      <c r="E134" s="10" t="s">
        <v>7</v>
      </c>
      <c r="F134" s="10" t="s">
        <v>8</v>
      </c>
      <c r="G134" s="2"/>
      <c r="H134" s="2"/>
      <c r="I134" s="10" t="s">
        <v>9</v>
      </c>
      <c r="J134" s="10" t="s">
        <v>7</v>
      </c>
      <c r="K134" s="10" t="s">
        <v>10</v>
      </c>
      <c r="L134" s="3"/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23</v>
      </c>
      <c r="C135" s="11" t="s">
        <v>123</v>
      </c>
      <c r="D135" s="13">
        <v>40000</v>
      </c>
      <c r="E135" s="13">
        <f t="shared" ref="E135:E142" si="18">A135*D135</f>
        <v>40000</v>
      </c>
      <c r="F135" s="13">
        <f t="shared" ref="F135:F142" si="19">E135*1.105</f>
        <v>44200</v>
      </c>
      <c r="G135" s="2"/>
      <c r="H135" s="2"/>
      <c r="I135" s="13">
        <v>32000</v>
      </c>
      <c r="J135" s="13">
        <f t="shared" ref="J135:J142" si="20">I135*A135</f>
        <v>32000</v>
      </c>
      <c r="K135" s="13">
        <f t="shared" ref="K135:K142" si="21">F135-J135</f>
        <v>12200</v>
      </c>
      <c r="L135" s="14">
        <f t="shared" ref="L135:L142" si="22">IFERROR(K135/E135, 0)</f>
        <v>0.30499999999999999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1</v>
      </c>
      <c r="B136" s="10" t="s">
        <v>21</v>
      </c>
      <c r="C136" s="11" t="s">
        <v>51</v>
      </c>
      <c r="D136" s="13">
        <v>1500</v>
      </c>
      <c r="E136" s="13">
        <f t="shared" si="18"/>
        <v>1500</v>
      </c>
      <c r="F136" s="13">
        <f t="shared" si="19"/>
        <v>1657.5</v>
      </c>
      <c r="G136" s="2"/>
      <c r="H136" s="2"/>
      <c r="I136" s="13">
        <v>1000</v>
      </c>
      <c r="J136" s="13">
        <f t="shared" si="20"/>
        <v>1000</v>
      </c>
      <c r="K136" s="13">
        <f t="shared" si="21"/>
        <v>657.5</v>
      </c>
      <c r="L136" s="14">
        <f t="shared" si="22"/>
        <v>0.43833333333333335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17</v>
      </c>
      <c r="C137" s="11" t="s">
        <v>35</v>
      </c>
      <c r="D137" s="13">
        <v>2500</v>
      </c>
      <c r="E137" s="13">
        <f t="shared" si="18"/>
        <v>2500</v>
      </c>
      <c r="F137" s="13">
        <f t="shared" si="19"/>
        <v>2762.5</v>
      </c>
      <c r="G137" s="2"/>
      <c r="H137" s="2"/>
      <c r="I137" s="13">
        <f>14000/9</f>
        <v>1555.5555555555557</v>
      </c>
      <c r="J137" s="13">
        <f t="shared" si="20"/>
        <v>1555.5555555555557</v>
      </c>
      <c r="K137" s="13">
        <f t="shared" si="21"/>
        <v>1206.9444444444443</v>
      </c>
      <c r="L137" s="14">
        <f t="shared" si="22"/>
        <v>0.48277777777777775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15</v>
      </c>
      <c r="C138" s="11" t="s">
        <v>129</v>
      </c>
      <c r="D138" s="13">
        <v>16000</v>
      </c>
      <c r="E138" s="13">
        <f t="shared" si="18"/>
        <v>16000</v>
      </c>
      <c r="F138" s="13">
        <f t="shared" si="19"/>
        <v>17680</v>
      </c>
      <c r="G138" s="2"/>
      <c r="H138" s="2"/>
      <c r="I138" s="13">
        <v>12000</v>
      </c>
      <c r="J138" s="13">
        <f t="shared" si="20"/>
        <v>12000</v>
      </c>
      <c r="K138" s="13">
        <f t="shared" si="21"/>
        <v>5680</v>
      </c>
      <c r="L138" s="14">
        <f t="shared" si="22"/>
        <v>0.35499999999999998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2</v>
      </c>
      <c r="B139" s="10" t="s">
        <v>15</v>
      </c>
      <c r="C139" s="11" t="s">
        <v>48</v>
      </c>
      <c r="D139" s="13">
        <v>13000</v>
      </c>
      <c r="E139" s="13">
        <f t="shared" si="18"/>
        <v>26000</v>
      </c>
      <c r="F139" s="13">
        <f t="shared" si="19"/>
        <v>28730</v>
      </c>
      <c r="G139" s="2"/>
      <c r="H139" s="2"/>
      <c r="I139" s="13">
        <v>7000</v>
      </c>
      <c r="J139" s="13">
        <f t="shared" si="20"/>
        <v>14000</v>
      </c>
      <c r="K139" s="13">
        <f t="shared" si="21"/>
        <v>14730</v>
      </c>
      <c r="L139" s="14">
        <f t="shared" si="22"/>
        <v>0.56653846153846155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1</v>
      </c>
      <c r="B140" s="10" t="s">
        <v>15</v>
      </c>
      <c r="C140" s="11" t="s">
        <v>40</v>
      </c>
      <c r="D140" s="13">
        <v>12000</v>
      </c>
      <c r="E140" s="13">
        <f t="shared" si="18"/>
        <v>12000</v>
      </c>
      <c r="F140" s="13">
        <f t="shared" si="19"/>
        <v>13260</v>
      </c>
      <c r="G140" s="2"/>
      <c r="H140" s="2"/>
      <c r="I140" s="13">
        <v>7000</v>
      </c>
      <c r="J140" s="13">
        <f t="shared" si="20"/>
        <v>7000</v>
      </c>
      <c r="K140" s="13">
        <f t="shared" si="21"/>
        <v>6260</v>
      </c>
      <c r="L140" s="14">
        <f t="shared" si="22"/>
        <v>0.52166666666666661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2</v>
      </c>
      <c r="B141" s="10" t="s">
        <v>23</v>
      </c>
      <c r="C141" s="11" t="s">
        <v>26</v>
      </c>
      <c r="D141" s="13">
        <v>26000</v>
      </c>
      <c r="E141" s="13">
        <f t="shared" si="18"/>
        <v>52000</v>
      </c>
      <c r="F141" s="13">
        <f t="shared" si="19"/>
        <v>57460</v>
      </c>
      <c r="G141" s="2"/>
      <c r="H141" s="2"/>
      <c r="I141" s="13">
        <v>25000</v>
      </c>
      <c r="J141" s="13">
        <f t="shared" si="20"/>
        <v>50000</v>
      </c>
      <c r="K141" s="13">
        <f t="shared" si="21"/>
        <v>7460</v>
      </c>
      <c r="L141" s="14">
        <f t="shared" si="22"/>
        <v>0.14346153846153847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3</v>
      </c>
      <c r="B142" s="10" t="s">
        <v>17</v>
      </c>
      <c r="C142" s="11" t="s">
        <v>88</v>
      </c>
      <c r="D142" s="13">
        <v>2400</v>
      </c>
      <c r="E142" s="13">
        <f t="shared" si="18"/>
        <v>7200</v>
      </c>
      <c r="F142" s="13">
        <f t="shared" si="19"/>
        <v>7956</v>
      </c>
      <c r="G142" s="2"/>
      <c r="H142" s="2"/>
      <c r="I142" s="13">
        <f>20000/15</f>
        <v>1333.3333333333333</v>
      </c>
      <c r="J142" s="13">
        <f t="shared" si="20"/>
        <v>4000</v>
      </c>
      <c r="K142" s="13">
        <f t="shared" si="21"/>
        <v>3956</v>
      </c>
      <c r="L142" s="14">
        <f t="shared" si="22"/>
        <v>0.5494444444444444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"/>
      <c r="B144" s="2"/>
      <c r="C144" s="4"/>
      <c r="D144" s="2"/>
      <c r="E144" s="13">
        <f t="shared" ref="E144:F144" si="23">SUM(E135:E142)</f>
        <v>157200</v>
      </c>
      <c r="F144" s="13">
        <f t="shared" si="23"/>
        <v>173706</v>
      </c>
      <c r="G144" s="2"/>
      <c r="H144" s="2"/>
      <c r="I144" s="2"/>
      <c r="J144" s="2"/>
      <c r="K144" s="13">
        <f>SUM(K135:K142)</f>
        <v>52150.444444444445</v>
      </c>
      <c r="L144" s="14">
        <f>K144/F144</f>
        <v>0.30022247040657457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20"/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20"/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75" t="s">
        <v>70</v>
      </c>
      <c r="B147" s="76"/>
      <c r="C147" s="76"/>
      <c r="D147" s="2"/>
      <c r="E147" s="7" t="s">
        <v>71</v>
      </c>
      <c r="F147" s="8">
        <v>46119</v>
      </c>
      <c r="G147" s="2"/>
      <c r="H147" s="2"/>
      <c r="I147" s="78" t="s">
        <v>2</v>
      </c>
      <c r="J147" s="76"/>
      <c r="K147" s="76"/>
      <c r="L147" s="3"/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"/>
      <c r="B148" s="2"/>
      <c r="C148" s="5"/>
      <c r="D148" s="2"/>
      <c r="E148" s="2"/>
      <c r="F148" s="2"/>
      <c r="G148" s="2"/>
      <c r="H148" s="2"/>
      <c r="I148" s="2"/>
      <c r="J148" s="2"/>
      <c r="K148" s="2"/>
      <c r="L148" s="3"/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6" t="s">
        <v>3</v>
      </c>
      <c r="B149" s="10" t="s">
        <v>4</v>
      </c>
      <c r="C149" s="11" t="s">
        <v>5</v>
      </c>
      <c r="D149" s="10" t="s">
        <v>6</v>
      </c>
      <c r="E149" s="10" t="s">
        <v>7</v>
      </c>
      <c r="F149" s="10" t="s">
        <v>8</v>
      </c>
      <c r="G149" s="2"/>
      <c r="H149" s="2"/>
      <c r="I149" s="10" t="s">
        <v>9</v>
      </c>
      <c r="J149" s="10" t="s">
        <v>7</v>
      </c>
      <c r="K149" s="10" t="s">
        <v>10</v>
      </c>
      <c r="L149" s="3"/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15</v>
      </c>
      <c r="C150" s="11" t="s">
        <v>27</v>
      </c>
      <c r="D150" s="13">
        <v>23000</v>
      </c>
      <c r="E150" s="13">
        <f t="shared" ref="E150:E167" si="24">A150*D150</f>
        <v>23000</v>
      </c>
      <c r="F150" s="13">
        <f t="shared" ref="F150:F166" si="25">E150*1.105</f>
        <v>25415</v>
      </c>
      <c r="G150" s="2"/>
      <c r="H150" s="2"/>
      <c r="I150" s="13">
        <v>17500</v>
      </c>
      <c r="J150" s="13">
        <f t="shared" ref="J150:J167" si="26">I150*A150</f>
        <v>17500</v>
      </c>
      <c r="K150" s="13">
        <f t="shared" ref="K150:K167" si="27">F150-J150</f>
        <v>7915</v>
      </c>
      <c r="L150" s="18">
        <f t="shared" ref="L150:L167" si="28">IFERROR(K150/E150, 0)</f>
        <v>0.34413043478260869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1.5</v>
      </c>
      <c r="B151" s="10" t="s">
        <v>17</v>
      </c>
      <c r="C151" s="11" t="s">
        <v>31</v>
      </c>
      <c r="D151" s="13">
        <v>3200</v>
      </c>
      <c r="E151" s="13">
        <f t="shared" si="24"/>
        <v>4800</v>
      </c>
      <c r="F151" s="13">
        <f t="shared" si="25"/>
        <v>5304</v>
      </c>
      <c r="G151" s="2"/>
      <c r="H151" s="2"/>
      <c r="I151" s="13">
        <f>20000/7</f>
        <v>2857.1428571428573</v>
      </c>
      <c r="J151" s="13">
        <f t="shared" si="26"/>
        <v>4285.7142857142862</v>
      </c>
      <c r="K151" s="13">
        <f t="shared" si="27"/>
        <v>1018.2857142857138</v>
      </c>
      <c r="L151" s="18">
        <f t="shared" si="28"/>
        <v>0.21214285714285702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6</v>
      </c>
      <c r="B152" s="10" t="s">
        <v>17</v>
      </c>
      <c r="C152" s="11" t="s">
        <v>16</v>
      </c>
      <c r="D152" s="13">
        <v>1000</v>
      </c>
      <c r="E152" s="13">
        <f t="shared" si="24"/>
        <v>6000</v>
      </c>
      <c r="F152" s="13">
        <f t="shared" si="25"/>
        <v>6630</v>
      </c>
      <c r="G152" s="2"/>
      <c r="H152" s="2"/>
      <c r="I152" s="13">
        <f>7000/15</f>
        <v>466.66666666666669</v>
      </c>
      <c r="J152" s="13">
        <f t="shared" si="26"/>
        <v>2800</v>
      </c>
      <c r="K152" s="13">
        <f t="shared" si="27"/>
        <v>3830</v>
      </c>
      <c r="L152" s="18">
        <f t="shared" si="28"/>
        <v>0.63833333333333331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17</v>
      </c>
      <c r="C153" s="11" t="s">
        <v>99</v>
      </c>
      <c r="D153" s="13">
        <v>1500</v>
      </c>
      <c r="E153" s="13">
        <f t="shared" si="24"/>
        <v>1500</v>
      </c>
      <c r="F153" s="13">
        <f t="shared" si="25"/>
        <v>1657.5</v>
      </c>
      <c r="G153" s="2"/>
      <c r="H153" s="2"/>
      <c r="I153" s="13">
        <f>10000/8</f>
        <v>1250</v>
      </c>
      <c r="J153" s="13">
        <f t="shared" si="26"/>
        <v>1250</v>
      </c>
      <c r="K153" s="13">
        <f t="shared" si="27"/>
        <v>407.5</v>
      </c>
      <c r="L153" s="18">
        <f t="shared" si="28"/>
        <v>0.27166666666666667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4</v>
      </c>
      <c r="B154" s="10" t="s">
        <v>17</v>
      </c>
      <c r="C154" s="11" t="s">
        <v>56</v>
      </c>
      <c r="D154" s="13">
        <v>800</v>
      </c>
      <c r="E154" s="13">
        <f t="shared" si="24"/>
        <v>3200</v>
      </c>
      <c r="F154" s="13">
        <f t="shared" si="25"/>
        <v>3536</v>
      </c>
      <c r="G154" s="2"/>
      <c r="H154" s="2"/>
      <c r="I154" s="13">
        <f>10000/15</f>
        <v>666.66666666666663</v>
      </c>
      <c r="J154" s="13">
        <f t="shared" si="26"/>
        <v>2666.6666666666665</v>
      </c>
      <c r="K154" s="13">
        <f t="shared" si="27"/>
        <v>869.33333333333348</v>
      </c>
      <c r="L154" s="18">
        <f t="shared" si="28"/>
        <v>0.27166666666666672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5</v>
      </c>
      <c r="B155" s="10" t="s">
        <v>17</v>
      </c>
      <c r="C155" s="11" t="s">
        <v>39</v>
      </c>
      <c r="D155" s="13">
        <v>2400</v>
      </c>
      <c r="E155" s="13">
        <f t="shared" si="24"/>
        <v>12000</v>
      </c>
      <c r="F155" s="13">
        <f t="shared" si="25"/>
        <v>13260</v>
      </c>
      <c r="G155" s="2"/>
      <c r="H155" s="2"/>
      <c r="I155" s="13">
        <f>25000/15</f>
        <v>1666.6666666666667</v>
      </c>
      <c r="J155" s="13">
        <f t="shared" si="26"/>
        <v>8333.3333333333339</v>
      </c>
      <c r="K155" s="13">
        <f t="shared" si="27"/>
        <v>4926.6666666666661</v>
      </c>
      <c r="L155" s="18">
        <f t="shared" si="28"/>
        <v>0.41055555555555551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1.4</v>
      </c>
      <c r="B156" s="10" t="s">
        <v>17</v>
      </c>
      <c r="C156" s="11" t="s">
        <v>34</v>
      </c>
      <c r="D156" s="13">
        <v>5000</v>
      </c>
      <c r="E156" s="13">
        <f t="shared" si="24"/>
        <v>7000</v>
      </c>
      <c r="F156" s="13">
        <f t="shared" si="25"/>
        <v>7735</v>
      </c>
      <c r="G156" s="2"/>
      <c r="H156" s="2"/>
      <c r="I156" s="13">
        <v>3000</v>
      </c>
      <c r="J156" s="13">
        <f t="shared" si="26"/>
        <v>4200</v>
      </c>
      <c r="K156" s="13">
        <f t="shared" si="27"/>
        <v>3535</v>
      </c>
      <c r="L156" s="18">
        <f t="shared" si="28"/>
        <v>0.505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</v>
      </c>
      <c r="B157" s="10" t="s">
        <v>17</v>
      </c>
      <c r="C157" s="11" t="s">
        <v>77</v>
      </c>
      <c r="D157" s="13">
        <v>2600</v>
      </c>
      <c r="E157" s="13">
        <f t="shared" si="24"/>
        <v>2600</v>
      </c>
      <c r="F157" s="13">
        <f t="shared" si="25"/>
        <v>2873</v>
      </c>
      <c r="G157" s="2"/>
      <c r="H157" s="2"/>
      <c r="I157" s="13">
        <v>1800</v>
      </c>
      <c r="J157" s="13">
        <f t="shared" si="26"/>
        <v>1800</v>
      </c>
      <c r="K157" s="13">
        <f t="shared" si="27"/>
        <v>1073</v>
      </c>
      <c r="L157" s="18">
        <f t="shared" si="28"/>
        <v>0.41269230769230769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1</v>
      </c>
      <c r="B158" s="10" t="s">
        <v>17</v>
      </c>
      <c r="C158" s="11" t="s">
        <v>82</v>
      </c>
      <c r="D158" s="13">
        <v>1400</v>
      </c>
      <c r="E158" s="13">
        <f t="shared" si="24"/>
        <v>1400</v>
      </c>
      <c r="F158" s="13">
        <f t="shared" si="25"/>
        <v>1547</v>
      </c>
      <c r="G158" s="2"/>
      <c r="H158" s="2"/>
      <c r="I158" s="13">
        <f>15000/14</f>
        <v>1071.4285714285713</v>
      </c>
      <c r="J158" s="13">
        <f t="shared" si="26"/>
        <v>1071.4285714285713</v>
      </c>
      <c r="K158" s="13">
        <f t="shared" si="27"/>
        <v>475.57142857142867</v>
      </c>
      <c r="L158" s="18">
        <f t="shared" si="28"/>
        <v>0.33969387755102048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1</v>
      </c>
      <c r="B159" s="10" t="s">
        <v>17</v>
      </c>
      <c r="C159" s="11" t="s">
        <v>88</v>
      </c>
      <c r="D159" s="13">
        <v>2400</v>
      </c>
      <c r="E159" s="13">
        <f t="shared" si="24"/>
        <v>2400</v>
      </c>
      <c r="F159" s="13">
        <f t="shared" si="25"/>
        <v>2652</v>
      </c>
      <c r="G159" s="2"/>
      <c r="H159" s="2"/>
      <c r="I159" s="13">
        <f>20000/15</f>
        <v>1333.3333333333333</v>
      </c>
      <c r="J159" s="13">
        <f t="shared" si="26"/>
        <v>1333.3333333333333</v>
      </c>
      <c r="K159" s="13">
        <f t="shared" si="27"/>
        <v>1318.6666666666667</v>
      </c>
      <c r="L159" s="18">
        <f t="shared" si="28"/>
        <v>0.54944444444444451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2</v>
      </c>
      <c r="B160" s="10" t="s">
        <v>17</v>
      </c>
      <c r="C160" s="11" t="s">
        <v>40</v>
      </c>
      <c r="D160" s="13">
        <v>1300</v>
      </c>
      <c r="E160" s="13">
        <f t="shared" si="24"/>
        <v>2600</v>
      </c>
      <c r="F160" s="13">
        <f t="shared" si="25"/>
        <v>2873</v>
      </c>
      <c r="G160" s="2"/>
      <c r="H160" s="2"/>
      <c r="I160" s="13">
        <v>1000</v>
      </c>
      <c r="J160" s="13">
        <f t="shared" si="26"/>
        <v>2000</v>
      </c>
      <c r="K160" s="13">
        <f t="shared" si="27"/>
        <v>873</v>
      </c>
      <c r="L160" s="18">
        <f t="shared" si="28"/>
        <v>0.33576923076923076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1</v>
      </c>
      <c r="B161" s="10" t="s">
        <v>17</v>
      </c>
      <c r="C161" s="11" t="s">
        <v>62</v>
      </c>
      <c r="D161" s="13">
        <v>3000</v>
      </c>
      <c r="E161" s="13">
        <f t="shared" si="24"/>
        <v>3000</v>
      </c>
      <c r="F161" s="13">
        <f t="shared" si="25"/>
        <v>3315</v>
      </c>
      <c r="G161" s="2"/>
      <c r="H161" s="2"/>
      <c r="I161" s="13">
        <f>32000/17</f>
        <v>1882.3529411764705</v>
      </c>
      <c r="J161" s="13">
        <f t="shared" si="26"/>
        <v>1882.3529411764705</v>
      </c>
      <c r="K161" s="13">
        <f t="shared" si="27"/>
        <v>1432.6470588235295</v>
      </c>
      <c r="L161" s="18">
        <f t="shared" si="28"/>
        <v>0.47754901960784318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4</v>
      </c>
      <c r="B162" s="10" t="s">
        <v>17</v>
      </c>
      <c r="C162" s="11" t="s">
        <v>26</v>
      </c>
      <c r="D162" s="13">
        <v>1800</v>
      </c>
      <c r="E162" s="13">
        <f t="shared" si="24"/>
        <v>7200</v>
      </c>
      <c r="F162" s="13">
        <f t="shared" si="25"/>
        <v>7956</v>
      </c>
      <c r="G162" s="2"/>
      <c r="H162" s="2"/>
      <c r="I162" s="13">
        <f>25000/15</f>
        <v>1666.6666666666667</v>
      </c>
      <c r="J162" s="13">
        <f t="shared" si="26"/>
        <v>6666.666666666667</v>
      </c>
      <c r="K162" s="13">
        <f t="shared" si="27"/>
        <v>1289.333333333333</v>
      </c>
      <c r="L162" s="18">
        <f t="shared" si="28"/>
        <v>0.17907407407407402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1</v>
      </c>
      <c r="B163" s="10" t="s">
        <v>17</v>
      </c>
      <c r="C163" s="11" t="s">
        <v>25</v>
      </c>
      <c r="D163" s="13">
        <v>4500</v>
      </c>
      <c r="E163" s="13">
        <f t="shared" si="24"/>
        <v>4500</v>
      </c>
      <c r="F163" s="13">
        <f t="shared" si="25"/>
        <v>4972.5</v>
      </c>
      <c r="G163" s="2"/>
      <c r="H163" s="2"/>
      <c r="I163" s="13">
        <f>65000/17</f>
        <v>3823.5294117647059</v>
      </c>
      <c r="J163" s="13">
        <f t="shared" si="26"/>
        <v>3823.5294117647059</v>
      </c>
      <c r="K163" s="13">
        <f t="shared" si="27"/>
        <v>1148.9705882352941</v>
      </c>
      <c r="L163" s="18">
        <f t="shared" si="28"/>
        <v>0.25532679738562092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2</v>
      </c>
      <c r="B164" s="10" t="s">
        <v>17</v>
      </c>
      <c r="C164" s="11" t="s">
        <v>24</v>
      </c>
      <c r="D164" s="13">
        <v>3600</v>
      </c>
      <c r="E164" s="13">
        <f t="shared" si="24"/>
        <v>7200</v>
      </c>
      <c r="F164" s="13">
        <f t="shared" si="25"/>
        <v>7956</v>
      </c>
      <c r="G164" s="2"/>
      <c r="H164" s="2"/>
      <c r="I164" s="13">
        <f>50000/17</f>
        <v>2941.1764705882351</v>
      </c>
      <c r="J164" s="13">
        <f t="shared" si="26"/>
        <v>5882.3529411764703</v>
      </c>
      <c r="K164" s="13">
        <f t="shared" si="27"/>
        <v>2073.6470588235297</v>
      </c>
      <c r="L164" s="18">
        <f t="shared" si="28"/>
        <v>0.28800653594771247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1</v>
      </c>
      <c r="B165" s="10" t="s">
        <v>17</v>
      </c>
      <c r="C165" s="11" t="s">
        <v>123</v>
      </c>
      <c r="D165" s="13">
        <v>3200</v>
      </c>
      <c r="E165" s="13">
        <f t="shared" si="24"/>
        <v>3200</v>
      </c>
      <c r="F165" s="13">
        <f t="shared" si="25"/>
        <v>3536</v>
      </c>
      <c r="G165" s="2"/>
      <c r="H165" s="2"/>
      <c r="I165" s="13">
        <f>32000/15</f>
        <v>2133.3333333333335</v>
      </c>
      <c r="J165" s="13">
        <f t="shared" si="26"/>
        <v>2133.3333333333335</v>
      </c>
      <c r="K165" s="13">
        <f t="shared" si="27"/>
        <v>1402.6666666666665</v>
      </c>
      <c r="L165" s="18">
        <f t="shared" si="28"/>
        <v>0.4383333333333333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2</v>
      </c>
      <c r="B166" s="10" t="s">
        <v>4</v>
      </c>
      <c r="C166" s="11" t="s">
        <v>13</v>
      </c>
      <c r="D166" s="13">
        <v>900</v>
      </c>
      <c r="E166" s="13">
        <f t="shared" si="24"/>
        <v>1800</v>
      </c>
      <c r="F166" s="13">
        <f t="shared" si="25"/>
        <v>1989</v>
      </c>
      <c r="G166" s="2"/>
      <c r="H166" s="2"/>
      <c r="I166" s="13">
        <v>460</v>
      </c>
      <c r="J166" s="13">
        <f t="shared" si="26"/>
        <v>920</v>
      </c>
      <c r="K166" s="13">
        <f t="shared" si="27"/>
        <v>1069</v>
      </c>
      <c r="L166" s="18">
        <f t="shared" si="28"/>
        <v>0.59388888888888891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0.5</v>
      </c>
      <c r="B167" s="10" t="s">
        <v>23</v>
      </c>
      <c r="C167" s="11" t="s">
        <v>12</v>
      </c>
      <c r="D167" s="13">
        <v>54000</v>
      </c>
      <c r="E167" s="13">
        <f t="shared" si="24"/>
        <v>27000</v>
      </c>
      <c r="F167" s="13">
        <f>E167*1.21</f>
        <v>32670</v>
      </c>
      <c r="G167" s="2"/>
      <c r="H167" s="2"/>
      <c r="I167" s="13">
        <v>50000</v>
      </c>
      <c r="J167" s="13">
        <f t="shared" si="26"/>
        <v>25000</v>
      </c>
      <c r="K167" s="13">
        <f t="shared" si="27"/>
        <v>7670</v>
      </c>
      <c r="L167" s="36">
        <f t="shared" si="28"/>
        <v>0.28407407407407409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"/>
      <c r="B168" s="2"/>
      <c r="C168" s="4"/>
      <c r="D168" s="2"/>
      <c r="E168" s="2"/>
      <c r="F168" s="2"/>
      <c r="G168" s="2"/>
      <c r="H168" s="2"/>
      <c r="I168" s="2"/>
      <c r="J168" s="2"/>
      <c r="K168" s="2"/>
      <c r="L168" s="3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"/>
      <c r="B169" s="2"/>
      <c r="C169" s="4"/>
      <c r="D169" s="2"/>
      <c r="E169" s="13">
        <f t="shared" ref="E169:F169" si="29">SUM(E150:E167)</f>
        <v>120400</v>
      </c>
      <c r="F169" s="13">
        <f t="shared" si="29"/>
        <v>135877</v>
      </c>
      <c r="G169" s="2"/>
      <c r="H169" s="2"/>
      <c r="I169" s="2"/>
      <c r="J169" s="2"/>
      <c r="K169" s="13">
        <f>SUM(K150:K167)</f>
        <v>42328.288515406159</v>
      </c>
      <c r="L169" s="18">
        <f>K169/F169</f>
        <v>0.31151915714511036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20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20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20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6" t="s">
        <v>119</v>
      </c>
      <c r="B173" s="1"/>
      <c r="C173" s="1"/>
      <c r="D173" s="22" t="s">
        <v>180</v>
      </c>
      <c r="E173" s="8">
        <v>46119</v>
      </c>
      <c r="F173" s="24" t="s">
        <v>37</v>
      </c>
      <c r="G173" s="2"/>
      <c r="H173" s="2"/>
      <c r="I173" s="2"/>
      <c r="J173" s="2"/>
      <c r="K173" s="2"/>
      <c r="L173" s="3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2"/>
      <c r="C174" s="4"/>
      <c r="D174" s="2"/>
      <c r="E174" s="2"/>
      <c r="F174" s="2"/>
      <c r="G174" s="2"/>
      <c r="H174" s="2"/>
      <c r="I174" s="2"/>
      <c r="J174" s="2"/>
      <c r="K174" s="2"/>
      <c r="L174" s="3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6" t="s">
        <v>3</v>
      </c>
      <c r="B175" s="10" t="s">
        <v>4</v>
      </c>
      <c r="C175" s="11" t="s">
        <v>5</v>
      </c>
      <c r="D175" s="10" t="s">
        <v>6</v>
      </c>
      <c r="E175" s="10" t="s">
        <v>7</v>
      </c>
      <c r="F175" s="2"/>
      <c r="G175" s="2"/>
      <c r="H175" s="2"/>
      <c r="I175" s="10" t="s">
        <v>6</v>
      </c>
      <c r="J175" s="10" t="s">
        <v>7</v>
      </c>
      <c r="K175" s="10" t="s">
        <v>10</v>
      </c>
      <c r="L175" s="3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2</v>
      </c>
      <c r="B176" s="10" t="s">
        <v>23</v>
      </c>
      <c r="C176" s="11" t="s">
        <v>181</v>
      </c>
      <c r="D176" s="13">
        <v>55000</v>
      </c>
      <c r="E176" s="13">
        <f>A176*D176</f>
        <v>110000</v>
      </c>
      <c r="F176" s="2"/>
      <c r="G176" s="2"/>
      <c r="H176" s="2"/>
      <c r="I176" s="13">
        <v>50000</v>
      </c>
      <c r="J176" s="13">
        <f>I176*A176</f>
        <v>100000</v>
      </c>
      <c r="K176" s="13">
        <f>E176-J176</f>
        <v>10000</v>
      </c>
      <c r="L176" s="21">
        <f>K176/E176</f>
        <v>9.0909090909090912E-2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5"/>
      <c r="B177" s="2"/>
      <c r="C177" s="4"/>
      <c r="D177" s="2"/>
      <c r="E177" s="2"/>
      <c r="F177" s="2"/>
      <c r="G177" s="4"/>
      <c r="H177" s="2"/>
      <c r="I177" s="2"/>
      <c r="J177" s="2"/>
      <c r="K177" s="2"/>
      <c r="L177" s="3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2"/>
      <c r="C178" s="4"/>
      <c r="D178" s="2"/>
      <c r="E178" s="13">
        <f>SUM(E176)</f>
        <v>110000</v>
      </c>
      <c r="F178" s="2"/>
      <c r="G178" s="2"/>
      <c r="H178" s="2"/>
      <c r="I178" s="2"/>
      <c r="J178" s="2"/>
      <c r="K178" s="13">
        <f>SUM(K172:K176)</f>
        <v>10000</v>
      </c>
      <c r="L178" s="14">
        <f>K178/E178</f>
        <v>9.0909090909090912E-2</v>
      </c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20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20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20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20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20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6" t="s">
        <v>124</v>
      </c>
      <c r="B184" s="1"/>
      <c r="C184" s="1"/>
      <c r="D184" s="22" t="s">
        <v>92</v>
      </c>
      <c r="E184" s="8">
        <v>46119</v>
      </c>
      <c r="F184" s="24" t="s">
        <v>37</v>
      </c>
      <c r="G184" s="2"/>
      <c r="H184" s="2"/>
      <c r="I184" s="2"/>
      <c r="J184" s="2"/>
      <c r="K184" s="2"/>
      <c r="L184" s="3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4"/>
      <c r="B185" s="2"/>
      <c r="C185" s="4"/>
      <c r="D185" s="2"/>
      <c r="E185" s="2"/>
      <c r="F185" s="2"/>
      <c r="G185" s="2"/>
      <c r="H185" s="2"/>
      <c r="I185" s="2"/>
      <c r="J185" s="2"/>
      <c r="K185" s="2"/>
      <c r="L185" s="3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6" t="s">
        <v>3</v>
      </c>
      <c r="B186" s="10" t="s">
        <v>4</v>
      </c>
      <c r="C186" s="11" t="s">
        <v>5</v>
      </c>
      <c r="D186" s="10" t="s">
        <v>6</v>
      </c>
      <c r="E186" s="10" t="s">
        <v>7</v>
      </c>
      <c r="F186" s="2"/>
      <c r="G186" s="2"/>
      <c r="H186" s="2"/>
      <c r="I186" s="10" t="s">
        <v>6</v>
      </c>
      <c r="J186" s="10" t="s">
        <v>7</v>
      </c>
      <c r="K186" s="10" t="s">
        <v>10</v>
      </c>
      <c r="L186" s="3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2</v>
      </c>
      <c r="B187" s="10" t="s">
        <v>17</v>
      </c>
      <c r="C187" s="11" t="s">
        <v>182</v>
      </c>
      <c r="D187" s="13">
        <v>11500</v>
      </c>
      <c r="E187" s="13">
        <f t="shared" ref="E187:E196" si="30">A187*D187</f>
        <v>23000</v>
      </c>
      <c r="F187" s="2"/>
      <c r="G187" s="2"/>
      <c r="H187" s="2"/>
      <c r="I187" s="13">
        <v>8500</v>
      </c>
      <c r="J187" s="13">
        <f t="shared" ref="J187:J196" si="31">I187*A187</f>
        <v>17000</v>
      </c>
      <c r="K187" s="13">
        <f t="shared" ref="K187:K196" si="32">E187-J187</f>
        <v>6000</v>
      </c>
      <c r="L187" s="14">
        <f t="shared" ref="L187:L196" si="33">K187/E187</f>
        <v>0.2608695652173913</v>
      </c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1</v>
      </c>
      <c r="B188" s="10" t="s">
        <v>4</v>
      </c>
      <c r="C188" s="11" t="s">
        <v>183</v>
      </c>
      <c r="D188" s="13">
        <v>6000</v>
      </c>
      <c r="E188" s="13">
        <f t="shared" si="30"/>
        <v>6000</v>
      </c>
      <c r="F188" s="2"/>
      <c r="G188" s="2"/>
      <c r="H188" s="2"/>
      <c r="I188" s="13">
        <v>4500</v>
      </c>
      <c r="J188" s="13">
        <f t="shared" si="31"/>
        <v>4500</v>
      </c>
      <c r="K188" s="13">
        <f t="shared" si="32"/>
        <v>1500</v>
      </c>
      <c r="L188" s="14">
        <f t="shared" si="33"/>
        <v>0.25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2</v>
      </c>
      <c r="B189" s="10" t="s">
        <v>17</v>
      </c>
      <c r="C189" s="11" t="s">
        <v>31</v>
      </c>
      <c r="D189" s="13">
        <v>3000</v>
      </c>
      <c r="E189" s="13">
        <f t="shared" si="30"/>
        <v>6000</v>
      </c>
      <c r="F189" s="2"/>
      <c r="G189" s="2"/>
      <c r="H189" s="2"/>
      <c r="I189" s="13">
        <f>20000/7</f>
        <v>2857.1428571428573</v>
      </c>
      <c r="J189" s="13">
        <f t="shared" si="31"/>
        <v>5714.2857142857147</v>
      </c>
      <c r="K189" s="13">
        <f t="shared" si="32"/>
        <v>285.71428571428532</v>
      </c>
      <c r="L189" s="14">
        <f t="shared" si="33"/>
        <v>4.7619047619047554E-2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0.5</v>
      </c>
      <c r="B190" s="10" t="s">
        <v>17</v>
      </c>
      <c r="C190" s="11" t="s">
        <v>42</v>
      </c>
      <c r="D190" s="13">
        <v>5000</v>
      </c>
      <c r="E190" s="13">
        <f t="shared" si="30"/>
        <v>2500</v>
      </c>
      <c r="F190" s="2"/>
      <c r="G190" s="2"/>
      <c r="H190" s="2"/>
      <c r="I190" s="13">
        <v>2000</v>
      </c>
      <c r="J190" s="13">
        <f t="shared" si="31"/>
        <v>1000</v>
      </c>
      <c r="K190" s="13">
        <f t="shared" si="32"/>
        <v>1500</v>
      </c>
      <c r="L190" s="14">
        <f t="shared" si="33"/>
        <v>0.6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23</v>
      </c>
      <c r="C191" s="11" t="s">
        <v>88</v>
      </c>
      <c r="D191" s="13">
        <v>28000</v>
      </c>
      <c r="E191" s="13">
        <f t="shared" si="30"/>
        <v>28000</v>
      </c>
      <c r="F191" s="2"/>
      <c r="G191" s="2"/>
      <c r="H191" s="2"/>
      <c r="I191" s="13">
        <v>20000</v>
      </c>
      <c r="J191" s="13">
        <f t="shared" si="31"/>
        <v>20000</v>
      </c>
      <c r="K191" s="13">
        <f t="shared" si="32"/>
        <v>8000</v>
      </c>
      <c r="L191" s="14">
        <f t="shared" si="33"/>
        <v>0.2857142857142857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3</v>
      </c>
      <c r="B192" s="10" t="s">
        <v>23</v>
      </c>
      <c r="C192" s="11" t="s">
        <v>127</v>
      </c>
      <c r="D192" s="13">
        <v>26000</v>
      </c>
      <c r="E192" s="13">
        <f t="shared" si="30"/>
        <v>78000</v>
      </c>
      <c r="F192" s="2"/>
      <c r="G192" s="2"/>
      <c r="H192" s="2"/>
      <c r="I192" s="13">
        <v>25000</v>
      </c>
      <c r="J192" s="13">
        <f t="shared" si="31"/>
        <v>75000</v>
      </c>
      <c r="K192" s="13">
        <f t="shared" si="32"/>
        <v>3000</v>
      </c>
      <c r="L192" s="14">
        <f t="shared" si="33"/>
        <v>3.8461538461538464E-2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1</v>
      </c>
      <c r="B193" s="10" t="s">
        <v>23</v>
      </c>
      <c r="C193" s="11" t="s">
        <v>123</v>
      </c>
      <c r="D193" s="13">
        <v>42000</v>
      </c>
      <c r="E193" s="13">
        <f t="shared" si="30"/>
        <v>42000</v>
      </c>
      <c r="F193" s="2"/>
      <c r="G193" s="2"/>
      <c r="H193" s="2"/>
      <c r="I193" s="13">
        <v>32000</v>
      </c>
      <c r="J193" s="13">
        <f t="shared" si="31"/>
        <v>32000</v>
      </c>
      <c r="K193" s="13">
        <f t="shared" si="32"/>
        <v>10000</v>
      </c>
      <c r="L193" s="14">
        <f t="shared" si="33"/>
        <v>0.23809523809523808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0.5</v>
      </c>
      <c r="B194" s="10" t="s">
        <v>17</v>
      </c>
      <c r="C194" s="11" t="s">
        <v>111</v>
      </c>
      <c r="D194" s="13">
        <v>11000</v>
      </c>
      <c r="E194" s="13">
        <f t="shared" si="30"/>
        <v>5500</v>
      </c>
      <c r="F194" s="2"/>
      <c r="G194" s="2"/>
      <c r="H194" s="2"/>
      <c r="I194" s="13">
        <v>7000</v>
      </c>
      <c r="J194" s="13">
        <f t="shared" si="31"/>
        <v>3500</v>
      </c>
      <c r="K194" s="13">
        <f t="shared" si="32"/>
        <v>2000</v>
      </c>
      <c r="L194" s="14">
        <f t="shared" si="33"/>
        <v>0.36363636363636365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3</v>
      </c>
      <c r="B195" s="10" t="s">
        <v>17</v>
      </c>
      <c r="C195" s="11" t="s">
        <v>87</v>
      </c>
      <c r="D195" s="13">
        <v>3000</v>
      </c>
      <c r="E195" s="13">
        <f t="shared" si="30"/>
        <v>9000</v>
      </c>
      <c r="F195" s="2"/>
      <c r="G195" s="2"/>
      <c r="H195" s="2"/>
      <c r="I195" s="13">
        <f>32000/17</f>
        <v>1882.3529411764705</v>
      </c>
      <c r="J195" s="13">
        <f t="shared" si="31"/>
        <v>5647.0588235294117</v>
      </c>
      <c r="K195" s="13">
        <f t="shared" si="32"/>
        <v>3352.9411764705883</v>
      </c>
      <c r="L195" s="14">
        <f t="shared" si="33"/>
        <v>0.37254901960784315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1</v>
      </c>
      <c r="B196" s="10" t="s">
        <v>21</v>
      </c>
      <c r="C196" s="11" t="s">
        <v>112</v>
      </c>
      <c r="D196" s="13">
        <v>3000</v>
      </c>
      <c r="E196" s="13">
        <f t="shared" si="30"/>
        <v>3000</v>
      </c>
      <c r="F196" s="2"/>
      <c r="G196" s="2"/>
      <c r="H196" s="2"/>
      <c r="I196" s="13">
        <v>2000</v>
      </c>
      <c r="J196" s="13">
        <f t="shared" si="31"/>
        <v>2000</v>
      </c>
      <c r="K196" s="13">
        <f t="shared" si="32"/>
        <v>1000</v>
      </c>
      <c r="L196" s="14">
        <f t="shared" si="33"/>
        <v>0.33333333333333331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2"/>
      <c r="C197" s="4"/>
      <c r="D197" s="2"/>
      <c r="E197" s="2"/>
      <c r="F197" s="2"/>
      <c r="G197" s="4"/>
      <c r="H197" s="2"/>
      <c r="I197" s="2"/>
      <c r="J197" s="2"/>
      <c r="K197" s="2"/>
      <c r="L197" s="3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"/>
      <c r="B198" s="2"/>
      <c r="C198" s="4"/>
      <c r="D198" s="2"/>
      <c r="E198" s="13">
        <f>SUM(E187:E196)</f>
        <v>203000</v>
      </c>
      <c r="F198" s="2"/>
      <c r="G198" s="2"/>
      <c r="H198" s="2"/>
      <c r="I198" s="2"/>
      <c r="J198" s="2"/>
      <c r="K198" s="13">
        <f>SUM(K187:K196)</f>
        <v>36638.655462184877</v>
      </c>
      <c r="L198" s="14">
        <f>K198/E198</f>
        <v>0.18048598749844766</v>
      </c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20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20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20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6" t="s">
        <v>184</v>
      </c>
      <c r="B202" s="6"/>
      <c r="C202" s="6"/>
      <c r="D202" s="22" t="s">
        <v>97</v>
      </c>
      <c r="E202" s="8">
        <v>46119</v>
      </c>
      <c r="F202" s="23"/>
      <c r="G202" s="2"/>
      <c r="H202" s="2"/>
      <c r="I202" s="13"/>
      <c r="J202" s="13"/>
      <c r="K202" s="13"/>
      <c r="L202" s="14"/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B203" s="2"/>
      <c r="C203" s="4"/>
      <c r="D203" s="2"/>
      <c r="E203" s="2"/>
      <c r="F203" s="2"/>
      <c r="G203" s="2"/>
      <c r="H203" s="2"/>
      <c r="I203" s="13"/>
      <c r="J203" s="13"/>
      <c r="K203" s="13"/>
      <c r="L203" s="14"/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6" t="s">
        <v>3</v>
      </c>
      <c r="B204" s="10" t="s">
        <v>4</v>
      </c>
      <c r="C204" s="11" t="s">
        <v>5</v>
      </c>
      <c r="D204" s="10" t="s">
        <v>6</v>
      </c>
      <c r="E204" s="10" t="s">
        <v>7</v>
      </c>
      <c r="F204" s="10"/>
      <c r="G204" s="2"/>
      <c r="H204" s="2"/>
      <c r="I204" s="10" t="s">
        <v>6</v>
      </c>
      <c r="J204" s="10" t="s">
        <v>7</v>
      </c>
      <c r="K204" s="10" t="s">
        <v>10</v>
      </c>
      <c r="L204" s="14"/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>
        <v>1</v>
      </c>
      <c r="B205" s="10" t="s">
        <v>23</v>
      </c>
      <c r="C205" s="11" t="s">
        <v>64</v>
      </c>
      <c r="D205" s="13">
        <v>14000</v>
      </c>
      <c r="E205" s="13">
        <f>A205*D205</f>
        <v>14000</v>
      </c>
      <c r="F205" s="13"/>
      <c r="G205" s="2"/>
      <c r="H205" s="7"/>
      <c r="I205" s="13">
        <v>9000</v>
      </c>
      <c r="J205" s="13">
        <f>I205*A205</f>
        <v>9000</v>
      </c>
      <c r="K205" s="13">
        <f>E205-J205</f>
        <v>5000</v>
      </c>
      <c r="L205" s="14">
        <f>K205/E205</f>
        <v>0.35714285714285715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/>
      <c r="B206" s="10"/>
      <c r="C206" s="11"/>
      <c r="D206" s="13"/>
      <c r="E206" s="13"/>
      <c r="F206" s="13"/>
      <c r="H206" s="2"/>
      <c r="I206" s="13"/>
      <c r="J206" s="13"/>
      <c r="K206" s="13"/>
      <c r="L206" s="1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>
        <f>SUM(E205)</f>
        <v>14000</v>
      </c>
      <c r="F207" s="13"/>
      <c r="G207" s="2"/>
      <c r="H207" s="2"/>
      <c r="I207" s="13"/>
      <c r="J207" s="13"/>
      <c r="K207" s="13">
        <f>SUM(K205)</f>
        <v>5000</v>
      </c>
      <c r="L207" s="14">
        <f>K207/E207</f>
        <v>0.35714285714285715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20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20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6" t="s">
        <v>174</v>
      </c>
      <c r="B210" s="25"/>
      <c r="C210" s="1"/>
      <c r="D210" s="12" t="s">
        <v>179</v>
      </c>
      <c r="E210" s="8">
        <v>46119</v>
      </c>
      <c r="F210" s="15" t="s">
        <v>37</v>
      </c>
      <c r="G210" s="2"/>
      <c r="H210" s="2"/>
      <c r="I210" s="2"/>
      <c r="J210" s="2"/>
      <c r="K210" s="2"/>
      <c r="L210" s="3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"/>
      <c r="B211" s="2"/>
      <c r="C211" s="1"/>
      <c r="D211" s="2"/>
      <c r="E211" s="2"/>
      <c r="F211" s="2"/>
      <c r="G211" s="2"/>
      <c r="H211" s="2"/>
      <c r="I211" s="2"/>
      <c r="J211" s="2"/>
      <c r="K211" s="2"/>
      <c r="L211" s="3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6" t="s">
        <v>3</v>
      </c>
      <c r="B212" s="10" t="s">
        <v>4</v>
      </c>
      <c r="C212" s="6" t="s">
        <v>5</v>
      </c>
      <c r="D212" s="10" t="s">
        <v>6</v>
      </c>
      <c r="E212" s="10" t="s">
        <v>7</v>
      </c>
      <c r="F212" s="2"/>
      <c r="G212" s="2"/>
      <c r="H212" s="2"/>
      <c r="I212" s="10" t="s">
        <v>6</v>
      </c>
      <c r="J212" s="10" t="s">
        <v>7</v>
      </c>
      <c r="K212" s="10" t="s">
        <v>10</v>
      </c>
      <c r="L212" s="3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3</v>
      </c>
      <c r="B213" s="10" t="s">
        <v>15</v>
      </c>
      <c r="C213" s="6" t="s">
        <v>77</v>
      </c>
      <c r="D213" s="13">
        <v>26000</v>
      </c>
      <c r="E213" s="13">
        <f t="shared" ref="E213:E223" si="34">A213*D213</f>
        <v>78000</v>
      </c>
      <c r="F213" s="2"/>
      <c r="G213" s="2"/>
      <c r="H213" s="2"/>
      <c r="I213" s="13">
        <v>18000</v>
      </c>
      <c r="J213" s="13">
        <f t="shared" ref="J213:J223" si="35">I213*A213</f>
        <v>54000</v>
      </c>
      <c r="K213" s="13">
        <f t="shared" ref="K213:K223" si="36">E213-J213</f>
        <v>24000</v>
      </c>
      <c r="L213" s="14">
        <f t="shared" ref="L213:L223" si="37">K213/E213</f>
        <v>0.30769230769230771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0.5</v>
      </c>
      <c r="B214" s="10" t="s">
        <v>23</v>
      </c>
      <c r="C214" s="6" t="s">
        <v>51</v>
      </c>
      <c r="D214" s="13">
        <v>32000</v>
      </c>
      <c r="E214" s="13">
        <f t="shared" si="34"/>
        <v>16000</v>
      </c>
      <c r="F214" s="2"/>
      <c r="G214" s="2"/>
      <c r="H214" s="2"/>
      <c r="I214" s="13">
        <v>24000</v>
      </c>
      <c r="J214" s="13">
        <f t="shared" si="35"/>
        <v>12000</v>
      </c>
      <c r="K214" s="13">
        <f t="shared" si="36"/>
        <v>4000</v>
      </c>
      <c r="L214" s="14">
        <f t="shared" si="37"/>
        <v>0.25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0.5</v>
      </c>
      <c r="B215" s="10" t="s">
        <v>23</v>
      </c>
      <c r="C215" s="6" t="s">
        <v>39</v>
      </c>
      <c r="D215" s="13">
        <v>31000</v>
      </c>
      <c r="E215" s="13">
        <f t="shared" si="34"/>
        <v>15500</v>
      </c>
      <c r="F215" s="2"/>
      <c r="G215" s="2"/>
      <c r="H215" s="2"/>
      <c r="I215" s="13">
        <v>25000</v>
      </c>
      <c r="J215" s="13">
        <f t="shared" si="35"/>
        <v>12500</v>
      </c>
      <c r="K215" s="13">
        <f t="shared" si="36"/>
        <v>3000</v>
      </c>
      <c r="L215" s="14">
        <f t="shared" si="37"/>
        <v>0.19354838709677419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</v>
      </c>
      <c r="B216" s="10" t="s">
        <v>23</v>
      </c>
      <c r="C216" s="6" t="s">
        <v>46</v>
      </c>
      <c r="D216" s="13">
        <v>11000</v>
      </c>
      <c r="E216" s="13">
        <f t="shared" si="34"/>
        <v>11000</v>
      </c>
      <c r="F216" s="2"/>
      <c r="G216" s="2"/>
      <c r="H216" s="2"/>
      <c r="I216" s="13">
        <v>8000</v>
      </c>
      <c r="J216" s="13">
        <f t="shared" si="35"/>
        <v>8000</v>
      </c>
      <c r="K216" s="13">
        <f t="shared" si="36"/>
        <v>3000</v>
      </c>
      <c r="L216" s="14">
        <f t="shared" si="37"/>
        <v>0.27272727272727271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6</v>
      </c>
      <c r="B217" s="10" t="s">
        <v>21</v>
      </c>
      <c r="C217" s="6" t="s">
        <v>46</v>
      </c>
      <c r="D217" s="13">
        <v>500</v>
      </c>
      <c r="E217" s="13">
        <f t="shared" si="34"/>
        <v>3000</v>
      </c>
      <c r="F217" s="2"/>
      <c r="G217" s="2"/>
      <c r="H217" s="2"/>
      <c r="I217" s="13">
        <f>8000/24</f>
        <v>333.33333333333331</v>
      </c>
      <c r="J217" s="13">
        <f t="shared" si="35"/>
        <v>2000</v>
      </c>
      <c r="K217" s="13">
        <f t="shared" si="36"/>
        <v>1000</v>
      </c>
      <c r="L217" s="14">
        <f t="shared" si="37"/>
        <v>0.33333333333333331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2</v>
      </c>
      <c r="B218" s="10" t="s">
        <v>23</v>
      </c>
      <c r="C218" s="6" t="s">
        <v>22</v>
      </c>
      <c r="D218" s="13">
        <v>17000</v>
      </c>
      <c r="E218" s="13">
        <f t="shared" si="34"/>
        <v>34000</v>
      </c>
      <c r="F218" s="2"/>
      <c r="G218" s="2"/>
      <c r="H218" s="2"/>
      <c r="I218" s="13">
        <v>13000</v>
      </c>
      <c r="J218" s="13">
        <f t="shared" si="35"/>
        <v>26000</v>
      </c>
      <c r="K218" s="13">
        <f t="shared" si="36"/>
        <v>8000</v>
      </c>
      <c r="L218" s="14">
        <f t="shared" si="37"/>
        <v>0.23529411764705882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3</v>
      </c>
      <c r="B219" s="10" t="s">
        <v>23</v>
      </c>
      <c r="C219" s="6" t="s">
        <v>153</v>
      </c>
      <c r="D219" s="13">
        <v>24000</v>
      </c>
      <c r="E219" s="13">
        <f t="shared" si="34"/>
        <v>72000</v>
      </c>
      <c r="F219" s="2"/>
      <c r="G219" s="2"/>
      <c r="H219" s="2"/>
      <c r="I219" s="13">
        <v>15000</v>
      </c>
      <c r="J219" s="13">
        <f t="shared" si="35"/>
        <v>45000</v>
      </c>
      <c r="K219" s="13">
        <f t="shared" si="36"/>
        <v>27000</v>
      </c>
      <c r="L219" s="14">
        <f t="shared" si="37"/>
        <v>0.375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1</v>
      </c>
      <c r="B220" s="10" t="s">
        <v>23</v>
      </c>
      <c r="C220" s="6" t="s">
        <v>93</v>
      </c>
      <c r="D220" s="13">
        <v>18000</v>
      </c>
      <c r="E220" s="13">
        <f t="shared" si="34"/>
        <v>18000</v>
      </c>
      <c r="F220" s="2"/>
      <c r="G220" s="2"/>
      <c r="H220" s="2"/>
      <c r="I220" s="13">
        <v>7000</v>
      </c>
      <c r="J220" s="13">
        <f t="shared" si="35"/>
        <v>7000</v>
      </c>
      <c r="K220" s="13">
        <f t="shared" si="36"/>
        <v>11000</v>
      </c>
      <c r="L220" s="14">
        <f t="shared" si="37"/>
        <v>0.61111111111111116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0.5</v>
      </c>
      <c r="B221" s="10" t="s">
        <v>23</v>
      </c>
      <c r="C221" s="6" t="s">
        <v>34</v>
      </c>
      <c r="D221" s="13">
        <v>38000</v>
      </c>
      <c r="E221" s="13">
        <f t="shared" si="34"/>
        <v>19000</v>
      </c>
      <c r="F221" s="2"/>
      <c r="G221" s="2"/>
      <c r="H221" s="2"/>
      <c r="I221" s="13">
        <v>30000</v>
      </c>
      <c r="J221" s="13">
        <f t="shared" si="35"/>
        <v>15000</v>
      </c>
      <c r="K221" s="13">
        <f t="shared" si="36"/>
        <v>4000</v>
      </c>
      <c r="L221" s="14">
        <f t="shared" si="37"/>
        <v>0.21052631578947367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1</v>
      </c>
      <c r="B222" s="10" t="s">
        <v>86</v>
      </c>
      <c r="C222" s="6" t="s">
        <v>55</v>
      </c>
      <c r="D222" s="13">
        <v>90000</v>
      </c>
      <c r="E222" s="13">
        <f t="shared" si="34"/>
        <v>90000</v>
      </c>
      <c r="F222" s="2"/>
      <c r="G222" s="2"/>
      <c r="H222" s="2"/>
      <c r="I222" s="13">
        <f>17000*5</f>
        <v>85000</v>
      </c>
      <c r="J222" s="13">
        <f t="shared" si="35"/>
        <v>85000</v>
      </c>
      <c r="K222" s="13">
        <f t="shared" si="36"/>
        <v>5000</v>
      </c>
      <c r="L222" s="14">
        <f t="shared" si="37"/>
        <v>5.5555555555555552E-2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1.5</v>
      </c>
      <c r="B223" s="10" t="s">
        <v>23</v>
      </c>
      <c r="C223" s="6" t="s">
        <v>41</v>
      </c>
      <c r="D223" s="13">
        <v>26000</v>
      </c>
      <c r="E223" s="13">
        <f t="shared" si="34"/>
        <v>39000</v>
      </c>
      <c r="F223" s="2"/>
      <c r="G223" s="2"/>
      <c r="H223" s="2"/>
      <c r="I223" s="13">
        <v>16000</v>
      </c>
      <c r="J223" s="13">
        <f t="shared" si="35"/>
        <v>24000</v>
      </c>
      <c r="K223" s="13">
        <f t="shared" si="36"/>
        <v>15000</v>
      </c>
      <c r="L223" s="14">
        <f t="shared" si="37"/>
        <v>0.38461538461538464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"/>
      <c r="B224" s="2"/>
      <c r="C224" s="1"/>
      <c r="D224" s="2"/>
      <c r="E224" s="2"/>
      <c r="F224" s="2"/>
      <c r="G224" s="1"/>
      <c r="H224" s="2"/>
      <c r="I224" s="2"/>
      <c r="J224" s="2"/>
      <c r="K224" s="2"/>
      <c r="L224" s="3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"/>
      <c r="B225" s="2"/>
      <c r="C225" s="1"/>
      <c r="D225" s="2"/>
      <c r="E225" s="13">
        <f>SUM(E213:E223)</f>
        <v>395500</v>
      </c>
      <c r="F225" s="2"/>
      <c r="G225" s="2"/>
      <c r="H225" s="2"/>
      <c r="I225" s="2"/>
      <c r="J225" s="2"/>
      <c r="K225" s="13">
        <f>SUM(K213:K223)</f>
        <v>105000</v>
      </c>
      <c r="L225" s="14">
        <f>K225/E225</f>
        <v>0.26548672566371684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20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20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20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6" t="s">
        <v>108</v>
      </c>
      <c r="B229" s="1"/>
      <c r="C229" s="1"/>
      <c r="D229" s="22" t="s">
        <v>185</v>
      </c>
      <c r="E229" s="8">
        <v>46119</v>
      </c>
      <c r="F229" s="24" t="s">
        <v>37</v>
      </c>
      <c r="G229" s="2"/>
      <c r="H229" s="2"/>
      <c r="I229" s="2"/>
      <c r="J229" s="2"/>
      <c r="K229" s="2"/>
      <c r="L229" s="3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4"/>
      <c r="B230" s="2"/>
      <c r="C230" s="4"/>
      <c r="D230" s="2"/>
      <c r="E230" s="2"/>
      <c r="F230" s="2"/>
      <c r="G230" s="2"/>
      <c r="H230" s="2"/>
      <c r="I230" s="2"/>
      <c r="J230" s="2"/>
      <c r="K230" s="2"/>
      <c r="L230" s="3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6" t="s">
        <v>3</v>
      </c>
      <c r="B231" s="10" t="s">
        <v>4</v>
      </c>
      <c r="C231" s="11" t="s">
        <v>5</v>
      </c>
      <c r="D231" s="10" t="s">
        <v>6</v>
      </c>
      <c r="E231" s="10" t="s">
        <v>7</v>
      </c>
      <c r="F231" s="2"/>
      <c r="G231" s="2"/>
      <c r="H231" s="2"/>
      <c r="I231" s="10" t="s">
        <v>6</v>
      </c>
      <c r="J231" s="10" t="s">
        <v>7</v>
      </c>
      <c r="K231" s="10" t="s">
        <v>10</v>
      </c>
      <c r="L231" s="3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2</v>
      </c>
      <c r="B232" s="10" t="s">
        <v>17</v>
      </c>
      <c r="C232" s="11" t="s">
        <v>113</v>
      </c>
      <c r="D232" s="13">
        <v>4000</v>
      </c>
      <c r="E232" s="13">
        <f t="shared" ref="E232:E237" si="38">A232*D232</f>
        <v>8000</v>
      </c>
      <c r="F232" s="2"/>
      <c r="G232" s="2"/>
      <c r="H232" s="2"/>
      <c r="I232" s="13">
        <v>2000</v>
      </c>
      <c r="J232" s="13">
        <f t="shared" ref="J232:J237" si="39">I232*A232</f>
        <v>4000</v>
      </c>
      <c r="K232" s="13">
        <f t="shared" ref="K232:K237" si="40">E232-J232</f>
        <v>4000</v>
      </c>
      <c r="L232" s="14">
        <f t="shared" ref="L232:L237" si="41">K232/E232</f>
        <v>0.5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15</v>
      </c>
      <c r="C233" s="11" t="s">
        <v>84</v>
      </c>
      <c r="D233" s="13">
        <v>23000</v>
      </c>
      <c r="E233" s="13">
        <f t="shared" si="38"/>
        <v>23000</v>
      </c>
      <c r="F233" s="2"/>
      <c r="G233" s="2"/>
      <c r="H233" s="2"/>
      <c r="I233" s="13">
        <v>17500</v>
      </c>
      <c r="J233" s="13">
        <f t="shared" si="39"/>
        <v>17500</v>
      </c>
      <c r="K233" s="13">
        <f t="shared" si="40"/>
        <v>5500</v>
      </c>
      <c r="L233" s="14">
        <f t="shared" si="41"/>
        <v>0.2391304347826087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2</v>
      </c>
      <c r="B234" s="10" t="s">
        <v>21</v>
      </c>
      <c r="C234" s="11" t="s">
        <v>42</v>
      </c>
      <c r="D234" s="13">
        <v>5000</v>
      </c>
      <c r="E234" s="13">
        <f t="shared" si="38"/>
        <v>10000</v>
      </c>
      <c r="F234" s="2"/>
      <c r="G234" s="2"/>
      <c r="H234" s="2"/>
      <c r="I234" s="13">
        <v>2000</v>
      </c>
      <c r="J234" s="13">
        <f t="shared" si="39"/>
        <v>4000</v>
      </c>
      <c r="K234" s="13">
        <f t="shared" si="40"/>
        <v>6000</v>
      </c>
      <c r="L234" s="14">
        <f t="shared" si="41"/>
        <v>0.6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23</v>
      </c>
      <c r="C235" s="11" t="s">
        <v>39</v>
      </c>
      <c r="D235" s="13">
        <v>32000</v>
      </c>
      <c r="E235" s="13">
        <f t="shared" si="38"/>
        <v>32000</v>
      </c>
      <c r="F235" s="2"/>
      <c r="G235" s="2"/>
      <c r="H235" s="2"/>
      <c r="I235" s="13">
        <v>25000</v>
      </c>
      <c r="J235" s="13">
        <f t="shared" si="39"/>
        <v>25000</v>
      </c>
      <c r="K235" s="13">
        <f t="shared" si="40"/>
        <v>7000</v>
      </c>
      <c r="L235" s="14">
        <f t="shared" si="41"/>
        <v>0.21875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3</v>
      </c>
      <c r="B236" s="10" t="s">
        <v>21</v>
      </c>
      <c r="C236" s="11" t="s">
        <v>133</v>
      </c>
      <c r="D236" s="13">
        <v>2000</v>
      </c>
      <c r="E236" s="13">
        <f t="shared" si="38"/>
        <v>6000</v>
      </c>
      <c r="F236" s="2"/>
      <c r="G236" s="2"/>
      <c r="H236" s="2"/>
      <c r="I236" s="13">
        <v>2000</v>
      </c>
      <c r="J236" s="13">
        <f t="shared" si="39"/>
        <v>6000</v>
      </c>
      <c r="K236" s="13">
        <f t="shared" si="40"/>
        <v>0</v>
      </c>
      <c r="L236" s="14">
        <f t="shared" si="41"/>
        <v>0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2</v>
      </c>
      <c r="B237" s="10" t="s">
        <v>21</v>
      </c>
      <c r="C237" s="11" t="s">
        <v>29</v>
      </c>
      <c r="D237" s="13">
        <v>4000</v>
      </c>
      <c r="E237" s="13">
        <f t="shared" si="38"/>
        <v>8000</v>
      </c>
      <c r="F237" s="2"/>
      <c r="G237" s="2"/>
      <c r="H237" s="2"/>
      <c r="I237" s="13">
        <v>1500</v>
      </c>
      <c r="J237" s="13">
        <f t="shared" si="39"/>
        <v>3000</v>
      </c>
      <c r="K237" s="13">
        <f t="shared" si="40"/>
        <v>5000</v>
      </c>
      <c r="L237" s="14">
        <f t="shared" si="41"/>
        <v>0.625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2"/>
      <c r="C238" s="4"/>
      <c r="D238" s="2"/>
      <c r="E238" s="2"/>
      <c r="F238" s="2"/>
      <c r="G238" s="4"/>
      <c r="H238" s="2"/>
      <c r="I238" s="2"/>
      <c r="J238" s="2"/>
      <c r="K238" s="2"/>
      <c r="L238" s="3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2"/>
      <c r="C239" s="4"/>
      <c r="D239" s="2"/>
      <c r="E239" s="13">
        <f>SUM(E232:E237)</f>
        <v>87000</v>
      </c>
      <c r="F239" s="2"/>
      <c r="G239" s="2"/>
      <c r="H239" s="2"/>
      <c r="I239" s="2"/>
      <c r="J239" s="2"/>
      <c r="K239" s="13">
        <f>SUM(K232:K237)</f>
        <v>27500</v>
      </c>
      <c r="L239" s="14">
        <f>K239/E239</f>
        <v>0.31609195402298851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20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6" t="s">
        <v>140</v>
      </c>
      <c r="B243" s="1"/>
      <c r="C243" s="1"/>
      <c r="D243" s="22" t="s">
        <v>176</v>
      </c>
      <c r="E243" s="8">
        <v>46119</v>
      </c>
      <c r="F243" s="24" t="s">
        <v>37</v>
      </c>
      <c r="G243" s="2"/>
      <c r="H243" s="2"/>
      <c r="I243" s="2"/>
      <c r="J243" s="2"/>
      <c r="K243" s="2"/>
      <c r="L243" s="3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4"/>
      <c r="B244" s="2"/>
      <c r="C244" s="4"/>
      <c r="D244" s="2"/>
      <c r="E244" s="2"/>
      <c r="F244" s="2"/>
      <c r="G244" s="2"/>
      <c r="H244" s="2"/>
      <c r="I244" s="2"/>
      <c r="J244" s="2"/>
      <c r="K244" s="2"/>
      <c r="L244" s="3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6" t="s">
        <v>3</v>
      </c>
      <c r="B245" s="10" t="s">
        <v>4</v>
      </c>
      <c r="C245" s="11" t="s">
        <v>5</v>
      </c>
      <c r="D245" s="10" t="s">
        <v>6</v>
      </c>
      <c r="E245" s="10" t="s">
        <v>7</v>
      </c>
      <c r="F245" s="10" t="s">
        <v>8</v>
      </c>
      <c r="G245" s="2"/>
      <c r="H245" s="2"/>
      <c r="I245" s="10" t="s">
        <v>6</v>
      </c>
      <c r="J245" s="10" t="s">
        <v>7</v>
      </c>
      <c r="K245" s="10" t="s">
        <v>10</v>
      </c>
      <c r="L245" s="3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2</v>
      </c>
      <c r="B246" s="10" t="s">
        <v>15</v>
      </c>
      <c r="C246" s="11" t="s">
        <v>141</v>
      </c>
      <c r="D246" s="13">
        <v>14000</v>
      </c>
      <c r="E246" s="13">
        <f t="shared" ref="E246:E251" si="42">A246*D246</f>
        <v>28000</v>
      </c>
      <c r="F246" s="13">
        <f t="shared" ref="F246:F251" si="43">E246*1.105</f>
        <v>30940</v>
      </c>
      <c r="G246" s="2"/>
      <c r="H246" s="2"/>
      <c r="I246" s="13">
        <v>10000</v>
      </c>
      <c r="J246" s="13">
        <f t="shared" ref="J246:J251" si="44">I246*A246</f>
        <v>20000</v>
      </c>
      <c r="K246" s="13">
        <f t="shared" ref="K246:K251" si="45">E246-J246</f>
        <v>8000</v>
      </c>
      <c r="L246" s="14">
        <f t="shared" ref="L246:L251" si="46">K246/E246</f>
        <v>0.2857142857142857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20</v>
      </c>
      <c r="B247" s="10" t="s">
        <v>21</v>
      </c>
      <c r="C247" s="11" t="s">
        <v>46</v>
      </c>
      <c r="D247" s="13">
        <v>600</v>
      </c>
      <c r="E247" s="13">
        <f t="shared" si="42"/>
        <v>12000</v>
      </c>
      <c r="F247" s="13">
        <f t="shared" si="43"/>
        <v>13260</v>
      </c>
      <c r="G247" s="2"/>
      <c r="H247" s="2"/>
      <c r="I247" s="13">
        <f>8000/24</f>
        <v>333.33333333333331</v>
      </c>
      <c r="J247" s="13">
        <f t="shared" si="44"/>
        <v>6666.6666666666661</v>
      </c>
      <c r="K247" s="13">
        <f t="shared" si="45"/>
        <v>5333.3333333333339</v>
      </c>
      <c r="L247" s="14">
        <f t="shared" si="46"/>
        <v>0.44444444444444448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</v>
      </c>
      <c r="B248" s="10" t="s">
        <v>17</v>
      </c>
      <c r="C248" s="11" t="s">
        <v>88</v>
      </c>
      <c r="D248" s="13">
        <v>2400</v>
      </c>
      <c r="E248" s="13">
        <f t="shared" si="42"/>
        <v>4800</v>
      </c>
      <c r="F248" s="13">
        <f t="shared" si="43"/>
        <v>5304</v>
      </c>
      <c r="G248" s="2"/>
      <c r="H248" s="2"/>
      <c r="I248" s="13">
        <f>20000/15</f>
        <v>1333.3333333333333</v>
      </c>
      <c r="J248" s="13">
        <f t="shared" si="44"/>
        <v>2666.6666666666665</v>
      </c>
      <c r="K248" s="13">
        <f t="shared" si="45"/>
        <v>2133.3333333333335</v>
      </c>
      <c r="L248" s="14">
        <f t="shared" si="46"/>
        <v>0.44444444444444448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23</v>
      </c>
      <c r="C249" s="11" t="s">
        <v>31</v>
      </c>
      <c r="D249" s="13">
        <v>24000</v>
      </c>
      <c r="E249" s="13">
        <f t="shared" si="42"/>
        <v>24000</v>
      </c>
      <c r="F249" s="13">
        <f t="shared" si="43"/>
        <v>26520</v>
      </c>
      <c r="G249" s="2"/>
      <c r="H249" s="2"/>
      <c r="I249" s="13">
        <v>20000</v>
      </c>
      <c r="J249" s="13">
        <f t="shared" si="44"/>
        <v>20000</v>
      </c>
      <c r="K249" s="13">
        <f t="shared" si="45"/>
        <v>4000</v>
      </c>
      <c r="L249" s="14">
        <f t="shared" si="46"/>
        <v>0.16666666666666666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23</v>
      </c>
      <c r="C250" s="11" t="s">
        <v>81</v>
      </c>
      <c r="D250" s="13">
        <v>18000</v>
      </c>
      <c r="E250" s="13">
        <f t="shared" si="42"/>
        <v>18000</v>
      </c>
      <c r="F250" s="13">
        <f t="shared" si="43"/>
        <v>19890</v>
      </c>
      <c r="G250" s="2"/>
      <c r="H250" s="2"/>
      <c r="I250" s="13">
        <v>8000</v>
      </c>
      <c r="J250" s="13">
        <f t="shared" si="44"/>
        <v>8000</v>
      </c>
      <c r="K250" s="13">
        <f t="shared" si="45"/>
        <v>10000</v>
      </c>
      <c r="L250" s="14">
        <f t="shared" si="46"/>
        <v>0.55555555555555558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23</v>
      </c>
      <c r="C251" s="11" t="s">
        <v>130</v>
      </c>
      <c r="D251" s="13">
        <v>13000</v>
      </c>
      <c r="E251" s="13">
        <f t="shared" si="42"/>
        <v>13000</v>
      </c>
      <c r="F251" s="13">
        <f t="shared" si="43"/>
        <v>14365</v>
      </c>
      <c r="G251" s="2"/>
      <c r="H251" s="2"/>
      <c r="I251" s="13">
        <v>10000</v>
      </c>
      <c r="J251" s="13">
        <f t="shared" si="44"/>
        <v>10000</v>
      </c>
      <c r="K251" s="13">
        <f t="shared" si="45"/>
        <v>3000</v>
      </c>
      <c r="L251" s="14">
        <f t="shared" si="46"/>
        <v>0.23076923076923078</v>
      </c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"/>
      <c r="B252" s="2"/>
      <c r="C252" s="4"/>
      <c r="D252" s="2"/>
      <c r="E252" s="2"/>
      <c r="F252" s="13"/>
      <c r="G252" s="4"/>
      <c r="H252" s="2"/>
      <c r="I252" s="2"/>
      <c r="J252" s="2"/>
      <c r="K252" s="2"/>
      <c r="L252" s="3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"/>
      <c r="B253" s="2"/>
      <c r="C253" s="4"/>
      <c r="D253" s="2"/>
      <c r="E253" s="13">
        <f t="shared" ref="E253:F253" si="47">SUM(E246:E251)</f>
        <v>99800</v>
      </c>
      <c r="F253" s="13">
        <f t="shared" si="47"/>
        <v>110279</v>
      </c>
      <c r="G253" s="2"/>
      <c r="H253" s="2"/>
      <c r="I253" s="2"/>
      <c r="J253" s="2"/>
      <c r="K253" s="13">
        <f>SUM(K246:K251)</f>
        <v>32466.666666666668</v>
      </c>
      <c r="L253" s="14">
        <f>K253/E253</f>
        <v>0.32531730126920511</v>
      </c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"/>
      <c r="B254" s="1"/>
      <c r="C254" s="1"/>
      <c r="D254" s="1"/>
      <c r="E254" s="1"/>
      <c r="F254" s="13"/>
      <c r="G254" s="1"/>
      <c r="H254" s="1"/>
      <c r="I254" s="1"/>
      <c r="J254" s="1"/>
      <c r="K254" s="1"/>
      <c r="L254" s="20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"/>
      <c r="B255" s="1"/>
      <c r="C255" s="1"/>
      <c r="D255" s="1"/>
      <c r="E255" s="1"/>
      <c r="F255" s="13"/>
      <c r="G255" s="1"/>
      <c r="H255" s="1"/>
      <c r="I255" s="1"/>
      <c r="J255" s="1"/>
      <c r="K255" s="1"/>
      <c r="L255" s="20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"/>
      <c r="B256" s="1"/>
      <c r="C256" s="1"/>
      <c r="D256" s="1"/>
      <c r="E256" s="1"/>
      <c r="F256" s="13"/>
      <c r="G256" s="1"/>
      <c r="H256" s="1"/>
      <c r="I256" s="1"/>
      <c r="J256" s="1"/>
      <c r="K256" s="1"/>
      <c r="L256" s="20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6" t="s">
        <v>177</v>
      </c>
      <c r="B257" s="6"/>
      <c r="C257" s="6"/>
      <c r="D257" s="22" t="s">
        <v>150</v>
      </c>
      <c r="E257" s="8">
        <v>46119</v>
      </c>
      <c r="F257" s="2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B258" s="2"/>
      <c r="C258" s="4"/>
      <c r="D258" s="2"/>
      <c r="E258" s="2"/>
      <c r="F258" s="2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6" t="s">
        <v>3</v>
      </c>
      <c r="B259" s="10" t="s">
        <v>4</v>
      </c>
      <c r="C259" s="11" t="s">
        <v>5</v>
      </c>
      <c r="D259" s="10" t="s">
        <v>6</v>
      </c>
      <c r="E259" s="10" t="s">
        <v>7</v>
      </c>
      <c r="F259" s="10"/>
      <c r="G259" s="2"/>
      <c r="H259" s="2"/>
      <c r="I259" s="10" t="s">
        <v>6</v>
      </c>
      <c r="J259" s="10" t="s">
        <v>7</v>
      </c>
      <c r="K259" s="10" t="s">
        <v>10</v>
      </c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>
        <v>1</v>
      </c>
      <c r="B260" s="10" t="s">
        <v>15</v>
      </c>
      <c r="C260" s="11" t="s">
        <v>154</v>
      </c>
      <c r="D260" s="13">
        <v>23000</v>
      </c>
      <c r="E260" s="13">
        <f>A260*D260</f>
        <v>23000</v>
      </c>
      <c r="F260" s="13"/>
      <c r="G260" s="2"/>
      <c r="H260" s="7"/>
      <c r="I260" s="13">
        <v>17000</v>
      </c>
      <c r="J260" s="13">
        <f>I260*A260</f>
        <v>17000</v>
      </c>
      <c r="K260" s="13">
        <f>E260-J260</f>
        <v>6000</v>
      </c>
      <c r="L260" s="14">
        <f>K260/E260</f>
        <v>0.2608695652173913</v>
      </c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H261" s="2"/>
      <c r="I261" s="13"/>
      <c r="J261" s="13"/>
      <c r="K261" s="13"/>
      <c r="L261" s="1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>
        <f>SUM(E260)</f>
        <v>23000</v>
      </c>
      <c r="F262" s="13"/>
      <c r="G262" s="2"/>
      <c r="H262" s="2"/>
      <c r="I262" s="13"/>
      <c r="J262" s="13"/>
      <c r="K262" s="13">
        <f>SUM(K260)</f>
        <v>6000</v>
      </c>
      <c r="L262" s="14">
        <f>K262/E262</f>
        <v>0.2608695652173913</v>
      </c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20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"/>
      <c r="B264" s="1"/>
      <c r="C264" s="1"/>
      <c r="D264" s="1"/>
      <c r="E264" s="1"/>
      <c r="F264" s="2"/>
      <c r="G264" s="1"/>
      <c r="H264" s="1"/>
      <c r="I264" s="1"/>
      <c r="J264" s="1"/>
      <c r="K264" s="1"/>
      <c r="L264" s="20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"/>
      <c r="B265" s="1"/>
      <c r="C265" s="1"/>
      <c r="D265" s="1"/>
      <c r="E265" s="1"/>
      <c r="F265" s="13"/>
      <c r="G265" s="1"/>
      <c r="H265" s="1"/>
      <c r="I265" s="1"/>
      <c r="J265" s="1"/>
      <c r="K265" s="1"/>
      <c r="L265" s="20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25.5" customHeight="1" x14ac:dyDescent="0.25">
      <c r="A266" s="26" t="s">
        <v>101</v>
      </c>
      <c r="B266" s="27">
        <f>E262+F253+E239+E225+E207+E198+E178+F169+F144+F127+F89+F45</f>
        <v>2712933.5750000002</v>
      </c>
      <c r="C266" s="4"/>
      <c r="D266" s="4"/>
      <c r="E266" s="4"/>
      <c r="F266" s="4"/>
      <c r="G266" s="4"/>
      <c r="H266" s="4"/>
      <c r="I266" s="4"/>
      <c r="J266" s="4"/>
      <c r="K266" s="4"/>
      <c r="L266" s="28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28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27" customHeight="1" x14ac:dyDescent="0.25">
      <c r="A268" s="26" t="s">
        <v>102</v>
      </c>
      <c r="B268" s="27">
        <f>K262+K253+K239+K225+K207+K198+K178+K169+K144+K127+K89+K45</f>
        <v>784484.88110729132</v>
      </c>
      <c r="C268" s="4"/>
      <c r="D268" s="4"/>
      <c r="E268" s="4"/>
      <c r="F268" s="4"/>
      <c r="G268" s="4"/>
      <c r="H268" s="4"/>
      <c r="I268" s="4"/>
      <c r="J268" s="4"/>
      <c r="K268" s="4"/>
      <c r="L268" s="28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28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28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26.25" customHeight="1" x14ac:dyDescent="0.25">
      <c r="A271" s="26" t="s">
        <v>103</v>
      </c>
      <c r="B271" s="29">
        <f>B268/B266</f>
        <v>0.28916479501614456</v>
      </c>
      <c r="C271" s="4"/>
      <c r="D271" s="4"/>
      <c r="E271" s="4"/>
      <c r="F271" s="4"/>
      <c r="G271" s="4"/>
      <c r="H271" s="4"/>
      <c r="I271" s="4"/>
      <c r="J271" s="4"/>
      <c r="K271" s="4"/>
      <c r="L271" s="28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28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77" t="s">
        <v>104</v>
      </c>
      <c r="B273" s="76"/>
      <c r="C273" s="4"/>
      <c r="D273" s="4"/>
      <c r="E273" s="4"/>
      <c r="F273" s="4"/>
      <c r="G273" s="4"/>
      <c r="H273" s="4"/>
      <c r="I273" s="4"/>
      <c r="J273" s="4"/>
      <c r="K273" s="4"/>
      <c r="L273" s="28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20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20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20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20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20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20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20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</sheetData>
  <mergeCells count="11">
    <mergeCell ref="A132:C132"/>
    <mergeCell ref="A147:C147"/>
    <mergeCell ref="I147:K147"/>
    <mergeCell ref="A273:B273"/>
    <mergeCell ref="A3:C3"/>
    <mergeCell ref="I3:K3"/>
    <mergeCell ref="A48:C48"/>
    <mergeCell ref="I48:K48"/>
    <mergeCell ref="A94:C94"/>
    <mergeCell ref="I94:K94"/>
    <mergeCell ref="I132:K132"/>
  </mergeCells>
  <conditionalFormatting sqref="L1:L280">
    <cfRule type="cellIs" dxfId="18" priority="2" operator="lessThanOrEqual">
      <formula>"20%"</formula>
    </cfRule>
    <cfRule type="cellIs" dxfId="17" priority="3" operator="between">
      <formula>"20.01%"</formula>
      <formula>"25%"</formula>
    </cfRule>
    <cfRule type="cellIs" dxfId="16" priority="4" operator="greaterThan">
      <formula>"25%"</formula>
    </cfRule>
  </conditionalFormatting>
  <conditionalFormatting sqref="L202:L207 L257:L262 L266:L273">
    <cfRule type="cellIs" dxfId="15" priority="1" operator="between">
      <formula>"20%"</formula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207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5" t="s">
        <v>53</v>
      </c>
      <c r="B3" s="76"/>
      <c r="C3" s="76"/>
      <c r="D3" s="2"/>
      <c r="E3" s="7" t="s">
        <v>76</v>
      </c>
      <c r="F3" s="8">
        <v>46120</v>
      </c>
      <c r="G3" s="2"/>
      <c r="H3" s="2"/>
      <c r="I3" s="78" t="s">
        <v>2</v>
      </c>
      <c r="J3" s="76"/>
      <c r="K3" s="76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23</v>
      </c>
      <c r="C6" s="11" t="s">
        <v>39</v>
      </c>
      <c r="D6" s="13">
        <v>36000</v>
      </c>
      <c r="E6" s="13">
        <f t="shared" ref="E6:E34" si="0">A6*D6</f>
        <v>36000</v>
      </c>
      <c r="F6" s="13">
        <f t="shared" ref="F6:F33" si="1">E6*1.105</f>
        <v>39780</v>
      </c>
      <c r="G6" s="2"/>
      <c r="H6" s="2"/>
      <c r="I6" s="13">
        <v>22000</v>
      </c>
      <c r="J6" s="13">
        <f t="shared" ref="J6:J34" si="2">I6*A6</f>
        <v>22000</v>
      </c>
      <c r="K6" s="13">
        <f t="shared" ref="K6:K34" si="3">F6-J6</f>
        <v>17780</v>
      </c>
      <c r="L6" s="14">
        <f t="shared" ref="L6:L34" si="4">IFERROR(K6/E6, 0)</f>
        <v>0.49388888888888888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23</v>
      </c>
      <c r="C7" s="11" t="s">
        <v>43</v>
      </c>
      <c r="D7" s="13">
        <v>20000</v>
      </c>
      <c r="E7" s="13">
        <f t="shared" si="0"/>
        <v>20000</v>
      </c>
      <c r="F7" s="13">
        <f t="shared" si="1"/>
        <v>22100</v>
      </c>
      <c r="G7" s="2"/>
      <c r="H7" s="2"/>
      <c r="I7" s="13">
        <v>17000</v>
      </c>
      <c r="J7" s="13">
        <f t="shared" si="2"/>
        <v>17000</v>
      </c>
      <c r="K7" s="13">
        <f t="shared" si="3"/>
        <v>5100</v>
      </c>
      <c r="L7" s="14">
        <f t="shared" si="4"/>
        <v>0.255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</v>
      </c>
      <c r="B8" s="10" t="s">
        <v>23</v>
      </c>
      <c r="C8" s="11" t="s">
        <v>46</v>
      </c>
      <c r="D8" s="13">
        <v>13000</v>
      </c>
      <c r="E8" s="13">
        <f t="shared" si="0"/>
        <v>13000</v>
      </c>
      <c r="F8" s="13">
        <f t="shared" si="1"/>
        <v>14365</v>
      </c>
      <c r="G8" s="2"/>
      <c r="H8" s="2"/>
      <c r="I8" s="13">
        <v>10000</v>
      </c>
      <c r="J8" s="13">
        <f t="shared" si="2"/>
        <v>10000</v>
      </c>
      <c r="K8" s="13">
        <f t="shared" si="3"/>
        <v>4365</v>
      </c>
      <c r="L8" s="14">
        <f t="shared" si="4"/>
        <v>0.33576923076923076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3</v>
      </c>
      <c r="B9" s="10" t="s">
        <v>15</v>
      </c>
      <c r="C9" s="11" t="s">
        <v>27</v>
      </c>
      <c r="D9" s="13">
        <v>25000</v>
      </c>
      <c r="E9" s="13">
        <f t="shared" si="0"/>
        <v>75000</v>
      </c>
      <c r="F9" s="13">
        <f t="shared" si="1"/>
        <v>82875</v>
      </c>
      <c r="G9" s="2"/>
      <c r="H9" s="2"/>
      <c r="I9" s="13">
        <v>20000</v>
      </c>
      <c r="J9" s="13">
        <f t="shared" si="2"/>
        <v>60000</v>
      </c>
      <c r="K9" s="13">
        <f t="shared" si="3"/>
        <v>22875</v>
      </c>
      <c r="L9" s="14">
        <f t="shared" si="4"/>
        <v>0.30499999999999999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4.2</v>
      </c>
      <c r="B10" s="10" t="s">
        <v>17</v>
      </c>
      <c r="C10" s="11" t="s">
        <v>36</v>
      </c>
      <c r="D10" s="13">
        <v>1800</v>
      </c>
      <c r="E10" s="13">
        <f t="shared" si="0"/>
        <v>7560</v>
      </c>
      <c r="F10" s="13">
        <f t="shared" si="1"/>
        <v>8353.7999999999993</v>
      </c>
      <c r="G10" s="2"/>
      <c r="H10" s="2"/>
      <c r="I10" s="13">
        <v>1000</v>
      </c>
      <c r="J10" s="13">
        <f t="shared" si="2"/>
        <v>4200</v>
      </c>
      <c r="K10" s="13">
        <f t="shared" si="3"/>
        <v>4153.7999999999993</v>
      </c>
      <c r="L10" s="14">
        <f t="shared" si="4"/>
        <v>0.5494444444444444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3.45</v>
      </c>
      <c r="B11" s="10" t="s">
        <v>17</v>
      </c>
      <c r="C11" s="11" t="s">
        <v>38</v>
      </c>
      <c r="D11" s="13">
        <v>1800</v>
      </c>
      <c r="E11" s="13">
        <f t="shared" si="0"/>
        <v>6210</v>
      </c>
      <c r="F11" s="13">
        <f t="shared" si="1"/>
        <v>6862.05</v>
      </c>
      <c r="G11" s="2"/>
      <c r="H11" s="2"/>
      <c r="I11" s="13">
        <v>1000</v>
      </c>
      <c r="J11" s="13">
        <f t="shared" si="2"/>
        <v>3450</v>
      </c>
      <c r="K11" s="13">
        <f t="shared" si="3"/>
        <v>3412.05</v>
      </c>
      <c r="L11" s="14">
        <f t="shared" si="4"/>
        <v>0.54944444444444451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2</v>
      </c>
      <c r="B12" s="10" t="s">
        <v>17</v>
      </c>
      <c r="C12" s="11" t="s">
        <v>82</v>
      </c>
      <c r="D12" s="13">
        <v>1400</v>
      </c>
      <c r="E12" s="13">
        <f t="shared" si="0"/>
        <v>2800</v>
      </c>
      <c r="F12" s="13">
        <f t="shared" si="1"/>
        <v>3094</v>
      </c>
      <c r="G12" s="2"/>
      <c r="H12" s="2"/>
      <c r="I12" s="13">
        <f>15000/14</f>
        <v>1071.4285714285713</v>
      </c>
      <c r="J12" s="13">
        <f t="shared" si="2"/>
        <v>2142.8571428571427</v>
      </c>
      <c r="K12" s="13">
        <f t="shared" si="3"/>
        <v>951.14285714285734</v>
      </c>
      <c r="L12" s="14">
        <f t="shared" si="4"/>
        <v>0.33969387755102048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3</v>
      </c>
      <c r="B13" s="10" t="s">
        <v>17</v>
      </c>
      <c r="C13" s="11" t="s">
        <v>31</v>
      </c>
      <c r="D13" s="13">
        <v>3200</v>
      </c>
      <c r="E13" s="13">
        <f t="shared" si="0"/>
        <v>9600</v>
      </c>
      <c r="F13" s="13">
        <f t="shared" si="1"/>
        <v>10608</v>
      </c>
      <c r="G13" s="2"/>
      <c r="H13" s="2"/>
      <c r="I13" s="13">
        <f>14000/7</f>
        <v>2000</v>
      </c>
      <c r="J13" s="13">
        <f t="shared" si="2"/>
        <v>6000</v>
      </c>
      <c r="K13" s="13">
        <f t="shared" si="3"/>
        <v>4608</v>
      </c>
      <c r="L13" s="14">
        <f t="shared" si="4"/>
        <v>0.48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17</v>
      </c>
      <c r="C14" s="11" t="s">
        <v>32</v>
      </c>
      <c r="D14" s="13">
        <v>2400</v>
      </c>
      <c r="E14" s="13">
        <f t="shared" si="0"/>
        <v>4800</v>
      </c>
      <c r="F14" s="13">
        <f t="shared" si="1"/>
        <v>5304</v>
      </c>
      <c r="G14" s="2"/>
      <c r="H14" s="2"/>
      <c r="I14" s="13">
        <f>13000/7</f>
        <v>1857.1428571428571</v>
      </c>
      <c r="J14" s="13">
        <f t="shared" si="2"/>
        <v>3714.2857142857142</v>
      </c>
      <c r="K14" s="13">
        <f t="shared" si="3"/>
        <v>1589.7142857142858</v>
      </c>
      <c r="L14" s="14">
        <f t="shared" si="4"/>
        <v>0.3311904761904762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2</v>
      </c>
      <c r="B15" s="10" t="s">
        <v>17</v>
      </c>
      <c r="C15" s="34" t="s">
        <v>33</v>
      </c>
      <c r="D15" s="13">
        <v>2800</v>
      </c>
      <c r="E15" s="13">
        <f t="shared" si="0"/>
        <v>5600</v>
      </c>
      <c r="F15" s="13">
        <f t="shared" si="1"/>
        <v>6188</v>
      </c>
      <c r="G15" s="2"/>
      <c r="H15" s="2"/>
      <c r="I15" s="13">
        <f>15000/7</f>
        <v>2142.8571428571427</v>
      </c>
      <c r="J15" s="13">
        <f t="shared" si="2"/>
        <v>4285.7142857142853</v>
      </c>
      <c r="K15" s="13">
        <f t="shared" si="3"/>
        <v>1902.2857142857147</v>
      </c>
      <c r="L15" s="14">
        <f t="shared" si="4"/>
        <v>0.33969387755102048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17</v>
      </c>
      <c r="C16" s="11" t="s">
        <v>99</v>
      </c>
      <c r="D16" s="13">
        <v>2000</v>
      </c>
      <c r="E16" s="13">
        <f t="shared" si="0"/>
        <v>2000</v>
      </c>
      <c r="F16" s="13">
        <f t="shared" si="1"/>
        <v>2210</v>
      </c>
      <c r="G16" s="2"/>
      <c r="H16" s="2"/>
      <c r="I16" s="13">
        <f>10000/7</f>
        <v>1428.5714285714287</v>
      </c>
      <c r="J16" s="13">
        <f t="shared" si="2"/>
        <v>1428.5714285714287</v>
      </c>
      <c r="K16" s="13">
        <f t="shared" si="3"/>
        <v>781.42857142857133</v>
      </c>
      <c r="L16" s="14">
        <f t="shared" si="4"/>
        <v>0.39071428571428568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21</v>
      </c>
      <c r="C17" s="11" t="s">
        <v>42</v>
      </c>
      <c r="D17" s="13">
        <v>4500</v>
      </c>
      <c r="E17" s="13">
        <f t="shared" si="0"/>
        <v>4500</v>
      </c>
      <c r="F17" s="13">
        <f t="shared" si="1"/>
        <v>4972.5</v>
      </c>
      <c r="G17" s="2"/>
      <c r="H17" s="2"/>
      <c r="I17" s="13">
        <v>2000</v>
      </c>
      <c r="J17" s="13">
        <f t="shared" si="2"/>
        <v>2000</v>
      </c>
      <c r="K17" s="13">
        <f t="shared" si="3"/>
        <v>2972.5</v>
      </c>
      <c r="L17" s="14">
        <f t="shared" si="4"/>
        <v>0.66055555555555556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3</v>
      </c>
      <c r="B18" s="10" t="s">
        <v>4</v>
      </c>
      <c r="C18" s="11" t="s">
        <v>65</v>
      </c>
      <c r="D18" s="13">
        <v>1600</v>
      </c>
      <c r="E18" s="13">
        <f t="shared" si="0"/>
        <v>4800</v>
      </c>
      <c r="F18" s="13">
        <f t="shared" si="1"/>
        <v>5304</v>
      </c>
      <c r="G18" s="2"/>
      <c r="H18" s="2"/>
      <c r="I18" s="13">
        <f>85000/70</f>
        <v>1214.2857142857142</v>
      </c>
      <c r="J18" s="13">
        <f t="shared" si="2"/>
        <v>3642.8571428571427</v>
      </c>
      <c r="K18" s="13">
        <f t="shared" si="3"/>
        <v>1661.1428571428573</v>
      </c>
      <c r="L18" s="14">
        <f t="shared" si="4"/>
        <v>0.34607142857142859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</v>
      </c>
      <c r="B19" s="10" t="s">
        <v>21</v>
      </c>
      <c r="C19" s="11" t="s">
        <v>133</v>
      </c>
      <c r="D19" s="13">
        <v>3000</v>
      </c>
      <c r="E19" s="13">
        <f t="shared" si="0"/>
        <v>3000</v>
      </c>
      <c r="F19" s="13">
        <f t="shared" si="1"/>
        <v>3315</v>
      </c>
      <c r="G19" s="2"/>
      <c r="H19" s="2"/>
      <c r="I19" s="13">
        <v>2000</v>
      </c>
      <c r="J19" s="13">
        <f t="shared" si="2"/>
        <v>2000</v>
      </c>
      <c r="K19" s="13">
        <f t="shared" si="3"/>
        <v>1315</v>
      </c>
      <c r="L19" s="14">
        <f t="shared" si="4"/>
        <v>0.43833333333333335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2</v>
      </c>
      <c r="B20" s="10" t="s">
        <v>21</v>
      </c>
      <c r="C20" s="11" t="s">
        <v>29</v>
      </c>
      <c r="D20" s="13">
        <v>3500</v>
      </c>
      <c r="E20" s="13">
        <f t="shared" si="0"/>
        <v>7000</v>
      </c>
      <c r="F20" s="13">
        <f t="shared" si="1"/>
        <v>7735</v>
      </c>
      <c r="G20" s="2"/>
      <c r="H20" s="2"/>
      <c r="I20" s="13">
        <v>1500</v>
      </c>
      <c r="J20" s="13">
        <f t="shared" si="2"/>
        <v>3000</v>
      </c>
      <c r="K20" s="13">
        <f t="shared" si="3"/>
        <v>4735</v>
      </c>
      <c r="L20" s="14">
        <f t="shared" si="4"/>
        <v>0.67642857142857138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2</v>
      </c>
      <c r="B21" s="10" t="s">
        <v>4</v>
      </c>
      <c r="C21" s="11" t="s">
        <v>13</v>
      </c>
      <c r="D21" s="13">
        <v>900</v>
      </c>
      <c r="E21" s="13">
        <f t="shared" si="0"/>
        <v>1800</v>
      </c>
      <c r="F21" s="13">
        <f t="shared" si="1"/>
        <v>1989</v>
      </c>
      <c r="G21" s="2"/>
      <c r="H21" s="2"/>
      <c r="I21" s="13">
        <v>460</v>
      </c>
      <c r="J21" s="13">
        <f t="shared" si="2"/>
        <v>920</v>
      </c>
      <c r="K21" s="13">
        <f t="shared" si="3"/>
        <v>1069</v>
      </c>
      <c r="L21" s="14">
        <f t="shared" si="4"/>
        <v>0.59388888888888891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0.5</v>
      </c>
      <c r="B22" s="10" t="s">
        <v>17</v>
      </c>
      <c r="C22" s="11" t="s">
        <v>30</v>
      </c>
      <c r="D22" s="13">
        <v>1500</v>
      </c>
      <c r="E22" s="13">
        <f t="shared" si="0"/>
        <v>750</v>
      </c>
      <c r="F22" s="13">
        <f t="shared" si="1"/>
        <v>828.75</v>
      </c>
      <c r="G22" s="2"/>
      <c r="H22" s="2"/>
      <c r="I22" s="13">
        <f>8000/14</f>
        <v>571.42857142857144</v>
      </c>
      <c r="J22" s="13">
        <f t="shared" si="2"/>
        <v>285.71428571428572</v>
      </c>
      <c r="K22" s="13">
        <f t="shared" si="3"/>
        <v>543.03571428571422</v>
      </c>
      <c r="L22" s="14">
        <f t="shared" si="4"/>
        <v>0.72404761904761894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2</v>
      </c>
      <c r="B23" s="10" t="s">
        <v>17</v>
      </c>
      <c r="C23" s="11" t="s">
        <v>61</v>
      </c>
      <c r="D23" s="13">
        <v>1400</v>
      </c>
      <c r="E23" s="13">
        <f t="shared" si="0"/>
        <v>2800</v>
      </c>
      <c r="F23" s="13">
        <f t="shared" si="1"/>
        <v>3094</v>
      </c>
      <c r="G23" s="2"/>
      <c r="H23" s="2"/>
      <c r="I23" s="13">
        <f>12000/14</f>
        <v>857.14285714285711</v>
      </c>
      <c r="J23" s="13">
        <f t="shared" si="2"/>
        <v>1714.2857142857142</v>
      </c>
      <c r="K23" s="13">
        <f t="shared" si="3"/>
        <v>1379.7142857142858</v>
      </c>
      <c r="L23" s="14">
        <f t="shared" si="4"/>
        <v>0.49275510204081635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6</v>
      </c>
      <c r="B24" s="10" t="s">
        <v>17</v>
      </c>
      <c r="C24" s="34" t="s">
        <v>56</v>
      </c>
      <c r="D24" s="13">
        <v>1200</v>
      </c>
      <c r="E24" s="13">
        <f t="shared" si="0"/>
        <v>7200</v>
      </c>
      <c r="F24" s="13">
        <f t="shared" si="1"/>
        <v>7956</v>
      </c>
      <c r="G24" s="2"/>
      <c r="H24" s="2"/>
      <c r="I24" s="13">
        <f>12000/15</f>
        <v>800</v>
      </c>
      <c r="J24" s="13">
        <f t="shared" si="2"/>
        <v>4800</v>
      </c>
      <c r="K24" s="13">
        <f t="shared" si="3"/>
        <v>3156</v>
      </c>
      <c r="L24" s="14">
        <f t="shared" si="4"/>
        <v>0.43833333333333335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3</v>
      </c>
      <c r="B25" s="10" t="s">
        <v>17</v>
      </c>
      <c r="C25" s="11" t="s">
        <v>18</v>
      </c>
      <c r="D25" s="13">
        <v>1600</v>
      </c>
      <c r="E25" s="13">
        <f t="shared" si="0"/>
        <v>4800</v>
      </c>
      <c r="F25" s="13">
        <f t="shared" si="1"/>
        <v>5304</v>
      </c>
      <c r="G25" s="2"/>
      <c r="H25" s="2"/>
      <c r="I25" s="13">
        <v>1000</v>
      </c>
      <c r="J25" s="13">
        <f t="shared" si="2"/>
        <v>3000</v>
      </c>
      <c r="K25" s="13">
        <f t="shared" si="3"/>
        <v>2304</v>
      </c>
      <c r="L25" s="14">
        <f t="shared" si="4"/>
        <v>0.48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1</v>
      </c>
      <c r="B26" s="10" t="s">
        <v>21</v>
      </c>
      <c r="C26" s="11" t="s">
        <v>51</v>
      </c>
      <c r="D26" s="13">
        <v>1500</v>
      </c>
      <c r="E26" s="13">
        <f t="shared" si="0"/>
        <v>1500</v>
      </c>
      <c r="F26" s="13">
        <f t="shared" si="1"/>
        <v>1657.5</v>
      </c>
      <c r="G26" s="2"/>
      <c r="H26" s="2"/>
      <c r="I26" s="13">
        <v>1000</v>
      </c>
      <c r="J26" s="13">
        <f t="shared" si="2"/>
        <v>1000</v>
      </c>
      <c r="K26" s="13">
        <f t="shared" si="3"/>
        <v>657.5</v>
      </c>
      <c r="L26" s="14">
        <f t="shared" si="4"/>
        <v>0.43833333333333335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5</v>
      </c>
      <c r="B27" s="10" t="s">
        <v>4</v>
      </c>
      <c r="C27" s="11" t="s">
        <v>14</v>
      </c>
      <c r="D27" s="13">
        <v>3000</v>
      </c>
      <c r="E27" s="13">
        <f t="shared" si="0"/>
        <v>15000</v>
      </c>
      <c r="F27" s="13">
        <f t="shared" si="1"/>
        <v>16575</v>
      </c>
      <c r="G27" s="2"/>
      <c r="H27" s="13"/>
      <c r="I27" s="13">
        <f>18000/8</f>
        <v>2250</v>
      </c>
      <c r="J27" s="13">
        <f t="shared" si="2"/>
        <v>11250</v>
      </c>
      <c r="K27" s="13">
        <f t="shared" si="3"/>
        <v>5325</v>
      </c>
      <c r="L27" s="14">
        <f t="shared" si="4"/>
        <v>0.35499999999999998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</v>
      </c>
      <c r="B28" s="10" t="s">
        <v>23</v>
      </c>
      <c r="C28" s="11" t="s">
        <v>24</v>
      </c>
      <c r="D28" s="13">
        <v>60000</v>
      </c>
      <c r="E28" s="13">
        <f t="shared" si="0"/>
        <v>60000</v>
      </c>
      <c r="F28" s="13">
        <f t="shared" si="1"/>
        <v>66300</v>
      </c>
      <c r="G28" s="2"/>
      <c r="H28" s="13"/>
      <c r="I28" s="13">
        <v>50000</v>
      </c>
      <c r="J28" s="13">
        <f t="shared" si="2"/>
        <v>50000</v>
      </c>
      <c r="K28" s="13">
        <f t="shared" si="3"/>
        <v>16300</v>
      </c>
      <c r="L28" s="14">
        <f t="shared" si="4"/>
        <v>0.27166666666666667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23</v>
      </c>
      <c r="C29" s="11" t="s">
        <v>25</v>
      </c>
      <c r="D29" s="13">
        <v>72000</v>
      </c>
      <c r="E29" s="13">
        <f t="shared" si="0"/>
        <v>72000</v>
      </c>
      <c r="F29" s="13">
        <f t="shared" si="1"/>
        <v>79560</v>
      </c>
      <c r="G29" s="2"/>
      <c r="H29" s="2"/>
      <c r="I29" s="13">
        <v>65000</v>
      </c>
      <c r="J29" s="13">
        <f t="shared" si="2"/>
        <v>65000</v>
      </c>
      <c r="K29" s="13">
        <f t="shared" si="3"/>
        <v>14560</v>
      </c>
      <c r="L29" s="14">
        <f t="shared" si="4"/>
        <v>0.20222222222222222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</v>
      </c>
      <c r="B30" s="10" t="s">
        <v>23</v>
      </c>
      <c r="C30" s="11" t="s">
        <v>26</v>
      </c>
      <c r="D30" s="13">
        <v>28000</v>
      </c>
      <c r="E30" s="13">
        <f t="shared" si="0"/>
        <v>56000</v>
      </c>
      <c r="F30" s="13">
        <f t="shared" si="1"/>
        <v>61880</v>
      </c>
      <c r="G30" s="2"/>
      <c r="H30" s="2"/>
      <c r="I30" s="13">
        <v>24000</v>
      </c>
      <c r="J30" s="13">
        <f t="shared" si="2"/>
        <v>48000</v>
      </c>
      <c r="K30" s="13">
        <f t="shared" si="3"/>
        <v>13880</v>
      </c>
      <c r="L30" s="14">
        <f t="shared" si="4"/>
        <v>0.24785714285714286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10</v>
      </c>
      <c r="B31" s="10" t="s">
        <v>17</v>
      </c>
      <c r="C31" s="11" t="s">
        <v>49</v>
      </c>
      <c r="D31" s="13">
        <v>3000</v>
      </c>
      <c r="E31" s="13">
        <f t="shared" si="0"/>
        <v>30000</v>
      </c>
      <c r="F31" s="13">
        <f t="shared" si="1"/>
        <v>33150</v>
      </c>
      <c r="G31" s="2"/>
      <c r="H31" s="2"/>
      <c r="I31" s="13">
        <f>20000/9</f>
        <v>2222.2222222222222</v>
      </c>
      <c r="J31" s="13">
        <f t="shared" si="2"/>
        <v>22222.222222222223</v>
      </c>
      <c r="K31" s="13">
        <f t="shared" si="3"/>
        <v>10927.777777777777</v>
      </c>
      <c r="L31" s="14">
        <f t="shared" si="4"/>
        <v>0.36425925925925923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15.4</v>
      </c>
      <c r="B32" s="10" t="s">
        <v>17</v>
      </c>
      <c r="C32" s="11" t="s">
        <v>62</v>
      </c>
      <c r="D32" s="13">
        <v>3000</v>
      </c>
      <c r="E32" s="13">
        <f t="shared" si="0"/>
        <v>46200</v>
      </c>
      <c r="F32" s="13">
        <f t="shared" si="1"/>
        <v>51051</v>
      </c>
      <c r="G32" s="2"/>
      <c r="H32" s="2"/>
      <c r="I32" s="13">
        <f>36000/17</f>
        <v>2117.6470588235293</v>
      </c>
      <c r="J32" s="13">
        <f t="shared" si="2"/>
        <v>32611.764705882353</v>
      </c>
      <c r="K32" s="13">
        <f t="shared" si="3"/>
        <v>18439.235294117647</v>
      </c>
      <c r="L32" s="14">
        <f t="shared" si="4"/>
        <v>0.39911764705882352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4</v>
      </c>
      <c r="B33" s="10" t="s">
        <v>17</v>
      </c>
      <c r="C33" s="11" t="s">
        <v>123</v>
      </c>
      <c r="D33" s="13">
        <v>3200</v>
      </c>
      <c r="E33" s="13">
        <f t="shared" si="0"/>
        <v>12800</v>
      </c>
      <c r="F33" s="13">
        <f t="shared" si="1"/>
        <v>14144</v>
      </c>
      <c r="G33" s="2"/>
      <c r="H33" s="2"/>
      <c r="I33" s="13">
        <f>32000/15</f>
        <v>2133.3333333333335</v>
      </c>
      <c r="J33" s="13">
        <f t="shared" si="2"/>
        <v>8533.3333333333339</v>
      </c>
      <c r="K33" s="13">
        <f t="shared" si="3"/>
        <v>5610.6666666666661</v>
      </c>
      <c r="L33" s="14">
        <f t="shared" si="4"/>
        <v>0.4383333333333333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0.5</v>
      </c>
      <c r="B34" s="10" t="s">
        <v>23</v>
      </c>
      <c r="C34" s="11" t="s">
        <v>12</v>
      </c>
      <c r="D34" s="13">
        <v>54000</v>
      </c>
      <c r="E34" s="13">
        <f t="shared" si="0"/>
        <v>27000</v>
      </c>
      <c r="F34" s="13">
        <f>E34*1.21</f>
        <v>32670</v>
      </c>
      <c r="G34" s="2"/>
      <c r="H34" s="2"/>
      <c r="I34" s="17">
        <v>50000</v>
      </c>
      <c r="J34" s="13">
        <f t="shared" si="2"/>
        <v>25000</v>
      </c>
      <c r="K34" s="13">
        <f t="shared" si="3"/>
        <v>7670</v>
      </c>
      <c r="L34" s="14">
        <f t="shared" si="4"/>
        <v>0.28407407407407409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5"/>
      <c r="B35" s="2"/>
      <c r="C35" s="4"/>
      <c r="D35" s="2"/>
      <c r="E35" s="2"/>
      <c r="F35" s="2"/>
      <c r="G35" s="2"/>
      <c r="H35" s="2"/>
      <c r="I35" s="2"/>
      <c r="J35" s="2"/>
      <c r="K35" s="2"/>
      <c r="L35" s="3"/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"/>
      <c r="B36" s="2"/>
      <c r="C36" s="4"/>
      <c r="D36" s="2"/>
      <c r="E36" s="13">
        <f t="shared" ref="E36:F36" si="5">SUM(E6:E34)</f>
        <v>539720</v>
      </c>
      <c r="F36" s="13">
        <f t="shared" si="5"/>
        <v>599225.59999999998</v>
      </c>
      <c r="G36" s="2"/>
      <c r="H36" s="2"/>
      <c r="I36" s="2"/>
      <c r="J36" s="2"/>
      <c r="K36" s="13">
        <f>SUM(K6:K34)</f>
        <v>180023.99402427638</v>
      </c>
      <c r="L36" s="14">
        <f>K36/F36</f>
        <v>0.30042774211294776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"/>
      <c r="B37" s="2"/>
      <c r="C37" s="4"/>
      <c r="D37" s="2"/>
      <c r="E37" s="2"/>
      <c r="F37" s="2"/>
      <c r="G37" s="2"/>
      <c r="H37" s="2"/>
      <c r="I37" s="2"/>
      <c r="J37" s="2"/>
      <c r="K37" s="2"/>
      <c r="L37" s="3"/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"/>
      <c r="B38" s="2"/>
      <c r="C38" s="4"/>
      <c r="D38" s="2"/>
      <c r="E38" s="2"/>
      <c r="F38" s="2"/>
      <c r="G38" s="2"/>
      <c r="H38" s="2"/>
      <c r="I38" s="2"/>
      <c r="J38" s="2"/>
      <c r="K38" s="2"/>
      <c r="L38" s="3"/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"/>
      <c r="B39" s="2"/>
      <c r="C39" s="4"/>
      <c r="D39" s="2"/>
      <c r="E39" s="2"/>
      <c r="F39" s="2"/>
      <c r="G39" s="2"/>
      <c r="H39" s="2"/>
      <c r="I39" s="2"/>
      <c r="J39" s="2"/>
      <c r="K39" s="2"/>
      <c r="L39" s="3"/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1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1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75" t="s">
        <v>59</v>
      </c>
      <c r="B42" s="76"/>
      <c r="C42" s="76"/>
      <c r="D42" s="2"/>
      <c r="E42" s="7" t="s">
        <v>69</v>
      </c>
      <c r="F42" s="8">
        <v>46120</v>
      </c>
      <c r="G42" s="2"/>
      <c r="H42" s="2"/>
      <c r="I42" s="78" t="s">
        <v>2</v>
      </c>
      <c r="J42" s="76"/>
      <c r="K42" s="76"/>
      <c r="L42" s="3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"/>
      <c r="B43" s="2"/>
      <c r="C43" s="5"/>
      <c r="D43" s="2"/>
      <c r="E43" s="2"/>
      <c r="F43" s="2"/>
      <c r="G43" s="2"/>
      <c r="H43" s="2"/>
      <c r="I43" s="2"/>
      <c r="J43" s="2"/>
      <c r="K43" s="2"/>
      <c r="L43" s="3"/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6" t="s">
        <v>3</v>
      </c>
      <c r="B44" s="10" t="s">
        <v>4</v>
      </c>
      <c r="C44" s="11" t="s">
        <v>5</v>
      </c>
      <c r="D44" s="10" t="s">
        <v>6</v>
      </c>
      <c r="E44" s="10" t="s">
        <v>7</v>
      </c>
      <c r="F44" s="10" t="s">
        <v>8</v>
      </c>
      <c r="G44" s="2"/>
      <c r="H44" s="2"/>
      <c r="I44" s="10" t="s">
        <v>9</v>
      </c>
      <c r="J44" s="10" t="s">
        <v>7</v>
      </c>
      <c r="K44" s="10" t="s">
        <v>10</v>
      </c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10</v>
      </c>
      <c r="B45" s="10" t="s">
        <v>17</v>
      </c>
      <c r="C45" s="11" t="s">
        <v>39</v>
      </c>
      <c r="D45" s="13">
        <v>2400</v>
      </c>
      <c r="E45" s="13">
        <f t="shared" ref="E45:E59" si="6">A45*D45</f>
        <v>24000</v>
      </c>
      <c r="F45" s="13">
        <f t="shared" ref="F45:F59" si="7">E45*1.105</f>
        <v>26520</v>
      </c>
      <c r="G45" s="2"/>
      <c r="H45" s="2"/>
      <c r="I45" s="13">
        <f>22000/15</f>
        <v>1466.6666666666667</v>
      </c>
      <c r="J45" s="13">
        <f t="shared" ref="J45:J59" si="8">I45*A45</f>
        <v>14666.666666666668</v>
      </c>
      <c r="K45" s="13">
        <f t="shared" ref="K45:K59" si="9">F45-J45</f>
        <v>11853.333333333332</v>
      </c>
      <c r="L45" s="14">
        <f t="shared" ref="L45:L59" si="10">IFERROR(K45/E45, 0)</f>
        <v>0.49388888888888882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6</v>
      </c>
      <c r="B46" s="10" t="s">
        <v>21</v>
      </c>
      <c r="C46" s="11" t="s">
        <v>22</v>
      </c>
      <c r="D46" s="13">
        <v>1700</v>
      </c>
      <c r="E46" s="13">
        <f t="shared" si="6"/>
        <v>10200</v>
      </c>
      <c r="F46" s="13">
        <f t="shared" si="7"/>
        <v>11271</v>
      </c>
      <c r="G46" s="2"/>
      <c r="H46" s="2"/>
      <c r="I46" s="13">
        <f>13000/12</f>
        <v>1083.3333333333333</v>
      </c>
      <c r="J46" s="13">
        <f t="shared" si="8"/>
        <v>6500</v>
      </c>
      <c r="K46" s="13">
        <f t="shared" si="9"/>
        <v>4771</v>
      </c>
      <c r="L46" s="14">
        <f t="shared" si="10"/>
        <v>0.46774509803921571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2</v>
      </c>
      <c r="B47" s="10" t="s">
        <v>4</v>
      </c>
      <c r="C47" s="11" t="s">
        <v>14</v>
      </c>
      <c r="D47" s="13">
        <v>3000</v>
      </c>
      <c r="E47" s="13">
        <f t="shared" si="6"/>
        <v>6000</v>
      </c>
      <c r="F47" s="13">
        <f t="shared" si="7"/>
        <v>6630</v>
      </c>
      <c r="G47" s="2"/>
      <c r="H47" s="2"/>
      <c r="I47" s="13">
        <f>18000/8</f>
        <v>2250</v>
      </c>
      <c r="J47" s="13">
        <f t="shared" si="8"/>
        <v>4500</v>
      </c>
      <c r="K47" s="13">
        <f t="shared" si="9"/>
        <v>2130</v>
      </c>
      <c r="L47" s="14">
        <f t="shared" si="10"/>
        <v>0.35499999999999998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1.5</v>
      </c>
      <c r="B48" s="10" t="s">
        <v>17</v>
      </c>
      <c r="C48" s="11" t="s">
        <v>31</v>
      </c>
      <c r="D48" s="13">
        <v>3200</v>
      </c>
      <c r="E48" s="13">
        <f t="shared" si="6"/>
        <v>4800</v>
      </c>
      <c r="F48" s="13">
        <f t="shared" si="7"/>
        <v>5304</v>
      </c>
      <c r="G48" s="2"/>
      <c r="H48" s="2"/>
      <c r="I48" s="13">
        <f>14000/7</f>
        <v>2000</v>
      </c>
      <c r="J48" s="13">
        <f t="shared" si="8"/>
        <v>3000</v>
      </c>
      <c r="K48" s="13">
        <f t="shared" si="9"/>
        <v>2304</v>
      </c>
      <c r="L48" s="14">
        <f t="shared" si="10"/>
        <v>0.48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10</v>
      </c>
      <c r="B49" s="10" t="s">
        <v>21</v>
      </c>
      <c r="C49" s="11" t="s">
        <v>46</v>
      </c>
      <c r="D49" s="13">
        <v>600</v>
      </c>
      <c r="E49" s="13">
        <f t="shared" si="6"/>
        <v>6000</v>
      </c>
      <c r="F49" s="13">
        <f t="shared" si="7"/>
        <v>6630</v>
      </c>
      <c r="G49" s="2"/>
      <c r="H49" s="2"/>
      <c r="I49" s="13">
        <f>10000/24</f>
        <v>416.66666666666669</v>
      </c>
      <c r="J49" s="13">
        <f t="shared" si="8"/>
        <v>4166.666666666667</v>
      </c>
      <c r="K49" s="13">
        <f t="shared" si="9"/>
        <v>2463.333333333333</v>
      </c>
      <c r="L49" s="14">
        <f t="shared" si="10"/>
        <v>0.41055555555555551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3</v>
      </c>
      <c r="B50" s="10" t="s">
        <v>17</v>
      </c>
      <c r="C50" s="11" t="s">
        <v>82</v>
      </c>
      <c r="D50" s="13">
        <v>1400</v>
      </c>
      <c r="E50" s="13">
        <f t="shared" si="6"/>
        <v>4200</v>
      </c>
      <c r="F50" s="13">
        <f t="shared" si="7"/>
        <v>4641</v>
      </c>
      <c r="G50" s="2"/>
      <c r="H50" s="2"/>
      <c r="I50" s="13">
        <f>15000/14</f>
        <v>1071.4285714285713</v>
      </c>
      <c r="J50" s="13">
        <f t="shared" si="8"/>
        <v>3214.2857142857138</v>
      </c>
      <c r="K50" s="13">
        <f t="shared" si="9"/>
        <v>1426.7142857142862</v>
      </c>
      <c r="L50" s="14">
        <f t="shared" si="10"/>
        <v>0.33969387755102054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17</v>
      </c>
      <c r="C51" s="11" t="s">
        <v>61</v>
      </c>
      <c r="D51" s="13">
        <v>1400</v>
      </c>
      <c r="E51" s="13">
        <f t="shared" si="6"/>
        <v>1400</v>
      </c>
      <c r="F51" s="13">
        <f t="shared" si="7"/>
        <v>1547</v>
      </c>
      <c r="G51" s="2"/>
      <c r="H51" s="2"/>
      <c r="I51" s="13">
        <f>12000/14</f>
        <v>857.14285714285711</v>
      </c>
      <c r="J51" s="13">
        <f t="shared" si="8"/>
        <v>857.14285714285711</v>
      </c>
      <c r="K51" s="13">
        <f t="shared" si="9"/>
        <v>689.85714285714289</v>
      </c>
      <c r="L51" s="14">
        <f t="shared" si="10"/>
        <v>0.49275510204081635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3</v>
      </c>
      <c r="B52" s="10" t="s">
        <v>17</v>
      </c>
      <c r="C52" s="11" t="s">
        <v>18</v>
      </c>
      <c r="D52" s="13">
        <v>1600</v>
      </c>
      <c r="E52" s="13">
        <f t="shared" si="6"/>
        <v>4800</v>
      </c>
      <c r="F52" s="13">
        <f t="shared" si="7"/>
        <v>5304</v>
      </c>
      <c r="G52" s="2"/>
      <c r="H52" s="2"/>
      <c r="I52" s="13">
        <v>1000</v>
      </c>
      <c r="J52" s="13">
        <f t="shared" si="8"/>
        <v>3000</v>
      </c>
      <c r="K52" s="13">
        <f t="shared" si="9"/>
        <v>2304</v>
      </c>
      <c r="L52" s="14">
        <f t="shared" si="10"/>
        <v>0.48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1</v>
      </c>
      <c r="B53" s="10" t="s">
        <v>17</v>
      </c>
      <c r="C53" s="11" t="s">
        <v>56</v>
      </c>
      <c r="D53" s="13">
        <v>1200</v>
      </c>
      <c r="E53" s="13">
        <f t="shared" si="6"/>
        <v>1200</v>
      </c>
      <c r="F53" s="13">
        <f t="shared" si="7"/>
        <v>1326</v>
      </c>
      <c r="G53" s="2"/>
      <c r="H53" s="2"/>
      <c r="I53" s="13">
        <v>800</v>
      </c>
      <c r="J53" s="13">
        <f t="shared" si="8"/>
        <v>800</v>
      </c>
      <c r="K53" s="13">
        <f t="shared" si="9"/>
        <v>526</v>
      </c>
      <c r="L53" s="14">
        <f t="shared" si="10"/>
        <v>0.43833333333333335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2</v>
      </c>
      <c r="B54" s="10" t="s">
        <v>4</v>
      </c>
      <c r="C54" s="11" t="s">
        <v>64</v>
      </c>
      <c r="D54" s="13">
        <v>2500</v>
      </c>
      <c r="E54" s="13">
        <f t="shared" si="6"/>
        <v>5000</v>
      </c>
      <c r="F54" s="13">
        <f t="shared" si="7"/>
        <v>5525</v>
      </c>
      <c r="G54" s="2"/>
      <c r="H54" s="2"/>
      <c r="I54" s="13">
        <f>9000/8</f>
        <v>1125</v>
      </c>
      <c r="J54" s="13">
        <f t="shared" si="8"/>
        <v>2250</v>
      </c>
      <c r="K54" s="13">
        <f t="shared" si="9"/>
        <v>3275</v>
      </c>
      <c r="L54" s="14">
        <f t="shared" si="10"/>
        <v>0.65500000000000003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17</v>
      </c>
      <c r="C55" s="11" t="s">
        <v>99</v>
      </c>
      <c r="D55" s="13">
        <v>2000</v>
      </c>
      <c r="E55" s="13">
        <f t="shared" si="6"/>
        <v>2000</v>
      </c>
      <c r="F55" s="13">
        <f t="shared" si="7"/>
        <v>2210</v>
      </c>
      <c r="G55" s="2"/>
      <c r="H55" s="2"/>
      <c r="I55" s="17">
        <f>10000/7</f>
        <v>1428.5714285714287</v>
      </c>
      <c r="J55" s="13">
        <f t="shared" si="8"/>
        <v>1428.5714285714287</v>
      </c>
      <c r="K55" s="13">
        <f t="shared" si="9"/>
        <v>781.42857142857133</v>
      </c>
      <c r="L55" s="14">
        <f t="shared" si="10"/>
        <v>0.39071428571428568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3</v>
      </c>
      <c r="B56" s="10" t="s">
        <v>15</v>
      </c>
      <c r="C56" s="11" t="s">
        <v>27</v>
      </c>
      <c r="D56" s="13">
        <v>25000</v>
      </c>
      <c r="E56" s="13">
        <f t="shared" si="6"/>
        <v>75000</v>
      </c>
      <c r="F56" s="13">
        <f t="shared" si="7"/>
        <v>82875</v>
      </c>
      <c r="G56" s="2"/>
      <c r="H56" s="2"/>
      <c r="I56" s="13">
        <v>20000</v>
      </c>
      <c r="J56" s="13">
        <f t="shared" si="8"/>
        <v>60000</v>
      </c>
      <c r="K56" s="13">
        <f t="shared" si="9"/>
        <v>22875</v>
      </c>
      <c r="L56" s="14">
        <f t="shared" si="10"/>
        <v>0.30499999999999999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3</v>
      </c>
      <c r="B57" s="10" t="s">
        <v>17</v>
      </c>
      <c r="C57" s="11" t="s">
        <v>62</v>
      </c>
      <c r="D57" s="13">
        <v>3000</v>
      </c>
      <c r="E57" s="13">
        <f t="shared" si="6"/>
        <v>9000</v>
      </c>
      <c r="F57" s="13">
        <f t="shared" si="7"/>
        <v>9945</v>
      </c>
      <c r="G57" s="2"/>
      <c r="H57" s="2"/>
      <c r="I57" s="13">
        <f>36000/17</f>
        <v>2117.6470588235293</v>
      </c>
      <c r="J57" s="13">
        <f t="shared" si="8"/>
        <v>6352.9411764705874</v>
      </c>
      <c r="K57" s="13">
        <f t="shared" si="9"/>
        <v>3592.0588235294126</v>
      </c>
      <c r="L57" s="14">
        <f t="shared" si="10"/>
        <v>0.39911764705882363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3</v>
      </c>
      <c r="B58" s="10" t="s">
        <v>17</v>
      </c>
      <c r="C58" s="11" t="s">
        <v>25</v>
      </c>
      <c r="D58" s="13">
        <v>4500</v>
      </c>
      <c r="E58" s="13">
        <f t="shared" si="6"/>
        <v>13500</v>
      </c>
      <c r="F58" s="13">
        <f t="shared" si="7"/>
        <v>14917.5</v>
      </c>
      <c r="G58" s="2"/>
      <c r="H58" s="2"/>
      <c r="I58" s="13">
        <f>65000/17</f>
        <v>3823.5294117647059</v>
      </c>
      <c r="J58" s="13">
        <f t="shared" si="8"/>
        <v>11470.588235294117</v>
      </c>
      <c r="K58" s="13">
        <f t="shared" si="9"/>
        <v>3446.9117647058829</v>
      </c>
      <c r="L58" s="14">
        <f t="shared" si="10"/>
        <v>0.25532679738562097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3</v>
      </c>
      <c r="B59" s="10" t="s">
        <v>17</v>
      </c>
      <c r="C59" s="11" t="s">
        <v>24</v>
      </c>
      <c r="D59" s="13">
        <v>3600</v>
      </c>
      <c r="E59" s="13">
        <f t="shared" si="6"/>
        <v>10800</v>
      </c>
      <c r="F59" s="13">
        <f t="shared" si="7"/>
        <v>11934</v>
      </c>
      <c r="G59" s="2"/>
      <c r="H59" s="2"/>
      <c r="I59" s="13">
        <f>50000/17</f>
        <v>2941.1764705882351</v>
      </c>
      <c r="J59" s="13">
        <f t="shared" si="8"/>
        <v>8823.5294117647063</v>
      </c>
      <c r="K59" s="13">
        <f t="shared" si="9"/>
        <v>3110.4705882352937</v>
      </c>
      <c r="L59" s="14">
        <f t="shared" si="10"/>
        <v>0.28800653594771236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5"/>
      <c r="B60" s="2"/>
      <c r="C60" s="4"/>
      <c r="D60" s="2"/>
      <c r="E60" s="2"/>
      <c r="F60" s="2"/>
      <c r="G60" s="2"/>
      <c r="H60" s="2"/>
      <c r="I60" s="2"/>
      <c r="J60" s="2"/>
      <c r="K60" s="2"/>
      <c r="L60" s="3"/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"/>
      <c r="B61" s="2"/>
      <c r="C61" s="4"/>
      <c r="D61" s="2"/>
      <c r="E61" s="13">
        <f t="shared" ref="E61:F61" si="11">SUM(E45:E59)</f>
        <v>177900</v>
      </c>
      <c r="F61" s="13">
        <f t="shared" si="11"/>
        <v>196579.5</v>
      </c>
      <c r="G61" s="2"/>
      <c r="H61" s="2"/>
      <c r="I61" s="2"/>
      <c r="J61" s="2"/>
      <c r="K61" s="13">
        <f>SUM(K45:K59)</f>
        <v>65549.107843137259</v>
      </c>
      <c r="L61" s="14">
        <f>K61/F61</f>
        <v>0.33344833944097557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1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1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20"/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"/>
      <c r="B65" s="1"/>
      <c r="C65" s="1"/>
      <c r="D65" s="1"/>
      <c r="E65" s="1"/>
      <c r="F65" s="8"/>
      <c r="G65" s="1"/>
      <c r="H65" s="1"/>
      <c r="I65" s="1"/>
      <c r="J65" s="1"/>
      <c r="K65" s="1"/>
      <c r="L65" s="20"/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75" t="s">
        <v>66</v>
      </c>
      <c r="B66" s="76"/>
      <c r="C66" s="76"/>
      <c r="D66" s="2"/>
      <c r="E66" s="7" t="s">
        <v>76</v>
      </c>
      <c r="F66" s="8">
        <v>46120</v>
      </c>
      <c r="G66" s="2"/>
      <c r="H66" s="2"/>
      <c r="I66" s="78" t="s">
        <v>2</v>
      </c>
      <c r="J66" s="76"/>
      <c r="K66" s="76"/>
      <c r="L66" s="3"/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"/>
      <c r="B67" s="2"/>
      <c r="C67" s="5"/>
      <c r="D67" s="2"/>
      <c r="E67" s="2"/>
      <c r="F67" s="8"/>
      <c r="G67" s="2"/>
      <c r="H67" s="2"/>
      <c r="I67" s="2"/>
      <c r="J67" s="2"/>
      <c r="K67" s="2"/>
      <c r="L67" s="3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6" t="s">
        <v>3</v>
      </c>
      <c r="B68" s="10" t="s">
        <v>4</v>
      </c>
      <c r="C68" s="11" t="s">
        <v>5</v>
      </c>
      <c r="D68" s="10" t="s">
        <v>6</v>
      </c>
      <c r="E68" s="10" t="s">
        <v>7</v>
      </c>
      <c r="F68" s="10" t="s">
        <v>8</v>
      </c>
      <c r="G68" s="2"/>
      <c r="H68" s="2"/>
      <c r="I68" s="10" t="s">
        <v>9</v>
      </c>
      <c r="J68" s="10" t="s">
        <v>7</v>
      </c>
      <c r="K68" s="10" t="s">
        <v>10</v>
      </c>
      <c r="L68" s="3"/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6</v>
      </c>
      <c r="B69" s="10" t="s">
        <v>17</v>
      </c>
      <c r="C69" s="11" t="s">
        <v>39</v>
      </c>
      <c r="D69" s="13">
        <v>2400</v>
      </c>
      <c r="E69" s="13">
        <f t="shared" ref="E69:E96" si="12">A69*D69</f>
        <v>14400</v>
      </c>
      <c r="F69" s="13">
        <f t="shared" ref="F69:F96" si="13">E69*1.105</f>
        <v>15912</v>
      </c>
      <c r="G69" s="2"/>
      <c r="H69" s="2"/>
      <c r="I69" s="13">
        <f>22000/14</f>
        <v>1571.4285714285713</v>
      </c>
      <c r="J69" s="13">
        <f t="shared" ref="J69:J96" si="14">I69*A69</f>
        <v>9428.5714285714275</v>
      </c>
      <c r="K69" s="13">
        <f t="shared" ref="K69:K96" si="15">F69-J69</f>
        <v>6483.4285714285725</v>
      </c>
      <c r="L69" s="14">
        <f t="shared" ref="L69:L96" si="16">IFERROR(K69/E69, 0)</f>
        <v>0.45023809523809533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0.5</v>
      </c>
      <c r="B70" s="10" t="s">
        <v>21</v>
      </c>
      <c r="C70" s="11" t="s">
        <v>29</v>
      </c>
      <c r="D70" s="13">
        <v>3500</v>
      </c>
      <c r="E70" s="13">
        <f t="shared" si="12"/>
        <v>1750</v>
      </c>
      <c r="F70" s="13">
        <f t="shared" si="13"/>
        <v>1933.75</v>
      </c>
      <c r="G70" s="2"/>
      <c r="H70" s="2"/>
      <c r="I70" s="13">
        <v>1500</v>
      </c>
      <c r="J70" s="13">
        <f t="shared" si="14"/>
        <v>750</v>
      </c>
      <c r="K70" s="13">
        <f t="shared" si="15"/>
        <v>1183.75</v>
      </c>
      <c r="L70" s="14">
        <f t="shared" si="16"/>
        <v>0.67642857142857138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1.3</v>
      </c>
      <c r="B71" s="10" t="s">
        <v>4</v>
      </c>
      <c r="C71" s="11" t="s">
        <v>36</v>
      </c>
      <c r="D71" s="13">
        <v>1800</v>
      </c>
      <c r="E71" s="13">
        <f t="shared" si="12"/>
        <v>2340</v>
      </c>
      <c r="F71" s="13">
        <f t="shared" si="13"/>
        <v>2585.6999999999998</v>
      </c>
      <c r="G71" s="2"/>
      <c r="H71" s="7" t="s">
        <v>37</v>
      </c>
      <c r="I71" s="13">
        <v>1000</v>
      </c>
      <c r="J71" s="13">
        <f t="shared" si="14"/>
        <v>1300</v>
      </c>
      <c r="K71" s="13">
        <f t="shared" si="15"/>
        <v>1285.6999999999998</v>
      </c>
      <c r="L71" s="14">
        <f t="shared" si="16"/>
        <v>0.5494444444444444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1.2</v>
      </c>
      <c r="B72" s="10" t="s">
        <v>4</v>
      </c>
      <c r="C72" s="11" t="s">
        <v>38</v>
      </c>
      <c r="D72" s="13">
        <v>1800</v>
      </c>
      <c r="E72" s="13">
        <f t="shared" si="12"/>
        <v>2160</v>
      </c>
      <c r="F72" s="13">
        <f t="shared" si="13"/>
        <v>2386.8000000000002</v>
      </c>
      <c r="G72" s="2"/>
      <c r="H72" s="2"/>
      <c r="I72" s="13">
        <v>1000</v>
      </c>
      <c r="J72" s="13">
        <f t="shared" si="14"/>
        <v>1200</v>
      </c>
      <c r="K72" s="13">
        <f t="shared" si="15"/>
        <v>1186.8000000000002</v>
      </c>
      <c r="L72" s="14">
        <f t="shared" si="16"/>
        <v>0.54944444444444451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15</v>
      </c>
      <c r="C73" s="11" t="s">
        <v>40</v>
      </c>
      <c r="D73" s="13">
        <v>12000</v>
      </c>
      <c r="E73" s="13">
        <f t="shared" si="12"/>
        <v>12000</v>
      </c>
      <c r="F73" s="13">
        <f t="shared" si="13"/>
        <v>13260</v>
      </c>
      <c r="G73" s="2"/>
      <c r="H73" s="2"/>
      <c r="I73" s="13">
        <v>7000</v>
      </c>
      <c r="J73" s="13">
        <f t="shared" si="14"/>
        <v>7000</v>
      </c>
      <c r="K73" s="13">
        <f t="shared" si="15"/>
        <v>6260</v>
      </c>
      <c r="L73" s="14">
        <f t="shared" si="16"/>
        <v>0.52166666666666661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4</v>
      </c>
      <c r="B74" s="10" t="s">
        <v>17</v>
      </c>
      <c r="C74" s="11" t="s">
        <v>43</v>
      </c>
      <c r="D74" s="13">
        <v>5000</v>
      </c>
      <c r="E74" s="13">
        <f t="shared" si="12"/>
        <v>20000</v>
      </c>
      <c r="F74" s="13">
        <f t="shared" si="13"/>
        <v>22100</v>
      </c>
      <c r="G74" s="2"/>
      <c r="H74" s="2"/>
      <c r="I74" s="13">
        <f>17000/4</f>
        <v>4250</v>
      </c>
      <c r="J74" s="13">
        <f t="shared" si="14"/>
        <v>17000</v>
      </c>
      <c r="K74" s="13">
        <f t="shared" si="15"/>
        <v>5100</v>
      </c>
      <c r="L74" s="14">
        <f t="shared" si="16"/>
        <v>0.255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16</v>
      </c>
      <c r="B75" s="10" t="s">
        <v>21</v>
      </c>
      <c r="C75" s="11" t="s">
        <v>46</v>
      </c>
      <c r="D75" s="13">
        <v>600</v>
      </c>
      <c r="E75" s="13">
        <f t="shared" si="12"/>
        <v>9600</v>
      </c>
      <c r="F75" s="13">
        <f t="shared" si="13"/>
        <v>10608</v>
      </c>
      <c r="G75" s="2"/>
      <c r="H75" s="2"/>
      <c r="I75" s="13">
        <f>10000/24</f>
        <v>416.66666666666669</v>
      </c>
      <c r="J75" s="13">
        <f t="shared" si="14"/>
        <v>6666.666666666667</v>
      </c>
      <c r="K75" s="13">
        <f t="shared" si="15"/>
        <v>3941.333333333333</v>
      </c>
      <c r="L75" s="14">
        <f t="shared" si="16"/>
        <v>0.41055555555555551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0.5</v>
      </c>
      <c r="B76" s="10" t="s">
        <v>17</v>
      </c>
      <c r="C76" s="11" t="s">
        <v>35</v>
      </c>
      <c r="D76" s="13">
        <v>2500</v>
      </c>
      <c r="E76" s="13">
        <f t="shared" si="12"/>
        <v>1250</v>
      </c>
      <c r="F76" s="13">
        <f t="shared" si="13"/>
        <v>1381.25</v>
      </c>
      <c r="G76" s="2"/>
      <c r="H76" s="2"/>
      <c r="I76" s="13">
        <f>14000/9</f>
        <v>1555.5555555555557</v>
      </c>
      <c r="J76" s="13">
        <f t="shared" si="14"/>
        <v>777.77777777777783</v>
      </c>
      <c r="K76" s="13">
        <f t="shared" si="15"/>
        <v>603.47222222222217</v>
      </c>
      <c r="L76" s="14">
        <f t="shared" si="16"/>
        <v>0.48277777777777775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</v>
      </c>
      <c r="B77" s="10" t="s">
        <v>15</v>
      </c>
      <c r="C77" s="11" t="s">
        <v>48</v>
      </c>
      <c r="D77" s="13">
        <v>13000</v>
      </c>
      <c r="E77" s="13">
        <f t="shared" si="12"/>
        <v>13000</v>
      </c>
      <c r="F77" s="13">
        <f t="shared" si="13"/>
        <v>14365</v>
      </c>
      <c r="G77" s="2"/>
      <c r="H77" s="2"/>
      <c r="I77" s="13">
        <v>8000</v>
      </c>
      <c r="J77" s="13">
        <f t="shared" si="14"/>
        <v>8000</v>
      </c>
      <c r="K77" s="13">
        <f t="shared" si="15"/>
        <v>6365</v>
      </c>
      <c r="L77" s="14">
        <f t="shared" si="16"/>
        <v>0.48961538461538462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4</v>
      </c>
      <c r="B78" s="10" t="s">
        <v>15</v>
      </c>
      <c r="C78" s="11" t="s">
        <v>27</v>
      </c>
      <c r="D78" s="13">
        <v>25000</v>
      </c>
      <c r="E78" s="13">
        <f t="shared" si="12"/>
        <v>100000</v>
      </c>
      <c r="F78" s="13">
        <f t="shared" si="13"/>
        <v>110500</v>
      </c>
      <c r="G78" s="2"/>
      <c r="H78" s="2"/>
      <c r="I78" s="17">
        <v>20000</v>
      </c>
      <c r="J78" s="13">
        <f t="shared" si="14"/>
        <v>80000</v>
      </c>
      <c r="K78" s="13">
        <f t="shared" si="15"/>
        <v>30500</v>
      </c>
      <c r="L78" s="14">
        <f t="shared" si="16"/>
        <v>0.30499999999999999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5</v>
      </c>
      <c r="B79" s="10" t="s">
        <v>17</v>
      </c>
      <c r="C79" s="11" t="s">
        <v>25</v>
      </c>
      <c r="D79" s="13">
        <v>4500</v>
      </c>
      <c r="E79" s="13">
        <f t="shared" si="12"/>
        <v>22500</v>
      </c>
      <c r="F79" s="13">
        <f t="shared" si="13"/>
        <v>24862.5</v>
      </c>
      <c r="G79" s="2"/>
      <c r="H79" s="2"/>
      <c r="I79" s="13">
        <f>65000/17</f>
        <v>3823.5294117647059</v>
      </c>
      <c r="J79" s="13">
        <f t="shared" si="14"/>
        <v>19117.647058823528</v>
      </c>
      <c r="K79" s="13">
        <f t="shared" si="15"/>
        <v>5744.8529411764721</v>
      </c>
      <c r="L79" s="14">
        <f t="shared" si="16"/>
        <v>0.25532679738562097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8</v>
      </c>
      <c r="B80" s="10" t="s">
        <v>17</v>
      </c>
      <c r="C80" s="11" t="s">
        <v>24</v>
      </c>
      <c r="D80" s="13">
        <v>3600</v>
      </c>
      <c r="E80" s="13">
        <f t="shared" si="12"/>
        <v>28800</v>
      </c>
      <c r="F80" s="13">
        <f t="shared" si="13"/>
        <v>31824</v>
      </c>
      <c r="G80" s="2"/>
      <c r="H80" s="2"/>
      <c r="I80" s="13">
        <f>50000/17</f>
        <v>2941.1764705882351</v>
      </c>
      <c r="J80" s="13">
        <f t="shared" si="14"/>
        <v>23529.411764705881</v>
      </c>
      <c r="K80" s="13">
        <f t="shared" si="15"/>
        <v>8294.5882352941189</v>
      </c>
      <c r="L80" s="14">
        <f t="shared" si="16"/>
        <v>0.28800653594771247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1</v>
      </c>
      <c r="B81" s="10" t="s">
        <v>23</v>
      </c>
      <c r="C81" s="11" t="s">
        <v>26</v>
      </c>
      <c r="D81" s="13">
        <v>28000</v>
      </c>
      <c r="E81" s="13">
        <f t="shared" si="12"/>
        <v>28000</v>
      </c>
      <c r="F81" s="13">
        <f t="shared" si="13"/>
        <v>30940</v>
      </c>
      <c r="G81" s="2"/>
      <c r="H81" s="2"/>
      <c r="I81" s="13">
        <v>24000</v>
      </c>
      <c r="J81" s="13">
        <f t="shared" si="14"/>
        <v>24000</v>
      </c>
      <c r="K81" s="13">
        <f t="shared" si="15"/>
        <v>6940</v>
      </c>
      <c r="L81" s="14">
        <f t="shared" si="16"/>
        <v>0.24785714285714286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3</v>
      </c>
      <c r="B82" s="10" t="s">
        <v>17</v>
      </c>
      <c r="C82" s="11" t="s">
        <v>62</v>
      </c>
      <c r="D82" s="13">
        <v>3000</v>
      </c>
      <c r="E82" s="13">
        <f t="shared" si="12"/>
        <v>9000</v>
      </c>
      <c r="F82" s="13">
        <f t="shared" si="13"/>
        <v>9945</v>
      </c>
      <c r="G82" s="2"/>
      <c r="H82" s="2"/>
      <c r="I82" s="13">
        <f>36000/17</f>
        <v>2117.6470588235293</v>
      </c>
      <c r="J82" s="13">
        <f t="shared" si="14"/>
        <v>6352.9411764705874</v>
      </c>
      <c r="K82" s="13">
        <f t="shared" si="15"/>
        <v>3592.0588235294126</v>
      </c>
      <c r="L82" s="14">
        <f t="shared" si="16"/>
        <v>0.39911764705882363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3</v>
      </c>
      <c r="B83" s="10" t="s">
        <v>17</v>
      </c>
      <c r="C83" s="11" t="s">
        <v>123</v>
      </c>
      <c r="D83" s="13">
        <v>3200</v>
      </c>
      <c r="E83" s="13">
        <f t="shared" si="12"/>
        <v>9600</v>
      </c>
      <c r="F83" s="13">
        <f t="shared" si="13"/>
        <v>10608</v>
      </c>
      <c r="G83" s="2"/>
      <c r="H83" s="2"/>
      <c r="I83" s="13">
        <f>32000/15</f>
        <v>2133.3333333333335</v>
      </c>
      <c r="J83" s="13">
        <f t="shared" si="14"/>
        <v>6400</v>
      </c>
      <c r="K83" s="13">
        <f t="shared" si="15"/>
        <v>4208</v>
      </c>
      <c r="L83" s="14">
        <f t="shared" si="16"/>
        <v>0.43833333333333335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2</v>
      </c>
      <c r="B84" s="10" t="s">
        <v>17</v>
      </c>
      <c r="C84" s="11" t="s">
        <v>31</v>
      </c>
      <c r="D84" s="13">
        <v>3200</v>
      </c>
      <c r="E84" s="13">
        <f t="shared" si="12"/>
        <v>6400</v>
      </c>
      <c r="F84" s="13">
        <f t="shared" si="13"/>
        <v>7072</v>
      </c>
      <c r="G84" s="2"/>
      <c r="H84" s="13"/>
      <c r="I84" s="13">
        <f>14000/7</f>
        <v>2000</v>
      </c>
      <c r="J84" s="13">
        <f t="shared" si="14"/>
        <v>4000</v>
      </c>
      <c r="K84" s="13">
        <f t="shared" si="15"/>
        <v>3072</v>
      </c>
      <c r="L84" s="14">
        <f t="shared" si="16"/>
        <v>0.48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</v>
      </c>
      <c r="B85" s="10" t="s">
        <v>17</v>
      </c>
      <c r="C85" s="11" t="s">
        <v>33</v>
      </c>
      <c r="D85" s="13">
        <v>2800</v>
      </c>
      <c r="E85" s="13">
        <f t="shared" si="12"/>
        <v>2800</v>
      </c>
      <c r="F85" s="13">
        <f t="shared" si="13"/>
        <v>3094</v>
      </c>
      <c r="G85" s="2"/>
      <c r="H85" s="13"/>
      <c r="I85" s="13">
        <f>15000/7</f>
        <v>2142.8571428571427</v>
      </c>
      <c r="J85" s="13">
        <f t="shared" si="14"/>
        <v>2142.8571428571427</v>
      </c>
      <c r="K85" s="13">
        <f t="shared" si="15"/>
        <v>951.14285714285734</v>
      </c>
      <c r="L85" s="14">
        <f t="shared" si="16"/>
        <v>0.33969387755102048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</v>
      </c>
      <c r="B86" s="10" t="s">
        <v>17</v>
      </c>
      <c r="C86" s="11" t="s">
        <v>32</v>
      </c>
      <c r="D86" s="13">
        <v>2400</v>
      </c>
      <c r="E86" s="13">
        <f t="shared" si="12"/>
        <v>2400</v>
      </c>
      <c r="F86" s="13">
        <f t="shared" si="13"/>
        <v>2652</v>
      </c>
      <c r="G86" s="2"/>
      <c r="H86" s="2"/>
      <c r="I86" s="13">
        <f>13000/7</f>
        <v>1857.1428571428571</v>
      </c>
      <c r="J86" s="13">
        <f t="shared" si="14"/>
        <v>1857.1428571428571</v>
      </c>
      <c r="K86" s="13">
        <f t="shared" si="15"/>
        <v>794.85714285714289</v>
      </c>
      <c r="L86" s="14">
        <f t="shared" si="16"/>
        <v>0.3311904761904762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</v>
      </c>
      <c r="B87" s="10" t="s">
        <v>17</v>
      </c>
      <c r="C87" s="11" t="s">
        <v>56</v>
      </c>
      <c r="D87" s="13">
        <v>1200</v>
      </c>
      <c r="E87" s="13">
        <f t="shared" si="12"/>
        <v>1200</v>
      </c>
      <c r="F87" s="13">
        <f t="shared" si="13"/>
        <v>1326</v>
      </c>
      <c r="G87" s="2"/>
      <c r="H87" s="2"/>
      <c r="I87" s="13">
        <v>800</v>
      </c>
      <c r="J87" s="13">
        <f t="shared" si="14"/>
        <v>800</v>
      </c>
      <c r="K87" s="13">
        <f t="shared" si="15"/>
        <v>526</v>
      </c>
      <c r="L87" s="14">
        <f t="shared" si="16"/>
        <v>0.43833333333333335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1</v>
      </c>
      <c r="B88" s="10" t="s">
        <v>17</v>
      </c>
      <c r="C88" s="11" t="s">
        <v>18</v>
      </c>
      <c r="D88" s="13">
        <v>1600</v>
      </c>
      <c r="E88" s="13">
        <f t="shared" si="12"/>
        <v>1600</v>
      </c>
      <c r="F88" s="13">
        <f t="shared" si="13"/>
        <v>1768</v>
      </c>
      <c r="G88" s="2"/>
      <c r="H88" s="13"/>
      <c r="I88" s="13">
        <v>1000</v>
      </c>
      <c r="J88" s="13">
        <f t="shared" si="14"/>
        <v>1000</v>
      </c>
      <c r="K88" s="13">
        <f t="shared" si="15"/>
        <v>768</v>
      </c>
      <c r="L88" s="14">
        <f t="shared" si="16"/>
        <v>0.48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0.5</v>
      </c>
      <c r="B89" s="10" t="s">
        <v>17</v>
      </c>
      <c r="C89" s="11" t="s">
        <v>30</v>
      </c>
      <c r="D89" s="13">
        <v>1500</v>
      </c>
      <c r="E89" s="13">
        <f t="shared" si="12"/>
        <v>750</v>
      </c>
      <c r="F89" s="13">
        <f t="shared" si="13"/>
        <v>828.75</v>
      </c>
      <c r="G89" s="2"/>
      <c r="H89" s="13"/>
      <c r="I89" s="13">
        <f>8000/14</f>
        <v>571.42857142857144</v>
      </c>
      <c r="J89" s="13">
        <f t="shared" si="14"/>
        <v>285.71428571428572</v>
      </c>
      <c r="K89" s="13">
        <f t="shared" si="15"/>
        <v>543.03571428571422</v>
      </c>
      <c r="L89" s="14">
        <f t="shared" si="16"/>
        <v>0.72404761904761894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17</v>
      </c>
      <c r="C90" s="11" t="s">
        <v>61</v>
      </c>
      <c r="D90" s="13">
        <v>1400</v>
      </c>
      <c r="E90" s="13">
        <f t="shared" si="12"/>
        <v>1400</v>
      </c>
      <c r="F90" s="13">
        <f t="shared" si="13"/>
        <v>1547</v>
      </c>
      <c r="G90" s="2"/>
      <c r="H90" s="2"/>
      <c r="I90" s="13">
        <f>12000/14</f>
        <v>857.14285714285711</v>
      </c>
      <c r="J90" s="13">
        <f t="shared" si="14"/>
        <v>857.14285714285711</v>
      </c>
      <c r="K90" s="13">
        <f t="shared" si="15"/>
        <v>689.85714285714289</v>
      </c>
      <c r="L90" s="14">
        <f t="shared" si="16"/>
        <v>0.49275510204081635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1</v>
      </c>
      <c r="B91" s="10" t="s">
        <v>4</v>
      </c>
      <c r="C91" s="11" t="s">
        <v>14</v>
      </c>
      <c r="D91" s="13">
        <v>3000</v>
      </c>
      <c r="E91" s="13">
        <f t="shared" si="12"/>
        <v>3000</v>
      </c>
      <c r="F91" s="13">
        <f t="shared" si="13"/>
        <v>3315</v>
      </c>
      <c r="G91" s="2"/>
      <c r="H91" s="2"/>
      <c r="I91" s="13">
        <f>18000/8</f>
        <v>2250</v>
      </c>
      <c r="J91" s="13">
        <f t="shared" si="14"/>
        <v>2250</v>
      </c>
      <c r="K91" s="13">
        <f t="shared" si="15"/>
        <v>1065</v>
      </c>
      <c r="L91" s="14">
        <f t="shared" si="16"/>
        <v>0.35499999999999998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2</v>
      </c>
      <c r="B92" s="10" t="s">
        <v>17</v>
      </c>
      <c r="C92" s="11" t="s">
        <v>82</v>
      </c>
      <c r="D92" s="13">
        <v>1400</v>
      </c>
      <c r="E92" s="13">
        <f t="shared" si="12"/>
        <v>2800</v>
      </c>
      <c r="F92" s="13">
        <f t="shared" si="13"/>
        <v>3094</v>
      </c>
      <c r="G92" s="2"/>
      <c r="H92" s="2"/>
      <c r="I92" s="13">
        <f>15000/14</f>
        <v>1071.4285714285713</v>
      </c>
      <c r="J92" s="13">
        <f t="shared" si="14"/>
        <v>2142.8571428571427</v>
      </c>
      <c r="K92" s="13">
        <f t="shared" si="15"/>
        <v>951.14285714285734</v>
      </c>
      <c r="L92" s="14">
        <f t="shared" si="16"/>
        <v>0.33969387755102048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0.5</v>
      </c>
      <c r="B93" s="10" t="s">
        <v>17</v>
      </c>
      <c r="C93" s="11" t="s">
        <v>99</v>
      </c>
      <c r="D93" s="13">
        <v>2000</v>
      </c>
      <c r="E93" s="13">
        <f t="shared" si="12"/>
        <v>1000</v>
      </c>
      <c r="F93" s="13">
        <f t="shared" si="13"/>
        <v>1105</v>
      </c>
      <c r="G93" s="2"/>
      <c r="H93" s="2"/>
      <c r="I93" s="13">
        <f>10000/7</f>
        <v>1428.5714285714287</v>
      </c>
      <c r="J93" s="13">
        <f t="shared" si="14"/>
        <v>714.28571428571433</v>
      </c>
      <c r="K93" s="13">
        <f t="shared" si="15"/>
        <v>390.71428571428567</v>
      </c>
      <c r="L93" s="14">
        <f t="shared" si="16"/>
        <v>0.39071428571428568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1</v>
      </c>
      <c r="B94" s="10" t="s">
        <v>21</v>
      </c>
      <c r="C94" s="11" t="s">
        <v>133</v>
      </c>
      <c r="D94" s="13">
        <v>3000</v>
      </c>
      <c r="E94" s="13">
        <f t="shared" si="12"/>
        <v>3000</v>
      </c>
      <c r="F94" s="13">
        <f t="shared" si="13"/>
        <v>3315</v>
      </c>
      <c r="G94" s="2"/>
      <c r="H94" s="2"/>
      <c r="I94" s="13">
        <v>2000</v>
      </c>
      <c r="J94" s="13">
        <f t="shared" si="14"/>
        <v>2000</v>
      </c>
      <c r="K94" s="13">
        <f t="shared" si="15"/>
        <v>1315</v>
      </c>
      <c r="L94" s="14">
        <f t="shared" si="16"/>
        <v>0.43833333333333335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1</v>
      </c>
      <c r="B95" s="10" t="s">
        <v>21</v>
      </c>
      <c r="C95" s="11" t="s">
        <v>28</v>
      </c>
      <c r="D95" s="13">
        <v>3000</v>
      </c>
      <c r="E95" s="13">
        <f t="shared" si="12"/>
        <v>3000</v>
      </c>
      <c r="F95" s="13">
        <f t="shared" si="13"/>
        <v>3315</v>
      </c>
      <c r="G95" s="2"/>
      <c r="H95" s="2"/>
      <c r="I95" s="13">
        <v>2000</v>
      </c>
      <c r="J95" s="13">
        <f t="shared" si="14"/>
        <v>2000</v>
      </c>
      <c r="K95" s="13">
        <f t="shared" si="15"/>
        <v>1315</v>
      </c>
      <c r="L95" s="14">
        <f t="shared" si="16"/>
        <v>0.43833333333333335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1</v>
      </c>
      <c r="B96" s="10" t="s">
        <v>21</v>
      </c>
      <c r="C96" s="11" t="s">
        <v>51</v>
      </c>
      <c r="D96" s="13">
        <v>1500</v>
      </c>
      <c r="E96" s="13">
        <f t="shared" si="12"/>
        <v>1500</v>
      </c>
      <c r="F96" s="13">
        <f t="shared" si="13"/>
        <v>1657.5</v>
      </c>
      <c r="G96" s="2"/>
      <c r="H96" s="2"/>
      <c r="I96" s="13">
        <v>1000</v>
      </c>
      <c r="J96" s="13">
        <f t="shared" si="14"/>
        <v>1000</v>
      </c>
      <c r="K96" s="13">
        <f t="shared" si="15"/>
        <v>657.5</v>
      </c>
      <c r="L96" s="14">
        <f t="shared" si="16"/>
        <v>0.43833333333333335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"/>
      <c r="B97" s="2"/>
      <c r="C97" s="4"/>
      <c r="D97" s="2"/>
      <c r="E97" s="2"/>
      <c r="F97" s="2"/>
      <c r="G97" s="2"/>
      <c r="H97" s="2"/>
      <c r="I97" s="2"/>
      <c r="J97" s="2"/>
      <c r="K97" s="2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"/>
      <c r="B98" s="2"/>
      <c r="C98" s="4"/>
      <c r="D98" s="2"/>
      <c r="E98" s="13">
        <f t="shared" ref="E98:F98" si="17">SUM(E69:E96)</f>
        <v>305250</v>
      </c>
      <c r="F98" s="13">
        <f t="shared" si="17"/>
        <v>337301.25</v>
      </c>
      <c r="G98" s="2"/>
      <c r="H98" s="2"/>
      <c r="I98" s="2"/>
      <c r="J98" s="2"/>
      <c r="K98" s="13">
        <f>SUM(K69:K96)</f>
        <v>104728.23412698413</v>
      </c>
      <c r="L98" s="14">
        <f>K98/F98</f>
        <v>0.31048872225342816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20"/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20"/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20"/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75" t="s">
        <v>66</v>
      </c>
      <c r="B102" s="76"/>
      <c r="C102" s="76"/>
      <c r="D102" s="2"/>
      <c r="E102" s="7" t="s">
        <v>45</v>
      </c>
      <c r="F102" s="8">
        <v>46120</v>
      </c>
      <c r="G102" s="2"/>
      <c r="H102" s="2"/>
      <c r="I102" s="78" t="s">
        <v>2</v>
      </c>
      <c r="J102" s="76"/>
      <c r="K102" s="76"/>
      <c r="L102" s="3"/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"/>
      <c r="B103" s="2"/>
      <c r="C103" s="5"/>
      <c r="D103" s="2"/>
      <c r="E103" s="2"/>
      <c r="F103" s="2"/>
      <c r="G103" s="2"/>
      <c r="H103" s="2"/>
      <c r="I103" s="2"/>
      <c r="J103" s="2"/>
      <c r="K103" s="2"/>
      <c r="L103" s="3"/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6" t="s">
        <v>3</v>
      </c>
      <c r="B104" s="10" t="s">
        <v>4</v>
      </c>
      <c r="C104" s="11" t="s">
        <v>5</v>
      </c>
      <c r="D104" s="10" t="s">
        <v>6</v>
      </c>
      <c r="E104" s="10" t="s">
        <v>7</v>
      </c>
      <c r="F104" s="10" t="s">
        <v>8</v>
      </c>
      <c r="G104" s="2"/>
      <c r="H104" s="2"/>
      <c r="I104" s="10" t="s">
        <v>9</v>
      </c>
      <c r="J104" s="10" t="s">
        <v>7</v>
      </c>
      <c r="K104" s="10" t="s">
        <v>10</v>
      </c>
      <c r="L104" s="3"/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17</v>
      </c>
      <c r="C105" s="11" t="s">
        <v>30</v>
      </c>
      <c r="D105" s="13">
        <v>1500</v>
      </c>
      <c r="E105" s="13">
        <f t="shared" ref="E105:E111" si="18">A105*D105</f>
        <v>3000</v>
      </c>
      <c r="F105" s="13">
        <f t="shared" ref="F105:F111" si="19">E105*1.105</f>
        <v>3315</v>
      </c>
      <c r="G105" s="2"/>
      <c r="H105" s="2"/>
      <c r="I105" s="13">
        <f>8000/14</f>
        <v>571.42857142857144</v>
      </c>
      <c r="J105" s="13">
        <f t="shared" ref="J105:J111" si="20">I105*A105</f>
        <v>1142.8571428571429</v>
      </c>
      <c r="K105" s="13">
        <f t="shared" ref="K105:K111" si="21">F105-J105</f>
        <v>2172.1428571428569</v>
      </c>
      <c r="L105" s="14">
        <f t="shared" ref="L105:L111" si="22">IFERROR(K105/E105, 0)</f>
        <v>0.72404761904761894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3</v>
      </c>
      <c r="B106" s="10" t="s">
        <v>17</v>
      </c>
      <c r="C106" s="11" t="s">
        <v>56</v>
      </c>
      <c r="D106" s="13">
        <v>1200</v>
      </c>
      <c r="E106" s="13">
        <f t="shared" si="18"/>
        <v>3600</v>
      </c>
      <c r="F106" s="13">
        <f t="shared" si="19"/>
        <v>3978</v>
      </c>
      <c r="G106" s="2"/>
      <c r="H106" s="2"/>
      <c r="I106" s="13">
        <v>800</v>
      </c>
      <c r="J106" s="13">
        <f t="shared" si="20"/>
        <v>2400</v>
      </c>
      <c r="K106" s="13">
        <f t="shared" si="21"/>
        <v>1578</v>
      </c>
      <c r="L106" s="14">
        <f t="shared" si="22"/>
        <v>0.43833333333333335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</v>
      </c>
      <c r="B107" s="10" t="s">
        <v>17</v>
      </c>
      <c r="C107" s="11" t="s">
        <v>18</v>
      </c>
      <c r="D107" s="13">
        <v>1600</v>
      </c>
      <c r="E107" s="13">
        <f t="shared" si="18"/>
        <v>1600</v>
      </c>
      <c r="F107" s="13">
        <f t="shared" si="19"/>
        <v>1768</v>
      </c>
      <c r="G107" s="2"/>
      <c r="H107" s="2"/>
      <c r="I107" s="13">
        <v>1000</v>
      </c>
      <c r="J107" s="13">
        <f t="shared" si="20"/>
        <v>1000</v>
      </c>
      <c r="K107" s="13">
        <f t="shared" si="21"/>
        <v>768</v>
      </c>
      <c r="L107" s="14">
        <f t="shared" si="22"/>
        <v>0.48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5.0999999999999996</v>
      </c>
      <c r="B108" s="10" t="s">
        <v>4</v>
      </c>
      <c r="C108" s="11" t="s">
        <v>31</v>
      </c>
      <c r="D108" s="13">
        <v>3200</v>
      </c>
      <c r="E108" s="13">
        <f t="shared" si="18"/>
        <v>16319.999999999998</v>
      </c>
      <c r="F108" s="13">
        <f t="shared" si="19"/>
        <v>18033.599999999999</v>
      </c>
      <c r="G108" s="2"/>
      <c r="H108" s="2"/>
      <c r="I108" s="13">
        <v>2000</v>
      </c>
      <c r="J108" s="13">
        <f t="shared" si="20"/>
        <v>10200</v>
      </c>
      <c r="K108" s="13">
        <f t="shared" si="21"/>
        <v>7833.5999999999985</v>
      </c>
      <c r="L108" s="14">
        <f t="shared" si="22"/>
        <v>0.48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3.7</v>
      </c>
      <c r="B109" s="10" t="s">
        <v>4</v>
      </c>
      <c r="C109" s="11" t="s">
        <v>33</v>
      </c>
      <c r="D109" s="13">
        <v>2800</v>
      </c>
      <c r="E109" s="13">
        <f t="shared" si="18"/>
        <v>10360</v>
      </c>
      <c r="F109" s="13">
        <f t="shared" si="19"/>
        <v>11447.8</v>
      </c>
      <c r="G109" s="2"/>
      <c r="H109" s="2"/>
      <c r="I109" s="13">
        <f>15000/7</f>
        <v>2142.8571428571427</v>
      </c>
      <c r="J109" s="13">
        <f t="shared" si="20"/>
        <v>7928.5714285714284</v>
      </c>
      <c r="K109" s="13">
        <f t="shared" si="21"/>
        <v>3519.2285714285708</v>
      </c>
      <c r="L109" s="14">
        <f t="shared" si="22"/>
        <v>0.33969387755102037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4</v>
      </c>
      <c r="B110" s="10" t="s">
        <v>17</v>
      </c>
      <c r="C110" s="11" t="s">
        <v>43</v>
      </c>
      <c r="D110" s="13">
        <v>5000</v>
      </c>
      <c r="E110" s="13">
        <f t="shared" si="18"/>
        <v>20000</v>
      </c>
      <c r="F110" s="13">
        <f t="shared" si="19"/>
        <v>22100</v>
      </c>
      <c r="G110" s="2"/>
      <c r="H110" s="2"/>
      <c r="I110" s="13">
        <f>17000/4</f>
        <v>4250</v>
      </c>
      <c r="J110" s="13">
        <f t="shared" si="20"/>
        <v>17000</v>
      </c>
      <c r="K110" s="13">
        <f t="shared" si="21"/>
        <v>5100</v>
      </c>
      <c r="L110" s="14">
        <f t="shared" si="22"/>
        <v>0.255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13</v>
      </c>
      <c r="B111" s="10" t="s">
        <v>17</v>
      </c>
      <c r="C111" s="11" t="s">
        <v>39</v>
      </c>
      <c r="D111" s="13">
        <v>2400</v>
      </c>
      <c r="E111" s="13">
        <f t="shared" si="18"/>
        <v>31200</v>
      </c>
      <c r="F111" s="13">
        <f t="shared" si="19"/>
        <v>34476</v>
      </c>
      <c r="G111" s="2"/>
      <c r="H111" s="2"/>
      <c r="I111" s="13">
        <f>22000/15</f>
        <v>1466.6666666666667</v>
      </c>
      <c r="J111" s="13">
        <f t="shared" si="20"/>
        <v>19066.666666666668</v>
      </c>
      <c r="K111" s="13">
        <f t="shared" si="21"/>
        <v>15409.333333333332</v>
      </c>
      <c r="L111" s="14">
        <f t="shared" si="22"/>
        <v>0.49388888888888888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"/>
      <c r="B112" s="2"/>
      <c r="C112" s="4"/>
      <c r="D112" s="2"/>
      <c r="E112" s="2"/>
      <c r="F112" s="2"/>
      <c r="G112" s="2"/>
      <c r="H112" s="2"/>
      <c r="I112" s="2"/>
      <c r="J112" s="2"/>
      <c r="K112" s="2"/>
      <c r="L112" s="3"/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"/>
      <c r="B113" s="2"/>
      <c r="C113" s="4"/>
      <c r="D113" s="2"/>
      <c r="E113" s="13">
        <f t="shared" ref="E113:F113" si="23">SUM(E105:E111)</f>
        <v>86080</v>
      </c>
      <c r="F113" s="13">
        <f t="shared" si="23"/>
        <v>95118.399999999994</v>
      </c>
      <c r="G113" s="2"/>
      <c r="H113" s="2"/>
      <c r="I113" s="2"/>
      <c r="J113" s="2"/>
      <c r="K113" s="13">
        <f>SUM(K105:K111)</f>
        <v>36380.304761904757</v>
      </c>
      <c r="L113" s="14">
        <f>K113/F113</f>
        <v>0.38247389318895986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20"/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20"/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20"/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75" t="s">
        <v>68</v>
      </c>
      <c r="B117" s="76"/>
      <c r="C117" s="76"/>
      <c r="D117" s="2"/>
      <c r="E117" s="7" t="s">
        <v>45</v>
      </c>
      <c r="F117" s="8">
        <v>46120</v>
      </c>
      <c r="G117" s="2"/>
      <c r="H117" s="2"/>
      <c r="I117" s="78" t="s">
        <v>2</v>
      </c>
      <c r="J117" s="76"/>
      <c r="K117" s="76"/>
      <c r="L117" s="3"/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"/>
      <c r="B118" s="2"/>
      <c r="C118" s="5"/>
      <c r="D118" s="2"/>
      <c r="E118" s="2"/>
      <c r="F118" s="2"/>
      <c r="G118" s="2"/>
      <c r="H118" s="2"/>
      <c r="I118" s="2"/>
      <c r="J118" s="2"/>
      <c r="K118" s="2"/>
      <c r="L118" s="3"/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6" t="s">
        <v>3</v>
      </c>
      <c r="B119" s="10" t="s">
        <v>4</v>
      </c>
      <c r="C119" s="11" t="s">
        <v>5</v>
      </c>
      <c r="D119" s="10" t="s">
        <v>6</v>
      </c>
      <c r="E119" s="10" t="s">
        <v>7</v>
      </c>
      <c r="F119" s="10" t="s">
        <v>8</v>
      </c>
      <c r="G119" s="2"/>
      <c r="H119" s="2"/>
      <c r="I119" s="10" t="s">
        <v>9</v>
      </c>
      <c r="J119" s="10" t="s">
        <v>7</v>
      </c>
      <c r="K119" s="10" t="s">
        <v>10</v>
      </c>
      <c r="L119" s="3"/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2</v>
      </c>
      <c r="B120" s="10" t="s">
        <v>15</v>
      </c>
      <c r="C120" s="11" t="s">
        <v>27</v>
      </c>
      <c r="D120" s="13">
        <v>25000</v>
      </c>
      <c r="E120" s="13">
        <f t="shared" ref="E120:E142" si="24">A120*D120</f>
        <v>50000</v>
      </c>
      <c r="F120" s="13">
        <f t="shared" ref="F120:F141" si="25">E120*1.105</f>
        <v>55250</v>
      </c>
      <c r="G120" s="2"/>
      <c r="H120" s="2"/>
      <c r="I120" s="13">
        <v>20000</v>
      </c>
      <c r="J120" s="13">
        <f t="shared" ref="J120:J142" si="26">I120*A120</f>
        <v>40000</v>
      </c>
      <c r="K120" s="13">
        <f t="shared" ref="K120:K142" si="27">F120-J120</f>
        <v>15250</v>
      </c>
      <c r="L120" s="14">
        <f t="shared" ref="L120:L142" si="28">IFERROR(K120/E120, 0)</f>
        <v>0.30499999999999999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15</v>
      </c>
      <c r="C121" s="11" t="s">
        <v>48</v>
      </c>
      <c r="D121" s="13">
        <v>13000</v>
      </c>
      <c r="E121" s="13">
        <f t="shared" si="24"/>
        <v>13000</v>
      </c>
      <c r="F121" s="13">
        <f t="shared" si="25"/>
        <v>14365</v>
      </c>
      <c r="G121" s="2"/>
      <c r="H121" s="2"/>
      <c r="I121" s="13">
        <v>8000</v>
      </c>
      <c r="J121" s="13">
        <f t="shared" si="26"/>
        <v>8000</v>
      </c>
      <c r="K121" s="13">
        <f t="shared" si="27"/>
        <v>6365</v>
      </c>
      <c r="L121" s="14">
        <f t="shared" si="28"/>
        <v>0.48961538461538462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1</v>
      </c>
      <c r="B122" s="10" t="s">
        <v>15</v>
      </c>
      <c r="C122" s="11" t="s">
        <v>40</v>
      </c>
      <c r="D122" s="13">
        <v>12000</v>
      </c>
      <c r="E122" s="13">
        <f t="shared" si="24"/>
        <v>12000</v>
      </c>
      <c r="F122" s="13">
        <f t="shared" si="25"/>
        <v>13260</v>
      </c>
      <c r="G122" s="2"/>
      <c r="H122" s="2"/>
      <c r="I122" s="13">
        <v>7000</v>
      </c>
      <c r="J122" s="13">
        <f t="shared" si="26"/>
        <v>7000</v>
      </c>
      <c r="K122" s="13">
        <f t="shared" si="27"/>
        <v>6260</v>
      </c>
      <c r="L122" s="14">
        <f t="shared" si="28"/>
        <v>0.52166666666666661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2</v>
      </c>
      <c r="B123" s="10" t="s">
        <v>4</v>
      </c>
      <c r="C123" s="11" t="s">
        <v>14</v>
      </c>
      <c r="D123" s="13">
        <v>3000</v>
      </c>
      <c r="E123" s="13">
        <f t="shared" si="24"/>
        <v>6000</v>
      </c>
      <c r="F123" s="13">
        <f t="shared" si="25"/>
        <v>6630</v>
      </c>
      <c r="G123" s="2"/>
      <c r="H123" s="2"/>
      <c r="I123" s="13">
        <f>18000/8</f>
        <v>2250</v>
      </c>
      <c r="J123" s="13">
        <f t="shared" si="26"/>
        <v>4500</v>
      </c>
      <c r="K123" s="13">
        <f t="shared" si="27"/>
        <v>2130</v>
      </c>
      <c r="L123" s="14">
        <f t="shared" si="28"/>
        <v>0.35499999999999998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12</v>
      </c>
      <c r="B124" s="10" t="s">
        <v>21</v>
      </c>
      <c r="C124" s="11" t="s">
        <v>22</v>
      </c>
      <c r="D124" s="13">
        <v>1700</v>
      </c>
      <c r="E124" s="13">
        <f t="shared" si="24"/>
        <v>20400</v>
      </c>
      <c r="F124" s="13">
        <f t="shared" si="25"/>
        <v>22542</v>
      </c>
      <c r="G124" s="2"/>
      <c r="H124" s="2"/>
      <c r="I124" s="13">
        <f>13000/12</f>
        <v>1083.3333333333333</v>
      </c>
      <c r="J124" s="13">
        <f t="shared" si="26"/>
        <v>13000</v>
      </c>
      <c r="K124" s="13">
        <f t="shared" si="27"/>
        <v>9542</v>
      </c>
      <c r="L124" s="14">
        <f t="shared" si="28"/>
        <v>0.46774509803921571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1</v>
      </c>
      <c r="B125" s="10" t="s">
        <v>21</v>
      </c>
      <c r="C125" s="11" t="s">
        <v>42</v>
      </c>
      <c r="D125" s="13">
        <v>4500</v>
      </c>
      <c r="E125" s="13">
        <f t="shared" si="24"/>
        <v>4500</v>
      </c>
      <c r="F125" s="13">
        <f t="shared" si="25"/>
        <v>4972.5</v>
      </c>
      <c r="G125" s="2"/>
      <c r="H125" s="2"/>
      <c r="I125" s="13">
        <v>2000</v>
      </c>
      <c r="J125" s="13">
        <f t="shared" si="26"/>
        <v>2000</v>
      </c>
      <c r="K125" s="13">
        <f t="shared" si="27"/>
        <v>2972.5</v>
      </c>
      <c r="L125" s="14">
        <f t="shared" si="28"/>
        <v>0.66055555555555556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1</v>
      </c>
      <c r="B126" s="10" t="s">
        <v>21</v>
      </c>
      <c r="C126" s="11" t="s">
        <v>34</v>
      </c>
      <c r="D126" s="13">
        <v>5000</v>
      </c>
      <c r="E126" s="13">
        <f t="shared" si="24"/>
        <v>5000</v>
      </c>
      <c r="F126" s="13">
        <f t="shared" si="25"/>
        <v>5525</v>
      </c>
      <c r="G126" s="2"/>
      <c r="H126" s="2"/>
      <c r="I126" s="13">
        <v>2500</v>
      </c>
      <c r="J126" s="13">
        <f t="shared" si="26"/>
        <v>2500</v>
      </c>
      <c r="K126" s="13">
        <f t="shared" si="27"/>
        <v>3025</v>
      </c>
      <c r="L126" s="14">
        <f t="shared" si="28"/>
        <v>0.60499999999999998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12</v>
      </c>
      <c r="B127" s="10" t="s">
        <v>21</v>
      </c>
      <c r="C127" s="11" t="s">
        <v>46</v>
      </c>
      <c r="D127" s="13">
        <v>600</v>
      </c>
      <c r="E127" s="13">
        <f t="shared" si="24"/>
        <v>7200</v>
      </c>
      <c r="F127" s="13">
        <f t="shared" si="25"/>
        <v>7956</v>
      </c>
      <c r="G127" s="2"/>
      <c r="H127" s="2"/>
      <c r="I127" s="13">
        <f>10000/24</f>
        <v>416.66666666666669</v>
      </c>
      <c r="J127" s="13">
        <f t="shared" si="26"/>
        <v>5000</v>
      </c>
      <c r="K127" s="13">
        <f t="shared" si="27"/>
        <v>2956</v>
      </c>
      <c r="L127" s="14">
        <f t="shared" si="28"/>
        <v>0.41055555555555556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1</v>
      </c>
      <c r="B128" s="10" t="s">
        <v>17</v>
      </c>
      <c r="C128" s="11" t="s">
        <v>43</v>
      </c>
      <c r="D128" s="13">
        <v>5000</v>
      </c>
      <c r="E128" s="13">
        <f t="shared" si="24"/>
        <v>5000</v>
      </c>
      <c r="F128" s="13">
        <f t="shared" si="25"/>
        <v>5525</v>
      </c>
      <c r="G128" s="2"/>
      <c r="H128" s="2"/>
      <c r="I128" s="13">
        <f>17000/4</f>
        <v>4250</v>
      </c>
      <c r="J128" s="13">
        <f t="shared" si="26"/>
        <v>4250</v>
      </c>
      <c r="K128" s="13">
        <f t="shared" si="27"/>
        <v>1275</v>
      </c>
      <c r="L128" s="14">
        <f t="shared" si="28"/>
        <v>0.255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17</v>
      </c>
      <c r="C129" s="11" t="s">
        <v>82</v>
      </c>
      <c r="D129" s="13">
        <v>1400</v>
      </c>
      <c r="E129" s="13">
        <f t="shared" si="24"/>
        <v>1400</v>
      </c>
      <c r="F129" s="13">
        <f t="shared" si="25"/>
        <v>1547</v>
      </c>
      <c r="G129" s="2"/>
      <c r="H129" s="2"/>
      <c r="I129" s="13">
        <f>15000/14</f>
        <v>1071.4285714285713</v>
      </c>
      <c r="J129" s="13">
        <f t="shared" si="26"/>
        <v>1071.4285714285713</v>
      </c>
      <c r="K129" s="13">
        <f t="shared" si="27"/>
        <v>475.57142857142867</v>
      </c>
      <c r="L129" s="14">
        <f t="shared" si="28"/>
        <v>0.33969387755102048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8</v>
      </c>
      <c r="B130" s="10" t="s">
        <v>17</v>
      </c>
      <c r="C130" s="11" t="s">
        <v>39</v>
      </c>
      <c r="D130" s="13">
        <v>2400</v>
      </c>
      <c r="E130" s="13">
        <f t="shared" si="24"/>
        <v>19200</v>
      </c>
      <c r="F130" s="13">
        <f t="shared" si="25"/>
        <v>21216</v>
      </c>
      <c r="G130" s="2"/>
      <c r="H130" s="2"/>
      <c r="I130" s="13">
        <f>22000/15</f>
        <v>1466.6666666666667</v>
      </c>
      <c r="J130" s="13">
        <f t="shared" si="26"/>
        <v>11733.333333333334</v>
      </c>
      <c r="K130" s="13">
        <f t="shared" si="27"/>
        <v>9482.6666666666661</v>
      </c>
      <c r="L130" s="14">
        <f t="shared" si="28"/>
        <v>0.49388888888888888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0.5</v>
      </c>
      <c r="B131" s="10" t="s">
        <v>17</v>
      </c>
      <c r="C131" s="11" t="s">
        <v>30</v>
      </c>
      <c r="D131" s="13">
        <v>1500</v>
      </c>
      <c r="E131" s="13">
        <f t="shared" si="24"/>
        <v>750</v>
      </c>
      <c r="F131" s="13">
        <f t="shared" si="25"/>
        <v>828.75</v>
      </c>
      <c r="G131" s="2"/>
      <c r="H131" s="2"/>
      <c r="I131" s="13">
        <f>8000/14</f>
        <v>571.42857142857144</v>
      </c>
      <c r="J131" s="13">
        <f t="shared" si="26"/>
        <v>285.71428571428572</v>
      </c>
      <c r="K131" s="13">
        <f t="shared" si="27"/>
        <v>543.03571428571422</v>
      </c>
      <c r="L131" s="14">
        <f t="shared" si="28"/>
        <v>0.72404761904761894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</v>
      </c>
      <c r="B132" s="10" t="s">
        <v>17</v>
      </c>
      <c r="C132" s="11" t="s">
        <v>31</v>
      </c>
      <c r="D132" s="13">
        <v>3200</v>
      </c>
      <c r="E132" s="13">
        <f t="shared" si="24"/>
        <v>6400</v>
      </c>
      <c r="F132" s="13">
        <f t="shared" si="25"/>
        <v>7072</v>
      </c>
      <c r="G132" s="2"/>
      <c r="H132" s="2"/>
      <c r="I132" s="13">
        <v>2000</v>
      </c>
      <c r="J132" s="13">
        <f t="shared" si="26"/>
        <v>4000</v>
      </c>
      <c r="K132" s="13">
        <f t="shared" si="27"/>
        <v>3072</v>
      </c>
      <c r="L132" s="14">
        <f t="shared" si="28"/>
        <v>0.48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</v>
      </c>
      <c r="B133" s="10" t="s">
        <v>17</v>
      </c>
      <c r="C133" s="11" t="s">
        <v>32</v>
      </c>
      <c r="D133" s="13">
        <v>2400</v>
      </c>
      <c r="E133" s="13">
        <f t="shared" si="24"/>
        <v>2400</v>
      </c>
      <c r="F133" s="13">
        <f t="shared" si="25"/>
        <v>2652</v>
      </c>
      <c r="G133" s="2"/>
      <c r="H133" s="2"/>
      <c r="I133" s="13">
        <f>13000/7</f>
        <v>1857.1428571428571</v>
      </c>
      <c r="J133" s="13">
        <f t="shared" si="26"/>
        <v>1857.1428571428571</v>
      </c>
      <c r="K133" s="13">
        <f t="shared" si="27"/>
        <v>794.85714285714289</v>
      </c>
      <c r="L133" s="14">
        <f t="shared" si="28"/>
        <v>0.3311904761904762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17</v>
      </c>
      <c r="C134" s="11" t="s">
        <v>33</v>
      </c>
      <c r="D134" s="13">
        <v>2800</v>
      </c>
      <c r="E134" s="13">
        <f t="shared" si="24"/>
        <v>2800</v>
      </c>
      <c r="F134" s="13">
        <f t="shared" si="25"/>
        <v>3094</v>
      </c>
      <c r="G134" s="2"/>
      <c r="H134" s="2"/>
      <c r="I134" s="13">
        <f>15000/7</f>
        <v>2142.8571428571427</v>
      </c>
      <c r="J134" s="13">
        <f t="shared" si="26"/>
        <v>2142.8571428571427</v>
      </c>
      <c r="K134" s="13">
        <f t="shared" si="27"/>
        <v>951.14285714285734</v>
      </c>
      <c r="L134" s="14">
        <f t="shared" si="28"/>
        <v>0.33969387755102048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0.5</v>
      </c>
      <c r="B135" s="10" t="s">
        <v>17</v>
      </c>
      <c r="C135" s="11" t="s">
        <v>93</v>
      </c>
      <c r="D135" s="13">
        <v>3000</v>
      </c>
      <c r="E135" s="13">
        <f t="shared" si="24"/>
        <v>1500</v>
      </c>
      <c r="F135" s="13">
        <f t="shared" si="25"/>
        <v>1657.5</v>
      </c>
      <c r="G135" s="2"/>
      <c r="H135" s="2"/>
      <c r="I135" s="13">
        <f>8000/6</f>
        <v>1333.3333333333333</v>
      </c>
      <c r="J135" s="13">
        <f t="shared" si="26"/>
        <v>666.66666666666663</v>
      </c>
      <c r="K135" s="13">
        <f t="shared" si="27"/>
        <v>990.83333333333337</v>
      </c>
      <c r="L135" s="14">
        <f t="shared" si="28"/>
        <v>0.66055555555555556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0.5</v>
      </c>
      <c r="B136" s="10" t="s">
        <v>17</v>
      </c>
      <c r="C136" s="11" t="s">
        <v>61</v>
      </c>
      <c r="D136" s="13">
        <v>1400</v>
      </c>
      <c r="E136" s="13">
        <f t="shared" si="24"/>
        <v>700</v>
      </c>
      <c r="F136" s="13">
        <f t="shared" si="25"/>
        <v>773.5</v>
      </c>
      <c r="G136" s="2"/>
      <c r="H136" s="2"/>
      <c r="I136" s="13">
        <f>12000/14</f>
        <v>857.14285714285711</v>
      </c>
      <c r="J136" s="13">
        <f t="shared" si="26"/>
        <v>428.57142857142856</v>
      </c>
      <c r="K136" s="13">
        <f t="shared" si="27"/>
        <v>344.92857142857144</v>
      </c>
      <c r="L136" s="14">
        <f t="shared" si="28"/>
        <v>0.49275510204081635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23</v>
      </c>
      <c r="C137" s="11" t="s">
        <v>26</v>
      </c>
      <c r="D137" s="13">
        <v>28000</v>
      </c>
      <c r="E137" s="13">
        <f t="shared" si="24"/>
        <v>28000</v>
      </c>
      <c r="F137" s="13">
        <f t="shared" si="25"/>
        <v>30940</v>
      </c>
      <c r="G137" s="2"/>
      <c r="H137" s="2"/>
      <c r="I137" s="13">
        <v>24000</v>
      </c>
      <c r="J137" s="13">
        <f t="shared" si="26"/>
        <v>24000</v>
      </c>
      <c r="K137" s="13">
        <f t="shared" si="27"/>
        <v>6940</v>
      </c>
      <c r="L137" s="14">
        <f t="shared" si="28"/>
        <v>0.24785714285714286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17</v>
      </c>
      <c r="C138" s="11" t="s">
        <v>88</v>
      </c>
      <c r="D138" s="13">
        <v>2400</v>
      </c>
      <c r="E138" s="13">
        <f t="shared" si="24"/>
        <v>2400</v>
      </c>
      <c r="F138" s="13">
        <f t="shared" si="25"/>
        <v>2652</v>
      </c>
      <c r="G138" s="2"/>
      <c r="H138" s="2"/>
      <c r="I138" s="13">
        <f>21000/15</f>
        <v>1400</v>
      </c>
      <c r="J138" s="13">
        <f t="shared" si="26"/>
        <v>1400</v>
      </c>
      <c r="K138" s="13">
        <f t="shared" si="27"/>
        <v>1252</v>
      </c>
      <c r="L138" s="14">
        <f t="shared" si="28"/>
        <v>0.52166666666666661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3</v>
      </c>
      <c r="B139" s="10" t="s">
        <v>17</v>
      </c>
      <c r="C139" s="11" t="s">
        <v>49</v>
      </c>
      <c r="D139" s="13">
        <v>3000</v>
      </c>
      <c r="E139" s="13">
        <f t="shared" si="24"/>
        <v>9000</v>
      </c>
      <c r="F139" s="13">
        <f t="shared" si="25"/>
        <v>9945</v>
      </c>
      <c r="G139" s="2"/>
      <c r="H139" s="2"/>
      <c r="I139" s="13">
        <f>20000/9</f>
        <v>2222.2222222222222</v>
      </c>
      <c r="J139" s="13">
        <f t="shared" si="26"/>
        <v>6666.6666666666661</v>
      </c>
      <c r="K139" s="13">
        <f t="shared" si="27"/>
        <v>3278.3333333333339</v>
      </c>
      <c r="L139" s="14">
        <f t="shared" si="28"/>
        <v>0.36425925925925934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3</v>
      </c>
      <c r="B140" s="10" t="s">
        <v>17</v>
      </c>
      <c r="C140" s="11" t="s">
        <v>62</v>
      </c>
      <c r="D140" s="13">
        <v>3000</v>
      </c>
      <c r="E140" s="13">
        <f t="shared" si="24"/>
        <v>9000</v>
      </c>
      <c r="F140" s="13">
        <f t="shared" si="25"/>
        <v>9945</v>
      </c>
      <c r="G140" s="2"/>
      <c r="H140" s="2"/>
      <c r="I140" s="13">
        <f>36000/17</f>
        <v>2117.6470588235293</v>
      </c>
      <c r="J140" s="13">
        <f t="shared" si="26"/>
        <v>6352.9411764705874</v>
      </c>
      <c r="K140" s="13">
        <f t="shared" si="27"/>
        <v>3592.0588235294126</v>
      </c>
      <c r="L140" s="14">
        <f t="shared" si="28"/>
        <v>0.39911764705882363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6</v>
      </c>
      <c r="B141" s="10" t="s">
        <v>17</v>
      </c>
      <c r="C141" s="11" t="s">
        <v>123</v>
      </c>
      <c r="D141" s="13">
        <v>3200</v>
      </c>
      <c r="E141" s="13">
        <f t="shared" si="24"/>
        <v>19200</v>
      </c>
      <c r="F141" s="13">
        <f t="shared" si="25"/>
        <v>21216</v>
      </c>
      <c r="G141" s="2"/>
      <c r="H141" s="2"/>
      <c r="I141" s="13">
        <f>32000/15</f>
        <v>2133.3333333333335</v>
      </c>
      <c r="J141" s="13">
        <f t="shared" si="26"/>
        <v>12800</v>
      </c>
      <c r="K141" s="13">
        <f t="shared" si="27"/>
        <v>8416</v>
      </c>
      <c r="L141" s="14">
        <f t="shared" si="28"/>
        <v>0.43833333333333335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0.5</v>
      </c>
      <c r="B142" s="10" t="s">
        <v>23</v>
      </c>
      <c r="C142" s="11" t="s">
        <v>12</v>
      </c>
      <c r="D142" s="13">
        <v>54000</v>
      </c>
      <c r="E142" s="13">
        <f t="shared" si="24"/>
        <v>27000</v>
      </c>
      <c r="F142" s="13">
        <f>E142*1.21</f>
        <v>32670</v>
      </c>
      <c r="G142" s="2"/>
      <c r="H142" s="2"/>
      <c r="I142" s="13">
        <v>50000</v>
      </c>
      <c r="J142" s="13">
        <f t="shared" si="26"/>
        <v>25000</v>
      </c>
      <c r="K142" s="13">
        <f t="shared" si="27"/>
        <v>7670</v>
      </c>
      <c r="L142" s="14">
        <f t="shared" si="28"/>
        <v>0.28407407407407409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"/>
      <c r="B144" s="2"/>
      <c r="C144" s="4"/>
      <c r="D144" s="2"/>
      <c r="E144" s="13">
        <f t="shared" ref="E144:F144" si="29">SUM(E120:E142)</f>
        <v>252850</v>
      </c>
      <c r="F144" s="13">
        <f t="shared" si="29"/>
        <v>282234.25</v>
      </c>
      <c r="G144" s="2"/>
      <c r="H144" s="2"/>
      <c r="I144" s="2"/>
      <c r="J144" s="2"/>
      <c r="K144" s="13">
        <f>SUM(K120:K142)</f>
        <v>97578.927871148451</v>
      </c>
      <c r="L144" s="14">
        <f>K144/F144</f>
        <v>0.34573737195662274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20"/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20"/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20"/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6" t="s">
        <v>96</v>
      </c>
      <c r="B148" s="1"/>
      <c r="C148" s="1"/>
      <c r="D148" s="22" t="s">
        <v>158</v>
      </c>
      <c r="E148" s="8">
        <v>46120</v>
      </c>
      <c r="F148" s="24" t="s">
        <v>37</v>
      </c>
      <c r="G148" s="2"/>
      <c r="H148" s="2"/>
      <c r="I148" s="2"/>
      <c r="J148" s="2"/>
      <c r="K148" s="2"/>
      <c r="L148" s="3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4"/>
      <c r="B149" s="2"/>
      <c r="C149" s="4"/>
      <c r="D149" s="2"/>
      <c r="E149" s="2"/>
      <c r="F149" s="2"/>
      <c r="G149" s="2"/>
      <c r="H149" s="2"/>
      <c r="I149" s="2"/>
      <c r="J149" s="2"/>
      <c r="K149" s="2"/>
      <c r="L149" s="3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6" t="s">
        <v>3</v>
      </c>
      <c r="B150" s="10" t="s">
        <v>4</v>
      </c>
      <c r="C150" s="11" t="s">
        <v>5</v>
      </c>
      <c r="D150" s="10" t="s">
        <v>6</v>
      </c>
      <c r="E150" s="10" t="s">
        <v>7</v>
      </c>
      <c r="F150" s="2"/>
      <c r="G150" s="2"/>
      <c r="H150" s="2"/>
      <c r="I150" s="10" t="s">
        <v>6</v>
      </c>
      <c r="J150" s="10" t="s">
        <v>7</v>
      </c>
      <c r="K150" s="10" t="s">
        <v>10</v>
      </c>
      <c r="L150" s="3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3</v>
      </c>
      <c r="B151" s="10" t="s">
        <v>23</v>
      </c>
      <c r="C151" s="11" t="s">
        <v>130</v>
      </c>
      <c r="D151" s="13">
        <v>12000</v>
      </c>
      <c r="E151" s="13">
        <f t="shared" ref="E151:E164" si="30">A151*D151</f>
        <v>36000</v>
      </c>
      <c r="F151" s="2"/>
      <c r="G151" s="2"/>
      <c r="H151" s="2"/>
      <c r="I151" s="13">
        <v>8000</v>
      </c>
      <c r="J151" s="13">
        <f t="shared" ref="J151:J164" si="31">I151*A151</f>
        <v>24000</v>
      </c>
      <c r="K151" s="13">
        <f t="shared" ref="K151:K164" si="32">E151-J151</f>
        <v>12000</v>
      </c>
      <c r="L151" s="14">
        <f t="shared" ref="L151:L164" si="33">K151/E151</f>
        <v>0.33333333333333331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2</v>
      </c>
      <c r="B152" s="10" t="s">
        <v>23</v>
      </c>
      <c r="C152" s="11" t="s">
        <v>22</v>
      </c>
      <c r="D152" s="13">
        <v>16000</v>
      </c>
      <c r="E152" s="13">
        <f t="shared" si="30"/>
        <v>32000</v>
      </c>
      <c r="F152" s="2"/>
      <c r="G152" s="2"/>
      <c r="H152" s="2"/>
      <c r="I152" s="13">
        <v>13000</v>
      </c>
      <c r="J152" s="13">
        <f t="shared" si="31"/>
        <v>26000</v>
      </c>
      <c r="K152" s="13">
        <f t="shared" si="32"/>
        <v>6000</v>
      </c>
      <c r="L152" s="14">
        <f t="shared" si="33"/>
        <v>0.1875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15</v>
      </c>
      <c r="C153" s="11" t="s">
        <v>167</v>
      </c>
      <c r="D153" s="13">
        <v>16000</v>
      </c>
      <c r="E153" s="13">
        <f t="shared" si="30"/>
        <v>16000</v>
      </c>
      <c r="F153" s="2"/>
      <c r="G153" s="2"/>
      <c r="H153" s="2"/>
      <c r="I153" s="13">
        <v>10000</v>
      </c>
      <c r="J153" s="13">
        <f t="shared" si="31"/>
        <v>10000</v>
      </c>
      <c r="K153" s="13">
        <f t="shared" si="32"/>
        <v>6000</v>
      </c>
      <c r="L153" s="14">
        <f t="shared" si="33"/>
        <v>0.375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1</v>
      </c>
      <c r="B154" s="10" t="s">
        <v>23</v>
      </c>
      <c r="C154" s="11" t="s">
        <v>31</v>
      </c>
      <c r="D154" s="13">
        <v>20000</v>
      </c>
      <c r="E154" s="13">
        <f t="shared" si="30"/>
        <v>20000</v>
      </c>
      <c r="F154" s="2"/>
      <c r="G154" s="2"/>
      <c r="H154" s="2"/>
      <c r="I154" s="13">
        <v>14000</v>
      </c>
      <c r="J154" s="13">
        <f t="shared" si="31"/>
        <v>14000</v>
      </c>
      <c r="K154" s="13">
        <f t="shared" si="32"/>
        <v>6000</v>
      </c>
      <c r="L154" s="14">
        <f t="shared" si="33"/>
        <v>0.3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12</v>
      </c>
      <c r="B155" s="10" t="s">
        <v>21</v>
      </c>
      <c r="C155" s="11" t="s">
        <v>46</v>
      </c>
      <c r="D155" s="13">
        <v>500</v>
      </c>
      <c r="E155" s="13">
        <f t="shared" si="30"/>
        <v>6000</v>
      </c>
      <c r="F155" s="2"/>
      <c r="G155" s="2"/>
      <c r="H155" s="2"/>
      <c r="I155" s="13">
        <f>10000/24</f>
        <v>416.66666666666669</v>
      </c>
      <c r="J155" s="13">
        <f t="shared" si="31"/>
        <v>5000</v>
      </c>
      <c r="K155" s="13">
        <f t="shared" si="32"/>
        <v>1000</v>
      </c>
      <c r="L155" s="14">
        <f t="shared" si="33"/>
        <v>0.16666666666666666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</v>
      </c>
      <c r="B156" s="10" t="s">
        <v>23</v>
      </c>
      <c r="C156" s="11" t="s">
        <v>99</v>
      </c>
      <c r="D156" s="13">
        <v>13000</v>
      </c>
      <c r="E156" s="13">
        <f t="shared" si="30"/>
        <v>13000</v>
      </c>
      <c r="F156" s="2"/>
      <c r="G156" s="2"/>
      <c r="H156" s="2"/>
      <c r="I156" s="13">
        <v>10000</v>
      </c>
      <c r="J156" s="13">
        <f t="shared" si="31"/>
        <v>10000</v>
      </c>
      <c r="K156" s="13">
        <f t="shared" si="32"/>
        <v>3000</v>
      </c>
      <c r="L156" s="14">
        <f t="shared" si="33"/>
        <v>0.23076923076923078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3</v>
      </c>
      <c r="B157" s="10" t="s">
        <v>15</v>
      </c>
      <c r="C157" s="11" t="s">
        <v>84</v>
      </c>
      <c r="D157" s="13">
        <v>18000</v>
      </c>
      <c r="E157" s="13">
        <f t="shared" si="30"/>
        <v>54000</v>
      </c>
      <c r="F157" s="2"/>
      <c r="G157" s="2"/>
      <c r="H157" s="2"/>
      <c r="I157" s="13">
        <v>14000</v>
      </c>
      <c r="J157" s="13">
        <f t="shared" si="31"/>
        <v>42000</v>
      </c>
      <c r="K157" s="13">
        <f t="shared" si="32"/>
        <v>12000</v>
      </c>
      <c r="L157" s="14">
        <f t="shared" si="33"/>
        <v>0.22222222222222221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3</v>
      </c>
      <c r="B158" s="10" t="s">
        <v>15</v>
      </c>
      <c r="C158" s="11" t="s">
        <v>16</v>
      </c>
      <c r="D158" s="13">
        <v>13000</v>
      </c>
      <c r="E158" s="13">
        <f t="shared" si="30"/>
        <v>39000</v>
      </c>
      <c r="F158" s="2"/>
      <c r="G158" s="2"/>
      <c r="H158" s="2"/>
      <c r="I158" s="13">
        <v>8000</v>
      </c>
      <c r="J158" s="13">
        <f t="shared" si="31"/>
        <v>24000</v>
      </c>
      <c r="K158" s="13">
        <f t="shared" si="32"/>
        <v>15000</v>
      </c>
      <c r="L158" s="14">
        <f t="shared" si="33"/>
        <v>0.38461538461538464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1</v>
      </c>
      <c r="B159" s="10" t="s">
        <v>21</v>
      </c>
      <c r="C159" s="11" t="s">
        <v>29</v>
      </c>
      <c r="D159" s="13">
        <v>2500</v>
      </c>
      <c r="E159" s="13">
        <f t="shared" si="30"/>
        <v>2500</v>
      </c>
      <c r="F159" s="2"/>
      <c r="G159" s="2"/>
      <c r="H159" s="2"/>
      <c r="I159" s="13">
        <v>1500</v>
      </c>
      <c r="J159" s="13">
        <f t="shared" si="31"/>
        <v>1500</v>
      </c>
      <c r="K159" s="13">
        <f t="shared" si="32"/>
        <v>1000</v>
      </c>
      <c r="L159" s="14">
        <f t="shared" si="33"/>
        <v>0.4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1</v>
      </c>
      <c r="B160" s="10" t="s">
        <v>23</v>
      </c>
      <c r="C160" s="11" t="s">
        <v>82</v>
      </c>
      <c r="D160" s="13">
        <v>19000</v>
      </c>
      <c r="E160" s="13">
        <f t="shared" si="30"/>
        <v>19000</v>
      </c>
      <c r="F160" s="2"/>
      <c r="G160" s="2"/>
      <c r="H160" s="2"/>
      <c r="I160" s="13">
        <v>15000</v>
      </c>
      <c r="J160" s="13">
        <f t="shared" si="31"/>
        <v>15000</v>
      </c>
      <c r="K160" s="13">
        <f t="shared" si="32"/>
        <v>4000</v>
      </c>
      <c r="L160" s="14">
        <f t="shared" si="33"/>
        <v>0.21052631578947367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3</v>
      </c>
      <c r="B161" s="10" t="s">
        <v>21</v>
      </c>
      <c r="C161" s="11" t="s">
        <v>51</v>
      </c>
      <c r="D161" s="13">
        <v>1500</v>
      </c>
      <c r="E161" s="13">
        <f t="shared" si="30"/>
        <v>4500</v>
      </c>
      <c r="F161" s="2"/>
      <c r="G161" s="2"/>
      <c r="H161" s="2"/>
      <c r="I161" s="13">
        <v>1000</v>
      </c>
      <c r="J161" s="13">
        <f t="shared" si="31"/>
        <v>3000</v>
      </c>
      <c r="K161" s="13">
        <f t="shared" si="32"/>
        <v>1500</v>
      </c>
      <c r="L161" s="14">
        <f t="shared" si="33"/>
        <v>0.33333333333333331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3</v>
      </c>
      <c r="B162" s="10" t="s">
        <v>21</v>
      </c>
      <c r="C162" s="11" t="s">
        <v>34</v>
      </c>
      <c r="D162" s="13">
        <v>4000</v>
      </c>
      <c r="E162" s="13">
        <f t="shared" si="30"/>
        <v>12000</v>
      </c>
      <c r="F162" s="2"/>
      <c r="G162" s="2"/>
      <c r="H162" s="2"/>
      <c r="I162" s="13">
        <v>2500</v>
      </c>
      <c r="J162" s="13">
        <f t="shared" si="31"/>
        <v>7500</v>
      </c>
      <c r="K162" s="13">
        <f t="shared" si="32"/>
        <v>4500</v>
      </c>
      <c r="L162" s="14">
        <f t="shared" si="33"/>
        <v>0.375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0.5</v>
      </c>
      <c r="B163" s="10" t="s">
        <v>23</v>
      </c>
      <c r="C163" s="11" t="s">
        <v>39</v>
      </c>
      <c r="D163" s="13">
        <v>26000</v>
      </c>
      <c r="E163" s="13">
        <f t="shared" si="30"/>
        <v>13000</v>
      </c>
      <c r="F163" s="2"/>
      <c r="G163" s="2"/>
      <c r="H163" s="2"/>
      <c r="I163" s="13">
        <v>22000</v>
      </c>
      <c r="J163" s="13">
        <f t="shared" si="31"/>
        <v>11000</v>
      </c>
      <c r="K163" s="13">
        <f t="shared" si="32"/>
        <v>2000</v>
      </c>
      <c r="L163" s="14">
        <f t="shared" si="33"/>
        <v>0.15384615384615385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6</v>
      </c>
      <c r="B164" s="10" t="s">
        <v>100</v>
      </c>
      <c r="C164" s="11" t="s">
        <v>186</v>
      </c>
      <c r="D164" s="13">
        <v>5000</v>
      </c>
      <c r="E164" s="13">
        <f t="shared" si="30"/>
        <v>30000</v>
      </c>
      <c r="F164" s="2"/>
      <c r="G164" s="2"/>
      <c r="H164" s="2"/>
      <c r="I164" s="13">
        <v>4000</v>
      </c>
      <c r="J164" s="13">
        <f t="shared" si="31"/>
        <v>24000</v>
      </c>
      <c r="K164" s="13">
        <f t="shared" si="32"/>
        <v>6000</v>
      </c>
      <c r="L164" s="14">
        <f t="shared" si="33"/>
        <v>0.2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"/>
      <c r="B165" s="2"/>
      <c r="C165" s="4"/>
      <c r="D165" s="2"/>
      <c r="E165" s="2"/>
      <c r="F165" s="2"/>
      <c r="G165" s="4"/>
      <c r="H165" s="2"/>
      <c r="I165" s="2"/>
      <c r="J165" s="2"/>
      <c r="K165" s="2"/>
      <c r="L165" s="3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"/>
      <c r="B166" s="2"/>
      <c r="C166" s="4"/>
      <c r="D166" s="2"/>
      <c r="E166" s="13">
        <f>SUM(E151:E164)</f>
        <v>297000</v>
      </c>
      <c r="F166" s="2"/>
      <c r="G166" s="2"/>
      <c r="H166" s="2"/>
      <c r="I166" s="2"/>
      <c r="J166" s="2"/>
      <c r="K166" s="13">
        <f>SUM(K151:K164)</f>
        <v>80000</v>
      </c>
      <c r="L166" s="14">
        <f>K166/E166</f>
        <v>0.26936026936026936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20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20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20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6" t="s">
        <v>91</v>
      </c>
      <c r="B170" s="1"/>
      <c r="C170" s="1"/>
      <c r="D170" s="22" t="s">
        <v>92</v>
      </c>
      <c r="E170" s="8">
        <v>46120</v>
      </c>
      <c r="F170" s="24" t="s">
        <v>37</v>
      </c>
      <c r="G170" s="2"/>
      <c r="H170" s="2"/>
      <c r="I170" s="2"/>
      <c r="J170" s="2"/>
      <c r="K170" s="2"/>
      <c r="L170" s="3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4"/>
      <c r="B171" s="2"/>
      <c r="C171" s="4"/>
      <c r="D171" s="2"/>
      <c r="E171" s="2"/>
      <c r="F171" s="2"/>
      <c r="G171" s="2"/>
      <c r="H171" s="2"/>
      <c r="I171" s="2"/>
      <c r="J171" s="2"/>
      <c r="K171" s="2"/>
      <c r="L171" s="3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6" t="s">
        <v>3</v>
      </c>
      <c r="B172" s="10" t="s">
        <v>4</v>
      </c>
      <c r="C172" s="11" t="s">
        <v>5</v>
      </c>
      <c r="D172" s="10" t="s">
        <v>6</v>
      </c>
      <c r="E172" s="10" t="s">
        <v>7</v>
      </c>
      <c r="F172" s="2"/>
      <c r="G172" s="2"/>
      <c r="H172" s="2"/>
      <c r="I172" s="10" t="s">
        <v>6</v>
      </c>
      <c r="J172" s="10" t="s">
        <v>7</v>
      </c>
      <c r="K172" s="10" t="s">
        <v>10</v>
      </c>
      <c r="L172" s="3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5</v>
      </c>
      <c r="B173" s="10" t="s">
        <v>4</v>
      </c>
      <c r="C173" s="11" t="s">
        <v>65</v>
      </c>
      <c r="D173" s="13">
        <v>1600</v>
      </c>
      <c r="E173" s="13">
        <f t="shared" ref="E173:E177" si="34">A173*D173</f>
        <v>8000</v>
      </c>
      <c r="F173" s="2"/>
      <c r="G173" s="2"/>
      <c r="H173" s="2"/>
      <c r="I173" s="13">
        <f>85000/70</f>
        <v>1214.2857142857142</v>
      </c>
      <c r="J173" s="13">
        <f t="shared" ref="J173:J177" si="35">I173*A173</f>
        <v>6071.4285714285706</v>
      </c>
      <c r="K173" s="13">
        <f t="shared" ref="K173:K177" si="36">E173-J173</f>
        <v>1928.5714285714294</v>
      </c>
      <c r="L173" s="14">
        <f t="shared" ref="L173:L177" si="37">K173/E173</f>
        <v>0.24107142857142866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3</v>
      </c>
      <c r="B174" s="10" t="s">
        <v>21</v>
      </c>
      <c r="C174" s="11" t="s">
        <v>51</v>
      </c>
      <c r="D174" s="13">
        <v>1500</v>
      </c>
      <c r="E174" s="13">
        <f t="shared" si="34"/>
        <v>4500</v>
      </c>
      <c r="F174" s="2"/>
      <c r="G174" s="2"/>
      <c r="H174" s="2"/>
      <c r="I174" s="13">
        <v>1000</v>
      </c>
      <c r="J174" s="13">
        <f t="shared" si="35"/>
        <v>3000</v>
      </c>
      <c r="K174" s="13">
        <f t="shared" si="36"/>
        <v>1500</v>
      </c>
      <c r="L174" s="14">
        <f t="shared" si="37"/>
        <v>0.33333333333333331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1</v>
      </c>
      <c r="B175" s="10" t="s">
        <v>21</v>
      </c>
      <c r="C175" s="11" t="s">
        <v>64</v>
      </c>
      <c r="D175" s="13">
        <v>2400</v>
      </c>
      <c r="E175" s="13">
        <f t="shared" si="34"/>
        <v>2400</v>
      </c>
      <c r="F175" s="2"/>
      <c r="G175" s="2"/>
      <c r="H175" s="2"/>
      <c r="I175" s="13">
        <f>9000/8</f>
        <v>1125</v>
      </c>
      <c r="J175" s="13">
        <f t="shared" si="35"/>
        <v>1125</v>
      </c>
      <c r="K175" s="13">
        <f t="shared" si="36"/>
        <v>1275</v>
      </c>
      <c r="L175" s="14">
        <f t="shared" si="37"/>
        <v>0.53125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0.5</v>
      </c>
      <c r="B176" s="10" t="s">
        <v>23</v>
      </c>
      <c r="C176" s="11" t="s">
        <v>46</v>
      </c>
      <c r="D176" s="13">
        <v>15000</v>
      </c>
      <c r="E176" s="13">
        <f t="shared" si="34"/>
        <v>7500</v>
      </c>
      <c r="F176" s="2"/>
      <c r="G176" s="2"/>
      <c r="H176" s="2"/>
      <c r="I176" s="13">
        <v>10000</v>
      </c>
      <c r="J176" s="13">
        <f t="shared" si="35"/>
        <v>5000</v>
      </c>
      <c r="K176" s="13">
        <f t="shared" si="36"/>
        <v>2500</v>
      </c>
      <c r="L176" s="14">
        <f t="shared" si="37"/>
        <v>0.33333333333333331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3</v>
      </c>
      <c r="B177" s="10" t="s">
        <v>17</v>
      </c>
      <c r="C177" s="11" t="s">
        <v>81</v>
      </c>
      <c r="D177" s="13">
        <v>2200</v>
      </c>
      <c r="E177" s="13">
        <f t="shared" si="34"/>
        <v>6600</v>
      </c>
      <c r="F177" s="2"/>
      <c r="G177" s="2"/>
      <c r="H177" s="2"/>
      <c r="I177" s="13">
        <f>22000/15</f>
        <v>1466.6666666666667</v>
      </c>
      <c r="J177" s="13">
        <f t="shared" si="35"/>
        <v>4400</v>
      </c>
      <c r="K177" s="13">
        <f t="shared" si="36"/>
        <v>2200</v>
      </c>
      <c r="L177" s="14">
        <f t="shared" si="37"/>
        <v>0.33333333333333331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2"/>
      <c r="C178" s="4"/>
      <c r="D178" s="2"/>
      <c r="E178" s="2"/>
      <c r="F178" s="2"/>
      <c r="G178" s="4"/>
      <c r="H178" s="2"/>
      <c r="I178" s="2"/>
      <c r="J178" s="2"/>
      <c r="K178" s="2"/>
      <c r="L178" s="3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2"/>
      <c r="C179" s="4"/>
      <c r="D179" s="2"/>
      <c r="E179" s="13">
        <f>SUM(E173:E177)</f>
        <v>29000</v>
      </c>
      <c r="F179" s="2"/>
      <c r="G179" s="2"/>
      <c r="H179" s="2"/>
      <c r="I179" s="2"/>
      <c r="J179" s="2"/>
      <c r="K179" s="13">
        <f>SUM(K173:K177)</f>
        <v>9403.5714285714294</v>
      </c>
      <c r="L179" s="14">
        <f>K179/E179</f>
        <v>0.32426108374384238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20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20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6" t="s">
        <v>75</v>
      </c>
      <c r="B182" s="6"/>
      <c r="C182" s="6"/>
      <c r="D182" s="22" t="s">
        <v>45</v>
      </c>
      <c r="E182" s="8">
        <v>46113</v>
      </c>
      <c r="F182" s="23"/>
      <c r="G182" s="2"/>
      <c r="H182" s="2"/>
      <c r="I182" s="13"/>
      <c r="J182" s="13"/>
      <c r="K182" s="13"/>
      <c r="L182" s="14"/>
      <c r="M182" s="4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ht="15.75" customHeight="1" x14ac:dyDescent="0.2">
      <c r="B183" s="2"/>
      <c r="C183" s="4"/>
      <c r="D183" s="2"/>
      <c r="E183" s="2"/>
      <c r="F183" s="2"/>
      <c r="G183" s="2"/>
      <c r="H183" s="2"/>
      <c r="I183" s="13"/>
      <c r="J183" s="13"/>
      <c r="K183" s="13"/>
      <c r="L183" s="14"/>
      <c r="M183" s="4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ht="15.75" customHeight="1" x14ac:dyDescent="0.2">
      <c r="A184" s="6" t="s">
        <v>3</v>
      </c>
      <c r="B184" s="10" t="s">
        <v>4</v>
      </c>
      <c r="C184" s="11" t="s">
        <v>5</v>
      </c>
      <c r="D184" s="10" t="s">
        <v>6</v>
      </c>
      <c r="E184" s="10" t="s">
        <v>7</v>
      </c>
      <c r="F184" s="10"/>
      <c r="G184" s="2"/>
      <c r="H184" s="2"/>
      <c r="I184" s="10" t="s">
        <v>6</v>
      </c>
      <c r="J184" s="10" t="s">
        <v>7</v>
      </c>
      <c r="K184" s="10" t="s">
        <v>10</v>
      </c>
      <c r="L184" s="14"/>
      <c r="M184" s="4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ht="15.75" customHeight="1" x14ac:dyDescent="0.2">
      <c r="A185" s="12">
        <v>1</v>
      </c>
      <c r="B185" s="10" t="s">
        <v>4</v>
      </c>
      <c r="C185" s="11" t="s">
        <v>64</v>
      </c>
      <c r="D185" s="13">
        <v>2500</v>
      </c>
      <c r="E185" s="13">
        <f t="shared" ref="E185:E206" si="38">A185*D185</f>
        <v>2500</v>
      </c>
      <c r="F185" s="13"/>
      <c r="G185" s="2"/>
      <c r="H185" s="7"/>
      <c r="I185" s="13">
        <f>9000/8</f>
        <v>1125</v>
      </c>
      <c r="J185" s="13">
        <f t="shared" ref="J185:J206" si="39">I185*A185</f>
        <v>1125</v>
      </c>
      <c r="K185" s="13">
        <f t="shared" ref="K185:K206" si="40">E185-J185</f>
        <v>1375</v>
      </c>
      <c r="L185" s="14">
        <f t="shared" ref="L185:L206" si="41">K185/E185</f>
        <v>0.55000000000000004</v>
      </c>
      <c r="M185" s="4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ht="15.75" customHeight="1" x14ac:dyDescent="0.2">
      <c r="A186" s="12">
        <v>3</v>
      </c>
      <c r="B186" s="10" t="s">
        <v>4</v>
      </c>
      <c r="C186" s="11" t="s">
        <v>13</v>
      </c>
      <c r="D186" s="13">
        <v>900</v>
      </c>
      <c r="E186" s="13">
        <f t="shared" si="38"/>
        <v>2700</v>
      </c>
      <c r="F186" s="13"/>
      <c r="G186" s="2"/>
      <c r="H186" s="7"/>
      <c r="I186" s="13">
        <v>460</v>
      </c>
      <c r="J186" s="13">
        <f t="shared" si="39"/>
        <v>1380</v>
      </c>
      <c r="K186" s="13">
        <f t="shared" si="40"/>
        <v>1320</v>
      </c>
      <c r="L186" s="14">
        <f t="shared" si="41"/>
        <v>0.48888888888888887</v>
      </c>
      <c r="M186" s="4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ht="15.75" customHeight="1" x14ac:dyDescent="0.2">
      <c r="A187" s="12">
        <v>3</v>
      </c>
      <c r="B187" s="10" t="s">
        <v>17</v>
      </c>
      <c r="C187" s="11" t="s">
        <v>129</v>
      </c>
      <c r="D187" s="13">
        <v>2400</v>
      </c>
      <c r="E187" s="13">
        <f t="shared" si="38"/>
        <v>7200</v>
      </c>
      <c r="F187" s="13"/>
      <c r="G187" s="2"/>
      <c r="H187" s="7"/>
      <c r="I187" s="13">
        <f>12000/11</f>
        <v>1090.909090909091</v>
      </c>
      <c r="J187" s="13">
        <f t="shared" si="39"/>
        <v>3272.727272727273</v>
      </c>
      <c r="K187" s="13">
        <f t="shared" si="40"/>
        <v>3927.272727272727</v>
      </c>
      <c r="L187" s="14">
        <f t="shared" si="41"/>
        <v>0.54545454545454541</v>
      </c>
      <c r="M187" s="4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ht="15.75" customHeight="1" x14ac:dyDescent="0.2">
      <c r="A188" s="12">
        <v>0.9</v>
      </c>
      <c r="B188" s="10" t="s">
        <v>17</v>
      </c>
      <c r="C188" s="11" t="s">
        <v>77</v>
      </c>
      <c r="D188" s="13">
        <v>2400</v>
      </c>
      <c r="E188" s="13">
        <f t="shared" si="38"/>
        <v>2160</v>
      </c>
      <c r="F188" s="13"/>
      <c r="G188" s="2"/>
      <c r="H188" s="7"/>
      <c r="I188" s="13">
        <f>18000/11</f>
        <v>1636.3636363636363</v>
      </c>
      <c r="J188" s="13">
        <f t="shared" si="39"/>
        <v>1472.7272727272727</v>
      </c>
      <c r="K188" s="13">
        <f t="shared" si="40"/>
        <v>687.27272727272725</v>
      </c>
      <c r="L188" s="14">
        <f t="shared" si="41"/>
        <v>0.31818181818181818</v>
      </c>
      <c r="M188" s="4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ht="15.75" customHeight="1" x14ac:dyDescent="0.2">
      <c r="A189" s="12">
        <v>1</v>
      </c>
      <c r="B189" s="10" t="s">
        <v>17</v>
      </c>
      <c r="C189" s="11" t="s">
        <v>78</v>
      </c>
      <c r="D189" s="13">
        <v>4000</v>
      </c>
      <c r="E189" s="13">
        <f t="shared" si="38"/>
        <v>4000</v>
      </c>
      <c r="F189" s="13"/>
      <c r="G189" s="2"/>
      <c r="H189" s="7"/>
      <c r="I189" s="13">
        <f>18000/8</f>
        <v>2250</v>
      </c>
      <c r="J189" s="13">
        <f t="shared" si="39"/>
        <v>2250</v>
      </c>
      <c r="K189" s="13">
        <f t="shared" si="40"/>
        <v>1750</v>
      </c>
      <c r="L189" s="14">
        <f t="shared" si="41"/>
        <v>0.4375</v>
      </c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ht="15.75" customHeight="1" x14ac:dyDescent="0.2">
      <c r="A190" s="12">
        <v>2</v>
      </c>
      <c r="B190" s="10" t="s">
        <v>17</v>
      </c>
      <c r="C190" s="11" t="s">
        <v>31</v>
      </c>
      <c r="D190" s="13">
        <v>3000</v>
      </c>
      <c r="E190" s="13">
        <f t="shared" si="38"/>
        <v>6000</v>
      </c>
      <c r="F190" s="13"/>
      <c r="G190" s="2"/>
      <c r="H190" s="7"/>
      <c r="I190" s="13">
        <f>14000/7</f>
        <v>2000</v>
      </c>
      <c r="J190" s="13">
        <f t="shared" si="39"/>
        <v>4000</v>
      </c>
      <c r="K190" s="13">
        <f t="shared" si="40"/>
        <v>2000</v>
      </c>
      <c r="L190" s="14">
        <f t="shared" si="41"/>
        <v>0.33333333333333331</v>
      </c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A191" s="12">
        <v>2</v>
      </c>
      <c r="B191" s="10" t="s">
        <v>17</v>
      </c>
      <c r="C191" s="11" t="s">
        <v>79</v>
      </c>
      <c r="D191" s="13">
        <v>5000</v>
      </c>
      <c r="E191" s="13">
        <f t="shared" si="38"/>
        <v>10000</v>
      </c>
      <c r="F191" s="13"/>
      <c r="G191" s="2"/>
      <c r="H191" s="7"/>
      <c r="I191" s="13">
        <f>17000/4</f>
        <v>4250</v>
      </c>
      <c r="J191" s="13">
        <f t="shared" si="39"/>
        <v>8500</v>
      </c>
      <c r="K191" s="13">
        <f t="shared" si="40"/>
        <v>1500</v>
      </c>
      <c r="L191" s="14">
        <f t="shared" si="41"/>
        <v>0.15</v>
      </c>
      <c r="M191" s="4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ht="15.75" customHeight="1" x14ac:dyDescent="0.2">
      <c r="A192" s="12">
        <v>4</v>
      </c>
      <c r="B192" s="10" t="s">
        <v>21</v>
      </c>
      <c r="C192" s="11" t="s">
        <v>35</v>
      </c>
      <c r="D192" s="13">
        <v>2500</v>
      </c>
      <c r="E192" s="13">
        <f t="shared" si="38"/>
        <v>10000</v>
      </c>
      <c r="F192" s="13"/>
      <c r="G192" s="2"/>
      <c r="H192" s="7"/>
      <c r="I192" s="13">
        <f>14000/9</f>
        <v>1555.5555555555557</v>
      </c>
      <c r="J192" s="13">
        <f t="shared" si="39"/>
        <v>6222.2222222222226</v>
      </c>
      <c r="K192" s="13">
        <f t="shared" si="40"/>
        <v>3777.7777777777774</v>
      </c>
      <c r="L192" s="14">
        <f t="shared" si="41"/>
        <v>0.37777777777777771</v>
      </c>
      <c r="M192" s="4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ht="15.75" customHeight="1" x14ac:dyDescent="0.2">
      <c r="A193" s="12">
        <v>3</v>
      </c>
      <c r="B193" s="10" t="s">
        <v>21</v>
      </c>
      <c r="C193" s="11" t="s">
        <v>46</v>
      </c>
      <c r="D193" s="13">
        <v>600</v>
      </c>
      <c r="E193" s="13">
        <f t="shared" si="38"/>
        <v>1800</v>
      </c>
      <c r="F193" s="13"/>
      <c r="G193" s="2"/>
      <c r="H193" s="7"/>
      <c r="I193" s="13">
        <f>10000/24</f>
        <v>416.66666666666669</v>
      </c>
      <c r="J193" s="13">
        <f t="shared" si="39"/>
        <v>1250</v>
      </c>
      <c r="K193" s="13">
        <f t="shared" si="40"/>
        <v>550</v>
      </c>
      <c r="L193" s="14">
        <f t="shared" si="41"/>
        <v>0.30555555555555558</v>
      </c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12">
        <v>7</v>
      </c>
      <c r="B194" s="10" t="s">
        <v>17</v>
      </c>
      <c r="C194" s="11" t="s">
        <v>81</v>
      </c>
      <c r="D194" s="13">
        <v>2000</v>
      </c>
      <c r="E194" s="13">
        <f t="shared" si="38"/>
        <v>14000</v>
      </c>
      <c r="F194" s="13"/>
      <c r="G194" s="2"/>
      <c r="H194" s="7"/>
      <c r="I194" s="13">
        <f>8000/15</f>
        <v>533.33333333333337</v>
      </c>
      <c r="J194" s="13">
        <f t="shared" si="39"/>
        <v>3733.3333333333335</v>
      </c>
      <c r="K194" s="13">
        <f t="shared" si="40"/>
        <v>10266.666666666666</v>
      </c>
      <c r="L194" s="14">
        <f t="shared" si="41"/>
        <v>0.73333333333333328</v>
      </c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A195" s="12">
        <v>3</v>
      </c>
      <c r="B195" s="10" t="s">
        <v>17</v>
      </c>
      <c r="C195" s="11" t="s">
        <v>82</v>
      </c>
      <c r="D195" s="13">
        <v>1800</v>
      </c>
      <c r="E195" s="13">
        <f t="shared" si="38"/>
        <v>5400</v>
      </c>
      <c r="F195" s="13"/>
      <c r="G195" s="2"/>
      <c r="H195" s="7"/>
      <c r="I195" s="13">
        <f>15000/14</f>
        <v>1071.4285714285713</v>
      </c>
      <c r="J195" s="13">
        <f t="shared" si="39"/>
        <v>3214.2857142857138</v>
      </c>
      <c r="K195" s="13">
        <f t="shared" si="40"/>
        <v>2185.7142857142862</v>
      </c>
      <c r="L195" s="14">
        <f t="shared" si="41"/>
        <v>0.40476190476190488</v>
      </c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12">
        <v>1</v>
      </c>
      <c r="B196" s="10" t="s">
        <v>17</v>
      </c>
      <c r="C196" s="11" t="s">
        <v>61</v>
      </c>
      <c r="D196" s="13">
        <v>1800</v>
      </c>
      <c r="E196" s="13">
        <f t="shared" si="38"/>
        <v>1800</v>
      </c>
      <c r="F196" s="13"/>
      <c r="G196" s="2"/>
      <c r="H196" s="7"/>
      <c r="I196" s="13">
        <f>12000/14</f>
        <v>857.14285714285711</v>
      </c>
      <c r="J196" s="13">
        <f t="shared" si="39"/>
        <v>857.14285714285711</v>
      </c>
      <c r="K196" s="13">
        <f t="shared" si="40"/>
        <v>942.85714285714289</v>
      </c>
      <c r="L196" s="14">
        <f t="shared" si="41"/>
        <v>0.52380952380952384</v>
      </c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2">
        <v>1</v>
      </c>
      <c r="B197" s="10" t="s">
        <v>15</v>
      </c>
      <c r="C197" s="11" t="s">
        <v>83</v>
      </c>
      <c r="D197" s="13">
        <v>14000</v>
      </c>
      <c r="E197" s="13">
        <f t="shared" si="38"/>
        <v>14000</v>
      </c>
      <c r="F197" s="13"/>
      <c r="G197" s="2"/>
      <c r="H197" s="7"/>
      <c r="I197" s="13">
        <v>10000</v>
      </c>
      <c r="J197" s="13">
        <f t="shared" si="39"/>
        <v>10000</v>
      </c>
      <c r="K197" s="13">
        <f t="shared" si="40"/>
        <v>4000</v>
      </c>
      <c r="L197" s="14">
        <f t="shared" si="41"/>
        <v>0.2857142857142857</v>
      </c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>
        <v>0.5</v>
      </c>
      <c r="B198" s="10" t="s">
        <v>15</v>
      </c>
      <c r="C198" s="11" t="s">
        <v>56</v>
      </c>
      <c r="D198" s="13">
        <v>15000</v>
      </c>
      <c r="E198" s="13">
        <f t="shared" si="38"/>
        <v>7500</v>
      </c>
      <c r="F198" s="13"/>
      <c r="G198" s="2"/>
      <c r="H198" s="7"/>
      <c r="I198" s="13">
        <v>12000</v>
      </c>
      <c r="J198" s="13">
        <f t="shared" si="39"/>
        <v>6000</v>
      </c>
      <c r="K198" s="13">
        <f t="shared" si="40"/>
        <v>1500</v>
      </c>
      <c r="L198" s="14">
        <f t="shared" si="41"/>
        <v>0.2</v>
      </c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>
        <v>1</v>
      </c>
      <c r="B199" s="10" t="s">
        <v>15</v>
      </c>
      <c r="C199" s="11" t="s">
        <v>84</v>
      </c>
      <c r="D199" s="13">
        <v>18000</v>
      </c>
      <c r="E199" s="13">
        <f t="shared" si="38"/>
        <v>18000</v>
      </c>
      <c r="F199" s="13"/>
      <c r="G199" s="2"/>
      <c r="H199" s="7"/>
      <c r="I199" s="13">
        <v>14000</v>
      </c>
      <c r="J199" s="13">
        <f t="shared" si="39"/>
        <v>14000</v>
      </c>
      <c r="K199" s="13">
        <f t="shared" si="40"/>
        <v>4000</v>
      </c>
      <c r="L199" s="14">
        <f t="shared" si="41"/>
        <v>0.22222222222222221</v>
      </c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>
        <v>1</v>
      </c>
      <c r="B200" s="10" t="s">
        <v>17</v>
      </c>
      <c r="C200" s="11" t="s">
        <v>40</v>
      </c>
      <c r="D200" s="13">
        <v>1400</v>
      </c>
      <c r="E200" s="13">
        <f t="shared" si="38"/>
        <v>1400</v>
      </c>
      <c r="F200" s="13"/>
      <c r="G200" s="2"/>
      <c r="H200" s="7"/>
      <c r="I200" s="13">
        <v>1000</v>
      </c>
      <c r="J200" s="13">
        <f t="shared" si="39"/>
        <v>1000</v>
      </c>
      <c r="K200" s="13">
        <f t="shared" si="40"/>
        <v>400</v>
      </c>
      <c r="L200" s="14">
        <f t="shared" si="41"/>
        <v>0.2857142857142857</v>
      </c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>
        <v>11</v>
      </c>
      <c r="B201" s="10" t="s">
        <v>17</v>
      </c>
      <c r="C201" s="11" t="s">
        <v>87</v>
      </c>
      <c r="D201" s="13">
        <v>3200</v>
      </c>
      <c r="E201" s="13">
        <f t="shared" si="38"/>
        <v>35200</v>
      </c>
      <c r="F201" s="13"/>
      <c r="G201" s="2"/>
      <c r="H201" s="7"/>
      <c r="I201" s="13">
        <v>2000</v>
      </c>
      <c r="J201" s="13">
        <f t="shared" si="39"/>
        <v>22000</v>
      </c>
      <c r="K201" s="13">
        <f t="shared" si="40"/>
        <v>13200</v>
      </c>
      <c r="L201" s="14">
        <f t="shared" si="41"/>
        <v>0.375</v>
      </c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>
        <v>0.5</v>
      </c>
      <c r="B202" s="10" t="s">
        <v>23</v>
      </c>
      <c r="C202" s="11" t="s">
        <v>162</v>
      </c>
      <c r="D202" s="13">
        <v>42000</v>
      </c>
      <c r="E202" s="13">
        <f t="shared" si="38"/>
        <v>21000</v>
      </c>
      <c r="F202" s="13"/>
      <c r="G202" s="2"/>
      <c r="H202" s="7"/>
      <c r="I202" s="13">
        <v>34000</v>
      </c>
      <c r="J202" s="13">
        <f t="shared" si="39"/>
        <v>17000</v>
      </c>
      <c r="K202" s="13">
        <f t="shared" si="40"/>
        <v>4000</v>
      </c>
      <c r="L202" s="14">
        <f t="shared" si="41"/>
        <v>0.19047619047619047</v>
      </c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>
        <v>3</v>
      </c>
      <c r="B203" s="10" t="s">
        <v>17</v>
      </c>
      <c r="C203" s="11" t="s">
        <v>88</v>
      </c>
      <c r="D203" s="13">
        <v>2600</v>
      </c>
      <c r="E203" s="13">
        <f t="shared" si="38"/>
        <v>7800</v>
      </c>
      <c r="F203" s="13"/>
      <c r="G203" s="2"/>
      <c r="H203" s="7"/>
      <c r="I203" s="13">
        <f>20000/15</f>
        <v>1333.3333333333333</v>
      </c>
      <c r="J203" s="13">
        <f t="shared" si="39"/>
        <v>4000</v>
      </c>
      <c r="K203" s="13">
        <f t="shared" si="40"/>
        <v>3800</v>
      </c>
      <c r="L203" s="14">
        <f t="shared" si="41"/>
        <v>0.48717948717948717</v>
      </c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>
        <v>0.5</v>
      </c>
      <c r="B204" s="10" t="s">
        <v>86</v>
      </c>
      <c r="C204" s="11" t="s">
        <v>24</v>
      </c>
      <c r="D204" s="13">
        <v>58000</v>
      </c>
      <c r="E204" s="13">
        <f t="shared" si="38"/>
        <v>29000</v>
      </c>
      <c r="F204" s="13"/>
      <c r="G204" s="2"/>
      <c r="H204" s="7"/>
      <c r="I204" s="13">
        <v>50000</v>
      </c>
      <c r="J204" s="13">
        <f t="shared" si="39"/>
        <v>25000</v>
      </c>
      <c r="K204" s="13">
        <f t="shared" si="40"/>
        <v>4000</v>
      </c>
      <c r="L204" s="14">
        <f t="shared" si="41"/>
        <v>0.13793103448275862</v>
      </c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>
        <v>4</v>
      </c>
      <c r="B205" s="10" t="s">
        <v>17</v>
      </c>
      <c r="C205" s="11" t="s">
        <v>26</v>
      </c>
      <c r="D205" s="13">
        <v>2200</v>
      </c>
      <c r="E205" s="13">
        <f t="shared" si="38"/>
        <v>8800</v>
      </c>
      <c r="F205" s="13"/>
      <c r="G205" s="2"/>
      <c r="H205" s="7"/>
      <c r="I205" s="13">
        <f>24000/15</f>
        <v>1600</v>
      </c>
      <c r="J205" s="13">
        <f t="shared" si="39"/>
        <v>6400</v>
      </c>
      <c r="K205" s="13">
        <f t="shared" si="40"/>
        <v>2400</v>
      </c>
      <c r="L205" s="14">
        <f t="shared" si="41"/>
        <v>0.27272727272727271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>
        <v>1</v>
      </c>
      <c r="B206" s="10" t="s">
        <v>187</v>
      </c>
      <c r="C206" s="11" t="s">
        <v>49</v>
      </c>
      <c r="D206" s="13">
        <v>28000</v>
      </c>
      <c r="E206" s="13">
        <f t="shared" si="38"/>
        <v>28000</v>
      </c>
      <c r="F206" s="13"/>
      <c r="G206" s="2"/>
      <c r="H206" s="7"/>
      <c r="I206" s="13">
        <v>20000</v>
      </c>
      <c r="J206" s="13">
        <f t="shared" si="39"/>
        <v>20000</v>
      </c>
      <c r="K206" s="13">
        <f t="shared" si="40"/>
        <v>8000</v>
      </c>
      <c r="L206" s="14">
        <f t="shared" si="41"/>
        <v>0.2857142857142857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/>
      <c r="F207" s="13"/>
      <c r="H207" s="2"/>
      <c r="I207" s="13"/>
      <c r="J207" s="13"/>
      <c r="K207" s="13"/>
      <c r="L207" s="1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/>
      <c r="B208" s="10"/>
      <c r="C208" s="11"/>
      <c r="D208" s="13"/>
      <c r="E208" s="13">
        <f>SUM(E185:E207)</f>
        <v>238260</v>
      </c>
      <c r="F208" s="13"/>
      <c r="G208" s="2"/>
      <c r="H208" s="2"/>
      <c r="I208" s="13"/>
      <c r="J208" s="13"/>
      <c r="K208" s="13">
        <f>SUM(K185:K206)</f>
        <v>75582.561327561329</v>
      </c>
      <c r="L208" s="14">
        <f>K208/E208</f>
        <v>0.31722723632821848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/>
      <c r="B209" s="10"/>
      <c r="C209" s="11"/>
      <c r="D209" s="13"/>
      <c r="E209" s="13"/>
      <c r="F209" s="13"/>
      <c r="G209" s="2"/>
      <c r="H209" s="2"/>
      <c r="I209" s="13"/>
      <c r="J209" s="13"/>
      <c r="K209" s="13"/>
      <c r="L209" s="14"/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/>
      <c r="B210" s="10"/>
      <c r="C210" s="11"/>
      <c r="D210" s="13"/>
      <c r="E210" s="13"/>
      <c r="F210" s="13"/>
      <c r="G210" s="2"/>
      <c r="H210" s="2"/>
      <c r="I210" s="13"/>
      <c r="J210" s="13"/>
      <c r="K210" s="13"/>
      <c r="L210" s="14"/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/>
      <c r="B211" s="10"/>
      <c r="C211" s="11"/>
      <c r="D211" s="13"/>
      <c r="E211" s="13"/>
      <c r="F211" s="13"/>
      <c r="G211" s="2"/>
      <c r="H211" s="2"/>
      <c r="I211" s="13"/>
      <c r="J211" s="13"/>
      <c r="K211" s="13"/>
      <c r="L211" s="14"/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25.5" customHeight="1" x14ac:dyDescent="0.25">
      <c r="A212" s="26" t="s">
        <v>101</v>
      </c>
      <c r="B212" s="27">
        <f>E208+E179+E166+F144+F113+F98+F61+F36</f>
        <v>2074719</v>
      </c>
      <c r="C212" s="4"/>
      <c r="D212" s="4"/>
      <c r="E212" s="4"/>
      <c r="F212" s="4"/>
      <c r="G212" s="4"/>
      <c r="H212" s="4"/>
      <c r="I212" s="4"/>
      <c r="J212" s="4"/>
      <c r="K212" s="4"/>
      <c r="L212" s="28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28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27" customHeight="1" x14ac:dyDescent="0.25">
      <c r="A214" s="26" t="s">
        <v>102</v>
      </c>
      <c r="B214" s="27">
        <f>K208+K179+K166+K144+K113+K98+K61+K36</f>
        <v>649246.70138358371</v>
      </c>
      <c r="C214" s="4"/>
      <c r="D214" s="4"/>
      <c r="E214" s="4"/>
      <c r="F214" s="4"/>
      <c r="G214" s="4"/>
      <c r="H214" s="4"/>
      <c r="I214" s="4"/>
      <c r="J214" s="4"/>
      <c r="K214" s="4"/>
      <c r="L214" s="28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28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28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26.25" customHeight="1" x14ac:dyDescent="0.25">
      <c r="A217" s="26" t="s">
        <v>103</v>
      </c>
      <c r="B217" s="29">
        <f>B214/B212</f>
        <v>0.31293235439767203</v>
      </c>
      <c r="C217" s="4"/>
      <c r="D217" s="4"/>
      <c r="E217" s="4"/>
      <c r="F217" s="4"/>
      <c r="G217" s="4"/>
      <c r="H217" s="4"/>
      <c r="I217" s="4"/>
      <c r="J217" s="4"/>
      <c r="K217" s="4"/>
      <c r="L217" s="28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28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77" t="s">
        <v>104</v>
      </c>
      <c r="B219" s="76"/>
      <c r="C219" s="4"/>
      <c r="D219" s="4"/>
      <c r="E219" s="4"/>
      <c r="F219" s="4"/>
      <c r="G219" s="4"/>
      <c r="H219" s="4"/>
      <c r="I219" s="4"/>
      <c r="J219" s="4"/>
      <c r="K219" s="4"/>
      <c r="L219" s="28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/>
      <c r="B220" s="10"/>
      <c r="C220" s="11"/>
      <c r="D220" s="13"/>
      <c r="E220" s="13"/>
      <c r="F220" s="13"/>
      <c r="G220" s="2"/>
      <c r="H220" s="2"/>
      <c r="I220" s="13"/>
      <c r="J220" s="13"/>
      <c r="K220" s="13"/>
      <c r="L220" s="14"/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G221" s="2"/>
      <c r="H221" s="2"/>
      <c r="I221" s="13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/>
      <c r="F222" s="13"/>
      <c r="G222" s="2"/>
      <c r="H222" s="2"/>
      <c r="I222" s="13"/>
      <c r="J222" s="13"/>
      <c r="K222" s="13"/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2"/>
      <c r="B223" s="10"/>
      <c r="C223" s="11"/>
      <c r="D223" s="13"/>
      <c r="E223" s="13"/>
      <c r="F223" s="13"/>
      <c r="G223" s="2"/>
      <c r="H223" s="2"/>
      <c r="I223" s="13"/>
      <c r="J223" s="13"/>
      <c r="K223" s="13"/>
      <c r="L223" s="14"/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2"/>
      <c r="B224" s="10"/>
      <c r="C224" s="11"/>
      <c r="D224" s="13"/>
      <c r="E224" s="13"/>
      <c r="F224" s="13"/>
      <c r="G224" s="2"/>
      <c r="H224" s="2"/>
      <c r="I224" s="13"/>
      <c r="J224" s="13"/>
      <c r="K224" s="13"/>
      <c r="L224" s="14"/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2"/>
      <c r="B225" s="10"/>
      <c r="C225" s="11"/>
      <c r="D225" s="13"/>
      <c r="E225" s="13"/>
      <c r="F225" s="13"/>
      <c r="G225" s="2"/>
      <c r="H225" s="2"/>
      <c r="I225" s="13"/>
      <c r="J225" s="13"/>
      <c r="K225" s="13"/>
      <c r="L225" s="14"/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2"/>
      <c r="B226" s="10"/>
      <c r="C226" s="11"/>
      <c r="D226" s="13"/>
      <c r="E226" s="13"/>
      <c r="F226" s="13"/>
      <c r="G226" s="2"/>
      <c r="H226" s="2"/>
      <c r="I226" s="13"/>
      <c r="J226" s="13"/>
      <c r="K226" s="13"/>
      <c r="L226" s="14"/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12"/>
      <c r="B227" s="10"/>
      <c r="C227" s="11"/>
      <c r="D227" s="13"/>
      <c r="E227" s="13"/>
      <c r="F227" s="13"/>
      <c r="G227" s="2"/>
      <c r="H227" s="2"/>
      <c r="I227" s="13"/>
      <c r="J227" s="13"/>
      <c r="K227" s="13"/>
      <c r="L227" s="14"/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A228" s="12"/>
      <c r="B228" s="10"/>
      <c r="C228" s="11"/>
      <c r="D228" s="13"/>
      <c r="E228" s="13"/>
      <c r="F228" s="13"/>
      <c r="G228" s="2"/>
      <c r="H228" s="2"/>
      <c r="I228" s="13"/>
      <c r="J228" s="13"/>
      <c r="K228" s="13"/>
      <c r="L228" s="14"/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A229" s="12"/>
      <c r="B229" s="10"/>
      <c r="C229" s="11"/>
      <c r="D229" s="13"/>
      <c r="E229" s="13"/>
      <c r="F229" s="13"/>
      <c r="G229" s="2"/>
      <c r="H229" s="2"/>
      <c r="I229" s="13"/>
      <c r="J229" s="13"/>
      <c r="K229" s="13"/>
      <c r="L229" s="14"/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A230" s="12"/>
      <c r="B230" s="10"/>
      <c r="C230" s="11"/>
      <c r="D230" s="13"/>
      <c r="E230" s="13"/>
      <c r="F230" s="13"/>
      <c r="G230" s="2"/>
      <c r="H230" s="2"/>
      <c r="I230" s="13"/>
      <c r="J230" s="13"/>
      <c r="K230" s="13"/>
      <c r="L230" s="14"/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A231" s="12"/>
      <c r="B231" s="10"/>
      <c r="C231" s="11"/>
      <c r="D231" s="13"/>
      <c r="E231" s="13"/>
      <c r="F231" s="13"/>
      <c r="G231" s="2"/>
      <c r="H231" s="2"/>
      <c r="I231" s="13"/>
      <c r="J231" s="13"/>
      <c r="K231" s="13"/>
      <c r="L231" s="14"/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A232" s="12"/>
      <c r="B232" s="10"/>
      <c r="C232" s="11"/>
      <c r="D232" s="13"/>
      <c r="E232" s="13"/>
      <c r="F232" s="13"/>
      <c r="G232" s="2"/>
      <c r="H232" s="2"/>
      <c r="I232" s="13"/>
      <c r="J232" s="13"/>
      <c r="K232" s="13"/>
      <c r="L232" s="14"/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2"/>
      <c r="B233" s="10"/>
      <c r="C233" s="11"/>
      <c r="D233" s="13"/>
      <c r="E233" s="13"/>
      <c r="F233" s="13"/>
      <c r="G233" s="2"/>
      <c r="H233" s="2"/>
      <c r="I233" s="13"/>
      <c r="J233" s="13"/>
      <c r="K233" s="13"/>
      <c r="L233" s="14"/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2"/>
      <c r="B234" s="10"/>
      <c r="C234" s="11"/>
      <c r="D234" s="13"/>
      <c r="E234" s="13"/>
      <c r="F234" s="13"/>
      <c r="G234" s="2"/>
      <c r="H234" s="2"/>
      <c r="I234" s="13"/>
      <c r="J234" s="13"/>
      <c r="K234" s="13"/>
      <c r="L234" s="14"/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2"/>
      <c r="B235" s="10"/>
      <c r="C235" s="11"/>
      <c r="D235" s="13"/>
      <c r="E235" s="13"/>
      <c r="F235" s="13"/>
      <c r="G235" s="2"/>
      <c r="H235" s="2"/>
      <c r="I235" s="13"/>
      <c r="J235" s="13"/>
      <c r="K235" s="13"/>
      <c r="L235" s="14"/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2"/>
      <c r="B236" s="10"/>
      <c r="C236" s="11"/>
      <c r="D236" s="13"/>
      <c r="E236" s="13"/>
      <c r="F236" s="13"/>
      <c r="G236" s="2"/>
      <c r="H236" s="2"/>
      <c r="I236" s="13"/>
      <c r="J236" s="13"/>
      <c r="K236" s="13"/>
      <c r="L236" s="14"/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2"/>
      <c r="B237" s="10"/>
      <c r="C237" s="11"/>
      <c r="D237" s="13"/>
      <c r="E237" s="13"/>
      <c r="F237" s="13"/>
      <c r="G237" s="2"/>
      <c r="H237" s="2"/>
      <c r="I237" s="13"/>
      <c r="J237" s="13"/>
      <c r="K237" s="13"/>
      <c r="L237" s="14"/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2"/>
      <c r="B238" s="10"/>
      <c r="C238" s="11"/>
      <c r="D238" s="13"/>
      <c r="E238" s="13"/>
      <c r="F238" s="13"/>
      <c r="G238" s="2"/>
      <c r="H238" s="2"/>
      <c r="I238" s="13"/>
      <c r="J238" s="13"/>
      <c r="K238" s="13"/>
      <c r="L238" s="14"/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2"/>
      <c r="B239" s="10"/>
      <c r="C239" s="11"/>
      <c r="D239" s="13"/>
      <c r="E239" s="13"/>
      <c r="F239" s="13"/>
      <c r="G239" s="2"/>
      <c r="H239" s="2"/>
      <c r="I239" s="13"/>
      <c r="J239" s="13"/>
      <c r="K239" s="13"/>
      <c r="L239" s="14"/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2"/>
      <c r="B240" s="10"/>
      <c r="C240" s="11"/>
      <c r="D240" s="13"/>
      <c r="E240" s="13"/>
      <c r="F240" s="13"/>
      <c r="G240" s="2"/>
      <c r="H240" s="2"/>
      <c r="I240" s="13"/>
      <c r="J240" s="13"/>
      <c r="K240" s="13"/>
      <c r="L240" s="14"/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2"/>
      <c r="B241" s="10"/>
      <c r="C241" s="11"/>
      <c r="D241" s="13"/>
      <c r="E241" s="13"/>
      <c r="F241" s="13"/>
      <c r="G241" s="2"/>
      <c r="H241" s="2"/>
      <c r="I241" s="13"/>
      <c r="J241" s="13"/>
      <c r="K241" s="13"/>
      <c r="L241" s="14"/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12"/>
      <c r="B242" s="10"/>
      <c r="C242" s="11"/>
      <c r="D242" s="13"/>
      <c r="E242" s="13"/>
      <c r="F242" s="13"/>
      <c r="G242" s="2"/>
      <c r="H242" s="2"/>
      <c r="I242" s="13"/>
      <c r="J242" s="13"/>
      <c r="K242" s="13"/>
      <c r="L242" s="14"/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2"/>
      <c r="B243" s="10"/>
      <c r="C243" s="11"/>
      <c r="D243" s="13"/>
      <c r="E243" s="13"/>
      <c r="F243" s="13"/>
      <c r="G243" s="2"/>
      <c r="H243" s="2"/>
      <c r="I243" s="13"/>
      <c r="J243" s="13"/>
      <c r="K243" s="13"/>
      <c r="L243" s="14"/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2"/>
      <c r="B244" s="10"/>
      <c r="C244" s="11"/>
      <c r="D244" s="13"/>
      <c r="E244" s="13"/>
      <c r="F244" s="13"/>
      <c r="G244" s="2"/>
      <c r="H244" s="2"/>
      <c r="I244" s="13"/>
      <c r="J244" s="13"/>
      <c r="K244" s="13"/>
      <c r="L244" s="14"/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2"/>
      <c r="B245" s="10"/>
      <c r="C245" s="11"/>
      <c r="D245" s="13"/>
      <c r="E245" s="13"/>
      <c r="F245" s="13"/>
      <c r="G245" s="2"/>
      <c r="H245" s="2"/>
      <c r="I245" s="13"/>
      <c r="J245" s="13"/>
      <c r="K245" s="13"/>
      <c r="L245" s="14"/>
      <c r="M245" s="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2"/>
      <c r="B246" s="10"/>
      <c r="C246" s="11"/>
      <c r="D246" s="13"/>
      <c r="E246" s="13"/>
      <c r="F246" s="13"/>
      <c r="G246" s="2"/>
      <c r="H246" s="2"/>
      <c r="I246" s="13"/>
      <c r="J246" s="13"/>
      <c r="K246" s="13"/>
      <c r="L246" s="14"/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2"/>
      <c r="B247" s="10"/>
      <c r="C247" s="11"/>
      <c r="D247" s="13"/>
      <c r="E247" s="13"/>
      <c r="F247" s="13"/>
      <c r="G247" s="2"/>
      <c r="H247" s="2"/>
      <c r="I247" s="13"/>
      <c r="J247" s="13"/>
      <c r="K247" s="13"/>
      <c r="L247" s="14"/>
      <c r="M247" s="4"/>
      <c r="N247" s="2"/>
      <c r="O247" s="4"/>
      <c r="P247" s="2"/>
      <c r="Q247" s="2"/>
      <c r="R247" s="4"/>
      <c r="S247" s="2"/>
      <c r="T247" s="2"/>
      <c r="U247" s="1"/>
      <c r="V247" s="2"/>
      <c r="W247" s="2"/>
      <c r="X247" s="2"/>
      <c r="Y247" s="2"/>
      <c r="Z247" s="2"/>
    </row>
    <row r="248" spans="1:26" ht="15.75" customHeight="1" x14ac:dyDescent="0.2">
      <c r="A248" s="12"/>
      <c r="B248" s="10"/>
      <c r="C248" s="11"/>
      <c r="D248" s="13"/>
      <c r="E248" s="13"/>
      <c r="F248" s="13"/>
      <c r="G248" s="2"/>
      <c r="H248" s="2"/>
      <c r="I248" s="13"/>
      <c r="J248" s="13"/>
      <c r="K248" s="13"/>
      <c r="L248" s="14"/>
      <c r="M248" s="4"/>
      <c r="N248" s="2"/>
      <c r="O248" s="4"/>
      <c r="P248" s="2"/>
      <c r="Q248" s="2"/>
      <c r="R248" s="4"/>
      <c r="S248" s="2"/>
      <c r="T248" s="2"/>
      <c r="U248" s="1"/>
      <c r="V248" s="2"/>
      <c r="W248" s="2"/>
      <c r="X248" s="2"/>
      <c r="Y248" s="2"/>
      <c r="Z248" s="2"/>
    </row>
    <row r="249" spans="1:26" ht="15.75" customHeight="1" x14ac:dyDescent="0.2">
      <c r="A249" s="12"/>
      <c r="B249" s="10"/>
      <c r="C249" s="11"/>
      <c r="D249" s="13"/>
      <c r="E249" s="13"/>
      <c r="F249" s="13"/>
      <c r="G249" s="2"/>
      <c r="H249" s="2"/>
      <c r="I249" s="13"/>
      <c r="J249" s="13"/>
      <c r="K249" s="13"/>
      <c r="L249" s="14"/>
      <c r="M249" s="4"/>
      <c r="N249" s="2"/>
      <c r="O249" s="4"/>
      <c r="P249" s="2"/>
      <c r="Q249" s="2"/>
      <c r="R249" s="4"/>
      <c r="S249" s="2"/>
      <c r="T249" s="2"/>
      <c r="U249" s="1"/>
      <c r="V249" s="2"/>
      <c r="W249" s="2"/>
      <c r="X249" s="2"/>
      <c r="Y249" s="2"/>
      <c r="Z249" s="2"/>
    </row>
    <row r="250" spans="1:26" ht="15.75" customHeight="1" x14ac:dyDescent="0.2">
      <c r="A250" s="12"/>
      <c r="B250" s="10"/>
      <c r="C250" s="11"/>
      <c r="D250" s="13"/>
      <c r="E250" s="13"/>
      <c r="F250" s="13"/>
      <c r="G250" s="2"/>
      <c r="H250" s="2"/>
      <c r="I250" s="13"/>
      <c r="J250" s="13"/>
      <c r="K250" s="13"/>
      <c r="L250" s="14"/>
      <c r="M250" s="4"/>
      <c r="N250" s="2"/>
      <c r="O250" s="4"/>
      <c r="P250" s="2"/>
      <c r="Q250" s="2"/>
      <c r="R250" s="4"/>
      <c r="S250" s="2"/>
      <c r="T250" s="2"/>
      <c r="U250" s="1"/>
      <c r="V250" s="2"/>
      <c r="W250" s="2"/>
      <c r="X250" s="2"/>
      <c r="Y250" s="2"/>
      <c r="Z250" s="2"/>
    </row>
    <row r="251" spans="1:26" ht="15.75" customHeight="1" x14ac:dyDescent="0.2">
      <c r="A251" s="12"/>
      <c r="B251" s="10"/>
      <c r="C251" s="11"/>
      <c r="D251" s="13"/>
      <c r="E251" s="13"/>
      <c r="F251" s="13"/>
      <c r="G251" s="2"/>
      <c r="H251" s="2"/>
      <c r="I251" s="13"/>
      <c r="J251" s="13"/>
      <c r="K251" s="13"/>
      <c r="L251" s="14"/>
      <c r="M251" s="4"/>
      <c r="N251" s="2"/>
      <c r="O251" s="4"/>
      <c r="P251" s="2"/>
      <c r="Q251" s="2"/>
      <c r="R251" s="4"/>
      <c r="S251" s="2"/>
      <c r="T251" s="2"/>
      <c r="U251" s="1"/>
      <c r="V251" s="2"/>
      <c r="W251" s="2"/>
      <c r="X251" s="2"/>
      <c r="Y251" s="2"/>
      <c r="Z251" s="2"/>
    </row>
    <row r="252" spans="1:26" ht="15.75" customHeight="1" x14ac:dyDescent="0.2">
      <c r="A252" s="12"/>
      <c r="B252" s="10"/>
      <c r="C252" s="11"/>
      <c r="D252" s="13"/>
      <c r="E252" s="13"/>
      <c r="F252" s="13"/>
      <c r="G252" s="2"/>
      <c r="H252" s="2"/>
      <c r="I252" s="13"/>
      <c r="J252" s="13"/>
      <c r="K252" s="13"/>
      <c r="L252" s="14"/>
      <c r="M252" s="4"/>
      <c r="N252" s="2"/>
      <c r="O252" s="4"/>
      <c r="P252" s="2"/>
      <c r="Q252" s="2"/>
      <c r="R252" s="4"/>
      <c r="S252" s="2"/>
      <c r="T252" s="2"/>
      <c r="U252" s="1"/>
      <c r="V252" s="2"/>
      <c r="W252" s="2"/>
      <c r="X252" s="2"/>
      <c r="Y252" s="2"/>
      <c r="Z252" s="2"/>
    </row>
    <row r="253" spans="1:26" ht="15.75" customHeight="1" x14ac:dyDescent="0.2">
      <c r="A253" s="12"/>
      <c r="B253" s="10"/>
      <c r="C253" s="11"/>
      <c r="D253" s="13"/>
      <c r="E253" s="13"/>
      <c r="F253" s="13"/>
      <c r="G253" s="2"/>
      <c r="H253" s="2"/>
      <c r="I253" s="13"/>
      <c r="J253" s="13"/>
      <c r="K253" s="13"/>
      <c r="L253" s="14"/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2"/>
      <c r="B254" s="10"/>
      <c r="C254" s="11"/>
      <c r="D254" s="13"/>
      <c r="E254" s="13"/>
      <c r="F254" s="13"/>
      <c r="G254" s="2"/>
      <c r="H254" s="2"/>
      <c r="I254" s="13"/>
      <c r="J254" s="13"/>
      <c r="K254" s="13"/>
      <c r="L254" s="14"/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12"/>
      <c r="B255" s="10"/>
      <c r="C255" s="11"/>
      <c r="D255" s="13"/>
      <c r="E255" s="13"/>
      <c r="F255" s="13"/>
      <c r="G255" s="2"/>
      <c r="H255" s="2"/>
      <c r="I255" s="13"/>
      <c r="J255" s="13"/>
      <c r="K255" s="13"/>
      <c r="L255" s="14"/>
      <c r="M255" s="4"/>
      <c r="N255" s="2"/>
      <c r="O255" s="4"/>
      <c r="P255" s="2"/>
      <c r="Q255" s="2"/>
      <c r="R255" s="4"/>
      <c r="S255" s="2"/>
      <c r="T255" s="2"/>
      <c r="U255" s="1"/>
      <c r="V255" s="2"/>
      <c r="W255" s="2"/>
      <c r="X255" s="2"/>
      <c r="Y255" s="2"/>
      <c r="Z255" s="2"/>
    </row>
    <row r="256" spans="1:26" ht="15.75" customHeight="1" x14ac:dyDescent="0.2">
      <c r="A256" s="12"/>
      <c r="B256" s="10"/>
      <c r="C256" s="11"/>
      <c r="D256" s="13"/>
      <c r="E256" s="13"/>
      <c r="F256" s="13"/>
      <c r="G256" s="2"/>
      <c r="H256" s="2"/>
      <c r="I256" s="13"/>
      <c r="J256" s="13"/>
      <c r="K256" s="13"/>
      <c r="L256" s="14"/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2"/>
      <c r="B257" s="10"/>
      <c r="C257" s="11"/>
      <c r="D257" s="13"/>
      <c r="E257" s="13"/>
      <c r="F257" s="1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2"/>
      <c r="B258" s="10"/>
      <c r="C258" s="11"/>
      <c r="D258" s="13"/>
      <c r="E258" s="13"/>
      <c r="F258" s="13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12"/>
      <c r="B259" s="10"/>
      <c r="C259" s="11"/>
      <c r="D259" s="13"/>
      <c r="E259" s="13"/>
      <c r="F259" s="13"/>
      <c r="G259" s="2"/>
      <c r="H259" s="2"/>
      <c r="I259" s="13"/>
      <c r="J259" s="13"/>
      <c r="K259" s="13"/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/>
      <c r="B260" s="10"/>
      <c r="C260" s="11"/>
      <c r="D260" s="13"/>
      <c r="E260" s="13"/>
      <c r="F260" s="13"/>
      <c r="G260" s="2"/>
      <c r="H260" s="2"/>
      <c r="I260" s="13"/>
      <c r="J260" s="13"/>
      <c r="K260" s="13"/>
      <c r="L260" s="14"/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G261" s="2"/>
      <c r="H261" s="2"/>
      <c r="I261" s="13"/>
      <c r="J261" s="13"/>
      <c r="K261" s="13"/>
      <c r="L261" s="14"/>
      <c r="M261" s="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/>
      <c r="F262" s="13"/>
      <c r="G262" s="2"/>
      <c r="H262" s="2"/>
      <c r="I262" s="13"/>
      <c r="J262" s="13"/>
      <c r="K262" s="13"/>
      <c r="L262" s="14"/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2"/>
      <c r="B263" s="10"/>
      <c r="C263" s="11"/>
      <c r="D263" s="13"/>
      <c r="E263" s="13"/>
      <c r="F263" s="13"/>
      <c r="G263" s="2"/>
      <c r="H263" s="2"/>
      <c r="I263" s="13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A264" s="12"/>
      <c r="B264" s="10"/>
      <c r="C264" s="11"/>
      <c r="D264" s="13"/>
      <c r="E264" s="13"/>
      <c r="F264" s="13"/>
      <c r="G264" s="2"/>
      <c r="H264" s="2"/>
      <c r="I264" s="13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12"/>
      <c r="B265" s="10"/>
      <c r="C265" s="11"/>
      <c r="D265" s="13"/>
      <c r="E265" s="13"/>
      <c r="F265" s="13"/>
      <c r="G265" s="2"/>
      <c r="H265" s="2"/>
      <c r="I265" s="13"/>
      <c r="J265" s="13"/>
      <c r="K265" s="13"/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/>
      <c r="B266" s="10"/>
      <c r="C266" s="11"/>
      <c r="D266" s="13"/>
      <c r="E266" s="13"/>
      <c r="F266" s="13"/>
      <c r="G266" s="2"/>
      <c r="H266" s="2"/>
      <c r="I266" s="13"/>
      <c r="J266" s="13"/>
      <c r="K266" s="13"/>
      <c r="L266" s="14"/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/>
      <c r="B267" s="10"/>
      <c r="C267" s="11"/>
      <c r="D267" s="13"/>
      <c r="E267" s="13"/>
      <c r="F267" s="13"/>
      <c r="G267" s="2"/>
      <c r="H267" s="2"/>
      <c r="I267" s="13"/>
      <c r="J267" s="13"/>
      <c r="K267" s="13"/>
      <c r="L267" s="14"/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/>
      <c r="B268" s="10"/>
      <c r="C268" s="11"/>
      <c r="D268" s="13"/>
      <c r="E268" s="13"/>
      <c r="F268" s="13"/>
      <c r="G268" s="2"/>
      <c r="H268" s="2"/>
      <c r="I268" s="13"/>
      <c r="J268" s="13"/>
      <c r="K268" s="13"/>
      <c r="L268" s="14"/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/>
      <c r="B269" s="10"/>
      <c r="C269" s="11"/>
      <c r="D269" s="13"/>
      <c r="E269" s="13"/>
      <c r="F269" s="13"/>
      <c r="G269" s="2"/>
      <c r="H269" s="2"/>
      <c r="I269" s="13"/>
      <c r="J269" s="13"/>
      <c r="K269" s="13"/>
      <c r="L269" s="14"/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/>
      <c r="B270" s="10"/>
      <c r="C270" s="11"/>
      <c r="D270" s="13"/>
      <c r="E270" s="13"/>
      <c r="F270" s="13"/>
      <c r="G270" s="2"/>
      <c r="H270" s="2"/>
      <c r="I270" s="13"/>
      <c r="J270" s="13"/>
      <c r="K270" s="13"/>
      <c r="L270" s="14"/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/>
      <c r="B271" s="10"/>
      <c r="C271" s="11"/>
      <c r="D271" s="13"/>
      <c r="E271" s="13"/>
      <c r="F271" s="13"/>
      <c r="G271" s="2"/>
      <c r="H271" s="2"/>
      <c r="I271" s="13"/>
      <c r="J271" s="13"/>
      <c r="K271" s="13"/>
      <c r="L271" s="14"/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/>
      <c r="B272" s="10"/>
      <c r="C272" s="11"/>
      <c r="D272" s="13"/>
      <c r="E272" s="13"/>
      <c r="F272" s="13"/>
      <c r="G272" s="2"/>
      <c r="H272" s="2"/>
      <c r="I272" s="13"/>
      <c r="J272" s="13"/>
      <c r="K272" s="13"/>
      <c r="L272" s="14"/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/>
      <c r="B273" s="10"/>
      <c r="C273" s="11"/>
      <c r="D273" s="13"/>
      <c r="E273" s="13"/>
      <c r="F273" s="13"/>
      <c r="G273" s="2"/>
      <c r="H273" s="2"/>
      <c r="I273" s="13"/>
      <c r="J273" s="13"/>
      <c r="K273" s="13"/>
      <c r="L273" s="14"/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/>
      <c r="B274" s="10"/>
      <c r="C274" s="11"/>
      <c r="D274" s="13"/>
      <c r="E274" s="13"/>
      <c r="F274" s="13"/>
      <c r="G274" s="2"/>
      <c r="H274" s="2"/>
      <c r="I274" s="13"/>
      <c r="J274" s="13"/>
      <c r="K274" s="13"/>
      <c r="L274" s="14"/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/>
      <c r="B275" s="10"/>
      <c r="C275" s="11"/>
      <c r="D275" s="13"/>
      <c r="E275" s="13"/>
      <c r="F275" s="13"/>
      <c r="G275" s="2"/>
      <c r="H275" s="2"/>
      <c r="I275" s="13"/>
      <c r="J275" s="13"/>
      <c r="K275" s="13"/>
      <c r="L275" s="14"/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/>
      <c r="B276" s="10"/>
      <c r="C276" s="11"/>
      <c r="D276" s="13"/>
      <c r="E276" s="13"/>
      <c r="F276" s="13"/>
      <c r="G276" s="2"/>
      <c r="H276" s="2"/>
      <c r="I276" s="13"/>
      <c r="J276" s="13"/>
      <c r="K276" s="13"/>
      <c r="L276" s="14"/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/>
      <c r="B277" s="10"/>
      <c r="C277" s="11"/>
      <c r="D277" s="13"/>
      <c r="E277" s="13"/>
      <c r="F277" s="13"/>
      <c r="G277" s="2"/>
      <c r="H277" s="2"/>
      <c r="I277" s="13"/>
      <c r="J277" s="13"/>
      <c r="K277" s="13"/>
      <c r="L277" s="14"/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/>
      <c r="B280" s="10"/>
      <c r="C280" s="11"/>
      <c r="D280" s="13"/>
      <c r="E280" s="13"/>
      <c r="F280" s="13"/>
      <c r="G280" s="2"/>
      <c r="H280" s="2"/>
      <c r="I280" s="13"/>
      <c r="J280" s="13"/>
      <c r="K280" s="13"/>
      <c r="L280" s="14"/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/>
      <c r="B281" s="10"/>
      <c r="C281" s="11"/>
      <c r="D281" s="13"/>
      <c r="E281" s="13"/>
      <c r="F281" s="13"/>
      <c r="G281" s="2"/>
      <c r="H281" s="2"/>
      <c r="I281" s="13"/>
      <c r="J281" s="13"/>
      <c r="K281" s="13"/>
      <c r="L281" s="14"/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/>
      <c r="B282" s="10"/>
      <c r="C282" s="11"/>
      <c r="D282" s="13"/>
      <c r="E282" s="13"/>
      <c r="F282" s="13"/>
      <c r="G282" s="2"/>
      <c r="H282" s="2"/>
      <c r="I282" s="13"/>
      <c r="J282" s="13"/>
      <c r="K282" s="13"/>
      <c r="L282" s="14"/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/>
      <c r="B283" s="10"/>
      <c r="C283" s="11"/>
      <c r="D283" s="13"/>
      <c r="E283" s="13"/>
      <c r="F283" s="13"/>
      <c r="G283" s="2"/>
      <c r="H283" s="2"/>
      <c r="I283" s="13"/>
      <c r="J283" s="13"/>
      <c r="K283" s="13"/>
      <c r="L283" s="14"/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/>
      <c r="B284" s="10"/>
      <c r="C284" s="11"/>
      <c r="D284" s="13"/>
      <c r="E284" s="13"/>
      <c r="F284" s="13"/>
      <c r="G284" s="2"/>
      <c r="H284" s="2"/>
      <c r="I284" s="13"/>
      <c r="J284" s="13"/>
      <c r="K284" s="13"/>
      <c r="L284" s="14"/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/>
      <c r="B285" s="10"/>
      <c r="C285" s="11"/>
      <c r="D285" s="13"/>
      <c r="E285" s="13"/>
      <c r="F285" s="13"/>
      <c r="G285" s="2"/>
      <c r="H285" s="2"/>
      <c r="I285" s="13"/>
      <c r="J285" s="13"/>
      <c r="K285" s="13"/>
      <c r="L285" s="14"/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/>
      <c r="B286" s="10"/>
      <c r="C286" s="11"/>
      <c r="D286" s="13"/>
      <c r="E286" s="13"/>
      <c r="F286" s="13"/>
      <c r="G286" s="2"/>
      <c r="H286" s="2"/>
      <c r="I286" s="13"/>
      <c r="J286" s="13"/>
      <c r="K286" s="13"/>
      <c r="L286" s="14"/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/>
      <c r="B287" s="10"/>
      <c r="C287" s="11"/>
      <c r="D287" s="13"/>
      <c r="E287" s="13"/>
      <c r="F287" s="13"/>
      <c r="G287" s="2"/>
      <c r="H287" s="2"/>
      <c r="I287" s="13"/>
      <c r="J287" s="13"/>
      <c r="K287" s="13"/>
      <c r="L287" s="14"/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ht="15.75" customHeight="1" x14ac:dyDescent="0.2">
      <c r="A288" s="12"/>
      <c r="B288" s="10"/>
      <c r="C288" s="11"/>
      <c r="D288" s="13"/>
      <c r="E288" s="13"/>
      <c r="F288" s="13"/>
      <c r="G288" s="2"/>
      <c r="H288" s="2"/>
      <c r="I288" s="13"/>
      <c r="J288" s="13"/>
      <c r="K288" s="13"/>
      <c r="L288" s="14"/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ht="15.75" customHeight="1" x14ac:dyDescent="0.2">
      <c r="A289" s="12"/>
      <c r="B289" s="10"/>
      <c r="C289" s="11"/>
      <c r="D289" s="13"/>
      <c r="E289" s="13"/>
      <c r="F289" s="13"/>
      <c r="G289" s="2"/>
      <c r="H289" s="2"/>
      <c r="I289" s="13"/>
      <c r="J289" s="13"/>
      <c r="K289" s="13"/>
      <c r="L289" s="14"/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2"/>
      <c r="B290" s="10"/>
      <c r="C290" s="11"/>
      <c r="D290" s="13"/>
      <c r="E290" s="13"/>
      <c r="F290" s="13"/>
      <c r="G290" s="2"/>
      <c r="H290" s="2"/>
      <c r="I290" s="13"/>
      <c r="J290" s="13"/>
      <c r="K290" s="13"/>
      <c r="L290" s="14"/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G291" s="2"/>
      <c r="H291" s="2"/>
      <c r="I291" s="13"/>
      <c r="J291" s="13"/>
      <c r="K291" s="13"/>
      <c r="L291" s="14"/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/>
      <c r="F292" s="13"/>
      <c r="G292" s="2"/>
      <c r="H292" s="2"/>
      <c r="I292" s="13"/>
      <c r="J292" s="13"/>
      <c r="K292" s="13"/>
      <c r="L292" s="14"/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2"/>
      <c r="B293" s="10"/>
      <c r="C293" s="11"/>
      <c r="D293" s="13"/>
      <c r="E293" s="13"/>
      <c r="F293" s="13"/>
      <c r="G293" s="2"/>
      <c r="H293" s="2"/>
      <c r="I293" s="13"/>
      <c r="J293" s="13"/>
      <c r="K293" s="13"/>
      <c r="L293" s="14"/>
      <c r="M293" s="4"/>
      <c r="N293" s="2"/>
      <c r="O293" s="4"/>
      <c r="P293" s="2"/>
      <c r="Q293" s="2"/>
      <c r="R293" s="4"/>
      <c r="S293" s="2"/>
      <c r="T293" s="2"/>
      <c r="U293" s="1"/>
      <c r="V293" s="2"/>
      <c r="W293" s="2"/>
      <c r="X293" s="2"/>
      <c r="Y293" s="2"/>
      <c r="Z293" s="2"/>
    </row>
    <row r="294" spans="1:26" ht="15.75" customHeight="1" x14ac:dyDescent="0.2">
      <c r="A294" s="12"/>
      <c r="B294" s="10"/>
      <c r="C294" s="11"/>
      <c r="D294" s="13"/>
      <c r="E294" s="13"/>
      <c r="F294" s="13"/>
      <c r="G294" s="2"/>
      <c r="H294" s="2"/>
      <c r="I294" s="13"/>
      <c r="J294" s="13"/>
      <c r="K294" s="13"/>
      <c r="L294" s="14"/>
      <c r="M294" s="4"/>
      <c r="N294" s="2"/>
      <c r="O294" s="4"/>
      <c r="P294" s="2"/>
      <c r="Q294" s="2"/>
      <c r="R294" s="4"/>
      <c r="S294" s="2"/>
      <c r="T294" s="2"/>
      <c r="U294" s="1"/>
      <c r="V294" s="2"/>
      <c r="W294" s="2"/>
      <c r="X294" s="2"/>
      <c r="Y294" s="2"/>
      <c r="Z294" s="2"/>
    </row>
    <row r="295" spans="1:26" ht="15.75" customHeight="1" x14ac:dyDescent="0.2">
      <c r="A295" s="12"/>
      <c r="B295" s="10"/>
      <c r="C295" s="11"/>
      <c r="D295" s="13"/>
      <c r="E295" s="13"/>
      <c r="F295" s="13"/>
      <c r="G295" s="2"/>
      <c r="H295" s="2"/>
      <c r="I295" s="13"/>
      <c r="J295" s="13"/>
      <c r="K295" s="13"/>
      <c r="L295" s="14"/>
      <c r="M295" s="4"/>
      <c r="N295" s="2"/>
      <c r="O295" s="4"/>
      <c r="P295" s="2"/>
      <c r="Q295" s="2"/>
      <c r="R295" s="4"/>
      <c r="S295" s="2"/>
      <c r="T295" s="2"/>
      <c r="U295" s="1"/>
      <c r="V295" s="2"/>
      <c r="W295" s="2"/>
      <c r="X295" s="2"/>
      <c r="Y295" s="2"/>
      <c r="Z295" s="2"/>
    </row>
    <row r="296" spans="1:26" ht="15.75" customHeight="1" x14ac:dyDescent="0.2">
      <c r="A296" s="12"/>
      <c r="B296" s="10"/>
      <c r="C296" s="11"/>
      <c r="D296" s="13"/>
      <c r="E296" s="13"/>
      <c r="F296" s="13"/>
      <c r="G296" s="2"/>
      <c r="H296" s="2"/>
      <c r="I296" s="13"/>
      <c r="J296" s="13"/>
      <c r="K296" s="13"/>
      <c r="L296" s="14"/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2"/>
      <c r="B297" s="10"/>
      <c r="C297" s="11"/>
      <c r="D297" s="13"/>
      <c r="E297" s="13"/>
      <c r="F297" s="13"/>
      <c r="G297" s="2"/>
      <c r="H297" s="2"/>
      <c r="I297" s="13"/>
      <c r="J297" s="13"/>
      <c r="K297" s="13"/>
      <c r="L297" s="14"/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2"/>
      <c r="B298" s="10"/>
      <c r="C298" s="11"/>
      <c r="D298" s="13"/>
      <c r="E298" s="13"/>
      <c r="F298" s="13"/>
      <c r="G298" s="2"/>
      <c r="H298" s="2"/>
      <c r="I298" s="13"/>
      <c r="J298" s="13"/>
      <c r="K298" s="13"/>
      <c r="L298" s="14"/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2"/>
      <c r="B299" s="10"/>
      <c r="C299" s="11"/>
      <c r="D299" s="13"/>
      <c r="E299" s="13"/>
      <c r="F299" s="13"/>
      <c r="G299" s="2"/>
      <c r="H299" s="2"/>
      <c r="I299" s="13"/>
      <c r="J299" s="13"/>
      <c r="K299" s="13"/>
      <c r="L299" s="14"/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2"/>
      <c r="B303" s="10"/>
      <c r="C303" s="11"/>
      <c r="D303" s="13"/>
      <c r="E303" s="13"/>
      <c r="F303" s="13"/>
      <c r="G303" s="2"/>
      <c r="H303" s="2"/>
      <c r="I303" s="13"/>
      <c r="J303" s="13"/>
      <c r="K303" s="13"/>
      <c r="L303" s="14"/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2"/>
      <c r="B304" s="10"/>
      <c r="C304" s="11"/>
      <c r="D304" s="13"/>
      <c r="E304" s="13"/>
      <c r="F304" s="13"/>
      <c r="G304" s="2"/>
      <c r="H304" s="2"/>
      <c r="I304" s="13"/>
      <c r="J304" s="13"/>
      <c r="K304" s="13"/>
      <c r="L304" s="14"/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2"/>
      <c r="B305" s="10"/>
      <c r="C305" s="11"/>
      <c r="D305" s="13"/>
      <c r="E305" s="13"/>
      <c r="F305" s="13"/>
      <c r="G305" s="2"/>
      <c r="H305" s="2"/>
      <c r="I305" s="13"/>
      <c r="J305" s="13"/>
      <c r="K305" s="13"/>
      <c r="L305" s="14"/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A306" s="12"/>
      <c r="B306" s="10"/>
      <c r="C306" s="11"/>
      <c r="D306" s="13"/>
      <c r="E306" s="13"/>
      <c r="F306" s="13"/>
      <c r="G306" s="2"/>
      <c r="H306" s="2"/>
      <c r="I306" s="13"/>
      <c r="J306" s="13"/>
      <c r="K306" s="13"/>
      <c r="L306" s="14"/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A307" s="12"/>
      <c r="B307" s="10"/>
      <c r="C307" s="11"/>
      <c r="D307" s="13"/>
      <c r="E307" s="13"/>
      <c r="F307" s="13"/>
      <c r="G307" s="2"/>
      <c r="H307" s="2"/>
      <c r="I307" s="13"/>
      <c r="J307" s="13"/>
      <c r="K307" s="13"/>
      <c r="L307" s="14"/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A308" s="12"/>
      <c r="B308" s="10"/>
      <c r="C308" s="11"/>
      <c r="D308" s="13"/>
      <c r="E308" s="13"/>
      <c r="F308" s="13"/>
      <c r="G308" s="2"/>
      <c r="H308" s="2"/>
      <c r="I308" s="13"/>
      <c r="J308" s="13"/>
      <c r="K308" s="13"/>
      <c r="L308" s="14"/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A309" s="12"/>
      <c r="B309" s="10"/>
      <c r="C309" s="11"/>
      <c r="D309" s="13"/>
      <c r="E309" s="13"/>
      <c r="F309" s="13"/>
      <c r="G309" s="2"/>
      <c r="H309" s="2"/>
      <c r="I309" s="13"/>
      <c r="J309" s="13"/>
      <c r="K309" s="13"/>
      <c r="L309" s="14"/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2"/>
      <c r="B310" s="10"/>
      <c r="C310" s="11"/>
      <c r="D310" s="13"/>
      <c r="E310" s="13"/>
      <c r="F310" s="13"/>
      <c r="G310" s="2"/>
      <c r="H310" s="2"/>
      <c r="I310" s="13"/>
      <c r="J310" s="13"/>
      <c r="K310" s="13"/>
      <c r="L310" s="14"/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  <row r="1069" spans="1:26" ht="15.75" customHeight="1" x14ac:dyDescent="0.2">
      <c r="A1069" s="12"/>
      <c r="B1069" s="10"/>
      <c r="C1069" s="11"/>
      <c r="D1069" s="13"/>
      <c r="E1069" s="13"/>
      <c r="F1069" s="13"/>
      <c r="G1069" s="2"/>
      <c r="H1069" s="2"/>
      <c r="I1069" s="13"/>
      <c r="J1069" s="13"/>
      <c r="K1069" s="13"/>
      <c r="L1069" s="14"/>
      <c r="M1069" s="4"/>
      <c r="N1069" s="2"/>
      <c r="O1069" s="4"/>
      <c r="P1069" s="2"/>
      <c r="Q1069" s="2"/>
      <c r="R1069" s="4"/>
      <c r="S1069" s="2"/>
      <c r="T1069" s="2"/>
      <c r="U1069" s="1"/>
      <c r="V1069" s="2"/>
      <c r="W1069" s="2"/>
      <c r="X1069" s="2"/>
      <c r="Y1069" s="2"/>
      <c r="Z1069" s="2"/>
    </row>
    <row r="1070" spans="1:26" ht="15.75" customHeight="1" x14ac:dyDescent="0.2">
      <c r="A1070" s="12"/>
      <c r="B1070" s="10"/>
      <c r="C1070" s="11"/>
      <c r="D1070" s="13"/>
      <c r="E1070" s="13"/>
      <c r="F1070" s="13"/>
      <c r="G1070" s="2"/>
      <c r="H1070" s="2"/>
      <c r="I1070" s="13"/>
      <c r="J1070" s="13"/>
      <c r="K1070" s="13"/>
      <c r="L1070" s="14"/>
      <c r="M1070" s="4"/>
      <c r="N1070" s="2"/>
      <c r="O1070" s="4"/>
      <c r="P1070" s="2"/>
      <c r="Q1070" s="2"/>
      <c r="R1070" s="4"/>
      <c r="S1070" s="2"/>
      <c r="T1070" s="2"/>
      <c r="U1070" s="1"/>
      <c r="V1070" s="2"/>
      <c r="W1070" s="2"/>
      <c r="X1070" s="2"/>
      <c r="Y1070" s="2"/>
      <c r="Z1070" s="2"/>
    </row>
    <row r="1071" spans="1:26" ht="15.75" customHeight="1" x14ac:dyDescent="0.2">
      <c r="A1071" s="12"/>
      <c r="B1071" s="10"/>
      <c r="C1071" s="11"/>
      <c r="D1071" s="13"/>
      <c r="E1071" s="13"/>
      <c r="F1071" s="13"/>
      <c r="G1071" s="2"/>
      <c r="H1071" s="2"/>
      <c r="I1071" s="13"/>
      <c r="J1071" s="13"/>
      <c r="K1071" s="13"/>
      <c r="L1071" s="14"/>
      <c r="M1071" s="4"/>
      <c r="N1071" s="2"/>
      <c r="O1071" s="4"/>
      <c r="P1071" s="2"/>
      <c r="Q1071" s="2"/>
      <c r="R1071" s="4"/>
      <c r="S1071" s="2"/>
      <c r="T1071" s="2"/>
      <c r="U1071" s="1"/>
      <c r="V1071" s="2"/>
      <c r="W1071" s="2"/>
      <c r="X1071" s="2"/>
      <c r="Y1071" s="2"/>
      <c r="Z1071" s="2"/>
    </row>
    <row r="1072" spans="1:26" ht="15.75" customHeight="1" x14ac:dyDescent="0.2">
      <c r="A1072" s="12"/>
      <c r="B1072" s="10"/>
      <c r="C1072" s="11"/>
      <c r="D1072" s="13"/>
      <c r="E1072" s="13"/>
      <c r="F1072" s="13"/>
      <c r="G1072" s="2"/>
      <c r="H1072" s="2"/>
      <c r="I1072" s="13"/>
      <c r="J1072" s="13"/>
      <c r="K1072" s="13"/>
      <c r="L1072" s="14"/>
      <c r="M1072" s="4"/>
      <c r="N1072" s="2"/>
      <c r="O1072" s="4"/>
      <c r="P1072" s="2"/>
      <c r="Q1072" s="2"/>
      <c r="R1072" s="4"/>
      <c r="S1072" s="2"/>
      <c r="T1072" s="2"/>
      <c r="U1072" s="1"/>
      <c r="V1072" s="2"/>
      <c r="W1072" s="2"/>
      <c r="X1072" s="2"/>
      <c r="Y1072" s="2"/>
      <c r="Z1072" s="2"/>
    </row>
    <row r="1073" spans="1:26" ht="15.75" customHeight="1" x14ac:dyDescent="0.2">
      <c r="A1073" s="12"/>
      <c r="B1073" s="10"/>
      <c r="C1073" s="11"/>
      <c r="D1073" s="13"/>
      <c r="E1073" s="13"/>
      <c r="F1073" s="13"/>
      <c r="G1073" s="2"/>
      <c r="H1073" s="2"/>
      <c r="I1073" s="13"/>
      <c r="J1073" s="13"/>
      <c r="K1073" s="13"/>
      <c r="L1073" s="14"/>
      <c r="M1073" s="4"/>
      <c r="N1073" s="2"/>
      <c r="O1073" s="4"/>
      <c r="P1073" s="2"/>
      <c r="Q1073" s="2"/>
      <c r="R1073" s="4"/>
      <c r="S1073" s="2"/>
      <c r="T1073" s="2"/>
      <c r="U1073" s="1"/>
      <c r="V1073" s="2"/>
      <c r="W1073" s="2"/>
      <c r="X1073" s="2"/>
      <c r="Y1073" s="2"/>
      <c r="Z1073" s="2"/>
    </row>
    <row r="1074" spans="1:26" ht="15.75" customHeight="1" x14ac:dyDescent="0.2">
      <c r="A1074" s="12"/>
      <c r="B1074" s="10"/>
      <c r="C1074" s="11"/>
      <c r="D1074" s="13"/>
      <c r="E1074" s="13"/>
      <c r="F1074" s="13"/>
      <c r="G1074" s="2"/>
      <c r="H1074" s="2"/>
      <c r="I1074" s="13"/>
      <c r="J1074" s="13"/>
      <c r="K1074" s="13"/>
      <c r="L1074" s="14"/>
      <c r="M1074" s="4"/>
      <c r="N1074" s="2"/>
      <c r="O1074" s="4"/>
      <c r="P1074" s="2"/>
      <c r="Q1074" s="2"/>
      <c r="R1074" s="4"/>
      <c r="S1074" s="2"/>
      <c r="T1074" s="2"/>
      <c r="U1074" s="1"/>
      <c r="V1074" s="2"/>
      <c r="W1074" s="2"/>
      <c r="X1074" s="2"/>
      <c r="Y1074" s="2"/>
      <c r="Z1074" s="2"/>
    </row>
    <row r="1075" spans="1:26" ht="15.75" customHeight="1" x14ac:dyDescent="0.2">
      <c r="A1075" s="12"/>
      <c r="B1075" s="10"/>
      <c r="C1075" s="11"/>
      <c r="D1075" s="13"/>
      <c r="E1075" s="13"/>
      <c r="F1075" s="13"/>
      <c r="G1075" s="2"/>
      <c r="H1075" s="2"/>
      <c r="I1075" s="13"/>
      <c r="J1075" s="13"/>
      <c r="K1075" s="13"/>
      <c r="L1075" s="14"/>
      <c r="M1075" s="4"/>
      <c r="N1075" s="2"/>
      <c r="O1075" s="4"/>
      <c r="P1075" s="2"/>
      <c r="Q1075" s="2"/>
      <c r="R1075" s="4"/>
      <c r="S1075" s="2"/>
      <c r="T1075" s="2"/>
      <c r="U1075" s="1"/>
      <c r="V1075" s="2"/>
      <c r="W1075" s="2"/>
      <c r="X1075" s="2"/>
      <c r="Y1075" s="2"/>
      <c r="Z1075" s="2"/>
    </row>
    <row r="1076" spans="1:26" ht="15.75" customHeight="1" x14ac:dyDescent="0.2">
      <c r="A1076" s="12"/>
      <c r="B1076" s="10"/>
      <c r="C1076" s="11"/>
      <c r="D1076" s="13"/>
      <c r="E1076" s="13"/>
      <c r="F1076" s="13"/>
      <c r="G1076" s="2"/>
      <c r="H1076" s="2"/>
      <c r="I1076" s="13"/>
      <c r="J1076" s="13"/>
      <c r="K1076" s="13"/>
      <c r="L1076" s="14"/>
      <c r="M1076" s="4"/>
      <c r="N1076" s="2"/>
      <c r="O1076" s="4"/>
      <c r="P1076" s="2"/>
      <c r="Q1076" s="2"/>
      <c r="R1076" s="4"/>
      <c r="S1076" s="2"/>
      <c r="T1076" s="2"/>
      <c r="U1076" s="1"/>
      <c r="V1076" s="2"/>
      <c r="W1076" s="2"/>
      <c r="X1076" s="2"/>
      <c r="Y1076" s="2"/>
      <c r="Z1076" s="2"/>
    </row>
    <row r="1077" spans="1:26" ht="15.75" customHeight="1" x14ac:dyDescent="0.2">
      <c r="A1077" s="12"/>
      <c r="B1077" s="10"/>
      <c r="C1077" s="11"/>
      <c r="D1077" s="13"/>
      <c r="E1077" s="13"/>
      <c r="F1077" s="13"/>
      <c r="G1077" s="2"/>
      <c r="H1077" s="2"/>
      <c r="I1077" s="13"/>
      <c r="J1077" s="13"/>
      <c r="K1077" s="13"/>
      <c r="L1077" s="14"/>
      <c r="M1077" s="4"/>
      <c r="N1077" s="2"/>
      <c r="O1077" s="4"/>
      <c r="P1077" s="2"/>
      <c r="Q1077" s="2"/>
      <c r="R1077" s="4"/>
      <c r="S1077" s="2"/>
      <c r="T1077" s="2"/>
      <c r="U1077" s="1"/>
      <c r="V1077" s="2"/>
      <c r="W1077" s="2"/>
      <c r="X1077" s="2"/>
      <c r="Y1077" s="2"/>
      <c r="Z1077" s="2"/>
    </row>
    <row r="1078" spans="1:26" ht="15.75" customHeight="1" x14ac:dyDescent="0.2">
      <c r="A1078" s="12"/>
      <c r="B1078" s="10"/>
      <c r="C1078" s="11"/>
      <c r="D1078" s="13"/>
      <c r="E1078" s="13"/>
      <c r="F1078" s="13"/>
      <c r="G1078" s="2"/>
      <c r="H1078" s="2"/>
      <c r="I1078" s="13"/>
      <c r="J1078" s="13"/>
      <c r="K1078" s="13"/>
      <c r="L1078" s="14"/>
      <c r="M1078" s="4"/>
      <c r="N1078" s="2"/>
      <c r="O1078" s="4"/>
      <c r="P1078" s="2"/>
      <c r="Q1078" s="2"/>
      <c r="R1078" s="4"/>
      <c r="S1078" s="2"/>
      <c r="T1078" s="2"/>
      <c r="U1078" s="1"/>
      <c r="V1078" s="2"/>
      <c r="W1078" s="2"/>
      <c r="X1078" s="2"/>
      <c r="Y1078" s="2"/>
      <c r="Z1078" s="2"/>
    </row>
    <row r="1079" spans="1:26" ht="15.75" customHeight="1" x14ac:dyDescent="0.2">
      <c r="A1079" s="12"/>
      <c r="B1079" s="10"/>
      <c r="C1079" s="11"/>
      <c r="D1079" s="13"/>
      <c r="E1079" s="13"/>
      <c r="F1079" s="13"/>
      <c r="G1079" s="2"/>
      <c r="H1079" s="2"/>
      <c r="I1079" s="13"/>
      <c r="J1079" s="13"/>
      <c r="K1079" s="13"/>
      <c r="L1079" s="14"/>
      <c r="M1079" s="4"/>
      <c r="N1079" s="2"/>
      <c r="O1079" s="4"/>
      <c r="P1079" s="2"/>
      <c r="Q1079" s="2"/>
      <c r="R1079" s="4"/>
      <c r="S1079" s="2"/>
      <c r="T1079" s="2"/>
      <c r="U1079" s="1"/>
      <c r="V1079" s="2"/>
      <c r="W1079" s="2"/>
      <c r="X1079" s="2"/>
      <c r="Y1079" s="2"/>
      <c r="Z1079" s="2"/>
    </row>
    <row r="1080" spans="1:26" ht="15.75" customHeight="1" x14ac:dyDescent="0.2">
      <c r="A1080" s="12"/>
      <c r="B1080" s="10"/>
      <c r="C1080" s="11"/>
      <c r="D1080" s="13"/>
      <c r="E1080" s="13"/>
      <c r="F1080" s="13"/>
      <c r="G1080" s="2"/>
      <c r="H1080" s="2"/>
      <c r="I1080" s="13"/>
      <c r="J1080" s="13"/>
      <c r="K1080" s="13"/>
      <c r="L1080" s="14"/>
      <c r="M1080" s="4"/>
      <c r="N1080" s="2"/>
      <c r="O1080" s="4"/>
      <c r="P1080" s="2"/>
      <c r="Q1080" s="2"/>
      <c r="R1080" s="4"/>
      <c r="S1080" s="2"/>
      <c r="T1080" s="2"/>
      <c r="U1080" s="1"/>
      <c r="V1080" s="2"/>
      <c r="W1080" s="2"/>
      <c r="X1080" s="2"/>
      <c r="Y1080" s="2"/>
      <c r="Z1080" s="2"/>
    </row>
    <row r="1081" spans="1:26" ht="15.75" customHeight="1" x14ac:dyDescent="0.2">
      <c r="A1081" s="12"/>
      <c r="B1081" s="10"/>
      <c r="C1081" s="11"/>
      <c r="D1081" s="13"/>
      <c r="E1081" s="13"/>
      <c r="F1081" s="13"/>
      <c r="G1081" s="2"/>
      <c r="H1081" s="2"/>
      <c r="I1081" s="13"/>
      <c r="J1081" s="13"/>
      <c r="K1081" s="13"/>
      <c r="L1081" s="14"/>
      <c r="M1081" s="4"/>
      <c r="N1081" s="2"/>
      <c r="O1081" s="4"/>
      <c r="P1081" s="2"/>
      <c r="Q1081" s="2"/>
      <c r="R1081" s="4"/>
      <c r="S1081" s="2"/>
      <c r="T1081" s="2"/>
      <c r="U1081" s="1"/>
      <c r="V1081" s="2"/>
      <c r="W1081" s="2"/>
      <c r="X1081" s="2"/>
      <c r="Y1081" s="2"/>
      <c r="Z1081" s="2"/>
    </row>
    <row r="1082" spans="1:26" ht="15.75" customHeight="1" x14ac:dyDescent="0.2">
      <c r="A1082" s="12"/>
      <c r="B1082" s="10"/>
      <c r="C1082" s="11"/>
      <c r="D1082" s="13"/>
      <c r="E1082" s="13"/>
      <c r="F1082" s="13"/>
      <c r="G1082" s="2"/>
      <c r="H1082" s="2"/>
      <c r="I1082" s="13"/>
      <c r="J1082" s="13"/>
      <c r="K1082" s="13"/>
      <c r="L1082" s="14"/>
      <c r="M1082" s="4"/>
      <c r="N1082" s="2"/>
      <c r="O1082" s="4"/>
      <c r="P1082" s="2"/>
      <c r="Q1082" s="2"/>
      <c r="R1082" s="4"/>
      <c r="S1082" s="2"/>
      <c r="T1082" s="2"/>
      <c r="U1082" s="1"/>
      <c r="V1082" s="2"/>
      <c r="W1082" s="2"/>
      <c r="X1082" s="2"/>
      <c r="Y1082" s="2"/>
      <c r="Z1082" s="2"/>
    </row>
    <row r="1083" spans="1:26" ht="15.75" customHeight="1" x14ac:dyDescent="0.2">
      <c r="A1083" s="12"/>
      <c r="B1083" s="10"/>
      <c r="C1083" s="11"/>
      <c r="D1083" s="13"/>
      <c r="E1083" s="13"/>
      <c r="F1083" s="13"/>
      <c r="G1083" s="2"/>
      <c r="H1083" s="2"/>
      <c r="I1083" s="13"/>
      <c r="J1083" s="13"/>
      <c r="K1083" s="13"/>
      <c r="L1083" s="14"/>
      <c r="M1083" s="4"/>
      <c r="N1083" s="2"/>
      <c r="O1083" s="4"/>
      <c r="P1083" s="2"/>
      <c r="Q1083" s="2"/>
      <c r="R1083" s="4"/>
      <c r="S1083" s="2"/>
      <c r="T1083" s="2"/>
      <c r="U1083" s="1"/>
      <c r="V1083" s="2"/>
      <c r="W1083" s="2"/>
      <c r="X1083" s="2"/>
      <c r="Y1083" s="2"/>
      <c r="Z1083" s="2"/>
    </row>
    <row r="1084" spans="1:26" ht="15.75" customHeight="1" x14ac:dyDescent="0.2">
      <c r="A1084" s="12"/>
      <c r="B1084" s="10"/>
      <c r="C1084" s="11"/>
      <c r="D1084" s="13"/>
      <c r="E1084" s="13"/>
      <c r="F1084" s="13"/>
      <c r="G1084" s="2"/>
      <c r="H1084" s="2"/>
      <c r="I1084" s="13"/>
      <c r="J1084" s="13"/>
      <c r="K1084" s="13"/>
      <c r="L1084" s="14"/>
      <c r="M1084" s="4"/>
      <c r="N1084" s="2"/>
      <c r="O1084" s="4"/>
      <c r="P1084" s="2"/>
      <c r="Q1084" s="2"/>
      <c r="R1084" s="4"/>
      <c r="S1084" s="2"/>
      <c r="T1084" s="2"/>
      <c r="U1084" s="1"/>
      <c r="V1084" s="2"/>
      <c r="W1084" s="2"/>
      <c r="X1084" s="2"/>
      <c r="Y1084" s="2"/>
      <c r="Z1084" s="2"/>
    </row>
    <row r="1085" spans="1:26" ht="15.75" customHeight="1" x14ac:dyDescent="0.2">
      <c r="A1085" s="12"/>
      <c r="B1085" s="10"/>
      <c r="C1085" s="11"/>
      <c r="D1085" s="13"/>
      <c r="E1085" s="13"/>
      <c r="F1085" s="13"/>
      <c r="G1085" s="2"/>
      <c r="H1085" s="2"/>
      <c r="I1085" s="13"/>
      <c r="J1085" s="13"/>
      <c r="K1085" s="13"/>
      <c r="L1085" s="14"/>
      <c r="M1085" s="4"/>
      <c r="N1085" s="2"/>
      <c r="O1085" s="4"/>
      <c r="P1085" s="2"/>
      <c r="Q1085" s="2"/>
      <c r="R1085" s="4"/>
      <c r="S1085" s="2"/>
      <c r="T1085" s="2"/>
      <c r="U1085" s="1"/>
      <c r="V1085" s="2"/>
      <c r="W1085" s="2"/>
      <c r="X1085" s="2"/>
      <c r="Y1085" s="2"/>
      <c r="Z1085" s="2"/>
    </row>
    <row r="1086" spans="1:26" ht="15.75" customHeight="1" x14ac:dyDescent="0.2">
      <c r="A1086" s="12"/>
      <c r="B1086" s="10"/>
      <c r="C1086" s="11"/>
      <c r="D1086" s="13"/>
      <c r="E1086" s="13"/>
      <c r="F1086" s="13"/>
      <c r="G1086" s="2"/>
      <c r="H1086" s="2"/>
      <c r="I1086" s="13"/>
      <c r="J1086" s="13"/>
      <c r="K1086" s="13"/>
      <c r="L1086" s="14"/>
      <c r="M1086" s="4"/>
      <c r="N1086" s="2"/>
      <c r="O1086" s="4"/>
      <c r="P1086" s="2"/>
      <c r="Q1086" s="2"/>
      <c r="R1086" s="4"/>
      <c r="S1086" s="2"/>
      <c r="T1086" s="2"/>
      <c r="U1086" s="1"/>
      <c r="V1086" s="2"/>
      <c r="W1086" s="2"/>
      <c r="X1086" s="2"/>
      <c r="Y1086" s="2"/>
      <c r="Z1086" s="2"/>
    </row>
    <row r="1087" spans="1:26" ht="15.75" customHeight="1" x14ac:dyDescent="0.2">
      <c r="A1087" s="12"/>
      <c r="B1087" s="10"/>
      <c r="C1087" s="11"/>
      <c r="D1087" s="13"/>
      <c r="E1087" s="13"/>
      <c r="F1087" s="13"/>
      <c r="G1087" s="2"/>
      <c r="H1087" s="2"/>
      <c r="I1087" s="13"/>
      <c r="J1087" s="13"/>
      <c r="K1087" s="13"/>
      <c r="L1087" s="14"/>
      <c r="M1087" s="4"/>
      <c r="N1087" s="2"/>
      <c r="O1087" s="4"/>
      <c r="P1087" s="2"/>
      <c r="Q1087" s="2"/>
      <c r="R1087" s="4"/>
      <c r="S1087" s="2"/>
      <c r="T1087" s="2"/>
      <c r="U1087" s="1"/>
      <c r="V1087" s="2"/>
      <c r="W1087" s="2"/>
      <c r="X1087" s="2"/>
      <c r="Y1087" s="2"/>
      <c r="Z1087" s="2"/>
    </row>
    <row r="1088" spans="1:26" ht="15.75" customHeight="1" x14ac:dyDescent="0.2">
      <c r="A1088" s="12"/>
      <c r="B1088" s="10"/>
      <c r="C1088" s="11"/>
      <c r="D1088" s="13"/>
      <c r="E1088" s="13"/>
      <c r="F1088" s="13"/>
      <c r="G1088" s="2"/>
      <c r="H1088" s="2"/>
      <c r="I1088" s="13"/>
      <c r="J1088" s="13"/>
      <c r="K1088" s="13"/>
      <c r="L1088" s="14"/>
      <c r="M1088" s="4"/>
      <c r="N1088" s="2"/>
      <c r="O1088" s="4"/>
      <c r="P1088" s="2"/>
      <c r="Q1088" s="2"/>
      <c r="R1088" s="4"/>
      <c r="S1088" s="2"/>
      <c r="T1088" s="2"/>
      <c r="U1088" s="1"/>
      <c r="V1088" s="2"/>
      <c r="W1088" s="2"/>
      <c r="X1088" s="2"/>
      <c r="Y1088" s="2"/>
      <c r="Z1088" s="2"/>
    </row>
    <row r="1089" spans="1:26" ht="15.75" customHeight="1" x14ac:dyDescent="0.2">
      <c r="A1089" s="12"/>
      <c r="B1089" s="10"/>
      <c r="C1089" s="11"/>
      <c r="D1089" s="13"/>
      <c r="E1089" s="13"/>
      <c r="F1089" s="13"/>
      <c r="G1089" s="2"/>
      <c r="H1089" s="2"/>
      <c r="I1089" s="13"/>
      <c r="J1089" s="13"/>
      <c r="K1089" s="13"/>
      <c r="L1089" s="14"/>
      <c r="M1089" s="4"/>
      <c r="N1089" s="2"/>
      <c r="O1089" s="4"/>
      <c r="P1089" s="2"/>
      <c r="Q1089" s="2"/>
      <c r="R1089" s="4"/>
      <c r="S1089" s="2"/>
      <c r="T1089" s="2"/>
      <c r="U1089" s="1"/>
      <c r="V1089" s="2"/>
      <c r="W1089" s="2"/>
      <c r="X1089" s="2"/>
      <c r="Y1089" s="2"/>
      <c r="Z1089" s="2"/>
    </row>
    <row r="1090" spans="1:26" ht="15.75" customHeight="1" x14ac:dyDescent="0.2">
      <c r="A1090" s="12"/>
      <c r="B1090" s="10"/>
      <c r="C1090" s="11"/>
      <c r="D1090" s="13"/>
      <c r="E1090" s="13"/>
      <c r="F1090" s="13"/>
      <c r="G1090" s="2"/>
      <c r="H1090" s="2"/>
      <c r="I1090" s="13"/>
      <c r="J1090" s="13"/>
      <c r="K1090" s="13"/>
      <c r="L1090" s="14"/>
      <c r="M1090" s="4"/>
      <c r="N1090" s="2"/>
      <c r="O1090" s="4"/>
      <c r="P1090" s="2"/>
      <c r="Q1090" s="2"/>
      <c r="R1090" s="4"/>
      <c r="S1090" s="2"/>
      <c r="T1090" s="2"/>
      <c r="U1090" s="1"/>
      <c r="V1090" s="2"/>
      <c r="W1090" s="2"/>
      <c r="X1090" s="2"/>
      <c r="Y1090" s="2"/>
      <c r="Z1090" s="2"/>
    </row>
    <row r="1091" spans="1:26" ht="15.75" customHeight="1" x14ac:dyDescent="0.2">
      <c r="A1091" s="12"/>
      <c r="B1091" s="10"/>
      <c r="C1091" s="11"/>
      <c r="D1091" s="13"/>
      <c r="E1091" s="13"/>
      <c r="F1091" s="13"/>
      <c r="G1091" s="2"/>
      <c r="H1091" s="2"/>
      <c r="I1091" s="13"/>
      <c r="J1091" s="13"/>
      <c r="K1091" s="13"/>
      <c r="L1091" s="14"/>
      <c r="M1091" s="4"/>
      <c r="N1091" s="2"/>
      <c r="O1091" s="4"/>
      <c r="P1091" s="2"/>
      <c r="Q1091" s="2"/>
      <c r="R1091" s="4"/>
      <c r="S1091" s="2"/>
      <c r="T1091" s="2"/>
      <c r="U1091" s="1"/>
      <c r="V1091" s="2"/>
      <c r="W1091" s="2"/>
      <c r="X1091" s="2"/>
      <c r="Y1091" s="2"/>
      <c r="Z1091" s="2"/>
    </row>
    <row r="1092" spans="1:26" ht="15.75" customHeight="1" x14ac:dyDescent="0.2">
      <c r="A1092" s="12"/>
      <c r="B1092" s="10"/>
      <c r="C1092" s="11"/>
      <c r="D1092" s="13"/>
      <c r="E1092" s="13"/>
      <c r="F1092" s="13"/>
      <c r="G1092" s="2"/>
      <c r="H1092" s="2"/>
      <c r="I1092" s="13"/>
      <c r="J1092" s="13"/>
      <c r="K1092" s="13"/>
      <c r="L1092" s="14"/>
      <c r="M1092" s="4"/>
      <c r="N1092" s="2"/>
      <c r="O1092" s="4"/>
      <c r="P1092" s="2"/>
      <c r="Q1092" s="2"/>
      <c r="R1092" s="4"/>
      <c r="S1092" s="2"/>
      <c r="T1092" s="2"/>
      <c r="U1092" s="1"/>
      <c r="V1092" s="2"/>
      <c r="W1092" s="2"/>
      <c r="X1092" s="2"/>
      <c r="Y1092" s="2"/>
      <c r="Z1092" s="2"/>
    </row>
    <row r="1093" spans="1:26" ht="15.75" customHeight="1" x14ac:dyDescent="0.2">
      <c r="A1093" s="12"/>
      <c r="B1093" s="10"/>
      <c r="C1093" s="11"/>
      <c r="D1093" s="13"/>
      <c r="E1093" s="13"/>
      <c r="F1093" s="13"/>
      <c r="G1093" s="2"/>
      <c r="H1093" s="2"/>
      <c r="I1093" s="13"/>
      <c r="J1093" s="13"/>
      <c r="K1093" s="13"/>
      <c r="L1093" s="14"/>
      <c r="M1093" s="4"/>
      <c r="N1093" s="2"/>
      <c r="O1093" s="4"/>
      <c r="P1093" s="2"/>
      <c r="Q1093" s="2"/>
      <c r="R1093" s="4"/>
      <c r="S1093" s="2"/>
      <c r="T1093" s="2"/>
      <c r="U1093" s="1"/>
      <c r="V1093" s="2"/>
      <c r="W1093" s="2"/>
      <c r="X1093" s="2"/>
      <c r="Y1093" s="2"/>
      <c r="Z1093" s="2"/>
    </row>
    <row r="1094" spans="1:26" ht="15.75" customHeight="1" x14ac:dyDescent="0.2">
      <c r="A1094" s="12"/>
      <c r="B1094" s="10"/>
      <c r="C1094" s="11"/>
      <c r="D1094" s="13"/>
      <c r="E1094" s="13"/>
      <c r="F1094" s="13"/>
      <c r="G1094" s="2"/>
      <c r="H1094" s="2"/>
      <c r="I1094" s="13"/>
      <c r="J1094" s="13"/>
      <c r="K1094" s="13"/>
      <c r="L1094" s="14"/>
      <c r="M1094" s="4"/>
      <c r="N1094" s="2"/>
      <c r="O1094" s="4"/>
      <c r="P1094" s="2"/>
      <c r="Q1094" s="2"/>
      <c r="R1094" s="4"/>
      <c r="S1094" s="2"/>
      <c r="T1094" s="2"/>
      <c r="U1094" s="1"/>
      <c r="V1094" s="2"/>
      <c r="W1094" s="2"/>
      <c r="X1094" s="2"/>
      <c r="Y1094" s="2"/>
      <c r="Z1094" s="2"/>
    </row>
    <row r="1095" spans="1:26" ht="15.75" customHeight="1" x14ac:dyDescent="0.2">
      <c r="A1095" s="12"/>
      <c r="B1095" s="10"/>
      <c r="C1095" s="11"/>
      <c r="D1095" s="13"/>
      <c r="E1095" s="13"/>
      <c r="F1095" s="13"/>
      <c r="G1095" s="2"/>
      <c r="H1095" s="2"/>
      <c r="I1095" s="13"/>
      <c r="J1095" s="13"/>
      <c r="K1095" s="13"/>
      <c r="L1095" s="14"/>
      <c r="M1095" s="4"/>
      <c r="N1095" s="2"/>
      <c r="O1095" s="4"/>
      <c r="P1095" s="2"/>
      <c r="Q1095" s="2"/>
      <c r="R1095" s="4"/>
      <c r="S1095" s="2"/>
      <c r="T1095" s="2"/>
      <c r="U1095" s="1"/>
      <c r="V1095" s="2"/>
      <c r="W1095" s="2"/>
      <c r="X1095" s="2"/>
      <c r="Y1095" s="2"/>
      <c r="Z1095" s="2"/>
    </row>
    <row r="1096" spans="1:26" ht="15.75" customHeight="1" x14ac:dyDescent="0.2">
      <c r="A1096" s="12"/>
      <c r="B1096" s="10"/>
      <c r="C1096" s="11"/>
      <c r="D1096" s="13"/>
      <c r="E1096" s="13"/>
      <c r="F1096" s="13"/>
      <c r="G1096" s="2"/>
      <c r="H1096" s="2"/>
      <c r="I1096" s="13"/>
      <c r="J1096" s="13"/>
      <c r="K1096" s="13"/>
      <c r="L1096" s="14"/>
      <c r="M1096" s="4"/>
      <c r="N1096" s="2"/>
      <c r="O1096" s="4"/>
      <c r="P1096" s="2"/>
      <c r="Q1096" s="2"/>
      <c r="R1096" s="4"/>
      <c r="S1096" s="2"/>
      <c r="T1096" s="2"/>
      <c r="U1096" s="1"/>
      <c r="V1096" s="2"/>
      <c r="W1096" s="2"/>
      <c r="X1096" s="2"/>
      <c r="Y1096" s="2"/>
      <c r="Z1096" s="2"/>
    </row>
    <row r="1097" spans="1:26" ht="15.75" customHeight="1" x14ac:dyDescent="0.2">
      <c r="A1097" s="12"/>
      <c r="B1097" s="10"/>
      <c r="C1097" s="11"/>
      <c r="D1097" s="13"/>
      <c r="E1097" s="13"/>
      <c r="F1097" s="13"/>
      <c r="G1097" s="2"/>
      <c r="H1097" s="2"/>
      <c r="I1097" s="13"/>
      <c r="J1097" s="13"/>
      <c r="K1097" s="13"/>
      <c r="L1097" s="14"/>
      <c r="M1097" s="4"/>
      <c r="N1097" s="2"/>
      <c r="O1097" s="4"/>
      <c r="P1097" s="2"/>
      <c r="Q1097" s="2"/>
      <c r="R1097" s="4"/>
      <c r="S1097" s="2"/>
      <c r="T1097" s="2"/>
      <c r="U1097" s="1"/>
      <c r="V1097" s="2"/>
      <c r="W1097" s="2"/>
      <c r="X1097" s="2"/>
      <c r="Y1097" s="2"/>
      <c r="Z1097" s="2"/>
    </row>
    <row r="1098" spans="1:26" ht="15.75" customHeight="1" x14ac:dyDescent="0.2">
      <c r="A1098" s="12"/>
      <c r="B1098" s="10"/>
      <c r="C1098" s="11"/>
      <c r="D1098" s="13"/>
      <c r="E1098" s="13"/>
      <c r="F1098" s="13"/>
      <c r="G1098" s="2"/>
      <c r="H1098" s="2"/>
      <c r="I1098" s="13"/>
      <c r="J1098" s="13"/>
      <c r="K1098" s="13"/>
      <c r="L1098" s="14"/>
      <c r="M1098" s="4"/>
      <c r="N1098" s="2"/>
      <c r="O1098" s="4"/>
      <c r="P1098" s="2"/>
      <c r="Q1098" s="2"/>
      <c r="R1098" s="4"/>
      <c r="S1098" s="2"/>
      <c r="T1098" s="2"/>
      <c r="U1098" s="1"/>
      <c r="V1098" s="2"/>
      <c r="W1098" s="2"/>
      <c r="X1098" s="2"/>
      <c r="Y1098" s="2"/>
      <c r="Z1098" s="2"/>
    </row>
    <row r="1099" spans="1:26" ht="15.75" customHeight="1" x14ac:dyDescent="0.2">
      <c r="A1099" s="12"/>
      <c r="B1099" s="10"/>
      <c r="C1099" s="11"/>
      <c r="D1099" s="13"/>
      <c r="E1099" s="13"/>
      <c r="F1099" s="13"/>
      <c r="G1099" s="2"/>
      <c r="H1099" s="2"/>
      <c r="I1099" s="13"/>
      <c r="J1099" s="13"/>
      <c r="K1099" s="13"/>
      <c r="L1099" s="14"/>
      <c r="M1099" s="4"/>
      <c r="N1099" s="2"/>
      <c r="O1099" s="4"/>
      <c r="P1099" s="2"/>
      <c r="Q1099" s="2"/>
      <c r="R1099" s="4"/>
      <c r="S1099" s="2"/>
      <c r="T1099" s="2"/>
      <c r="U1099" s="1"/>
      <c r="V1099" s="2"/>
      <c r="W1099" s="2"/>
      <c r="X1099" s="2"/>
      <c r="Y1099" s="2"/>
      <c r="Z1099" s="2"/>
    </row>
    <row r="1100" spans="1:26" ht="15.75" customHeight="1" x14ac:dyDescent="0.2">
      <c r="A1100" s="12"/>
      <c r="B1100" s="10"/>
      <c r="C1100" s="11"/>
      <c r="D1100" s="13"/>
      <c r="E1100" s="13"/>
      <c r="F1100" s="13"/>
      <c r="G1100" s="2"/>
      <c r="H1100" s="2"/>
      <c r="I1100" s="13"/>
      <c r="J1100" s="13"/>
      <c r="K1100" s="13"/>
      <c r="L1100" s="14"/>
      <c r="M1100" s="4"/>
      <c r="N1100" s="2"/>
      <c r="O1100" s="4"/>
      <c r="P1100" s="2"/>
      <c r="Q1100" s="2"/>
      <c r="R1100" s="4"/>
      <c r="S1100" s="2"/>
      <c r="T1100" s="2"/>
      <c r="U1100" s="1"/>
      <c r="V1100" s="2"/>
      <c r="W1100" s="2"/>
      <c r="X1100" s="2"/>
      <c r="Y1100" s="2"/>
      <c r="Z1100" s="2"/>
    </row>
    <row r="1101" spans="1:26" ht="15.75" customHeight="1" x14ac:dyDescent="0.2">
      <c r="A1101" s="12"/>
      <c r="B1101" s="10"/>
      <c r="C1101" s="11"/>
      <c r="D1101" s="13"/>
      <c r="E1101" s="13"/>
      <c r="F1101" s="13"/>
      <c r="G1101" s="2"/>
      <c r="H1101" s="2"/>
      <c r="I1101" s="13"/>
      <c r="J1101" s="13"/>
      <c r="K1101" s="13"/>
      <c r="L1101" s="14"/>
      <c r="M1101" s="4"/>
      <c r="N1101" s="2"/>
      <c r="O1101" s="4"/>
      <c r="P1101" s="2"/>
      <c r="Q1101" s="2"/>
      <c r="R1101" s="4"/>
      <c r="S1101" s="2"/>
      <c r="T1101" s="2"/>
      <c r="U1101" s="1"/>
      <c r="V1101" s="2"/>
      <c r="W1101" s="2"/>
      <c r="X1101" s="2"/>
      <c r="Y1101" s="2"/>
      <c r="Z1101" s="2"/>
    </row>
    <row r="1102" spans="1:26" ht="15.75" customHeight="1" x14ac:dyDescent="0.2">
      <c r="A1102" s="12"/>
      <c r="B1102" s="10"/>
      <c r="C1102" s="11"/>
      <c r="D1102" s="13"/>
      <c r="E1102" s="13"/>
      <c r="F1102" s="13"/>
      <c r="G1102" s="2"/>
      <c r="H1102" s="2"/>
      <c r="I1102" s="13"/>
      <c r="J1102" s="13"/>
      <c r="K1102" s="13"/>
      <c r="L1102" s="14"/>
      <c r="M1102" s="4"/>
      <c r="N1102" s="2"/>
      <c r="O1102" s="4"/>
      <c r="P1102" s="2"/>
      <c r="Q1102" s="2"/>
      <c r="R1102" s="4"/>
      <c r="S1102" s="2"/>
      <c r="T1102" s="2"/>
      <c r="U1102" s="1"/>
      <c r="V1102" s="2"/>
      <c r="W1102" s="2"/>
      <c r="X1102" s="2"/>
      <c r="Y1102" s="2"/>
      <c r="Z1102" s="2"/>
    </row>
    <row r="1103" spans="1:26" ht="15.75" customHeight="1" x14ac:dyDescent="0.2">
      <c r="A1103" s="12"/>
      <c r="B1103" s="10"/>
      <c r="C1103" s="11"/>
      <c r="D1103" s="13"/>
      <c r="E1103" s="13"/>
      <c r="F1103" s="13"/>
      <c r="G1103" s="2"/>
      <c r="H1103" s="2"/>
      <c r="I1103" s="13"/>
      <c r="J1103" s="13"/>
      <c r="K1103" s="13"/>
      <c r="L1103" s="14"/>
      <c r="M1103" s="4"/>
      <c r="N1103" s="2"/>
      <c r="O1103" s="4"/>
      <c r="P1103" s="2"/>
      <c r="Q1103" s="2"/>
      <c r="R1103" s="4"/>
      <c r="S1103" s="2"/>
      <c r="T1103" s="2"/>
      <c r="U1103" s="1"/>
      <c r="V1103" s="2"/>
      <c r="W1103" s="2"/>
      <c r="X1103" s="2"/>
      <c r="Y1103" s="2"/>
      <c r="Z1103" s="2"/>
    </row>
    <row r="1104" spans="1:26" ht="15.75" customHeight="1" x14ac:dyDescent="0.2">
      <c r="A1104" s="12"/>
      <c r="B1104" s="10"/>
      <c r="C1104" s="11"/>
      <c r="D1104" s="13"/>
      <c r="E1104" s="13"/>
      <c r="F1104" s="13"/>
      <c r="G1104" s="2"/>
      <c r="H1104" s="2"/>
      <c r="I1104" s="13"/>
      <c r="J1104" s="13"/>
      <c r="K1104" s="13"/>
      <c r="L1104" s="14"/>
      <c r="M1104" s="4"/>
      <c r="N1104" s="2"/>
      <c r="O1104" s="4"/>
      <c r="P1104" s="2"/>
      <c r="Q1104" s="2"/>
      <c r="R1104" s="4"/>
      <c r="S1104" s="2"/>
      <c r="T1104" s="2"/>
      <c r="U1104" s="1"/>
      <c r="V1104" s="2"/>
      <c r="W1104" s="2"/>
      <c r="X1104" s="2"/>
      <c r="Y1104" s="2"/>
      <c r="Z1104" s="2"/>
    </row>
    <row r="1105" spans="1:26" ht="15.75" customHeight="1" x14ac:dyDescent="0.2">
      <c r="A1105" s="12"/>
      <c r="B1105" s="10"/>
      <c r="C1105" s="11"/>
      <c r="D1105" s="13"/>
      <c r="E1105" s="13"/>
      <c r="F1105" s="13"/>
      <c r="G1105" s="2"/>
      <c r="H1105" s="2"/>
      <c r="I1105" s="13"/>
      <c r="J1105" s="13"/>
      <c r="K1105" s="13"/>
      <c r="L1105" s="14"/>
      <c r="M1105" s="4"/>
      <c r="N1105" s="2"/>
      <c r="O1105" s="4"/>
      <c r="P1105" s="2"/>
      <c r="Q1105" s="2"/>
      <c r="R1105" s="4"/>
      <c r="S1105" s="2"/>
      <c r="T1105" s="2"/>
      <c r="U1105" s="1"/>
      <c r="V1105" s="2"/>
      <c r="W1105" s="2"/>
      <c r="X1105" s="2"/>
      <c r="Y1105" s="2"/>
      <c r="Z1105" s="2"/>
    </row>
    <row r="1106" spans="1:26" ht="15.75" customHeight="1" x14ac:dyDescent="0.2">
      <c r="A1106" s="12"/>
      <c r="B1106" s="10"/>
      <c r="C1106" s="11"/>
      <c r="D1106" s="13"/>
      <c r="E1106" s="13"/>
      <c r="F1106" s="13"/>
      <c r="G1106" s="2"/>
      <c r="H1106" s="2"/>
      <c r="I1106" s="13"/>
      <c r="J1106" s="13"/>
      <c r="K1106" s="13"/>
      <c r="L1106" s="14"/>
      <c r="M1106" s="4"/>
      <c r="N1106" s="2"/>
      <c r="O1106" s="4"/>
      <c r="P1106" s="2"/>
      <c r="Q1106" s="2"/>
      <c r="R1106" s="4"/>
      <c r="S1106" s="2"/>
      <c r="T1106" s="2"/>
      <c r="U1106" s="1"/>
      <c r="V1106" s="2"/>
      <c r="W1106" s="2"/>
      <c r="X1106" s="2"/>
      <c r="Y1106" s="2"/>
      <c r="Z1106" s="2"/>
    </row>
    <row r="1107" spans="1:26" ht="15.75" customHeight="1" x14ac:dyDescent="0.2">
      <c r="A1107" s="12"/>
      <c r="B1107" s="10"/>
      <c r="C1107" s="11"/>
      <c r="D1107" s="13"/>
      <c r="E1107" s="13"/>
      <c r="F1107" s="13"/>
      <c r="G1107" s="2"/>
      <c r="H1107" s="2"/>
      <c r="I1107" s="13"/>
      <c r="J1107" s="13"/>
      <c r="K1107" s="13"/>
      <c r="L1107" s="14"/>
      <c r="M1107" s="4"/>
      <c r="N1107" s="2"/>
      <c r="O1107" s="4"/>
      <c r="P1107" s="2"/>
      <c r="Q1107" s="2"/>
      <c r="R1107" s="4"/>
      <c r="S1107" s="2"/>
      <c r="T1107" s="2"/>
      <c r="U1107" s="1"/>
      <c r="V1107" s="2"/>
      <c r="W1107" s="2"/>
      <c r="X1107" s="2"/>
      <c r="Y1107" s="2"/>
      <c r="Z1107" s="2"/>
    </row>
    <row r="1108" spans="1:26" ht="15.75" customHeight="1" x14ac:dyDescent="0.2">
      <c r="A1108" s="12"/>
      <c r="B1108" s="10"/>
      <c r="C1108" s="11"/>
      <c r="D1108" s="13"/>
      <c r="E1108" s="13"/>
      <c r="F1108" s="13"/>
      <c r="G1108" s="2"/>
      <c r="H1108" s="2"/>
      <c r="I1108" s="13"/>
      <c r="J1108" s="13"/>
      <c r="K1108" s="13"/>
      <c r="L1108" s="14"/>
      <c r="M1108" s="4"/>
      <c r="N1108" s="2"/>
      <c r="O1108" s="4"/>
      <c r="P1108" s="2"/>
      <c r="Q1108" s="2"/>
      <c r="R1108" s="4"/>
      <c r="S1108" s="2"/>
      <c r="T1108" s="2"/>
      <c r="U1108" s="1"/>
      <c r="V1108" s="2"/>
      <c r="W1108" s="2"/>
      <c r="X1108" s="2"/>
      <c r="Y1108" s="2"/>
      <c r="Z1108" s="2"/>
    </row>
    <row r="1109" spans="1:26" ht="15.75" customHeight="1" x14ac:dyDescent="0.2">
      <c r="A1109" s="12"/>
      <c r="B1109" s="10"/>
      <c r="C1109" s="11"/>
      <c r="D1109" s="13"/>
      <c r="E1109" s="13"/>
      <c r="F1109" s="13"/>
      <c r="G1109" s="2"/>
      <c r="H1109" s="2"/>
      <c r="I1109" s="13"/>
      <c r="J1109" s="13"/>
      <c r="K1109" s="13"/>
      <c r="L1109" s="14"/>
      <c r="M1109" s="4"/>
      <c r="N1109" s="2"/>
      <c r="O1109" s="4"/>
      <c r="P1109" s="2"/>
      <c r="Q1109" s="2"/>
      <c r="R1109" s="4"/>
      <c r="S1109" s="2"/>
      <c r="T1109" s="2"/>
      <c r="U1109" s="1"/>
      <c r="V1109" s="2"/>
      <c r="W1109" s="2"/>
      <c r="X1109" s="2"/>
      <c r="Y1109" s="2"/>
      <c r="Z1109" s="2"/>
    </row>
    <row r="1110" spans="1:26" ht="15.75" customHeight="1" x14ac:dyDescent="0.2">
      <c r="A1110" s="12"/>
      <c r="B1110" s="10"/>
      <c r="C1110" s="11"/>
      <c r="D1110" s="13"/>
      <c r="E1110" s="13"/>
      <c r="F1110" s="13"/>
      <c r="G1110" s="2"/>
      <c r="H1110" s="2"/>
      <c r="I1110" s="13"/>
      <c r="J1110" s="13"/>
      <c r="K1110" s="13"/>
      <c r="L1110" s="14"/>
      <c r="M1110" s="4"/>
      <c r="N1110" s="2"/>
      <c r="O1110" s="4"/>
      <c r="P1110" s="2"/>
      <c r="Q1110" s="2"/>
      <c r="R1110" s="4"/>
      <c r="S1110" s="2"/>
      <c r="T1110" s="2"/>
      <c r="U1110" s="1"/>
      <c r="V1110" s="2"/>
      <c r="W1110" s="2"/>
      <c r="X1110" s="2"/>
      <c r="Y1110" s="2"/>
      <c r="Z1110" s="2"/>
    </row>
    <row r="1111" spans="1:26" ht="15.75" customHeight="1" x14ac:dyDescent="0.2">
      <c r="A1111" s="12"/>
      <c r="B1111" s="10"/>
      <c r="C1111" s="11"/>
      <c r="D1111" s="13"/>
      <c r="E1111" s="13"/>
      <c r="F1111" s="13"/>
      <c r="G1111" s="2"/>
      <c r="H1111" s="2"/>
      <c r="I1111" s="13"/>
      <c r="J1111" s="13"/>
      <c r="K1111" s="13"/>
      <c r="L1111" s="14"/>
      <c r="M1111" s="4"/>
      <c r="N1111" s="2"/>
      <c r="O1111" s="4"/>
      <c r="P1111" s="2"/>
      <c r="Q1111" s="2"/>
      <c r="R1111" s="4"/>
      <c r="S1111" s="2"/>
      <c r="T1111" s="2"/>
      <c r="U1111" s="1"/>
      <c r="V1111" s="2"/>
      <c r="W1111" s="2"/>
      <c r="X1111" s="2"/>
      <c r="Y1111" s="2"/>
      <c r="Z1111" s="2"/>
    </row>
    <row r="1112" spans="1:26" ht="15.75" customHeight="1" x14ac:dyDescent="0.2">
      <c r="A1112" s="12"/>
      <c r="B1112" s="10"/>
      <c r="C1112" s="11"/>
      <c r="D1112" s="13"/>
      <c r="E1112" s="13"/>
      <c r="F1112" s="13"/>
      <c r="G1112" s="2"/>
      <c r="H1112" s="2"/>
      <c r="I1112" s="13"/>
      <c r="J1112" s="13"/>
      <c r="K1112" s="13"/>
      <c r="L1112" s="14"/>
      <c r="M1112" s="4"/>
      <c r="N1112" s="2"/>
      <c r="O1112" s="4"/>
      <c r="P1112" s="2"/>
      <c r="Q1112" s="2"/>
      <c r="R1112" s="4"/>
      <c r="S1112" s="2"/>
      <c r="T1112" s="2"/>
      <c r="U1112" s="1"/>
      <c r="V1112" s="2"/>
      <c r="W1112" s="2"/>
      <c r="X1112" s="2"/>
      <c r="Y1112" s="2"/>
      <c r="Z1112" s="2"/>
    </row>
    <row r="1113" spans="1:26" ht="15.75" customHeight="1" x14ac:dyDescent="0.2">
      <c r="A1113" s="12"/>
      <c r="B1113" s="10"/>
      <c r="C1113" s="11"/>
      <c r="D1113" s="13"/>
      <c r="E1113" s="13"/>
      <c r="F1113" s="13"/>
      <c r="G1113" s="2"/>
      <c r="H1113" s="2"/>
      <c r="I1113" s="13"/>
      <c r="J1113" s="13"/>
      <c r="K1113" s="13"/>
      <c r="L1113" s="14"/>
      <c r="M1113" s="4"/>
      <c r="N1113" s="2"/>
      <c r="O1113" s="4"/>
      <c r="P1113" s="2"/>
      <c r="Q1113" s="2"/>
      <c r="R1113" s="4"/>
      <c r="S1113" s="2"/>
      <c r="T1113" s="2"/>
      <c r="U1113" s="1"/>
      <c r="V1113" s="2"/>
      <c r="W1113" s="2"/>
      <c r="X1113" s="2"/>
      <c r="Y1113" s="2"/>
      <c r="Z1113" s="2"/>
    </row>
    <row r="1114" spans="1:26" ht="15.75" customHeight="1" x14ac:dyDescent="0.2">
      <c r="A1114" s="12"/>
      <c r="B1114" s="10"/>
      <c r="C1114" s="11"/>
      <c r="D1114" s="13"/>
      <c r="E1114" s="13"/>
      <c r="F1114" s="13"/>
      <c r="G1114" s="2"/>
      <c r="H1114" s="2"/>
      <c r="I1114" s="13"/>
      <c r="J1114" s="13"/>
      <c r="K1114" s="13"/>
      <c r="L1114" s="14"/>
      <c r="M1114" s="4"/>
      <c r="N1114" s="2"/>
      <c r="O1114" s="4"/>
      <c r="P1114" s="2"/>
      <c r="Q1114" s="2"/>
      <c r="R1114" s="4"/>
      <c r="S1114" s="2"/>
      <c r="T1114" s="2"/>
      <c r="U1114" s="1"/>
      <c r="V1114" s="2"/>
      <c r="W1114" s="2"/>
      <c r="X1114" s="2"/>
      <c r="Y1114" s="2"/>
      <c r="Z1114" s="2"/>
    </row>
    <row r="1115" spans="1:26" ht="15.75" customHeight="1" x14ac:dyDescent="0.2">
      <c r="A1115" s="12"/>
      <c r="B1115" s="10"/>
      <c r="C1115" s="11"/>
      <c r="D1115" s="13"/>
      <c r="E1115" s="13"/>
      <c r="F1115" s="13"/>
      <c r="G1115" s="2"/>
      <c r="H1115" s="2"/>
      <c r="I1115" s="13"/>
      <c r="J1115" s="13"/>
      <c r="K1115" s="13"/>
      <c r="L1115" s="14"/>
      <c r="M1115" s="4"/>
      <c r="N1115" s="2"/>
      <c r="O1115" s="4"/>
      <c r="P1115" s="2"/>
      <c r="Q1115" s="2"/>
      <c r="R1115" s="4"/>
      <c r="S1115" s="2"/>
      <c r="T1115" s="2"/>
      <c r="U1115" s="1"/>
      <c r="V1115" s="2"/>
      <c r="W1115" s="2"/>
      <c r="X1115" s="2"/>
      <c r="Y1115" s="2"/>
      <c r="Z1115" s="2"/>
    </row>
    <row r="1116" spans="1:26" ht="15.75" customHeight="1" x14ac:dyDescent="0.2">
      <c r="A1116" s="12"/>
      <c r="B1116" s="10"/>
      <c r="C1116" s="11"/>
      <c r="D1116" s="13"/>
      <c r="E1116" s="13"/>
      <c r="F1116" s="13"/>
      <c r="G1116" s="2"/>
      <c r="H1116" s="2"/>
      <c r="I1116" s="13"/>
      <c r="J1116" s="13"/>
      <c r="K1116" s="13"/>
      <c r="L1116" s="14"/>
      <c r="M1116" s="4"/>
      <c r="N1116" s="2"/>
      <c r="O1116" s="4"/>
      <c r="P1116" s="2"/>
      <c r="Q1116" s="2"/>
      <c r="R1116" s="4"/>
      <c r="S1116" s="2"/>
      <c r="T1116" s="2"/>
      <c r="U1116" s="1"/>
      <c r="V1116" s="2"/>
      <c r="W1116" s="2"/>
      <c r="X1116" s="2"/>
      <c r="Y1116" s="2"/>
      <c r="Z1116" s="2"/>
    </row>
    <row r="1117" spans="1:26" ht="15.75" customHeight="1" x14ac:dyDescent="0.2">
      <c r="A1117" s="12"/>
      <c r="B1117" s="10"/>
      <c r="C1117" s="11"/>
      <c r="D1117" s="13"/>
      <c r="E1117" s="13"/>
      <c r="F1117" s="13"/>
      <c r="G1117" s="2"/>
      <c r="H1117" s="2"/>
      <c r="I1117" s="13"/>
      <c r="J1117" s="13"/>
      <c r="K1117" s="13"/>
      <c r="L1117" s="14"/>
      <c r="M1117" s="4"/>
      <c r="N1117" s="2"/>
      <c r="O1117" s="4"/>
      <c r="P1117" s="2"/>
      <c r="Q1117" s="2"/>
      <c r="R1117" s="4"/>
      <c r="S1117" s="2"/>
      <c r="T1117" s="2"/>
      <c r="U1117" s="1"/>
      <c r="V1117" s="2"/>
      <c r="W1117" s="2"/>
      <c r="X1117" s="2"/>
      <c r="Y1117" s="2"/>
      <c r="Z1117" s="2"/>
    </row>
    <row r="1118" spans="1:26" ht="15.75" customHeight="1" x14ac:dyDescent="0.2">
      <c r="A1118" s="12"/>
      <c r="B1118" s="10"/>
      <c r="C1118" s="11"/>
      <c r="D1118" s="13"/>
      <c r="E1118" s="13"/>
      <c r="F1118" s="13"/>
      <c r="G1118" s="2"/>
      <c r="H1118" s="2"/>
      <c r="I1118" s="13"/>
      <c r="J1118" s="13"/>
      <c r="K1118" s="13"/>
      <c r="L1118" s="14"/>
      <c r="M1118" s="4"/>
      <c r="N1118" s="2"/>
      <c r="O1118" s="4"/>
      <c r="P1118" s="2"/>
      <c r="Q1118" s="2"/>
      <c r="R1118" s="4"/>
      <c r="S1118" s="2"/>
      <c r="T1118" s="2"/>
      <c r="U1118" s="1"/>
      <c r="V1118" s="2"/>
      <c r="W1118" s="2"/>
      <c r="X1118" s="2"/>
      <c r="Y1118" s="2"/>
      <c r="Z1118" s="2"/>
    </row>
    <row r="1119" spans="1:26" ht="15.75" customHeight="1" x14ac:dyDescent="0.2">
      <c r="A1119" s="12"/>
      <c r="B1119" s="10"/>
      <c r="C1119" s="11"/>
      <c r="D1119" s="13"/>
      <c r="E1119" s="13"/>
      <c r="F1119" s="13"/>
      <c r="G1119" s="2"/>
      <c r="H1119" s="2"/>
      <c r="I1119" s="13"/>
      <c r="J1119" s="13"/>
      <c r="K1119" s="13"/>
      <c r="L1119" s="14"/>
      <c r="M1119" s="4"/>
      <c r="N1119" s="2"/>
      <c r="O1119" s="4"/>
      <c r="P1119" s="2"/>
      <c r="Q1119" s="2"/>
      <c r="R1119" s="4"/>
      <c r="S1119" s="2"/>
      <c r="T1119" s="2"/>
      <c r="U1119" s="1"/>
      <c r="V1119" s="2"/>
      <c r="W1119" s="2"/>
      <c r="X1119" s="2"/>
      <c r="Y1119" s="2"/>
      <c r="Z1119" s="2"/>
    </row>
    <row r="1120" spans="1:26" ht="15.75" customHeight="1" x14ac:dyDescent="0.2">
      <c r="A1120" s="12"/>
      <c r="B1120" s="10"/>
      <c r="C1120" s="11"/>
      <c r="D1120" s="13"/>
      <c r="E1120" s="13"/>
      <c r="F1120" s="13"/>
      <c r="G1120" s="2"/>
      <c r="H1120" s="2"/>
      <c r="I1120" s="13"/>
      <c r="J1120" s="13"/>
      <c r="K1120" s="13"/>
      <c r="L1120" s="14"/>
      <c r="M1120" s="4"/>
      <c r="N1120" s="2"/>
      <c r="O1120" s="4"/>
      <c r="P1120" s="2"/>
      <c r="Q1120" s="2"/>
      <c r="R1120" s="4"/>
      <c r="S1120" s="2"/>
      <c r="T1120" s="2"/>
      <c r="U1120" s="1"/>
      <c r="V1120" s="2"/>
      <c r="W1120" s="2"/>
      <c r="X1120" s="2"/>
      <c r="Y1120" s="2"/>
      <c r="Z1120" s="2"/>
    </row>
    <row r="1121" spans="1:26" ht="15.75" customHeight="1" x14ac:dyDescent="0.2">
      <c r="A1121" s="12"/>
      <c r="B1121" s="10"/>
      <c r="C1121" s="11"/>
      <c r="D1121" s="13"/>
      <c r="E1121" s="13"/>
      <c r="F1121" s="13"/>
      <c r="G1121" s="2"/>
      <c r="H1121" s="2"/>
      <c r="I1121" s="13"/>
      <c r="J1121" s="13"/>
      <c r="K1121" s="13"/>
      <c r="L1121" s="14"/>
      <c r="M1121" s="4"/>
      <c r="N1121" s="2"/>
      <c r="O1121" s="4"/>
      <c r="P1121" s="2"/>
      <c r="Q1121" s="2"/>
      <c r="R1121" s="4"/>
      <c r="S1121" s="2"/>
      <c r="T1121" s="2"/>
      <c r="U1121" s="1"/>
      <c r="V1121" s="2"/>
      <c r="W1121" s="2"/>
      <c r="X1121" s="2"/>
      <c r="Y1121" s="2"/>
      <c r="Z1121" s="2"/>
    </row>
    <row r="1122" spans="1:26" ht="15.75" customHeight="1" x14ac:dyDescent="0.2">
      <c r="A1122" s="12"/>
      <c r="B1122" s="10"/>
      <c r="C1122" s="11"/>
      <c r="D1122" s="13"/>
      <c r="E1122" s="13"/>
      <c r="F1122" s="13"/>
      <c r="G1122" s="2"/>
      <c r="H1122" s="2"/>
      <c r="I1122" s="13"/>
      <c r="J1122" s="13"/>
      <c r="K1122" s="13"/>
      <c r="L1122" s="14"/>
      <c r="M1122" s="4"/>
      <c r="N1122" s="2"/>
      <c r="O1122" s="4"/>
      <c r="P1122" s="2"/>
      <c r="Q1122" s="2"/>
      <c r="R1122" s="4"/>
      <c r="S1122" s="2"/>
      <c r="T1122" s="2"/>
      <c r="U1122" s="1"/>
      <c r="V1122" s="2"/>
      <c r="W1122" s="2"/>
      <c r="X1122" s="2"/>
      <c r="Y1122" s="2"/>
      <c r="Z1122" s="2"/>
    </row>
    <row r="1123" spans="1:26" ht="15.75" customHeight="1" x14ac:dyDescent="0.2">
      <c r="A1123" s="12"/>
      <c r="B1123" s="10"/>
      <c r="C1123" s="11"/>
      <c r="D1123" s="13"/>
      <c r="E1123" s="13"/>
      <c r="F1123" s="13"/>
      <c r="G1123" s="2"/>
      <c r="H1123" s="2"/>
      <c r="I1123" s="13"/>
      <c r="J1123" s="13"/>
      <c r="K1123" s="13"/>
      <c r="L1123" s="14"/>
      <c r="M1123" s="4"/>
      <c r="N1123" s="2"/>
      <c r="O1123" s="4"/>
      <c r="P1123" s="2"/>
      <c r="Q1123" s="2"/>
      <c r="R1123" s="4"/>
      <c r="S1123" s="2"/>
      <c r="T1123" s="2"/>
      <c r="U1123" s="1"/>
      <c r="V1123" s="2"/>
      <c r="W1123" s="2"/>
      <c r="X1123" s="2"/>
      <c r="Y1123" s="2"/>
      <c r="Z1123" s="2"/>
    </row>
    <row r="1124" spans="1:26" ht="15.75" customHeight="1" x14ac:dyDescent="0.2">
      <c r="A1124" s="12"/>
      <c r="B1124" s="10"/>
      <c r="C1124" s="11"/>
      <c r="D1124" s="13"/>
      <c r="E1124" s="13"/>
      <c r="F1124" s="13"/>
      <c r="G1124" s="2"/>
      <c r="H1124" s="2"/>
      <c r="I1124" s="13"/>
      <c r="J1124" s="13"/>
      <c r="K1124" s="13"/>
      <c r="L1124" s="14"/>
      <c r="M1124" s="4"/>
      <c r="N1124" s="2"/>
      <c r="O1124" s="4"/>
      <c r="P1124" s="2"/>
      <c r="Q1124" s="2"/>
      <c r="R1124" s="4"/>
      <c r="S1124" s="2"/>
      <c r="T1124" s="2"/>
      <c r="U1124" s="1"/>
      <c r="V1124" s="2"/>
      <c r="W1124" s="2"/>
      <c r="X1124" s="2"/>
      <c r="Y1124" s="2"/>
      <c r="Z1124" s="2"/>
    </row>
    <row r="1125" spans="1:26" ht="15.75" customHeight="1" x14ac:dyDescent="0.2">
      <c r="A1125" s="12"/>
      <c r="B1125" s="10"/>
      <c r="C1125" s="11"/>
      <c r="D1125" s="13"/>
      <c r="E1125" s="13"/>
      <c r="F1125" s="13"/>
      <c r="G1125" s="2"/>
      <c r="H1125" s="2"/>
      <c r="I1125" s="13"/>
      <c r="J1125" s="13"/>
      <c r="K1125" s="13"/>
      <c r="L1125" s="14"/>
      <c r="M1125" s="4"/>
      <c r="N1125" s="2"/>
      <c r="O1125" s="4"/>
      <c r="P1125" s="2"/>
      <c r="Q1125" s="2"/>
      <c r="R1125" s="4"/>
      <c r="S1125" s="2"/>
      <c r="T1125" s="2"/>
      <c r="U1125" s="1"/>
      <c r="V1125" s="2"/>
      <c r="W1125" s="2"/>
      <c r="X1125" s="2"/>
      <c r="Y1125" s="2"/>
      <c r="Z1125" s="2"/>
    </row>
    <row r="1126" spans="1:26" ht="15.75" customHeight="1" x14ac:dyDescent="0.2">
      <c r="A1126" s="12"/>
      <c r="B1126" s="10"/>
      <c r="C1126" s="11"/>
      <c r="D1126" s="13"/>
      <c r="E1126" s="13"/>
      <c r="F1126" s="13"/>
      <c r="G1126" s="2"/>
      <c r="H1126" s="2"/>
      <c r="I1126" s="13"/>
      <c r="J1126" s="13"/>
      <c r="K1126" s="13"/>
      <c r="L1126" s="14"/>
      <c r="M1126" s="4"/>
      <c r="N1126" s="2"/>
      <c r="O1126" s="4"/>
      <c r="P1126" s="2"/>
      <c r="Q1126" s="2"/>
      <c r="R1126" s="4"/>
      <c r="S1126" s="2"/>
      <c r="T1126" s="2"/>
      <c r="U1126" s="1"/>
      <c r="V1126" s="2"/>
      <c r="W1126" s="2"/>
      <c r="X1126" s="2"/>
      <c r="Y1126" s="2"/>
      <c r="Z1126" s="2"/>
    </row>
    <row r="1127" spans="1:26" ht="15.75" customHeight="1" x14ac:dyDescent="0.2">
      <c r="A1127" s="12"/>
      <c r="B1127" s="10"/>
      <c r="C1127" s="11"/>
      <c r="D1127" s="13"/>
      <c r="E1127" s="13"/>
      <c r="F1127" s="13"/>
      <c r="G1127" s="2"/>
      <c r="H1127" s="2"/>
      <c r="I1127" s="13"/>
      <c r="J1127" s="13"/>
      <c r="K1127" s="13"/>
      <c r="L1127" s="14"/>
      <c r="M1127" s="4"/>
      <c r="N1127" s="2"/>
      <c r="O1127" s="4"/>
      <c r="P1127" s="2"/>
      <c r="Q1127" s="2"/>
      <c r="R1127" s="4"/>
      <c r="S1127" s="2"/>
      <c r="T1127" s="2"/>
      <c r="U1127" s="1"/>
      <c r="V1127" s="2"/>
      <c r="W1127" s="2"/>
      <c r="X1127" s="2"/>
      <c r="Y1127" s="2"/>
      <c r="Z1127" s="2"/>
    </row>
    <row r="1128" spans="1:26" ht="15.75" customHeight="1" x14ac:dyDescent="0.2">
      <c r="A1128" s="12"/>
      <c r="B1128" s="10"/>
      <c r="C1128" s="11"/>
      <c r="D1128" s="13"/>
      <c r="E1128" s="13"/>
      <c r="F1128" s="13"/>
      <c r="G1128" s="2"/>
      <c r="H1128" s="2"/>
      <c r="I1128" s="13"/>
      <c r="J1128" s="13"/>
      <c r="K1128" s="13"/>
      <c r="L1128" s="14"/>
      <c r="M1128" s="4"/>
      <c r="N1128" s="2"/>
      <c r="O1128" s="4"/>
      <c r="P1128" s="2"/>
      <c r="Q1128" s="2"/>
      <c r="R1128" s="4"/>
      <c r="S1128" s="2"/>
      <c r="T1128" s="2"/>
      <c r="U1128" s="1"/>
      <c r="V1128" s="2"/>
      <c r="W1128" s="2"/>
      <c r="X1128" s="2"/>
      <c r="Y1128" s="2"/>
      <c r="Z1128" s="2"/>
    </row>
    <row r="1129" spans="1:26" ht="15.75" customHeight="1" x14ac:dyDescent="0.2">
      <c r="A1129" s="12"/>
      <c r="B1129" s="10"/>
      <c r="C1129" s="11"/>
      <c r="D1129" s="13"/>
      <c r="E1129" s="13"/>
      <c r="F1129" s="13"/>
      <c r="G1129" s="2"/>
      <c r="H1129" s="2"/>
      <c r="I1129" s="13"/>
      <c r="J1129" s="13"/>
      <c r="K1129" s="13"/>
      <c r="L1129" s="14"/>
      <c r="M1129" s="4"/>
      <c r="N1129" s="2"/>
      <c r="O1129" s="4"/>
      <c r="P1129" s="2"/>
      <c r="Q1129" s="2"/>
      <c r="R1129" s="4"/>
      <c r="S1129" s="2"/>
      <c r="T1129" s="2"/>
      <c r="U1129" s="1"/>
      <c r="V1129" s="2"/>
      <c r="W1129" s="2"/>
      <c r="X1129" s="2"/>
      <c r="Y1129" s="2"/>
      <c r="Z1129" s="2"/>
    </row>
    <row r="1130" spans="1:26" ht="15.75" customHeight="1" x14ac:dyDescent="0.2">
      <c r="A1130" s="12"/>
      <c r="B1130" s="10"/>
      <c r="C1130" s="11"/>
      <c r="D1130" s="13"/>
      <c r="E1130" s="13"/>
      <c r="F1130" s="13"/>
      <c r="G1130" s="2"/>
      <c r="H1130" s="2"/>
      <c r="I1130" s="13"/>
      <c r="J1130" s="13"/>
      <c r="K1130" s="13"/>
      <c r="L1130" s="14"/>
      <c r="M1130" s="4"/>
      <c r="N1130" s="2"/>
      <c r="O1130" s="4"/>
      <c r="P1130" s="2"/>
      <c r="Q1130" s="2"/>
      <c r="R1130" s="4"/>
      <c r="S1130" s="2"/>
      <c r="T1130" s="2"/>
      <c r="U1130" s="1"/>
      <c r="V1130" s="2"/>
      <c r="W1130" s="2"/>
      <c r="X1130" s="2"/>
      <c r="Y1130" s="2"/>
      <c r="Z1130" s="2"/>
    </row>
    <row r="1131" spans="1:26" ht="15.75" customHeight="1" x14ac:dyDescent="0.2">
      <c r="A1131" s="12"/>
      <c r="B1131" s="10"/>
      <c r="C1131" s="11"/>
      <c r="D1131" s="13"/>
      <c r="E1131" s="13"/>
      <c r="F1131" s="13"/>
      <c r="G1131" s="2"/>
      <c r="H1131" s="2"/>
      <c r="I1131" s="13"/>
      <c r="J1131" s="13"/>
      <c r="K1131" s="13"/>
      <c r="L1131" s="14"/>
      <c r="M1131" s="4"/>
      <c r="N1131" s="2"/>
      <c r="O1131" s="4"/>
      <c r="P1131" s="2"/>
      <c r="Q1131" s="2"/>
      <c r="R1131" s="4"/>
      <c r="S1131" s="2"/>
      <c r="T1131" s="2"/>
      <c r="U1131" s="1"/>
      <c r="V1131" s="2"/>
      <c r="W1131" s="2"/>
      <c r="X1131" s="2"/>
      <c r="Y1131" s="2"/>
      <c r="Z1131" s="2"/>
    </row>
    <row r="1132" spans="1:26" ht="15.75" customHeight="1" x14ac:dyDescent="0.2">
      <c r="A1132" s="12"/>
      <c r="B1132" s="10"/>
      <c r="C1132" s="11"/>
      <c r="D1132" s="13"/>
      <c r="E1132" s="13"/>
      <c r="F1132" s="13"/>
      <c r="G1132" s="2"/>
      <c r="H1132" s="2"/>
      <c r="I1132" s="13"/>
      <c r="J1132" s="13"/>
      <c r="K1132" s="13"/>
      <c r="L1132" s="14"/>
      <c r="M1132" s="4"/>
      <c r="N1132" s="2"/>
      <c r="O1132" s="4"/>
      <c r="P1132" s="2"/>
      <c r="Q1132" s="2"/>
      <c r="R1132" s="4"/>
      <c r="S1132" s="2"/>
      <c r="T1132" s="2"/>
      <c r="U1132" s="1"/>
      <c r="V1132" s="2"/>
      <c r="W1132" s="2"/>
      <c r="X1132" s="2"/>
      <c r="Y1132" s="2"/>
      <c r="Z1132" s="2"/>
    </row>
    <row r="1133" spans="1:26" ht="15.75" customHeight="1" x14ac:dyDescent="0.2">
      <c r="A1133" s="12"/>
      <c r="B1133" s="10"/>
      <c r="C1133" s="11"/>
      <c r="D1133" s="13"/>
      <c r="E1133" s="13"/>
      <c r="F1133" s="13"/>
      <c r="G1133" s="2"/>
      <c r="H1133" s="2"/>
      <c r="I1133" s="13"/>
      <c r="J1133" s="13"/>
      <c r="K1133" s="13"/>
      <c r="L1133" s="14"/>
      <c r="M1133" s="4"/>
      <c r="N1133" s="2"/>
      <c r="O1133" s="4"/>
      <c r="P1133" s="2"/>
      <c r="Q1133" s="2"/>
      <c r="R1133" s="4"/>
      <c r="S1133" s="2"/>
      <c r="T1133" s="2"/>
      <c r="U1133" s="1"/>
      <c r="V1133" s="2"/>
      <c r="W1133" s="2"/>
      <c r="X1133" s="2"/>
      <c r="Y1133" s="2"/>
      <c r="Z1133" s="2"/>
    </row>
    <row r="1134" spans="1:26" ht="15.75" customHeight="1" x14ac:dyDescent="0.2">
      <c r="A1134" s="12"/>
      <c r="B1134" s="10"/>
      <c r="C1134" s="11"/>
      <c r="D1134" s="13"/>
      <c r="E1134" s="13"/>
      <c r="F1134" s="13"/>
      <c r="G1134" s="2"/>
      <c r="H1134" s="2"/>
      <c r="I1134" s="13"/>
      <c r="J1134" s="13"/>
      <c r="K1134" s="13"/>
      <c r="L1134" s="14"/>
      <c r="M1134" s="4"/>
      <c r="N1134" s="2"/>
      <c r="O1134" s="4"/>
      <c r="P1134" s="2"/>
      <c r="Q1134" s="2"/>
      <c r="R1134" s="4"/>
      <c r="S1134" s="2"/>
      <c r="T1134" s="2"/>
      <c r="U1134" s="1"/>
      <c r="V1134" s="2"/>
      <c r="W1134" s="2"/>
      <c r="X1134" s="2"/>
      <c r="Y1134" s="2"/>
      <c r="Z1134" s="2"/>
    </row>
    <row r="1135" spans="1:26" ht="15.75" customHeight="1" x14ac:dyDescent="0.2">
      <c r="A1135" s="12"/>
      <c r="B1135" s="10"/>
      <c r="C1135" s="11"/>
      <c r="D1135" s="13"/>
      <c r="E1135" s="13"/>
      <c r="F1135" s="13"/>
      <c r="G1135" s="2"/>
      <c r="H1135" s="2"/>
      <c r="I1135" s="13"/>
      <c r="J1135" s="13"/>
      <c r="K1135" s="13"/>
      <c r="L1135" s="14"/>
      <c r="M1135" s="4"/>
      <c r="N1135" s="2"/>
      <c r="O1135" s="4"/>
      <c r="P1135" s="2"/>
      <c r="Q1135" s="2"/>
      <c r="R1135" s="4"/>
      <c r="S1135" s="2"/>
      <c r="T1135" s="2"/>
      <c r="U1135" s="1"/>
      <c r="V1135" s="2"/>
      <c r="W1135" s="2"/>
      <c r="X1135" s="2"/>
      <c r="Y1135" s="2"/>
      <c r="Z1135" s="2"/>
    </row>
    <row r="1136" spans="1:26" ht="15.75" customHeight="1" x14ac:dyDescent="0.2">
      <c r="A1136" s="12"/>
      <c r="B1136" s="10"/>
      <c r="C1136" s="11"/>
      <c r="D1136" s="13"/>
      <c r="E1136" s="13"/>
      <c r="F1136" s="13"/>
      <c r="G1136" s="2"/>
      <c r="H1136" s="2"/>
      <c r="I1136" s="13"/>
      <c r="J1136" s="13"/>
      <c r="K1136" s="13"/>
      <c r="L1136" s="14"/>
      <c r="M1136" s="4"/>
      <c r="N1136" s="2"/>
      <c r="O1136" s="4"/>
      <c r="P1136" s="2"/>
      <c r="Q1136" s="2"/>
      <c r="R1136" s="4"/>
      <c r="S1136" s="2"/>
      <c r="T1136" s="2"/>
      <c r="U1136" s="1"/>
      <c r="V1136" s="2"/>
      <c r="W1136" s="2"/>
      <c r="X1136" s="2"/>
      <c r="Y1136" s="2"/>
      <c r="Z1136" s="2"/>
    </row>
    <row r="1137" spans="1:26" ht="15.75" customHeight="1" x14ac:dyDescent="0.2">
      <c r="A1137" s="12"/>
      <c r="B1137" s="10"/>
      <c r="C1137" s="11"/>
      <c r="D1137" s="13"/>
      <c r="E1137" s="13"/>
      <c r="F1137" s="13"/>
      <c r="G1137" s="2"/>
      <c r="H1137" s="2"/>
      <c r="I1137" s="13"/>
      <c r="J1137" s="13"/>
      <c r="K1137" s="13"/>
      <c r="L1137" s="14"/>
      <c r="M1137" s="4"/>
      <c r="N1137" s="2"/>
      <c r="O1137" s="4"/>
      <c r="P1137" s="2"/>
      <c r="Q1137" s="2"/>
      <c r="R1137" s="4"/>
      <c r="S1137" s="2"/>
      <c r="T1137" s="2"/>
      <c r="U1137" s="1"/>
      <c r="V1137" s="2"/>
      <c r="W1137" s="2"/>
      <c r="X1137" s="2"/>
      <c r="Y1137" s="2"/>
      <c r="Z1137" s="2"/>
    </row>
    <row r="1138" spans="1:26" ht="15.75" customHeight="1" x14ac:dyDescent="0.2">
      <c r="A1138" s="12"/>
      <c r="B1138" s="10"/>
      <c r="C1138" s="11"/>
      <c r="D1138" s="13"/>
      <c r="E1138" s="13"/>
      <c r="F1138" s="13"/>
      <c r="G1138" s="2"/>
      <c r="H1138" s="2"/>
      <c r="I1138" s="13"/>
      <c r="J1138" s="13"/>
      <c r="K1138" s="13"/>
      <c r="L1138" s="14"/>
      <c r="M1138" s="4"/>
      <c r="N1138" s="2"/>
      <c r="O1138" s="4"/>
      <c r="P1138" s="2"/>
      <c r="Q1138" s="2"/>
      <c r="R1138" s="4"/>
      <c r="S1138" s="2"/>
      <c r="T1138" s="2"/>
      <c r="U1138" s="1"/>
      <c r="V1138" s="2"/>
      <c r="W1138" s="2"/>
      <c r="X1138" s="2"/>
      <c r="Y1138" s="2"/>
      <c r="Z1138" s="2"/>
    </row>
    <row r="1139" spans="1:26" ht="15.75" customHeight="1" x14ac:dyDescent="0.2">
      <c r="A1139" s="12"/>
      <c r="B1139" s="10"/>
      <c r="C1139" s="11"/>
      <c r="D1139" s="13"/>
      <c r="E1139" s="13"/>
      <c r="F1139" s="13"/>
      <c r="G1139" s="2"/>
      <c r="H1139" s="2"/>
      <c r="I1139" s="13"/>
      <c r="J1139" s="13"/>
      <c r="K1139" s="13"/>
      <c r="L1139" s="14"/>
      <c r="M1139" s="4"/>
      <c r="N1139" s="2"/>
      <c r="O1139" s="4"/>
      <c r="P1139" s="2"/>
      <c r="Q1139" s="2"/>
      <c r="R1139" s="4"/>
      <c r="S1139" s="2"/>
      <c r="T1139" s="2"/>
      <c r="U1139" s="1"/>
      <c r="V1139" s="2"/>
      <c r="W1139" s="2"/>
      <c r="X1139" s="2"/>
      <c r="Y1139" s="2"/>
      <c r="Z1139" s="2"/>
    </row>
    <row r="1140" spans="1:26" ht="15.75" customHeight="1" x14ac:dyDescent="0.2">
      <c r="A1140" s="12"/>
      <c r="B1140" s="10"/>
      <c r="C1140" s="11"/>
      <c r="D1140" s="13"/>
      <c r="E1140" s="13"/>
      <c r="F1140" s="13"/>
      <c r="G1140" s="2"/>
      <c r="H1140" s="2"/>
      <c r="I1140" s="13"/>
      <c r="J1140" s="13"/>
      <c r="K1140" s="13"/>
      <c r="L1140" s="14"/>
      <c r="M1140" s="4"/>
      <c r="N1140" s="2"/>
      <c r="O1140" s="4"/>
      <c r="P1140" s="2"/>
      <c r="Q1140" s="2"/>
      <c r="R1140" s="4"/>
      <c r="S1140" s="2"/>
      <c r="T1140" s="2"/>
      <c r="U1140" s="1"/>
      <c r="V1140" s="2"/>
      <c r="W1140" s="2"/>
      <c r="X1140" s="2"/>
      <c r="Y1140" s="2"/>
      <c r="Z1140" s="2"/>
    </row>
    <row r="1141" spans="1:26" ht="15.75" customHeight="1" x14ac:dyDescent="0.2">
      <c r="A1141" s="12"/>
      <c r="B1141" s="10"/>
      <c r="C1141" s="11"/>
      <c r="D1141" s="13"/>
      <c r="E1141" s="13"/>
      <c r="F1141" s="13"/>
      <c r="G1141" s="2"/>
      <c r="H1141" s="2"/>
      <c r="I1141" s="13"/>
      <c r="J1141" s="13"/>
      <c r="K1141" s="13"/>
      <c r="L1141" s="14"/>
      <c r="M1141" s="4"/>
      <c r="N1141" s="2"/>
      <c r="O1141" s="4"/>
      <c r="P1141" s="2"/>
      <c r="Q1141" s="2"/>
      <c r="R1141" s="4"/>
      <c r="S1141" s="2"/>
      <c r="T1141" s="2"/>
      <c r="U1141" s="1"/>
      <c r="V1141" s="2"/>
      <c r="W1141" s="2"/>
      <c r="X1141" s="2"/>
      <c r="Y1141" s="2"/>
      <c r="Z1141" s="2"/>
    </row>
    <row r="1142" spans="1:26" ht="15.75" customHeight="1" x14ac:dyDescent="0.2">
      <c r="A1142" s="12"/>
      <c r="B1142" s="10"/>
      <c r="C1142" s="11"/>
      <c r="D1142" s="13"/>
      <c r="E1142" s="13"/>
      <c r="F1142" s="13"/>
      <c r="G1142" s="2"/>
      <c r="H1142" s="2"/>
      <c r="I1142" s="13"/>
      <c r="J1142" s="13"/>
      <c r="K1142" s="13"/>
      <c r="L1142" s="14"/>
      <c r="M1142" s="4"/>
      <c r="N1142" s="2"/>
      <c r="O1142" s="4"/>
      <c r="P1142" s="2"/>
      <c r="Q1142" s="2"/>
      <c r="R1142" s="4"/>
      <c r="S1142" s="2"/>
      <c r="T1142" s="2"/>
      <c r="U1142" s="1"/>
      <c r="V1142" s="2"/>
      <c r="W1142" s="2"/>
      <c r="X1142" s="2"/>
      <c r="Y1142" s="2"/>
      <c r="Z1142" s="2"/>
    </row>
    <row r="1143" spans="1:26" ht="15.75" customHeight="1" x14ac:dyDescent="0.2">
      <c r="A1143" s="12"/>
      <c r="B1143" s="10"/>
      <c r="C1143" s="11"/>
      <c r="D1143" s="13"/>
      <c r="E1143" s="13"/>
      <c r="F1143" s="13"/>
      <c r="G1143" s="2"/>
      <c r="H1143" s="2"/>
      <c r="I1143" s="13"/>
      <c r="J1143" s="13"/>
      <c r="K1143" s="13"/>
      <c r="L1143" s="14"/>
      <c r="M1143" s="4"/>
      <c r="N1143" s="2"/>
      <c r="O1143" s="4"/>
      <c r="P1143" s="2"/>
      <c r="Q1143" s="2"/>
      <c r="R1143" s="4"/>
      <c r="S1143" s="2"/>
      <c r="T1143" s="2"/>
      <c r="U1143" s="1"/>
      <c r="V1143" s="2"/>
      <c r="W1143" s="2"/>
      <c r="X1143" s="2"/>
      <c r="Y1143" s="2"/>
      <c r="Z1143" s="2"/>
    </row>
    <row r="1144" spans="1:26" ht="15.75" customHeight="1" x14ac:dyDescent="0.2">
      <c r="A1144" s="12"/>
      <c r="B1144" s="10"/>
      <c r="C1144" s="11"/>
      <c r="D1144" s="13"/>
      <c r="E1144" s="13"/>
      <c r="F1144" s="13"/>
      <c r="G1144" s="2"/>
      <c r="H1144" s="2"/>
      <c r="I1144" s="13"/>
      <c r="J1144" s="13"/>
      <c r="K1144" s="13"/>
      <c r="L1144" s="14"/>
      <c r="M1144" s="4"/>
      <c r="N1144" s="2"/>
      <c r="O1144" s="4"/>
      <c r="P1144" s="2"/>
      <c r="Q1144" s="2"/>
      <c r="R1144" s="4"/>
      <c r="S1144" s="2"/>
      <c r="T1144" s="2"/>
      <c r="U1144" s="1"/>
      <c r="V1144" s="2"/>
      <c r="W1144" s="2"/>
      <c r="X1144" s="2"/>
      <c r="Y1144" s="2"/>
      <c r="Z1144" s="2"/>
    </row>
    <row r="1145" spans="1:26" ht="15.75" customHeight="1" x14ac:dyDescent="0.2">
      <c r="A1145" s="12"/>
      <c r="B1145" s="10"/>
      <c r="C1145" s="11"/>
      <c r="D1145" s="13"/>
      <c r="E1145" s="13"/>
      <c r="F1145" s="13"/>
      <c r="G1145" s="2"/>
      <c r="H1145" s="2"/>
      <c r="I1145" s="13"/>
      <c r="J1145" s="13"/>
      <c r="K1145" s="13"/>
      <c r="L1145" s="14"/>
      <c r="M1145" s="4"/>
      <c r="N1145" s="2"/>
      <c r="O1145" s="4"/>
      <c r="P1145" s="2"/>
      <c r="Q1145" s="2"/>
      <c r="R1145" s="4"/>
      <c r="S1145" s="2"/>
      <c r="T1145" s="2"/>
      <c r="U1145" s="1"/>
      <c r="V1145" s="2"/>
      <c r="W1145" s="2"/>
      <c r="X1145" s="2"/>
      <c r="Y1145" s="2"/>
      <c r="Z1145" s="2"/>
    </row>
    <row r="1146" spans="1:26" ht="15.75" customHeight="1" x14ac:dyDescent="0.2">
      <c r="A1146" s="12"/>
      <c r="B1146" s="10"/>
      <c r="C1146" s="11"/>
      <c r="D1146" s="13"/>
      <c r="E1146" s="13"/>
      <c r="F1146" s="13"/>
      <c r="G1146" s="2"/>
      <c r="H1146" s="2"/>
      <c r="I1146" s="13"/>
      <c r="J1146" s="13"/>
      <c r="K1146" s="13"/>
      <c r="L1146" s="14"/>
      <c r="M1146" s="4"/>
      <c r="N1146" s="2"/>
      <c r="O1146" s="4"/>
      <c r="P1146" s="2"/>
      <c r="Q1146" s="2"/>
      <c r="R1146" s="4"/>
      <c r="S1146" s="2"/>
      <c r="T1146" s="2"/>
      <c r="U1146" s="1"/>
      <c r="V1146" s="2"/>
      <c r="W1146" s="2"/>
      <c r="X1146" s="2"/>
      <c r="Y1146" s="2"/>
      <c r="Z1146" s="2"/>
    </row>
    <row r="1147" spans="1:26" ht="15.75" customHeight="1" x14ac:dyDescent="0.2">
      <c r="A1147" s="12"/>
      <c r="B1147" s="10"/>
      <c r="C1147" s="11"/>
      <c r="D1147" s="13"/>
      <c r="E1147" s="13"/>
      <c r="F1147" s="13"/>
      <c r="G1147" s="2"/>
      <c r="H1147" s="2"/>
      <c r="I1147" s="13"/>
      <c r="J1147" s="13"/>
      <c r="K1147" s="13"/>
      <c r="L1147" s="14"/>
      <c r="M1147" s="4"/>
      <c r="N1147" s="2"/>
      <c r="O1147" s="4"/>
      <c r="P1147" s="2"/>
      <c r="Q1147" s="2"/>
      <c r="R1147" s="4"/>
      <c r="S1147" s="2"/>
      <c r="T1147" s="2"/>
      <c r="U1147" s="1"/>
      <c r="V1147" s="2"/>
      <c r="W1147" s="2"/>
      <c r="X1147" s="2"/>
      <c r="Y1147" s="2"/>
      <c r="Z1147" s="2"/>
    </row>
    <row r="1148" spans="1:26" ht="15.75" customHeight="1" x14ac:dyDescent="0.2">
      <c r="A1148" s="12"/>
      <c r="B1148" s="10"/>
      <c r="C1148" s="11"/>
      <c r="D1148" s="13"/>
      <c r="E1148" s="13"/>
      <c r="F1148" s="13"/>
      <c r="G1148" s="2"/>
      <c r="H1148" s="2"/>
      <c r="I1148" s="13"/>
      <c r="J1148" s="13"/>
      <c r="K1148" s="13"/>
      <c r="L1148" s="14"/>
      <c r="M1148" s="4"/>
      <c r="N1148" s="2"/>
      <c r="O1148" s="4"/>
      <c r="P1148" s="2"/>
      <c r="Q1148" s="2"/>
      <c r="R1148" s="4"/>
      <c r="S1148" s="2"/>
      <c r="T1148" s="2"/>
      <c r="U1148" s="1"/>
      <c r="V1148" s="2"/>
      <c r="W1148" s="2"/>
      <c r="X1148" s="2"/>
      <c r="Y1148" s="2"/>
      <c r="Z1148" s="2"/>
    </row>
    <row r="1149" spans="1:26" ht="15.75" customHeight="1" x14ac:dyDescent="0.2">
      <c r="A1149" s="12"/>
      <c r="B1149" s="10"/>
      <c r="C1149" s="11"/>
      <c r="D1149" s="13"/>
      <c r="E1149" s="13"/>
      <c r="F1149" s="13"/>
      <c r="G1149" s="2"/>
      <c r="H1149" s="2"/>
      <c r="I1149" s="13"/>
      <c r="J1149" s="13"/>
      <c r="K1149" s="13"/>
      <c r="L1149" s="14"/>
      <c r="M1149" s="4"/>
      <c r="N1149" s="2"/>
      <c r="O1149" s="4"/>
      <c r="P1149" s="2"/>
      <c r="Q1149" s="2"/>
      <c r="R1149" s="4"/>
      <c r="S1149" s="2"/>
      <c r="T1149" s="2"/>
      <c r="U1149" s="1"/>
      <c r="V1149" s="2"/>
      <c r="W1149" s="2"/>
      <c r="X1149" s="2"/>
      <c r="Y1149" s="2"/>
      <c r="Z1149" s="2"/>
    </row>
    <row r="1150" spans="1:26" ht="15.75" customHeight="1" x14ac:dyDescent="0.2">
      <c r="A1150" s="12"/>
      <c r="B1150" s="10"/>
      <c r="C1150" s="11"/>
      <c r="D1150" s="13"/>
      <c r="E1150" s="13"/>
      <c r="F1150" s="13"/>
      <c r="G1150" s="2"/>
      <c r="H1150" s="2"/>
      <c r="I1150" s="13"/>
      <c r="J1150" s="13"/>
      <c r="K1150" s="13"/>
      <c r="L1150" s="14"/>
      <c r="M1150" s="4"/>
      <c r="N1150" s="2"/>
      <c r="O1150" s="4"/>
      <c r="P1150" s="2"/>
      <c r="Q1150" s="2"/>
      <c r="R1150" s="4"/>
      <c r="S1150" s="2"/>
      <c r="T1150" s="2"/>
      <c r="U1150" s="1"/>
      <c r="V1150" s="2"/>
      <c r="W1150" s="2"/>
      <c r="X1150" s="2"/>
      <c r="Y1150" s="2"/>
      <c r="Z1150" s="2"/>
    </row>
    <row r="1151" spans="1:26" ht="15.75" customHeight="1" x14ac:dyDescent="0.2">
      <c r="A1151" s="12"/>
      <c r="B1151" s="10"/>
      <c r="C1151" s="11"/>
      <c r="D1151" s="13"/>
      <c r="E1151" s="13"/>
      <c r="F1151" s="13"/>
      <c r="G1151" s="2"/>
      <c r="H1151" s="2"/>
      <c r="I1151" s="13"/>
      <c r="J1151" s="13"/>
      <c r="K1151" s="13"/>
      <c r="L1151" s="14"/>
      <c r="M1151" s="4"/>
      <c r="N1151" s="2"/>
      <c r="O1151" s="4"/>
      <c r="P1151" s="2"/>
      <c r="Q1151" s="2"/>
      <c r="R1151" s="4"/>
      <c r="S1151" s="2"/>
      <c r="T1151" s="2"/>
      <c r="U1151" s="1"/>
      <c r="V1151" s="2"/>
      <c r="W1151" s="2"/>
      <c r="X1151" s="2"/>
      <c r="Y1151" s="2"/>
      <c r="Z1151" s="2"/>
    </row>
    <row r="1152" spans="1:26" ht="15.75" customHeight="1" x14ac:dyDescent="0.2">
      <c r="A1152" s="12"/>
      <c r="B1152" s="10"/>
      <c r="C1152" s="11"/>
      <c r="D1152" s="13"/>
      <c r="E1152" s="13"/>
      <c r="F1152" s="13"/>
      <c r="G1152" s="2"/>
      <c r="H1152" s="2"/>
      <c r="I1152" s="13"/>
      <c r="J1152" s="13"/>
      <c r="K1152" s="13"/>
      <c r="L1152" s="14"/>
      <c r="M1152" s="4"/>
      <c r="N1152" s="2"/>
      <c r="O1152" s="4"/>
      <c r="P1152" s="2"/>
      <c r="Q1152" s="2"/>
      <c r="R1152" s="4"/>
      <c r="S1152" s="2"/>
      <c r="T1152" s="2"/>
      <c r="U1152" s="1"/>
      <c r="V1152" s="2"/>
      <c r="W1152" s="2"/>
      <c r="X1152" s="2"/>
      <c r="Y1152" s="2"/>
      <c r="Z1152" s="2"/>
    </row>
    <row r="1153" spans="1:26" ht="15.75" customHeight="1" x14ac:dyDescent="0.2">
      <c r="A1153" s="12"/>
      <c r="B1153" s="10"/>
      <c r="C1153" s="11"/>
      <c r="D1153" s="13"/>
      <c r="E1153" s="13"/>
      <c r="F1153" s="13"/>
      <c r="G1153" s="2"/>
      <c r="H1153" s="2"/>
      <c r="I1153" s="13"/>
      <c r="J1153" s="13"/>
      <c r="K1153" s="13"/>
      <c r="L1153" s="14"/>
      <c r="M1153" s="4"/>
      <c r="N1153" s="2"/>
      <c r="O1153" s="4"/>
      <c r="P1153" s="2"/>
      <c r="Q1153" s="2"/>
      <c r="R1153" s="4"/>
      <c r="S1153" s="2"/>
      <c r="T1153" s="2"/>
      <c r="U1153" s="1"/>
      <c r="V1153" s="2"/>
      <c r="W1153" s="2"/>
      <c r="X1153" s="2"/>
      <c r="Y1153" s="2"/>
      <c r="Z1153" s="2"/>
    </row>
    <row r="1154" spans="1:26" ht="15.75" customHeight="1" x14ac:dyDescent="0.2">
      <c r="A1154" s="12"/>
      <c r="B1154" s="10"/>
      <c r="C1154" s="11"/>
      <c r="D1154" s="13"/>
      <c r="E1154" s="13"/>
      <c r="F1154" s="13"/>
      <c r="G1154" s="2"/>
      <c r="H1154" s="2"/>
      <c r="I1154" s="13"/>
      <c r="J1154" s="13"/>
      <c r="K1154" s="13"/>
      <c r="L1154" s="14"/>
      <c r="M1154" s="4"/>
      <c r="N1154" s="2"/>
      <c r="O1154" s="4"/>
      <c r="P1154" s="2"/>
      <c r="Q1154" s="2"/>
      <c r="R1154" s="4"/>
      <c r="S1154" s="2"/>
      <c r="T1154" s="2"/>
      <c r="U1154" s="1"/>
      <c r="V1154" s="2"/>
      <c r="W1154" s="2"/>
      <c r="X1154" s="2"/>
      <c r="Y1154" s="2"/>
      <c r="Z1154" s="2"/>
    </row>
    <row r="1155" spans="1:26" ht="15.75" customHeight="1" x14ac:dyDescent="0.2">
      <c r="A1155" s="12"/>
      <c r="B1155" s="10"/>
      <c r="C1155" s="11"/>
      <c r="D1155" s="13"/>
      <c r="E1155" s="13"/>
      <c r="F1155" s="13"/>
      <c r="G1155" s="2"/>
      <c r="H1155" s="2"/>
      <c r="I1155" s="13"/>
      <c r="J1155" s="13"/>
      <c r="K1155" s="13"/>
      <c r="L1155" s="14"/>
      <c r="M1155" s="4"/>
      <c r="N1155" s="2"/>
      <c r="O1155" s="4"/>
      <c r="P1155" s="2"/>
      <c r="Q1155" s="2"/>
      <c r="R1155" s="4"/>
      <c r="S1155" s="2"/>
      <c r="T1155" s="2"/>
      <c r="U1155" s="1"/>
      <c r="V1155" s="2"/>
      <c r="W1155" s="2"/>
      <c r="X1155" s="2"/>
      <c r="Y1155" s="2"/>
      <c r="Z1155" s="2"/>
    </row>
    <row r="1156" spans="1:26" ht="15.75" customHeight="1" x14ac:dyDescent="0.2">
      <c r="A1156" s="12"/>
      <c r="B1156" s="10"/>
      <c r="C1156" s="11"/>
      <c r="D1156" s="13"/>
      <c r="E1156" s="13"/>
      <c r="F1156" s="13"/>
      <c r="G1156" s="2"/>
      <c r="H1156" s="2"/>
      <c r="I1156" s="13"/>
      <c r="J1156" s="13"/>
      <c r="K1156" s="13"/>
      <c r="L1156" s="14"/>
      <c r="M1156" s="4"/>
      <c r="N1156" s="2"/>
      <c r="O1156" s="4"/>
      <c r="P1156" s="2"/>
      <c r="Q1156" s="2"/>
      <c r="R1156" s="4"/>
      <c r="S1156" s="2"/>
      <c r="T1156" s="2"/>
      <c r="U1156" s="1"/>
      <c r="V1156" s="2"/>
      <c r="W1156" s="2"/>
      <c r="X1156" s="2"/>
      <c r="Y1156" s="2"/>
      <c r="Z1156" s="2"/>
    </row>
    <row r="1157" spans="1:26" ht="15.75" customHeight="1" x14ac:dyDescent="0.2">
      <c r="A1157" s="12"/>
      <c r="B1157" s="10"/>
      <c r="C1157" s="11"/>
      <c r="D1157" s="13"/>
      <c r="E1157" s="13"/>
      <c r="F1157" s="13"/>
      <c r="G1157" s="2"/>
      <c r="H1157" s="2"/>
      <c r="I1157" s="13"/>
      <c r="J1157" s="13"/>
      <c r="K1157" s="13"/>
      <c r="L1157" s="14"/>
      <c r="M1157" s="4"/>
      <c r="N1157" s="2"/>
      <c r="O1157" s="4"/>
      <c r="P1157" s="2"/>
      <c r="Q1157" s="2"/>
      <c r="R1157" s="4"/>
      <c r="S1157" s="2"/>
      <c r="T1157" s="2"/>
      <c r="U1157" s="1"/>
      <c r="V1157" s="2"/>
      <c r="W1157" s="2"/>
      <c r="X1157" s="2"/>
      <c r="Y1157" s="2"/>
      <c r="Z1157" s="2"/>
    </row>
    <row r="1158" spans="1:26" ht="15.75" customHeight="1" x14ac:dyDescent="0.2">
      <c r="A1158" s="12"/>
      <c r="B1158" s="10"/>
      <c r="C1158" s="11"/>
      <c r="D1158" s="13"/>
      <c r="E1158" s="13"/>
      <c r="F1158" s="13"/>
      <c r="G1158" s="2"/>
      <c r="H1158" s="2"/>
      <c r="I1158" s="13"/>
      <c r="J1158" s="13"/>
      <c r="K1158" s="13"/>
      <c r="L1158" s="14"/>
      <c r="M1158" s="4"/>
      <c r="N1158" s="2"/>
      <c r="O1158" s="4"/>
      <c r="P1158" s="2"/>
      <c r="Q1158" s="2"/>
      <c r="R1158" s="4"/>
      <c r="S1158" s="2"/>
      <c r="T1158" s="2"/>
      <c r="U1158" s="1"/>
      <c r="V1158" s="2"/>
      <c r="W1158" s="2"/>
      <c r="X1158" s="2"/>
      <c r="Y1158" s="2"/>
      <c r="Z1158" s="2"/>
    </row>
    <row r="1159" spans="1:26" ht="15.75" customHeight="1" x14ac:dyDescent="0.2">
      <c r="A1159" s="12"/>
      <c r="B1159" s="10"/>
      <c r="C1159" s="11"/>
      <c r="D1159" s="13"/>
      <c r="E1159" s="13"/>
      <c r="F1159" s="13"/>
      <c r="G1159" s="2"/>
      <c r="H1159" s="2"/>
      <c r="I1159" s="13"/>
      <c r="J1159" s="13"/>
      <c r="K1159" s="13"/>
      <c r="L1159" s="14"/>
      <c r="M1159" s="4"/>
      <c r="N1159" s="2"/>
      <c r="O1159" s="4"/>
      <c r="P1159" s="2"/>
      <c r="Q1159" s="2"/>
      <c r="R1159" s="4"/>
      <c r="S1159" s="2"/>
      <c r="T1159" s="2"/>
      <c r="U1159" s="1"/>
      <c r="V1159" s="2"/>
      <c r="W1159" s="2"/>
      <c r="X1159" s="2"/>
      <c r="Y1159" s="2"/>
      <c r="Z1159" s="2"/>
    </row>
    <row r="1160" spans="1:26" ht="15.75" customHeight="1" x14ac:dyDescent="0.2">
      <c r="A1160" s="12"/>
      <c r="B1160" s="10"/>
      <c r="C1160" s="11"/>
      <c r="D1160" s="13"/>
      <c r="E1160" s="13"/>
      <c r="F1160" s="13"/>
      <c r="G1160" s="2"/>
      <c r="H1160" s="2"/>
      <c r="I1160" s="13"/>
      <c r="J1160" s="13"/>
      <c r="K1160" s="13"/>
      <c r="L1160" s="14"/>
      <c r="M1160" s="4"/>
      <c r="N1160" s="2"/>
      <c r="O1160" s="4"/>
      <c r="P1160" s="2"/>
      <c r="Q1160" s="2"/>
      <c r="R1160" s="4"/>
      <c r="S1160" s="2"/>
      <c r="T1160" s="2"/>
      <c r="U1160" s="1"/>
      <c r="V1160" s="2"/>
      <c r="W1160" s="2"/>
      <c r="X1160" s="2"/>
      <c r="Y1160" s="2"/>
      <c r="Z1160" s="2"/>
    </row>
    <row r="1161" spans="1:26" ht="15.75" customHeight="1" x14ac:dyDescent="0.2">
      <c r="A1161" s="12"/>
      <c r="B1161" s="10"/>
      <c r="C1161" s="11"/>
      <c r="D1161" s="13"/>
      <c r="E1161" s="13"/>
      <c r="F1161" s="13"/>
      <c r="G1161" s="2"/>
      <c r="H1161" s="2"/>
      <c r="I1161" s="13"/>
      <c r="J1161" s="13"/>
      <c r="K1161" s="13"/>
      <c r="L1161" s="14"/>
      <c r="M1161" s="4"/>
      <c r="N1161" s="2"/>
      <c r="O1161" s="4"/>
      <c r="P1161" s="2"/>
      <c r="Q1161" s="2"/>
      <c r="R1161" s="4"/>
      <c r="S1161" s="2"/>
      <c r="T1161" s="2"/>
      <c r="U1161" s="1"/>
      <c r="V1161" s="2"/>
      <c r="W1161" s="2"/>
      <c r="X1161" s="2"/>
      <c r="Y1161" s="2"/>
      <c r="Z1161" s="2"/>
    </row>
    <row r="1162" spans="1:26" ht="15.75" customHeight="1" x14ac:dyDescent="0.2">
      <c r="A1162" s="12"/>
      <c r="B1162" s="10"/>
      <c r="C1162" s="11"/>
      <c r="D1162" s="13"/>
      <c r="E1162" s="13"/>
      <c r="F1162" s="13"/>
      <c r="G1162" s="2"/>
      <c r="H1162" s="2"/>
      <c r="I1162" s="13"/>
      <c r="J1162" s="13"/>
      <c r="K1162" s="13"/>
      <c r="L1162" s="14"/>
      <c r="M1162" s="4"/>
      <c r="N1162" s="2"/>
      <c r="O1162" s="4"/>
      <c r="P1162" s="2"/>
      <c r="Q1162" s="2"/>
      <c r="R1162" s="4"/>
      <c r="S1162" s="2"/>
      <c r="T1162" s="2"/>
      <c r="U1162" s="1"/>
      <c r="V1162" s="2"/>
      <c r="W1162" s="2"/>
      <c r="X1162" s="2"/>
      <c r="Y1162" s="2"/>
      <c r="Z1162" s="2"/>
    </row>
    <row r="1163" spans="1:26" ht="15.75" customHeight="1" x14ac:dyDescent="0.2">
      <c r="A1163" s="12"/>
      <c r="B1163" s="10"/>
      <c r="C1163" s="11"/>
      <c r="D1163" s="13"/>
      <c r="E1163" s="13"/>
      <c r="F1163" s="13"/>
      <c r="G1163" s="2"/>
      <c r="H1163" s="2"/>
      <c r="I1163" s="13"/>
      <c r="J1163" s="13"/>
      <c r="K1163" s="13"/>
      <c r="L1163" s="14"/>
      <c r="M1163" s="4"/>
      <c r="N1163" s="2"/>
      <c r="O1163" s="4"/>
      <c r="P1163" s="2"/>
      <c r="Q1163" s="2"/>
      <c r="R1163" s="4"/>
      <c r="S1163" s="2"/>
      <c r="T1163" s="2"/>
      <c r="U1163" s="1"/>
      <c r="V1163" s="2"/>
      <c r="W1163" s="2"/>
      <c r="X1163" s="2"/>
      <c r="Y1163" s="2"/>
      <c r="Z1163" s="2"/>
    </row>
    <row r="1164" spans="1:26" ht="15.75" customHeight="1" x14ac:dyDescent="0.2">
      <c r="A1164" s="12"/>
      <c r="B1164" s="10"/>
      <c r="C1164" s="11"/>
      <c r="D1164" s="13"/>
      <c r="E1164" s="13"/>
      <c r="F1164" s="13"/>
      <c r="G1164" s="2"/>
      <c r="H1164" s="2"/>
      <c r="I1164" s="13"/>
      <c r="J1164" s="13"/>
      <c r="K1164" s="13"/>
      <c r="L1164" s="14"/>
      <c r="M1164" s="4"/>
      <c r="N1164" s="2"/>
      <c r="O1164" s="4"/>
      <c r="P1164" s="2"/>
      <c r="Q1164" s="2"/>
      <c r="R1164" s="4"/>
      <c r="S1164" s="2"/>
      <c r="T1164" s="2"/>
      <c r="U1164" s="1"/>
      <c r="V1164" s="2"/>
      <c r="W1164" s="2"/>
      <c r="X1164" s="2"/>
      <c r="Y1164" s="2"/>
      <c r="Z1164" s="2"/>
    </row>
    <row r="1165" spans="1:26" ht="15.75" customHeight="1" x14ac:dyDescent="0.2">
      <c r="A1165" s="12"/>
      <c r="B1165" s="10"/>
      <c r="C1165" s="11"/>
      <c r="D1165" s="13"/>
      <c r="E1165" s="13"/>
      <c r="F1165" s="13"/>
      <c r="G1165" s="2"/>
      <c r="H1165" s="2"/>
      <c r="I1165" s="13"/>
      <c r="J1165" s="13"/>
      <c r="K1165" s="13"/>
      <c r="L1165" s="14"/>
      <c r="M1165" s="4"/>
      <c r="N1165" s="2"/>
      <c r="O1165" s="4"/>
      <c r="P1165" s="2"/>
      <c r="Q1165" s="2"/>
      <c r="R1165" s="4"/>
      <c r="S1165" s="2"/>
      <c r="T1165" s="2"/>
      <c r="U1165" s="1"/>
      <c r="V1165" s="2"/>
      <c r="W1165" s="2"/>
      <c r="X1165" s="2"/>
      <c r="Y1165" s="2"/>
      <c r="Z1165" s="2"/>
    </row>
    <row r="1166" spans="1:26" ht="15.75" customHeight="1" x14ac:dyDescent="0.2">
      <c r="A1166" s="12"/>
      <c r="B1166" s="10"/>
      <c r="C1166" s="11"/>
      <c r="D1166" s="13"/>
      <c r="E1166" s="13"/>
      <c r="F1166" s="13"/>
      <c r="G1166" s="2"/>
      <c r="H1166" s="2"/>
      <c r="I1166" s="13"/>
      <c r="J1166" s="13"/>
      <c r="K1166" s="13"/>
      <c r="L1166" s="14"/>
      <c r="M1166" s="4"/>
      <c r="N1166" s="2"/>
      <c r="O1166" s="4"/>
      <c r="P1166" s="2"/>
      <c r="Q1166" s="2"/>
      <c r="R1166" s="4"/>
      <c r="S1166" s="2"/>
      <c r="T1166" s="2"/>
      <c r="U1166" s="1"/>
      <c r="V1166" s="2"/>
      <c r="W1166" s="2"/>
      <c r="X1166" s="2"/>
      <c r="Y1166" s="2"/>
      <c r="Z1166" s="2"/>
    </row>
    <row r="1167" spans="1:26" ht="15.75" customHeight="1" x14ac:dyDescent="0.2">
      <c r="A1167" s="12"/>
      <c r="B1167" s="10"/>
      <c r="C1167" s="11"/>
      <c r="D1167" s="13"/>
      <c r="E1167" s="13"/>
      <c r="F1167" s="13"/>
      <c r="G1167" s="2"/>
      <c r="H1167" s="2"/>
      <c r="I1167" s="13"/>
      <c r="J1167" s="13"/>
      <c r="K1167" s="13"/>
      <c r="L1167" s="14"/>
      <c r="M1167" s="4"/>
      <c r="N1167" s="2"/>
      <c r="O1167" s="4"/>
      <c r="P1167" s="2"/>
      <c r="Q1167" s="2"/>
      <c r="R1167" s="4"/>
      <c r="S1167" s="2"/>
      <c r="T1167" s="2"/>
      <c r="U1167" s="1"/>
      <c r="V1167" s="2"/>
      <c r="W1167" s="2"/>
      <c r="X1167" s="2"/>
      <c r="Y1167" s="2"/>
      <c r="Z1167" s="2"/>
    </row>
    <row r="1168" spans="1:26" ht="15.75" customHeight="1" x14ac:dyDescent="0.2">
      <c r="A1168" s="12"/>
      <c r="B1168" s="10"/>
      <c r="C1168" s="11"/>
      <c r="D1168" s="13"/>
      <c r="E1168" s="13"/>
      <c r="F1168" s="13"/>
      <c r="G1168" s="2"/>
      <c r="H1168" s="2"/>
      <c r="I1168" s="13"/>
      <c r="J1168" s="13"/>
      <c r="K1168" s="13"/>
      <c r="L1168" s="14"/>
      <c r="M1168" s="4"/>
      <c r="N1168" s="2"/>
      <c r="O1168" s="4"/>
      <c r="P1168" s="2"/>
      <c r="Q1168" s="2"/>
      <c r="R1168" s="4"/>
      <c r="S1168" s="2"/>
      <c r="T1168" s="2"/>
      <c r="U1168" s="1"/>
      <c r="V1168" s="2"/>
      <c r="W1168" s="2"/>
      <c r="X1168" s="2"/>
      <c r="Y1168" s="2"/>
      <c r="Z1168" s="2"/>
    </row>
    <row r="1169" spans="1:26" ht="15.75" customHeight="1" x14ac:dyDescent="0.2">
      <c r="A1169" s="12"/>
      <c r="B1169" s="10"/>
      <c r="C1169" s="11"/>
      <c r="D1169" s="13"/>
      <c r="E1169" s="13"/>
      <c r="F1169" s="13"/>
      <c r="G1169" s="2"/>
      <c r="H1169" s="2"/>
      <c r="I1169" s="13"/>
      <c r="J1169" s="13"/>
      <c r="K1169" s="13"/>
      <c r="L1169" s="14"/>
      <c r="M1169" s="4"/>
      <c r="N1169" s="2"/>
      <c r="O1169" s="4"/>
      <c r="P1169" s="2"/>
      <c r="Q1169" s="2"/>
      <c r="R1169" s="4"/>
      <c r="S1169" s="2"/>
      <c r="T1169" s="2"/>
      <c r="U1169" s="1"/>
      <c r="V1169" s="2"/>
      <c r="W1169" s="2"/>
      <c r="X1169" s="2"/>
      <c r="Y1169" s="2"/>
      <c r="Z1169" s="2"/>
    </row>
    <row r="1170" spans="1:26" ht="15.75" customHeight="1" x14ac:dyDescent="0.2">
      <c r="A1170" s="12"/>
      <c r="B1170" s="10"/>
      <c r="C1170" s="11"/>
      <c r="D1170" s="13"/>
      <c r="E1170" s="13"/>
      <c r="F1170" s="13"/>
      <c r="G1170" s="2"/>
      <c r="H1170" s="2"/>
      <c r="I1170" s="13"/>
      <c r="J1170" s="13"/>
      <c r="K1170" s="13"/>
      <c r="L1170" s="14"/>
      <c r="M1170" s="4"/>
      <c r="N1170" s="2"/>
      <c r="O1170" s="4"/>
      <c r="P1170" s="2"/>
      <c r="Q1170" s="2"/>
      <c r="R1170" s="4"/>
      <c r="S1170" s="2"/>
      <c r="T1170" s="2"/>
      <c r="U1170" s="1"/>
      <c r="V1170" s="2"/>
      <c r="W1170" s="2"/>
      <c r="X1170" s="2"/>
      <c r="Y1170" s="2"/>
      <c r="Z1170" s="2"/>
    </row>
    <row r="1171" spans="1:26" ht="15.75" customHeight="1" x14ac:dyDescent="0.2">
      <c r="A1171" s="12"/>
      <c r="B1171" s="10"/>
      <c r="C1171" s="11"/>
      <c r="D1171" s="13"/>
      <c r="E1171" s="13"/>
      <c r="F1171" s="13"/>
      <c r="G1171" s="2"/>
      <c r="H1171" s="2"/>
      <c r="I1171" s="13"/>
      <c r="J1171" s="13"/>
      <c r="K1171" s="13"/>
      <c r="L1171" s="14"/>
      <c r="M1171" s="4"/>
      <c r="N1171" s="2"/>
      <c r="O1171" s="4"/>
      <c r="P1171" s="2"/>
      <c r="Q1171" s="2"/>
      <c r="R1171" s="4"/>
      <c r="S1171" s="2"/>
      <c r="T1171" s="2"/>
      <c r="U1171" s="1"/>
      <c r="V1171" s="2"/>
      <c r="W1171" s="2"/>
      <c r="X1171" s="2"/>
      <c r="Y1171" s="2"/>
      <c r="Z1171" s="2"/>
    </row>
    <row r="1172" spans="1:26" ht="15.75" customHeight="1" x14ac:dyDescent="0.2">
      <c r="A1172" s="12"/>
      <c r="B1172" s="10"/>
      <c r="C1172" s="11"/>
      <c r="D1172" s="13"/>
      <c r="E1172" s="13"/>
      <c r="F1172" s="13"/>
      <c r="G1172" s="2"/>
      <c r="H1172" s="2"/>
      <c r="I1172" s="13"/>
      <c r="J1172" s="13"/>
      <c r="K1172" s="13"/>
      <c r="L1172" s="14"/>
      <c r="M1172" s="4"/>
      <c r="N1172" s="2"/>
      <c r="O1172" s="4"/>
      <c r="P1172" s="2"/>
      <c r="Q1172" s="2"/>
      <c r="R1172" s="4"/>
      <c r="S1172" s="2"/>
      <c r="T1172" s="2"/>
      <c r="U1172" s="1"/>
      <c r="V1172" s="2"/>
      <c r="W1172" s="2"/>
      <c r="X1172" s="2"/>
      <c r="Y1172" s="2"/>
      <c r="Z1172" s="2"/>
    </row>
    <row r="1173" spans="1:26" ht="15.75" customHeight="1" x14ac:dyDescent="0.2">
      <c r="A1173" s="12"/>
      <c r="B1173" s="10"/>
      <c r="C1173" s="11"/>
      <c r="D1173" s="13"/>
      <c r="E1173" s="13"/>
      <c r="F1173" s="13"/>
      <c r="G1173" s="2"/>
      <c r="H1173" s="2"/>
      <c r="I1173" s="13"/>
      <c r="J1173" s="13"/>
      <c r="K1173" s="13"/>
      <c r="L1173" s="14"/>
      <c r="M1173" s="4"/>
      <c r="N1173" s="2"/>
      <c r="O1173" s="4"/>
      <c r="P1173" s="2"/>
      <c r="Q1173" s="2"/>
      <c r="R1173" s="4"/>
      <c r="S1173" s="2"/>
      <c r="T1173" s="2"/>
      <c r="U1173" s="1"/>
      <c r="V1173" s="2"/>
      <c r="W1173" s="2"/>
      <c r="X1173" s="2"/>
      <c r="Y1173" s="2"/>
      <c r="Z1173" s="2"/>
    </row>
    <row r="1174" spans="1:26" ht="15.75" customHeight="1" x14ac:dyDescent="0.2">
      <c r="A1174" s="12"/>
      <c r="B1174" s="10"/>
      <c r="C1174" s="11"/>
      <c r="D1174" s="13"/>
      <c r="E1174" s="13"/>
      <c r="F1174" s="13"/>
      <c r="G1174" s="2"/>
      <c r="H1174" s="2"/>
      <c r="I1174" s="13"/>
      <c r="J1174" s="13"/>
      <c r="K1174" s="13"/>
      <c r="L1174" s="14"/>
      <c r="M1174" s="4"/>
      <c r="N1174" s="2"/>
      <c r="O1174" s="4"/>
      <c r="P1174" s="2"/>
      <c r="Q1174" s="2"/>
      <c r="R1174" s="4"/>
      <c r="S1174" s="2"/>
      <c r="T1174" s="2"/>
      <c r="U1174" s="1"/>
      <c r="V1174" s="2"/>
      <c r="W1174" s="2"/>
      <c r="X1174" s="2"/>
      <c r="Y1174" s="2"/>
      <c r="Z1174" s="2"/>
    </row>
    <row r="1175" spans="1:26" ht="15.75" customHeight="1" x14ac:dyDescent="0.2">
      <c r="A1175" s="12"/>
      <c r="B1175" s="10"/>
      <c r="C1175" s="11"/>
      <c r="D1175" s="13"/>
      <c r="E1175" s="13"/>
      <c r="F1175" s="13"/>
      <c r="G1175" s="2"/>
      <c r="H1175" s="2"/>
      <c r="I1175" s="13"/>
      <c r="J1175" s="13"/>
      <c r="K1175" s="13"/>
      <c r="L1175" s="14"/>
      <c r="M1175" s="4"/>
      <c r="N1175" s="2"/>
      <c r="O1175" s="4"/>
      <c r="P1175" s="2"/>
      <c r="Q1175" s="2"/>
      <c r="R1175" s="4"/>
      <c r="S1175" s="2"/>
      <c r="T1175" s="2"/>
      <c r="U1175" s="1"/>
      <c r="V1175" s="2"/>
      <c r="W1175" s="2"/>
      <c r="X1175" s="2"/>
      <c r="Y1175" s="2"/>
      <c r="Z1175" s="2"/>
    </row>
    <row r="1176" spans="1:26" ht="15.75" customHeight="1" x14ac:dyDescent="0.2">
      <c r="A1176" s="12"/>
      <c r="B1176" s="10"/>
      <c r="C1176" s="11"/>
      <c r="D1176" s="13"/>
      <c r="E1176" s="13"/>
      <c r="F1176" s="13"/>
      <c r="G1176" s="2"/>
      <c r="H1176" s="2"/>
      <c r="I1176" s="13"/>
      <c r="J1176" s="13"/>
      <c r="K1176" s="13"/>
      <c r="L1176" s="14"/>
      <c r="M1176" s="4"/>
      <c r="N1176" s="2"/>
      <c r="O1176" s="4"/>
      <c r="P1176" s="2"/>
      <c r="Q1176" s="2"/>
      <c r="R1176" s="4"/>
      <c r="S1176" s="2"/>
      <c r="T1176" s="2"/>
      <c r="U1176" s="1"/>
      <c r="V1176" s="2"/>
      <c r="W1176" s="2"/>
      <c r="X1176" s="2"/>
      <c r="Y1176" s="2"/>
      <c r="Z1176" s="2"/>
    </row>
    <row r="1177" spans="1:26" ht="15.75" customHeight="1" x14ac:dyDescent="0.2">
      <c r="A1177" s="12"/>
      <c r="B1177" s="10"/>
      <c r="C1177" s="11"/>
      <c r="D1177" s="13"/>
      <c r="E1177" s="13"/>
      <c r="F1177" s="13"/>
      <c r="G1177" s="2"/>
      <c r="H1177" s="2"/>
      <c r="I1177" s="13"/>
      <c r="J1177" s="13"/>
      <c r="K1177" s="13"/>
      <c r="L1177" s="14"/>
      <c r="M1177" s="4"/>
      <c r="N1177" s="2"/>
      <c r="O1177" s="4"/>
      <c r="P1177" s="2"/>
      <c r="Q1177" s="2"/>
      <c r="R1177" s="4"/>
      <c r="S1177" s="2"/>
      <c r="T1177" s="2"/>
      <c r="U1177" s="1"/>
      <c r="V1177" s="2"/>
      <c r="W1177" s="2"/>
      <c r="X1177" s="2"/>
      <c r="Y1177" s="2"/>
      <c r="Z1177" s="2"/>
    </row>
    <row r="1178" spans="1:26" ht="15.75" customHeight="1" x14ac:dyDescent="0.2">
      <c r="A1178" s="12"/>
      <c r="B1178" s="10"/>
      <c r="C1178" s="11"/>
      <c r="D1178" s="13"/>
      <c r="E1178" s="13"/>
      <c r="F1178" s="13"/>
      <c r="G1178" s="2"/>
      <c r="H1178" s="2"/>
      <c r="I1178" s="13"/>
      <c r="J1178" s="13"/>
      <c r="K1178" s="13"/>
      <c r="L1178" s="14"/>
      <c r="M1178" s="4"/>
      <c r="N1178" s="2"/>
      <c r="O1178" s="4"/>
      <c r="P1178" s="2"/>
      <c r="Q1178" s="2"/>
      <c r="R1178" s="4"/>
      <c r="S1178" s="2"/>
      <c r="T1178" s="2"/>
      <c r="U1178" s="1"/>
      <c r="V1178" s="2"/>
      <c r="W1178" s="2"/>
      <c r="X1178" s="2"/>
      <c r="Y1178" s="2"/>
      <c r="Z1178" s="2"/>
    </row>
    <row r="1179" spans="1:26" ht="15.75" customHeight="1" x14ac:dyDescent="0.2">
      <c r="A1179" s="12"/>
      <c r="B1179" s="10"/>
      <c r="C1179" s="11"/>
      <c r="D1179" s="13"/>
      <c r="E1179" s="13"/>
      <c r="F1179" s="13"/>
      <c r="G1179" s="2"/>
      <c r="H1179" s="2"/>
      <c r="I1179" s="13"/>
      <c r="J1179" s="13"/>
      <c r="K1179" s="13"/>
      <c r="L1179" s="14"/>
      <c r="M1179" s="4"/>
      <c r="N1179" s="2"/>
      <c r="O1179" s="4"/>
      <c r="P1179" s="2"/>
      <c r="Q1179" s="2"/>
      <c r="R1179" s="4"/>
      <c r="S1179" s="2"/>
      <c r="T1179" s="2"/>
      <c r="U1179" s="1"/>
      <c r="V1179" s="2"/>
      <c r="W1179" s="2"/>
      <c r="X1179" s="2"/>
      <c r="Y1179" s="2"/>
      <c r="Z1179" s="2"/>
    </row>
    <row r="1180" spans="1:26" ht="15.75" customHeight="1" x14ac:dyDescent="0.2">
      <c r="A1180" s="12"/>
      <c r="B1180" s="10"/>
      <c r="C1180" s="11"/>
      <c r="D1180" s="13"/>
      <c r="E1180" s="13"/>
      <c r="F1180" s="13"/>
      <c r="G1180" s="2"/>
      <c r="H1180" s="2"/>
      <c r="I1180" s="13"/>
      <c r="J1180" s="13"/>
      <c r="K1180" s="13"/>
      <c r="L1180" s="14"/>
      <c r="M1180" s="4"/>
      <c r="N1180" s="2"/>
      <c r="O1180" s="4"/>
      <c r="P1180" s="2"/>
      <c r="Q1180" s="2"/>
      <c r="R1180" s="4"/>
      <c r="S1180" s="2"/>
      <c r="T1180" s="2"/>
      <c r="U1180" s="1"/>
      <c r="V1180" s="2"/>
      <c r="W1180" s="2"/>
      <c r="X1180" s="2"/>
      <c r="Y1180" s="2"/>
      <c r="Z1180" s="2"/>
    </row>
    <row r="1181" spans="1:26" ht="15.75" customHeight="1" x14ac:dyDescent="0.2">
      <c r="A1181" s="12"/>
      <c r="B1181" s="10"/>
      <c r="C1181" s="11"/>
      <c r="D1181" s="13"/>
      <c r="E1181" s="13"/>
      <c r="F1181" s="13"/>
      <c r="G1181" s="2"/>
      <c r="H1181" s="2"/>
      <c r="I1181" s="13"/>
      <c r="J1181" s="13"/>
      <c r="K1181" s="13"/>
      <c r="L1181" s="14"/>
      <c r="M1181" s="4"/>
      <c r="N1181" s="2"/>
      <c r="O1181" s="4"/>
      <c r="P1181" s="2"/>
      <c r="Q1181" s="2"/>
      <c r="R1181" s="4"/>
      <c r="S1181" s="2"/>
      <c r="T1181" s="2"/>
      <c r="U1181" s="1"/>
      <c r="V1181" s="2"/>
      <c r="W1181" s="2"/>
      <c r="X1181" s="2"/>
      <c r="Y1181" s="2"/>
      <c r="Z1181" s="2"/>
    </row>
    <row r="1182" spans="1:26" ht="15.75" customHeight="1" x14ac:dyDescent="0.2">
      <c r="A1182" s="12"/>
      <c r="B1182" s="10"/>
      <c r="C1182" s="11"/>
      <c r="D1182" s="13"/>
      <c r="E1182" s="13"/>
      <c r="F1182" s="13"/>
      <c r="G1182" s="2"/>
      <c r="H1182" s="2"/>
      <c r="I1182" s="13"/>
      <c r="J1182" s="13"/>
      <c r="K1182" s="13"/>
      <c r="L1182" s="14"/>
      <c r="M1182" s="4"/>
      <c r="N1182" s="2"/>
      <c r="O1182" s="4"/>
      <c r="P1182" s="2"/>
      <c r="Q1182" s="2"/>
      <c r="R1182" s="4"/>
      <c r="S1182" s="2"/>
      <c r="T1182" s="2"/>
      <c r="U1182" s="1"/>
      <c r="V1182" s="2"/>
      <c r="W1182" s="2"/>
      <c r="X1182" s="2"/>
      <c r="Y1182" s="2"/>
      <c r="Z1182" s="2"/>
    </row>
    <row r="1183" spans="1:26" ht="15.75" customHeight="1" x14ac:dyDescent="0.2">
      <c r="A1183" s="12"/>
      <c r="B1183" s="10"/>
      <c r="C1183" s="11"/>
      <c r="D1183" s="13"/>
      <c r="E1183" s="13"/>
      <c r="F1183" s="13"/>
      <c r="G1183" s="2"/>
      <c r="H1183" s="2"/>
      <c r="I1183" s="13"/>
      <c r="J1183" s="13"/>
      <c r="K1183" s="13"/>
      <c r="L1183" s="14"/>
      <c r="M1183" s="4"/>
      <c r="N1183" s="2"/>
      <c r="O1183" s="4"/>
      <c r="P1183" s="2"/>
      <c r="Q1183" s="2"/>
      <c r="R1183" s="4"/>
      <c r="S1183" s="2"/>
      <c r="T1183" s="2"/>
      <c r="U1183" s="1"/>
      <c r="V1183" s="2"/>
      <c r="W1183" s="2"/>
      <c r="X1183" s="2"/>
      <c r="Y1183" s="2"/>
      <c r="Z1183" s="2"/>
    </row>
    <row r="1184" spans="1:26" ht="15.75" customHeight="1" x14ac:dyDescent="0.2">
      <c r="A1184" s="12"/>
      <c r="B1184" s="10"/>
      <c r="C1184" s="11"/>
      <c r="D1184" s="13"/>
      <c r="E1184" s="13"/>
      <c r="F1184" s="13"/>
      <c r="G1184" s="2"/>
      <c r="H1184" s="2"/>
      <c r="I1184" s="13"/>
      <c r="J1184" s="13"/>
      <c r="K1184" s="13"/>
      <c r="L1184" s="14"/>
      <c r="M1184" s="4"/>
      <c r="N1184" s="2"/>
      <c r="O1184" s="4"/>
      <c r="P1184" s="2"/>
      <c r="Q1184" s="2"/>
      <c r="R1184" s="4"/>
      <c r="S1184" s="2"/>
      <c r="T1184" s="2"/>
      <c r="U1184" s="1"/>
      <c r="V1184" s="2"/>
      <c r="W1184" s="2"/>
      <c r="X1184" s="2"/>
      <c r="Y1184" s="2"/>
      <c r="Z1184" s="2"/>
    </row>
    <row r="1185" spans="1:26" ht="15.75" customHeight="1" x14ac:dyDescent="0.2">
      <c r="A1185" s="12"/>
      <c r="B1185" s="10"/>
      <c r="C1185" s="11"/>
      <c r="D1185" s="13"/>
      <c r="E1185" s="13"/>
      <c r="F1185" s="13"/>
      <c r="G1185" s="2"/>
      <c r="H1185" s="2"/>
      <c r="I1185" s="13"/>
      <c r="J1185" s="13"/>
      <c r="K1185" s="13"/>
      <c r="L1185" s="14"/>
      <c r="M1185" s="4"/>
      <c r="N1185" s="2"/>
      <c r="O1185" s="4"/>
      <c r="P1185" s="2"/>
      <c r="Q1185" s="2"/>
      <c r="R1185" s="4"/>
      <c r="S1185" s="2"/>
      <c r="T1185" s="2"/>
      <c r="U1185" s="1"/>
      <c r="V1185" s="2"/>
      <c r="W1185" s="2"/>
      <c r="X1185" s="2"/>
      <c r="Y1185" s="2"/>
      <c r="Z1185" s="2"/>
    </row>
    <row r="1186" spans="1:26" ht="15.75" customHeight="1" x14ac:dyDescent="0.2">
      <c r="A1186" s="12"/>
      <c r="B1186" s="10"/>
      <c r="C1186" s="11"/>
      <c r="D1186" s="13"/>
      <c r="E1186" s="13"/>
      <c r="F1186" s="13"/>
      <c r="G1186" s="2"/>
      <c r="H1186" s="2"/>
      <c r="I1186" s="13"/>
      <c r="J1186" s="13"/>
      <c r="K1186" s="13"/>
      <c r="L1186" s="14"/>
      <c r="M1186" s="4"/>
      <c r="N1186" s="2"/>
      <c r="O1186" s="4"/>
      <c r="P1186" s="2"/>
      <c r="Q1186" s="2"/>
      <c r="R1186" s="4"/>
      <c r="S1186" s="2"/>
      <c r="T1186" s="2"/>
      <c r="U1186" s="1"/>
      <c r="V1186" s="2"/>
      <c r="W1186" s="2"/>
      <c r="X1186" s="2"/>
      <c r="Y1186" s="2"/>
      <c r="Z1186" s="2"/>
    </row>
    <row r="1187" spans="1:26" ht="15.75" customHeight="1" x14ac:dyDescent="0.2">
      <c r="A1187" s="12"/>
      <c r="B1187" s="10"/>
      <c r="C1187" s="11"/>
      <c r="D1187" s="13"/>
      <c r="E1187" s="13"/>
      <c r="F1187" s="13"/>
      <c r="G1187" s="2"/>
      <c r="H1187" s="2"/>
      <c r="I1187" s="13"/>
      <c r="J1187" s="13"/>
      <c r="K1187" s="13"/>
      <c r="L1187" s="14"/>
      <c r="M1187" s="4"/>
      <c r="N1187" s="2"/>
      <c r="O1187" s="4"/>
      <c r="P1187" s="2"/>
      <c r="Q1187" s="2"/>
      <c r="R1187" s="4"/>
      <c r="S1187" s="2"/>
      <c r="T1187" s="2"/>
      <c r="U1187" s="1"/>
      <c r="V1187" s="2"/>
      <c r="W1187" s="2"/>
      <c r="X1187" s="2"/>
      <c r="Y1187" s="2"/>
      <c r="Z1187" s="2"/>
    </row>
    <row r="1188" spans="1:26" ht="15.75" customHeight="1" x14ac:dyDescent="0.2">
      <c r="A1188" s="12"/>
      <c r="B1188" s="10"/>
      <c r="C1188" s="11"/>
      <c r="D1188" s="13"/>
      <c r="E1188" s="13"/>
      <c r="F1188" s="13"/>
      <c r="G1188" s="2"/>
      <c r="H1188" s="2"/>
      <c r="I1188" s="13"/>
      <c r="J1188" s="13"/>
      <c r="K1188" s="13"/>
      <c r="L1188" s="14"/>
      <c r="M1188" s="4"/>
      <c r="N1188" s="2"/>
      <c r="O1188" s="4"/>
      <c r="P1188" s="2"/>
      <c r="Q1188" s="2"/>
      <c r="R1188" s="4"/>
      <c r="S1188" s="2"/>
      <c r="T1188" s="2"/>
      <c r="U1188" s="1"/>
      <c r="V1188" s="2"/>
      <c r="W1188" s="2"/>
      <c r="X1188" s="2"/>
      <c r="Y1188" s="2"/>
      <c r="Z1188" s="2"/>
    </row>
    <row r="1189" spans="1:26" ht="15.75" customHeight="1" x14ac:dyDescent="0.2">
      <c r="A1189" s="12"/>
      <c r="B1189" s="10"/>
      <c r="C1189" s="11"/>
      <c r="D1189" s="13"/>
      <c r="E1189" s="13"/>
      <c r="F1189" s="13"/>
      <c r="G1189" s="2"/>
      <c r="H1189" s="2"/>
      <c r="I1189" s="13"/>
      <c r="J1189" s="13"/>
      <c r="K1189" s="13"/>
      <c r="L1189" s="14"/>
      <c r="M1189" s="4"/>
      <c r="N1189" s="2"/>
      <c r="O1189" s="4"/>
      <c r="P1189" s="2"/>
      <c r="Q1189" s="2"/>
      <c r="R1189" s="4"/>
      <c r="S1189" s="2"/>
      <c r="T1189" s="2"/>
      <c r="U1189" s="1"/>
      <c r="V1189" s="2"/>
      <c r="W1189" s="2"/>
      <c r="X1189" s="2"/>
      <c r="Y1189" s="2"/>
      <c r="Z1189" s="2"/>
    </row>
    <row r="1190" spans="1:26" ht="15.75" customHeight="1" x14ac:dyDescent="0.2">
      <c r="A1190" s="12"/>
      <c r="B1190" s="10"/>
      <c r="C1190" s="11"/>
      <c r="D1190" s="13"/>
      <c r="E1190" s="13"/>
      <c r="F1190" s="13"/>
      <c r="G1190" s="2"/>
      <c r="H1190" s="2"/>
      <c r="I1190" s="13"/>
      <c r="J1190" s="13"/>
      <c r="K1190" s="13"/>
      <c r="L1190" s="14"/>
      <c r="M1190" s="4"/>
      <c r="N1190" s="2"/>
      <c r="O1190" s="4"/>
      <c r="P1190" s="2"/>
      <c r="Q1190" s="2"/>
      <c r="R1190" s="4"/>
      <c r="S1190" s="2"/>
      <c r="T1190" s="2"/>
      <c r="U1190" s="1"/>
      <c r="V1190" s="2"/>
      <c r="W1190" s="2"/>
      <c r="X1190" s="2"/>
      <c r="Y1190" s="2"/>
      <c r="Z1190" s="2"/>
    </row>
    <row r="1191" spans="1:26" ht="15.75" customHeight="1" x14ac:dyDescent="0.2">
      <c r="A1191" s="12"/>
      <c r="B1191" s="10"/>
      <c r="C1191" s="11"/>
      <c r="D1191" s="13"/>
      <c r="E1191" s="13"/>
      <c r="F1191" s="13"/>
      <c r="G1191" s="2"/>
      <c r="H1191" s="2"/>
      <c r="I1191" s="13"/>
      <c r="J1191" s="13"/>
      <c r="K1191" s="13"/>
      <c r="L1191" s="14"/>
      <c r="M1191" s="4"/>
      <c r="N1191" s="2"/>
      <c r="O1191" s="4"/>
      <c r="P1191" s="2"/>
      <c r="Q1191" s="2"/>
      <c r="R1191" s="4"/>
      <c r="S1191" s="2"/>
      <c r="T1191" s="2"/>
      <c r="U1191" s="1"/>
      <c r="V1191" s="2"/>
      <c r="W1191" s="2"/>
      <c r="X1191" s="2"/>
      <c r="Y1191" s="2"/>
      <c r="Z1191" s="2"/>
    </row>
    <row r="1192" spans="1:26" ht="15.75" customHeight="1" x14ac:dyDescent="0.2">
      <c r="A1192" s="12"/>
      <c r="B1192" s="10"/>
      <c r="C1192" s="11"/>
      <c r="D1192" s="13"/>
      <c r="E1192" s="13"/>
      <c r="F1192" s="13"/>
      <c r="G1192" s="2"/>
      <c r="H1192" s="2"/>
      <c r="I1192" s="13"/>
      <c r="J1192" s="13"/>
      <c r="K1192" s="13"/>
      <c r="L1192" s="14"/>
      <c r="M1192" s="4"/>
      <c r="N1192" s="2"/>
      <c r="O1192" s="4"/>
      <c r="P1192" s="2"/>
      <c r="Q1192" s="2"/>
      <c r="R1192" s="4"/>
      <c r="S1192" s="2"/>
      <c r="T1192" s="2"/>
      <c r="U1192" s="1"/>
      <c r="V1192" s="2"/>
      <c r="W1192" s="2"/>
      <c r="X1192" s="2"/>
      <c r="Y1192" s="2"/>
      <c r="Z1192" s="2"/>
    </row>
    <row r="1193" spans="1:26" ht="15.75" customHeight="1" x14ac:dyDescent="0.2">
      <c r="A1193" s="12"/>
      <c r="B1193" s="10"/>
      <c r="C1193" s="11"/>
      <c r="D1193" s="13"/>
      <c r="E1193" s="13"/>
      <c r="F1193" s="13"/>
      <c r="G1193" s="2"/>
      <c r="H1193" s="2"/>
      <c r="I1193" s="13"/>
      <c r="J1193" s="13"/>
      <c r="K1193" s="13"/>
      <c r="L1193" s="14"/>
      <c r="M1193" s="4"/>
      <c r="N1193" s="2"/>
      <c r="O1193" s="4"/>
      <c r="P1193" s="2"/>
      <c r="Q1193" s="2"/>
      <c r="R1193" s="4"/>
      <c r="S1193" s="2"/>
      <c r="T1193" s="2"/>
      <c r="U1193" s="1"/>
      <c r="V1193" s="2"/>
      <c r="W1193" s="2"/>
      <c r="X1193" s="2"/>
      <c r="Y1193" s="2"/>
      <c r="Z1193" s="2"/>
    </row>
    <row r="1194" spans="1:26" ht="15.75" customHeight="1" x14ac:dyDescent="0.2">
      <c r="A1194" s="12"/>
      <c r="B1194" s="10"/>
      <c r="C1194" s="11"/>
      <c r="D1194" s="13"/>
      <c r="E1194" s="13"/>
      <c r="F1194" s="13"/>
      <c r="G1194" s="2"/>
      <c r="H1194" s="2"/>
      <c r="I1194" s="13"/>
      <c r="J1194" s="13"/>
      <c r="K1194" s="13"/>
      <c r="L1194" s="14"/>
      <c r="M1194" s="4"/>
      <c r="N1194" s="2"/>
      <c r="O1194" s="4"/>
      <c r="P1194" s="2"/>
      <c r="Q1194" s="2"/>
      <c r="R1194" s="4"/>
      <c r="S1194" s="2"/>
      <c r="T1194" s="2"/>
      <c r="U1194" s="1"/>
      <c r="V1194" s="2"/>
      <c r="W1194" s="2"/>
      <c r="X1194" s="2"/>
      <c r="Y1194" s="2"/>
      <c r="Z1194" s="2"/>
    </row>
    <row r="1195" spans="1:26" ht="15.75" customHeight="1" x14ac:dyDescent="0.2">
      <c r="A1195" s="12"/>
      <c r="B1195" s="10"/>
      <c r="C1195" s="11"/>
      <c r="D1195" s="13"/>
      <c r="E1195" s="13"/>
      <c r="F1195" s="13"/>
      <c r="G1195" s="2"/>
      <c r="H1195" s="2"/>
      <c r="I1195" s="13"/>
      <c r="J1195" s="13"/>
      <c r="K1195" s="13"/>
      <c r="L1195" s="14"/>
      <c r="M1195" s="4"/>
      <c r="N1195" s="2"/>
      <c r="O1195" s="4"/>
      <c r="P1195" s="2"/>
      <c r="Q1195" s="2"/>
      <c r="R1195" s="4"/>
      <c r="S1195" s="2"/>
      <c r="T1195" s="2"/>
      <c r="U1195" s="1"/>
      <c r="V1195" s="2"/>
      <c r="W1195" s="2"/>
      <c r="X1195" s="2"/>
      <c r="Y1195" s="2"/>
      <c r="Z1195" s="2"/>
    </row>
    <row r="1196" spans="1:26" ht="15.75" customHeight="1" x14ac:dyDescent="0.2">
      <c r="A1196" s="12"/>
      <c r="B1196" s="10"/>
      <c r="C1196" s="11"/>
      <c r="D1196" s="13"/>
      <c r="E1196" s="13"/>
      <c r="F1196" s="13"/>
      <c r="G1196" s="2"/>
      <c r="H1196" s="2"/>
      <c r="I1196" s="13"/>
      <c r="J1196" s="13"/>
      <c r="K1196" s="13"/>
      <c r="L1196" s="14"/>
      <c r="M1196" s="4"/>
      <c r="N1196" s="2"/>
      <c r="O1196" s="4"/>
      <c r="P1196" s="2"/>
      <c r="Q1196" s="2"/>
      <c r="R1196" s="4"/>
      <c r="S1196" s="2"/>
      <c r="T1196" s="2"/>
      <c r="U1196" s="1"/>
      <c r="V1196" s="2"/>
      <c r="W1196" s="2"/>
      <c r="X1196" s="2"/>
      <c r="Y1196" s="2"/>
      <c r="Z1196" s="2"/>
    </row>
    <row r="1197" spans="1:26" ht="15.75" customHeight="1" x14ac:dyDescent="0.2">
      <c r="A1197" s="12"/>
      <c r="B1197" s="10"/>
      <c r="C1197" s="11"/>
      <c r="D1197" s="13"/>
      <c r="E1197" s="13"/>
      <c r="F1197" s="13"/>
      <c r="G1197" s="2"/>
      <c r="H1197" s="2"/>
      <c r="I1197" s="13"/>
      <c r="J1197" s="13"/>
      <c r="K1197" s="13"/>
      <c r="L1197" s="14"/>
      <c r="M1197" s="4"/>
      <c r="N1197" s="2"/>
      <c r="O1197" s="4"/>
      <c r="P1197" s="2"/>
      <c r="Q1197" s="2"/>
      <c r="R1197" s="4"/>
      <c r="S1197" s="2"/>
      <c r="T1197" s="2"/>
      <c r="U1197" s="1"/>
      <c r="V1197" s="2"/>
      <c r="W1197" s="2"/>
      <c r="X1197" s="2"/>
      <c r="Y1197" s="2"/>
      <c r="Z1197" s="2"/>
    </row>
    <row r="1198" spans="1:26" ht="15.75" customHeight="1" x14ac:dyDescent="0.2">
      <c r="A1198" s="12"/>
      <c r="B1198" s="10"/>
      <c r="C1198" s="11"/>
      <c r="D1198" s="13"/>
      <c r="E1198" s="13"/>
      <c r="F1198" s="13"/>
      <c r="G1198" s="2"/>
      <c r="H1198" s="2"/>
      <c r="I1198" s="13"/>
      <c r="J1198" s="13"/>
      <c r="K1198" s="13"/>
      <c r="L1198" s="14"/>
      <c r="M1198" s="4"/>
      <c r="N1198" s="2"/>
      <c r="O1198" s="4"/>
      <c r="P1198" s="2"/>
      <c r="Q1198" s="2"/>
      <c r="R1198" s="4"/>
      <c r="S1198" s="2"/>
      <c r="T1198" s="2"/>
      <c r="U1198" s="1"/>
      <c r="V1198" s="2"/>
      <c r="W1198" s="2"/>
      <c r="X1198" s="2"/>
      <c r="Y1198" s="2"/>
      <c r="Z1198" s="2"/>
    </row>
    <row r="1199" spans="1:26" ht="15.75" customHeight="1" x14ac:dyDescent="0.2">
      <c r="A1199" s="12"/>
      <c r="B1199" s="10"/>
      <c r="C1199" s="11"/>
      <c r="D1199" s="13"/>
      <c r="E1199" s="13"/>
      <c r="F1199" s="13"/>
      <c r="G1199" s="2"/>
      <c r="H1199" s="2"/>
      <c r="I1199" s="13"/>
      <c r="J1199" s="13"/>
      <c r="K1199" s="13"/>
      <c r="L1199" s="14"/>
      <c r="M1199" s="4"/>
      <c r="N1199" s="2"/>
      <c r="O1199" s="4"/>
      <c r="P1199" s="2"/>
      <c r="Q1199" s="2"/>
      <c r="R1199" s="4"/>
      <c r="S1199" s="2"/>
      <c r="T1199" s="2"/>
      <c r="U1199" s="1"/>
      <c r="V1199" s="2"/>
      <c r="W1199" s="2"/>
      <c r="X1199" s="2"/>
      <c r="Y1199" s="2"/>
      <c r="Z1199" s="2"/>
    </row>
    <row r="1200" spans="1:26" ht="15.75" customHeight="1" x14ac:dyDescent="0.2">
      <c r="A1200" s="12"/>
      <c r="B1200" s="10"/>
      <c r="C1200" s="11"/>
      <c r="D1200" s="13"/>
      <c r="E1200" s="13"/>
      <c r="F1200" s="13"/>
      <c r="G1200" s="2"/>
      <c r="H1200" s="2"/>
      <c r="I1200" s="13"/>
      <c r="J1200" s="13"/>
      <c r="K1200" s="13"/>
      <c r="L1200" s="14"/>
      <c r="M1200" s="4"/>
      <c r="N1200" s="2"/>
      <c r="O1200" s="4"/>
      <c r="P1200" s="2"/>
      <c r="Q1200" s="2"/>
      <c r="R1200" s="4"/>
      <c r="S1200" s="2"/>
      <c r="T1200" s="2"/>
      <c r="U1200" s="1"/>
      <c r="V1200" s="2"/>
      <c r="W1200" s="2"/>
      <c r="X1200" s="2"/>
      <c r="Y1200" s="2"/>
      <c r="Z1200" s="2"/>
    </row>
    <row r="1201" spans="1:26" ht="15.75" customHeight="1" x14ac:dyDescent="0.2">
      <c r="A1201" s="12"/>
      <c r="B1201" s="10"/>
      <c r="C1201" s="11"/>
      <c r="D1201" s="13"/>
      <c r="E1201" s="13"/>
      <c r="F1201" s="13"/>
      <c r="G1201" s="2"/>
      <c r="H1201" s="2"/>
      <c r="I1201" s="13"/>
      <c r="J1201" s="13"/>
      <c r="K1201" s="13"/>
      <c r="L1201" s="14"/>
      <c r="M1201" s="4"/>
      <c r="N1201" s="2"/>
      <c r="O1201" s="4"/>
      <c r="P1201" s="2"/>
      <c r="Q1201" s="2"/>
      <c r="R1201" s="4"/>
      <c r="S1201" s="2"/>
      <c r="T1201" s="2"/>
      <c r="U1201" s="1"/>
      <c r="V1201" s="2"/>
      <c r="W1201" s="2"/>
      <c r="X1201" s="2"/>
      <c r="Y1201" s="2"/>
      <c r="Z1201" s="2"/>
    </row>
    <row r="1202" spans="1:26" ht="15.75" customHeight="1" x14ac:dyDescent="0.2">
      <c r="A1202" s="12"/>
      <c r="B1202" s="10"/>
      <c r="C1202" s="11"/>
      <c r="D1202" s="13"/>
      <c r="E1202" s="13"/>
      <c r="F1202" s="13"/>
      <c r="G1202" s="2"/>
      <c r="H1202" s="2"/>
      <c r="I1202" s="13"/>
      <c r="J1202" s="13"/>
      <c r="K1202" s="13"/>
      <c r="L1202" s="14"/>
      <c r="M1202" s="4"/>
      <c r="N1202" s="2"/>
      <c r="O1202" s="4"/>
      <c r="P1202" s="2"/>
      <c r="Q1202" s="2"/>
      <c r="R1202" s="4"/>
      <c r="S1202" s="2"/>
      <c r="T1202" s="2"/>
      <c r="U1202" s="1"/>
      <c r="V1202" s="2"/>
      <c r="W1202" s="2"/>
      <c r="X1202" s="2"/>
      <c r="Y1202" s="2"/>
      <c r="Z1202" s="2"/>
    </row>
    <row r="1203" spans="1:26" ht="15.75" customHeight="1" x14ac:dyDescent="0.2">
      <c r="A1203" s="12"/>
      <c r="B1203" s="10"/>
      <c r="C1203" s="11"/>
      <c r="D1203" s="13"/>
      <c r="E1203" s="13"/>
      <c r="F1203" s="13"/>
      <c r="G1203" s="2"/>
      <c r="H1203" s="2"/>
      <c r="I1203" s="13"/>
      <c r="J1203" s="13"/>
      <c r="K1203" s="13"/>
      <c r="L1203" s="14"/>
      <c r="M1203" s="4"/>
      <c r="N1203" s="2"/>
      <c r="O1203" s="4"/>
      <c r="P1203" s="2"/>
      <c r="Q1203" s="2"/>
      <c r="R1203" s="4"/>
      <c r="S1203" s="2"/>
      <c r="T1203" s="2"/>
      <c r="U1203" s="1"/>
      <c r="V1203" s="2"/>
      <c r="W1203" s="2"/>
      <c r="X1203" s="2"/>
      <c r="Y1203" s="2"/>
      <c r="Z1203" s="2"/>
    </row>
    <row r="1204" spans="1:26" ht="15.75" customHeight="1" x14ac:dyDescent="0.2">
      <c r="A1204" s="12"/>
      <c r="B1204" s="10"/>
      <c r="C1204" s="11"/>
      <c r="D1204" s="13"/>
      <c r="E1204" s="13"/>
      <c r="F1204" s="13"/>
      <c r="G1204" s="2"/>
      <c r="H1204" s="2"/>
      <c r="I1204" s="13"/>
      <c r="J1204" s="13"/>
      <c r="K1204" s="13"/>
      <c r="L1204" s="14"/>
      <c r="M1204" s="4"/>
      <c r="N1204" s="2"/>
      <c r="O1204" s="4"/>
      <c r="P1204" s="2"/>
      <c r="Q1204" s="2"/>
      <c r="R1204" s="4"/>
      <c r="S1204" s="2"/>
      <c r="T1204" s="2"/>
      <c r="U1204" s="1"/>
      <c r="V1204" s="2"/>
      <c r="W1204" s="2"/>
      <c r="X1204" s="2"/>
      <c r="Y1204" s="2"/>
      <c r="Z1204" s="2"/>
    </row>
    <row r="1205" spans="1:26" ht="15.75" customHeight="1" x14ac:dyDescent="0.2">
      <c r="A1205" s="12"/>
      <c r="B1205" s="10"/>
      <c r="C1205" s="11"/>
      <c r="D1205" s="13"/>
      <c r="E1205" s="13"/>
      <c r="F1205" s="13"/>
      <c r="G1205" s="2"/>
      <c r="H1205" s="2"/>
      <c r="I1205" s="13"/>
      <c r="J1205" s="13"/>
      <c r="K1205" s="13"/>
      <c r="L1205" s="14"/>
      <c r="M1205" s="4"/>
      <c r="N1205" s="2"/>
      <c r="O1205" s="4"/>
      <c r="P1205" s="2"/>
      <c r="Q1205" s="2"/>
      <c r="R1205" s="4"/>
      <c r="S1205" s="2"/>
      <c r="T1205" s="2"/>
      <c r="U1205" s="1"/>
      <c r="V1205" s="2"/>
      <c r="W1205" s="2"/>
      <c r="X1205" s="2"/>
      <c r="Y1205" s="2"/>
      <c r="Z1205" s="2"/>
    </row>
    <row r="1206" spans="1:26" ht="15.75" customHeight="1" x14ac:dyDescent="0.2">
      <c r="A1206" s="12"/>
      <c r="B1206" s="10"/>
      <c r="C1206" s="11"/>
      <c r="D1206" s="13"/>
      <c r="E1206" s="13"/>
      <c r="F1206" s="13"/>
      <c r="G1206" s="2"/>
      <c r="H1206" s="2"/>
      <c r="I1206" s="13"/>
      <c r="J1206" s="13"/>
      <c r="K1206" s="13"/>
      <c r="L1206" s="14"/>
      <c r="M1206" s="4"/>
      <c r="N1206" s="2"/>
      <c r="O1206" s="4"/>
      <c r="P1206" s="2"/>
      <c r="Q1206" s="2"/>
      <c r="R1206" s="4"/>
      <c r="S1206" s="2"/>
      <c r="T1206" s="2"/>
      <c r="U1206" s="1"/>
      <c r="V1206" s="2"/>
      <c r="W1206" s="2"/>
      <c r="X1206" s="2"/>
      <c r="Y1206" s="2"/>
      <c r="Z1206" s="2"/>
    </row>
    <row r="1207" spans="1:26" ht="15.75" customHeight="1" x14ac:dyDescent="0.2">
      <c r="A1207" s="12"/>
      <c r="B1207" s="10"/>
      <c r="C1207" s="11"/>
      <c r="D1207" s="13"/>
      <c r="E1207" s="13"/>
      <c r="F1207" s="13"/>
      <c r="G1207" s="2"/>
      <c r="H1207" s="2"/>
      <c r="I1207" s="13"/>
      <c r="J1207" s="13"/>
      <c r="K1207" s="13"/>
      <c r="L1207" s="14"/>
      <c r="M1207" s="4"/>
      <c r="N1207" s="2"/>
      <c r="O1207" s="4"/>
      <c r="P1207" s="2"/>
      <c r="Q1207" s="2"/>
      <c r="R1207" s="4"/>
      <c r="S1207" s="2"/>
      <c r="T1207" s="2"/>
      <c r="U1207" s="1"/>
      <c r="V1207" s="2"/>
      <c r="W1207" s="2"/>
      <c r="X1207" s="2"/>
      <c r="Y1207" s="2"/>
      <c r="Z1207" s="2"/>
    </row>
  </sheetData>
  <mergeCells count="11">
    <mergeCell ref="A102:C102"/>
    <mergeCell ref="A117:C117"/>
    <mergeCell ref="I117:K117"/>
    <mergeCell ref="A219:B219"/>
    <mergeCell ref="A3:C3"/>
    <mergeCell ref="I3:K3"/>
    <mergeCell ref="A42:C42"/>
    <mergeCell ref="I42:K42"/>
    <mergeCell ref="A66:C66"/>
    <mergeCell ref="I66:K66"/>
    <mergeCell ref="I102:K102"/>
  </mergeCells>
  <conditionalFormatting sqref="L1:L1207">
    <cfRule type="cellIs" dxfId="14" priority="7" operator="between">
      <formula>"25%"</formula>
      <formula>"30%"</formula>
    </cfRule>
    <cfRule type="cellIs" dxfId="13" priority="6" operator="lessThan">
      <formula>"25%"</formula>
    </cfRule>
    <cfRule type="cellIs" dxfId="12" priority="5" operator="greaterThan">
      <formula>"30%"</formula>
    </cfRule>
  </conditionalFormatting>
  <conditionalFormatting sqref="L212:L219">
    <cfRule type="cellIs" dxfId="11" priority="1" operator="between">
      <formula>"20%"</formula>
      <formula>"25%"</formula>
    </cfRule>
    <cfRule type="cellIs" dxfId="10" priority="3" operator="between">
      <formula>"20.01%"</formula>
      <formula>"25%"</formula>
    </cfRule>
    <cfRule type="cellIs" dxfId="9" priority="2" operator="lessThanOrEqual">
      <formula>"20%"</formula>
    </cfRule>
    <cfRule type="cellIs" dxfId="8" priority="4" operator="greater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68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5" t="s">
        <v>128</v>
      </c>
      <c r="B3" s="76"/>
      <c r="C3" s="76"/>
      <c r="D3" s="2"/>
      <c r="E3" s="7" t="s">
        <v>58</v>
      </c>
      <c r="F3" s="8">
        <v>46121</v>
      </c>
      <c r="G3" s="2"/>
      <c r="H3" s="2"/>
      <c r="I3" s="78" t="s">
        <v>2</v>
      </c>
      <c r="J3" s="76"/>
      <c r="K3" s="76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3</v>
      </c>
      <c r="B6" s="10" t="s">
        <v>15</v>
      </c>
      <c r="C6" s="11" t="s">
        <v>56</v>
      </c>
      <c r="D6" s="13">
        <v>14000</v>
      </c>
      <c r="E6" s="13">
        <f t="shared" ref="E6:E18" si="0">A6*D6</f>
        <v>42000</v>
      </c>
      <c r="F6" s="13">
        <f t="shared" ref="F6:F17" si="1">E6*1.105</f>
        <v>46410</v>
      </c>
      <c r="G6" s="2"/>
      <c r="H6" s="2"/>
      <c r="I6" s="13">
        <v>10000</v>
      </c>
      <c r="J6" s="13">
        <f t="shared" ref="J6:J18" si="2">I6*A6</f>
        <v>30000</v>
      </c>
      <c r="K6" s="13">
        <f t="shared" ref="K6:K18" si="3">F6-J6</f>
        <v>16410</v>
      </c>
      <c r="L6" s="14">
        <f t="shared" ref="L6:L18" si="4">IFERROR(K6/E6, 0)</f>
        <v>0.39071428571428574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2</v>
      </c>
      <c r="B7" s="10" t="s">
        <v>23</v>
      </c>
      <c r="C7" s="11" t="s">
        <v>31</v>
      </c>
      <c r="D7" s="13">
        <v>18000</v>
      </c>
      <c r="E7" s="13">
        <f t="shared" si="0"/>
        <v>36000</v>
      </c>
      <c r="F7" s="13">
        <f t="shared" si="1"/>
        <v>39780</v>
      </c>
      <c r="G7" s="2"/>
      <c r="H7" s="2"/>
      <c r="I7" s="13">
        <v>15000</v>
      </c>
      <c r="J7" s="13">
        <f t="shared" si="2"/>
        <v>30000</v>
      </c>
      <c r="K7" s="13">
        <f t="shared" si="3"/>
        <v>9780</v>
      </c>
      <c r="L7" s="14">
        <f t="shared" si="4"/>
        <v>0.27166666666666667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4</v>
      </c>
      <c r="B8" s="10" t="s">
        <v>15</v>
      </c>
      <c r="C8" s="11" t="s">
        <v>167</v>
      </c>
      <c r="D8" s="13">
        <v>16000</v>
      </c>
      <c r="E8" s="13">
        <f t="shared" si="0"/>
        <v>64000</v>
      </c>
      <c r="F8" s="13">
        <f t="shared" si="1"/>
        <v>70720</v>
      </c>
      <c r="G8" s="2"/>
      <c r="H8" s="2"/>
      <c r="I8" s="13">
        <v>10000</v>
      </c>
      <c r="J8" s="13">
        <f t="shared" si="2"/>
        <v>40000</v>
      </c>
      <c r="K8" s="13">
        <f t="shared" si="3"/>
        <v>30720</v>
      </c>
      <c r="L8" s="14">
        <f t="shared" si="4"/>
        <v>0.48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2</v>
      </c>
      <c r="B9" s="10" t="s">
        <v>23</v>
      </c>
      <c r="C9" s="11" t="s">
        <v>82</v>
      </c>
      <c r="D9" s="13">
        <v>28000</v>
      </c>
      <c r="E9" s="13">
        <f t="shared" si="0"/>
        <v>56000</v>
      </c>
      <c r="F9" s="13">
        <f t="shared" si="1"/>
        <v>61880</v>
      </c>
      <c r="G9" s="2"/>
      <c r="H9" s="2"/>
      <c r="I9" s="13">
        <v>25000</v>
      </c>
      <c r="J9" s="13">
        <f t="shared" si="2"/>
        <v>50000</v>
      </c>
      <c r="K9" s="13">
        <f t="shared" si="3"/>
        <v>11880</v>
      </c>
      <c r="L9" s="14">
        <f t="shared" si="4"/>
        <v>0.21214285714285713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2</v>
      </c>
      <c r="B10" s="10" t="s">
        <v>15</v>
      </c>
      <c r="C10" s="11" t="s">
        <v>16</v>
      </c>
      <c r="D10" s="13">
        <v>13000</v>
      </c>
      <c r="E10" s="13">
        <f t="shared" si="0"/>
        <v>26000</v>
      </c>
      <c r="F10" s="13">
        <f t="shared" si="1"/>
        <v>28730</v>
      </c>
      <c r="G10" s="7" t="s">
        <v>37</v>
      </c>
      <c r="H10" s="2"/>
      <c r="I10" s="13">
        <v>8000</v>
      </c>
      <c r="J10" s="13">
        <f t="shared" si="2"/>
        <v>16000</v>
      </c>
      <c r="K10" s="13">
        <f t="shared" si="3"/>
        <v>12730</v>
      </c>
      <c r="L10" s="14">
        <f t="shared" si="4"/>
        <v>0.48961538461538462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2</v>
      </c>
      <c r="B11" s="10" t="s">
        <v>15</v>
      </c>
      <c r="C11" s="11" t="s">
        <v>129</v>
      </c>
      <c r="D11" s="13">
        <v>16000</v>
      </c>
      <c r="E11" s="13">
        <f t="shared" si="0"/>
        <v>32000</v>
      </c>
      <c r="F11" s="13">
        <f t="shared" si="1"/>
        <v>35360</v>
      </c>
      <c r="G11" s="2"/>
      <c r="H11" s="2"/>
      <c r="I11" s="13">
        <v>11000</v>
      </c>
      <c r="J11" s="13">
        <f t="shared" si="2"/>
        <v>22000</v>
      </c>
      <c r="K11" s="13">
        <f t="shared" si="3"/>
        <v>13360</v>
      </c>
      <c r="L11" s="14">
        <f t="shared" si="4"/>
        <v>0.41749999999999998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2</v>
      </c>
      <c r="B12" s="10" t="s">
        <v>23</v>
      </c>
      <c r="C12" s="11" t="s">
        <v>35</v>
      </c>
      <c r="D12" s="13">
        <v>17000</v>
      </c>
      <c r="E12" s="13">
        <f t="shared" si="0"/>
        <v>34000</v>
      </c>
      <c r="F12" s="13">
        <f t="shared" si="1"/>
        <v>37570</v>
      </c>
      <c r="G12" s="2"/>
      <c r="H12" s="2"/>
      <c r="I12" s="13">
        <v>14000</v>
      </c>
      <c r="J12" s="13">
        <f t="shared" si="2"/>
        <v>28000</v>
      </c>
      <c r="K12" s="13">
        <f t="shared" si="3"/>
        <v>9570</v>
      </c>
      <c r="L12" s="14">
        <f t="shared" si="4"/>
        <v>0.28147058823529414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4</v>
      </c>
      <c r="B13" s="10" t="s">
        <v>23</v>
      </c>
      <c r="C13" s="11" t="s">
        <v>130</v>
      </c>
      <c r="D13" s="13">
        <v>11000</v>
      </c>
      <c r="E13" s="13">
        <f t="shared" si="0"/>
        <v>44000</v>
      </c>
      <c r="F13" s="13">
        <f t="shared" si="1"/>
        <v>48620</v>
      </c>
      <c r="G13" s="2"/>
      <c r="H13" s="2"/>
      <c r="I13" s="13">
        <v>7000</v>
      </c>
      <c r="J13" s="13">
        <f t="shared" si="2"/>
        <v>28000</v>
      </c>
      <c r="K13" s="13">
        <f t="shared" si="3"/>
        <v>20620</v>
      </c>
      <c r="L13" s="14">
        <f t="shared" si="4"/>
        <v>0.46863636363636363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8</v>
      </c>
      <c r="B14" s="10" t="s">
        <v>15</v>
      </c>
      <c r="C14" s="11" t="s">
        <v>135</v>
      </c>
      <c r="D14" s="13">
        <v>15000</v>
      </c>
      <c r="E14" s="13">
        <f t="shared" si="0"/>
        <v>120000</v>
      </c>
      <c r="F14" s="13">
        <f t="shared" si="1"/>
        <v>132600</v>
      </c>
      <c r="G14" s="2"/>
      <c r="H14" s="2"/>
      <c r="I14" s="13">
        <v>11500</v>
      </c>
      <c r="J14" s="13">
        <f t="shared" si="2"/>
        <v>92000</v>
      </c>
      <c r="K14" s="13">
        <f t="shared" si="3"/>
        <v>40600</v>
      </c>
      <c r="L14" s="14">
        <f t="shared" si="4"/>
        <v>0.33833333333333332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1</v>
      </c>
      <c r="B15" s="10" t="s">
        <v>23</v>
      </c>
      <c r="C15" s="34" t="s">
        <v>73</v>
      </c>
      <c r="D15" s="13">
        <v>12000</v>
      </c>
      <c r="E15" s="13">
        <f t="shared" si="0"/>
        <v>12000</v>
      </c>
      <c r="F15" s="13">
        <f t="shared" si="1"/>
        <v>13260</v>
      </c>
      <c r="G15" s="2"/>
      <c r="H15" s="2"/>
      <c r="I15" s="13">
        <v>8000</v>
      </c>
      <c r="J15" s="13">
        <f t="shared" si="2"/>
        <v>8000</v>
      </c>
      <c r="K15" s="13">
        <f t="shared" si="3"/>
        <v>5260</v>
      </c>
      <c r="L15" s="14">
        <f t="shared" si="4"/>
        <v>0.43833333333333335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23</v>
      </c>
      <c r="C16" s="11" t="s">
        <v>20</v>
      </c>
      <c r="D16" s="13">
        <v>16000</v>
      </c>
      <c r="E16" s="13">
        <f t="shared" si="0"/>
        <v>16000</v>
      </c>
      <c r="F16" s="13">
        <f t="shared" si="1"/>
        <v>17680</v>
      </c>
      <c r="G16" s="2"/>
      <c r="H16" s="2"/>
      <c r="I16" s="13">
        <v>13000</v>
      </c>
      <c r="J16" s="13">
        <f t="shared" si="2"/>
        <v>13000</v>
      </c>
      <c r="K16" s="13">
        <f t="shared" si="3"/>
        <v>4680</v>
      </c>
      <c r="L16" s="14">
        <f t="shared" si="4"/>
        <v>0.29249999999999998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3</v>
      </c>
      <c r="B17" s="10" t="s">
        <v>23</v>
      </c>
      <c r="C17" s="11" t="s">
        <v>67</v>
      </c>
      <c r="D17" s="13">
        <v>20000</v>
      </c>
      <c r="E17" s="13">
        <f t="shared" si="0"/>
        <v>60000</v>
      </c>
      <c r="F17" s="13">
        <f t="shared" si="1"/>
        <v>66300</v>
      </c>
      <c r="G17" s="2"/>
      <c r="H17" s="2"/>
      <c r="I17" s="13">
        <v>13000</v>
      </c>
      <c r="J17" s="13">
        <f t="shared" si="2"/>
        <v>39000</v>
      </c>
      <c r="K17" s="13">
        <f t="shared" si="3"/>
        <v>27300</v>
      </c>
      <c r="L17" s="14">
        <f t="shared" si="4"/>
        <v>0.45500000000000002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0.5</v>
      </c>
      <c r="B18" s="10" t="s">
        <v>23</v>
      </c>
      <c r="C18" s="11" t="s">
        <v>188</v>
      </c>
      <c r="D18" s="13">
        <v>50000</v>
      </c>
      <c r="E18" s="13">
        <f t="shared" si="0"/>
        <v>25000</v>
      </c>
      <c r="F18" s="13">
        <f>E18*1.21</f>
        <v>30250</v>
      </c>
      <c r="G18" s="2"/>
      <c r="H18" s="2"/>
      <c r="I18" s="13">
        <v>50000</v>
      </c>
      <c r="J18" s="13">
        <f t="shared" si="2"/>
        <v>25000</v>
      </c>
      <c r="K18" s="13">
        <f t="shared" si="3"/>
        <v>5250</v>
      </c>
      <c r="L18" s="14">
        <f t="shared" si="4"/>
        <v>0.21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5"/>
      <c r="B19" s="2"/>
      <c r="C19" s="4"/>
      <c r="D19" s="2"/>
      <c r="E19" s="2"/>
      <c r="F19" s="2"/>
      <c r="G19" s="2"/>
      <c r="H19" s="2"/>
      <c r="I19" s="2"/>
      <c r="J19" s="2"/>
      <c r="K19" s="2"/>
      <c r="L19" s="3"/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"/>
      <c r="B20" s="2"/>
      <c r="C20" s="4"/>
      <c r="D20" s="2"/>
      <c r="E20" s="13">
        <f t="shared" ref="E20:F20" si="5">SUM(E6:E18)</f>
        <v>567000</v>
      </c>
      <c r="F20" s="13">
        <f t="shared" si="5"/>
        <v>629160</v>
      </c>
      <c r="G20" s="2"/>
      <c r="H20" s="2"/>
      <c r="I20" s="2"/>
      <c r="J20" s="2"/>
      <c r="K20" s="13">
        <f>SUM(K6:K18)</f>
        <v>208160</v>
      </c>
      <c r="L20" s="14">
        <f>K20/F20</f>
        <v>0.33085383686184755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"/>
      <c r="B21" s="2"/>
      <c r="C21" s="4"/>
      <c r="D21" s="2"/>
      <c r="E21" s="2"/>
      <c r="F21" s="2"/>
      <c r="G21" s="2"/>
      <c r="H21" s="2"/>
      <c r="I21" s="2"/>
      <c r="J21" s="2"/>
      <c r="K21" s="2"/>
      <c r="L21" s="3"/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"/>
      <c r="B22" s="2"/>
      <c r="C22" s="4"/>
      <c r="D22" s="2"/>
      <c r="E22" s="2"/>
      <c r="F22" s="2"/>
      <c r="G22" s="2"/>
      <c r="H22" s="2"/>
      <c r="I22" s="2"/>
      <c r="J22" s="2"/>
      <c r="K22" s="2"/>
      <c r="L22" s="3"/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"/>
      <c r="B23" s="2"/>
      <c r="C23" s="4"/>
      <c r="D23" s="2"/>
      <c r="E23" s="2"/>
      <c r="F23" s="2"/>
      <c r="G23" s="2"/>
      <c r="H23" s="2"/>
      <c r="I23" s="2"/>
      <c r="J23" s="2"/>
      <c r="K23" s="2"/>
      <c r="L23" s="3"/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1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1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75" t="s">
        <v>160</v>
      </c>
      <c r="B26" s="76"/>
      <c r="C26" s="76"/>
      <c r="D26" s="2"/>
      <c r="E26" s="7" t="s">
        <v>189</v>
      </c>
      <c r="F26" s="8">
        <v>46121</v>
      </c>
      <c r="G26" s="2"/>
      <c r="H26" s="2"/>
      <c r="I26" s="9" t="s">
        <v>2</v>
      </c>
      <c r="J26" s="9"/>
      <c r="K26" s="9"/>
      <c r="L26" s="3"/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"/>
      <c r="B27" s="2"/>
      <c r="C27" s="5"/>
      <c r="D27" s="2"/>
      <c r="E27" s="2"/>
      <c r="F27" s="2"/>
      <c r="G27" s="2"/>
      <c r="H27" s="2"/>
      <c r="I27" s="2"/>
      <c r="J27" s="2"/>
      <c r="K27" s="2"/>
      <c r="L27" s="3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6" t="s">
        <v>3</v>
      </c>
      <c r="B28" s="10" t="s">
        <v>4</v>
      </c>
      <c r="C28" s="11" t="s">
        <v>5</v>
      </c>
      <c r="D28" s="10" t="s">
        <v>6</v>
      </c>
      <c r="E28" s="10" t="s">
        <v>7</v>
      </c>
      <c r="F28" s="10" t="s">
        <v>8</v>
      </c>
      <c r="G28" s="2"/>
      <c r="H28" s="2"/>
      <c r="I28" s="10" t="s">
        <v>9</v>
      </c>
      <c r="J28" s="10" t="s">
        <v>7</v>
      </c>
      <c r="K28" s="10" t="s">
        <v>10</v>
      </c>
      <c r="L28" s="3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4</v>
      </c>
      <c r="B29" s="10" t="s">
        <v>23</v>
      </c>
      <c r="C29" s="11" t="s">
        <v>62</v>
      </c>
      <c r="D29" s="13">
        <v>40000</v>
      </c>
      <c r="E29" s="13">
        <f t="shared" ref="E29:E38" si="6">A29*D29</f>
        <v>160000</v>
      </c>
      <c r="F29" s="13">
        <f t="shared" ref="F29:F38" si="7">E29*1.105</f>
        <v>176800</v>
      </c>
      <c r="G29" s="2"/>
      <c r="H29" s="2"/>
      <c r="I29" s="13">
        <v>36000</v>
      </c>
      <c r="J29" s="13">
        <f t="shared" ref="J29:J38" si="8">I29*A29</f>
        <v>144000</v>
      </c>
      <c r="K29" s="13">
        <f t="shared" ref="K29:K38" si="9">F29-J29</f>
        <v>32800</v>
      </c>
      <c r="L29" s="14">
        <f t="shared" ref="L29:L38" si="10">IFERROR(K29/E29, 0)</f>
        <v>0.20499999999999999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4</v>
      </c>
      <c r="B30" s="10" t="s">
        <v>23</v>
      </c>
      <c r="C30" s="11" t="s">
        <v>26</v>
      </c>
      <c r="D30" s="13">
        <v>26000</v>
      </c>
      <c r="E30" s="13">
        <f t="shared" si="6"/>
        <v>104000</v>
      </c>
      <c r="F30" s="13">
        <f t="shared" si="7"/>
        <v>114920</v>
      </c>
      <c r="G30" s="2"/>
      <c r="H30" s="2"/>
      <c r="I30" s="13">
        <v>24000</v>
      </c>
      <c r="J30" s="13">
        <f t="shared" si="8"/>
        <v>96000</v>
      </c>
      <c r="K30" s="13">
        <f t="shared" si="9"/>
        <v>18920</v>
      </c>
      <c r="L30" s="14">
        <f t="shared" si="10"/>
        <v>0.18192307692307691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2</v>
      </c>
      <c r="B31" s="10" t="s">
        <v>86</v>
      </c>
      <c r="C31" s="11" t="s">
        <v>190</v>
      </c>
      <c r="D31" s="13">
        <v>60000</v>
      </c>
      <c r="E31" s="13">
        <f t="shared" si="6"/>
        <v>120000</v>
      </c>
      <c r="F31" s="13">
        <f t="shared" si="7"/>
        <v>132600</v>
      </c>
      <c r="G31" s="7"/>
      <c r="H31" s="2"/>
      <c r="I31" s="13">
        <v>20000</v>
      </c>
      <c r="J31" s="13">
        <f t="shared" si="8"/>
        <v>40000</v>
      </c>
      <c r="K31" s="13">
        <f t="shared" si="9"/>
        <v>92600</v>
      </c>
      <c r="L31" s="18">
        <f t="shared" si="10"/>
        <v>0.77166666666666661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2</v>
      </c>
      <c r="B32" s="10" t="s">
        <v>86</v>
      </c>
      <c r="C32" s="11" t="s">
        <v>49</v>
      </c>
      <c r="D32" s="13">
        <v>25000</v>
      </c>
      <c r="E32" s="13">
        <f t="shared" si="6"/>
        <v>50000</v>
      </c>
      <c r="F32" s="13">
        <f t="shared" si="7"/>
        <v>55250</v>
      </c>
      <c r="G32" s="2"/>
      <c r="H32" s="2"/>
      <c r="I32" s="13">
        <f>17000</f>
        <v>17000</v>
      </c>
      <c r="J32" s="13">
        <f t="shared" si="8"/>
        <v>34000</v>
      </c>
      <c r="K32" s="13">
        <f t="shared" si="9"/>
        <v>21250</v>
      </c>
      <c r="L32" s="14">
        <f t="shared" si="10"/>
        <v>0.42499999999999999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3</v>
      </c>
      <c r="B33" s="10" t="s">
        <v>86</v>
      </c>
      <c r="C33" s="11" t="s">
        <v>191</v>
      </c>
      <c r="D33" s="13">
        <v>45000</v>
      </c>
      <c r="E33" s="13">
        <f t="shared" si="6"/>
        <v>135000</v>
      </c>
      <c r="F33" s="13">
        <f t="shared" si="7"/>
        <v>149175</v>
      </c>
      <c r="G33" s="7"/>
      <c r="H33" s="2"/>
      <c r="I33" s="13">
        <f>88000/3</f>
        <v>29333.333333333332</v>
      </c>
      <c r="J33" s="13">
        <f t="shared" si="8"/>
        <v>88000</v>
      </c>
      <c r="K33" s="13">
        <f t="shared" si="9"/>
        <v>61175</v>
      </c>
      <c r="L33" s="14">
        <f t="shared" si="10"/>
        <v>0.45314814814814813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23</v>
      </c>
      <c r="C34" s="11" t="s">
        <v>62</v>
      </c>
      <c r="D34" s="13">
        <v>40000</v>
      </c>
      <c r="E34" s="13">
        <f t="shared" si="6"/>
        <v>40000</v>
      </c>
      <c r="F34" s="13">
        <f t="shared" si="7"/>
        <v>44200</v>
      </c>
      <c r="G34" s="7" t="s">
        <v>15</v>
      </c>
      <c r="H34" s="2"/>
      <c r="I34" s="2"/>
      <c r="J34" s="13">
        <f t="shared" si="8"/>
        <v>0</v>
      </c>
      <c r="K34" s="13">
        <f t="shared" si="9"/>
        <v>44200</v>
      </c>
      <c r="L34" s="14">
        <f t="shared" si="10"/>
        <v>1.105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1</v>
      </c>
      <c r="B35" s="10" t="s">
        <v>23</v>
      </c>
      <c r="C35" s="11" t="s">
        <v>26</v>
      </c>
      <c r="D35" s="13">
        <v>26000</v>
      </c>
      <c r="E35" s="13">
        <f t="shared" si="6"/>
        <v>26000</v>
      </c>
      <c r="F35" s="13">
        <f t="shared" si="7"/>
        <v>28730</v>
      </c>
      <c r="G35" s="7" t="s">
        <v>15</v>
      </c>
      <c r="H35" s="2"/>
      <c r="I35" s="2"/>
      <c r="J35" s="13">
        <f t="shared" si="8"/>
        <v>0</v>
      </c>
      <c r="K35" s="13">
        <f t="shared" si="9"/>
        <v>28730</v>
      </c>
      <c r="L35" s="14">
        <f t="shared" si="10"/>
        <v>1.105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23</v>
      </c>
      <c r="C36" s="11" t="s">
        <v>190</v>
      </c>
      <c r="D36" s="13">
        <v>60000</v>
      </c>
      <c r="E36" s="13">
        <f t="shared" si="6"/>
        <v>60000</v>
      </c>
      <c r="F36" s="13">
        <f t="shared" si="7"/>
        <v>66300</v>
      </c>
      <c r="G36" s="7" t="s">
        <v>15</v>
      </c>
      <c r="H36" s="2"/>
      <c r="I36" s="2"/>
      <c r="J36" s="13">
        <f t="shared" si="8"/>
        <v>0</v>
      </c>
      <c r="K36" s="13">
        <f t="shared" si="9"/>
        <v>66300</v>
      </c>
      <c r="L36" s="14">
        <f t="shared" si="10"/>
        <v>1.105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1</v>
      </c>
      <c r="B37" s="10" t="s">
        <v>23</v>
      </c>
      <c r="C37" s="11" t="s">
        <v>49</v>
      </c>
      <c r="D37" s="13">
        <v>25000</v>
      </c>
      <c r="E37" s="13">
        <f t="shared" si="6"/>
        <v>25000</v>
      </c>
      <c r="F37" s="13">
        <f t="shared" si="7"/>
        <v>27625</v>
      </c>
      <c r="G37" s="7" t="s">
        <v>15</v>
      </c>
      <c r="H37" s="2"/>
      <c r="I37" s="2"/>
      <c r="J37" s="13">
        <f t="shared" si="8"/>
        <v>0</v>
      </c>
      <c r="K37" s="13">
        <f t="shared" si="9"/>
        <v>27625</v>
      </c>
      <c r="L37" s="14">
        <f t="shared" si="10"/>
        <v>1.105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1</v>
      </c>
      <c r="B38" s="10" t="s">
        <v>23</v>
      </c>
      <c r="C38" s="11" t="s">
        <v>74</v>
      </c>
      <c r="D38" s="13">
        <v>45000</v>
      </c>
      <c r="E38" s="13">
        <f t="shared" si="6"/>
        <v>45000</v>
      </c>
      <c r="F38" s="13">
        <f t="shared" si="7"/>
        <v>49725</v>
      </c>
      <c r="G38" s="7" t="s">
        <v>15</v>
      </c>
      <c r="H38" s="2"/>
      <c r="I38" s="2"/>
      <c r="J38" s="13">
        <f t="shared" si="8"/>
        <v>0</v>
      </c>
      <c r="K38" s="13">
        <f t="shared" si="9"/>
        <v>49725</v>
      </c>
      <c r="L38" s="14">
        <f t="shared" si="10"/>
        <v>1.105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"/>
      <c r="B39" s="2"/>
      <c r="C39" s="4"/>
      <c r="D39" s="2"/>
      <c r="E39" s="2"/>
      <c r="F39" s="13"/>
      <c r="G39" s="2"/>
      <c r="H39" s="2"/>
      <c r="I39" s="2"/>
      <c r="J39" s="2"/>
      <c r="K39" s="2"/>
      <c r="L39" s="3"/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"/>
      <c r="B40" s="2"/>
      <c r="C40" s="4"/>
      <c r="D40" s="2"/>
      <c r="E40" s="13">
        <f t="shared" ref="E40:F40" si="11">SUM(E29:E38)</f>
        <v>765000</v>
      </c>
      <c r="F40" s="13">
        <f t="shared" si="11"/>
        <v>845325</v>
      </c>
      <c r="G40" s="2"/>
      <c r="H40" s="2"/>
      <c r="I40" s="2"/>
      <c r="J40" s="2"/>
      <c r="K40" s="13">
        <f>SUM(K29:K38)</f>
        <v>443325</v>
      </c>
      <c r="L40" s="14">
        <f>K40/F40</f>
        <v>0.52444326146748288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20"/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20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75" t="s">
        <v>0</v>
      </c>
      <c r="B43" s="76"/>
      <c r="C43" s="76"/>
      <c r="D43" s="2"/>
      <c r="E43" s="7" t="s">
        <v>179</v>
      </c>
      <c r="F43" s="8">
        <v>46121</v>
      </c>
      <c r="G43" s="2"/>
      <c r="H43" s="2"/>
      <c r="I43" s="78" t="s">
        <v>2</v>
      </c>
      <c r="J43" s="76"/>
      <c r="K43" s="76"/>
      <c r="L43" s="3"/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"/>
      <c r="B44" s="2"/>
      <c r="C44" s="5"/>
      <c r="D44" s="2"/>
      <c r="E44" s="2"/>
      <c r="F44" s="2"/>
      <c r="G44" s="2"/>
      <c r="H44" s="2"/>
      <c r="I44" s="2"/>
      <c r="J44" s="2"/>
      <c r="K44" s="2"/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6" t="s">
        <v>3</v>
      </c>
      <c r="B45" s="10" t="s">
        <v>4</v>
      </c>
      <c r="C45" s="11" t="s">
        <v>5</v>
      </c>
      <c r="D45" s="10" t="s">
        <v>6</v>
      </c>
      <c r="E45" s="10" t="s">
        <v>7</v>
      </c>
      <c r="F45" s="10" t="s">
        <v>8</v>
      </c>
      <c r="G45" s="2"/>
      <c r="H45" s="2"/>
      <c r="I45" s="10" t="s">
        <v>9</v>
      </c>
      <c r="J45" s="10" t="s">
        <v>7</v>
      </c>
      <c r="K45" s="10" t="s">
        <v>10</v>
      </c>
      <c r="L45" s="3"/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1</v>
      </c>
      <c r="B46" s="10" t="s">
        <v>15</v>
      </c>
      <c r="C46" s="11" t="s">
        <v>154</v>
      </c>
      <c r="D46" s="13">
        <v>25000</v>
      </c>
      <c r="E46" s="13">
        <f t="shared" ref="E46:E47" si="12">A46*D46</f>
        <v>25000</v>
      </c>
      <c r="F46" s="13">
        <f t="shared" ref="F46:F47" si="13">E46*1.105</f>
        <v>27625</v>
      </c>
      <c r="G46" s="2"/>
      <c r="H46" s="2"/>
      <c r="I46" s="13">
        <v>20000</v>
      </c>
      <c r="J46" s="13">
        <f t="shared" ref="J46:J47" si="14">I46*A46</f>
        <v>20000</v>
      </c>
      <c r="K46" s="13">
        <f t="shared" ref="K46:K47" si="15">F46-J46</f>
        <v>7625</v>
      </c>
      <c r="L46" s="14">
        <f t="shared" ref="L46:L47" si="16">IFERROR(K46/E46, 0)</f>
        <v>0.30499999999999999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0.5</v>
      </c>
      <c r="B47" s="10" t="s">
        <v>23</v>
      </c>
      <c r="C47" s="11" t="s">
        <v>192</v>
      </c>
      <c r="D47" s="13">
        <v>28000</v>
      </c>
      <c r="E47" s="13">
        <f t="shared" si="12"/>
        <v>14000</v>
      </c>
      <c r="F47" s="13">
        <f t="shared" si="13"/>
        <v>15470</v>
      </c>
      <c r="G47" s="2"/>
      <c r="H47" s="2"/>
      <c r="I47" s="13">
        <v>24000</v>
      </c>
      <c r="J47" s="13">
        <f t="shared" si="14"/>
        <v>12000</v>
      </c>
      <c r="K47" s="13">
        <f t="shared" si="15"/>
        <v>3470</v>
      </c>
      <c r="L47" s="14">
        <f t="shared" si="16"/>
        <v>0.24785714285714286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"/>
      <c r="B48" s="2"/>
      <c r="C48" s="4"/>
      <c r="D48" s="2"/>
      <c r="E48" s="2"/>
      <c r="F48" s="2"/>
      <c r="G48" s="2"/>
      <c r="H48" s="2"/>
      <c r="I48" s="2"/>
      <c r="J48" s="2"/>
      <c r="K48" s="2"/>
      <c r="L48" s="3"/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B49" s="40"/>
      <c r="C49" s="40"/>
      <c r="D49" s="2"/>
      <c r="E49" s="13">
        <f t="shared" ref="E49:F49" si="17">SUM(E46:E47)</f>
        <v>39000</v>
      </c>
      <c r="F49" s="13">
        <f t="shared" si="17"/>
        <v>43095</v>
      </c>
      <c r="G49" s="2"/>
      <c r="H49" s="2"/>
      <c r="I49" s="2"/>
      <c r="J49" s="2"/>
      <c r="K49" s="13">
        <f>SUM(K46:K47)</f>
        <v>11095</v>
      </c>
      <c r="L49" s="14">
        <f>K49/F49</f>
        <v>0.25745446107437059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20"/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/>
      <c r="B51" s="10"/>
      <c r="C51" s="11"/>
      <c r="D51" s="13"/>
      <c r="E51" s="13"/>
      <c r="F51" s="13"/>
      <c r="G51" s="2"/>
      <c r="H51" s="2"/>
      <c r="I51" s="13"/>
      <c r="J51" s="13"/>
      <c r="K51" s="13"/>
      <c r="L51" s="14"/>
      <c r="M51" s="4"/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6" t="s">
        <v>193</v>
      </c>
      <c r="B52" s="1"/>
      <c r="C52" s="1"/>
      <c r="D52" s="22" t="s">
        <v>194</v>
      </c>
      <c r="E52" s="8">
        <v>46273</v>
      </c>
      <c r="F52" s="24" t="s">
        <v>37</v>
      </c>
      <c r="G52" s="2"/>
      <c r="H52" s="2"/>
      <c r="I52" s="2"/>
      <c r="J52" s="2"/>
      <c r="K52" s="2"/>
      <c r="L52" s="3"/>
      <c r="M52" s="4"/>
      <c r="N52" s="2"/>
      <c r="O52" s="4"/>
      <c r="P52" s="2"/>
      <c r="Q52" s="2"/>
      <c r="R52" s="4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4"/>
      <c r="B53" s="2"/>
      <c r="C53" s="4"/>
      <c r="D53" s="2"/>
      <c r="E53" s="2"/>
      <c r="F53" s="2"/>
      <c r="G53" s="2"/>
      <c r="H53" s="2"/>
      <c r="I53" s="2"/>
      <c r="J53" s="2"/>
      <c r="K53" s="2"/>
      <c r="L53" s="3"/>
      <c r="M53" s="4"/>
      <c r="N53" s="2"/>
      <c r="O53" s="4"/>
      <c r="P53" s="2"/>
      <c r="Q53" s="2"/>
      <c r="R53" s="4"/>
      <c r="S53" s="2"/>
      <c r="T53" s="2"/>
      <c r="U53" s="1"/>
      <c r="V53" s="2"/>
      <c r="W53" s="2"/>
      <c r="X53" s="2"/>
      <c r="Y53" s="2"/>
      <c r="Z53" s="2"/>
    </row>
    <row r="54" spans="1:26" ht="15.75" customHeight="1" x14ac:dyDescent="0.2">
      <c r="A54" s="6" t="s">
        <v>3</v>
      </c>
      <c r="B54" s="10" t="s">
        <v>4</v>
      </c>
      <c r="C54" s="11" t="s">
        <v>5</v>
      </c>
      <c r="D54" s="10" t="s">
        <v>6</v>
      </c>
      <c r="E54" s="10" t="s">
        <v>7</v>
      </c>
      <c r="F54" s="2"/>
      <c r="G54" s="2"/>
      <c r="H54" s="2"/>
      <c r="I54" s="10" t="s">
        <v>6</v>
      </c>
      <c r="J54" s="10" t="s">
        <v>7</v>
      </c>
      <c r="K54" s="10" t="s">
        <v>10</v>
      </c>
      <c r="L54" s="3"/>
      <c r="M54" s="4"/>
      <c r="N54" s="2"/>
      <c r="O54" s="4"/>
      <c r="P54" s="2"/>
      <c r="Q54" s="2"/>
      <c r="R54" s="4"/>
      <c r="S54" s="2"/>
      <c r="T54" s="2"/>
      <c r="U54" s="1"/>
      <c r="V54" s="2"/>
      <c r="W54" s="2"/>
      <c r="X54" s="2"/>
      <c r="Y54" s="2"/>
      <c r="Z54" s="2"/>
    </row>
    <row r="55" spans="1:26" ht="15.75" customHeight="1" x14ac:dyDescent="0.2">
      <c r="A55" s="12">
        <v>2</v>
      </c>
      <c r="B55" s="10" t="s">
        <v>21</v>
      </c>
      <c r="C55" s="11" t="s">
        <v>195</v>
      </c>
      <c r="D55" s="13">
        <v>3500</v>
      </c>
      <c r="E55" s="13">
        <f t="shared" ref="E55:E62" si="18">A55*D55</f>
        <v>7000</v>
      </c>
      <c r="F55" s="2"/>
      <c r="G55" s="2"/>
      <c r="H55" s="2"/>
      <c r="I55" s="13">
        <v>2000</v>
      </c>
      <c r="J55" s="13">
        <f t="shared" ref="J55:J62" si="19">I55*A55</f>
        <v>4000</v>
      </c>
      <c r="K55" s="13">
        <f t="shared" ref="K55:K62" si="20">E55-J55</f>
        <v>3000</v>
      </c>
      <c r="L55" s="14">
        <f t="shared" ref="L55:L62" si="21">K55/E55</f>
        <v>0.42857142857142855</v>
      </c>
      <c r="M55" s="4"/>
      <c r="N55" s="2"/>
      <c r="O55" s="4"/>
      <c r="P55" s="2"/>
      <c r="Q55" s="2"/>
      <c r="R55" s="4"/>
      <c r="S55" s="2"/>
      <c r="T55" s="2"/>
      <c r="U55" s="1"/>
      <c r="V55" s="2"/>
      <c r="W55" s="2"/>
      <c r="X55" s="2"/>
      <c r="Y55" s="2"/>
      <c r="Z55" s="2"/>
    </row>
    <row r="56" spans="1:26" ht="15.75" customHeight="1" x14ac:dyDescent="0.2">
      <c r="A56" s="12">
        <v>1</v>
      </c>
      <c r="B56" s="10" t="s">
        <v>23</v>
      </c>
      <c r="C56" s="11" t="s">
        <v>99</v>
      </c>
      <c r="D56" s="13">
        <v>10000</v>
      </c>
      <c r="E56" s="13">
        <f t="shared" si="18"/>
        <v>10000</v>
      </c>
      <c r="F56" s="2"/>
      <c r="G56" s="2"/>
      <c r="H56" s="2"/>
      <c r="I56" s="13">
        <v>6000</v>
      </c>
      <c r="J56" s="13">
        <f t="shared" si="19"/>
        <v>6000</v>
      </c>
      <c r="K56" s="13">
        <f t="shared" si="20"/>
        <v>4000</v>
      </c>
      <c r="L56" s="14">
        <f t="shared" si="21"/>
        <v>0.4</v>
      </c>
      <c r="M56" s="4"/>
      <c r="N56" s="2"/>
      <c r="O56" s="4"/>
      <c r="P56" s="2"/>
      <c r="Q56" s="2"/>
      <c r="R56" s="4"/>
      <c r="S56" s="2"/>
      <c r="T56" s="2"/>
      <c r="U56" s="1"/>
      <c r="V56" s="2"/>
      <c r="W56" s="2"/>
      <c r="X56" s="2"/>
      <c r="Y56" s="2"/>
      <c r="Z56" s="2"/>
    </row>
    <row r="57" spans="1:26" ht="15.75" customHeight="1" x14ac:dyDescent="0.2">
      <c r="A57" s="12">
        <v>3</v>
      </c>
      <c r="B57" s="10" t="s">
        <v>23</v>
      </c>
      <c r="C57" s="11" t="s">
        <v>14</v>
      </c>
      <c r="D57" s="13">
        <v>18000</v>
      </c>
      <c r="E57" s="13">
        <f t="shared" si="18"/>
        <v>54000</v>
      </c>
      <c r="F57" s="2"/>
      <c r="G57" s="2"/>
      <c r="H57" s="2"/>
      <c r="I57" s="13">
        <v>15000</v>
      </c>
      <c r="J57" s="13">
        <f t="shared" si="19"/>
        <v>45000</v>
      </c>
      <c r="K57" s="13">
        <f t="shared" si="20"/>
        <v>9000</v>
      </c>
      <c r="L57" s="14">
        <f t="shared" si="21"/>
        <v>0.16666666666666666</v>
      </c>
      <c r="M57" s="4"/>
      <c r="N57" s="2"/>
      <c r="O57" s="4"/>
      <c r="P57" s="2"/>
      <c r="Q57" s="2"/>
      <c r="R57" s="4"/>
      <c r="S57" s="2"/>
      <c r="T57" s="2"/>
      <c r="U57" s="1"/>
      <c r="V57" s="2"/>
      <c r="W57" s="2"/>
      <c r="X57" s="2"/>
      <c r="Y57" s="2"/>
      <c r="Z57" s="2"/>
    </row>
    <row r="58" spans="1:26" ht="15.75" customHeight="1" x14ac:dyDescent="0.2">
      <c r="A58" s="12">
        <v>2</v>
      </c>
      <c r="B58" s="10" t="s">
        <v>15</v>
      </c>
      <c r="C58" s="11" t="s">
        <v>167</v>
      </c>
      <c r="D58" s="13">
        <v>14000</v>
      </c>
      <c r="E58" s="13">
        <f t="shared" si="18"/>
        <v>28000</v>
      </c>
      <c r="F58" s="2"/>
      <c r="G58" s="2"/>
      <c r="H58" s="2"/>
      <c r="I58" s="13">
        <v>10000</v>
      </c>
      <c r="J58" s="13">
        <f t="shared" si="19"/>
        <v>20000</v>
      </c>
      <c r="K58" s="13">
        <f t="shared" si="20"/>
        <v>8000</v>
      </c>
      <c r="L58" s="14">
        <f t="shared" si="21"/>
        <v>0.2857142857142857</v>
      </c>
      <c r="M58" s="4"/>
      <c r="N58" s="2"/>
      <c r="O58" s="4"/>
      <c r="P58" s="2"/>
      <c r="Q58" s="2"/>
      <c r="R58" s="4"/>
      <c r="S58" s="2"/>
      <c r="T58" s="2"/>
      <c r="U58" s="1"/>
      <c r="V58" s="2"/>
      <c r="W58" s="2"/>
      <c r="X58" s="2"/>
      <c r="Y58" s="2"/>
      <c r="Z58" s="2"/>
    </row>
    <row r="59" spans="1:26" ht="15.75" customHeight="1" x14ac:dyDescent="0.2">
      <c r="A59" s="12">
        <v>4</v>
      </c>
      <c r="B59" s="10" t="s">
        <v>15</v>
      </c>
      <c r="C59" s="11" t="s">
        <v>16</v>
      </c>
      <c r="D59" s="13">
        <v>13000</v>
      </c>
      <c r="E59" s="13">
        <f t="shared" si="18"/>
        <v>52000</v>
      </c>
      <c r="F59" s="2"/>
      <c r="G59" s="2"/>
      <c r="H59" s="2"/>
      <c r="I59" s="13">
        <v>8000</v>
      </c>
      <c r="J59" s="13">
        <f t="shared" si="19"/>
        <v>32000</v>
      </c>
      <c r="K59" s="13">
        <f t="shared" si="20"/>
        <v>20000</v>
      </c>
      <c r="L59" s="14">
        <f t="shared" si="21"/>
        <v>0.38461538461538464</v>
      </c>
      <c r="M59" s="4"/>
      <c r="N59" s="2"/>
      <c r="O59" s="4"/>
      <c r="P59" s="2"/>
      <c r="Q59" s="2"/>
      <c r="R59" s="4"/>
      <c r="S59" s="2"/>
      <c r="T59" s="2"/>
      <c r="U59" s="1"/>
      <c r="V59" s="2"/>
      <c r="W59" s="2"/>
      <c r="X59" s="2"/>
      <c r="Y59" s="2"/>
      <c r="Z59" s="2"/>
    </row>
    <row r="60" spans="1:26" ht="15.75" customHeight="1" x14ac:dyDescent="0.2">
      <c r="A60" s="12">
        <v>2</v>
      </c>
      <c r="B60" s="10" t="s">
        <v>15</v>
      </c>
      <c r="C60" s="11" t="s">
        <v>77</v>
      </c>
      <c r="D60" s="13">
        <v>25000</v>
      </c>
      <c r="E60" s="13">
        <f t="shared" si="18"/>
        <v>50000</v>
      </c>
      <c r="F60" s="2"/>
      <c r="G60" s="2"/>
      <c r="H60" s="2"/>
      <c r="I60" s="13">
        <v>20000</v>
      </c>
      <c r="J60" s="13">
        <f t="shared" si="19"/>
        <v>40000</v>
      </c>
      <c r="K60" s="13">
        <f t="shared" si="20"/>
        <v>10000</v>
      </c>
      <c r="L60" s="14">
        <f t="shared" si="21"/>
        <v>0.2</v>
      </c>
      <c r="M60" s="4"/>
      <c r="N60" s="2"/>
      <c r="O60" s="4"/>
      <c r="P60" s="2"/>
      <c r="Q60" s="2"/>
      <c r="R60" s="4"/>
      <c r="S60" s="2"/>
      <c r="T60" s="2"/>
      <c r="U60" s="1"/>
      <c r="V60" s="2"/>
      <c r="W60" s="2"/>
      <c r="X60" s="2"/>
      <c r="Y60" s="2"/>
      <c r="Z60" s="2"/>
    </row>
    <row r="61" spans="1:26" ht="15.75" customHeight="1" x14ac:dyDescent="0.2">
      <c r="A61" s="12">
        <v>1</v>
      </c>
      <c r="B61" s="10" t="s">
        <v>15</v>
      </c>
      <c r="C61" s="11" t="s">
        <v>196</v>
      </c>
      <c r="D61" s="13">
        <v>20000</v>
      </c>
      <c r="E61" s="13">
        <f t="shared" si="18"/>
        <v>20000</v>
      </c>
      <c r="F61" s="2"/>
      <c r="G61" s="2"/>
      <c r="H61" s="2"/>
      <c r="I61" s="13">
        <v>15000</v>
      </c>
      <c r="J61" s="13">
        <f t="shared" si="19"/>
        <v>15000</v>
      </c>
      <c r="K61" s="13">
        <f t="shared" si="20"/>
        <v>5000</v>
      </c>
      <c r="L61" s="14">
        <f t="shared" si="21"/>
        <v>0.25</v>
      </c>
      <c r="M61" s="4"/>
      <c r="N61" s="2"/>
      <c r="O61" s="4"/>
      <c r="P61" s="2"/>
      <c r="Q61" s="2"/>
      <c r="R61" s="4"/>
      <c r="S61" s="2"/>
      <c r="T61" s="2"/>
      <c r="U61" s="1"/>
      <c r="V61" s="2"/>
      <c r="W61" s="2"/>
      <c r="X61" s="2"/>
      <c r="Y61" s="2"/>
      <c r="Z61" s="2"/>
    </row>
    <row r="62" spans="1:26" ht="15.75" customHeight="1" x14ac:dyDescent="0.2">
      <c r="A62" s="12">
        <v>6</v>
      </c>
      <c r="B62" s="10" t="s">
        <v>15</v>
      </c>
      <c r="C62" s="11" t="s">
        <v>141</v>
      </c>
      <c r="D62" s="13">
        <v>14000</v>
      </c>
      <c r="E62" s="13">
        <f t="shared" si="18"/>
        <v>84000</v>
      </c>
      <c r="F62" s="2"/>
      <c r="G62" s="2"/>
      <c r="H62" s="2"/>
      <c r="I62" s="13">
        <v>10000</v>
      </c>
      <c r="J62" s="13">
        <f t="shared" si="19"/>
        <v>60000</v>
      </c>
      <c r="K62" s="13">
        <f t="shared" si="20"/>
        <v>24000</v>
      </c>
      <c r="L62" s="14">
        <f t="shared" si="21"/>
        <v>0.2857142857142857</v>
      </c>
      <c r="M62" s="4"/>
      <c r="N62" s="2"/>
      <c r="O62" s="4"/>
      <c r="P62" s="2"/>
      <c r="Q62" s="2"/>
      <c r="R62" s="4"/>
      <c r="S62" s="2"/>
      <c r="T62" s="2"/>
      <c r="U62" s="1"/>
      <c r="V62" s="2"/>
      <c r="W62" s="2"/>
      <c r="X62" s="2"/>
      <c r="Y62" s="2"/>
      <c r="Z62" s="2"/>
    </row>
    <row r="63" spans="1:26" ht="15.75" customHeight="1" x14ac:dyDescent="0.2">
      <c r="A63" s="1"/>
      <c r="B63" s="2"/>
      <c r="C63" s="4"/>
      <c r="D63" s="2"/>
      <c r="E63" s="2"/>
      <c r="F63" s="2"/>
      <c r="G63" s="4"/>
      <c r="H63" s="2"/>
      <c r="I63" s="2"/>
      <c r="J63" s="2"/>
      <c r="K63" s="2"/>
      <c r="L63" s="3"/>
      <c r="M63" s="4"/>
      <c r="N63" s="2"/>
      <c r="O63" s="4"/>
      <c r="P63" s="2"/>
      <c r="Q63" s="2"/>
      <c r="R63" s="4"/>
      <c r="S63" s="2"/>
      <c r="T63" s="2"/>
      <c r="U63" s="1"/>
      <c r="V63" s="2"/>
      <c r="W63" s="2"/>
      <c r="X63" s="2"/>
      <c r="Y63" s="2"/>
      <c r="Z63" s="2"/>
    </row>
    <row r="64" spans="1:26" ht="15.75" customHeight="1" x14ac:dyDescent="0.2">
      <c r="A64" s="1"/>
      <c r="B64" s="2"/>
      <c r="C64" s="4"/>
      <c r="D64" s="2"/>
      <c r="E64" s="2"/>
      <c r="F64" s="2"/>
      <c r="G64" s="4"/>
      <c r="H64" s="2"/>
      <c r="I64" s="2"/>
      <c r="J64" s="2"/>
      <c r="K64" s="2"/>
      <c r="L64" s="3"/>
      <c r="M64" s="4"/>
      <c r="N64" s="2"/>
      <c r="O64" s="4"/>
      <c r="P64" s="2"/>
      <c r="Q64" s="2"/>
      <c r="R64" s="4"/>
      <c r="S64" s="2"/>
      <c r="T64" s="2"/>
      <c r="U64" s="1"/>
      <c r="V64" s="2"/>
      <c r="W64" s="2"/>
      <c r="X64" s="2"/>
      <c r="Y64" s="2"/>
      <c r="Z64" s="2"/>
    </row>
    <row r="65" spans="1:26" ht="15.75" customHeight="1" x14ac:dyDescent="0.2">
      <c r="A65" s="1"/>
      <c r="B65" s="2"/>
      <c r="C65" s="4"/>
      <c r="D65" s="2"/>
      <c r="E65" s="13">
        <f>SUM(E55:E62)</f>
        <v>305000</v>
      </c>
      <c r="F65" s="2"/>
      <c r="G65" s="2"/>
      <c r="H65" s="2"/>
      <c r="I65" s="2"/>
      <c r="J65" s="2"/>
      <c r="K65" s="13">
        <f>SUM(K55:K62)</f>
        <v>83000</v>
      </c>
      <c r="L65" s="14">
        <f>K65/E65</f>
        <v>0.27213114754098361</v>
      </c>
      <c r="M65" s="4"/>
      <c r="N65" s="2"/>
      <c r="O65" s="4"/>
      <c r="P65" s="2"/>
      <c r="Q65" s="2"/>
      <c r="R65" s="4"/>
      <c r="S65" s="2"/>
      <c r="T65" s="2"/>
      <c r="U65" s="1"/>
      <c r="V65" s="2"/>
      <c r="W65" s="2"/>
      <c r="X65" s="2"/>
      <c r="Y65" s="2"/>
      <c r="Z65" s="2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20"/>
      <c r="M66" s="1"/>
      <c r="N66" s="2"/>
      <c r="O66" s="4"/>
      <c r="P66" s="2"/>
      <c r="Q66" s="2"/>
      <c r="R66" s="4"/>
      <c r="S66" s="2"/>
      <c r="T66" s="2"/>
      <c r="U66" s="1"/>
      <c r="V66" s="2"/>
      <c r="W66" s="2"/>
      <c r="X66" s="2"/>
      <c r="Y66" s="2"/>
      <c r="Z66" s="2"/>
    </row>
    <row r="67" spans="1:26" ht="15.75" customHeight="1" x14ac:dyDescent="0.2">
      <c r="A67" s="12"/>
      <c r="B67" s="10"/>
      <c r="C67" s="11"/>
      <c r="D67" s="13"/>
      <c r="E67" s="13"/>
      <c r="F67" s="13"/>
      <c r="G67" s="2"/>
      <c r="H67" s="2"/>
      <c r="I67" s="13"/>
      <c r="J67" s="13"/>
      <c r="K67" s="13"/>
      <c r="L67" s="14"/>
      <c r="M67" s="4"/>
      <c r="N67" s="2"/>
      <c r="O67" s="4"/>
      <c r="P67" s="2"/>
      <c r="Q67" s="2"/>
      <c r="R67" s="4"/>
      <c r="S67" s="2"/>
      <c r="T67" s="2"/>
      <c r="U67" s="1"/>
      <c r="V67" s="2"/>
      <c r="W67" s="2"/>
      <c r="X67" s="2"/>
      <c r="Y67" s="2"/>
      <c r="Z67" s="2"/>
    </row>
    <row r="68" spans="1:26" ht="15.75" customHeight="1" x14ac:dyDescent="0.2">
      <c r="A68" s="12"/>
      <c r="B68" s="10"/>
      <c r="C68" s="11"/>
      <c r="D68" s="13"/>
      <c r="E68" s="13"/>
      <c r="F68" s="13"/>
      <c r="G68" s="2"/>
      <c r="H68" s="2"/>
      <c r="I68" s="13"/>
      <c r="J68" s="13"/>
      <c r="K68" s="13"/>
      <c r="L68" s="14"/>
      <c r="M68" s="4"/>
      <c r="N68" s="2"/>
      <c r="O68" s="4"/>
      <c r="P68" s="2"/>
      <c r="Q68" s="2"/>
      <c r="R68" s="4"/>
      <c r="S68" s="2"/>
      <c r="T68" s="2"/>
      <c r="U68" s="1"/>
      <c r="V68" s="2"/>
      <c r="W68" s="2"/>
      <c r="X68" s="2"/>
      <c r="Y68" s="2"/>
      <c r="Z68" s="2"/>
    </row>
    <row r="69" spans="1:26" ht="15.75" customHeight="1" x14ac:dyDescent="0.2">
      <c r="A69" s="12"/>
      <c r="B69" s="10"/>
      <c r="C69" s="11"/>
      <c r="D69" s="13"/>
      <c r="E69" s="13"/>
      <c r="F69" s="13"/>
      <c r="G69" s="2"/>
      <c r="H69" s="2"/>
      <c r="I69" s="13"/>
      <c r="J69" s="13"/>
      <c r="K69" s="13"/>
      <c r="L69" s="14"/>
      <c r="M69" s="4"/>
      <c r="N69" s="2"/>
      <c r="O69" s="4"/>
      <c r="P69" s="2"/>
      <c r="Q69" s="2"/>
      <c r="R69" s="4"/>
      <c r="S69" s="2"/>
      <c r="T69" s="2"/>
      <c r="U69" s="1"/>
      <c r="V69" s="2"/>
      <c r="W69" s="2"/>
      <c r="X69" s="2"/>
      <c r="Y69" s="2"/>
      <c r="Z69" s="2"/>
    </row>
    <row r="70" spans="1:26" ht="15.75" customHeight="1" x14ac:dyDescent="0.2">
      <c r="A70" s="12"/>
      <c r="B70" s="10"/>
      <c r="C70" s="11"/>
      <c r="D70" s="13"/>
      <c r="E70" s="13"/>
      <c r="F70" s="13"/>
      <c r="G70" s="2"/>
      <c r="H70" s="2"/>
      <c r="I70" s="13"/>
      <c r="J70" s="13"/>
      <c r="K70" s="13"/>
      <c r="L70" s="14"/>
      <c r="M70" s="4"/>
      <c r="N70" s="2"/>
      <c r="O70" s="4"/>
      <c r="P70" s="2"/>
      <c r="Q70" s="2"/>
      <c r="R70" s="4"/>
      <c r="S70" s="2"/>
      <c r="T70" s="2"/>
      <c r="U70" s="1"/>
      <c r="V70" s="2"/>
      <c r="W70" s="2"/>
      <c r="X70" s="2"/>
      <c r="Y70" s="2"/>
      <c r="Z70" s="2"/>
    </row>
    <row r="71" spans="1:26" ht="15.75" customHeight="1" x14ac:dyDescent="0.2">
      <c r="A71" s="12"/>
      <c r="B71" s="10"/>
      <c r="C71" s="11"/>
      <c r="D71" s="13"/>
      <c r="E71" s="13"/>
      <c r="F71" s="13"/>
      <c r="G71" s="2"/>
      <c r="H71" s="2"/>
      <c r="I71" s="13"/>
      <c r="J71" s="13"/>
      <c r="K71" s="13"/>
      <c r="L71" s="14"/>
      <c r="M71" s="4"/>
      <c r="N71" s="2"/>
      <c r="O71" s="4"/>
      <c r="P71" s="2"/>
      <c r="Q71" s="2"/>
      <c r="R71" s="4"/>
      <c r="S71" s="2"/>
      <c r="T71" s="2"/>
      <c r="U71" s="1"/>
      <c r="V71" s="2"/>
      <c r="W71" s="2"/>
      <c r="X71" s="2"/>
      <c r="Y71" s="2"/>
      <c r="Z71" s="2"/>
    </row>
    <row r="72" spans="1:26" ht="15.75" customHeight="1" x14ac:dyDescent="0.2">
      <c r="A72" s="12"/>
      <c r="B72" s="10"/>
      <c r="C72" s="11"/>
      <c r="D72" s="13"/>
      <c r="E72" s="13"/>
      <c r="F72" s="13"/>
      <c r="G72" s="2"/>
      <c r="H72" s="2"/>
      <c r="I72" s="13"/>
      <c r="J72" s="13"/>
      <c r="K72" s="13"/>
      <c r="L72" s="14"/>
      <c r="M72" s="4"/>
      <c r="N72" s="2"/>
      <c r="O72" s="4"/>
      <c r="P72" s="2"/>
      <c r="Q72" s="2"/>
      <c r="R72" s="4"/>
      <c r="S72" s="2"/>
      <c r="T72" s="2"/>
      <c r="U72" s="1"/>
      <c r="V72" s="2"/>
      <c r="W72" s="2"/>
      <c r="X72" s="2"/>
      <c r="Y72" s="2"/>
      <c r="Z72" s="2"/>
    </row>
    <row r="73" spans="1:26" ht="25.5" customHeight="1" x14ac:dyDescent="0.25">
      <c r="A73" s="26" t="s">
        <v>101</v>
      </c>
      <c r="B73" s="27">
        <f>E65+F49+F40+F20</f>
        <v>1822580</v>
      </c>
      <c r="C73" s="4"/>
      <c r="D73" s="4"/>
      <c r="E73" s="4"/>
      <c r="F73" s="4"/>
      <c r="G73" s="4"/>
      <c r="H73" s="4"/>
      <c r="I73" s="4"/>
      <c r="J73" s="4"/>
      <c r="K73" s="4"/>
      <c r="L73" s="28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"/>
      <c r="B74" s="4"/>
      <c r="C74" s="4"/>
      <c r="D74" s="4"/>
      <c r="E74" s="4"/>
      <c r="F74" s="4"/>
      <c r="G74" s="4"/>
      <c r="H74" s="4"/>
      <c r="I74" s="4"/>
      <c r="J74" s="4"/>
      <c r="K74" s="4"/>
      <c r="L74" s="28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27" customHeight="1" x14ac:dyDescent="0.25">
      <c r="A75" s="26" t="s">
        <v>102</v>
      </c>
      <c r="B75" s="27">
        <f>K65+K49+K40+K20</f>
        <v>745580</v>
      </c>
      <c r="C75" s="4"/>
      <c r="D75" s="4"/>
      <c r="E75" s="4"/>
      <c r="F75" s="4"/>
      <c r="G75" s="4"/>
      <c r="H75" s="4"/>
      <c r="I75" s="4"/>
      <c r="J75" s="4"/>
      <c r="K75" s="4"/>
      <c r="L75" s="28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"/>
      <c r="B76" s="4"/>
      <c r="C76" s="4"/>
      <c r="D76" s="4"/>
      <c r="E76" s="4"/>
      <c r="F76" s="4"/>
      <c r="G76" s="4"/>
      <c r="H76" s="4"/>
      <c r="I76" s="4"/>
      <c r="J76" s="4"/>
      <c r="K76" s="4"/>
      <c r="L76" s="28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"/>
      <c r="B77" s="4"/>
      <c r="C77" s="4"/>
      <c r="D77" s="4"/>
      <c r="E77" s="4"/>
      <c r="F77" s="4"/>
      <c r="G77" s="4"/>
      <c r="H77" s="4"/>
      <c r="I77" s="4"/>
      <c r="J77" s="4"/>
      <c r="K77" s="4"/>
      <c r="L77" s="28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26.25" customHeight="1" x14ac:dyDescent="0.25">
      <c r="A78" s="26" t="s">
        <v>103</v>
      </c>
      <c r="B78" s="29">
        <f>B75/B73</f>
        <v>0.40907943684227854</v>
      </c>
      <c r="C78" s="4"/>
      <c r="D78" s="4"/>
      <c r="E78" s="4"/>
      <c r="F78" s="4"/>
      <c r="G78" s="4"/>
      <c r="H78" s="4"/>
      <c r="I78" s="4"/>
      <c r="J78" s="4"/>
      <c r="K78" s="4"/>
      <c r="L78" s="28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"/>
      <c r="B79" s="4"/>
      <c r="C79" s="4"/>
      <c r="D79" s="4"/>
      <c r="E79" s="4"/>
      <c r="F79" s="4"/>
      <c r="G79" s="4"/>
      <c r="H79" s="4"/>
      <c r="I79" s="4"/>
      <c r="J79" s="4"/>
      <c r="K79" s="4"/>
      <c r="L79" s="28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77" t="s">
        <v>104</v>
      </c>
      <c r="B80" s="76"/>
      <c r="C80" s="4"/>
      <c r="D80" s="4"/>
      <c r="E80" s="4"/>
      <c r="F80" s="4"/>
      <c r="G80" s="4"/>
      <c r="H80" s="4"/>
      <c r="I80" s="4"/>
      <c r="J80" s="4"/>
      <c r="K80" s="4"/>
      <c r="L80" s="28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/>
      <c r="B81" s="10"/>
      <c r="C81" s="11"/>
      <c r="D81" s="13"/>
      <c r="E81" s="13"/>
      <c r="F81" s="13"/>
      <c r="G81" s="2"/>
      <c r="H81" s="2"/>
      <c r="I81" s="13"/>
      <c r="J81" s="13"/>
      <c r="K81" s="13"/>
      <c r="L81" s="14"/>
      <c r="M81" s="4"/>
      <c r="N81" s="2"/>
      <c r="O81" s="4"/>
      <c r="P81" s="2"/>
      <c r="Q81" s="2"/>
      <c r="R81" s="4"/>
      <c r="S81" s="2"/>
      <c r="T81" s="2"/>
      <c r="U81" s="1"/>
      <c r="V81" s="2"/>
      <c r="W81" s="2"/>
      <c r="X81" s="2"/>
      <c r="Y81" s="2"/>
      <c r="Z81" s="2"/>
    </row>
    <row r="82" spans="1:26" ht="15.75" customHeight="1" x14ac:dyDescent="0.2">
      <c r="A82" s="12"/>
      <c r="B82" s="10"/>
      <c r="C82" s="11"/>
      <c r="D82" s="13"/>
      <c r="E82" s="13"/>
      <c r="F82" s="13"/>
      <c r="G82" s="2"/>
      <c r="H82" s="2"/>
      <c r="I82" s="13"/>
      <c r="J82" s="13"/>
      <c r="K82" s="13"/>
      <c r="L82" s="14"/>
      <c r="M82" s="4"/>
      <c r="N82" s="2"/>
      <c r="O82" s="4"/>
      <c r="P82" s="2"/>
      <c r="Q82" s="2"/>
      <c r="R82" s="4"/>
      <c r="S82" s="2"/>
      <c r="T82" s="2"/>
      <c r="U82" s="1"/>
      <c r="V82" s="2"/>
      <c r="W82" s="2"/>
      <c r="X82" s="2"/>
      <c r="Y82" s="2"/>
      <c r="Z82" s="2"/>
    </row>
    <row r="83" spans="1:26" ht="15.75" customHeight="1" x14ac:dyDescent="0.2">
      <c r="A83" s="12"/>
      <c r="B83" s="10"/>
      <c r="C83" s="11"/>
      <c r="D83" s="13"/>
      <c r="E83" s="13"/>
      <c r="F83" s="13"/>
      <c r="G83" s="2"/>
      <c r="H83" s="2"/>
      <c r="I83" s="13"/>
      <c r="J83" s="13"/>
      <c r="K83" s="13"/>
      <c r="L83" s="14"/>
      <c r="M83" s="4"/>
      <c r="N83" s="2"/>
      <c r="O83" s="4"/>
      <c r="P83" s="2"/>
      <c r="Q83" s="2"/>
      <c r="R83" s="4"/>
      <c r="S83" s="2"/>
      <c r="T83" s="2"/>
      <c r="U83" s="1"/>
      <c r="V83" s="2"/>
      <c r="W83" s="2"/>
      <c r="X83" s="2"/>
      <c r="Y83" s="2"/>
      <c r="Z83" s="2"/>
    </row>
    <row r="84" spans="1:26" ht="15.75" customHeight="1" x14ac:dyDescent="0.2">
      <c r="A84" s="12"/>
      <c r="B84" s="10"/>
      <c r="C84" s="11"/>
      <c r="D84" s="13"/>
      <c r="E84" s="13"/>
      <c r="F84" s="13"/>
      <c r="G84" s="2"/>
      <c r="H84" s="2"/>
      <c r="I84" s="13"/>
      <c r="J84" s="13"/>
      <c r="K84" s="13"/>
      <c r="L84" s="14"/>
      <c r="M84" s="4"/>
      <c r="N84" s="2"/>
      <c r="O84" s="4"/>
      <c r="P84" s="2"/>
      <c r="Q84" s="2"/>
      <c r="R84" s="4"/>
      <c r="S84" s="2"/>
      <c r="T84" s="2"/>
      <c r="U84" s="1"/>
      <c r="V84" s="2"/>
      <c r="W84" s="2"/>
      <c r="X84" s="2"/>
      <c r="Y84" s="2"/>
      <c r="Z84" s="2"/>
    </row>
    <row r="85" spans="1:26" ht="15.75" customHeight="1" x14ac:dyDescent="0.2">
      <c r="A85" s="12"/>
      <c r="B85" s="10"/>
      <c r="C85" s="11"/>
      <c r="D85" s="13"/>
      <c r="E85" s="13"/>
      <c r="F85" s="13"/>
      <c r="G85" s="2"/>
      <c r="H85" s="2"/>
      <c r="I85" s="13"/>
      <c r="J85" s="13"/>
      <c r="K85" s="13"/>
      <c r="L85" s="14"/>
      <c r="M85" s="4"/>
      <c r="N85" s="2"/>
      <c r="O85" s="4"/>
      <c r="P85" s="2"/>
      <c r="Q85" s="2"/>
      <c r="R85" s="4"/>
      <c r="S85" s="2"/>
      <c r="T85" s="2"/>
      <c r="U85" s="1"/>
      <c r="V85" s="2"/>
      <c r="W85" s="2"/>
      <c r="X85" s="2"/>
      <c r="Y85" s="2"/>
      <c r="Z85" s="2"/>
    </row>
    <row r="86" spans="1:26" ht="15.75" customHeight="1" x14ac:dyDescent="0.2">
      <c r="A86" s="12"/>
      <c r="B86" s="10"/>
      <c r="C86" s="11"/>
      <c r="D86" s="13"/>
      <c r="E86" s="13"/>
      <c r="F86" s="13"/>
      <c r="G86" s="2"/>
      <c r="H86" s="2"/>
      <c r="I86" s="13"/>
      <c r="J86" s="13"/>
      <c r="K86" s="13"/>
      <c r="L86" s="14"/>
      <c r="M86" s="4"/>
      <c r="N86" s="2"/>
      <c r="O86" s="4"/>
      <c r="P86" s="2"/>
      <c r="Q86" s="2"/>
      <c r="R86" s="4"/>
      <c r="S86" s="2"/>
      <c r="T86" s="2"/>
      <c r="U86" s="1"/>
      <c r="V86" s="2"/>
      <c r="W86" s="2"/>
      <c r="X86" s="2"/>
      <c r="Y86" s="2"/>
      <c r="Z86" s="2"/>
    </row>
    <row r="87" spans="1:26" ht="15.75" customHeight="1" x14ac:dyDescent="0.2">
      <c r="A87" s="12"/>
      <c r="B87" s="10"/>
      <c r="C87" s="11"/>
      <c r="D87" s="13"/>
      <c r="E87" s="13"/>
      <c r="F87" s="13"/>
      <c r="G87" s="2"/>
      <c r="H87" s="2"/>
      <c r="I87" s="13"/>
      <c r="J87" s="13"/>
      <c r="K87" s="13"/>
      <c r="L87" s="14"/>
      <c r="M87" s="4"/>
      <c r="N87" s="2"/>
      <c r="O87" s="4"/>
      <c r="P87" s="2"/>
      <c r="Q87" s="2"/>
      <c r="R87" s="4"/>
      <c r="S87" s="2"/>
      <c r="T87" s="2"/>
      <c r="U87" s="1"/>
      <c r="V87" s="2"/>
      <c r="W87" s="2"/>
      <c r="X87" s="2"/>
      <c r="Y87" s="2"/>
      <c r="Z87" s="2"/>
    </row>
    <row r="88" spans="1:26" ht="15.75" customHeight="1" x14ac:dyDescent="0.2">
      <c r="A88" s="12"/>
      <c r="B88" s="10"/>
      <c r="C88" s="11"/>
      <c r="D88" s="13"/>
      <c r="E88" s="13"/>
      <c r="F88" s="13"/>
      <c r="G88" s="2"/>
      <c r="H88" s="2"/>
      <c r="I88" s="13"/>
      <c r="J88" s="13"/>
      <c r="K88" s="13"/>
      <c r="L88" s="14"/>
      <c r="M88" s="4"/>
      <c r="N88" s="2"/>
      <c r="O88" s="4"/>
      <c r="P88" s="2"/>
      <c r="Q88" s="2"/>
      <c r="R88" s="4"/>
      <c r="S88" s="2"/>
      <c r="T88" s="2"/>
      <c r="U88" s="1"/>
      <c r="V88" s="2"/>
      <c r="W88" s="2"/>
      <c r="X88" s="2"/>
      <c r="Y88" s="2"/>
      <c r="Z88" s="2"/>
    </row>
    <row r="89" spans="1:26" ht="15.75" customHeight="1" x14ac:dyDescent="0.2">
      <c r="A89" s="12"/>
      <c r="B89" s="10"/>
      <c r="C89" s="11"/>
      <c r="D89" s="13"/>
      <c r="E89" s="13"/>
      <c r="F89" s="13"/>
      <c r="G89" s="2"/>
      <c r="H89" s="2"/>
      <c r="I89" s="13"/>
      <c r="J89" s="13"/>
      <c r="K89" s="13"/>
      <c r="L89" s="14"/>
      <c r="M89" s="4"/>
      <c r="N89" s="2"/>
      <c r="O89" s="4"/>
      <c r="P89" s="2"/>
      <c r="Q89" s="2"/>
      <c r="R89" s="4"/>
      <c r="S89" s="2"/>
      <c r="T89" s="2"/>
      <c r="U89" s="1"/>
      <c r="V89" s="2"/>
      <c r="W89" s="2"/>
      <c r="X89" s="2"/>
      <c r="Y89" s="2"/>
      <c r="Z89" s="2"/>
    </row>
    <row r="90" spans="1:26" ht="15.75" customHeight="1" x14ac:dyDescent="0.2">
      <c r="A90" s="12"/>
      <c r="B90" s="10"/>
      <c r="C90" s="11"/>
      <c r="D90" s="13"/>
      <c r="E90" s="13"/>
      <c r="F90" s="13"/>
      <c r="G90" s="2"/>
      <c r="H90" s="2"/>
      <c r="I90" s="13"/>
      <c r="J90" s="13"/>
      <c r="K90" s="13"/>
      <c r="L90" s="14"/>
      <c r="M90" s="4"/>
      <c r="N90" s="2"/>
      <c r="O90" s="4"/>
      <c r="P90" s="2"/>
      <c r="Q90" s="2"/>
      <c r="R90" s="4"/>
      <c r="S90" s="2"/>
      <c r="T90" s="2"/>
      <c r="U90" s="1"/>
      <c r="V90" s="2"/>
      <c r="W90" s="2"/>
      <c r="X90" s="2"/>
      <c r="Y90" s="2"/>
      <c r="Z90" s="2"/>
    </row>
    <row r="91" spans="1:26" ht="15.75" customHeight="1" x14ac:dyDescent="0.2">
      <c r="A91" s="12"/>
      <c r="B91" s="10"/>
      <c r="C91" s="11"/>
      <c r="D91" s="13"/>
      <c r="E91" s="13"/>
      <c r="F91" s="13"/>
      <c r="G91" s="2"/>
      <c r="H91" s="2"/>
      <c r="I91" s="13"/>
      <c r="J91" s="13"/>
      <c r="K91" s="13"/>
      <c r="L91" s="14"/>
      <c r="M91" s="4"/>
      <c r="N91" s="2"/>
      <c r="O91" s="4"/>
      <c r="P91" s="2"/>
      <c r="Q91" s="2"/>
      <c r="R91" s="4"/>
      <c r="S91" s="2"/>
      <c r="T91" s="2"/>
      <c r="U91" s="1"/>
      <c r="V91" s="2"/>
      <c r="W91" s="2"/>
      <c r="X91" s="2"/>
      <c r="Y91" s="2"/>
      <c r="Z91" s="2"/>
    </row>
    <row r="92" spans="1:26" ht="15.75" customHeight="1" x14ac:dyDescent="0.2">
      <c r="A92" s="12"/>
      <c r="B92" s="10"/>
      <c r="C92" s="11"/>
      <c r="D92" s="13"/>
      <c r="E92" s="13"/>
      <c r="F92" s="13"/>
      <c r="G92" s="2"/>
      <c r="H92" s="2"/>
      <c r="I92" s="13"/>
      <c r="J92" s="13"/>
      <c r="K92" s="13"/>
      <c r="L92" s="14"/>
      <c r="M92" s="4"/>
      <c r="N92" s="2"/>
      <c r="O92" s="4"/>
      <c r="P92" s="2"/>
      <c r="Q92" s="2"/>
      <c r="R92" s="4"/>
      <c r="S92" s="2"/>
      <c r="T92" s="2"/>
      <c r="U92" s="1"/>
      <c r="V92" s="2"/>
      <c r="W92" s="2"/>
      <c r="X92" s="2"/>
      <c r="Y92" s="2"/>
      <c r="Z92" s="2"/>
    </row>
    <row r="93" spans="1:26" ht="15.75" customHeight="1" x14ac:dyDescent="0.2">
      <c r="A93" s="12"/>
      <c r="B93" s="10"/>
      <c r="C93" s="11"/>
      <c r="D93" s="13"/>
      <c r="E93" s="13"/>
      <c r="F93" s="13"/>
      <c r="G93" s="2"/>
      <c r="H93" s="2"/>
      <c r="I93" s="13"/>
      <c r="J93" s="13"/>
      <c r="K93" s="13"/>
      <c r="L93" s="14"/>
      <c r="M93" s="4"/>
      <c r="N93" s="2"/>
      <c r="O93" s="4"/>
      <c r="P93" s="2"/>
      <c r="Q93" s="2"/>
      <c r="R93" s="4"/>
      <c r="S93" s="2"/>
      <c r="T93" s="2"/>
      <c r="U93" s="1"/>
      <c r="V93" s="2"/>
      <c r="W93" s="2"/>
      <c r="X93" s="2"/>
      <c r="Y93" s="2"/>
      <c r="Z93" s="2"/>
    </row>
    <row r="94" spans="1:26" ht="15.75" customHeight="1" x14ac:dyDescent="0.2">
      <c r="A94" s="12"/>
      <c r="B94" s="10"/>
      <c r="C94" s="11"/>
      <c r="D94" s="13"/>
      <c r="E94" s="13"/>
      <c r="F94" s="13"/>
      <c r="G94" s="2"/>
      <c r="H94" s="2"/>
      <c r="I94" s="13"/>
      <c r="J94" s="13"/>
      <c r="K94" s="13"/>
      <c r="L94" s="14"/>
      <c r="M94" s="4"/>
      <c r="N94" s="2"/>
      <c r="O94" s="4"/>
      <c r="P94" s="2"/>
      <c r="Q94" s="2"/>
      <c r="R94" s="4"/>
      <c r="S94" s="2"/>
      <c r="T94" s="2"/>
      <c r="U94" s="1"/>
      <c r="V94" s="2"/>
      <c r="W94" s="2"/>
      <c r="X94" s="2"/>
      <c r="Y94" s="2"/>
      <c r="Z94" s="2"/>
    </row>
    <row r="95" spans="1:26" ht="15.75" customHeight="1" x14ac:dyDescent="0.2">
      <c r="A95" s="12"/>
      <c r="B95" s="10"/>
      <c r="C95" s="11"/>
      <c r="D95" s="13"/>
      <c r="E95" s="13"/>
      <c r="F95" s="13"/>
      <c r="G95" s="2"/>
      <c r="H95" s="2"/>
      <c r="I95" s="13"/>
      <c r="J95" s="13"/>
      <c r="K95" s="13"/>
      <c r="L95" s="14"/>
      <c r="M95" s="4"/>
      <c r="N95" s="2"/>
      <c r="O95" s="4"/>
      <c r="P95" s="2"/>
      <c r="Q95" s="2"/>
      <c r="R95" s="4"/>
      <c r="S95" s="2"/>
      <c r="T95" s="2"/>
      <c r="U95" s="1"/>
      <c r="V95" s="2"/>
      <c r="W95" s="2"/>
      <c r="X95" s="2"/>
      <c r="Y95" s="2"/>
      <c r="Z95" s="2"/>
    </row>
    <row r="96" spans="1:26" ht="15.75" customHeight="1" x14ac:dyDescent="0.2">
      <c r="A96" s="12"/>
      <c r="B96" s="10"/>
      <c r="C96" s="11"/>
      <c r="D96" s="13"/>
      <c r="E96" s="13"/>
      <c r="F96" s="13"/>
      <c r="G96" s="2"/>
      <c r="H96" s="2"/>
      <c r="I96" s="13"/>
      <c r="J96" s="13"/>
      <c r="K96" s="13"/>
      <c r="L96" s="14"/>
      <c r="M96" s="4"/>
      <c r="N96" s="2"/>
      <c r="O96" s="4"/>
      <c r="P96" s="2"/>
      <c r="Q96" s="2"/>
      <c r="R96" s="4"/>
      <c r="S96" s="2"/>
      <c r="T96" s="2"/>
      <c r="U96" s="1"/>
      <c r="V96" s="2"/>
      <c r="W96" s="2"/>
      <c r="X96" s="2"/>
      <c r="Y96" s="2"/>
      <c r="Z96" s="2"/>
    </row>
    <row r="97" spans="1:26" ht="15.75" customHeight="1" x14ac:dyDescent="0.2">
      <c r="A97" s="12"/>
      <c r="B97" s="10"/>
      <c r="C97" s="11"/>
      <c r="D97" s="13"/>
      <c r="E97" s="13"/>
      <c r="F97" s="13"/>
      <c r="G97" s="2"/>
      <c r="H97" s="2"/>
      <c r="I97" s="13"/>
      <c r="J97" s="13"/>
      <c r="K97" s="13"/>
      <c r="L97" s="14"/>
      <c r="M97" s="4"/>
      <c r="N97" s="2"/>
      <c r="O97" s="4"/>
      <c r="P97" s="2"/>
      <c r="Q97" s="2"/>
      <c r="R97" s="4"/>
      <c r="S97" s="2"/>
      <c r="T97" s="2"/>
      <c r="U97" s="1"/>
      <c r="V97" s="2"/>
      <c r="W97" s="2"/>
      <c r="X97" s="2"/>
      <c r="Y97" s="2"/>
      <c r="Z97" s="2"/>
    </row>
    <row r="98" spans="1:26" ht="15.75" customHeight="1" x14ac:dyDescent="0.2">
      <c r="A98" s="12"/>
      <c r="B98" s="10"/>
      <c r="C98" s="11"/>
      <c r="D98" s="13"/>
      <c r="E98" s="13"/>
      <c r="F98" s="13"/>
      <c r="G98" s="2"/>
      <c r="H98" s="2"/>
      <c r="I98" s="13"/>
      <c r="J98" s="13"/>
      <c r="K98" s="13"/>
      <c r="L98" s="14"/>
      <c r="M98" s="4"/>
      <c r="N98" s="2"/>
      <c r="O98" s="4"/>
      <c r="P98" s="2"/>
      <c r="Q98" s="2"/>
      <c r="R98" s="4"/>
      <c r="S98" s="2"/>
      <c r="T98" s="2"/>
      <c r="U98" s="1"/>
      <c r="V98" s="2"/>
      <c r="W98" s="2"/>
      <c r="X98" s="2"/>
      <c r="Y98" s="2"/>
      <c r="Z98" s="2"/>
    </row>
    <row r="99" spans="1:26" ht="15.75" customHeight="1" x14ac:dyDescent="0.2">
      <c r="A99" s="12"/>
      <c r="B99" s="10"/>
      <c r="C99" s="11"/>
      <c r="D99" s="13"/>
      <c r="E99" s="13"/>
      <c r="F99" s="13"/>
      <c r="G99" s="2"/>
      <c r="H99" s="2"/>
      <c r="I99" s="13"/>
      <c r="J99" s="13"/>
      <c r="K99" s="13"/>
      <c r="L99" s="14"/>
      <c r="M99" s="4"/>
      <c r="N99" s="2"/>
      <c r="O99" s="4"/>
      <c r="P99" s="2"/>
      <c r="Q99" s="2"/>
      <c r="R99" s="4"/>
      <c r="S99" s="2"/>
      <c r="T99" s="2"/>
      <c r="U99" s="1"/>
      <c r="V99" s="2"/>
      <c r="W99" s="2"/>
      <c r="X99" s="2"/>
      <c r="Y99" s="2"/>
      <c r="Z99" s="2"/>
    </row>
    <row r="100" spans="1:26" ht="15.75" customHeight="1" x14ac:dyDescent="0.2">
      <c r="A100" s="12"/>
      <c r="B100" s="10"/>
      <c r="C100" s="11"/>
      <c r="D100" s="13"/>
      <c r="E100" s="13"/>
      <c r="F100" s="13"/>
      <c r="G100" s="2"/>
      <c r="H100" s="2"/>
      <c r="I100" s="13"/>
      <c r="J100" s="13"/>
      <c r="K100" s="13"/>
      <c r="L100" s="14"/>
      <c r="M100" s="4"/>
      <c r="N100" s="2"/>
      <c r="O100" s="4"/>
      <c r="P100" s="2"/>
      <c r="Q100" s="2"/>
      <c r="R100" s="4"/>
      <c r="S100" s="2"/>
      <c r="T100" s="2"/>
      <c r="U100" s="1"/>
      <c r="V100" s="2"/>
      <c r="W100" s="2"/>
      <c r="X100" s="2"/>
      <c r="Y100" s="2"/>
      <c r="Z100" s="2"/>
    </row>
    <row r="101" spans="1:26" ht="15.75" customHeight="1" x14ac:dyDescent="0.2">
      <c r="A101" s="12"/>
      <c r="B101" s="10"/>
      <c r="C101" s="11"/>
      <c r="D101" s="13"/>
      <c r="E101" s="13"/>
      <c r="F101" s="13"/>
      <c r="G101" s="2"/>
      <c r="H101" s="2"/>
      <c r="I101" s="13"/>
      <c r="J101" s="13"/>
      <c r="K101" s="13"/>
      <c r="L101" s="14"/>
      <c r="M101" s="4"/>
      <c r="N101" s="2"/>
      <c r="O101" s="4"/>
      <c r="P101" s="2"/>
      <c r="Q101" s="2"/>
      <c r="R101" s="4"/>
      <c r="S101" s="2"/>
      <c r="T101" s="2"/>
      <c r="U101" s="1"/>
      <c r="V101" s="2"/>
      <c r="W101" s="2"/>
      <c r="X101" s="2"/>
      <c r="Y101" s="2"/>
      <c r="Z101" s="2"/>
    </row>
    <row r="102" spans="1:26" ht="15.75" customHeight="1" x14ac:dyDescent="0.2">
      <c r="A102" s="12"/>
      <c r="B102" s="10"/>
      <c r="C102" s="11"/>
      <c r="D102" s="13"/>
      <c r="E102" s="13"/>
      <c r="F102" s="13"/>
      <c r="G102" s="2"/>
      <c r="H102" s="2"/>
      <c r="I102" s="13"/>
      <c r="J102" s="13"/>
      <c r="K102" s="13"/>
      <c r="L102" s="14"/>
      <c r="M102" s="4"/>
      <c r="N102" s="2"/>
      <c r="O102" s="4"/>
      <c r="P102" s="2"/>
      <c r="Q102" s="2"/>
      <c r="R102" s="4"/>
      <c r="S102" s="2"/>
      <c r="T102" s="2"/>
      <c r="U102" s="1"/>
      <c r="V102" s="2"/>
      <c r="W102" s="2"/>
      <c r="X102" s="2"/>
      <c r="Y102" s="2"/>
      <c r="Z102" s="2"/>
    </row>
    <row r="103" spans="1:26" ht="15.75" customHeight="1" x14ac:dyDescent="0.2">
      <c r="A103" s="12"/>
      <c r="B103" s="10"/>
      <c r="C103" s="11"/>
      <c r="D103" s="13"/>
      <c r="E103" s="13"/>
      <c r="F103" s="13"/>
      <c r="G103" s="2"/>
      <c r="H103" s="2"/>
      <c r="I103" s="13"/>
      <c r="J103" s="13"/>
      <c r="K103" s="13"/>
      <c r="L103" s="14"/>
      <c r="M103" s="4"/>
      <c r="N103" s="2"/>
      <c r="O103" s="4"/>
      <c r="P103" s="2"/>
      <c r="Q103" s="2"/>
      <c r="R103" s="4"/>
      <c r="S103" s="2"/>
      <c r="T103" s="2"/>
      <c r="U103" s="1"/>
      <c r="V103" s="2"/>
      <c r="W103" s="2"/>
      <c r="X103" s="2"/>
      <c r="Y103" s="2"/>
      <c r="Z103" s="2"/>
    </row>
    <row r="104" spans="1:26" ht="15.75" customHeight="1" x14ac:dyDescent="0.2">
      <c r="A104" s="12"/>
      <c r="B104" s="10"/>
      <c r="C104" s="11"/>
      <c r="D104" s="13"/>
      <c r="E104" s="13"/>
      <c r="F104" s="13"/>
      <c r="G104" s="2"/>
      <c r="H104" s="2"/>
      <c r="I104" s="13"/>
      <c r="J104" s="13"/>
      <c r="K104" s="13"/>
      <c r="L104" s="14"/>
      <c r="M104" s="4"/>
      <c r="N104" s="2"/>
      <c r="O104" s="4"/>
      <c r="P104" s="2"/>
      <c r="Q104" s="2"/>
      <c r="R104" s="4"/>
      <c r="S104" s="2"/>
      <c r="T104" s="2"/>
      <c r="U104" s="1"/>
      <c r="V104" s="2"/>
      <c r="W104" s="2"/>
      <c r="X104" s="2"/>
      <c r="Y104" s="2"/>
      <c r="Z104" s="2"/>
    </row>
    <row r="105" spans="1:26" ht="15.75" customHeight="1" x14ac:dyDescent="0.2">
      <c r="A105" s="12"/>
      <c r="B105" s="10"/>
      <c r="C105" s="11"/>
      <c r="D105" s="13"/>
      <c r="E105" s="13"/>
      <c r="F105" s="13"/>
      <c r="G105" s="2"/>
      <c r="H105" s="2"/>
      <c r="I105" s="13"/>
      <c r="J105" s="13"/>
      <c r="K105" s="13"/>
      <c r="L105" s="14"/>
      <c r="M105" s="4"/>
      <c r="N105" s="2"/>
      <c r="O105" s="4"/>
      <c r="P105" s="2"/>
      <c r="Q105" s="2"/>
      <c r="R105" s="4"/>
      <c r="S105" s="2"/>
      <c r="T105" s="2"/>
      <c r="U105" s="1"/>
      <c r="V105" s="2"/>
      <c r="W105" s="2"/>
      <c r="X105" s="2"/>
      <c r="Y105" s="2"/>
      <c r="Z105" s="2"/>
    </row>
    <row r="106" spans="1:26" ht="15.75" customHeight="1" x14ac:dyDescent="0.2">
      <c r="A106" s="12"/>
      <c r="B106" s="10"/>
      <c r="C106" s="11"/>
      <c r="D106" s="13"/>
      <c r="E106" s="13"/>
      <c r="F106" s="13"/>
      <c r="G106" s="2"/>
      <c r="H106" s="2"/>
      <c r="I106" s="13"/>
      <c r="J106" s="13"/>
      <c r="K106" s="13"/>
      <c r="L106" s="14"/>
      <c r="M106" s="4"/>
      <c r="N106" s="2"/>
      <c r="O106" s="4"/>
      <c r="P106" s="2"/>
      <c r="Q106" s="2"/>
      <c r="R106" s="4"/>
      <c r="S106" s="2"/>
      <c r="T106" s="2"/>
      <c r="U106" s="1"/>
      <c r="V106" s="2"/>
      <c r="W106" s="2"/>
      <c r="X106" s="2"/>
      <c r="Y106" s="2"/>
      <c r="Z106" s="2"/>
    </row>
    <row r="107" spans="1:26" ht="15.75" customHeight="1" x14ac:dyDescent="0.2">
      <c r="A107" s="12"/>
      <c r="B107" s="10"/>
      <c r="C107" s="11"/>
      <c r="D107" s="13"/>
      <c r="E107" s="13"/>
      <c r="F107" s="13"/>
      <c r="G107" s="2"/>
      <c r="H107" s="2"/>
      <c r="I107" s="13"/>
      <c r="J107" s="13"/>
      <c r="K107" s="13"/>
      <c r="L107" s="14"/>
      <c r="M107" s="4"/>
      <c r="N107" s="2"/>
      <c r="O107" s="4"/>
      <c r="P107" s="2"/>
      <c r="Q107" s="2"/>
      <c r="R107" s="4"/>
      <c r="S107" s="2"/>
      <c r="T107" s="2"/>
      <c r="U107" s="1"/>
      <c r="V107" s="2"/>
      <c r="W107" s="2"/>
      <c r="X107" s="2"/>
      <c r="Y107" s="2"/>
      <c r="Z107" s="2"/>
    </row>
    <row r="108" spans="1:26" ht="15.75" customHeight="1" x14ac:dyDescent="0.2">
      <c r="A108" s="12"/>
      <c r="B108" s="10"/>
      <c r="C108" s="11"/>
      <c r="D108" s="13"/>
      <c r="E108" s="13"/>
      <c r="F108" s="13"/>
      <c r="G108" s="2"/>
      <c r="H108" s="2"/>
      <c r="I108" s="13"/>
      <c r="J108" s="13"/>
      <c r="K108" s="13"/>
      <c r="L108" s="14"/>
      <c r="M108" s="4"/>
      <c r="N108" s="2"/>
      <c r="O108" s="4"/>
      <c r="P108" s="2"/>
      <c r="Q108" s="2"/>
      <c r="R108" s="4"/>
      <c r="S108" s="2"/>
      <c r="T108" s="2"/>
      <c r="U108" s="1"/>
      <c r="V108" s="2"/>
      <c r="W108" s="2"/>
      <c r="X108" s="2"/>
      <c r="Y108" s="2"/>
      <c r="Z108" s="2"/>
    </row>
    <row r="109" spans="1:26" ht="15.75" customHeight="1" x14ac:dyDescent="0.2">
      <c r="A109" s="12"/>
      <c r="B109" s="10"/>
      <c r="C109" s="11"/>
      <c r="D109" s="13"/>
      <c r="E109" s="13"/>
      <c r="F109" s="13"/>
      <c r="G109" s="2"/>
      <c r="H109" s="2"/>
      <c r="I109" s="13"/>
      <c r="J109" s="13"/>
      <c r="K109" s="13"/>
      <c r="L109" s="14"/>
      <c r="M109" s="4"/>
      <c r="N109" s="2"/>
      <c r="O109" s="4"/>
      <c r="P109" s="2"/>
      <c r="Q109" s="2"/>
      <c r="R109" s="4"/>
      <c r="S109" s="2"/>
      <c r="T109" s="2"/>
      <c r="U109" s="1"/>
      <c r="V109" s="2"/>
      <c r="W109" s="2"/>
      <c r="X109" s="2"/>
      <c r="Y109" s="2"/>
      <c r="Z109" s="2"/>
    </row>
    <row r="110" spans="1:26" ht="15.75" customHeight="1" x14ac:dyDescent="0.2">
      <c r="A110" s="12"/>
      <c r="B110" s="10"/>
      <c r="C110" s="11"/>
      <c r="D110" s="13"/>
      <c r="E110" s="13"/>
      <c r="F110" s="13"/>
      <c r="G110" s="2"/>
      <c r="H110" s="2"/>
      <c r="I110" s="13"/>
      <c r="J110" s="13"/>
      <c r="K110" s="13"/>
      <c r="L110" s="14"/>
      <c r="M110" s="4"/>
      <c r="N110" s="2"/>
      <c r="O110" s="4"/>
      <c r="P110" s="2"/>
      <c r="Q110" s="2"/>
      <c r="R110" s="4"/>
      <c r="S110" s="2"/>
      <c r="T110" s="2"/>
      <c r="U110" s="1"/>
      <c r="V110" s="2"/>
      <c r="W110" s="2"/>
      <c r="X110" s="2"/>
      <c r="Y110" s="2"/>
      <c r="Z110" s="2"/>
    </row>
    <row r="111" spans="1:26" ht="15.75" customHeight="1" x14ac:dyDescent="0.2">
      <c r="A111" s="12"/>
      <c r="B111" s="10"/>
      <c r="C111" s="11"/>
      <c r="D111" s="13"/>
      <c r="E111" s="13"/>
      <c r="F111" s="13"/>
      <c r="G111" s="2"/>
      <c r="H111" s="2"/>
      <c r="I111" s="13"/>
      <c r="J111" s="13"/>
      <c r="K111" s="13"/>
      <c r="L111" s="14"/>
      <c r="M111" s="4"/>
      <c r="N111" s="2"/>
      <c r="O111" s="4"/>
      <c r="P111" s="2"/>
      <c r="Q111" s="2"/>
      <c r="R111" s="4"/>
      <c r="S111" s="2"/>
      <c r="T111" s="2"/>
      <c r="U111" s="1"/>
      <c r="V111" s="2"/>
      <c r="W111" s="2"/>
      <c r="X111" s="2"/>
      <c r="Y111" s="2"/>
      <c r="Z111" s="2"/>
    </row>
    <row r="112" spans="1:26" ht="15.75" customHeight="1" x14ac:dyDescent="0.2">
      <c r="A112" s="12"/>
      <c r="B112" s="10"/>
      <c r="C112" s="11"/>
      <c r="D112" s="13"/>
      <c r="E112" s="13"/>
      <c r="F112" s="13"/>
      <c r="G112" s="2"/>
      <c r="H112" s="2"/>
      <c r="I112" s="13"/>
      <c r="J112" s="13"/>
      <c r="K112" s="13"/>
      <c r="L112" s="14"/>
      <c r="M112" s="4"/>
      <c r="N112" s="2"/>
      <c r="O112" s="4"/>
      <c r="P112" s="2"/>
      <c r="Q112" s="2"/>
      <c r="R112" s="4"/>
      <c r="S112" s="2"/>
      <c r="T112" s="2"/>
      <c r="U112" s="1"/>
      <c r="V112" s="2"/>
      <c r="W112" s="2"/>
      <c r="X112" s="2"/>
      <c r="Y112" s="2"/>
      <c r="Z112" s="2"/>
    </row>
    <row r="113" spans="1:26" ht="15.75" customHeight="1" x14ac:dyDescent="0.2">
      <c r="A113" s="12"/>
      <c r="B113" s="10"/>
      <c r="C113" s="11"/>
      <c r="D113" s="13"/>
      <c r="E113" s="13"/>
      <c r="F113" s="13"/>
      <c r="G113" s="2"/>
      <c r="H113" s="2"/>
      <c r="I113" s="13"/>
      <c r="J113" s="13"/>
      <c r="K113" s="13"/>
      <c r="L113" s="14"/>
      <c r="M113" s="4"/>
      <c r="N113" s="2"/>
      <c r="O113" s="4"/>
      <c r="P113" s="2"/>
      <c r="Q113" s="2"/>
      <c r="R113" s="4"/>
      <c r="S113" s="2"/>
      <c r="T113" s="2"/>
      <c r="U113" s="1"/>
      <c r="V113" s="2"/>
      <c r="W113" s="2"/>
      <c r="X113" s="2"/>
      <c r="Y113" s="2"/>
      <c r="Z113" s="2"/>
    </row>
    <row r="114" spans="1:26" ht="15.75" customHeight="1" x14ac:dyDescent="0.2">
      <c r="A114" s="12"/>
      <c r="B114" s="10"/>
      <c r="C114" s="11"/>
      <c r="D114" s="13"/>
      <c r="E114" s="13"/>
      <c r="F114" s="13"/>
      <c r="G114" s="2"/>
      <c r="H114" s="2"/>
      <c r="I114" s="13"/>
      <c r="J114" s="13"/>
      <c r="K114" s="13"/>
      <c r="L114" s="14"/>
      <c r="M114" s="4"/>
      <c r="N114" s="2"/>
      <c r="O114" s="4"/>
      <c r="P114" s="2"/>
      <c r="Q114" s="2"/>
      <c r="R114" s="4"/>
      <c r="S114" s="2"/>
      <c r="T114" s="2"/>
      <c r="U114" s="1"/>
      <c r="V114" s="2"/>
      <c r="W114" s="2"/>
      <c r="X114" s="2"/>
      <c r="Y114" s="2"/>
      <c r="Z114" s="2"/>
    </row>
    <row r="115" spans="1:26" ht="15.75" customHeight="1" x14ac:dyDescent="0.2">
      <c r="A115" s="12"/>
      <c r="B115" s="10"/>
      <c r="C115" s="11"/>
      <c r="D115" s="13"/>
      <c r="E115" s="13"/>
      <c r="F115" s="13"/>
      <c r="G115" s="2"/>
      <c r="H115" s="2"/>
      <c r="I115" s="13"/>
      <c r="J115" s="13"/>
      <c r="K115" s="13"/>
      <c r="L115" s="14"/>
      <c r="M115" s="4"/>
      <c r="N115" s="2"/>
      <c r="O115" s="4"/>
      <c r="P115" s="2"/>
      <c r="Q115" s="2"/>
      <c r="R115" s="4"/>
      <c r="S115" s="2"/>
      <c r="T115" s="2"/>
      <c r="U115" s="1"/>
      <c r="V115" s="2"/>
      <c r="W115" s="2"/>
      <c r="X115" s="2"/>
      <c r="Y115" s="2"/>
      <c r="Z115" s="2"/>
    </row>
    <row r="116" spans="1:26" ht="15.75" customHeight="1" x14ac:dyDescent="0.2">
      <c r="A116" s="12"/>
      <c r="B116" s="10"/>
      <c r="C116" s="11"/>
      <c r="D116" s="13"/>
      <c r="E116" s="13"/>
      <c r="F116" s="13"/>
      <c r="G116" s="2"/>
      <c r="H116" s="2"/>
      <c r="I116" s="13"/>
      <c r="J116" s="13"/>
      <c r="K116" s="13"/>
      <c r="L116" s="14"/>
      <c r="M116" s="4"/>
      <c r="N116" s="2"/>
      <c r="O116" s="4"/>
      <c r="P116" s="2"/>
      <c r="Q116" s="2"/>
      <c r="R116" s="4"/>
      <c r="S116" s="2"/>
      <c r="T116" s="2"/>
      <c r="U116" s="1"/>
      <c r="V116" s="2"/>
      <c r="W116" s="2"/>
      <c r="X116" s="2"/>
      <c r="Y116" s="2"/>
      <c r="Z116" s="2"/>
    </row>
    <row r="117" spans="1:26" ht="15.75" customHeight="1" x14ac:dyDescent="0.2">
      <c r="A117" s="12"/>
      <c r="B117" s="10"/>
      <c r="C117" s="11"/>
      <c r="D117" s="13"/>
      <c r="E117" s="13"/>
      <c r="F117" s="13"/>
      <c r="G117" s="2"/>
      <c r="H117" s="2"/>
      <c r="I117" s="13"/>
      <c r="J117" s="13"/>
      <c r="K117" s="13"/>
      <c r="L117" s="14"/>
      <c r="M117" s="4"/>
      <c r="N117" s="2"/>
      <c r="O117" s="4"/>
      <c r="P117" s="2"/>
      <c r="Q117" s="2"/>
      <c r="R117" s="4"/>
      <c r="S117" s="2"/>
      <c r="T117" s="2"/>
      <c r="U117" s="1"/>
      <c r="V117" s="2"/>
      <c r="W117" s="2"/>
      <c r="X117" s="2"/>
      <c r="Y117" s="2"/>
      <c r="Z117" s="2"/>
    </row>
    <row r="118" spans="1:26" ht="15.75" customHeight="1" x14ac:dyDescent="0.2">
      <c r="A118" s="12"/>
      <c r="B118" s="10"/>
      <c r="C118" s="11"/>
      <c r="D118" s="13"/>
      <c r="E118" s="13"/>
      <c r="F118" s="13"/>
      <c r="G118" s="2"/>
      <c r="H118" s="2"/>
      <c r="I118" s="13"/>
      <c r="J118" s="13"/>
      <c r="K118" s="13"/>
      <c r="L118" s="14"/>
      <c r="M118" s="4"/>
      <c r="N118" s="2"/>
      <c r="O118" s="4"/>
      <c r="P118" s="2"/>
      <c r="Q118" s="2"/>
      <c r="R118" s="4"/>
      <c r="S118" s="2"/>
      <c r="T118" s="2"/>
      <c r="U118" s="1"/>
      <c r="V118" s="2"/>
      <c r="W118" s="2"/>
      <c r="X118" s="2"/>
      <c r="Y118" s="2"/>
      <c r="Z118" s="2"/>
    </row>
    <row r="119" spans="1:26" ht="15.75" customHeight="1" x14ac:dyDescent="0.2">
      <c r="A119" s="12"/>
      <c r="B119" s="10"/>
      <c r="C119" s="11"/>
      <c r="D119" s="13"/>
      <c r="E119" s="13"/>
      <c r="F119" s="13"/>
      <c r="G119" s="2"/>
      <c r="H119" s="2"/>
      <c r="I119" s="13"/>
      <c r="J119" s="13"/>
      <c r="K119" s="13"/>
      <c r="L119" s="14"/>
      <c r="M119" s="4"/>
      <c r="N119" s="2"/>
      <c r="O119" s="4"/>
      <c r="P119" s="2"/>
      <c r="Q119" s="2"/>
      <c r="R119" s="4"/>
      <c r="S119" s="2"/>
      <c r="T119" s="2"/>
      <c r="U119" s="1"/>
      <c r="V119" s="2"/>
      <c r="W119" s="2"/>
      <c r="X119" s="2"/>
      <c r="Y119" s="2"/>
      <c r="Z119" s="2"/>
    </row>
    <row r="120" spans="1:26" ht="15.75" customHeight="1" x14ac:dyDescent="0.2">
      <c r="A120" s="12"/>
      <c r="B120" s="10"/>
      <c r="C120" s="11"/>
      <c r="D120" s="13"/>
      <c r="E120" s="13"/>
      <c r="F120" s="13"/>
      <c r="G120" s="2"/>
      <c r="H120" s="2"/>
      <c r="I120" s="13"/>
      <c r="J120" s="13"/>
      <c r="K120" s="13"/>
      <c r="L120" s="14"/>
      <c r="M120" s="4"/>
      <c r="N120" s="2"/>
      <c r="O120" s="4"/>
      <c r="P120" s="2"/>
      <c r="Q120" s="2"/>
      <c r="R120" s="4"/>
      <c r="S120" s="2"/>
      <c r="T120" s="2"/>
      <c r="U120" s="1"/>
      <c r="V120" s="2"/>
      <c r="W120" s="2"/>
      <c r="X120" s="2"/>
      <c r="Y120" s="2"/>
      <c r="Z120" s="2"/>
    </row>
    <row r="121" spans="1:26" ht="15.75" customHeight="1" x14ac:dyDescent="0.2">
      <c r="A121" s="12"/>
      <c r="B121" s="10"/>
      <c r="C121" s="11"/>
      <c r="D121" s="13"/>
      <c r="E121" s="13"/>
      <c r="F121" s="13"/>
      <c r="G121" s="2"/>
      <c r="H121" s="2"/>
      <c r="I121" s="13"/>
      <c r="J121" s="13"/>
      <c r="K121" s="13"/>
      <c r="L121" s="14"/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A122" s="12"/>
      <c r="B122" s="10"/>
      <c r="C122" s="11"/>
      <c r="D122" s="13"/>
      <c r="E122" s="13"/>
      <c r="F122" s="13"/>
      <c r="G122" s="2"/>
      <c r="H122" s="2"/>
      <c r="I122" s="13"/>
      <c r="J122" s="13"/>
      <c r="K122" s="13"/>
      <c r="L122" s="14"/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12"/>
      <c r="B123" s="10"/>
      <c r="C123" s="11"/>
      <c r="D123" s="13"/>
      <c r="E123" s="13"/>
      <c r="F123" s="13"/>
      <c r="G123" s="2"/>
      <c r="H123" s="2"/>
      <c r="I123" s="13"/>
      <c r="J123" s="13"/>
      <c r="K123" s="13"/>
      <c r="L123" s="14"/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2"/>
      <c r="B124" s="10"/>
      <c r="C124" s="11"/>
      <c r="D124" s="13"/>
      <c r="E124" s="13"/>
      <c r="F124" s="13"/>
      <c r="G124" s="2"/>
      <c r="H124" s="2"/>
      <c r="I124" s="13"/>
      <c r="J124" s="13"/>
      <c r="K124" s="13"/>
      <c r="L124" s="14"/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2"/>
      <c r="B125" s="10"/>
      <c r="C125" s="11"/>
      <c r="D125" s="13"/>
      <c r="E125" s="13"/>
      <c r="F125" s="13"/>
      <c r="G125" s="2"/>
      <c r="H125" s="2"/>
      <c r="I125" s="13"/>
      <c r="J125" s="13"/>
      <c r="K125" s="13"/>
      <c r="L125" s="14"/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2"/>
      <c r="B126" s="10"/>
      <c r="C126" s="11"/>
      <c r="D126" s="13"/>
      <c r="E126" s="13"/>
      <c r="F126" s="13"/>
      <c r="G126" s="2"/>
      <c r="H126" s="2"/>
      <c r="I126" s="13"/>
      <c r="J126" s="13"/>
      <c r="K126" s="13"/>
      <c r="L126" s="14"/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2"/>
      <c r="B127" s="10"/>
      <c r="C127" s="11"/>
      <c r="D127" s="13"/>
      <c r="E127" s="13"/>
      <c r="F127" s="13"/>
      <c r="G127" s="2"/>
      <c r="H127" s="2"/>
      <c r="I127" s="13"/>
      <c r="J127" s="13"/>
      <c r="K127" s="13"/>
      <c r="L127" s="14"/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2"/>
      <c r="B128" s="10"/>
      <c r="C128" s="11"/>
      <c r="D128" s="13"/>
      <c r="E128" s="13"/>
      <c r="F128" s="13"/>
      <c r="G128" s="2"/>
      <c r="H128" s="2"/>
      <c r="I128" s="13"/>
      <c r="J128" s="13"/>
      <c r="K128" s="13"/>
      <c r="L128" s="14"/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2"/>
      <c r="B129" s="10"/>
      <c r="C129" s="11"/>
      <c r="D129" s="13"/>
      <c r="E129" s="13"/>
      <c r="F129" s="13"/>
      <c r="G129" s="2"/>
      <c r="H129" s="2"/>
      <c r="I129" s="13"/>
      <c r="J129" s="13"/>
      <c r="K129" s="13"/>
      <c r="L129" s="14"/>
      <c r="M129" s="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2"/>
      <c r="B130" s="10"/>
      <c r="C130" s="11"/>
      <c r="D130" s="13"/>
      <c r="E130" s="13"/>
      <c r="F130" s="13"/>
      <c r="G130" s="2"/>
      <c r="H130" s="2"/>
      <c r="I130" s="13"/>
      <c r="J130" s="13"/>
      <c r="K130" s="13"/>
      <c r="L130" s="14"/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2"/>
      <c r="B131" s="10"/>
      <c r="C131" s="11"/>
      <c r="D131" s="13"/>
      <c r="E131" s="13"/>
      <c r="F131" s="13"/>
      <c r="G131" s="2"/>
      <c r="H131" s="2"/>
      <c r="I131" s="13"/>
      <c r="J131" s="13"/>
      <c r="K131" s="13"/>
      <c r="L131" s="14"/>
      <c r="M131" s="4"/>
      <c r="N131" s="2"/>
      <c r="O131" s="4"/>
      <c r="P131" s="2"/>
      <c r="Q131" s="2"/>
      <c r="R131" s="4"/>
      <c r="S131" s="2"/>
      <c r="T131" s="2"/>
      <c r="U131" s="1"/>
      <c r="V131" s="2"/>
      <c r="W131" s="2"/>
      <c r="X131" s="2"/>
      <c r="Y131" s="2"/>
      <c r="Z131" s="2"/>
    </row>
    <row r="132" spans="1:26" ht="15.75" customHeight="1" x14ac:dyDescent="0.2">
      <c r="A132" s="12"/>
      <c r="B132" s="10"/>
      <c r="C132" s="11"/>
      <c r="D132" s="13"/>
      <c r="E132" s="13"/>
      <c r="F132" s="13"/>
      <c r="G132" s="2"/>
      <c r="H132" s="2"/>
      <c r="I132" s="13"/>
      <c r="J132" s="13"/>
      <c r="K132" s="13"/>
      <c r="L132" s="14"/>
      <c r="M132" s="4"/>
      <c r="N132" s="2"/>
      <c r="O132" s="4"/>
      <c r="P132" s="2"/>
      <c r="Q132" s="2"/>
      <c r="R132" s="4"/>
      <c r="S132" s="2"/>
      <c r="T132" s="2"/>
      <c r="U132" s="1"/>
      <c r="V132" s="2"/>
      <c r="W132" s="2"/>
      <c r="X132" s="2"/>
      <c r="Y132" s="2"/>
      <c r="Z132" s="2"/>
    </row>
    <row r="133" spans="1:26" ht="15.75" customHeight="1" x14ac:dyDescent="0.2">
      <c r="A133" s="12"/>
      <c r="B133" s="10"/>
      <c r="C133" s="11"/>
      <c r="D133" s="13"/>
      <c r="E133" s="13"/>
      <c r="F133" s="13"/>
      <c r="G133" s="2"/>
      <c r="H133" s="2"/>
      <c r="I133" s="13"/>
      <c r="J133" s="13"/>
      <c r="K133" s="13"/>
      <c r="L133" s="14"/>
      <c r="M133" s="4"/>
      <c r="N133" s="2"/>
      <c r="O133" s="4"/>
      <c r="P133" s="2"/>
      <c r="Q133" s="2"/>
      <c r="R133" s="4"/>
      <c r="S133" s="2"/>
      <c r="T133" s="2"/>
      <c r="U133" s="1"/>
      <c r="V133" s="2"/>
      <c r="W133" s="2"/>
      <c r="X133" s="2"/>
      <c r="Y133" s="2"/>
      <c r="Z133" s="2"/>
    </row>
    <row r="134" spans="1:26" ht="15.75" customHeight="1" x14ac:dyDescent="0.2">
      <c r="A134" s="12"/>
      <c r="B134" s="10"/>
      <c r="C134" s="11"/>
      <c r="D134" s="13"/>
      <c r="E134" s="13"/>
      <c r="F134" s="13"/>
      <c r="G134" s="2"/>
      <c r="H134" s="2"/>
      <c r="I134" s="13"/>
      <c r="J134" s="13"/>
      <c r="K134" s="13"/>
      <c r="L134" s="14"/>
      <c r="M134" s="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A135" s="12"/>
      <c r="B135" s="10"/>
      <c r="C135" s="11"/>
      <c r="D135" s="13"/>
      <c r="E135" s="13"/>
      <c r="F135" s="13"/>
      <c r="G135" s="2"/>
      <c r="H135" s="2"/>
      <c r="I135" s="13"/>
      <c r="J135" s="13"/>
      <c r="K135" s="13"/>
      <c r="L135" s="14"/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12"/>
      <c r="B136" s="10"/>
      <c r="C136" s="11"/>
      <c r="D136" s="13"/>
      <c r="E136" s="13"/>
      <c r="F136" s="13"/>
      <c r="G136" s="2"/>
      <c r="H136" s="2"/>
      <c r="I136" s="13"/>
      <c r="J136" s="13"/>
      <c r="K136" s="13"/>
      <c r="L136" s="14"/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12"/>
      <c r="B137" s="10"/>
      <c r="C137" s="11"/>
      <c r="D137" s="13"/>
      <c r="E137" s="13"/>
      <c r="F137" s="13"/>
      <c r="G137" s="2"/>
      <c r="H137" s="2"/>
      <c r="I137" s="13"/>
      <c r="J137" s="13"/>
      <c r="K137" s="13"/>
      <c r="L137" s="14"/>
      <c r="M137" s="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A138" s="12"/>
      <c r="B138" s="10"/>
      <c r="C138" s="11"/>
      <c r="D138" s="13"/>
      <c r="E138" s="13"/>
      <c r="F138" s="13"/>
      <c r="G138" s="2"/>
      <c r="H138" s="2"/>
      <c r="I138" s="13"/>
      <c r="J138" s="13"/>
      <c r="K138" s="13"/>
      <c r="L138" s="14"/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12"/>
      <c r="B139" s="10"/>
      <c r="C139" s="11"/>
      <c r="D139" s="13"/>
      <c r="E139" s="13"/>
      <c r="F139" s="13"/>
      <c r="G139" s="2"/>
      <c r="H139" s="2"/>
      <c r="I139" s="13"/>
      <c r="J139" s="13"/>
      <c r="K139" s="13"/>
      <c r="L139" s="14"/>
      <c r="M139" s="4"/>
      <c r="N139" s="2"/>
      <c r="O139" s="4"/>
      <c r="P139" s="2"/>
      <c r="Q139" s="2"/>
      <c r="R139" s="4"/>
      <c r="S139" s="2"/>
      <c r="T139" s="2"/>
      <c r="U139" s="1"/>
      <c r="V139" s="2"/>
      <c r="W139" s="2"/>
      <c r="X139" s="2"/>
      <c r="Y139" s="2"/>
      <c r="Z139" s="2"/>
    </row>
    <row r="140" spans="1:26" ht="15.75" customHeight="1" x14ac:dyDescent="0.2">
      <c r="A140" s="12"/>
      <c r="B140" s="10"/>
      <c r="C140" s="11"/>
      <c r="D140" s="13"/>
      <c r="E140" s="13"/>
      <c r="F140" s="13"/>
      <c r="G140" s="2"/>
      <c r="H140" s="2"/>
      <c r="I140" s="13"/>
      <c r="J140" s="13"/>
      <c r="K140" s="13"/>
      <c r="L140" s="14"/>
      <c r="M140" s="4"/>
      <c r="N140" s="2"/>
      <c r="O140" s="4"/>
      <c r="P140" s="2"/>
      <c r="Q140" s="2"/>
      <c r="R140" s="4"/>
      <c r="S140" s="2"/>
      <c r="T140" s="2"/>
      <c r="U140" s="1"/>
      <c r="V140" s="2"/>
      <c r="W140" s="2"/>
      <c r="X140" s="2"/>
      <c r="Y140" s="2"/>
      <c r="Z140" s="2"/>
    </row>
    <row r="141" spans="1:26" ht="15.75" customHeight="1" x14ac:dyDescent="0.2">
      <c r="A141" s="12"/>
      <c r="B141" s="10"/>
      <c r="C141" s="11"/>
      <c r="D141" s="13"/>
      <c r="E141" s="13"/>
      <c r="F141" s="13"/>
      <c r="G141" s="2"/>
      <c r="H141" s="2"/>
      <c r="I141" s="13"/>
      <c r="J141" s="13"/>
      <c r="K141" s="13"/>
      <c r="L141" s="14"/>
      <c r="M141" s="4"/>
      <c r="N141" s="2"/>
      <c r="O141" s="4"/>
      <c r="P141" s="2"/>
      <c r="Q141" s="2"/>
      <c r="R141" s="4"/>
      <c r="S141" s="2"/>
      <c r="T141" s="2"/>
      <c r="U141" s="1"/>
      <c r="V141" s="2"/>
      <c r="W141" s="2"/>
      <c r="X141" s="2"/>
      <c r="Y141" s="2"/>
      <c r="Z141" s="2"/>
    </row>
    <row r="142" spans="1:26" ht="15.75" customHeight="1" x14ac:dyDescent="0.2">
      <c r="A142" s="12"/>
      <c r="B142" s="10"/>
      <c r="C142" s="11"/>
      <c r="D142" s="13"/>
      <c r="E142" s="13"/>
      <c r="F142" s="13"/>
      <c r="G142" s="2"/>
      <c r="H142" s="2"/>
      <c r="I142" s="13"/>
      <c r="J142" s="13"/>
      <c r="K142" s="13"/>
      <c r="L142" s="14"/>
      <c r="M142" s="4"/>
      <c r="N142" s="2"/>
      <c r="O142" s="4"/>
      <c r="P142" s="2"/>
      <c r="Q142" s="2"/>
      <c r="R142" s="4"/>
      <c r="S142" s="2"/>
      <c r="T142" s="2"/>
      <c r="U142" s="1"/>
      <c r="V142" s="2"/>
      <c r="W142" s="2"/>
      <c r="X142" s="2"/>
      <c r="Y142" s="2"/>
      <c r="Z142" s="2"/>
    </row>
    <row r="143" spans="1:26" ht="15.75" customHeight="1" x14ac:dyDescent="0.2">
      <c r="A143" s="12"/>
      <c r="B143" s="10"/>
      <c r="C143" s="11"/>
      <c r="D143" s="13"/>
      <c r="E143" s="13"/>
      <c r="F143" s="13"/>
      <c r="G143" s="2"/>
      <c r="H143" s="2"/>
      <c r="I143" s="13"/>
      <c r="J143" s="13"/>
      <c r="K143" s="13"/>
      <c r="L143" s="14"/>
      <c r="M143" s="4"/>
      <c r="N143" s="2"/>
      <c r="O143" s="4"/>
      <c r="P143" s="2"/>
      <c r="Q143" s="2"/>
      <c r="R143" s="4"/>
      <c r="S143" s="2"/>
      <c r="T143" s="2"/>
      <c r="U143" s="1"/>
      <c r="V143" s="2"/>
      <c r="W143" s="2"/>
      <c r="X143" s="2"/>
      <c r="Y143" s="2"/>
      <c r="Z143" s="2"/>
    </row>
    <row r="144" spans="1:26" ht="15.75" customHeight="1" x14ac:dyDescent="0.2">
      <c r="A144" s="12"/>
      <c r="B144" s="10"/>
      <c r="C144" s="11"/>
      <c r="D144" s="13"/>
      <c r="E144" s="13"/>
      <c r="F144" s="13"/>
      <c r="G144" s="2"/>
      <c r="H144" s="2"/>
      <c r="I144" s="13"/>
      <c r="J144" s="13"/>
      <c r="K144" s="13"/>
      <c r="L144" s="14"/>
      <c r="M144" s="4"/>
      <c r="N144" s="2"/>
      <c r="O144" s="4"/>
      <c r="P144" s="2"/>
      <c r="Q144" s="2"/>
      <c r="R144" s="4"/>
      <c r="S144" s="2"/>
      <c r="T144" s="2"/>
      <c r="U144" s="1"/>
      <c r="V144" s="2"/>
      <c r="W144" s="2"/>
      <c r="X144" s="2"/>
      <c r="Y144" s="2"/>
      <c r="Z144" s="2"/>
    </row>
    <row r="145" spans="1:26" ht="15.75" customHeight="1" x14ac:dyDescent="0.2">
      <c r="A145" s="12"/>
      <c r="B145" s="10"/>
      <c r="C145" s="11"/>
      <c r="D145" s="13"/>
      <c r="E145" s="13"/>
      <c r="F145" s="13"/>
      <c r="G145" s="2"/>
      <c r="H145" s="2"/>
      <c r="I145" s="13"/>
      <c r="J145" s="13"/>
      <c r="K145" s="13"/>
      <c r="L145" s="14"/>
      <c r="M145" s="4"/>
      <c r="N145" s="2"/>
      <c r="O145" s="4"/>
      <c r="P145" s="2"/>
      <c r="Q145" s="2"/>
      <c r="R145" s="4"/>
      <c r="S145" s="2"/>
      <c r="T145" s="2"/>
      <c r="U145" s="1"/>
      <c r="V145" s="2"/>
      <c r="W145" s="2"/>
      <c r="X145" s="2"/>
      <c r="Y145" s="2"/>
      <c r="Z145" s="2"/>
    </row>
    <row r="146" spans="1:26" ht="15.75" customHeight="1" x14ac:dyDescent="0.2">
      <c r="A146" s="12"/>
      <c r="B146" s="10"/>
      <c r="C146" s="11"/>
      <c r="D146" s="13"/>
      <c r="E146" s="13"/>
      <c r="F146" s="13"/>
      <c r="G146" s="2"/>
      <c r="H146" s="2"/>
      <c r="I146" s="13"/>
      <c r="J146" s="13"/>
      <c r="K146" s="13"/>
      <c r="L146" s="14"/>
      <c r="M146" s="4"/>
      <c r="N146" s="2"/>
      <c r="O146" s="4"/>
      <c r="P146" s="2"/>
      <c r="Q146" s="2"/>
      <c r="R146" s="4"/>
      <c r="S146" s="2"/>
      <c r="T146" s="2"/>
      <c r="U146" s="1"/>
      <c r="V146" s="2"/>
      <c r="W146" s="2"/>
      <c r="X146" s="2"/>
      <c r="Y146" s="2"/>
      <c r="Z146" s="2"/>
    </row>
    <row r="147" spans="1:26" ht="15.75" customHeight="1" x14ac:dyDescent="0.2">
      <c r="A147" s="12"/>
      <c r="B147" s="10"/>
      <c r="C147" s="11"/>
      <c r="D147" s="13"/>
      <c r="E147" s="13"/>
      <c r="F147" s="13"/>
      <c r="G147" s="2"/>
      <c r="H147" s="2"/>
      <c r="I147" s="13"/>
      <c r="J147" s="13"/>
      <c r="K147" s="13"/>
      <c r="L147" s="14"/>
      <c r="M147" s="4"/>
      <c r="N147" s="2"/>
      <c r="O147" s="4"/>
      <c r="P147" s="2"/>
      <c r="Q147" s="2"/>
      <c r="R147" s="4"/>
      <c r="S147" s="2"/>
      <c r="T147" s="2"/>
      <c r="U147" s="1"/>
      <c r="V147" s="2"/>
      <c r="W147" s="2"/>
      <c r="X147" s="2"/>
      <c r="Y147" s="2"/>
      <c r="Z147" s="2"/>
    </row>
    <row r="148" spans="1:26" ht="15.75" customHeight="1" x14ac:dyDescent="0.2">
      <c r="A148" s="12"/>
      <c r="B148" s="10"/>
      <c r="C148" s="11"/>
      <c r="D148" s="13"/>
      <c r="E148" s="13"/>
      <c r="F148" s="13"/>
      <c r="G148" s="2"/>
      <c r="H148" s="2"/>
      <c r="I148" s="13"/>
      <c r="J148" s="13"/>
      <c r="K148" s="13"/>
      <c r="L148" s="14"/>
      <c r="M148" s="4"/>
      <c r="N148" s="2"/>
      <c r="O148" s="4"/>
      <c r="P148" s="2"/>
      <c r="Q148" s="2"/>
      <c r="R148" s="4"/>
      <c r="S148" s="2"/>
      <c r="T148" s="2"/>
      <c r="U148" s="1"/>
      <c r="V148" s="2"/>
      <c r="W148" s="2"/>
      <c r="X148" s="2"/>
      <c r="Y148" s="2"/>
      <c r="Z148" s="2"/>
    </row>
    <row r="149" spans="1:26" ht="15.75" customHeight="1" x14ac:dyDescent="0.2">
      <c r="A149" s="12"/>
      <c r="B149" s="10"/>
      <c r="C149" s="11"/>
      <c r="D149" s="13"/>
      <c r="E149" s="13"/>
      <c r="F149" s="13"/>
      <c r="G149" s="2"/>
      <c r="H149" s="2"/>
      <c r="I149" s="13"/>
      <c r="J149" s="13"/>
      <c r="K149" s="13"/>
      <c r="L149" s="14"/>
      <c r="M149" s="4"/>
      <c r="N149" s="2"/>
      <c r="O149" s="4"/>
      <c r="P149" s="2"/>
      <c r="Q149" s="2"/>
      <c r="R149" s="4"/>
      <c r="S149" s="2"/>
      <c r="T149" s="2"/>
      <c r="U149" s="1"/>
      <c r="V149" s="2"/>
      <c r="W149" s="2"/>
      <c r="X149" s="2"/>
      <c r="Y149" s="2"/>
      <c r="Z149" s="2"/>
    </row>
    <row r="150" spans="1:26" ht="15.75" customHeight="1" x14ac:dyDescent="0.2">
      <c r="A150" s="12"/>
      <c r="B150" s="10"/>
      <c r="C150" s="11"/>
      <c r="D150" s="13"/>
      <c r="E150" s="13"/>
      <c r="F150" s="13"/>
      <c r="G150" s="2"/>
      <c r="H150" s="2"/>
      <c r="I150" s="13"/>
      <c r="J150" s="13"/>
      <c r="K150" s="13"/>
      <c r="L150" s="14"/>
      <c r="M150" s="4"/>
      <c r="N150" s="2"/>
      <c r="O150" s="4"/>
      <c r="P150" s="2"/>
      <c r="Q150" s="2"/>
      <c r="R150" s="4"/>
      <c r="S150" s="2"/>
      <c r="T150" s="2"/>
      <c r="U150" s="1"/>
      <c r="V150" s="2"/>
      <c r="W150" s="2"/>
      <c r="X150" s="2"/>
      <c r="Y150" s="2"/>
      <c r="Z150" s="2"/>
    </row>
    <row r="151" spans="1:26" ht="15.75" customHeight="1" x14ac:dyDescent="0.2">
      <c r="A151" s="12"/>
      <c r="B151" s="10"/>
      <c r="C151" s="11"/>
      <c r="D151" s="13"/>
      <c r="E151" s="13"/>
      <c r="F151" s="13"/>
      <c r="G151" s="2"/>
      <c r="H151" s="2"/>
      <c r="I151" s="13"/>
      <c r="J151" s="13"/>
      <c r="K151" s="13"/>
      <c r="L151" s="14"/>
      <c r="M151" s="4"/>
      <c r="N151" s="2"/>
      <c r="O151" s="4"/>
      <c r="P151" s="2"/>
      <c r="Q151" s="2"/>
      <c r="R151" s="4"/>
      <c r="S151" s="2"/>
      <c r="T151" s="2"/>
      <c r="U151" s="1"/>
      <c r="V151" s="2"/>
      <c r="W151" s="2"/>
      <c r="X151" s="2"/>
      <c r="Y151" s="2"/>
      <c r="Z151" s="2"/>
    </row>
    <row r="152" spans="1:26" ht="15.75" customHeight="1" x14ac:dyDescent="0.2">
      <c r="A152" s="12"/>
      <c r="B152" s="10"/>
      <c r="C152" s="11"/>
      <c r="D152" s="13"/>
      <c r="E152" s="13"/>
      <c r="F152" s="13"/>
      <c r="G152" s="2"/>
      <c r="H152" s="2"/>
      <c r="I152" s="13"/>
      <c r="J152" s="13"/>
      <c r="K152" s="13"/>
      <c r="L152" s="14"/>
      <c r="M152" s="4"/>
      <c r="N152" s="2"/>
      <c r="O152" s="4"/>
      <c r="P152" s="2"/>
      <c r="Q152" s="2"/>
      <c r="R152" s="4"/>
      <c r="S152" s="2"/>
      <c r="T152" s="2"/>
      <c r="U152" s="1"/>
      <c r="V152" s="2"/>
      <c r="W152" s="2"/>
      <c r="X152" s="2"/>
      <c r="Y152" s="2"/>
      <c r="Z152" s="2"/>
    </row>
    <row r="153" spans="1:26" ht="15.75" customHeight="1" x14ac:dyDescent="0.2">
      <c r="A153" s="12"/>
      <c r="B153" s="10"/>
      <c r="C153" s="11"/>
      <c r="D153" s="13"/>
      <c r="E153" s="13"/>
      <c r="F153" s="13"/>
      <c r="G153" s="2"/>
      <c r="H153" s="2"/>
      <c r="I153" s="13"/>
      <c r="J153" s="13"/>
      <c r="K153" s="13"/>
      <c r="L153" s="14"/>
      <c r="M153" s="4"/>
      <c r="N153" s="2"/>
      <c r="O153" s="4"/>
      <c r="P153" s="2"/>
      <c r="Q153" s="2"/>
      <c r="R153" s="4"/>
      <c r="S153" s="2"/>
      <c r="T153" s="2"/>
      <c r="U153" s="1"/>
      <c r="V153" s="2"/>
      <c r="W153" s="2"/>
      <c r="X153" s="2"/>
      <c r="Y153" s="2"/>
      <c r="Z153" s="2"/>
    </row>
    <row r="154" spans="1:26" ht="15.75" customHeight="1" x14ac:dyDescent="0.2">
      <c r="A154" s="12"/>
      <c r="B154" s="10"/>
      <c r="C154" s="11"/>
      <c r="D154" s="13"/>
      <c r="E154" s="13"/>
      <c r="F154" s="13"/>
      <c r="G154" s="2"/>
      <c r="H154" s="2"/>
      <c r="I154" s="13"/>
      <c r="J154" s="13"/>
      <c r="K154" s="13"/>
      <c r="L154" s="14"/>
      <c r="M154" s="4"/>
      <c r="N154" s="2"/>
      <c r="O154" s="4"/>
      <c r="P154" s="2"/>
      <c r="Q154" s="2"/>
      <c r="R154" s="4"/>
      <c r="S154" s="2"/>
      <c r="T154" s="2"/>
      <c r="U154" s="1"/>
      <c r="V154" s="2"/>
      <c r="W154" s="2"/>
      <c r="X154" s="2"/>
      <c r="Y154" s="2"/>
      <c r="Z154" s="2"/>
    </row>
    <row r="155" spans="1:26" ht="15.75" customHeight="1" x14ac:dyDescent="0.2">
      <c r="A155" s="12"/>
      <c r="B155" s="10"/>
      <c r="C155" s="11"/>
      <c r="D155" s="13"/>
      <c r="E155" s="13"/>
      <c r="F155" s="13"/>
      <c r="G155" s="2"/>
      <c r="H155" s="2"/>
      <c r="I155" s="13"/>
      <c r="J155" s="13"/>
      <c r="K155" s="13"/>
      <c r="L155" s="14"/>
      <c r="M155" s="4"/>
      <c r="N155" s="2"/>
      <c r="O155" s="4"/>
      <c r="P155" s="2"/>
      <c r="Q155" s="2"/>
      <c r="R155" s="4"/>
      <c r="S155" s="2"/>
      <c r="T155" s="2"/>
      <c r="U155" s="1"/>
      <c r="V155" s="2"/>
      <c r="W155" s="2"/>
      <c r="X155" s="2"/>
      <c r="Y155" s="2"/>
      <c r="Z155" s="2"/>
    </row>
    <row r="156" spans="1:26" ht="15.75" customHeight="1" x14ac:dyDescent="0.2">
      <c r="A156" s="12"/>
      <c r="B156" s="10"/>
      <c r="C156" s="11"/>
      <c r="D156" s="13"/>
      <c r="E156" s="13"/>
      <c r="F156" s="13"/>
      <c r="G156" s="2"/>
      <c r="H156" s="2"/>
      <c r="I156" s="13"/>
      <c r="J156" s="13"/>
      <c r="K156" s="13"/>
      <c r="L156" s="14"/>
      <c r="M156" s="4"/>
      <c r="N156" s="2"/>
      <c r="O156" s="4"/>
      <c r="P156" s="2"/>
      <c r="Q156" s="2"/>
      <c r="R156" s="4"/>
      <c r="S156" s="2"/>
      <c r="T156" s="2"/>
      <c r="U156" s="1"/>
      <c r="V156" s="2"/>
      <c r="W156" s="2"/>
      <c r="X156" s="2"/>
      <c r="Y156" s="2"/>
      <c r="Z156" s="2"/>
    </row>
    <row r="157" spans="1:26" ht="15.75" customHeight="1" x14ac:dyDescent="0.2">
      <c r="A157" s="12"/>
      <c r="B157" s="10"/>
      <c r="C157" s="11"/>
      <c r="D157" s="13"/>
      <c r="E157" s="13"/>
      <c r="F157" s="13"/>
      <c r="G157" s="2"/>
      <c r="H157" s="2"/>
      <c r="I157" s="13"/>
      <c r="J157" s="13"/>
      <c r="K157" s="13"/>
      <c r="L157" s="14"/>
      <c r="M157" s="4"/>
      <c r="N157" s="2"/>
      <c r="O157" s="4"/>
      <c r="P157" s="2"/>
      <c r="Q157" s="2"/>
      <c r="R157" s="4"/>
      <c r="S157" s="2"/>
      <c r="T157" s="2"/>
      <c r="U157" s="1"/>
      <c r="V157" s="2"/>
      <c r="W157" s="2"/>
      <c r="X157" s="2"/>
      <c r="Y157" s="2"/>
      <c r="Z157" s="2"/>
    </row>
    <row r="158" spans="1:26" ht="15.75" customHeight="1" x14ac:dyDescent="0.2">
      <c r="A158" s="12"/>
      <c r="B158" s="10"/>
      <c r="C158" s="11"/>
      <c r="D158" s="13"/>
      <c r="E158" s="13"/>
      <c r="F158" s="13"/>
      <c r="G158" s="2"/>
      <c r="H158" s="2"/>
      <c r="I158" s="13"/>
      <c r="J158" s="13"/>
      <c r="K158" s="13"/>
      <c r="L158" s="14"/>
      <c r="M158" s="4"/>
      <c r="N158" s="2"/>
      <c r="O158" s="4"/>
      <c r="P158" s="2"/>
      <c r="Q158" s="2"/>
      <c r="R158" s="4"/>
      <c r="S158" s="2"/>
      <c r="T158" s="2"/>
      <c r="U158" s="1"/>
      <c r="V158" s="2"/>
      <c r="W158" s="2"/>
      <c r="X158" s="2"/>
      <c r="Y158" s="2"/>
      <c r="Z158" s="2"/>
    </row>
    <row r="159" spans="1:26" ht="15.75" customHeight="1" x14ac:dyDescent="0.2">
      <c r="A159" s="12"/>
      <c r="B159" s="10"/>
      <c r="C159" s="11"/>
      <c r="D159" s="13"/>
      <c r="E159" s="13"/>
      <c r="F159" s="13"/>
      <c r="G159" s="2"/>
      <c r="H159" s="2"/>
      <c r="I159" s="13"/>
      <c r="J159" s="13"/>
      <c r="K159" s="13"/>
      <c r="L159" s="14"/>
      <c r="M159" s="4"/>
      <c r="N159" s="2"/>
      <c r="O159" s="4"/>
      <c r="P159" s="2"/>
      <c r="Q159" s="2"/>
      <c r="R159" s="4"/>
      <c r="S159" s="2"/>
      <c r="T159" s="2"/>
      <c r="U159" s="1"/>
      <c r="V159" s="2"/>
      <c r="W159" s="2"/>
      <c r="X159" s="2"/>
      <c r="Y159" s="2"/>
      <c r="Z159" s="2"/>
    </row>
    <row r="160" spans="1:26" ht="15.75" customHeight="1" x14ac:dyDescent="0.2">
      <c r="A160" s="12"/>
      <c r="B160" s="10"/>
      <c r="C160" s="11"/>
      <c r="D160" s="13"/>
      <c r="E160" s="13"/>
      <c r="F160" s="13"/>
      <c r="G160" s="2"/>
      <c r="H160" s="2"/>
      <c r="I160" s="13"/>
      <c r="J160" s="13"/>
      <c r="K160" s="13"/>
      <c r="L160" s="14"/>
      <c r="M160" s="4"/>
      <c r="N160" s="2"/>
      <c r="O160" s="4"/>
      <c r="P160" s="2"/>
      <c r="Q160" s="2"/>
      <c r="R160" s="4"/>
      <c r="S160" s="2"/>
      <c r="T160" s="2"/>
      <c r="U160" s="1"/>
      <c r="V160" s="2"/>
      <c r="W160" s="2"/>
      <c r="X160" s="2"/>
      <c r="Y160" s="2"/>
      <c r="Z160" s="2"/>
    </row>
    <row r="161" spans="1:26" ht="15.75" customHeight="1" x14ac:dyDescent="0.2">
      <c r="A161" s="12"/>
      <c r="B161" s="10"/>
      <c r="C161" s="11"/>
      <c r="D161" s="13"/>
      <c r="E161" s="13"/>
      <c r="F161" s="13"/>
      <c r="G161" s="2"/>
      <c r="H161" s="2"/>
      <c r="I161" s="13"/>
      <c r="J161" s="13"/>
      <c r="K161" s="13"/>
      <c r="L161" s="14"/>
      <c r="M161" s="4"/>
      <c r="N161" s="2"/>
      <c r="O161" s="4"/>
      <c r="P161" s="2"/>
      <c r="Q161" s="2"/>
      <c r="R161" s="4"/>
      <c r="S161" s="2"/>
      <c r="T161" s="2"/>
      <c r="U161" s="1"/>
      <c r="V161" s="2"/>
      <c r="W161" s="2"/>
      <c r="X161" s="2"/>
      <c r="Y161" s="2"/>
      <c r="Z161" s="2"/>
    </row>
    <row r="162" spans="1:26" ht="15.75" customHeight="1" x14ac:dyDescent="0.2">
      <c r="A162" s="12"/>
      <c r="B162" s="10"/>
      <c r="C162" s="11"/>
      <c r="D162" s="13"/>
      <c r="E162" s="13"/>
      <c r="F162" s="13"/>
      <c r="G162" s="2"/>
      <c r="H162" s="2"/>
      <c r="I162" s="13"/>
      <c r="J162" s="13"/>
      <c r="K162" s="13"/>
      <c r="L162" s="14"/>
      <c r="M162" s="4"/>
      <c r="N162" s="2"/>
      <c r="O162" s="4"/>
      <c r="P162" s="2"/>
      <c r="Q162" s="2"/>
      <c r="R162" s="4"/>
      <c r="S162" s="2"/>
      <c r="T162" s="2"/>
      <c r="U162" s="1"/>
      <c r="V162" s="2"/>
      <c r="W162" s="2"/>
      <c r="X162" s="2"/>
      <c r="Y162" s="2"/>
      <c r="Z162" s="2"/>
    </row>
    <row r="163" spans="1:26" ht="15.75" customHeight="1" x14ac:dyDescent="0.2">
      <c r="A163" s="12"/>
      <c r="B163" s="10"/>
      <c r="C163" s="11"/>
      <c r="D163" s="13"/>
      <c r="E163" s="13"/>
      <c r="F163" s="13"/>
      <c r="G163" s="2"/>
      <c r="H163" s="2"/>
      <c r="I163" s="13"/>
      <c r="J163" s="13"/>
      <c r="K163" s="13"/>
      <c r="L163" s="14"/>
      <c r="M163" s="4"/>
      <c r="N163" s="2"/>
      <c r="O163" s="4"/>
      <c r="P163" s="2"/>
      <c r="Q163" s="2"/>
      <c r="R163" s="4"/>
      <c r="S163" s="2"/>
      <c r="T163" s="2"/>
      <c r="U163" s="1"/>
      <c r="V163" s="2"/>
      <c r="W163" s="2"/>
      <c r="X163" s="2"/>
      <c r="Y163" s="2"/>
      <c r="Z163" s="2"/>
    </row>
    <row r="164" spans="1:26" ht="15.75" customHeight="1" x14ac:dyDescent="0.2">
      <c r="A164" s="12"/>
      <c r="B164" s="10"/>
      <c r="C164" s="11"/>
      <c r="D164" s="13"/>
      <c r="E164" s="13"/>
      <c r="F164" s="13"/>
      <c r="G164" s="2"/>
      <c r="H164" s="2"/>
      <c r="I164" s="13"/>
      <c r="J164" s="13"/>
      <c r="K164" s="13"/>
      <c r="L164" s="14"/>
      <c r="M164" s="4"/>
      <c r="N164" s="2"/>
      <c r="O164" s="4"/>
      <c r="P164" s="2"/>
      <c r="Q164" s="2"/>
      <c r="R164" s="4"/>
      <c r="S164" s="2"/>
      <c r="T164" s="2"/>
      <c r="U164" s="1"/>
      <c r="V164" s="2"/>
      <c r="W164" s="2"/>
      <c r="X164" s="2"/>
      <c r="Y164" s="2"/>
      <c r="Z164" s="2"/>
    </row>
    <row r="165" spans="1:26" ht="15.75" customHeight="1" x14ac:dyDescent="0.2">
      <c r="A165" s="12"/>
      <c r="B165" s="10"/>
      <c r="C165" s="11"/>
      <c r="D165" s="13"/>
      <c r="E165" s="13"/>
      <c r="F165" s="13"/>
      <c r="G165" s="2"/>
      <c r="H165" s="2"/>
      <c r="I165" s="13"/>
      <c r="J165" s="13"/>
      <c r="K165" s="13"/>
      <c r="L165" s="14"/>
      <c r="M165" s="4"/>
      <c r="N165" s="2"/>
      <c r="O165" s="4"/>
      <c r="P165" s="2"/>
      <c r="Q165" s="2"/>
      <c r="R165" s="4"/>
      <c r="S165" s="2"/>
      <c r="T165" s="2"/>
      <c r="U165" s="1"/>
      <c r="V165" s="2"/>
      <c r="W165" s="2"/>
      <c r="X165" s="2"/>
      <c r="Y165" s="2"/>
      <c r="Z165" s="2"/>
    </row>
    <row r="166" spans="1:26" ht="15.75" customHeight="1" x14ac:dyDescent="0.2">
      <c r="A166" s="12"/>
      <c r="B166" s="10"/>
      <c r="C166" s="11"/>
      <c r="D166" s="13"/>
      <c r="E166" s="13"/>
      <c r="F166" s="13"/>
      <c r="G166" s="2"/>
      <c r="H166" s="2"/>
      <c r="I166" s="13"/>
      <c r="J166" s="13"/>
      <c r="K166" s="13"/>
      <c r="L166" s="14"/>
      <c r="M166" s="4"/>
      <c r="N166" s="2"/>
      <c r="O166" s="4"/>
      <c r="P166" s="2"/>
      <c r="Q166" s="2"/>
      <c r="R166" s="4"/>
      <c r="S166" s="2"/>
      <c r="T166" s="2"/>
      <c r="U166" s="1"/>
      <c r="V166" s="2"/>
      <c r="W166" s="2"/>
      <c r="X166" s="2"/>
      <c r="Y166" s="2"/>
      <c r="Z166" s="2"/>
    </row>
    <row r="167" spans="1:26" ht="15.75" customHeight="1" x14ac:dyDescent="0.2">
      <c r="A167" s="12"/>
      <c r="B167" s="10"/>
      <c r="C167" s="11"/>
      <c r="D167" s="13"/>
      <c r="E167" s="13"/>
      <c r="F167" s="13"/>
      <c r="G167" s="2"/>
      <c r="H167" s="2"/>
      <c r="I167" s="13"/>
      <c r="J167" s="13"/>
      <c r="K167" s="13"/>
      <c r="L167" s="14"/>
      <c r="M167" s="4"/>
      <c r="N167" s="2"/>
      <c r="O167" s="4"/>
      <c r="P167" s="2"/>
      <c r="Q167" s="2"/>
      <c r="R167" s="4"/>
      <c r="S167" s="2"/>
      <c r="T167" s="2"/>
      <c r="U167" s="1"/>
      <c r="V167" s="2"/>
      <c r="W167" s="2"/>
      <c r="X167" s="2"/>
      <c r="Y167" s="2"/>
      <c r="Z167" s="2"/>
    </row>
    <row r="168" spans="1:26" ht="15.75" customHeight="1" x14ac:dyDescent="0.2">
      <c r="A168" s="12"/>
      <c r="B168" s="10"/>
      <c r="C168" s="11"/>
      <c r="D168" s="13"/>
      <c r="E168" s="13"/>
      <c r="F168" s="13"/>
      <c r="G168" s="2"/>
      <c r="H168" s="2"/>
      <c r="I168" s="13"/>
      <c r="J168" s="13"/>
      <c r="K168" s="13"/>
      <c r="L168" s="14"/>
      <c r="M168" s="4"/>
      <c r="N168" s="2"/>
      <c r="O168" s="4"/>
      <c r="P168" s="2"/>
      <c r="Q168" s="2"/>
      <c r="R168" s="4"/>
      <c r="S168" s="2"/>
      <c r="T168" s="2"/>
      <c r="U168" s="1"/>
      <c r="V168" s="2"/>
      <c r="W168" s="2"/>
      <c r="X168" s="2"/>
      <c r="Y168" s="2"/>
      <c r="Z168" s="2"/>
    </row>
    <row r="169" spans="1:26" ht="15.75" customHeight="1" x14ac:dyDescent="0.2">
      <c r="A169" s="12"/>
      <c r="B169" s="10"/>
      <c r="C169" s="11"/>
      <c r="D169" s="13"/>
      <c r="E169" s="13"/>
      <c r="F169" s="13"/>
      <c r="G169" s="2"/>
      <c r="H169" s="2"/>
      <c r="I169" s="13"/>
      <c r="J169" s="13"/>
      <c r="K169" s="13"/>
      <c r="L169" s="14"/>
      <c r="M169" s="4"/>
      <c r="N169" s="2"/>
      <c r="O169" s="4"/>
      <c r="P169" s="2"/>
      <c r="Q169" s="2"/>
      <c r="R169" s="4"/>
      <c r="S169" s="2"/>
      <c r="T169" s="2"/>
      <c r="U169" s="1"/>
      <c r="V169" s="2"/>
      <c r="W169" s="2"/>
      <c r="X169" s="2"/>
      <c r="Y169" s="2"/>
      <c r="Z169" s="2"/>
    </row>
    <row r="170" spans="1:26" ht="15.75" customHeight="1" x14ac:dyDescent="0.2">
      <c r="A170" s="12"/>
      <c r="B170" s="10"/>
      <c r="C170" s="11"/>
      <c r="D170" s="13"/>
      <c r="E170" s="13"/>
      <c r="F170" s="13"/>
      <c r="G170" s="2"/>
      <c r="H170" s="2"/>
      <c r="I170" s="13"/>
      <c r="J170" s="13"/>
      <c r="K170" s="13"/>
      <c r="L170" s="14"/>
      <c r="M170" s="4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ht="15.75" customHeight="1" x14ac:dyDescent="0.2">
      <c r="A171" s="12"/>
      <c r="B171" s="10"/>
      <c r="C171" s="11"/>
      <c r="D171" s="13"/>
      <c r="E171" s="13"/>
      <c r="F171" s="13"/>
      <c r="G171" s="2"/>
      <c r="H171" s="2"/>
      <c r="I171" s="13"/>
      <c r="J171" s="13"/>
      <c r="K171" s="13"/>
      <c r="L171" s="14"/>
      <c r="M171" s="4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ht="15.75" customHeight="1" x14ac:dyDescent="0.2">
      <c r="A172" s="12"/>
      <c r="B172" s="10"/>
      <c r="C172" s="11"/>
      <c r="D172" s="13"/>
      <c r="E172" s="13"/>
      <c r="F172" s="13"/>
      <c r="G172" s="2"/>
      <c r="H172" s="2"/>
      <c r="I172" s="13"/>
      <c r="J172" s="13"/>
      <c r="K172" s="13"/>
      <c r="L172" s="14"/>
      <c r="M172" s="4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ht="15.75" customHeight="1" x14ac:dyDescent="0.2">
      <c r="A173" s="12"/>
      <c r="B173" s="10"/>
      <c r="C173" s="11"/>
      <c r="D173" s="13"/>
      <c r="E173" s="13"/>
      <c r="F173" s="13"/>
      <c r="G173" s="2"/>
      <c r="H173" s="2"/>
      <c r="I173" s="13"/>
      <c r="J173" s="13"/>
      <c r="K173" s="13"/>
      <c r="L173" s="14"/>
      <c r="M173" s="4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ht="15.75" customHeight="1" x14ac:dyDescent="0.2">
      <c r="A174" s="12"/>
      <c r="B174" s="10"/>
      <c r="C174" s="11"/>
      <c r="D174" s="13"/>
      <c r="E174" s="13"/>
      <c r="F174" s="13"/>
      <c r="G174" s="2"/>
      <c r="H174" s="2"/>
      <c r="I174" s="13"/>
      <c r="J174" s="13"/>
      <c r="K174" s="13"/>
      <c r="L174" s="14"/>
      <c r="M174" s="4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ht="15.75" customHeight="1" x14ac:dyDescent="0.2">
      <c r="A175" s="12"/>
      <c r="B175" s="10"/>
      <c r="C175" s="11"/>
      <c r="D175" s="13"/>
      <c r="E175" s="13"/>
      <c r="F175" s="13"/>
      <c r="G175" s="2"/>
      <c r="H175" s="2"/>
      <c r="I175" s="13"/>
      <c r="J175" s="13"/>
      <c r="K175" s="13"/>
      <c r="L175" s="14"/>
      <c r="M175" s="4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ht="15.75" customHeight="1" x14ac:dyDescent="0.2">
      <c r="A176" s="12"/>
      <c r="B176" s="10"/>
      <c r="C176" s="11"/>
      <c r="D176" s="13"/>
      <c r="E176" s="13"/>
      <c r="F176" s="13"/>
      <c r="G176" s="2"/>
      <c r="H176" s="2"/>
      <c r="I176" s="13"/>
      <c r="J176" s="13"/>
      <c r="K176" s="13"/>
      <c r="L176" s="14"/>
      <c r="M176" s="4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ht="15.75" customHeight="1" x14ac:dyDescent="0.2">
      <c r="A177" s="12"/>
      <c r="B177" s="10"/>
      <c r="C177" s="11"/>
      <c r="D177" s="13"/>
      <c r="E177" s="13"/>
      <c r="F177" s="13"/>
      <c r="G177" s="2"/>
      <c r="H177" s="2"/>
      <c r="I177" s="13"/>
      <c r="J177" s="13"/>
      <c r="K177" s="13"/>
      <c r="L177" s="14"/>
      <c r="M177" s="4"/>
      <c r="N177" s="2"/>
      <c r="O177" s="4"/>
      <c r="P177" s="2"/>
      <c r="Q177" s="2"/>
      <c r="R177" s="4"/>
      <c r="S177" s="2"/>
      <c r="T177" s="2"/>
      <c r="U177" s="1"/>
      <c r="V177" s="2"/>
      <c r="W177" s="2"/>
      <c r="X177" s="2"/>
      <c r="Y177" s="2"/>
      <c r="Z177" s="2"/>
    </row>
    <row r="178" spans="1:26" ht="15.75" customHeight="1" x14ac:dyDescent="0.2">
      <c r="A178" s="12"/>
      <c r="B178" s="10"/>
      <c r="C178" s="11"/>
      <c r="D178" s="13"/>
      <c r="E178" s="13"/>
      <c r="F178" s="13"/>
      <c r="G178" s="2"/>
      <c r="H178" s="2"/>
      <c r="I178" s="13"/>
      <c r="J178" s="13"/>
      <c r="K178" s="13"/>
      <c r="L178" s="14"/>
      <c r="M178" s="4"/>
      <c r="N178" s="2"/>
      <c r="O178" s="4"/>
      <c r="P178" s="2"/>
      <c r="Q178" s="2"/>
      <c r="R178" s="4"/>
      <c r="S178" s="2"/>
      <c r="T178" s="2"/>
      <c r="U178" s="1"/>
      <c r="V178" s="2"/>
      <c r="W178" s="2"/>
      <c r="X178" s="2"/>
      <c r="Y178" s="2"/>
      <c r="Z178" s="2"/>
    </row>
    <row r="179" spans="1:26" ht="15.75" customHeight="1" x14ac:dyDescent="0.2">
      <c r="A179" s="12"/>
      <c r="B179" s="10"/>
      <c r="C179" s="11"/>
      <c r="D179" s="13"/>
      <c r="E179" s="13"/>
      <c r="F179" s="13"/>
      <c r="G179" s="2"/>
      <c r="H179" s="2"/>
      <c r="I179" s="13"/>
      <c r="J179" s="13"/>
      <c r="K179" s="13"/>
      <c r="L179" s="14"/>
      <c r="M179" s="4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ht="15.75" customHeight="1" x14ac:dyDescent="0.2">
      <c r="A180" s="12"/>
      <c r="B180" s="10"/>
      <c r="C180" s="11"/>
      <c r="D180" s="13"/>
      <c r="E180" s="13"/>
      <c r="F180" s="13"/>
      <c r="G180" s="2"/>
      <c r="H180" s="2"/>
      <c r="I180" s="13"/>
      <c r="J180" s="13"/>
      <c r="K180" s="13"/>
      <c r="L180" s="14"/>
      <c r="M180" s="4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ht="15.75" customHeight="1" x14ac:dyDescent="0.2">
      <c r="A181" s="12"/>
      <c r="B181" s="10"/>
      <c r="C181" s="11"/>
      <c r="D181" s="13"/>
      <c r="E181" s="13"/>
      <c r="F181" s="13"/>
      <c r="G181" s="2"/>
      <c r="H181" s="2"/>
      <c r="I181" s="13"/>
      <c r="J181" s="13"/>
      <c r="K181" s="13"/>
      <c r="L181" s="14"/>
      <c r="M181" s="4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ht="15.75" customHeight="1" x14ac:dyDescent="0.2">
      <c r="A182" s="12"/>
      <c r="B182" s="10"/>
      <c r="C182" s="11"/>
      <c r="D182" s="13"/>
      <c r="E182" s="13"/>
      <c r="F182" s="13"/>
      <c r="G182" s="2"/>
      <c r="H182" s="2"/>
      <c r="I182" s="13"/>
      <c r="J182" s="13"/>
      <c r="K182" s="13"/>
      <c r="L182" s="14"/>
      <c r="M182" s="4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ht="15.75" customHeight="1" x14ac:dyDescent="0.2">
      <c r="A183" s="12"/>
      <c r="B183" s="10"/>
      <c r="C183" s="11"/>
      <c r="D183" s="13"/>
      <c r="E183" s="13"/>
      <c r="F183" s="13"/>
      <c r="G183" s="2"/>
      <c r="H183" s="2"/>
      <c r="I183" s="13"/>
      <c r="J183" s="13"/>
      <c r="K183" s="13"/>
      <c r="L183" s="14"/>
      <c r="M183" s="4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ht="15.75" customHeight="1" x14ac:dyDescent="0.2">
      <c r="A184" s="12"/>
      <c r="B184" s="10"/>
      <c r="C184" s="11"/>
      <c r="D184" s="13"/>
      <c r="E184" s="13"/>
      <c r="F184" s="13"/>
      <c r="G184" s="2"/>
      <c r="H184" s="2"/>
      <c r="I184" s="13"/>
      <c r="J184" s="13"/>
      <c r="K184" s="13"/>
      <c r="L184" s="14"/>
      <c r="M184" s="4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ht="15.75" customHeight="1" x14ac:dyDescent="0.2">
      <c r="A185" s="12"/>
      <c r="B185" s="10"/>
      <c r="C185" s="11"/>
      <c r="D185" s="13"/>
      <c r="E185" s="13"/>
      <c r="F185" s="13"/>
      <c r="G185" s="2"/>
      <c r="H185" s="2"/>
      <c r="I185" s="13"/>
      <c r="J185" s="13"/>
      <c r="K185" s="13"/>
      <c r="L185" s="14"/>
      <c r="M185" s="4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ht="15.75" customHeight="1" x14ac:dyDescent="0.2">
      <c r="A186" s="12"/>
      <c r="B186" s="10"/>
      <c r="C186" s="11"/>
      <c r="D186" s="13"/>
      <c r="E186" s="13"/>
      <c r="F186" s="13"/>
      <c r="G186" s="2"/>
      <c r="H186" s="2"/>
      <c r="I186" s="13"/>
      <c r="J186" s="13"/>
      <c r="K186" s="13"/>
      <c r="L186" s="14"/>
      <c r="M186" s="4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ht="15.75" customHeight="1" x14ac:dyDescent="0.2">
      <c r="A187" s="12"/>
      <c r="B187" s="10"/>
      <c r="C187" s="11"/>
      <c r="D187" s="13"/>
      <c r="E187" s="13"/>
      <c r="F187" s="13"/>
      <c r="G187" s="2"/>
      <c r="H187" s="2"/>
      <c r="I187" s="13"/>
      <c r="J187" s="13"/>
      <c r="K187" s="13"/>
      <c r="L187" s="14"/>
      <c r="M187" s="4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ht="15.75" customHeight="1" x14ac:dyDescent="0.2">
      <c r="A188" s="12"/>
      <c r="B188" s="10"/>
      <c r="C188" s="11"/>
      <c r="D188" s="13"/>
      <c r="E188" s="13"/>
      <c r="F188" s="13"/>
      <c r="G188" s="2"/>
      <c r="H188" s="2"/>
      <c r="I188" s="13"/>
      <c r="J188" s="13"/>
      <c r="K188" s="13"/>
      <c r="L188" s="14"/>
      <c r="M188" s="4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ht="15.75" customHeight="1" x14ac:dyDescent="0.2">
      <c r="A189" s="12"/>
      <c r="B189" s="10"/>
      <c r="C189" s="11"/>
      <c r="D189" s="13"/>
      <c r="E189" s="13"/>
      <c r="F189" s="13"/>
      <c r="G189" s="2"/>
      <c r="H189" s="2"/>
      <c r="I189" s="13"/>
      <c r="J189" s="13"/>
      <c r="K189" s="13"/>
      <c r="L189" s="14"/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ht="15.75" customHeight="1" x14ac:dyDescent="0.2">
      <c r="A190" s="12"/>
      <c r="B190" s="10"/>
      <c r="C190" s="11"/>
      <c r="D190" s="13"/>
      <c r="E190" s="13"/>
      <c r="F190" s="13"/>
      <c r="G190" s="2"/>
      <c r="H190" s="2"/>
      <c r="I190" s="13"/>
      <c r="J190" s="13"/>
      <c r="K190" s="13"/>
      <c r="L190" s="14"/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A191" s="12"/>
      <c r="B191" s="10"/>
      <c r="C191" s="11"/>
      <c r="D191" s="13"/>
      <c r="E191" s="13"/>
      <c r="F191" s="13"/>
      <c r="G191" s="2"/>
      <c r="H191" s="2"/>
      <c r="I191" s="13"/>
      <c r="J191" s="13"/>
      <c r="K191" s="13"/>
      <c r="L191" s="14"/>
      <c r="M191" s="4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ht="15.75" customHeight="1" x14ac:dyDescent="0.2">
      <c r="A192" s="12"/>
      <c r="B192" s="10"/>
      <c r="C192" s="11"/>
      <c r="D192" s="13"/>
      <c r="E192" s="13"/>
      <c r="F192" s="13"/>
      <c r="G192" s="2"/>
      <c r="H192" s="2"/>
      <c r="I192" s="13"/>
      <c r="J192" s="13"/>
      <c r="K192" s="13"/>
      <c r="L192" s="14"/>
      <c r="M192" s="4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ht="15.75" customHeight="1" x14ac:dyDescent="0.2">
      <c r="A193" s="12"/>
      <c r="B193" s="10"/>
      <c r="C193" s="11"/>
      <c r="D193" s="13"/>
      <c r="E193" s="13"/>
      <c r="F193" s="13"/>
      <c r="G193" s="2"/>
      <c r="H193" s="2"/>
      <c r="I193" s="13"/>
      <c r="J193" s="13"/>
      <c r="K193" s="13"/>
      <c r="L193" s="14"/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12"/>
      <c r="B194" s="10"/>
      <c r="C194" s="11"/>
      <c r="D194" s="13"/>
      <c r="E194" s="13"/>
      <c r="F194" s="13"/>
      <c r="G194" s="2"/>
      <c r="H194" s="2"/>
      <c r="I194" s="13"/>
      <c r="J194" s="13"/>
      <c r="K194" s="13"/>
      <c r="L194" s="14"/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A195" s="12"/>
      <c r="B195" s="10"/>
      <c r="C195" s="11"/>
      <c r="D195" s="13"/>
      <c r="E195" s="13"/>
      <c r="F195" s="13"/>
      <c r="G195" s="2"/>
      <c r="H195" s="2"/>
      <c r="I195" s="13"/>
      <c r="J195" s="13"/>
      <c r="K195" s="13"/>
      <c r="L195" s="14"/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12"/>
      <c r="B196" s="10"/>
      <c r="C196" s="11"/>
      <c r="D196" s="13"/>
      <c r="E196" s="13"/>
      <c r="F196" s="13"/>
      <c r="G196" s="2"/>
      <c r="H196" s="2"/>
      <c r="I196" s="13"/>
      <c r="J196" s="13"/>
      <c r="K196" s="13"/>
      <c r="L196" s="14"/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2"/>
      <c r="B197" s="10"/>
      <c r="C197" s="11"/>
      <c r="D197" s="13"/>
      <c r="E197" s="13"/>
      <c r="F197" s="13"/>
      <c r="G197" s="2"/>
      <c r="H197" s="2"/>
      <c r="I197" s="13"/>
      <c r="J197" s="13"/>
      <c r="K197" s="13"/>
      <c r="L197" s="14"/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/>
      <c r="B198" s="10"/>
      <c r="C198" s="11"/>
      <c r="D198" s="13"/>
      <c r="E198" s="13"/>
      <c r="F198" s="13"/>
      <c r="G198" s="2"/>
      <c r="H198" s="2"/>
      <c r="I198" s="13"/>
      <c r="J198" s="13"/>
      <c r="K198" s="13"/>
      <c r="L198" s="14"/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/>
      <c r="B199" s="10"/>
      <c r="C199" s="11"/>
      <c r="D199" s="13"/>
      <c r="E199" s="13"/>
      <c r="F199" s="13"/>
      <c r="G199" s="2"/>
      <c r="H199" s="2"/>
      <c r="I199" s="13"/>
      <c r="J199" s="13"/>
      <c r="K199" s="13"/>
      <c r="L199" s="14"/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/>
      <c r="B200" s="10"/>
      <c r="C200" s="11"/>
      <c r="D200" s="13"/>
      <c r="E200" s="13"/>
      <c r="F200" s="13"/>
      <c r="G200" s="2"/>
      <c r="H200" s="2"/>
      <c r="I200" s="13"/>
      <c r="J200" s="13"/>
      <c r="K200" s="13"/>
      <c r="L200" s="14"/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/>
      <c r="B201" s="10"/>
      <c r="C201" s="11"/>
      <c r="D201" s="13"/>
      <c r="E201" s="13"/>
      <c r="F201" s="13"/>
      <c r="G201" s="2"/>
      <c r="H201" s="2"/>
      <c r="I201" s="13"/>
      <c r="J201" s="13"/>
      <c r="K201" s="13"/>
      <c r="L201" s="14"/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/>
      <c r="B202" s="10"/>
      <c r="C202" s="11"/>
      <c r="D202" s="13"/>
      <c r="E202" s="13"/>
      <c r="F202" s="13"/>
      <c r="G202" s="2"/>
      <c r="H202" s="2"/>
      <c r="I202" s="13"/>
      <c r="J202" s="13"/>
      <c r="K202" s="13"/>
      <c r="L202" s="14"/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/>
      <c r="B203" s="10"/>
      <c r="C203" s="11"/>
      <c r="D203" s="13"/>
      <c r="E203" s="13"/>
      <c r="F203" s="13"/>
      <c r="G203" s="2"/>
      <c r="H203" s="2"/>
      <c r="I203" s="13"/>
      <c r="J203" s="13"/>
      <c r="K203" s="13"/>
      <c r="L203" s="14"/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/>
      <c r="B204" s="10"/>
      <c r="C204" s="11"/>
      <c r="D204" s="13"/>
      <c r="E204" s="13"/>
      <c r="F204" s="13"/>
      <c r="G204" s="2"/>
      <c r="H204" s="2"/>
      <c r="I204" s="13"/>
      <c r="J204" s="13"/>
      <c r="K204" s="13"/>
      <c r="L204" s="14"/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/>
      <c r="B205" s="10"/>
      <c r="C205" s="11"/>
      <c r="D205" s="13"/>
      <c r="E205" s="13"/>
      <c r="F205" s="13"/>
      <c r="G205" s="2"/>
      <c r="H205" s="2"/>
      <c r="I205" s="13"/>
      <c r="J205" s="13"/>
      <c r="K205" s="13"/>
      <c r="L205" s="14"/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/>
      <c r="B206" s="10"/>
      <c r="C206" s="11"/>
      <c r="D206" s="13"/>
      <c r="E206" s="13"/>
      <c r="F206" s="13"/>
      <c r="G206" s="2"/>
      <c r="H206" s="2"/>
      <c r="I206" s="13"/>
      <c r="J206" s="13"/>
      <c r="K206" s="13"/>
      <c r="L206" s="14"/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/>
      <c r="F207" s="13"/>
      <c r="G207" s="2"/>
      <c r="H207" s="2"/>
      <c r="I207" s="13"/>
      <c r="J207" s="13"/>
      <c r="K207" s="13"/>
      <c r="L207" s="14"/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/>
      <c r="B208" s="10"/>
      <c r="C208" s="11"/>
      <c r="D208" s="13"/>
      <c r="E208" s="13"/>
      <c r="F208" s="13"/>
      <c r="G208" s="2"/>
      <c r="H208" s="2"/>
      <c r="I208" s="13"/>
      <c r="J208" s="13"/>
      <c r="K208" s="13"/>
      <c r="L208" s="14"/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/>
      <c r="B209" s="10"/>
      <c r="C209" s="11"/>
      <c r="D209" s="13"/>
      <c r="E209" s="13"/>
      <c r="F209" s="13"/>
      <c r="G209" s="2"/>
      <c r="H209" s="2"/>
      <c r="I209" s="13"/>
      <c r="J209" s="13"/>
      <c r="K209" s="13"/>
      <c r="L209" s="14"/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/>
      <c r="B210" s="10"/>
      <c r="C210" s="11"/>
      <c r="D210" s="13"/>
      <c r="E210" s="13"/>
      <c r="F210" s="13"/>
      <c r="G210" s="2"/>
      <c r="H210" s="2"/>
      <c r="I210" s="13"/>
      <c r="J210" s="13"/>
      <c r="K210" s="13"/>
      <c r="L210" s="14"/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/>
      <c r="B211" s="10"/>
      <c r="C211" s="11"/>
      <c r="D211" s="13"/>
      <c r="E211" s="13"/>
      <c r="F211" s="13"/>
      <c r="G211" s="2"/>
      <c r="H211" s="2"/>
      <c r="I211" s="13"/>
      <c r="J211" s="13"/>
      <c r="K211" s="13"/>
      <c r="L211" s="14"/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2"/>
      <c r="B212" s="10"/>
      <c r="C212" s="11"/>
      <c r="D212" s="13"/>
      <c r="E212" s="13"/>
      <c r="F212" s="13"/>
      <c r="G212" s="2"/>
      <c r="H212" s="2"/>
      <c r="I212" s="13"/>
      <c r="J212" s="13"/>
      <c r="K212" s="13"/>
      <c r="L212" s="14"/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2"/>
      <c r="B213" s="10"/>
      <c r="C213" s="11"/>
      <c r="D213" s="13"/>
      <c r="E213" s="13"/>
      <c r="F213" s="13"/>
      <c r="G213" s="2"/>
      <c r="H213" s="2"/>
      <c r="I213" s="13"/>
      <c r="J213" s="13"/>
      <c r="K213" s="13"/>
      <c r="L213" s="14"/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5.75" customHeight="1" x14ac:dyDescent="0.2">
      <c r="A214" s="12"/>
      <c r="B214" s="10"/>
      <c r="C214" s="11"/>
      <c r="D214" s="13"/>
      <c r="E214" s="13"/>
      <c r="F214" s="13"/>
      <c r="G214" s="2"/>
      <c r="H214" s="2"/>
      <c r="I214" s="13"/>
      <c r="J214" s="13"/>
      <c r="K214" s="13"/>
      <c r="L214" s="14"/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5.75" customHeight="1" x14ac:dyDescent="0.2">
      <c r="A215" s="12"/>
      <c r="B215" s="10"/>
      <c r="C215" s="11"/>
      <c r="D215" s="13"/>
      <c r="E215" s="13"/>
      <c r="F215" s="13"/>
      <c r="G215" s="2"/>
      <c r="H215" s="2"/>
      <c r="I215" s="13"/>
      <c r="J215" s="13"/>
      <c r="K215" s="13"/>
      <c r="L215" s="14"/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2"/>
      <c r="B216" s="10"/>
      <c r="C216" s="11"/>
      <c r="D216" s="13"/>
      <c r="E216" s="13"/>
      <c r="F216" s="13"/>
      <c r="G216" s="2"/>
      <c r="H216" s="2"/>
      <c r="I216" s="13"/>
      <c r="J216" s="13"/>
      <c r="K216" s="13"/>
      <c r="L216" s="14"/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2"/>
      <c r="B217" s="10"/>
      <c r="C217" s="11"/>
      <c r="D217" s="13"/>
      <c r="E217" s="13"/>
      <c r="F217" s="13"/>
      <c r="G217" s="2"/>
      <c r="H217" s="2"/>
      <c r="I217" s="13"/>
      <c r="J217" s="13"/>
      <c r="K217" s="13"/>
      <c r="L217" s="14"/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2"/>
      <c r="B218" s="10"/>
      <c r="C218" s="11"/>
      <c r="D218" s="13"/>
      <c r="E218" s="13"/>
      <c r="F218" s="13"/>
      <c r="G218" s="2"/>
      <c r="H218" s="2"/>
      <c r="I218" s="13"/>
      <c r="J218" s="13"/>
      <c r="K218" s="13"/>
      <c r="L218" s="14"/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2"/>
      <c r="B219" s="10"/>
      <c r="C219" s="11"/>
      <c r="D219" s="13"/>
      <c r="E219" s="13"/>
      <c r="F219" s="13"/>
      <c r="G219" s="2"/>
      <c r="H219" s="2"/>
      <c r="I219" s="13"/>
      <c r="J219" s="13"/>
      <c r="K219" s="13"/>
      <c r="L219" s="14"/>
      <c r="M219" s="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2"/>
      <c r="B220" s="10"/>
      <c r="C220" s="11"/>
      <c r="D220" s="13"/>
      <c r="E220" s="13"/>
      <c r="F220" s="13"/>
      <c r="G220" s="2"/>
      <c r="H220" s="2"/>
      <c r="I220" s="13"/>
      <c r="J220" s="13"/>
      <c r="K220" s="13"/>
      <c r="L220" s="14"/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G221" s="2"/>
      <c r="H221" s="2"/>
      <c r="I221" s="13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/>
      <c r="F222" s="13"/>
      <c r="G222" s="2"/>
      <c r="H222" s="2"/>
      <c r="I222" s="13"/>
      <c r="J222" s="13"/>
      <c r="K222" s="13"/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2"/>
      <c r="B223" s="10"/>
      <c r="C223" s="11"/>
      <c r="D223" s="13"/>
      <c r="E223" s="13"/>
      <c r="F223" s="13"/>
      <c r="G223" s="2"/>
      <c r="H223" s="2"/>
      <c r="I223" s="13"/>
      <c r="J223" s="13"/>
      <c r="K223" s="13"/>
      <c r="L223" s="14"/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2"/>
      <c r="B224" s="10"/>
      <c r="C224" s="11"/>
      <c r="D224" s="13"/>
      <c r="E224" s="13"/>
      <c r="F224" s="13"/>
      <c r="G224" s="2"/>
      <c r="H224" s="2"/>
      <c r="I224" s="13"/>
      <c r="J224" s="13"/>
      <c r="K224" s="13"/>
      <c r="L224" s="14"/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2"/>
      <c r="B225" s="10"/>
      <c r="C225" s="11"/>
      <c r="D225" s="13"/>
      <c r="E225" s="13"/>
      <c r="F225" s="13"/>
      <c r="G225" s="2"/>
      <c r="H225" s="2"/>
      <c r="I225" s="13"/>
      <c r="J225" s="13"/>
      <c r="K225" s="13"/>
      <c r="L225" s="14"/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2"/>
      <c r="B226" s="10"/>
      <c r="C226" s="11"/>
      <c r="D226" s="13"/>
      <c r="E226" s="13"/>
      <c r="F226" s="13"/>
      <c r="G226" s="2"/>
      <c r="H226" s="2"/>
      <c r="I226" s="13"/>
      <c r="J226" s="13"/>
      <c r="K226" s="13"/>
      <c r="L226" s="14"/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12"/>
      <c r="B227" s="10"/>
      <c r="C227" s="11"/>
      <c r="D227" s="13"/>
      <c r="E227" s="13"/>
      <c r="F227" s="13"/>
      <c r="G227" s="2"/>
      <c r="H227" s="2"/>
      <c r="I227" s="13"/>
      <c r="J227" s="13"/>
      <c r="K227" s="13"/>
      <c r="L227" s="14"/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A228" s="12"/>
      <c r="B228" s="10"/>
      <c r="C228" s="11"/>
      <c r="D228" s="13"/>
      <c r="E228" s="13"/>
      <c r="F228" s="13"/>
      <c r="G228" s="2"/>
      <c r="H228" s="2"/>
      <c r="I228" s="13"/>
      <c r="J228" s="13"/>
      <c r="K228" s="13"/>
      <c r="L228" s="14"/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A229" s="12"/>
      <c r="B229" s="10"/>
      <c r="C229" s="11"/>
      <c r="D229" s="13"/>
      <c r="E229" s="13"/>
      <c r="F229" s="13"/>
      <c r="G229" s="2"/>
      <c r="H229" s="2"/>
      <c r="I229" s="13"/>
      <c r="J229" s="13"/>
      <c r="K229" s="13"/>
      <c r="L229" s="14"/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A230" s="12"/>
      <c r="B230" s="10"/>
      <c r="C230" s="11"/>
      <c r="D230" s="13"/>
      <c r="E230" s="13"/>
      <c r="F230" s="13"/>
      <c r="G230" s="2"/>
      <c r="H230" s="2"/>
      <c r="I230" s="13"/>
      <c r="J230" s="13"/>
      <c r="K230" s="13"/>
      <c r="L230" s="14"/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A231" s="12"/>
      <c r="B231" s="10"/>
      <c r="C231" s="11"/>
      <c r="D231" s="13"/>
      <c r="E231" s="13"/>
      <c r="F231" s="13"/>
      <c r="G231" s="2"/>
      <c r="H231" s="2"/>
      <c r="I231" s="13"/>
      <c r="J231" s="13"/>
      <c r="K231" s="13"/>
      <c r="L231" s="14"/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A232" s="12"/>
      <c r="B232" s="10"/>
      <c r="C232" s="11"/>
      <c r="D232" s="13"/>
      <c r="E232" s="13"/>
      <c r="F232" s="13"/>
      <c r="G232" s="2"/>
      <c r="H232" s="2"/>
      <c r="I232" s="13"/>
      <c r="J232" s="13"/>
      <c r="K232" s="13"/>
      <c r="L232" s="14"/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2"/>
      <c r="B233" s="10"/>
      <c r="C233" s="11"/>
      <c r="D233" s="13"/>
      <c r="E233" s="13"/>
      <c r="F233" s="13"/>
      <c r="G233" s="2"/>
      <c r="H233" s="2"/>
      <c r="I233" s="13"/>
      <c r="J233" s="13"/>
      <c r="K233" s="13"/>
      <c r="L233" s="14"/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2"/>
      <c r="B234" s="10"/>
      <c r="C234" s="11"/>
      <c r="D234" s="13"/>
      <c r="E234" s="13"/>
      <c r="F234" s="13"/>
      <c r="G234" s="2"/>
      <c r="H234" s="2"/>
      <c r="I234" s="13"/>
      <c r="J234" s="13"/>
      <c r="K234" s="13"/>
      <c r="L234" s="14"/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2"/>
      <c r="B235" s="10"/>
      <c r="C235" s="11"/>
      <c r="D235" s="13"/>
      <c r="E235" s="13"/>
      <c r="F235" s="13"/>
      <c r="G235" s="2"/>
      <c r="H235" s="2"/>
      <c r="I235" s="13"/>
      <c r="J235" s="13"/>
      <c r="K235" s="13"/>
      <c r="L235" s="14"/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2"/>
      <c r="B236" s="10"/>
      <c r="C236" s="11"/>
      <c r="D236" s="13"/>
      <c r="E236" s="13"/>
      <c r="F236" s="13"/>
      <c r="G236" s="2"/>
      <c r="H236" s="2"/>
      <c r="I236" s="13"/>
      <c r="J236" s="13"/>
      <c r="K236" s="13"/>
      <c r="L236" s="14"/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2"/>
      <c r="B237" s="10"/>
      <c r="C237" s="11"/>
      <c r="D237" s="13"/>
      <c r="E237" s="13"/>
      <c r="F237" s="13"/>
      <c r="G237" s="2"/>
      <c r="H237" s="2"/>
      <c r="I237" s="13"/>
      <c r="J237" s="13"/>
      <c r="K237" s="13"/>
      <c r="L237" s="14"/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2"/>
      <c r="B238" s="10"/>
      <c r="C238" s="11"/>
      <c r="D238" s="13"/>
      <c r="E238" s="13"/>
      <c r="F238" s="13"/>
      <c r="G238" s="2"/>
      <c r="H238" s="2"/>
      <c r="I238" s="13"/>
      <c r="J238" s="13"/>
      <c r="K238" s="13"/>
      <c r="L238" s="14"/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2"/>
      <c r="B239" s="10"/>
      <c r="C239" s="11"/>
      <c r="D239" s="13"/>
      <c r="E239" s="13"/>
      <c r="F239" s="13"/>
      <c r="G239" s="2"/>
      <c r="H239" s="2"/>
      <c r="I239" s="13"/>
      <c r="J239" s="13"/>
      <c r="K239" s="13"/>
      <c r="L239" s="14"/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2"/>
      <c r="B240" s="10"/>
      <c r="C240" s="11"/>
      <c r="D240" s="13"/>
      <c r="E240" s="13"/>
      <c r="F240" s="13"/>
      <c r="G240" s="2"/>
      <c r="H240" s="2"/>
      <c r="I240" s="13"/>
      <c r="J240" s="13"/>
      <c r="K240" s="13"/>
      <c r="L240" s="14"/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2"/>
      <c r="B241" s="10"/>
      <c r="C241" s="11"/>
      <c r="D241" s="13"/>
      <c r="E241" s="13"/>
      <c r="F241" s="13"/>
      <c r="G241" s="2"/>
      <c r="H241" s="2"/>
      <c r="I241" s="13"/>
      <c r="J241" s="13"/>
      <c r="K241" s="13"/>
      <c r="L241" s="14"/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12"/>
      <c r="B242" s="10"/>
      <c r="C242" s="11"/>
      <c r="D242" s="13"/>
      <c r="E242" s="13"/>
      <c r="F242" s="13"/>
      <c r="G242" s="2"/>
      <c r="H242" s="2"/>
      <c r="I242" s="13"/>
      <c r="J242" s="13"/>
      <c r="K242" s="13"/>
      <c r="L242" s="14"/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2"/>
      <c r="B243" s="10"/>
      <c r="C243" s="11"/>
      <c r="D243" s="13"/>
      <c r="E243" s="13"/>
      <c r="F243" s="13"/>
      <c r="G243" s="2"/>
      <c r="H243" s="2"/>
      <c r="I243" s="13"/>
      <c r="J243" s="13"/>
      <c r="K243" s="13"/>
      <c r="L243" s="14"/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2"/>
      <c r="B244" s="10"/>
      <c r="C244" s="11"/>
      <c r="D244" s="13"/>
      <c r="E244" s="13"/>
      <c r="F244" s="13"/>
      <c r="G244" s="2"/>
      <c r="H244" s="2"/>
      <c r="I244" s="13"/>
      <c r="J244" s="13"/>
      <c r="K244" s="13"/>
      <c r="L244" s="14"/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2"/>
      <c r="B245" s="10"/>
      <c r="C245" s="11"/>
      <c r="D245" s="13"/>
      <c r="E245" s="13"/>
      <c r="F245" s="13"/>
      <c r="G245" s="2"/>
      <c r="H245" s="2"/>
      <c r="I245" s="13"/>
      <c r="J245" s="13"/>
      <c r="K245" s="13"/>
      <c r="L245" s="14"/>
      <c r="M245" s="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2"/>
      <c r="B246" s="10"/>
      <c r="C246" s="11"/>
      <c r="D246" s="13"/>
      <c r="E246" s="13"/>
      <c r="F246" s="13"/>
      <c r="G246" s="2"/>
      <c r="H246" s="2"/>
      <c r="I246" s="13"/>
      <c r="J246" s="13"/>
      <c r="K246" s="13"/>
      <c r="L246" s="14"/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2"/>
      <c r="B247" s="10"/>
      <c r="C247" s="11"/>
      <c r="D247" s="13"/>
      <c r="E247" s="13"/>
      <c r="F247" s="13"/>
      <c r="G247" s="2"/>
      <c r="H247" s="2"/>
      <c r="I247" s="13"/>
      <c r="J247" s="13"/>
      <c r="K247" s="13"/>
      <c r="L247" s="14"/>
      <c r="M247" s="4"/>
      <c r="N247" s="2"/>
      <c r="O247" s="4"/>
      <c r="P247" s="2"/>
      <c r="Q247" s="2"/>
      <c r="R247" s="4"/>
      <c r="S247" s="2"/>
      <c r="T247" s="2"/>
      <c r="U247" s="1"/>
      <c r="V247" s="2"/>
      <c r="W247" s="2"/>
      <c r="X247" s="2"/>
      <c r="Y247" s="2"/>
      <c r="Z247" s="2"/>
    </row>
    <row r="248" spans="1:26" ht="15.75" customHeight="1" x14ac:dyDescent="0.2">
      <c r="A248" s="12"/>
      <c r="B248" s="10"/>
      <c r="C248" s="11"/>
      <c r="D248" s="13"/>
      <c r="E248" s="13"/>
      <c r="F248" s="13"/>
      <c r="G248" s="2"/>
      <c r="H248" s="2"/>
      <c r="I248" s="13"/>
      <c r="J248" s="13"/>
      <c r="K248" s="13"/>
      <c r="L248" s="14"/>
      <c r="M248" s="4"/>
      <c r="N248" s="2"/>
      <c r="O248" s="4"/>
      <c r="P248" s="2"/>
      <c r="Q248" s="2"/>
      <c r="R248" s="4"/>
      <c r="S248" s="2"/>
      <c r="T248" s="2"/>
      <c r="U248" s="1"/>
      <c r="V248" s="2"/>
      <c r="W248" s="2"/>
      <c r="X248" s="2"/>
      <c r="Y248" s="2"/>
      <c r="Z248" s="2"/>
    </row>
    <row r="249" spans="1:26" ht="15.75" customHeight="1" x14ac:dyDescent="0.2">
      <c r="A249" s="12"/>
      <c r="B249" s="10"/>
      <c r="C249" s="11"/>
      <c r="D249" s="13"/>
      <c r="E249" s="13"/>
      <c r="F249" s="13"/>
      <c r="G249" s="2"/>
      <c r="H249" s="2"/>
      <c r="I249" s="13"/>
      <c r="J249" s="13"/>
      <c r="K249" s="13"/>
      <c r="L249" s="14"/>
      <c r="M249" s="4"/>
      <c r="N249" s="2"/>
      <c r="O249" s="4"/>
      <c r="P249" s="2"/>
      <c r="Q249" s="2"/>
      <c r="R249" s="4"/>
      <c r="S249" s="2"/>
      <c r="T249" s="2"/>
      <c r="U249" s="1"/>
      <c r="V249" s="2"/>
      <c r="W249" s="2"/>
      <c r="X249" s="2"/>
      <c r="Y249" s="2"/>
      <c r="Z249" s="2"/>
    </row>
    <row r="250" spans="1:26" ht="15.75" customHeight="1" x14ac:dyDescent="0.2">
      <c r="A250" s="12"/>
      <c r="B250" s="10"/>
      <c r="C250" s="11"/>
      <c r="D250" s="13"/>
      <c r="E250" s="13"/>
      <c r="F250" s="13"/>
      <c r="G250" s="2"/>
      <c r="H250" s="2"/>
      <c r="I250" s="13"/>
      <c r="J250" s="13"/>
      <c r="K250" s="13"/>
      <c r="L250" s="14"/>
      <c r="M250" s="4"/>
      <c r="N250" s="2"/>
      <c r="O250" s="4"/>
      <c r="P250" s="2"/>
      <c r="Q250" s="2"/>
      <c r="R250" s="4"/>
      <c r="S250" s="2"/>
      <c r="T250" s="2"/>
      <c r="U250" s="1"/>
      <c r="V250" s="2"/>
      <c r="W250" s="2"/>
      <c r="X250" s="2"/>
      <c r="Y250" s="2"/>
      <c r="Z250" s="2"/>
    </row>
    <row r="251" spans="1:26" ht="15.75" customHeight="1" x14ac:dyDescent="0.2">
      <c r="A251" s="12"/>
      <c r="B251" s="10"/>
      <c r="C251" s="11"/>
      <c r="D251" s="13"/>
      <c r="E251" s="13"/>
      <c r="F251" s="13"/>
      <c r="G251" s="2"/>
      <c r="H251" s="2"/>
      <c r="I251" s="13"/>
      <c r="J251" s="13"/>
      <c r="K251" s="13"/>
      <c r="L251" s="14"/>
      <c r="M251" s="4"/>
      <c r="N251" s="2"/>
      <c r="O251" s="4"/>
      <c r="P251" s="2"/>
      <c r="Q251" s="2"/>
      <c r="R251" s="4"/>
      <c r="S251" s="2"/>
      <c r="T251" s="2"/>
      <c r="U251" s="1"/>
      <c r="V251" s="2"/>
      <c r="W251" s="2"/>
      <c r="X251" s="2"/>
      <c r="Y251" s="2"/>
      <c r="Z251" s="2"/>
    </row>
    <row r="252" spans="1:26" ht="15.75" customHeight="1" x14ac:dyDescent="0.2">
      <c r="A252" s="12"/>
      <c r="B252" s="10"/>
      <c r="C252" s="11"/>
      <c r="D252" s="13"/>
      <c r="E252" s="13"/>
      <c r="F252" s="13"/>
      <c r="G252" s="2"/>
      <c r="H252" s="2"/>
      <c r="I252" s="13"/>
      <c r="J252" s="13"/>
      <c r="K252" s="13"/>
      <c r="L252" s="14"/>
      <c r="M252" s="4"/>
      <c r="N252" s="2"/>
      <c r="O252" s="4"/>
      <c r="P252" s="2"/>
      <c r="Q252" s="2"/>
      <c r="R252" s="4"/>
      <c r="S252" s="2"/>
      <c r="T252" s="2"/>
      <c r="U252" s="1"/>
      <c r="V252" s="2"/>
      <c r="W252" s="2"/>
      <c r="X252" s="2"/>
      <c r="Y252" s="2"/>
      <c r="Z252" s="2"/>
    </row>
    <row r="253" spans="1:26" ht="15.75" customHeight="1" x14ac:dyDescent="0.2">
      <c r="A253" s="12"/>
      <c r="B253" s="10"/>
      <c r="C253" s="11"/>
      <c r="D253" s="13"/>
      <c r="E253" s="13"/>
      <c r="F253" s="13"/>
      <c r="G253" s="2"/>
      <c r="H253" s="2"/>
      <c r="I253" s="13"/>
      <c r="J253" s="13"/>
      <c r="K253" s="13"/>
      <c r="L253" s="14"/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2"/>
      <c r="B254" s="10"/>
      <c r="C254" s="11"/>
      <c r="D254" s="13"/>
      <c r="E254" s="13"/>
      <c r="F254" s="13"/>
      <c r="G254" s="2"/>
      <c r="H254" s="2"/>
      <c r="I254" s="13"/>
      <c r="J254" s="13"/>
      <c r="K254" s="13"/>
      <c r="L254" s="14"/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12"/>
      <c r="B255" s="10"/>
      <c r="C255" s="11"/>
      <c r="D255" s="13"/>
      <c r="E255" s="13"/>
      <c r="F255" s="13"/>
      <c r="G255" s="2"/>
      <c r="H255" s="2"/>
      <c r="I255" s="13"/>
      <c r="J255" s="13"/>
      <c r="K255" s="13"/>
      <c r="L255" s="14"/>
      <c r="M255" s="4"/>
      <c r="N255" s="2"/>
      <c r="O255" s="4"/>
      <c r="P255" s="2"/>
      <c r="Q255" s="2"/>
      <c r="R255" s="4"/>
      <c r="S255" s="2"/>
      <c r="T255" s="2"/>
      <c r="U255" s="1"/>
      <c r="V255" s="2"/>
      <c r="W255" s="2"/>
      <c r="X255" s="2"/>
      <c r="Y255" s="2"/>
      <c r="Z255" s="2"/>
    </row>
    <row r="256" spans="1:26" ht="15.75" customHeight="1" x14ac:dyDescent="0.2">
      <c r="A256" s="12"/>
      <c r="B256" s="10"/>
      <c r="C256" s="11"/>
      <c r="D256" s="13"/>
      <c r="E256" s="13"/>
      <c r="F256" s="13"/>
      <c r="G256" s="2"/>
      <c r="H256" s="2"/>
      <c r="I256" s="13"/>
      <c r="J256" s="13"/>
      <c r="K256" s="13"/>
      <c r="L256" s="14"/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2"/>
      <c r="B257" s="10"/>
      <c r="C257" s="11"/>
      <c r="D257" s="13"/>
      <c r="E257" s="13"/>
      <c r="F257" s="1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2"/>
      <c r="B258" s="10"/>
      <c r="C258" s="11"/>
      <c r="D258" s="13"/>
      <c r="E258" s="13"/>
      <c r="F258" s="13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12"/>
      <c r="B259" s="10"/>
      <c r="C259" s="11"/>
      <c r="D259" s="13"/>
      <c r="E259" s="13"/>
      <c r="F259" s="13"/>
      <c r="G259" s="2"/>
      <c r="H259" s="2"/>
      <c r="I259" s="13"/>
      <c r="J259" s="13"/>
      <c r="K259" s="13"/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/>
      <c r="B260" s="10"/>
      <c r="C260" s="11"/>
      <c r="D260" s="13"/>
      <c r="E260" s="13"/>
      <c r="F260" s="13"/>
      <c r="G260" s="2"/>
      <c r="H260" s="2"/>
      <c r="I260" s="13"/>
      <c r="J260" s="13"/>
      <c r="K260" s="13"/>
      <c r="L260" s="14"/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G261" s="2"/>
      <c r="H261" s="2"/>
      <c r="I261" s="13"/>
      <c r="J261" s="13"/>
      <c r="K261" s="13"/>
      <c r="L261" s="14"/>
      <c r="M261" s="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/>
      <c r="F262" s="13"/>
      <c r="G262" s="2"/>
      <c r="H262" s="2"/>
      <c r="I262" s="13"/>
      <c r="J262" s="13"/>
      <c r="K262" s="13"/>
      <c r="L262" s="14"/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2"/>
      <c r="B263" s="10"/>
      <c r="C263" s="11"/>
      <c r="D263" s="13"/>
      <c r="E263" s="13"/>
      <c r="F263" s="13"/>
      <c r="G263" s="2"/>
      <c r="H263" s="2"/>
      <c r="I263" s="13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A264" s="12"/>
      <c r="B264" s="10"/>
      <c r="C264" s="11"/>
      <c r="D264" s="13"/>
      <c r="E264" s="13"/>
      <c r="F264" s="13"/>
      <c r="G264" s="2"/>
      <c r="H264" s="2"/>
      <c r="I264" s="13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12"/>
      <c r="B265" s="10"/>
      <c r="C265" s="11"/>
      <c r="D265" s="13"/>
      <c r="E265" s="13"/>
      <c r="F265" s="13"/>
      <c r="G265" s="2"/>
      <c r="H265" s="2"/>
      <c r="I265" s="13"/>
      <c r="J265" s="13"/>
      <c r="K265" s="13"/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/>
      <c r="B266" s="10"/>
      <c r="C266" s="11"/>
      <c r="D266" s="13"/>
      <c r="E266" s="13"/>
      <c r="F266" s="13"/>
      <c r="G266" s="2"/>
      <c r="H266" s="2"/>
      <c r="I266" s="13"/>
      <c r="J266" s="13"/>
      <c r="K266" s="13"/>
      <c r="L266" s="14"/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/>
      <c r="B267" s="10"/>
      <c r="C267" s="11"/>
      <c r="D267" s="13"/>
      <c r="E267" s="13"/>
      <c r="F267" s="13"/>
      <c r="G267" s="2"/>
      <c r="H267" s="2"/>
      <c r="I267" s="13"/>
      <c r="J267" s="13"/>
      <c r="K267" s="13"/>
      <c r="L267" s="14"/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/>
      <c r="B268" s="10"/>
      <c r="C268" s="11"/>
      <c r="D268" s="13"/>
      <c r="E268" s="13"/>
      <c r="F268" s="13"/>
      <c r="G268" s="2"/>
      <c r="H268" s="2"/>
      <c r="I268" s="13"/>
      <c r="J268" s="13"/>
      <c r="K268" s="13"/>
      <c r="L268" s="14"/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/>
      <c r="B269" s="10"/>
      <c r="C269" s="11"/>
      <c r="D269" s="13"/>
      <c r="E269" s="13"/>
      <c r="F269" s="13"/>
      <c r="G269" s="2"/>
      <c r="H269" s="2"/>
      <c r="I269" s="13"/>
      <c r="J269" s="13"/>
      <c r="K269" s="13"/>
      <c r="L269" s="14"/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/>
      <c r="B270" s="10"/>
      <c r="C270" s="11"/>
      <c r="D270" s="13"/>
      <c r="E270" s="13"/>
      <c r="F270" s="13"/>
      <c r="G270" s="2"/>
      <c r="H270" s="2"/>
      <c r="I270" s="13"/>
      <c r="J270" s="13"/>
      <c r="K270" s="13"/>
      <c r="L270" s="14"/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/>
      <c r="B271" s="10"/>
      <c r="C271" s="11"/>
      <c r="D271" s="13"/>
      <c r="E271" s="13"/>
      <c r="F271" s="13"/>
      <c r="G271" s="2"/>
      <c r="H271" s="2"/>
      <c r="I271" s="13"/>
      <c r="J271" s="13"/>
      <c r="K271" s="13"/>
      <c r="L271" s="14"/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/>
      <c r="B272" s="10"/>
      <c r="C272" s="11"/>
      <c r="D272" s="13"/>
      <c r="E272" s="13"/>
      <c r="F272" s="13"/>
      <c r="G272" s="2"/>
      <c r="H272" s="2"/>
      <c r="I272" s="13"/>
      <c r="J272" s="13"/>
      <c r="K272" s="13"/>
      <c r="L272" s="14"/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/>
      <c r="B273" s="10"/>
      <c r="C273" s="11"/>
      <c r="D273" s="13"/>
      <c r="E273" s="13"/>
      <c r="F273" s="13"/>
      <c r="G273" s="2"/>
      <c r="H273" s="2"/>
      <c r="I273" s="13"/>
      <c r="J273" s="13"/>
      <c r="K273" s="13"/>
      <c r="L273" s="14"/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/>
      <c r="B274" s="10"/>
      <c r="C274" s="11"/>
      <c r="D274" s="13"/>
      <c r="E274" s="13"/>
      <c r="F274" s="13"/>
      <c r="G274" s="2"/>
      <c r="H274" s="2"/>
      <c r="I274" s="13"/>
      <c r="J274" s="13"/>
      <c r="K274" s="13"/>
      <c r="L274" s="14"/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/>
      <c r="B275" s="10"/>
      <c r="C275" s="11"/>
      <c r="D275" s="13"/>
      <c r="E275" s="13"/>
      <c r="F275" s="13"/>
      <c r="G275" s="2"/>
      <c r="H275" s="2"/>
      <c r="I275" s="13"/>
      <c r="J275" s="13"/>
      <c r="K275" s="13"/>
      <c r="L275" s="14"/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/>
      <c r="B276" s="10"/>
      <c r="C276" s="11"/>
      <c r="D276" s="13"/>
      <c r="E276" s="13"/>
      <c r="F276" s="13"/>
      <c r="G276" s="2"/>
      <c r="H276" s="2"/>
      <c r="I276" s="13"/>
      <c r="J276" s="13"/>
      <c r="K276" s="13"/>
      <c r="L276" s="14"/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/>
      <c r="B277" s="10"/>
      <c r="C277" s="11"/>
      <c r="D277" s="13"/>
      <c r="E277" s="13"/>
      <c r="F277" s="13"/>
      <c r="G277" s="2"/>
      <c r="H277" s="2"/>
      <c r="I277" s="13"/>
      <c r="J277" s="13"/>
      <c r="K277" s="13"/>
      <c r="L277" s="14"/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/>
      <c r="B280" s="10"/>
      <c r="C280" s="11"/>
      <c r="D280" s="13"/>
      <c r="E280" s="13"/>
      <c r="F280" s="13"/>
      <c r="G280" s="2"/>
      <c r="H280" s="2"/>
      <c r="I280" s="13"/>
      <c r="J280" s="13"/>
      <c r="K280" s="13"/>
      <c r="L280" s="14"/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/>
      <c r="B281" s="10"/>
      <c r="C281" s="11"/>
      <c r="D281" s="13"/>
      <c r="E281" s="13"/>
      <c r="F281" s="13"/>
      <c r="G281" s="2"/>
      <c r="H281" s="2"/>
      <c r="I281" s="13"/>
      <c r="J281" s="13"/>
      <c r="K281" s="13"/>
      <c r="L281" s="14"/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/>
      <c r="B282" s="10"/>
      <c r="C282" s="11"/>
      <c r="D282" s="13"/>
      <c r="E282" s="13"/>
      <c r="F282" s="13"/>
      <c r="G282" s="2"/>
      <c r="H282" s="2"/>
      <c r="I282" s="13"/>
      <c r="J282" s="13"/>
      <c r="K282" s="13"/>
      <c r="L282" s="14"/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/>
      <c r="B283" s="10"/>
      <c r="C283" s="11"/>
      <c r="D283" s="13"/>
      <c r="E283" s="13"/>
      <c r="F283" s="13"/>
      <c r="G283" s="2"/>
      <c r="H283" s="2"/>
      <c r="I283" s="13"/>
      <c r="J283" s="13"/>
      <c r="K283" s="13"/>
      <c r="L283" s="14"/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/>
      <c r="B284" s="10"/>
      <c r="C284" s="11"/>
      <c r="D284" s="13"/>
      <c r="E284" s="13"/>
      <c r="F284" s="13"/>
      <c r="G284" s="2"/>
      <c r="H284" s="2"/>
      <c r="I284" s="13"/>
      <c r="J284" s="13"/>
      <c r="K284" s="13"/>
      <c r="L284" s="14"/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/>
      <c r="B285" s="10"/>
      <c r="C285" s="11"/>
      <c r="D285" s="13"/>
      <c r="E285" s="13"/>
      <c r="F285" s="13"/>
      <c r="G285" s="2"/>
      <c r="H285" s="2"/>
      <c r="I285" s="13"/>
      <c r="J285" s="13"/>
      <c r="K285" s="13"/>
      <c r="L285" s="14"/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/>
      <c r="B286" s="10"/>
      <c r="C286" s="11"/>
      <c r="D286" s="13"/>
      <c r="E286" s="13"/>
      <c r="F286" s="13"/>
      <c r="G286" s="2"/>
      <c r="H286" s="2"/>
      <c r="I286" s="13"/>
      <c r="J286" s="13"/>
      <c r="K286" s="13"/>
      <c r="L286" s="14"/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/>
      <c r="B287" s="10"/>
      <c r="C287" s="11"/>
      <c r="D287" s="13"/>
      <c r="E287" s="13"/>
      <c r="F287" s="13"/>
      <c r="G287" s="2"/>
      <c r="H287" s="2"/>
      <c r="I287" s="13"/>
      <c r="J287" s="13"/>
      <c r="K287" s="13"/>
      <c r="L287" s="14"/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ht="15.75" customHeight="1" x14ac:dyDescent="0.2">
      <c r="A288" s="12"/>
      <c r="B288" s="10"/>
      <c r="C288" s="11"/>
      <c r="D288" s="13"/>
      <c r="E288" s="13"/>
      <c r="F288" s="13"/>
      <c r="G288" s="2"/>
      <c r="H288" s="2"/>
      <c r="I288" s="13"/>
      <c r="J288" s="13"/>
      <c r="K288" s="13"/>
      <c r="L288" s="14"/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ht="15.75" customHeight="1" x14ac:dyDescent="0.2">
      <c r="A289" s="12"/>
      <c r="B289" s="10"/>
      <c r="C289" s="11"/>
      <c r="D289" s="13"/>
      <c r="E289" s="13"/>
      <c r="F289" s="13"/>
      <c r="G289" s="2"/>
      <c r="H289" s="2"/>
      <c r="I289" s="13"/>
      <c r="J289" s="13"/>
      <c r="K289" s="13"/>
      <c r="L289" s="14"/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2"/>
      <c r="B290" s="10"/>
      <c r="C290" s="11"/>
      <c r="D290" s="13"/>
      <c r="E290" s="13"/>
      <c r="F290" s="13"/>
      <c r="G290" s="2"/>
      <c r="H290" s="2"/>
      <c r="I290" s="13"/>
      <c r="J290" s="13"/>
      <c r="K290" s="13"/>
      <c r="L290" s="14"/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G291" s="2"/>
      <c r="H291" s="2"/>
      <c r="I291" s="13"/>
      <c r="J291" s="13"/>
      <c r="K291" s="13"/>
      <c r="L291" s="14"/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/>
      <c r="F292" s="13"/>
      <c r="G292" s="2"/>
      <c r="H292" s="2"/>
      <c r="I292" s="13"/>
      <c r="J292" s="13"/>
      <c r="K292" s="13"/>
      <c r="L292" s="14"/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2"/>
      <c r="B293" s="10"/>
      <c r="C293" s="11"/>
      <c r="D293" s="13"/>
      <c r="E293" s="13"/>
      <c r="F293" s="13"/>
      <c r="G293" s="2"/>
      <c r="H293" s="2"/>
      <c r="I293" s="13"/>
      <c r="J293" s="13"/>
      <c r="K293" s="13"/>
      <c r="L293" s="14"/>
      <c r="M293" s="4"/>
      <c r="N293" s="2"/>
      <c r="O293" s="4"/>
      <c r="P293" s="2"/>
      <c r="Q293" s="2"/>
      <c r="R293" s="4"/>
      <c r="S293" s="2"/>
      <c r="T293" s="2"/>
      <c r="U293" s="1"/>
      <c r="V293" s="2"/>
      <c r="W293" s="2"/>
      <c r="X293" s="2"/>
      <c r="Y293" s="2"/>
      <c r="Z293" s="2"/>
    </row>
    <row r="294" spans="1:26" ht="15.75" customHeight="1" x14ac:dyDescent="0.2">
      <c r="A294" s="12"/>
      <c r="B294" s="10"/>
      <c r="C294" s="11"/>
      <c r="D294" s="13"/>
      <c r="E294" s="13"/>
      <c r="F294" s="13"/>
      <c r="G294" s="2"/>
      <c r="H294" s="2"/>
      <c r="I294" s="13"/>
      <c r="J294" s="13"/>
      <c r="K294" s="13"/>
      <c r="L294" s="14"/>
      <c r="M294" s="4"/>
      <c r="N294" s="2"/>
      <c r="O294" s="4"/>
      <c r="P294" s="2"/>
      <c r="Q294" s="2"/>
      <c r="R294" s="4"/>
      <c r="S294" s="2"/>
      <c r="T294" s="2"/>
      <c r="U294" s="1"/>
      <c r="V294" s="2"/>
      <c r="W294" s="2"/>
      <c r="X294" s="2"/>
      <c r="Y294" s="2"/>
      <c r="Z294" s="2"/>
    </row>
    <row r="295" spans="1:26" ht="15.75" customHeight="1" x14ac:dyDescent="0.2">
      <c r="A295" s="12"/>
      <c r="B295" s="10"/>
      <c r="C295" s="11"/>
      <c r="D295" s="13"/>
      <c r="E295" s="13"/>
      <c r="F295" s="13"/>
      <c r="G295" s="2"/>
      <c r="H295" s="2"/>
      <c r="I295" s="13"/>
      <c r="J295" s="13"/>
      <c r="K295" s="13"/>
      <c r="L295" s="14"/>
      <c r="M295" s="4"/>
      <c r="N295" s="2"/>
      <c r="O295" s="4"/>
      <c r="P295" s="2"/>
      <c r="Q295" s="2"/>
      <c r="R295" s="4"/>
      <c r="S295" s="2"/>
      <c r="T295" s="2"/>
      <c r="U295" s="1"/>
      <c r="V295" s="2"/>
      <c r="W295" s="2"/>
      <c r="X295" s="2"/>
      <c r="Y295" s="2"/>
      <c r="Z295" s="2"/>
    </row>
    <row r="296" spans="1:26" ht="15.75" customHeight="1" x14ac:dyDescent="0.2">
      <c r="A296" s="12"/>
      <c r="B296" s="10"/>
      <c r="C296" s="11"/>
      <c r="D296" s="13"/>
      <c r="E296" s="13"/>
      <c r="F296" s="13"/>
      <c r="G296" s="2"/>
      <c r="H296" s="2"/>
      <c r="I296" s="13"/>
      <c r="J296" s="13"/>
      <c r="K296" s="13"/>
      <c r="L296" s="14"/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2"/>
      <c r="B297" s="10"/>
      <c r="C297" s="11"/>
      <c r="D297" s="13"/>
      <c r="E297" s="13"/>
      <c r="F297" s="13"/>
      <c r="G297" s="2"/>
      <c r="H297" s="2"/>
      <c r="I297" s="13"/>
      <c r="J297" s="13"/>
      <c r="K297" s="13"/>
      <c r="L297" s="14"/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2"/>
      <c r="B298" s="10"/>
      <c r="C298" s="11"/>
      <c r="D298" s="13"/>
      <c r="E298" s="13"/>
      <c r="F298" s="13"/>
      <c r="G298" s="2"/>
      <c r="H298" s="2"/>
      <c r="I298" s="13"/>
      <c r="J298" s="13"/>
      <c r="K298" s="13"/>
      <c r="L298" s="14"/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2"/>
      <c r="B299" s="10"/>
      <c r="C299" s="11"/>
      <c r="D299" s="13"/>
      <c r="E299" s="13"/>
      <c r="F299" s="13"/>
      <c r="G299" s="2"/>
      <c r="H299" s="2"/>
      <c r="I299" s="13"/>
      <c r="J299" s="13"/>
      <c r="K299" s="13"/>
      <c r="L299" s="14"/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2"/>
      <c r="B303" s="10"/>
      <c r="C303" s="11"/>
      <c r="D303" s="13"/>
      <c r="E303" s="13"/>
      <c r="F303" s="13"/>
      <c r="G303" s="2"/>
      <c r="H303" s="2"/>
      <c r="I303" s="13"/>
      <c r="J303" s="13"/>
      <c r="K303" s="13"/>
      <c r="L303" s="14"/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2"/>
      <c r="B304" s="10"/>
      <c r="C304" s="11"/>
      <c r="D304" s="13"/>
      <c r="E304" s="13"/>
      <c r="F304" s="13"/>
      <c r="G304" s="2"/>
      <c r="H304" s="2"/>
      <c r="I304" s="13"/>
      <c r="J304" s="13"/>
      <c r="K304" s="13"/>
      <c r="L304" s="14"/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2"/>
      <c r="B305" s="10"/>
      <c r="C305" s="11"/>
      <c r="D305" s="13"/>
      <c r="E305" s="13"/>
      <c r="F305" s="13"/>
      <c r="G305" s="2"/>
      <c r="H305" s="2"/>
      <c r="I305" s="13"/>
      <c r="J305" s="13"/>
      <c r="K305" s="13"/>
      <c r="L305" s="14"/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A306" s="12"/>
      <c r="B306" s="10"/>
      <c r="C306" s="11"/>
      <c r="D306" s="13"/>
      <c r="E306" s="13"/>
      <c r="F306" s="13"/>
      <c r="G306" s="2"/>
      <c r="H306" s="2"/>
      <c r="I306" s="13"/>
      <c r="J306" s="13"/>
      <c r="K306" s="13"/>
      <c r="L306" s="14"/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A307" s="12"/>
      <c r="B307" s="10"/>
      <c r="C307" s="11"/>
      <c r="D307" s="13"/>
      <c r="E307" s="13"/>
      <c r="F307" s="13"/>
      <c r="G307" s="2"/>
      <c r="H307" s="2"/>
      <c r="I307" s="13"/>
      <c r="J307" s="13"/>
      <c r="K307" s="13"/>
      <c r="L307" s="14"/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A308" s="12"/>
      <c r="B308" s="10"/>
      <c r="C308" s="11"/>
      <c r="D308" s="13"/>
      <c r="E308" s="13"/>
      <c r="F308" s="13"/>
      <c r="G308" s="2"/>
      <c r="H308" s="2"/>
      <c r="I308" s="13"/>
      <c r="J308" s="13"/>
      <c r="K308" s="13"/>
      <c r="L308" s="14"/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A309" s="12"/>
      <c r="B309" s="10"/>
      <c r="C309" s="11"/>
      <c r="D309" s="13"/>
      <c r="E309" s="13"/>
      <c r="F309" s="13"/>
      <c r="G309" s="2"/>
      <c r="H309" s="2"/>
      <c r="I309" s="13"/>
      <c r="J309" s="13"/>
      <c r="K309" s="13"/>
      <c r="L309" s="14"/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2"/>
      <c r="B310" s="10"/>
      <c r="C310" s="11"/>
      <c r="D310" s="13"/>
      <c r="E310" s="13"/>
      <c r="F310" s="13"/>
      <c r="G310" s="2"/>
      <c r="H310" s="2"/>
      <c r="I310" s="13"/>
      <c r="J310" s="13"/>
      <c r="K310" s="13"/>
      <c r="L310" s="14"/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</sheetData>
  <mergeCells count="6">
    <mergeCell ref="A80:B80"/>
    <mergeCell ref="A3:C3"/>
    <mergeCell ref="I3:K3"/>
    <mergeCell ref="A26:C26"/>
    <mergeCell ref="A43:C43"/>
    <mergeCell ref="I43:K43"/>
  </mergeCells>
  <conditionalFormatting sqref="L1:L1068">
    <cfRule type="cellIs" dxfId="7" priority="8" operator="between">
      <formula>"25%"</formula>
      <formula>"30%"</formula>
    </cfRule>
    <cfRule type="cellIs" dxfId="6" priority="7" operator="lessThan">
      <formula>"25%"</formula>
    </cfRule>
    <cfRule type="cellIs" dxfId="5" priority="6" operator="greaterThan">
      <formula>"30%"</formula>
    </cfRule>
  </conditionalFormatting>
  <conditionalFormatting sqref="L26:L40">
    <cfRule type="cellIs" dxfId="4" priority="1" operator="greaterThanOrEqual">
      <formula>"30%"</formula>
    </cfRule>
  </conditionalFormatting>
  <conditionalFormatting sqref="L73:L80">
    <cfRule type="cellIs" dxfId="3" priority="4" operator="between">
      <formula>"20.01%"</formula>
      <formula>"25%"</formula>
    </cfRule>
    <cfRule type="cellIs" dxfId="2" priority="3" operator="lessThanOrEqual">
      <formula>"20%"</formula>
    </cfRule>
    <cfRule type="cellIs" dxfId="1" priority="2" operator="between">
      <formula>"20%"</formula>
      <formula>"25%"</formula>
    </cfRule>
    <cfRule type="cellIs" dxfId="0" priority="5" operator="greater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Z1025"/>
  <sheetViews>
    <sheetView topLeftCell="A41"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198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>
        <v>0</v>
      </c>
      <c r="C3" s="45"/>
      <c r="D3" s="45"/>
      <c r="F3" s="45">
        <v>0</v>
      </c>
      <c r="G3" s="24"/>
      <c r="H3" s="46"/>
      <c r="I3" s="47">
        <f t="shared" ref="I3:I17" si="0">F3/$F$47</f>
        <v>0</v>
      </c>
    </row>
    <row r="4" spans="1:12" ht="15.75" customHeight="1" x14ac:dyDescent="0.2">
      <c r="A4" s="43" t="s">
        <v>205</v>
      </c>
      <c r="B4" s="44">
        <v>666368.65</v>
      </c>
      <c r="C4" s="48">
        <f>'06-04-2026 '!E581</f>
        <v>462420</v>
      </c>
      <c r="D4" s="45">
        <v>500000</v>
      </c>
      <c r="E4" s="45">
        <v>0</v>
      </c>
      <c r="F4" s="45">
        <f t="shared" ref="F4:F5" si="1">B4+C4-D4</f>
        <v>628788.64999999991</v>
      </c>
      <c r="G4" s="24" t="s">
        <v>106</v>
      </c>
      <c r="H4" s="46"/>
      <c r="I4" s="47">
        <f t="shared" si="0"/>
        <v>1.2278938976106768E-2</v>
      </c>
    </row>
    <row r="5" spans="1:12" ht="15.75" customHeight="1" x14ac:dyDescent="0.2">
      <c r="A5" s="43" t="s">
        <v>171</v>
      </c>
      <c r="B5" s="44">
        <v>107752.17</v>
      </c>
      <c r="C5" s="45">
        <f>'06-04-2026 '!F595</f>
        <v>39034.25</v>
      </c>
      <c r="D5" s="44"/>
      <c r="E5" s="45">
        <v>0</v>
      </c>
      <c r="F5" s="45">
        <f t="shared" si="1"/>
        <v>146786.41999999998</v>
      </c>
      <c r="G5" s="24" t="s">
        <v>106</v>
      </c>
      <c r="H5" s="46"/>
      <c r="I5" s="47">
        <f t="shared" si="0"/>
        <v>2.866434522476158E-3</v>
      </c>
      <c r="J5" s="49"/>
    </row>
    <row r="6" spans="1:12" ht="15.75" customHeight="1" x14ac:dyDescent="0.2">
      <c r="A6" s="43" t="s">
        <v>108</v>
      </c>
      <c r="B6" s="44">
        <v>915459.29</v>
      </c>
      <c r="C6" s="45">
        <f>'02-04-2026 '!E33+'07-04-2026 '!E239</f>
        <v>457500</v>
      </c>
      <c r="D6" s="45"/>
      <c r="E6" s="45">
        <v>0</v>
      </c>
      <c r="F6" s="45">
        <f>B6+C6-D6-E6</f>
        <v>1372959.29</v>
      </c>
      <c r="G6" s="24" t="s">
        <v>106</v>
      </c>
      <c r="H6" s="46"/>
      <c r="I6" s="47">
        <f t="shared" si="0"/>
        <v>2.6811049052155884E-2</v>
      </c>
    </row>
    <row r="7" spans="1:12" ht="15.75" customHeight="1" x14ac:dyDescent="0.2">
      <c r="A7" s="43" t="s">
        <v>206</v>
      </c>
      <c r="B7" s="44">
        <v>0</v>
      </c>
      <c r="C7" s="45"/>
      <c r="D7" s="45"/>
      <c r="E7" s="45">
        <v>0</v>
      </c>
      <c r="F7" s="45">
        <f t="shared" ref="F7:F15" si="2">B7+C7-D7</f>
        <v>0</v>
      </c>
      <c r="G7" s="24" t="s">
        <v>106</v>
      </c>
      <c r="H7" s="46"/>
      <c r="I7" s="47">
        <f t="shared" si="0"/>
        <v>0</v>
      </c>
    </row>
    <row r="8" spans="1:12" ht="15.75" customHeight="1" x14ac:dyDescent="0.2">
      <c r="A8" s="43" t="s">
        <v>207</v>
      </c>
      <c r="B8" s="44">
        <v>324620</v>
      </c>
      <c r="C8" s="45">
        <f>'06-04-2026 '!E657+'07-04-2026 '!E262</f>
        <v>81430</v>
      </c>
      <c r="D8" s="45"/>
      <c r="E8" s="45">
        <v>0</v>
      </c>
      <c r="F8" s="45">
        <f t="shared" si="2"/>
        <v>406050</v>
      </c>
      <c r="G8" s="24" t="s">
        <v>106</v>
      </c>
      <c r="H8" s="46"/>
      <c r="I8" s="47">
        <f t="shared" si="0"/>
        <v>7.9293148361506745E-3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>
        <v>0</v>
      </c>
      <c r="F9" s="45">
        <f t="shared" si="2"/>
        <v>73950</v>
      </c>
      <c r="G9" s="24" t="s">
        <v>106</v>
      </c>
      <c r="H9" s="46"/>
      <c r="I9" s="47">
        <f t="shared" si="0"/>
        <v>1.4440902158190923E-3</v>
      </c>
    </row>
    <row r="10" spans="1:12" ht="15.75" customHeight="1" x14ac:dyDescent="0.2">
      <c r="A10" s="43" t="s">
        <v>209</v>
      </c>
      <c r="B10" s="44">
        <v>0</v>
      </c>
      <c r="C10" s="45"/>
      <c r="D10" s="45"/>
      <c r="E10" s="45">
        <v>0</v>
      </c>
      <c r="F10" s="45">
        <f t="shared" si="2"/>
        <v>0</v>
      </c>
      <c r="G10" s="24" t="s">
        <v>106</v>
      </c>
      <c r="H10" s="46"/>
      <c r="I10" s="47">
        <f t="shared" si="0"/>
        <v>0</v>
      </c>
    </row>
    <row r="11" spans="1:12" ht="15.75" customHeight="1" x14ac:dyDescent="0.2">
      <c r="A11" s="43" t="s">
        <v>210</v>
      </c>
      <c r="B11" s="44">
        <v>0</v>
      </c>
      <c r="C11" s="45"/>
      <c r="D11" s="50"/>
      <c r="E11" s="45">
        <v>0</v>
      </c>
      <c r="F11" s="45">
        <f t="shared" si="2"/>
        <v>0</v>
      </c>
      <c r="G11" s="24" t="s">
        <v>106</v>
      </c>
      <c r="H11" s="46"/>
      <c r="I11" s="47">
        <f t="shared" si="0"/>
        <v>0</v>
      </c>
      <c r="L11" s="5"/>
    </row>
    <row r="12" spans="1:12" ht="15.75" customHeight="1" x14ac:dyDescent="0.2">
      <c r="A12" s="43" t="s">
        <v>211</v>
      </c>
      <c r="B12" s="44">
        <v>0</v>
      </c>
      <c r="C12" s="45"/>
      <c r="D12" s="50"/>
      <c r="E12" s="45">
        <v>0</v>
      </c>
      <c r="F12" s="45">
        <f t="shared" si="2"/>
        <v>0</v>
      </c>
      <c r="G12" s="24" t="s">
        <v>106</v>
      </c>
      <c r="H12" s="46"/>
      <c r="I12" s="47">
        <f t="shared" si="0"/>
        <v>0</v>
      </c>
    </row>
    <row r="13" spans="1:12" ht="15.75" customHeight="1" x14ac:dyDescent="0.2">
      <c r="A13" s="43" t="s">
        <v>212</v>
      </c>
      <c r="B13" s="44">
        <v>0</v>
      </c>
      <c r="C13" s="45"/>
      <c r="D13" s="50"/>
      <c r="E13" s="45">
        <v>0</v>
      </c>
      <c r="F13" s="45">
        <f t="shared" si="2"/>
        <v>0</v>
      </c>
      <c r="G13" s="24" t="s">
        <v>106</v>
      </c>
      <c r="H13" s="46"/>
      <c r="I13" s="47">
        <f t="shared" si="0"/>
        <v>0</v>
      </c>
      <c r="J13" s="5"/>
    </row>
    <row r="14" spans="1:12" ht="15.75" customHeight="1" x14ac:dyDescent="0.2">
      <c r="A14" s="43" t="s">
        <v>149</v>
      </c>
      <c r="B14" s="44">
        <v>2015190</v>
      </c>
      <c r="C14" s="45">
        <f>'06-04-2026 '!E422</f>
        <v>386200</v>
      </c>
      <c r="D14" s="45"/>
      <c r="E14" s="45">
        <v>0</v>
      </c>
      <c r="F14" s="45">
        <f t="shared" si="2"/>
        <v>2401390</v>
      </c>
      <c r="G14" s="24"/>
      <c r="H14" s="46"/>
      <c r="I14" s="47">
        <f t="shared" si="0"/>
        <v>4.6894169078645166E-2</v>
      </c>
    </row>
    <row r="15" spans="1:12" ht="15.75" customHeight="1" x14ac:dyDescent="0.2">
      <c r="A15" s="43" t="s">
        <v>116</v>
      </c>
      <c r="B15" s="44">
        <v>4193780</v>
      </c>
      <c r="C15" s="45">
        <f>'02-04-2026 '!E53+'06-04-2026 '!E389</f>
        <v>365850</v>
      </c>
      <c r="D15" s="45">
        <v>364460</v>
      </c>
      <c r="E15" s="45">
        <v>0</v>
      </c>
      <c r="F15" s="45">
        <f t="shared" si="2"/>
        <v>4195170</v>
      </c>
      <c r="G15" s="24" t="s">
        <v>106</v>
      </c>
      <c r="H15" s="46"/>
      <c r="I15" s="47">
        <f t="shared" si="0"/>
        <v>8.1922974316400013E-2</v>
      </c>
    </row>
    <row r="16" spans="1:12" ht="15.75" customHeight="1" x14ac:dyDescent="0.2">
      <c r="A16" s="43" t="s">
        <v>213</v>
      </c>
      <c r="B16" s="45">
        <v>17179419.649999999</v>
      </c>
      <c r="C16" s="45">
        <f>'06-04-2026 '!F497+'09-04-2026 '!F40</f>
        <v>2554090</v>
      </c>
      <c r="D16" s="45">
        <v>2889353.25</v>
      </c>
      <c r="E16" s="45">
        <v>201897.25</v>
      </c>
      <c r="F16" s="45">
        <f>B16+C16-D16-E16</f>
        <v>16642259.149999999</v>
      </c>
      <c r="G16" s="24" t="s">
        <v>106</v>
      </c>
      <c r="H16" s="46"/>
      <c r="I16" s="47">
        <f t="shared" si="0"/>
        <v>0.32498882498500015</v>
      </c>
      <c r="J16" s="5"/>
    </row>
    <row r="17" spans="1:14" ht="15.75" customHeight="1" x14ac:dyDescent="0.2">
      <c r="A17" s="43" t="s">
        <v>214</v>
      </c>
      <c r="B17" s="44">
        <v>0</v>
      </c>
      <c r="C17" s="45"/>
      <c r="D17" s="45"/>
      <c r="E17" s="45">
        <v>0</v>
      </c>
      <c r="F17" s="45">
        <f t="shared" ref="F17:F33" si="3">B17+C17-D17</f>
        <v>0</v>
      </c>
      <c r="G17" s="24" t="s">
        <v>106</v>
      </c>
      <c r="H17" s="46"/>
      <c r="I17" s="47">
        <f t="shared" si="0"/>
        <v>0</v>
      </c>
    </row>
    <row r="18" spans="1:14" ht="15.75" customHeight="1" x14ac:dyDescent="0.2">
      <c r="A18" s="43" t="s">
        <v>215</v>
      </c>
      <c r="B18" s="44">
        <v>0</v>
      </c>
      <c r="C18" s="45"/>
      <c r="D18" s="45"/>
      <c r="E18" s="45">
        <v>0</v>
      </c>
      <c r="F18" s="45">
        <f t="shared" si="3"/>
        <v>0</v>
      </c>
      <c r="G18" s="24" t="s">
        <v>106</v>
      </c>
      <c r="H18" s="46"/>
      <c r="I18" s="47">
        <f>F18/F47</f>
        <v>0</v>
      </c>
      <c r="J18" s="5"/>
    </row>
    <row r="19" spans="1:14" ht="16.5" customHeight="1" x14ac:dyDescent="0.2">
      <c r="A19" s="43" t="s">
        <v>75</v>
      </c>
      <c r="B19" s="44">
        <v>482850</v>
      </c>
      <c r="C19" s="45">
        <f>'01-04-2026 '!E292+'08-04-2026 '!E208</f>
        <v>511110</v>
      </c>
      <c r="D19" s="44">
        <v>754980</v>
      </c>
      <c r="E19" s="44">
        <v>0</v>
      </c>
      <c r="F19" s="45">
        <f t="shared" si="3"/>
        <v>238980</v>
      </c>
      <c r="G19" s="24" t="s">
        <v>106</v>
      </c>
      <c r="H19" s="46"/>
      <c r="I19" s="47">
        <f>F19/F47</f>
        <v>4.6667840402494472E-3</v>
      </c>
      <c r="N19" s="51"/>
    </row>
    <row r="20" spans="1:14" ht="16.5" customHeight="1" x14ac:dyDescent="0.2">
      <c r="A20" s="43" t="s">
        <v>216</v>
      </c>
      <c r="B20" s="44">
        <v>0</v>
      </c>
      <c r="C20" s="45"/>
      <c r="D20" s="44"/>
      <c r="E20" s="44">
        <v>0</v>
      </c>
      <c r="F20" s="45">
        <f t="shared" si="3"/>
        <v>0</v>
      </c>
      <c r="G20" s="24" t="s">
        <v>106</v>
      </c>
      <c r="H20" s="46"/>
      <c r="I20" s="47">
        <f>F20/$F$47</f>
        <v>0</v>
      </c>
    </row>
    <row r="21" spans="1:14" ht="16.5" customHeight="1" x14ac:dyDescent="0.2">
      <c r="A21" s="43" t="s">
        <v>91</v>
      </c>
      <c r="B21" s="44">
        <v>0</v>
      </c>
      <c r="C21" s="45">
        <f>'01-04-2026 '!E308+'02-04-2026 '!E12+'06-04-2026 '!E611+'08-04-2026 '!E179</f>
        <v>137695</v>
      </c>
      <c r="D21" s="44">
        <v>33500</v>
      </c>
      <c r="E21" s="44">
        <v>0</v>
      </c>
      <c r="F21" s="52">
        <f t="shared" si="3"/>
        <v>104195</v>
      </c>
      <c r="G21" s="24" t="s">
        <v>37</v>
      </c>
      <c r="H21" s="46"/>
      <c r="I21" s="47">
        <f>F21/F47</f>
        <v>2.0347123737291454E-3</v>
      </c>
    </row>
    <row r="22" spans="1:14" ht="16.5" customHeight="1" x14ac:dyDescent="0.2">
      <c r="A22" s="43" t="s">
        <v>217</v>
      </c>
      <c r="B22" s="44">
        <v>0</v>
      </c>
      <c r="C22" s="45"/>
      <c r="D22" s="44"/>
      <c r="E22" s="44">
        <v>0</v>
      </c>
      <c r="F22" s="45">
        <f t="shared" si="3"/>
        <v>0</v>
      </c>
      <c r="G22" s="24" t="s">
        <v>106</v>
      </c>
      <c r="H22" s="46"/>
      <c r="I22" s="47">
        <f>F22/F47</f>
        <v>0</v>
      </c>
    </row>
    <row r="23" spans="1:14" ht="16.5" customHeight="1" x14ac:dyDescent="0.2">
      <c r="A23" s="43" t="s">
        <v>119</v>
      </c>
      <c r="B23" s="44">
        <v>1262390</v>
      </c>
      <c r="C23" s="48">
        <f>'02-04-2026 '!E65+'06-04-2026 '!E335+'07-04-2026 '!E178</f>
        <v>364700</v>
      </c>
      <c r="D23" s="44"/>
      <c r="E23" s="44">
        <v>0</v>
      </c>
      <c r="F23" s="45">
        <f t="shared" si="3"/>
        <v>1627090</v>
      </c>
      <c r="G23" s="24" t="s">
        <v>106</v>
      </c>
      <c r="H23" s="46"/>
      <c r="I23" s="47">
        <f>F23/F47</f>
        <v>3.1773695054186431E-2</v>
      </c>
    </row>
    <row r="24" spans="1:14" ht="16.5" customHeight="1" x14ac:dyDescent="0.2">
      <c r="A24" s="43" t="s">
        <v>218</v>
      </c>
      <c r="B24" s="44">
        <v>32451732.800000001</v>
      </c>
      <c r="C24" s="48">
        <f>'01-04-2026 '!F34+'01-04-2026 '!F60+'01-04-2026 '!F81+'01-04-2026 '!F102+'01-04-2026 '!F123+'01-04-2026 '!F155+'01-04-2026 '!F173+'01-04-2026 '!F197+'01-04-2026 '!F220+'01-04-2026 '!F238+'01-04-2026 '!F256+'06-04-2026 '!F13+'06-04-2026 '!F58+'06-04-2026 '!F94+'06-04-2026 '!F137+'06-04-2026 '!F160+'06-04-2026 '!F202+'06-04-2026 '!F242+'06-04-2026 '!F277+'06-04-2026 '!F313+'07-04-2026 '!F45+'07-04-2026 '!F89+'07-04-2026 '!F127+'07-04-2026 '!F144+'07-04-2026 '!F169+'08-04-2026 '!F36+'08-04-2026 '!F61+'08-04-2026 '!F98+'08-04-2026 '!F113+'08-04-2026 '!F144+'09-04-2026 '!F49</f>
        <v>9320536.7750000004</v>
      </c>
      <c r="D24" s="44">
        <f>4275563+19521772.29</f>
        <v>23797335.289999999</v>
      </c>
      <c r="E24" s="44">
        <v>0</v>
      </c>
      <c r="F24" s="45">
        <f t="shared" si="3"/>
        <v>17974934.285000004</v>
      </c>
      <c r="G24" s="24"/>
      <c r="H24" s="46"/>
      <c r="I24" s="47">
        <f t="shared" ref="I24:I45" si="4">F24/$F$47</f>
        <v>0.35101320799134084</v>
      </c>
    </row>
    <row r="25" spans="1:14" ht="16.5" customHeight="1" x14ac:dyDescent="0.2">
      <c r="A25" s="43" t="s">
        <v>219</v>
      </c>
      <c r="B25" s="44">
        <v>0</v>
      </c>
      <c r="C25" s="45"/>
      <c r="D25" s="44"/>
      <c r="E25" s="44">
        <v>0</v>
      </c>
      <c r="F25" s="45">
        <f t="shared" si="3"/>
        <v>0</v>
      </c>
      <c r="G25" s="24" t="s">
        <v>106</v>
      </c>
      <c r="H25" s="46"/>
      <c r="I25" s="47">
        <f t="shared" si="4"/>
        <v>0</v>
      </c>
    </row>
    <row r="26" spans="1:14" ht="16.5" customHeight="1" x14ac:dyDescent="0.2">
      <c r="A26" s="43" t="s">
        <v>220</v>
      </c>
      <c r="B26" s="44">
        <v>0</v>
      </c>
      <c r="C26" s="45"/>
      <c r="D26" s="44"/>
      <c r="E26" s="44">
        <v>0</v>
      </c>
      <c r="F26" s="45">
        <f t="shared" si="3"/>
        <v>0</v>
      </c>
      <c r="G26" s="24" t="s">
        <v>106</v>
      </c>
      <c r="H26" s="46"/>
      <c r="I26" s="47">
        <f t="shared" si="4"/>
        <v>0</v>
      </c>
    </row>
    <row r="27" spans="1:14" ht="16.5" customHeight="1" x14ac:dyDescent="0.2">
      <c r="A27" s="43" t="s">
        <v>221</v>
      </c>
      <c r="B27" s="44">
        <v>0</v>
      </c>
      <c r="C27" s="45"/>
      <c r="D27" s="44"/>
      <c r="E27" s="44"/>
      <c r="F27" s="45">
        <f t="shared" si="3"/>
        <v>0</v>
      </c>
      <c r="G27" s="24" t="s">
        <v>106</v>
      </c>
      <c r="H27" s="46"/>
      <c r="I27" s="47">
        <f t="shared" si="4"/>
        <v>0</v>
      </c>
    </row>
    <row r="28" spans="1:14" ht="16.5" customHeight="1" x14ac:dyDescent="0.2">
      <c r="A28" s="43" t="s">
        <v>222</v>
      </c>
      <c r="B28" s="44">
        <v>2213080</v>
      </c>
      <c r="C28" s="45">
        <f>'02-04-2026 '!E93+'07-04-2026 '!E198</f>
        <v>368360</v>
      </c>
      <c r="D28" s="44"/>
      <c r="E28" s="44">
        <v>0</v>
      </c>
      <c r="F28" s="45">
        <f t="shared" si="3"/>
        <v>2581440</v>
      </c>
      <c r="G28" s="24"/>
      <c r="H28" s="46"/>
      <c r="I28" s="47">
        <f t="shared" si="4"/>
        <v>5.0410172369493404E-2</v>
      </c>
    </row>
    <row r="29" spans="1:14" ht="16.5" customHeight="1" x14ac:dyDescent="0.2">
      <c r="A29" s="43" t="s">
        <v>174</v>
      </c>
      <c r="B29" s="44">
        <v>2036600</v>
      </c>
      <c r="C29" s="45">
        <f>'06-04-2026 '!E623+'07-04-2026 '!E225+'09-04-2026 '!E65</f>
        <v>798000</v>
      </c>
      <c r="D29" s="44">
        <v>2459600</v>
      </c>
      <c r="E29" s="44"/>
      <c r="F29" s="45">
        <f t="shared" si="3"/>
        <v>375000</v>
      </c>
      <c r="G29" s="24" t="s">
        <v>106</v>
      </c>
      <c r="H29" s="46"/>
      <c r="I29" s="47">
        <f t="shared" si="4"/>
        <v>7.3229726968513801E-3</v>
      </c>
    </row>
    <row r="30" spans="1:14" ht="16.5" customHeight="1" x14ac:dyDescent="0.2">
      <c r="A30" s="43" t="s">
        <v>128</v>
      </c>
      <c r="B30" s="44">
        <v>2389809.1</v>
      </c>
      <c r="C30" s="45">
        <f>'02-04-2026 '!F105+'09-04-2026 '!F20</f>
        <v>799330</v>
      </c>
      <c r="D30" s="44">
        <v>2000000</v>
      </c>
      <c r="E30" s="44">
        <v>0</v>
      </c>
      <c r="F30" s="45">
        <f t="shared" si="3"/>
        <v>1189139.1000000001</v>
      </c>
      <c r="G30" s="24"/>
      <c r="H30" s="46"/>
      <c r="I30" s="47">
        <f t="shared" si="4"/>
        <v>2.3221421765489129E-2</v>
      </c>
    </row>
    <row r="31" spans="1:14" ht="16.5" customHeight="1" x14ac:dyDescent="0.2">
      <c r="A31" s="43" t="s">
        <v>223</v>
      </c>
      <c r="B31" s="44">
        <v>340190.13</v>
      </c>
      <c r="C31" s="45">
        <f>'02-04-2026 '!E131+'06-04-2026 '!E448</f>
        <v>234130</v>
      </c>
      <c r="D31" s="44">
        <v>250140</v>
      </c>
      <c r="E31" s="44">
        <v>0</v>
      </c>
      <c r="F31" s="45">
        <f t="shared" si="3"/>
        <v>324180.13</v>
      </c>
      <c r="G31" s="24"/>
      <c r="H31" s="46"/>
      <c r="I31" s="47">
        <f t="shared" si="4"/>
        <v>6.330565975604616E-3</v>
      </c>
    </row>
    <row r="32" spans="1:14" ht="16.5" customHeight="1" x14ac:dyDescent="0.2">
      <c r="A32" s="43" t="s">
        <v>224</v>
      </c>
      <c r="B32" s="44">
        <v>82000</v>
      </c>
      <c r="C32" s="45"/>
      <c r="D32" s="44"/>
      <c r="E32" s="44">
        <v>0</v>
      </c>
      <c r="F32" s="45">
        <f t="shared" si="3"/>
        <v>82000</v>
      </c>
      <c r="G32" s="24"/>
      <c r="H32" s="46"/>
      <c r="I32" s="47">
        <f t="shared" si="4"/>
        <v>1.6012900297115017E-3</v>
      </c>
    </row>
    <row r="33" spans="1:26" ht="16.5" customHeight="1" x14ac:dyDescent="0.2">
      <c r="A33" s="43" t="s">
        <v>225</v>
      </c>
      <c r="B33" s="79">
        <v>2265890.7799999998</v>
      </c>
      <c r="C33" s="79">
        <f>'06-04-2026 '!F525+'06-04-2026 '!F555</f>
        <v>897401.5</v>
      </c>
      <c r="D33" s="79">
        <v>3163292.28</v>
      </c>
      <c r="E33" s="79">
        <v>0</v>
      </c>
      <c r="F33" s="79">
        <f t="shared" si="3"/>
        <v>0</v>
      </c>
      <c r="G33" s="24" t="s">
        <v>106</v>
      </c>
      <c r="H33" s="46"/>
      <c r="I33" s="47">
        <f t="shared" si="4"/>
        <v>0</v>
      </c>
    </row>
    <row r="34" spans="1:26" ht="16.5" customHeight="1" x14ac:dyDescent="0.2">
      <c r="A34" s="43" t="s">
        <v>226</v>
      </c>
      <c r="B34" s="80"/>
      <c r="C34" s="80"/>
      <c r="D34" s="80"/>
      <c r="E34" s="80"/>
      <c r="F34" s="80"/>
      <c r="G34" s="24" t="s">
        <v>106</v>
      </c>
      <c r="H34" s="46"/>
      <c r="I34" s="47">
        <f t="shared" si="4"/>
        <v>0</v>
      </c>
    </row>
    <row r="35" spans="1:26" ht="16.5" customHeight="1" x14ac:dyDescent="0.2">
      <c r="A35" s="43" t="s">
        <v>227</v>
      </c>
      <c r="B35" s="44">
        <v>0</v>
      </c>
      <c r="C35" s="45"/>
      <c r="D35" s="44"/>
      <c r="E35" s="44">
        <v>0</v>
      </c>
      <c r="F35" s="45">
        <f t="shared" ref="F35:F45" si="5">B35+C35-D35</f>
        <v>0</v>
      </c>
      <c r="G35" s="24" t="s">
        <v>106</v>
      </c>
      <c r="H35" s="46"/>
      <c r="I35" s="47">
        <f t="shared" si="4"/>
        <v>0</v>
      </c>
    </row>
    <row r="36" spans="1:26" ht="16.5" customHeight="1" x14ac:dyDescent="0.2">
      <c r="A36" s="43" t="s">
        <v>228</v>
      </c>
      <c r="B36" s="44">
        <v>0</v>
      </c>
      <c r="C36" s="45"/>
      <c r="D36" s="44"/>
      <c r="E36" s="44">
        <v>0</v>
      </c>
      <c r="F36" s="45">
        <f t="shared" si="5"/>
        <v>0</v>
      </c>
      <c r="G36" s="24" t="s">
        <v>106</v>
      </c>
      <c r="H36" s="46"/>
      <c r="I36" s="47">
        <f t="shared" si="4"/>
        <v>0</v>
      </c>
    </row>
    <row r="37" spans="1:26" ht="16.5" customHeight="1" x14ac:dyDescent="0.2">
      <c r="A37" s="43" t="s">
        <v>229</v>
      </c>
      <c r="B37" s="44">
        <v>0</v>
      </c>
      <c r="C37" s="54"/>
      <c r="D37" s="44"/>
      <c r="E37" s="44">
        <v>0</v>
      </c>
      <c r="F37" s="45">
        <f t="shared" si="5"/>
        <v>0</v>
      </c>
      <c r="G37" s="24" t="s">
        <v>106</v>
      </c>
      <c r="H37" s="46"/>
      <c r="I37" s="47">
        <f t="shared" si="4"/>
        <v>0</v>
      </c>
    </row>
    <row r="38" spans="1:26" ht="16.5" customHeight="1" x14ac:dyDescent="0.2">
      <c r="A38" s="43" t="s">
        <v>230</v>
      </c>
      <c r="B38" s="44">
        <v>137800</v>
      </c>
      <c r="C38" s="45">
        <f>'01-04-2026 '!E320</f>
        <v>60000</v>
      </c>
      <c r="D38" s="44">
        <f>60000+99800+38000</f>
        <v>197800</v>
      </c>
      <c r="E38" s="44">
        <v>0</v>
      </c>
      <c r="F38" s="45">
        <f t="shared" si="5"/>
        <v>0</v>
      </c>
      <c r="G38" s="24"/>
      <c r="H38" s="46"/>
      <c r="I38" s="47">
        <f t="shared" si="4"/>
        <v>0</v>
      </c>
    </row>
    <row r="39" spans="1:26" ht="16.5" customHeight="1" x14ac:dyDescent="0.2">
      <c r="A39" s="43" t="s">
        <v>231</v>
      </c>
      <c r="B39" s="44">
        <v>235600</v>
      </c>
      <c r="C39" s="45">
        <f>'06-04-2026 '!E468</f>
        <v>165560</v>
      </c>
      <c r="D39" s="44">
        <v>401160</v>
      </c>
      <c r="E39" s="44">
        <v>0</v>
      </c>
      <c r="F39" s="45">
        <f t="shared" si="5"/>
        <v>0</v>
      </c>
      <c r="G39" s="24"/>
      <c r="H39" s="46"/>
      <c r="I39" s="47">
        <f t="shared" si="4"/>
        <v>0</v>
      </c>
    </row>
    <row r="40" spans="1:26" ht="16.5" customHeight="1" x14ac:dyDescent="0.2">
      <c r="A40" s="43" t="s">
        <v>121</v>
      </c>
      <c r="B40" s="44">
        <v>175900</v>
      </c>
      <c r="C40" s="45">
        <f>'02-04-2026 '!E78+'06-04-2026 '!E359</f>
        <v>107200</v>
      </c>
      <c r="D40" s="44"/>
      <c r="E40" s="44">
        <v>0</v>
      </c>
      <c r="F40" s="45">
        <f t="shared" si="5"/>
        <v>283100</v>
      </c>
      <c r="G40" s="24" t="s">
        <v>106</v>
      </c>
      <c r="H40" s="46"/>
      <c r="I40" s="47">
        <f t="shared" si="4"/>
        <v>5.5283561879430022E-3</v>
      </c>
    </row>
    <row r="41" spans="1:26" ht="16.5" customHeight="1" x14ac:dyDescent="0.2">
      <c r="A41" s="43" t="s">
        <v>184</v>
      </c>
      <c r="B41" s="44">
        <v>91300</v>
      </c>
      <c r="C41" s="45">
        <f>'07-04-2026 '!E207</f>
        <v>14000</v>
      </c>
      <c r="D41" s="44"/>
      <c r="E41" s="44">
        <v>0</v>
      </c>
      <c r="F41" s="45">
        <f t="shared" si="5"/>
        <v>105300</v>
      </c>
      <c r="G41" s="24" t="s">
        <v>106</v>
      </c>
      <c r="H41" s="46"/>
      <c r="I41" s="47">
        <f t="shared" si="4"/>
        <v>2.0562907332758677E-3</v>
      </c>
    </row>
    <row r="42" spans="1:26" ht="16.5" customHeight="1" x14ac:dyDescent="0.2">
      <c r="A42" s="43" t="s">
        <v>232</v>
      </c>
      <c r="B42" s="44">
        <v>0</v>
      </c>
      <c r="C42" s="45"/>
      <c r="D42" s="44"/>
      <c r="E42" s="44">
        <v>0</v>
      </c>
      <c r="F42" s="45">
        <f t="shared" si="5"/>
        <v>0</v>
      </c>
      <c r="G42" s="24" t="s">
        <v>106</v>
      </c>
      <c r="H42" s="46"/>
      <c r="I42" s="47">
        <f t="shared" si="4"/>
        <v>0</v>
      </c>
    </row>
    <row r="43" spans="1:26" ht="16.5" customHeight="1" x14ac:dyDescent="0.2">
      <c r="A43" s="43" t="s">
        <v>96</v>
      </c>
      <c r="B43" s="44">
        <v>0</v>
      </c>
      <c r="C43" s="45">
        <f>'01-04-2026 '!E340+'06-04-2026 '!E639+'08-04-2026 '!E166</f>
        <v>638000</v>
      </c>
      <c r="D43" s="44">
        <v>182000</v>
      </c>
      <c r="E43" s="44">
        <v>0</v>
      </c>
      <c r="F43" s="45">
        <f t="shared" si="5"/>
        <v>456000</v>
      </c>
      <c r="G43" s="24" t="s">
        <v>106</v>
      </c>
      <c r="H43" s="46"/>
      <c r="I43" s="47">
        <f t="shared" si="4"/>
        <v>8.9047347993712785E-3</v>
      </c>
    </row>
    <row r="44" spans="1:26" ht="16.5" customHeight="1" x14ac:dyDescent="0.2">
      <c r="A44" s="43" t="s">
        <v>233</v>
      </c>
      <c r="B44" s="45">
        <v>82250</v>
      </c>
      <c r="C44" s="55"/>
      <c r="D44" s="45">
        <v>82250</v>
      </c>
      <c r="E44" s="45">
        <v>0</v>
      </c>
      <c r="F44" s="55">
        <f t="shared" si="5"/>
        <v>0</v>
      </c>
      <c r="G44" s="24" t="s">
        <v>106</v>
      </c>
      <c r="H44" s="56"/>
      <c r="I44" s="47">
        <f t="shared" si="4"/>
        <v>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 x14ac:dyDescent="0.2">
      <c r="A45" s="43" t="s">
        <v>140</v>
      </c>
      <c r="B45" s="44">
        <v>127738</v>
      </c>
      <c r="C45" s="45">
        <f>'02-04-2026 '!F142+'07-04-2026 '!F253</f>
        <v>190944</v>
      </c>
      <c r="D45" s="44">
        <f>318682</f>
        <v>318682</v>
      </c>
      <c r="E45" s="44">
        <v>0</v>
      </c>
      <c r="F45" s="45">
        <f t="shared" si="5"/>
        <v>0</v>
      </c>
      <c r="G45" s="24" t="s">
        <v>106</v>
      </c>
      <c r="H45" s="46"/>
      <c r="I45" s="47">
        <f t="shared" si="4"/>
        <v>0</v>
      </c>
    </row>
    <row r="46" spans="1:26" ht="18" customHeight="1" x14ac:dyDescent="0.2">
      <c r="C46" s="49"/>
      <c r="D46" s="49"/>
      <c r="E46" s="49"/>
      <c r="F46" s="49"/>
    </row>
    <row r="47" spans="1:26" ht="15.75" customHeight="1" x14ac:dyDescent="0.2">
      <c r="B47" s="49">
        <f t="shared" ref="B47:D47" si="6">SUM(B3:B45)</f>
        <v>69851670.570000008</v>
      </c>
      <c r="C47" s="49">
        <f t="shared" si="6"/>
        <v>18953491.524999999</v>
      </c>
      <c r="D47" s="49">
        <f t="shared" si="6"/>
        <v>37394552.82</v>
      </c>
      <c r="E47" s="49"/>
      <c r="F47" s="57">
        <f>SUM(F3:F46)</f>
        <v>51208712.025000006</v>
      </c>
      <c r="H47" s="49"/>
      <c r="I47" s="58">
        <f>SUM(I3:I45)</f>
        <v>1</v>
      </c>
    </row>
    <row r="48" spans="1:26" ht="15" customHeight="1" x14ac:dyDescent="0.2">
      <c r="C48" s="59"/>
      <c r="G48" s="60"/>
    </row>
    <row r="49" spans="1:7" ht="15.75" customHeight="1" x14ac:dyDescent="0.2">
      <c r="B49" s="11" t="s">
        <v>234</v>
      </c>
      <c r="C49" s="49">
        <f>'01-04-2026 '!B344+'02-04-2026 '!B146+'06-04-2026 '!B665+'07-04-2026 '!B266+'08-04-2026 '!B212+'09-04-2026 '!B73</f>
        <v>18953491.525000002</v>
      </c>
      <c r="D49" s="49"/>
      <c r="E49" s="49"/>
      <c r="F49" s="49"/>
    </row>
    <row r="50" spans="1:7" ht="15.75" customHeight="1" x14ac:dyDescent="0.2">
      <c r="C50" s="49"/>
      <c r="F50" s="60"/>
    </row>
    <row r="51" spans="1:7" ht="15.75" customHeight="1" x14ac:dyDescent="0.2">
      <c r="B51" s="11" t="s">
        <v>235</v>
      </c>
      <c r="C51" s="49">
        <f>'01-04-2026 '!B346+'02-04-2026 '!B148+'06-04-2026 '!B667+'07-04-2026 '!B268+'08-04-2026 '!B214+'09-04-2026 '!B75</f>
        <v>6600429.8976823818</v>
      </c>
      <c r="D51" s="61">
        <f>C51/C49</f>
        <v>0.34824348268372052</v>
      </c>
      <c r="E51" s="61"/>
      <c r="F51" s="49"/>
      <c r="G51" s="11"/>
    </row>
    <row r="52" spans="1:7" ht="15.75" customHeight="1" x14ac:dyDescent="0.2">
      <c r="C52" s="49"/>
      <c r="G52" s="49"/>
    </row>
    <row r="53" spans="1:7" ht="15.75" customHeight="1" x14ac:dyDescent="0.2">
      <c r="D53" s="62" t="s">
        <v>236</v>
      </c>
      <c r="F53" s="23" t="s">
        <v>37</v>
      </c>
    </row>
    <row r="54" spans="1:7" ht="15.75" customHeight="1" x14ac:dyDescent="0.2">
      <c r="A54" s="11" t="s">
        <v>237</v>
      </c>
      <c r="B54" s="49">
        <f>'01-04-2026 '!B344+'02-04-2026 '!B146</f>
        <v>3527262.2499999995</v>
      </c>
      <c r="D54" s="63">
        <v>0</v>
      </c>
      <c r="E54" s="64"/>
      <c r="F54" s="49"/>
    </row>
    <row r="55" spans="1:7" ht="15.75" customHeight="1" x14ac:dyDescent="0.2">
      <c r="A55" s="11" t="s">
        <v>238</v>
      </c>
      <c r="B55" s="49">
        <f>'06-04-2026 '!B665+'07-04-2026 '!B266+'08-04-2026 '!B212</f>
        <v>13603649.275000002</v>
      </c>
      <c r="D55" s="65">
        <v>0</v>
      </c>
    </row>
    <row r="56" spans="1:7" ht="15.75" customHeight="1" x14ac:dyDescent="0.2">
      <c r="A56" s="11" t="s">
        <v>239</v>
      </c>
      <c r="B56" s="49"/>
      <c r="C56" s="23"/>
      <c r="D56" s="65">
        <v>0</v>
      </c>
      <c r="E56" s="49"/>
    </row>
    <row r="57" spans="1:7" ht="15.75" customHeight="1" x14ac:dyDescent="0.2">
      <c r="A57" s="11" t="s">
        <v>240</v>
      </c>
      <c r="B57" s="49"/>
      <c r="C57" s="59"/>
      <c r="D57" s="65">
        <v>0</v>
      </c>
      <c r="E57" s="49"/>
    </row>
    <row r="58" spans="1:7" ht="15.75" customHeight="1" x14ac:dyDescent="0.2">
      <c r="A58" s="11" t="s">
        <v>241</v>
      </c>
      <c r="B58" s="49"/>
      <c r="C58" s="59"/>
      <c r="D58" s="66">
        <v>0</v>
      </c>
      <c r="E58" s="49"/>
    </row>
    <row r="59" spans="1:7" ht="15.75" customHeight="1" x14ac:dyDescent="0.2">
      <c r="B59" s="49"/>
      <c r="C59" s="30" t="s">
        <v>242</v>
      </c>
      <c r="D59" s="65">
        <f>SUM(D54:D57)</f>
        <v>0</v>
      </c>
      <c r="E59" s="49"/>
    </row>
    <row r="60" spans="1:7" ht="15.75" customHeight="1" x14ac:dyDescent="0.2">
      <c r="A60" s="30" t="s">
        <v>243</v>
      </c>
      <c r="B60" s="49">
        <f>SUM(B54:B59)</f>
        <v>17130911.525000002</v>
      </c>
    </row>
    <row r="61" spans="1:7" ht="15.75" customHeight="1" x14ac:dyDescent="0.2">
      <c r="B61" s="49"/>
      <c r="C61" s="60"/>
      <c r="D61" s="60"/>
    </row>
    <row r="62" spans="1:7" ht="15.75" customHeight="1" x14ac:dyDescent="0.2"/>
    <row r="63" spans="1:7" ht="15.75" customHeight="1" x14ac:dyDescent="0.2">
      <c r="A63" s="30" t="s">
        <v>244</v>
      </c>
      <c r="B63" s="49">
        <f>B60/6</f>
        <v>2855151.9208333339</v>
      </c>
    </row>
    <row r="64" spans="1:7" ht="15.75" customHeight="1" x14ac:dyDescent="0.2">
      <c r="A64" s="30" t="s">
        <v>245</v>
      </c>
      <c r="B64" s="49">
        <f>C51/6</f>
        <v>1100071.6496137304</v>
      </c>
      <c r="C64" s="24"/>
    </row>
    <row r="65" spans="4:4" ht="15.75" customHeight="1" x14ac:dyDescent="0.2"/>
    <row r="66" spans="4:4" ht="15.75" customHeight="1" x14ac:dyDescent="0.2"/>
    <row r="67" spans="4:4" ht="15.75" customHeight="1" x14ac:dyDescent="0.2"/>
    <row r="68" spans="4:4" ht="15.75" customHeight="1" x14ac:dyDescent="0.2">
      <c r="D68" s="23"/>
    </row>
    <row r="69" spans="4:4" ht="15.75" customHeight="1" x14ac:dyDescent="0.2"/>
    <row r="70" spans="4:4" ht="15.75" customHeight="1" x14ac:dyDescent="0.2"/>
    <row r="71" spans="4:4" ht="15.75" customHeight="1" x14ac:dyDescent="0.2"/>
    <row r="72" spans="4:4" ht="15.75" customHeight="1" x14ac:dyDescent="0.2"/>
    <row r="73" spans="4:4" ht="15.75" customHeight="1" x14ac:dyDescent="0.2"/>
    <row r="74" spans="4:4" ht="15.75" customHeight="1" x14ac:dyDescent="0.2"/>
    <row r="75" spans="4:4" ht="15.75" customHeight="1" x14ac:dyDescent="0.2"/>
    <row r="76" spans="4:4" ht="15.75" customHeight="1" x14ac:dyDescent="0.2"/>
    <row r="77" spans="4:4" ht="15.75" customHeight="1" x14ac:dyDescent="0.2"/>
    <row r="78" spans="4:4" ht="15.75" customHeight="1" x14ac:dyDescent="0.2"/>
    <row r="79" spans="4:4" ht="15.75" customHeight="1" x14ac:dyDescent="0.2"/>
    <row r="80" spans="4:4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</sheetData>
  <mergeCells count="5">
    <mergeCell ref="B33:B34"/>
    <mergeCell ref="C33:C34"/>
    <mergeCell ref="D33:D34"/>
    <mergeCell ref="E33:E34"/>
    <mergeCell ref="F33:F3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Z1025"/>
  <sheetViews>
    <sheetView topLeftCell="A27"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246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 t="s">
        <v>247</v>
      </c>
      <c r="C3" s="45"/>
      <c r="D3" s="45"/>
      <c r="F3" s="45" t="s">
        <v>247</v>
      </c>
      <c r="G3" s="24"/>
      <c r="H3" s="46"/>
      <c r="I3" s="47">
        <v>0</v>
      </c>
    </row>
    <row r="4" spans="1:12" ht="15.75" customHeight="1" x14ac:dyDescent="0.2">
      <c r="A4" s="43" t="s">
        <v>205</v>
      </c>
      <c r="B4" s="44">
        <v>799908.65</v>
      </c>
      <c r="C4" s="48">
        <v>1866460</v>
      </c>
      <c r="D4" s="45">
        <v>2000000</v>
      </c>
      <c r="E4" s="45" t="s">
        <v>247</v>
      </c>
      <c r="F4" s="45">
        <v>666368.65</v>
      </c>
      <c r="G4" s="24" t="s">
        <v>106</v>
      </c>
      <c r="H4" s="46"/>
      <c r="I4" s="47">
        <v>9.4999999999999998E-3</v>
      </c>
    </row>
    <row r="5" spans="1:12" ht="15.75" customHeight="1" x14ac:dyDescent="0.2">
      <c r="A5" s="43" t="s">
        <v>171</v>
      </c>
      <c r="B5" s="44">
        <v>131259.10999999999</v>
      </c>
      <c r="C5" s="45">
        <v>103812.13</v>
      </c>
      <c r="D5" s="44">
        <v>127319.06</v>
      </c>
      <c r="E5" s="45" t="s">
        <v>247</v>
      </c>
      <c r="F5" s="45">
        <v>107752.17</v>
      </c>
      <c r="G5" s="24" t="s">
        <v>106</v>
      </c>
      <c r="H5" s="46"/>
      <c r="I5" s="47">
        <v>1.5E-3</v>
      </c>
      <c r="J5" s="49"/>
    </row>
    <row r="6" spans="1:12" ht="15.75" customHeight="1" x14ac:dyDescent="0.2">
      <c r="A6" s="43" t="s">
        <v>108</v>
      </c>
      <c r="B6" s="44">
        <v>2148899.9900000002</v>
      </c>
      <c r="C6" s="45">
        <v>1842400</v>
      </c>
      <c r="D6" s="45">
        <v>3032655.54</v>
      </c>
      <c r="E6" s="45">
        <v>43185.16</v>
      </c>
      <c r="F6" s="45">
        <v>915459.29</v>
      </c>
      <c r="G6" s="24" t="s">
        <v>106</v>
      </c>
      <c r="H6" s="46"/>
      <c r="I6" s="47">
        <v>1.3100000000000001E-2</v>
      </c>
    </row>
    <row r="7" spans="1:12" ht="15.75" customHeight="1" x14ac:dyDescent="0.2">
      <c r="A7" s="43" t="s">
        <v>206</v>
      </c>
      <c r="B7" s="44" t="s">
        <v>247</v>
      </c>
      <c r="C7" s="45"/>
      <c r="D7" s="45"/>
      <c r="E7" s="45" t="s">
        <v>247</v>
      </c>
      <c r="F7" s="45" t="s">
        <v>247</v>
      </c>
      <c r="G7" s="24" t="s">
        <v>106</v>
      </c>
      <c r="H7" s="46"/>
      <c r="I7" s="47">
        <v>0</v>
      </c>
    </row>
    <row r="8" spans="1:12" ht="15.75" customHeight="1" x14ac:dyDescent="0.2">
      <c r="A8" s="43" t="s">
        <v>207</v>
      </c>
      <c r="B8" s="44">
        <v>401620</v>
      </c>
      <c r="C8" s="45">
        <v>773000</v>
      </c>
      <c r="D8" s="45">
        <v>850000</v>
      </c>
      <c r="E8" s="45" t="s">
        <v>247</v>
      </c>
      <c r="F8" s="45">
        <v>324620</v>
      </c>
      <c r="G8" s="24" t="s">
        <v>106</v>
      </c>
      <c r="H8" s="46"/>
      <c r="I8" s="47">
        <v>4.5999999999999999E-3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 t="s">
        <v>247</v>
      </c>
      <c r="F9" s="45">
        <v>73950</v>
      </c>
      <c r="G9" s="24" t="s">
        <v>106</v>
      </c>
      <c r="H9" s="46"/>
      <c r="I9" s="47">
        <v>1.1000000000000001E-3</v>
      </c>
    </row>
    <row r="10" spans="1:12" ht="15.75" customHeight="1" x14ac:dyDescent="0.2">
      <c r="A10" s="43" t="s">
        <v>209</v>
      </c>
      <c r="B10" s="44" t="s">
        <v>247</v>
      </c>
      <c r="C10" s="45"/>
      <c r="D10" s="45"/>
      <c r="E10" s="45" t="s">
        <v>247</v>
      </c>
      <c r="F10" s="45" t="s">
        <v>247</v>
      </c>
      <c r="G10" s="24" t="s">
        <v>106</v>
      </c>
      <c r="H10" s="46"/>
      <c r="I10" s="47">
        <v>0</v>
      </c>
    </row>
    <row r="11" spans="1:12" ht="15.75" customHeight="1" x14ac:dyDescent="0.2">
      <c r="A11" s="43" t="s">
        <v>210</v>
      </c>
      <c r="B11" s="44" t="s">
        <v>247</v>
      </c>
      <c r="C11" s="45"/>
      <c r="D11" s="50"/>
      <c r="E11" s="45" t="s">
        <v>247</v>
      </c>
      <c r="F11" s="45" t="s">
        <v>247</v>
      </c>
      <c r="G11" s="24" t="s">
        <v>106</v>
      </c>
      <c r="H11" s="46"/>
      <c r="I11" s="47">
        <v>0</v>
      </c>
      <c r="L11" s="5"/>
    </row>
    <row r="12" spans="1:12" ht="15.75" customHeight="1" x14ac:dyDescent="0.2">
      <c r="A12" s="43" t="s">
        <v>211</v>
      </c>
      <c r="B12" s="44" t="s">
        <v>247</v>
      </c>
      <c r="C12" s="45"/>
      <c r="D12" s="50"/>
      <c r="E12" s="45" t="s">
        <v>247</v>
      </c>
      <c r="F12" s="45" t="s">
        <v>247</v>
      </c>
      <c r="G12" s="24" t="s">
        <v>106</v>
      </c>
      <c r="H12" s="46"/>
      <c r="I12" s="47">
        <v>0</v>
      </c>
    </row>
    <row r="13" spans="1:12" ht="15.75" customHeight="1" x14ac:dyDescent="0.2">
      <c r="A13" s="43" t="s">
        <v>212</v>
      </c>
      <c r="B13" s="44" t="s">
        <v>247</v>
      </c>
      <c r="C13" s="45"/>
      <c r="D13" s="50"/>
      <c r="E13" s="45" t="s">
        <v>247</v>
      </c>
      <c r="F13" s="45" t="s">
        <v>247</v>
      </c>
      <c r="G13" s="24" t="s">
        <v>106</v>
      </c>
      <c r="H13" s="46"/>
      <c r="I13" s="47">
        <v>0</v>
      </c>
      <c r="J13" s="5"/>
    </row>
    <row r="14" spans="1:12" ht="15.75" customHeight="1" x14ac:dyDescent="0.2">
      <c r="A14" s="43" t="s">
        <v>149</v>
      </c>
      <c r="B14" s="44">
        <v>1649890</v>
      </c>
      <c r="C14" s="45">
        <v>1926400</v>
      </c>
      <c r="D14" s="45">
        <v>1561100</v>
      </c>
      <c r="E14" s="45" t="s">
        <v>247</v>
      </c>
      <c r="F14" s="45">
        <v>2015190</v>
      </c>
      <c r="G14" s="24"/>
      <c r="H14" s="46"/>
      <c r="I14" s="47">
        <v>2.8799999999999999E-2</v>
      </c>
    </row>
    <row r="15" spans="1:12" ht="15.75" customHeight="1" x14ac:dyDescent="0.2">
      <c r="A15" s="43" t="s">
        <v>116</v>
      </c>
      <c r="B15" s="44">
        <v>3722860</v>
      </c>
      <c r="C15" s="45">
        <v>2225545</v>
      </c>
      <c r="D15" s="45">
        <v>1754625</v>
      </c>
      <c r="E15" s="45" t="s">
        <v>247</v>
      </c>
      <c r="F15" s="45">
        <v>4193780</v>
      </c>
      <c r="G15" s="24" t="s">
        <v>106</v>
      </c>
      <c r="H15" s="46"/>
      <c r="I15" s="47">
        <v>0.06</v>
      </c>
    </row>
    <row r="16" spans="1:12" ht="15.75" customHeight="1" x14ac:dyDescent="0.2">
      <c r="A16" s="43" t="s">
        <v>213</v>
      </c>
      <c r="B16" s="45">
        <v>22284555.699999999</v>
      </c>
      <c r="C16" s="45">
        <v>12476249.9</v>
      </c>
      <c r="D16" s="45">
        <v>16060915.84</v>
      </c>
      <c r="E16" s="45">
        <v>1454170.11</v>
      </c>
      <c r="F16" s="45">
        <v>17245719.649999999</v>
      </c>
      <c r="G16" s="24" t="s">
        <v>106</v>
      </c>
      <c r="H16" s="46"/>
      <c r="I16" s="47">
        <v>0.2467</v>
      </c>
      <c r="J16" s="5"/>
    </row>
    <row r="17" spans="1:14" ht="15.75" customHeight="1" x14ac:dyDescent="0.2">
      <c r="A17" s="43" t="s">
        <v>214</v>
      </c>
      <c r="B17" s="44" t="s">
        <v>247</v>
      </c>
      <c r="C17" s="45">
        <v>260800</v>
      </c>
      <c r="D17" s="45">
        <v>260800</v>
      </c>
      <c r="E17" s="45" t="s">
        <v>247</v>
      </c>
      <c r="F17" s="45" t="s">
        <v>247</v>
      </c>
      <c r="G17" s="24" t="s">
        <v>106</v>
      </c>
      <c r="H17" s="46"/>
      <c r="I17" s="47">
        <v>0</v>
      </c>
    </row>
    <row r="18" spans="1:14" ht="15.75" customHeight="1" x14ac:dyDescent="0.2">
      <c r="A18" s="43" t="s">
        <v>215</v>
      </c>
      <c r="B18" s="44" t="s">
        <v>247</v>
      </c>
      <c r="C18" s="45"/>
      <c r="D18" s="45"/>
      <c r="E18" s="45" t="s">
        <v>247</v>
      </c>
      <c r="F18" s="45" t="s">
        <v>247</v>
      </c>
      <c r="G18" s="24" t="s">
        <v>106</v>
      </c>
      <c r="H18" s="46"/>
      <c r="I18" s="47">
        <v>0</v>
      </c>
      <c r="J18" s="5"/>
    </row>
    <row r="19" spans="1:14" ht="16.5" customHeight="1" x14ac:dyDescent="0.2">
      <c r="A19" s="43" t="s">
        <v>75</v>
      </c>
      <c r="B19" s="44">
        <v>302390</v>
      </c>
      <c r="C19" s="45">
        <v>943680</v>
      </c>
      <c r="D19" s="44">
        <v>763220</v>
      </c>
      <c r="E19" s="44" t="s">
        <v>247</v>
      </c>
      <c r="F19" s="45">
        <v>482850</v>
      </c>
      <c r="G19" s="24" t="s">
        <v>106</v>
      </c>
      <c r="H19" s="46"/>
      <c r="I19" s="47">
        <v>6.8999999999999999E-3</v>
      </c>
      <c r="N19" s="51"/>
    </row>
    <row r="20" spans="1:14" ht="16.5" customHeight="1" x14ac:dyDescent="0.2">
      <c r="A20" s="43" t="s">
        <v>216</v>
      </c>
      <c r="B20" s="44" t="s">
        <v>247</v>
      </c>
      <c r="C20" s="45"/>
      <c r="D20" s="44"/>
      <c r="E20" s="44" t="s">
        <v>247</v>
      </c>
      <c r="F20" s="45" t="s">
        <v>247</v>
      </c>
      <c r="G20" s="24" t="s">
        <v>106</v>
      </c>
      <c r="H20" s="46"/>
      <c r="I20" s="47">
        <v>0</v>
      </c>
    </row>
    <row r="21" spans="1:14" ht="16.5" customHeight="1" x14ac:dyDescent="0.2">
      <c r="A21" s="43" t="s">
        <v>91</v>
      </c>
      <c r="B21" s="44">
        <v>546775</v>
      </c>
      <c r="C21" s="45">
        <v>346050</v>
      </c>
      <c r="D21" s="44">
        <v>892825</v>
      </c>
      <c r="E21" s="44" t="s">
        <v>247</v>
      </c>
      <c r="F21" s="52" t="s">
        <v>247</v>
      </c>
      <c r="G21" s="24"/>
      <c r="H21" s="46"/>
      <c r="I21" s="47">
        <v>0</v>
      </c>
    </row>
    <row r="22" spans="1:14" ht="16.5" customHeight="1" x14ac:dyDescent="0.2">
      <c r="A22" s="43" t="s">
        <v>217</v>
      </c>
      <c r="B22" s="44" t="s">
        <v>247</v>
      </c>
      <c r="C22" s="45">
        <v>292500</v>
      </c>
      <c r="D22" s="44">
        <v>292500</v>
      </c>
      <c r="E22" s="44" t="s">
        <v>247</v>
      </c>
      <c r="F22" s="45" t="s">
        <v>247</v>
      </c>
      <c r="G22" s="24" t="s">
        <v>106</v>
      </c>
      <c r="H22" s="46"/>
      <c r="I22" s="47">
        <v>0</v>
      </c>
    </row>
    <row r="23" spans="1:14" ht="16.5" customHeight="1" x14ac:dyDescent="0.2">
      <c r="A23" s="43" t="s">
        <v>119</v>
      </c>
      <c r="B23" s="44">
        <v>988940</v>
      </c>
      <c r="C23" s="48">
        <v>2192540</v>
      </c>
      <c r="D23" s="44">
        <v>1919090</v>
      </c>
      <c r="E23" s="44" t="s">
        <v>247</v>
      </c>
      <c r="F23" s="45">
        <v>1262390</v>
      </c>
      <c r="G23" s="24" t="s">
        <v>106</v>
      </c>
      <c r="H23" s="46"/>
      <c r="I23" s="47">
        <v>1.8100000000000002E-2</v>
      </c>
    </row>
    <row r="24" spans="1:14" ht="16.5" customHeight="1" x14ac:dyDescent="0.2">
      <c r="A24" s="43" t="s">
        <v>218</v>
      </c>
      <c r="B24" s="44">
        <v>17160070.41</v>
      </c>
      <c r="C24" s="48">
        <v>32451732.800000001</v>
      </c>
      <c r="D24" s="44">
        <v>17160070.41</v>
      </c>
      <c r="E24" s="44" t="s">
        <v>247</v>
      </c>
      <c r="F24" s="45">
        <v>32451732.800000001</v>
      </c>
      <c r="G24" s="24"/>
      <c r="H24" s="46"/>
      <c r="I24" s="47">
        <v>0.4642</v>
      </c>
    </row>
    <row r="25" spans="1:14" ht="16.5" customHeight="1" x14ac:dyDescent="0.2">
      <c r="A25" s="43" t="s">
        <v>219</v>
      </c>
      <c r="B25" s="44" t="s">
        <v>247</v>
      </c>
      <c r="C25" s="45"/>
      <c r="D25" s="44"/>
      <c r="E25" s="44" t="s">
        <v>247</v>
      </c>
      <c r="F25" s="45" t="s">
        <v>247</v>
      </c>
      <c r="G25" s="24" t="s">
        <v>106</v>
      </c>
      <c r="H25" s="46"/>
      <c r="I25" s="47">
        <v>0</v>
      </c>
    </row>
    <row r="26" spans="1:14" ht="16.5" customHeight="1" x14ac:dyDescent="0.2">
      <c r="A26" s="43" t="s">
        <v>220</v>
      </c>
      <c r="B26" s="44" t="s">
        <v>247</v>
      </c>
      <c r="C26" s="45"/>
      <c r="D26" s="44"/>
      <c r="E26" s="44" t="s">
        <v>247</v>
      </c>
      <c r="F26" s="45" t="s">
        <v>247</v>
      </c>
      <c r="G26" s="24" t="s">
        <v>106</v>
      </c>
      <c r="H26" s="46"/>
      <c r="I26" s="47">
        <v>0</v>
      </c>
    </row>
    <row r="27" spans="1:14" ht="16.5" customHeight="1" x14ac:dyDescent="0.2">
      <c r="A27" s="43" t="s">
        <v>221</v>
      </c>
      <c r="B27" s="44">
        <v>39780</v>
      </c>
      <c r="C27" s="45">
        <v>96466.5</v>
      </c>
      <c r="D27" s="44">
        <v>137246.5</v>
      </c>
      <c r="E27" s="44"/>
      <c r="F27" s="45">
        <v>-1000</v>
      </c>
      <c r="G27" s="24" t="s">
        <v>106</v>
      </c>
      <c r="H27" s="46"/>
      <c r="I27" s="47">
        <v>0</v>
      </c>
    </row>
    <row r="28" spans="1:14" ht="16.5" customHeight="1" x14ac:dyDescent="0.2">
      <c r="A28" s="43" t="s">
        <v>222</v>
      </c>
      <c r="B28" s="44">
        <v>602000</v>
      </c>
      <c r="C28" s="45">
        <v>1611080</v>
      </c>
      <c r="D28" s="44"/>
      <c r="E28" s="44" t="s">
        <v>247</v>
      </c>
      <c r="F28" s="45">
        <v>2213080</v>
      </c>
      <c r="G28" s="24"/>
      <c r="H28" s="46"/>
      <c r="I28" s="47">
        <v>3.1699999999999999E-2</v>
      </c>
    </row>
    <row r="29" spans="1:14" ht="16.5" customHeight="1" x14ac:dyDescent="0.2">
      <c r="A29" s="43" t="s">
        <v>174</v>
      </c>
      <c r="B29" s="44">
        <v>1361220</v>
      </c>
      <c r="C29" s="45">
        <v>6508320</v>
      </c>
      <c r="D29" s="44">
        <v>5832940</v>
      </c>
      <c r="E29" s="44"/>
      <c r="F29" s="45">
        <v>2036600</v>
      </c>
      <c r="G29" s="24" t="s">
        <v>106</v>
      </c>
      <c r="H29" s="46"/>
      <c r="I29" s="47">
        <v>2.9100000000000001E-2</v>
      </c>
    </row>
    <row r="30" spans="1:14" ht="16.5" customHeight="1" x14ac:dyDescent="0.2">
      <c r="A30" s="43" t="s">
        <v>128</v>
      </c>
      <c r="B30" s="44">
        <v>1569277.4</v>
      </c>
      <c r="C30" s="45">
        <v>1820531.7</v>
      </c>
      <c r="D30" s="44">
        <v>1000000</v>
      </c>
      <c r="E30" s="44" t="s">
        <v>247</v>
      </c>
      <c r="F30" s="45">
        <v>2389809.1</v>
      </c>
      <c r="G30" s="24"/>
      <c r="H30" s="46"/>
      <c r="I30" s="47">
        <v>3.4200000000000001E-2</v>
      </c>
    </row>
    <row r="31" spans="1:14" ht="16.5" customHeight="1" x14ac:dyDescent="0.2">
      <c r="A31" s="43" t="s">
        <v>223</v>
      </c>
      <c r="B31" s="44">
        <v>687011.13</v>
      </c>
      <c r="C31" s="45">
        <v>900210</v>
      </c>
      <c r="D31" s="44">
        <v>1247031</v>
      </c>
      <c r="E31" s="44" t="s">
        <v>247</v>
      </c>
      <c r="F31" s="45">
        <v>340190.13</v>
      </c>
      <c r="G31" s="24"/>
      <c r="H31" s="46"/>
      <c r="I31" s="47">
        <v>4.8999999999999998E-3</v>
      </c>
    </row>
    <row r="32" spans="1:14" ht="16.5" customHeight="1" x14ac:dyDescent="0.2">
      <c r="A32" s="43" t="s">
        <v>224</v>
      </c>
      <c r="B32" s="44">
        <v>82000</v>
      </c>
      <c r="C32" s="45"/>
      <c r="D32" s="44"/>
      <c r="E32" s="44" t="s">
        <v>247</v>
      </c>
      <c r="F32" s="45">
        <v>82000</v>
      </c>
      <c r="G32" s="24"/>
      <c r="H32" s="46"/>
      <c r="I32" s="47">
        <v>1.1999999999999999E-3</v>
      </c>
    </row>
    <row r="33" spans="1:26" ht="16.5" customHeight="1" x14ac:dyDescent="0.2">
      <c r="A33" s="43" t="s">
        <v>225</v>
      </c>
      <c r="B33" s="53">
        <v>1277103.8799999999</v>
      </c>
      <c r="C33" s="53">
        <v>2988786.9</v>
      </c>
      <c r="D33" s="53">
        <v>2000000</v>
      </c>
      <c r="E33" s="53" t="s">
        <v>247</v>
      </c>
      <c r="F33" s="53">
        <v>2265890.7799999998</v>
      </c>
      <c r="G33" s="24" t="s">
        <v>106</v>
      </c>
      <c r="H33" s="46"/>
      <c r="I33" s="47">
        <v>3.2399999999999998E-2</v>
      </c>
    </row>
    <row r="34" spans="1:26" ht="16.5" customHeight="1" x14ac:dyDescent="0.2">
      <c r="A34" s="43" t="s">
        <v>226</v>
      </c>
      <c r="B34" s="67"/>
      <c r="C34" s="67"/>
      <c r="D34" s="67"/>
      <c r="E34" s="67"/>
      <c r="F34" s="67"/>
      <c r="G34" s="24" t="s">
        <v>106</v>
      </c>
      <c r="H34" s="46"/>
      <c r="I34" s="47">
        <v>0</v>
      </c>
    </row>
    <row r="35" spans="1:26" ht="16.5" customHeight="1" x14ac:dyDescent="0.2">
      <c r="A35" s="43" t="s">
        <v>227</v>
      </c>
      <c r="B35" s="44" t="s">
        <v>247</v>
      </c>
      <c r="C35" s="45"/>
      <c r="D35" s="44"/>
      <c r="E35" s="44" t="s">
        <v>247</v>
      </c>
      <c r="F35" s="45" t="s">
        <v>247</v>
      </c>
      <c r="G35" s="24" t="s">
        <v>106</v>
      </c>
      <c r="H35" s="46"/>
      <c r="I35" s="47">
        <v>0</v>
      </c>
    </row>
    <row r="36" spans="1:26" ht="16.5" customHeight="1" x14ac:dyDescent="0.2">
      <c r="A36" s="43" t="s">
        <v>228</v>
      </c>
      <c r="B36" s="44" t="s">
        <v>247</v>
      </c>
      <c r="C36" s="45"/>
      <c r="D36" s="44"/>
      <c r="E36" s="44" t="s">
        <v>247</v>
      </c>
      <c r="F36" s="45" t="s">
        <v>247</v>
      </c>
      <c r="G36" s="24" t="s">
        <v>106</v>
      </c>
      <c r="H36" s="46"/>
      <c r="I36" s="47">
        <v>0</v>
      </c>
    </row>
    <row r="37" spans="1:26" ht="16.5" customHeight="1" x14ac:dyDescent="0.2">
      <c r="A37" s="43" t="s">
        <v>229</v>
      </c>
      <c r="B37" s="44" t="s">
        <v>247</v>
      </c>
      <c r="C37" s="54">
        <v>410275.45</v>
      </c>
      <c r="D37" s="44">
        <v>410275.45</v>
      </c>
      <c r="E37" s="44" t="s">
        <v>247</v>
      </c>
      <c r="F37" s="45" t="s">
        <v>247</v>
      </c>
      <c r="G37" s="24" t="s">
        <v>106</v>
      </c>
      <c r="H37" s="46"/>
      <c r="I37" s="47">
        <v>0</v>
      </c>
    </row>
    <row r="38" spans="1:26" ht="16.5" customHeight="1" x14ac:dyDescent="0.2">
      <c r="A38" s="43" t="s">
        <v>230</v>
      </c>
      <c r="B38" s="44" t="s">
        <v>247</v>
      </c>
      <c r="C38" s="45">
        <v>339800</v>
      </c>
      <c r="D38" s="44">
        <v>202000</v>
      </c>
      <c r="E38" s="44"/>
      <c r="F38" s="45">
        <v>137800</v>
      </c>
      <c r="G38" s="24"/>
      <c r="H38" s="46"/>
      <c r="I38" s="47">
        <v>2E-3</v>
      </c>
    </row>
    <row r="39" spans="1:26" ht="16.5" customHeight="1" x14ac:dyDescent="0.2">
      <c r="A39" s="43" t="s">
        <v>231</v>
      </c>
      <c r="B39" s="44"/>
      <c r="C39" s="45">
        <v>298600</v>
      </c>
      <c r="D39" s="44">
        <v>63000</v>
      </c>
      <c r="E39" s="44"/>
      <c r="F39" s="45">
        <v>235600</v>
      </c>
      <c r="G39" s="24"/>
      <c r="H39" s="46"/>
      <c r="I39" s="47">
        <v>3.3999999999999998E-3</v>
      </c>
    </row>
    <row r="40" spans="1:26" ht="16.5" customHeight="1" x14ac:dyDescent="0.2">
      <c r="A40" s="43" t="s">
        <v>121</v>
      </c>
      <c r="B40" s="44" t="s">
        <v>247</v>
      </c>
      <c r="C40" s="45">
        <v>585250</v>
      </c>
      <c r="D40" s="44">
        <v>409350</v>
      </c>
      <c r="E40" s="44" t="s">
        <v>247</v>
      </c>
      <c r="F40" s="45">
        <v>175900</v>
      </c>
      <c r="G40" s="24" t="s">
        <v>106</v>
      </c>
      <c r="H40" s="46"/>
      <c r="I40" s="47">
        <v>2.5000000000000001E-3</v>
      </c>
    </row>
    <row r="41" spans="1:26" ht="16.5" customHeight="1" x14ac:dyDescent="0.2">
      <c r="A41" s="43" t="s">
        <v>184</v>
      </c>
      <c r="B41" s="44" t="s">
        <v>247</v>
      </c>
      <c r="C41" s="45">
        <v>91300</v>
      </c>
      <c r="D41" s="44"/>
      <c r="E41" s="44" t="s">
        <v>247</v>
      </c>
      <c r="F41" s="45">
        <v>91300</v>
      </c>
      <c r="G41" s="24" t="s">
        <v>106</v>
      </c>
      <c r="H41" s="46"/>
      <c r="I41" s="47">
        <v>1.2999999999999999E-3</v>
      </c>
    </row>
    <row r="42" spans="1:26" ht="16.5" customHeight="1" x14ac:dyDescent="0.2">
      <c r="A42" s="43" t="s">
        <v>232</v>
      </c>
      <c r="B42" s="44" t="s">
        <v>247</v>
      </c>
      <c r="C42" s="45"/>
      <c r="D42" s="44"/>
      <c r="E42" s="44" t="s">
        <v>247</v>
      </c>
      <c r="F42" s="45" t="s">
        <v>247</v>
      </c>
      <c r="G42" s="24" t="s">
        <v>106</v>
      </c>
      <c r="H42" s="46"/>
      <c r="I42" s="47">
        <v>0</v>
      </c>
    </row>
    <row r="43" spans="1:26" ht="16.5" customHeight="1" x14ac:dyDescent="0.2">
      <c r="A43" s="43" t="s">
        <v>96</v>
      </c>
      <c r="B43" s="44" t="s">
        <v>247</v>
      </c>
      <c r="C43" s="45">
        <v>197700</v>
      </c>
      <c r="D43" s="44">
        <v>200000</v>
      </c>
      <c r="E43" s="44" t="s">
        <v>247</v>
      </c>
      <c r="F43" s="45">
        <v>-2300</v>
      </c>
      <c r="G43" s="24" t="s">
        <v>106</v>
      </c>
      <c r="H43" s="46"/>
      <c r="I43" s="47">
        <v>0</v>
      </c>
    </row>
    <row r="44" spans="1:26" ht="16.5" customHeight="1" x14ac:dyDescent="0.2">
      <c r="A44" s="43" t="s">
        <v>233</v>
      </c>
      <c r="B44" s="45" t="s">
        <v>247</v>
      </c>
      <c r="C44" s="55">
        <v>82250</v>
      </c>
      <c r="D44" s="45" t="s">
        <v>247</v>
      </c>
      <c r="E44" s="45" t="s">
        <v>247</v>
      </c>
      <c r="F44" s="55">
        <v>82250</v>
      </c>
      <c r="G44" s="24" t="s">
        <v>106</v>
      </c>
      <c r="H44" s="56"/>
      <c r="I44" s="47">
        <v>1.1999999999999999E-3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 x14ac:dyDescent="0.2">
      <c r="A45" s="43" t="s">
        <v>140</v>
      </c>
      <c r="B45" s="44" t="s">
        <v>247</v>
      </c>
      <c r="C45" s="45">
        <v>127738</v>
      </c>
      <c r="D45" s="44" t="s">
        <v>247</v>
      </c>
      <c r="E45" s="44" t="s">
        <v>247</v>
      </c>
      <c r="F45" s="45">
        <v>127738</v>
      </c>
      <c r="G45" s="24" t="s">
        <v>106</v>
      </c>
      <c r="H45" s="46"/>
      <c r="I45" s="47">
        <v>1.8E-3</v>
      </c>
    </row>
    <row r="46" spans="1:26" ht="18" customHeight="1" x14ac:dyDescent="0.2">
      <c r="C46" s="49"/>
      <c r="D46" s="49"/>
      <c r="E46" s="49"/>
      <c r="F46" s="49"/>
    </row>
    <row r="47" spans="1:26" ht="15.75" customHeight="1" x14ac:dyDescent="0.2">
      <c r="B47" s="49">
        <v>55829511.259999998</v>
      </c>
      <c r="C47" s="49">
        <v>73759478.379999995</v>
      </c>
      <c r="D47" s="49">
        <v>58176963.799999997</v>
      </c>
      <c r="E47" s="49"/>
      <c r="F47" s="57">
        <v>69914670.569999993</v>
      </c>
      <c r="H47" s="49"/>
      <c r="I47" s="58">
        <v>1</v>
      </c>
    </row>
    <row r="48" spans="1:26" ht="15" customHeight="1" x14ac:dyDescent="0.2">
      <c r="C48" s="59"/>
      <c r="G48" s="60"/>
    </row>
    <row r="49" spans="1:7" ht="15.75" customHeight="1" x14ac:dyDescent="0.2">
      <c r="B49" s="11" t="s">
        <v>234</v>
      </c>
      <c r="C49" s="49">
        <v>73759478.379999995</v>
      </c>
      <c r="D49" s="49"/>
      <c r="E49" s="49"/>
      <c r="F49" s="49"/>
    </row>
    <row r="50" spans="1:7" ht="15.75" customHeight="1" x14ac:dyDescent="0.2">
      <c r="C50" s="49"/>
      <c r="F50" s="60"/>
    </row>
    <row r="51" spans="1:7" ht="15.75" customHeight="1" x14ac:dyDescent="0.2">
      <c r="B51" s="11" t="s">
        <v>235</v>
      </c>
      <c r="C51" s="49">
        <v>25617880.5</v>
      </c>
      <c r="D51" s="61">
        <v>0.3473</v>
      </c>
      <c r="E51" s="61"/>
      <c r="F51" s="49"/>
      <c r="G51" s="11"/>
    </row>
    <row r="52" spans="1:7" ht="15.75" customHeight="1" x14ac:dyDescent="0.2">
      <c r="C52" s="49"/>
      <c r="G52" s="49"/>
    </row>
    <row r="53" spans="1:7" ht="15.75" customHeight="1" x14ac:dyDescent="0.2">
      <c r="D53" s="62" t="s">
        <v>236</v>
      </c>
      <c r="F53" s="23"/>
    </row>
    <row r="54" spans="1:7" ht="15.75" customHeight="1" x14ac:dyDescent="0.2">
      <c r="A54" s="11" t="s">
        <v>248</v>
      </c>
      <c r="B54" s="49">
        <v>16622254.48</v>
      </c>
      <c r="D54" s="63">
        <v>0</v>
      </c>
      <c r="E54" s="64"/>
      <c r="F54" s="49"/>
    </row>
    <row r="55" spans="1:7" ht="15.75" customHeight="1" x14ac:dyDescent="0.2">
      <c r="A55" s="11" t="s">
        <v>249</v>
      </c>
      <c r="B55" s="49">
        <v>20237579.030000001</v>
      </c>
      <c r="D55" s="65">
        <v>0</v>
      </c>
    </row>
    <row r="56" spans="1:7" ht="15.75" customHeight="1" x14ac:dyDescent="0.2">
      <c r="A56" s="11" t="s">
        <v>250</v>
      </c>
      <c r="B56" s="49">
        <v>16262143.029999999</v>
      </c>
      <c r="C56" s="23"/>
      <c r="D56" s="65">
        <v>0</v>
      </c>
      <c r="E56" s="49"/>
    </row>
    <row r="57" spans="1:7" ht="15.75" customHeight="1" x14ac:dyDescent="0.2">
      <c r="A57" s="11" t="s">
        <v>251</v>
      </c>
      <c r="B57" s="49">
        <v>15779133.35</v>
      </c>
      <c r="C57" s="59"/>
      <c r="D57" s="65">
        <v>0</v>
      </c>
      <c r="E57" s="49"/>
    </row>
    <row r="58" spans="1:7" ht="15.75" customHeight="1" x14ac:dyDescent="0.2">
      <c r="A58" s="11" t="s">
        <v>252</v>
      </c>
      <c r="B58" s="49">
        <v>4858368.5</v>
      </c>
      <c r="C58" s="59"/>
      <c r="D58" s="66">
        <v>0</v>
      </c>
      <c r="E58" s="49"/>
    </row>
    <row r="59" spans="1:7" ht="15.75" customHeight="1" x14ac:dyDescent="0.2">
      <c r="B59" s="49"/>
      <c r="C59" s="30" t="s">
        <v>242</v>
      </c>
      <c r="D59" s="65">
        <v>0</v>
      </c>
      <c r="E59" s="49"/>
    </row>
    <row r="60" spans="1:7" ht="15.75" customHeight="1" x14ac:dyDescent="0.2">
      <c r="A60" s="30" t="s">
        <v>243</v>
      </c>
      <c r="B60" s="49">
        <v>73759478.379999995</v>
      </c>
    </row>
    <row r="61" spans="1:7" ht="15.75" customHeight="1" x14ac:dyDescent="0.2">
      <c r="B61" s="49"/>
      <c r="C61" s="60"/>
      <c r="D61" s="60"/>
    </row>
    <row r="62" spans="1:7" ht="15.75" customHeight="1" x14ac:dyDescent="0.2"/>
    <row r="63" spans="1:7" ht="15.75" customHeight="1" x14ac:dyDescent="0.2">
      <c r="A63" s="30" t="s">
        <v>244</v>
      </c>
      <c r="B63" s="49">
        <v>3512356.11</v>
      </c>
    </row>
    <row r="64" spans="1:7" ht="15.75" customHeight="1" x14ac:dyDescent="0.2">
      <c r="A64" s="30" t="s">
        <v>245</v>
      </c>
      <c r="B64" s="49">
        <v>1219899.07</v>
      </c>
      <c r="C64" s="24"/>
    </row>
    <row r="65" spans="4:4" ht="15.75" customHeight="1" x14ac:dyDescent="0.2"/>
    <row r="66" spans="4:4" ht="15.75" customHeight="1" x14ac:dyDescent="0.2"/>
    <row r="67" spans="4:4" ht="15.75" customHeight="1" x14ac:dyDescent="0.2"/>
    <row r="68" spans="4:4" ht="15.75" customHeight="1" x14ac:dyDescent="0.2">
      <c r="D68" s="23"/>
    </row>
    <row r="69" spans="4:4" ht="15.75" customHeight="1" x14ac:dyDescent="0.2"/>
    <row r="70" spans="4:4" ht="15.75" customHeight="1" x14ac:dyDescent="0.2"/>
    <row r="71" spans="4:4" ht="15.75" customHeight="1" x14ac:dyDescent="0.2"/>
    <row r="72" spans="4:4" ht="15.75" customHeight="1" x14ac:dyDescent="0.2"/>
    <row r="73" spans="4:4" ht="15.75" customHeight="1" x14ac:dyDescent="0.2"/>
    <row r="74" spans="4:4" ht="15.75" customHeight="1" x14ac:dyDescent="0.2"/>
    <row r="75" spans="4:4" ht="15.75" customHeight="1" x14ac:dyDescent="0.2"/>
    <row r="76" spans="4:4" ht="15.75" customHeight="1" x14ac:dyDescent="0.2"/>
    <row r="77" spans="4:4" ht="15.75" customHeight="1" x14ac:dyDescent="0.2"/>
    <row r="78" spans="4:4" ht="15.75" customHeight="1" x14ac:dyDescent="0.2"/>
    <row r="79" spans="4:4" ht="15.75" customHeight="1" x14ac:dyDescent="0.2"/>
    <row r="80" spans="4:4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Z1025"/>
  <sheetViews>
    <sheetView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253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 t="s">
        <v>247</v>
      </c>
      <c r="C3" s="45"/>
      <c r="D3" s="45"/>
      <c r="F3" s="45" t="s">
        <v>247</v>
      </c>
      <c r="G3" s="24"/>
      <c r="H3" s="46"/>
      <c r="I3" s="47">
        <v>0</v>
      </c>
    </row>
    <row r="4" spans="1:12" ht="15.75" customHeight="1" x14ac:dyDescent="0.2">
      <c r="A4" s="43" t="s">
        <v>205</v>
      </c>
      <c r="B4" s="44">
        <v>1476708.65</v>
      </c>
      <c r="C4" s="48">
        <v>1623200</v>
      </c>
      <c r="D4" s="45">
        <v>2300000</v>
      </c>
      <c r="E4" s="45" t="s">
        <v>247</v>
      </c>
      <c r="F4" s="45">
        <v>799908.65</v>
      </c>
      <c r="G4" s="24" t="s">
        <v>106</v>
      </c>
      <c r="H4" s="46"/>
      <c r="I4" s="47">
        <v>1.43E-2</v>
      </c>
    </row>
    <row r="5" spans="1:12" ht="15.75" customHeight="1" x14ac:dyDescent="0.2">
      <c r="A5" s="43" t="s">
        <v>171</v>
      </c>
      <c r="B5" s="44">
        <v>149039.70000000001</v>
      </c>
      <c r="C5" s="45">
        <v>129367.88</v>
      </c>
      <c r="D5" s="44">
        <v>147148.47</v>
      </c>
      <c r="E5" s="45" t="s">
        <v>247</v>
      </c>
      <c r="F5" s="45">
        <v>131259.10999999999</v>
      </c>
      <c r="G5" s="24" t="s">
        <v>106</v>
      </c>
      <c r="H5" s="46"/>
      <c r="I5" s="47">
        <v>2.3E-3</v>
      </c>
      <c r="J5" s="49"/>
    </row>
    <row r="6" spans="1:12" ht="15.75" customHeight="1" x14ac:dyDescent="0.2">
      <c r="A6" s="43" t="s">
        <v>108</v>
      </c>
      <c r="B6" s="44">
        <v>1428930</v>
      </c>
      <c r="C6" s="45">
        <v>2519200</v>
      </c>
      <c r="D6" s="45">
        <v>1771144.77</v>
      </c>
      <c r="E6" s="45">
        <v>28085.24</v>
      </c>
      <c r="F6" s="45">
        <v>2148899.9900000002</v>
      </c>
      <c r="G6" s="24" t="s">
        <v>106</v>
      </c>
      <c r="H6" s="46"/>
      <c r="I6" s="47">
        <v>3.85E-2</v>
      </c>
    </row>
    <row r="7" spans="1:12" ht="15.75" customHeight="1" x14ac:dyDescent="0.2">
      <c r="A7" s="43" t="s">
        <v>206</v>
      </c>
      <c r="B7" s="44">
        <v>2970</v>
      </c>
      <c r="C7" s="45">
        <v>42000</v>
      </c>
      <c r="D7" s="45">
        <v>44970</v>
      </c>
      <c r="E7" s="45" t="s">
        <v>247</v>
      </c>
      <c r="F7" s="45" t="s">
        <v>247</v>
      </c>
      <c r="G7" s="24" t="s">
        <v>106</v>
      </c>
      <c r="H7" s="46"/>
      <c r="I7" s="47">
        <v>0</v>
      </c>
    </row>
    <row r="8" spans="1:12" ht="15.75" customHeight="1" x14ac:dyDescent="0.2">
      <c r="A8" s="43" t="s">
        <v>207</v>
      </c>
      <c r="B8" s="44">
        <v>589770</v>
      </c>
      <c r="C8" s="45">
        <v>548150</v>
      </c>
      <c r="D8" s="45">
        <v>736300</v>
      </c>
      <c r="E8" s="45" t="s">
        <v>247</v>
      </c>
      <c r="F8" s="45">
        <v>401620</v>
      </c>
      <c r="G8" s="24" t="s">
        <v>106</v>
      </c>
      <c r="H8" s="46"/>
      <c r="I8" s="47">
        <v>7.1999999999999998E-3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 t="s">
        <v>247</v>
      </c>
      <c r="F9" s="45">
        <v>73950</v>
      </c>
      <c r="G9" s="24" t="s">
        <v>106</v>
      </c>
      <c r="H9" s="46"/>
      <c r="I9" s="47">
        <v>1.2999999999999999E-3</v>
      </c>
    </row>
    <row r="10" spans="1:12" ht="15.75" customHeight="1" x14ac:dyDescent="0.2">
      <c r="A10" s="43" t="s">
        <v>209</v>
      </c>
      <c r="B10" s="44" t="s">
        <v>247</v>
      </c>
      <c r="C10" s="45"/>
      <c r="D10" s="45"/>
      <c r="E10" s="45" t="s">
        <v>247</v>
      </c>
      <c r="F10" s="45" t="s">
        <v>247</v>
      </c>
      <c r="G10" s="24" t="s">
        <v>106</v>
      </c>
      <c r="H10" s="46"/>
      <c r="I10" s="47">
        <v>0</v>
      </c>
    </row>
    <row r="11" spans="1:12" ht="15.75" customHeight="1" x14ac:dyDescent="0.2">
      <c r="A11" s="43" t="s">
        <v>210</v>
      </c>
      <c r="B11" s="44">
        <v>19040</v>
      </c>
      <c r="C11" s="45"/>
      <c r="D11" s="68">
        <v>19040</v>
      </c>
      <c r="E11" s="45" t="s">
        <v>247</v>
      </c>
      <c r="F11" s="45" t="s">
        <v>247</v>
      </c>
      <c r="G11" s="24" t="s">
        <v>106</v>
      </c>
      <c r="H11" s="46"/>
      <c r="I11" s="47">
        <v>0</v>
      </c>
      <c r="L11" s="5"/>
    </row>
    <row r="12" spans="1:12" ht="15.75" customHeight="1" x14ac:dyDescent="0.2">
      <c r="A12" s="43" t="s">
        <v>211</v>
      </c>
      <c r="B12" s="44" t="s">
        <v>247</v>
      </c>
      <c r="C12" s="45"/>
      <c r="D12" s="50"/>
      <c r="E12" s="45" t="s">
        <v>247</v>
      </c>
      <c r="F12" s="45" t="s">
        <v>247</v>
      </c>
      <c r="G12" s="24" t="s">
        <v>106</v>
      </c>
      <c r="H12" s="46"/>
      <c r="I12" s="47">
        <v>0</v>
      </c>
    </row>
    <row r="13" spans="1:12" ht="15.75" customHeight="1" x14ac:dyDescent="0.2">
      <c r="A13" s="43" t="s">
        <v>212</v>
      </c>
      <c r="B13" s="44">
        <v>13229.37</v>
      </c>
      <c r="C13" s="45"/>
      <c r="D13" s="68">
        <v>13229.37</v>
      </c>
      <c r="E13" s="45" t="s">
        <v>247</v>
      </c>
      <c r="F13" s="45" t="s">
        <v>247</v>
      </c>
      <c r="G13" s="24" t="s">
        <v>106</v>
      </c>
      <c r="H13" s="46"/>
      <c r="I13" s="47">
        <v>0</v>
      </c>
      <c r="J13" s="5"/>
    </row>
    <row r="14" spans="1:12" ht="15.75" customHeight="1" x14ac:dyDescent="0.2">
      <c r="A14" s="43" t="s">
        <v>149</v>
      </c>
      <c r="B14" s="44">
        <v>1266140</v>
      </c>
      <c r="C14" s="45">
        <v>1883850</v>
      </c>
      <c r="D14" s="45">
        <v>1500100</v>
      </c>
      <c r="E14" s="45" t="s">
        <v>247</v>
      </c>
      <c r="F14" s="45">
        <v>1649890</v>
      </c>
      <c r="G14" s="24" t="s">
        <v>106</v>
      </c>
      <c r="H14" s="46"/>
      <c r="I14" s="47">
        <v>2.9499999999999998E-2</v>
      </c>
    </row>
    <row r="15" spans="1:12" ht="15.75" customHeight="1" x14ac:dyDescent="0.2">
      <c r="A15" s="43" t="s">
        <v>116</v>
      </c>
      <c r="B15" s="44">
        <v>3019690</v>
      </c>
      <c r="C15" s="45">
        <v>2170335</v>
      </c>
      <c r="D15" s="45">
        <v>1467165</v>
      </c>
      <c r="E15" s="45" t="s">
        <v>247</v>
      </c>
      <c r="F15" s="45">
        <v>3722860</v>
      </c>
      <c r="G15" s="24" t="s">
        <v>106</v>
      </c>
      <c r="H15" s="46"/>
      <c r="I15" s="47">
        <v>6.6600000000000006E-2</v>
      </c>
    </row>
    <row r="16" spans="1:12" ht="15.75" customHeight="1" x14ac:dyDescent="0.2">
      <c r="A16" s="43" t="s">
        <v>213</v>
      </c>
      <c r="B16" s="45">
        <v>10484581.699999999</v>
      </c>
      <c r="C16" s="45">
        <v>15017406</v>
      </c>
      <c r="D16" s="45">
        <v>2904986</v>
      </c>
      <c r="E16" s="45">
        <v>259406</v>
      </c>
      <c r="F16" s="45">
        <v>22337595.699999999</v>
      </c>
      <c r="G16" s="24" t="s">
        <v>106</v>
      </c>
      <c r="H16" s="46"/>
      <c r="I16" s="47">
        <v>0.3997</v>
      </c>
      <c r="J16" s="5"/>
    </row>
    <row r="17" spans="1:14" ht="15.75" customHeight="1" x14ac:dyDescent="0.2">
      <c r="A17" s="43" t="s">
        <v>214</v>
      </c>
      <c r="B17" s="44" t="s">
        <v>247</v>
      </c>
      <c r="C17" s="45">
        <v>51000</v>
      </c>
      <c r="D17" s="45">
        <v>51000</v>
      </c>
      <c r="E17" s="45" t="s">
        <v>247</v>
      </c>
      <c r="F17" s="45" t="s">
        <v>247</v>
      </c>
      <c r="G17" s="24" t="s">
        <v>106</v>
      </c>
      <c r="H17" s="46"/>
      <c r="I17" s="47">
        <v>0</v>
      </c>
    </row>
    <row r="18" spans="1:14" ht="15.75" customHeight="1" x14ac:dyDescent="0.2">
      <c r="A18" s="43" t="s">
        <v>215</v>
      </c>
      <c r="B18" s="44" t="s">
        <v>247</v>
      </c>
      <c r="C18" s="45"/>
      <c r="D18" s="45"/>
      <c r="E18" s="45" t="s">
        <v>247</v>
      </c>
      <c r="F18" s="45" t="s">
        <v>247</v>
      </c>
      <c r="G18" s="24" t="s">
        <v>106</v>
      </c>
      <c r="H18" s="46"/>
      <c r="I18" s="47">
        <v>0</v>
      </c>
      <c r="J18" s="5"/>
    </row>
    <row r="19" spans="1:14" ht="16.5" customHeight="1" x14ac:dyDescent="0.2">
      <c r="A19" s="43" t="s">
        <v>75</v>
      </c>
      <c r="B19" s="44">
        <v>317510</v>
      </c>
      <c r="C19" s="45">
        <v>986740</v>
      </c>
      <c r="D19" s="44">
        <v>1001860</v>
      </c>
      <c r="E19" s="44" t="s">
        <v>247</v>
      </c>
      <c r="F19" s="45">
        <v>302390</v>
      </c>
      <c r="G19" s="24" t="s">
        <v>106</v>
      </c>
      <c r="H19" s="46"/>
      <c r="I19" s="47">
        <v>5.4000000000000003E-3</v>
      </c>
      <c r="N19" s="51"/>
    </row>
    <row r="20" spans="1:14" ht="16.5" customHeight="1" x14ac:dyDescent="0.2">
      <c r="A20" s="43" t="s">
        <v>216</v>
      </c>
      <c r="B20" s="44" t="s">
        <v>247</v>
      </c>
      <c r="C20" s="45"/>
      <c r="D20" s="44"/>
      <c r="E20" s="44" t="s">
        <v>247</v>
      </c>
      <c r="F20" s="45" t="s">
        <v>247</v>
      </c>
      <c r="G20" s="24" t="s">
        <v>106</v>
      </c>
      <c r="H20" s="46"/>
      <c r="I20" s="47">
        <v>0</v>
      </c>
    </row>
    <row r="21" spans="1:14" ht="16.5" customHeight="1" x14ac:dyDescent="0.2">
      <c r="A21" s="43" t="s">
        <v>91</v>
      </c>
      <c r="B21" s="44">
        <v>392625</v>
      </c>
      <c r="C21" s="45">
        <v>380225</v>
      </c>
      <c r="D21" s="44">
        <v>226075</v>
      </c>
      <c r="E21" s="44" t="s">
        <v>247</v>
      </c>
      <c r="F21" s="52">
        <v>546775</v>
      </c>
      <c r="G21" s="24"/>
      <c r="H21" s="46"/>
      <c r="I21" s="47">
        <v>9.7999999999999997E-3</v>
      </c>
    </row>
    <row r="22" spans="1:14" ht="16.5" customHeight="1" x14ac:dyDescent="0.2">
      <c r="A22" s="43" t="s">
        <v>217</v>
      </c>
      <c r="B22" s="44" t="s">
        <v>247</v>
      </c>
      <c r="C22" s="45"/>
      <c r="D22" s="44"/>
      <c r="E22" s="44" t="s">
        <v>247</v>
      </c>
      <c r="F22" s="45" t="s">
        <v>247</v>
      </c>
      <c r="G22" s="24" t="s">
        <v>106</v>
      </c>
      <c r="H22" s="46"/>
      <c r="I22" s="47">
        <v>0</v>
      </c>
    </row>
    <row r="23" spans="1:14" ht="16.5" customHeight="1" x14ac:dyDescent="0.2">
      <c r="A23" s="43" t="s">
        <v>119</v>
      </c>
      <c r="B23" s="44">
        <v>1047340</v>
      </c>
      <c r="C23" s="48">
        <v>1634050</v>
      </c>
      <c r="D23" s="44">
        <v>1692450</v>
      </c>
      <c r="E23" s="44" t="s">
        <v>247</v>
      </c>
      <c r="F23" s="45">
        <v>988940</v>
      </c>
      <c r="G23" s="24" t="s">
        <v>106</v>
      </c>
      <c r="H23" s="46"/>
      <c r="I23" s="47">
        <v>1.77E-2</v>
      </c>
    </row>
    <row r="24" spans="1:14" ht="16.5" customHeight="1" x14ac:dyDescent="0.2">
      <c r="A24" s="43" t="s">
        <v>218</v>
      </c>
      <c r="B24" s="44" t="s">
        <v>247</v>
      </c>
      <c r="C24" s="48">
        <v>17160070.41</v>
      </c>
      <c r="D24" s="44" t="s">
        <v>247</v>
      </c>
      <c r="E24" s="44" t="s">
        <v>247</v>
      </c>
      <c r="F24" s="45">
        <v>17160070.41</v>
      </c>
      <c r="G24" s="24"/>
      <c r="H24" s="46"/>
      <c r="I24" s="47">
        <v>0.30709999999999998</v>
      </c>
    </row>
    <row r="25" spans="1:14" ht="16.5" customHeight="1" x14ac:dyDescent="0.2">
      <c r="A25" s="43" t="s">
        <v>219</v>
      </c>
      <c r="B25" s="44" t="s">
        <v>247</v>
      </c>
      <c r="C25" s="45" t="s">
        <v>247</v>
      </c>
      <c r="D25" s="44" t="s">
        <v>247</v>
      </c>
      <c r="E25" s="44" t="s">
        <v>247</v>
      </c>
      <c r="F25" s="45" t="s">
        <v>247</v>
      </c>
      <c r="G25" s="24" t="s">
        <v>106</v>
      </c>
      <c r="H25" s="46"/>
      <c r="I25" s="47">
        <v>0</v>
      </c>
    </row>
    <row r="26" spans="1:14" ht="16.5" customHeight="1" x14ac:dyDescent="0.2">
      <c r="A26" s="43" t="s">
        <v>220</v>
      </c>
      <c r="B26" s="44" t="s">
        <v>247</v>
      </c>
      <c r="C26" s="45" t="s">
        <v>247</v>
      </c>
      <c r="D26" s="44" t="s">
        <v>247</v>
      </c>
      <c r="E26" s="44" t="s">
        <v>247</v>
      </c>
      <c r="F26" s="45" t="s">
        <v>247</v>
      </c>
      <c r="G26" s="24" t="s">
        <v>106</v>
      </c>
      <c r="H26" s="46"/>
      <c r="I26" s="47">
        <v>0</v>
      </c>
    </row>
    <row r="27" spans="1:14" ht="16.5" customHeight="1" x14ac:dyDescent="0.2">
      <c r="A27" s="43" t="s">
        <v>221</v>
      </c>
      <c r="B27" s="44"/>
      <c r="C27" s="45">
        <v>39780</v>
      </c>
      <c r="D27" s="44" t="s">
        <v>247</v>
      </c>
      <c r="E27" s="44"/>
      <c r="F27" s="45">
        <v>39780</v>
      </c>
      <c r="G27" s="24" t="s">
        <v>106</v>
      </c>
      <c r="H27" s="46"/>
      <c r="I27" s="47">
        <v>6.9999999999999999E-4</v>
      </c>
    </row>
    <row r="28" spans="1:14" ht="16.5" customHeight="1" x14ac:dyDescent="0.2">
      <c r="A28" s="43" t="s">
        <v>222</v>
      </c>
      <c r="B28" s="44">
        <v>1421000</v>
      </c>
      <c r="C28" s="45">
        <v>1505450</v>
      </c>
      <c r="D28" s="44">
        <v>2324450</v>
      </c>
      <c r="E28" s="44" t="s">
        <v>247</v>
      </c>
      <c r="F28" s="45">
        <v>602000</v>
      </c>
      <c r="G28" s="24"/>
      <c r="H28" s="46"/>
      <c r="I28" s="47">
        <v>1.0800000000000001E-2</v>
      </c>
    </row>
    <row r="29" spans="1:14" ht="16.5" customHeight="1" x14ac:dyDescent="0.2">
      <c r="A29" s="43" t="s">
        <v>174</v>
      </c>
      <c r="B29" s="44">
        <v>1045000</v>
      </c>
      <c r="C29" s="45">
        <v>3741520</v>
      </c>
      <c r="D29" s="44">
        <v>3425300</v>
      </c>
      <c r="E29" s="44"/>
      <c r="F29" s="45">
        <v>1361220</v>
      </c>
      <c r="G29" s="24" t="s">
        <v>106</v>
      </c>
      <c r="H29" s="46"/>
      <c r="I29" s="47">
        <v>2.4400000000000002E-2</v>
      </c>
    </row>
    <row r="30" spans="1:14" ht="16.5" customHeight="1" x14ac:dyDescent="0.2">
      <c r="A30" s="43" t="s">
        <v>128</v>
      </c>
      <c r="B30" s="44">
        <v>241774</v>
      </c>
      <c r="C30" s="45">
        <v>2181503.4</v>
      </c>
      <c r="D30" s="44">
        <v>854000</v>
      </c>
      <c r="E30" s="44" t="s">
        <v>247</v>
      </c>
      <c r="F30" s="45">
        <v>1569277.4</v>
      </c>
      <c r="G30" s="24"/>
      <c r="H30" s="46"/>
      <c r="I30" s="47">
        <v>2.81E-2</v>
      </c>
    </row>
    <row r="31" spans="1:14" ht="16.5" customHeight="1" x14ac:dyDescent="0.2">
      <c r="A31" s="43" t="s">
        <v>223</v>
      </c>
      <c r="B31" s="44">
        <v>335616.13</v>
      </c>
      <c r="C31" s="45">
        <v>916299</v>
      </c>
      <c r="D31" s="44">
        <v>564904</v>
      </c>
      <c r="E31" s="44" t="s">
        <v>247</v>
      </c>
      <c r="F31" s="45">
        <v>687011.13</v>
      </c>
      <c r="G31" s="24"/>
      <c r="H31" s="46"/>
      <c r="I31" s="47">
        <v>1.23E-2</v>
      </c>
    </row>
    <row r="32" spans="1:14" ht="16.5" customHeight="1" x14ac:dyDescent="0.2">
      <c r="A32" s="43" t="s">
        <v>224</v>
      </c>
      <c r="B32" s="44" t="s">
        <v>247</v>
      </c>
      <c r="C32" s="45">
        <v>182000</v>
      </c>
      <c r="D32" s="44">
        <v>100000</v>
      </c>
      <c r="E32" s="44" t="s">
        <v>247</v>
      </c>
      <c r="F32" s="45">
        <v>82000</v>
      </c>
      <c r="G32" s="24"/>
      <c r="H32" s="46"/>
      <c r="I32" s="47">
        <v>1.5E-3</v>
      </c>
    </row>
    <row r="33" spans="1:26" ht="16.5" customHeight="1" x14ac:dyDescent="0.2">
      <c r="A33" s="43" t="s">
        <v>225</v>
      </c>
      <c r="B33" s="53"/>
      <c r="C33" s="53">
        <v>2759807.18</v>
      </c>
      <c r="D33" s="53">
        <v>1482703.3</v>
      </c>
      <c r="E33" s="53" t="s">
        <v>247</v>
      </c>
      <c r="F33" s="53">
        <v>1277103.8799999999</v>
      </c>
      <c r="G33" s="24" t="s">
        <v>106</v>
      </c>
      <c r="H33" s="46"/>
      <c r="I33" s="47">
        <v>2.29E-2</v>
      </c>
    </row>
    <row r="34" spans="1:26" ht="16.5" customHeight="1" x14ac:dyDescent="0.2">
      <c r="A34" s="43" t="s">
        <v>226</v>
      </c>
      <c r="B34" s="67"/>
      <c r="C34" s="67"/>
      <c r="D34" s="67"/>
      <c r="E34" s="67"/>
      <c r="F34" s="67"/>
      <c r="G34" s="24" t="s">
        <v>106</v>
      </c>
      <c r="H34" s="46"/>
      <c r="I34" s="47">
        <v>0</v>
      </c>
    </row>
    <row r="35" spans="1:26" ht="16.5" customHeight="1" x14ac:dyDescent="0.2">
      <c r="A35" s="43" t="s">
        <v>227</v>
      </c>
      <c r="B35" s="44" t="s">
        <v>247</v>
      </c>
      <c r="C35" s="45" t="s">
        <v>247</v>
      </c>
      <c r="D35" s="44" t="s">
        <v>247</v>
      </c>
      <c r="E35" s="44" t="s">
        <v>247</v>
      </c>
      <c r="F35" s="45" t="s">
        <v>247</v>
      </c>
      <c r="G35" s="24" t="s">
        <v>106</v>
      </c>
      <c r="H35" s="46"/>
      <c r="I35" s="47">
        <v>0</v>
      </c>
    </row>
    <row r="36" spans="1:26" ht="16.5" customHeight="1" x14ac:dyDescent="0.2">
      <c r="A36" s="43" t="s">
        <v>228</v>
      </c>
      <c r="B36" s="44">
        <v>24925</v>
      </c>
      <c r="C36" s="45">
        <v>104800</v>
      </c>
      <c r="D36" s="44">
        <v>129725</v>
      </c>
      <c r="E36" s="44" t="s">
        <v>247</v>
      </c>
      <c r="F36" s="45" t="s">
        <v>247</v>
      </c>
      <c r="G36" s="24" t="s">
        <v>106</v>
      </c>
      <c r="H36" s="46"/>
      <c r="I36" s="47">
        <v>0</v>
      </c>
    </row>
    <row r="37" spans="1:26" ht="16.5" customHeight="1" x14ac:dyDescent="0.2">
      <c r="A37" s="43" t="s">
        <v>229</v>
      </c>
      <c r="B37" s="44" t="s">
        <v>247</v>
      </c>
      <c r="C37" s="54">
        <v>524654</v>
      </c>
      <c r="D37" s="44">
        <v>524654</v>
      </c>
      <c r="E37" s="44" t="s">
        <v>247</v>
      </c>
      <c r="F37" s="45" t="s">
        <v>247</v>
      </c>
      <c r="G37" s="24" t="s">
        <v>106</v>
      </c>
      <c r="H37" s="46"/>
      <c r="I37" s="47">
        <v>0</v>
      </c>
    </row>
    <row r="38" spans="1:26" ht="16.5" customHeight="1" x14ac:dyDescent="0.2">
      <c r="A38" s="43" t="s">
        <v>232</v>
      </c>
      <c r="B38" s="44" t="s">
        <v>247</v>
      </c>
      <c r="C38" s="45">
        <v>203600</v>
      </c>
      <c r="D38" s="44">
        <v>203600</v>
      </c>
      <c r="E38" s="44" t="s">
        <v>247</v>
      </c>
      <c r="F38" s="45" t="s">
        <v>247</v>
      </c>
      <c r="G38" s="24" t="s">
        <v>106</v>
      </c>
      <c r="H38" s="46"/>
      <c r="I38" s="47">
        <v>0</v>
      </c>
    </row>
    <row r="39" spans="1:26" ht="16.5" customHeight="1" x14ac:dyDescent="0.2">
      <c r="A39" s="43"/>
      <c r="B39" s="44"/>
      <c r="C39" s="45"/>
      <c r="D39" s="44"/>
      <c r="E39" s="44"/>
      <c r="F39" s="45"/>
      <c r="G39" s="24"/>
      <c r="H39" s="46"/>
      <c r="I39" s="47"/>
    </row>
    <row r="40" spans="1:26" ht="16.5" customHeight="1" x14ac:dyDescent="0.2">
      <c r="A40" s="43"/>
      <c r="B40" s="44">
        <v>23349839.550000001</v>
      </c>
      <c r="C40" s="45">
        <v>56305007.859999999</v>
      </c>
      <c r="D40" s="44">
        <v>23484804.91</v>
      </c>
      <c r="E40" s="44"/>
      <c r="F40" s="45">
        <v>55882551.259999998</v>
      </c>
      <c r="G40" s="24"/>
      <c r="H40" s="46"/>
      <c r="I40" s="47">
        <v>1</v>
      </c>
    </row>
    <row r="41" spans="1:26" ht="16.5" customHeight="1" x14ac:dyDescent="0.2">
      <c r="A41" s="43"/>
      <c r="B41" s="44"/>
      <c r="C41" s="45"/>
      <c r="D41" s="44"/>
      <c r="E41" s="44"/>
      <c r="F41" s="45"/>
      <c r="G41" s="24"/>
      <c r="H41" s="46"/>
      <c r="I41" s="47"/>
    </row>
    <row r="42" spans="1:26" ht="16.5" customHeight="1" x14ac:dyDescent="0.2">
      <c r="A42" s="43"/>
      <c r="B42" s="44" t="s">
        <v>234</v>
      </c>
      <c r="C42" s="45">
        <v>56305007.859999999</v>
      </c>
      <c r="D42" s="44"/>
      <c r="E42" s="44"/>
      <c r="F42" s="45"/>
      <c r="G42" s="24"/>
      <c r="H42" s="46"/>
      <c r="I42" s="47"/>
    </row>
    <row r="43" spans="1:26" ht="16.5" customHeight="1" x14ac:dyDescent="0.2">
      <c r="A43" s="43"/>
      <c r="B43" s="44"/>
      <c r="C43" s="45"/>
      <c r="D43" s="44"/>
      <c r="E43" s="44"/>
      <c r="F43" s="45"/>
      <c r="G43" s="24"/>
      <c r="H43" s="46"/>
      <c r="I43" s="47"/>
    </row>
    <row r="44" spans="1:26" ht="16.5" customHeight="1" x14ac:dyDescent="0.2">
      <c r="A44" s="43"/>
      <c r="B44" s="45" t="s">
        <v>235</v>
      </c>
      <c r="C44" s="55">
        <v>19911264.469999999</v>
      </c>
      <c r="D44" s="69">
        <v>0.35360000000000003</v>
      </c>
      <c r="E44" s="45"/>
      <c r="F44" s="55"/>
      <c r="G44" s="24"/>
      <c r="H44" s="56"/>
      <c r="I44" s="47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 x14ac:dyDescent="0.2">
      <c r="A45" s="43"/>
      <c r="B45" s="44"/>
      <c r="C45" s="45"/>
      <c r="D45" s="44"/>
      <c r="E45" s="44"/>
      <c r="F45" s="45"/>
      <c r="G45" s="24"/>
      <c r="H45" s="46"/>
      <c r="I45" s="47"/>
    </row>
    <row r="46" spans="1:26" ht="18" customHeight="1" x14ac:dyDescent="0.2">
      <c r="C46" s="49"/>
      <c r="D46" s="49" t="s">
        <v>236</v>
      </c>
      <c r="E46" s="49"/>
      <c r="F46" s="49"/>
    </row>
    <row r="47" spans="1:26" ht="15.75" customHeight="1" x14ac:dyDescent="0.2">
      <c r="A47" s="70" t="s">
        <v>254</v>
      </c>
      <c r="B47" s="49">
        <v>10328404.050000001</v>
      </c>
      <c r="C47" s="49"/>
      <c r="D47" s="49">
        <v>0</v>
      </c>
      <c r="E47" s="49"/>
      <c r="F47" s="57"/>
      <c r="H47" s="49"/>
      <c r="I47" s="58"/>
    </row>
    <row r="48" spans="1:26" ht="15" customHeight="1" x14ac:dyDescent="0.2">
      <c r="A48" s="70" t="s">
        <v>255</v>
      </c>
      <c r="B48" s="71">
        <v>14378852.960000001</v>
      </c>
      <c r="C48" s="59"/>
      <c r="D48" s="70">
        <v>418</v>
      </c>
      <c r="G48" s="60"/>
    </row>
    <row r="49" spans="1:7" ht="15.75" customHeight="1" x14ac:dyDescent="0.2">
      <c r="A49" s="70" t="s">
        <v>256</v>
      </c>
      <c r="B49" s="34">
        <v>12476758.18</v>
      </c>
      <c r="C49" s="49"/>
      <c r="D49" s="49">
        <v>418</v>
      </c>
      <c r="E49" s="49"/>
      <c r="F49" s="49"/>
    </row>
    <row r="50" spans="1:7" ht="15.75" customHeight="1" x14ac:dyDescent="0.2">
      <c r="A50" s="70" t="s">
        <v>257</v>
      </c>
      <c r="B50" s="71">
        <v>19120992.68</v>
      </c>
      <c r="C50" s="49"/>
      <c r="D50" s="70">
        <v>596</v>
      </c>
      <c r="F50" s="60"/>
    </row>
    <row r="51" spans="1:7" ht="15.75" customHeight="1" x14ac:dyDescent="0.2">
      <c r="B51" s="11"/>
      <c r="C51" s="49" t="s">
        <v>242</v>
      </c>
      <c r="D51" s="11">
        <v>1432</v>
      </c>
      <c r="E51" s="61"/>
      <c r="F51" s="49"/>
      <c r="G51" s="11"/>
    </row>
    <row r="52" spans="1:7" ht="15.75" customHeight="1" x14ac:dyDescent="0.2">
      <c r="A52" s="70" t="s">
        <v>243</v>
      </c>
      <c r="B52" s="71">
        <v>56305007.859999999</v>
      </c>
      <c r="C52" s="49"/>
      <c r="G52" s="49"/>
    </row>
    <row r="53" spans="1:7" ht="15.75" customHeight="1" x14ac:dyDescent="0.2">
      <c r="D53" s="62"/>
      <c r="F53" s="23"/>
    </row>
    <row r="54" spans="1:7" ht="15.75" customHeight="1" x14ac:dyDescent="0.2">
      <c r="A54" s="11"/>
      <c r="B54" s="49"/>
      <c r="D54" s="63"/>
      <c r="E54" s="64"/>
      <c r="F54" s="49"/>
    </row>
    <row r="55" spans="1:7" ht="15.75" customHeight="1" x14ac:dyDescent="0.2">
      <c r="A55" s="11" t="s">
        <v>244</v>
      </c>
      <c r="B55" s="49">
        <v>2963421.47</v>
      </c>
      <c r="D55" s="65"/>
    </row>
    <row r="56" spans="1:7" ht="15.75" customHeight="1" x14ac:dyDescent="0.2">
      <c r="A56" s="11" t="s">
        <v>245</v>
      </c>
      <c r="B56" s="49">
        <v>1047961.29</v>
      </c>
      <c r="C56" s="23"/>
      <c r="D56" s="65"/>
      <c r="E56" s="49"/>
    </row>
    <row r="57" spans="1:7" ht="15.75" customHeight="1" x14ac:dyDescent="0.2">
      <c r="A57" s="11"/>
      <c r="B57" s="49"/>
      <c r="C57" s="59"/>
      <c r="D57" s="65"/>
      <c r="E57" s="49"/>
    </row>
    <row r="58" spans="1:7" ht="15.75" customHeight="1" x14ac:dyDescent="0.2">
      <c r="A58" s="11" t="s">
        <v>241</v>
      </c>
      <c r="B58" s="49"/>
      <c r="C58" s="59"/>
      <c r="D58" s="66">
        <v>0</v>
      </c>
      <c r="E58" s="49"/>
    </row>
    <row r="59" spans="1:7" ht="15.75" customHeight="1" x14ac:dyDescent="0.2">
      <c r="B59" s="49"/>
      <c r="C59" s="30" t="s">
        <v>242</v>
      </c>
      <c r="D59" s="65">
        <f>SUM(D54:D57)</f>
        <v>0</v>
      </c>
      <c r="E59" s="49"/>
    </row>
    <row r="60" spans="1:7" ht="15.75" customHeight="1" x14ac:dyDescent="0.2">
      <c r="A60" s="30" t="s">
        <v>243</v>
      </c>
      <c r="B60" s="49">
        <f>SUM(B54:B59)</f>
        <v>4011382.7600000002</v>
      </c>
    </row>
    <row r="61" spans="1:7" ht="15.75" customHeight="1" x14ac:dyDescent="0.2">
      <c r="B61" s="49"/>
      <c r="C61" s="60"/>
      <c r="D61" s="60"/>
    </row>
    <row r="62" spans="1:7" ht="15.75" customHeight="1" x14ac:dyDescent="0.2"/>
    <row r="63" spans="1:7" ht="15.75" customHeight="1" x14ac:dyDescent="0.2">
      <c r="A63" s="30" t="s">
        <v>244</v>
      </c>
      <c r="B63" s="49">
        <f>B60/6</f>
        <v>668563.79333333333</v>
      </c>
    </row>
    <row r="64" spans="1:7" ht="15.75" customHeight="1" x14ac:dyDescent="0.2">
      <c r="A64" s="30" t="s">
        <v>245</v>
      </c>
      <c r="B64" s="49" t="e">
        <f>C51/6</f>
        <v>#VALUE!</v>
      </c>
      <c r="C64" s="24"/>
    </row>
    <row r="65" spans="4:4" ht="15.75" customHeight="1" x14ac:dyDescent="0.2"/>
    <row r="66" spans="4:4" ht="15.75" customHeight="1" x14ac:dyDescent="0.2"/>
    <row r="67" spans="4:4" ht="15.75" customHeight="1" x14ac:dyDescent="0.2"/>
    <row r="68" spans="4:4" ht="15.75" customHeight="1" x14ac:dyDescent="0.2">
      <c r="D68" s="23"/>
    </row>
    <row r="69" spans="4:4" ht="15.75" customHeight="1" x14ac:dyDescent="0.2"/>
    <row r="70" spans="4:4" ht="15.75" customHeight="1" x14ac:dyDescent="0.2"/>
    <row r="71" spans="4:4" ht="15.75" customHeight="1" x14ac:dyDescent="0.2"/>
    <row r="72" spans="4:4" ht="15.75" customHeight="1" x14ac:dyDescent="0.2"/>
    <row r="73" spans="4:4" ht="15.75" customHeight="1" x14ac:dyDescent="0.2"/>
    <row r="74" spans="4:4" ht="15.75" customHeight="1" x14ac:dyDescent="0.2"/>
    <row r="75" spans="4:4" ht="15.75" customHeight="1" x14ac:dyDescent="0.2"/>
    <row r="76" spans="4:4" ht="15.75" customHeight="1" x14ac:dyDescent="0.2"/>
    <row r="77" spans="4:4" ht="15.75" customHeight="1" x14ac:dyDescent="0.2"/>
    <row r="78" spans="4:4" ht="15.75" customHeight="1" x14ac:dyDescent="0.2"/>
    <row r="79" spans="4:4" ht="15.75" customHeight="1" x14ac:dyDescent="0.2"/>
    <row r="80" spans="4:4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N1013"/>
  <sheetViews>
    <sheetView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258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 t="s">
        <v>247</v>
      </c>
      <c r="C3" s="45"/>
      <c r="D3" s="45"/>
      <c r="F3" s="45" t="s">
        <v>247</v>
      </c>
      <c r="G3" s="24"/>
      <c r="H3" s="46"/>
      <c r="I3" s="47">
        <v>0</v>
      </c>
    </row>
    <row r="4" spans="1:12" ht="15.75" customHeight="1" x14ac:dyDescent="0.2">
      <c r="A4" s="43" t="s">
        <v>205</v>
      </c>
      <c r="B4" s="44">
        <v>2523508.65</v>
      </c>
      <c r="C4" s="48">
        <v>653200</v>
      </c>
      <c r="D4" s="45">
        <v>1700000</v>
      </c>
      <c r="E4" s="45" t="s">
        <v>247</v>
      </c>
      <c r="F4" s="45">
        <v>1476708.65</v>
      </c>
      <c r="G4" s="24"/>
      <c r="H4" s="46"/>
      <c r="I4" s="47">
        <v>6.3200000000000006E-2</v>
      </c>
    </row>
    <row r="5" spans="1:12" ht="15.75" customHeight="1" x14ac:dyDescent="0.2">
      <c r="A5" s="43" t="s">
        <v>171</v>
      </c>
      <c r="B5" s="44">
        <v>275984.75</v>
      </c>
      <c r="C5" s="45">
        <v>149501.20000000001</v>
      </c>
      <c r="D5" s="44">
        <v>271603.12</v>
      </c>
      <c r="E5" s="45">
        <v>4370.63</v>
      </c>
      <c r="F5" s="45">
        <v>149512.20000000001</v>
      </c>
      <c r="G5" s="24"/>
      <c r="H5" s="46"/>
      <c r="I5" s="47">
        <v>6.4000000000000003E-3</v>
      </c>
      <c r="J5" s="49"/>
    </row>
    <row r="6" spans="1:12" ht="15.75" customHeight="1" x14ac:dyDescent="0.2">
      <c r="A6" s="43" t="s">
        <v>108</v>
      </c>
      <c r="B6" s="44">
        <v>1600000</v>
      </c>
      <c r="C6" s="45">
        <v>2049180</v>
      </c>
      <c r="D6" s="45">
        <v>2184544.4900000002</v>
      </c>
      <c r="E6" s="45">
        <v>35705.51</v>
      </c>
      <c r="F6" s="45">
        <v>1428930</v>
      </c>
      <c r="G6" s="24"/>
      <c r="H6" s="46"/>
      <c r="I6" s="47">
        <v>6.1199999999999997E-2</v>
      </c>
    </row>
    <row r="7" spans="1:12" ht="15.75" customHeight="1" x14ac:dyDescent="0.2">
      <c r="A7" s="43" t="s">
        <v>206</v>
      </c>
      <c r="B7" s="44">
        <v>73270</v>
      </c>
      <c r="C7" s="45"/>
      <c r="D7" s="45">
        <v>70300</v>
      </c>
      <c r="E7" s="45" t="s">
        <v>247</v>
      </c>
      <c r="F7" s="45">
        <v>2970</v>
      </c>
      <c r="G7" s="24"/>
      <c r="H7" s="46"/>
      <c r="I7" s="47">
        <v>1E-4</v>
      </c>
    </row>
    <row r="8" spans="1:12" ht="15.75" customHeight="1" x14ac:dyDescent="0.2">
      <c r="A8" s="43" t="s">
        <v>207</v>
      </c>
      <c r="B8" s="44">
        <v>765750</v>
      </c>
      <c r="C8" s="45">
        <v>474930</v>
      </c>
      <c r="D8" s="45">
        <v>650910</v>
      </c>
      <c r="E8" s="45" t="s">
        <v>247</v>
      </c>
      <c r="F8" s="45">
        <v>589770</v>
      </c>
      <c r="G8" s="24"/>
      <c r="H8" s="46"/>
      <c r="I8" s="47">
        <v>2.53E-2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 t="s">
        <v>247</v>
      </c>
      <c r="F9" s="45">
        <v>73950</v>
      </c>
      <c r="G9" s="24"/>
      <c r="H9" s="46"/>
      <c r="I9" s="47">
        <v>3.2000000000000002E-3</v>
      </c>
    </row>
    <row r="10" spans="1:12" ht="15.75" customHeight="1" x14ac:dyDescent="0.2">
      <c r="A10" s="43" t="s">
        <v>209</v>
      </c>
      <c r="B10" s="44" t="s">
        <v>247</v>
      </c>
      <c r="C10" s="45"/>
      <c r="D10" s="45"/>
      <c r="E10" s="45" t="s">
        <v>247</v>
      </c>
      <c r="F10" s="45" t="s">
        <v>247</v>
      </c>
      <c r="G10" s="24"/>
      <c r="H10" s="46"/>
      <c r="I10" s="47">
        <v>0</v>
      </c>
    </row>
    <row r="11" spans="1:12" ht="15.75" customHeight="1" x14ac:dyDescent="0.2">
      <c r="A11" s="43" t="s">
        <v>210</v>
      </c>
      <c r="B11" s="44">
        <v>19040</v>
      </c>
      <c r="C11" s="45"/>
      <c r="D11" s="50"/>
      <c r="E11" s="45" t="s">
        <v>247</v>
      </c>
      <c r="F11" s="45">
        <v>19040</v>
      </c>
      <c r="G11" s="24"/>
      <c r="H11" s="46"/>
      <c r="I11" s="47">
        <v>8.0000000000000004E-4</v>
      </c>
      <c r="L11" s="5"/>
    </row>
    <row r="12" spans="1:12" ht="15.75" customHeight="1" x14ac:dyDescent="0.2">
      <c r="A12" s="43" t="s">
        <v>211</v>
      </c>
      <c r="B12" s="44" t="s">
        <v>247</v>
      </c>
      <c r="C12" s="45"/>
      <c r="D12" s="50"/>
      <c r="E12" s="45" t="s">
        <v>247</v>
      </c>
      <c r="F12" s="45" t="s">
        <v>247</v>
      </c>
      <c r="G12" s="24"/>
      <c r="H12" s="46"/>
      <c r="I12" s="47">
        <v>0</v>
      </c>
    </row>
    <row r="13" spans="1:12" ht="15.75" customHeight="1" x14ac:dyDescent="0.2">
      <c r="A13" s="43" t="s">
        <v>212</v>
      </c>
      <c r="B13" s="44">
        <v>13229.37</v>
      </c>
      <c r="C13" s="45"/>
      <c r="D13" s="50"/>
      <c r="E13" s="45" t="s">
        <v>247</v>
      </c>
      <c r="F13" s="45">
        <v>13229.37</v>
      </c>
      <c r="G13" s="24"/>
      <c r="H13" s="46"/>
      <c r="I13" s="47">
        <v>5.9999999999999995E-4</v>
      </c>
      <c r="J13" s="5"/>
    </row>
    <row r="14" spans="1:12" ht="15.75" customHeight="1" x14ac:dyDescent="0.2">
      <c r="A14" s="43" t="s">
        <v>149</v>
      </c>
      <c r="B14" s="44">
        <v>1178290</v>
      </c>
      <c r="C14" s="45">
        <v>1132150</v>
      </c>
      <c r="D14" s="45">
        <v>1044300</v>
      </c>
      <c r="E14" s="45" t="s">
        <v>247</v>
      </c>
      <c r="F14" s="45">
        <v>1266140</v>
      </c>
      <c r="G14" s="24"/>
      <c r="H14" s="46"/>
      <c r="I14" s="47">
        <v>5.4199999999999998E-2</v>
      </c>
    </row>
    <row r="15" spans="1:12" ht="15.75" customHeight="1" x14ac:dyDescent="0.2">
      <c r="A15" s="43" t="s">
        <v>116</v>
      </c>
      <c r="B15" s="44">
        <v>1927275</v>
      </c>
      <c r="C15" s="45">
        <v>2223115</v>
      </c>
      <c r="D15" s="45">
        <v>1130700</v>
      </c>
      <c r="E15" s="45" t="s">
        <v>247</v>
      </c>
      <c r="F15" s="45">
        <v>3019690</v>
      </c>
      <c r="G15" s="24"/>
      <c r="H15" s="46"/>
      <c r="I15" s="47">
        <v>0.1293</v>
      </c>
    </row>
    <row r="16" spans="1:12" ht="15.75" customHeight="1" x14ac:dyDescent="0.2">
      <c r="A16" s="43" t="s">
        <v>213</v>
      </c>
      <c r="B16" s="45">
        <v>9720684.5</v>
      </c>
      <c r="C16" s="45">
        <v>10894302.199999999</v>
      </c>
      <c r="D16" s="45">
        <v>9295545</v>
      </c>
      <c r="E16" s="45">
        <v>834860</v>
      </c>
      <c r="F16" s="45">
        <v>10484581.699999999</v>
      </c>
      <c r="G16" s="24"/>
      <c r="H16" s="46"/>
      <c r="I16" s="47">
        <v>0.44900000000000001</v>
      </c>
      <c r="J16" s="5"/>
    </row>
    <row r="17" spans="1:14" ht="15.75" customHeight="1" x14ac:dyDescent="0.2">
      <c r="A17" s="43" t="s">
        <v>214</v>
      </c>
      <c r="B17" s="44" t="s">
        <v>247</v>
      </c>
      <c r="C17" s="45"/>
      <c r="D17" s="45"/>
      <c r="E17" s="45" t="s">
        <v>247</v>
      </c>
      <c r="F17" s="45" t="s">
        <v>247</v>
      </c>
      <c r="G17" s="24"/>
      <c r="H17" s="46"/>
      <c r="I17" s="47">
        <v>0</v>
      </c>
    </row>
    <row r="18" spans="1:14" ht="15.75" customHeight="1" x14ac:dyDescent="0.2">
      <c r="A18" s="43" t="s">
        <v>215</v>
      </c>
      <c r="B18" s="44" t="s">
        <v>247</v>
      </c>
      <c r="C18" s="45"/>
      <c r="D18" s="45"/>
      <c r="E18" s="45" t="s">
        <v>247</v>
      </c>
      <c r="F18" s="45" t="s">
        <v>247</v>
      </c>
      <c r="G18" s="24"/>
      <c r="H18" s="46"/>
      <c r="I18" s="47">
        <v>0</v>
      </c>
      <c r="J18" s="5"/>
    </row>
    <row r="19" spans="1:14" ht="16.5" customHeight="1" x14ac:dyDescent="0.2">
      <c r="A19" s="43" t="s">
        <v>75</v>
      </c>
      <c r="B19" s="44">
        <v>1503780</v>
      </c>
      <c r="C19" s="45">
        <v>1250110</v>
      </c>
      <c r="D19" s="44">
        <v>2436380</v>
      </c>
      <c r="E19" s="44" t="s">
        <v>247</v>
      </c>
      <c r="F19" s="45">
        <v>317510</v>
      </c>
      <c r="G19" s="24"/>
      <c r="H19" s="46"/>
      <c r="I19" s="47">
        <v>1.3599999999999999E-2</v>
      </c>
      <c r="N19" s="51"/>
    </row>
    <row r="20" spans="1:14" ht="16.5" customHeight="1" x14ac:dyDescent="0.2">
      <c r="A20" s="43" t="s">
        <v>216</v>
      </c>
      <c r="B20" s="44" t="s">
        <v>247</v>
      </c>
      <c r="C20" s="45"/>
      <c r="D20" s="44"/>
      <c r="E20" s="44" t="s">
        <v>247</v>
      </c>
      <c r="F20" s="45" t="s">
        <v>247</v>
      </c>
      <c r="G20" s="24"/>
      <c r="H20" s="46"/>
      <c r="I20" s="47">
        <v>0</v>
      </c>
    </row>
    <row r="21" spans="1:14" ht="16.5" customHeight="1" x14ac:dyDescent="0.2">
      <c r="A21" s="43" t="s">
        <v>91</v>
      </c>
      <c r="B21" s="44">
        <v>392625</v>
      </c>
      <c r="C21" s="45">
        <v>596905</v>
      </c>
      <c r="D21" s="44">
        <v>596905</v>
      </c>
      <c r="E21" s="44" t="s">
        <v>247</v>
      </c>
      <c r="F21" s="52">
        <v>392625</v>
      </c>
      <c r="G21" s="24"/>
      <c r="H21" s="46"/>
      <c r="I21" s="47">
        <v>1.6799999999999999E-2</v>
      </c>
    </row>
    <row r="22" spans="1:14" ht="16.5" customHeight="1" x14ac:dyDescent="0.2">
      <c r="A22" s="43" t="s">
        <v>217</v>
      </c>
      <c r="B22" s="44" t="s">
        <v>247</v>
      </c>
      <c r="C22" s="45"/>
      <c r="D22" s="44"/>
      <c r="E22" s="44" t="s">
        <v>247</v>
      </c>
      <c r="F22" s="45" t="s">
        <v>247</v>
      </c>
      <c r="G22" s="24"/>
      <c r="H22" s="46"/>
      <c r="I22" s="47">
        <v>0</v>
      </c>
    </row>
    <row r="23" spans="1:14" ht="16.5" customHeight="1" x14ac:dyDescent="0.2">
      <c r="A23" s="43" t="s">
        <v>119</v>
      </c>
      <c r="B23" s="44">
        <v>1249650</v>
      </c>
      <c r="C23" s="48">
        <v>1402585</v>
      </c>
      <c r="D23" s="44">
        <v>1604895</v>
      </c>
      <c r="E23" s="44" t="s">
        <v>247</v>
      </c>
      <c r="F23" s="45">
        <v>1047340</v>
      </c>
      <c r="G23" s="24"/>
      <c r="H23" s="46"/>
      <c r="I23" s="47">
        <v>4.4900000000000002E-2</v>
      </c>
    </row>
    <row r="24" spans="1:14" ht="16.5" customHeight="1" x14ac:dyDescent="0.2">
      <c r="A24" s="43" t="s">
        <v>218</v>
      </c>
      <c r="B24" s="44" t="s">
        <v>247</v>
      </c>
      <c r="C24" s="48"/>
      <c r="D24" s="44"/>
      <c r="E24" s="44" t="s">
        <v>247</v>
      </c>
      <c r="F24" s="45" t="s">
        <v>247</v>
      </c>
      <c r="G24" s="24"/>
      <c r="H24" s="46"/>
      <c r="I24" s="47">
        <v>0</v>
      </c>
    </row>
    <row r="25" spans="1:14" ht="16.5" customHeight="1" x14ac:dyDescent="0.2">
      <c r="A25" s="43" t="s">
        <v>219</v>
      </c>
      <c r="B25" s="44" t="s">
        <v>247</v>
      </c>
      <c r="C25" s="45"/>
      <c r="D25" s="44"/>
      <c r="E25" s="44" t="s">
        <v>247</v>
      </c>
      <c r="F25" s="45" t="s">
        <v>247</v>
      </c>
      <c r="G25" s="24"/>
      <c r="H25" s="46"/>
      <c r="I25" s="47">
        <v>0</v>
      </c>
    </row>
    <row r="26" spans="1:14" ht="16.5" customHeight="1" x14ac:dyDescent="0.2">
      <c r="A26" s="43" t="s">
        <v>220</v>
      </c>
      <c r="B26" s="44">
        <v>226700</v>
      </c>
      <c r="C26" s="45">
        <v>94000</v>
      </c>
      <c r="D26" s="44">
        <v>320700</v>
      </c>
      <c r="E26" s="44" t="s">
        <v>247</v>
      </c>
      <c r="F26" s="45" t="s">
        <v>247</v>
      </c>
      <c r="G26" s="24"/>
      <c r="H26" s="46"/>
      <c r="I26" s="47">
        <v>0</v>
      </c>
    </row>
    <row r="27" spans="1:14" ht="16.5" customHeight="1" x14ac:dyDescent="0.2">
      <c r="A27" s="43" t="s">
        <v>222</v>
      </c>
      <c r="B27" s="44">
        <v>460550</v>
      </c>
      <c r="C27" s="45">
        <v>1796850</v>
      </c>
      <c r="D27" s="44">
        <v>836400</v>
      </c>
      <c r="E27" s="44" t="s">
        <v>247</v>
      </c>
      <c r="F27" s="45">
        <v>1421000</v>
      </c>
      <c r="G27" s="24"/>
      <c r="H27" s="46"/>
      <c r="I27" s="47">
        <v>6.0900000000000003E-2</v>
      </c>
    </row>
    <row r="28" spans="1:14" ht="16.5" customHeight="1" x14ac:dyDescent="0.2">
      <c r="A28" s="43" t="s">
        <v>259</v>
      </c>
      <c r="B28" s="44"/>
      <c r="C28" s="45">
        <v>1045000</v>
      </c>
      <c r="D28" s="44"/>
      <c r="E28" s="44"/>
      <c r="F28" s="45">
        <v>1045000</v>
      </c>
      <c r="G28" s="24"/>
      <c r="H28" s="46"/>
      <c r="I28" s="47">
        <v>4.48E-2</v>
      </c>
    </row>
    <row r="29" spans="1:14" ht="16.5" customHeight="1" x14ac:dyDescent="0.2">
      <c r="A29" s="43" t="s">
        <v>128</v>
      </c>
      <c r="B29" s="44" t="s">
        <v>247</v>
      </c>
      <c r="C29" s="45">
        <v>241774</v>
      </c>
      <c r="D29" s="44" t="s">
        <v>247</v>
      </c>
      <c r="E29" s="44" t="s">
        <v>247</v>
      </c>
      <c r="F29" s="45">
        <v>241774</v>
      </c>
      <c r="G29" s="24"/>
      <c r="H29" s="46"/>
      <c r="I29" s="47">
        <v>1.04E-2</v>
      </c>
    </row>
    <row r="30" spans="1:14" ht="16.5" customHeight="1" x14ac:dyDescent="0.2">
      <c r="A30" s="43" t="s">
        <v>223</v>
      </c>
      <c r="B30" s="44" t="s">
        <v>247</v>
      </c>
      <c r="C30" s="45">
        <v>335616.13</v>
      </c>
      <c r="D30" s="44" t="s">
        <v>247</v>
      </c>
      <c r="E30" s="44" t="s">
        <v>247</v>
      </c>
      <c r="F30" s="45">
        <v>335616.13</v>
      </c>
      <c r="G30" s="24"/>
      <c r="H30" s="46"/>
      <c r="I30" s="47">
        <v>1.44E-2</v>
      </c>
    </row>
    <row r="31" spans="1:14" ht="16.5" customHeight="1" x14ac:dyDescent="0.2">
      <c r="A31" s="43" t="s">
        <v>224</v>
      </c>
      <c r="B31" s="44" t="s">
        <v>247</v>
      </c>
      <c r="C31" s="45">
        <v>16000</v>
      </c>
      <c r="D31" s="44">
        <v>16000</v>
      </c>
      <c r="E31" s="44"/>
      <c r="F31" s="45" t="s">
        <v>247</v>
      </c>
      <c r="G31" s="24"/>
      <c r="H31" s="46"/>
      <c r="I31" s="47">
        <v>0</v>
      </c>
    </row>
    <row r="32" spans="1:14" ht="16.5" customHeight="1" x14ac:dyDescent="0.2">
      <c r="A32" s="43" t="s">
        <v>227</v>
      </c>
      <c r="B32" s="44" t="s">
        <v>247</v>
      </c>
      <c r="C32" s="45">
        <v>143850</v>
      </c>
      <c r="D32" s="44">
        <v>143850</v>
      </c>
      <c r="E32" s="44" t="s">
        <v>247</v>
      </c>
      <c r="F32" s="45" t="s">
        <v>247</v>
      </c>
      <c r="G32" s="24"/>
      <c r="H32" s="46"/>
      <c r="I32" s="47">
        <v>0</v>
      </c>
    </row>
    <row r="33" spans="1:9" ht="16.5" customHeight="1" x14ac:dyDescent="0.2">
      <c r="A33" s="43" t="s">
        <v>228</v>
      </c>
      <c r="B33" s="44" t="s">
        <v>247</v>
      </c>
      <c r="C33" s="45">
        <v>24925</v>
      </c>
      <c r="D33" s="44" t="s">
        <v>247</v>
      </c>
      <c r="E33" s="44" t="s">
        <v>247</v>
      </c>
      <c r="F33" s="45">
        <v>24925</v>
      </c>
      <c r="G33" s="24"/>
      <c r="H33" s="46"/>
      <c r="I33" s="47">
        <v>1.1000000000000001E-3</v>
      </c>
    </row>
    <row r="34" spans="1:9" ht="16.5" customHeight="1" x14ac:dyDescent="0.2">
      <c r="A34" s="43" t="s">
        <v>229</v>
      </c>
      <c r="B34" s="44" t="s">
        <v>247</v>
      </c>
      <c r="C34" s="45">
        <v>389236.25</v>
      </c>
      <c r="D34" s="44">
        <v>389236.25</v>
      </c>
      <c r="E34" s="44" t="s">
        <v>247</v>
      </c>
      <c r="F34" s="45" t="s">
        <v>247</v>
      </c>
      <c r="G34" s="24"/>
      <c r="H34" s="46"/>
      <c r="I34" s="47">
        <v>0</v>
      </c>
    </row>
    <row r="35" spans="1:9" ht="18" customHeight="1" x14ac:dyDescent="0.2">
      <c r="C35" s="49"/>
      <c r="D35" s="49"/>
      <c r="E35" s="49"/>
      <c r="F35" s="49"/>
    </row>
    <row r="36" spans="1:9" ht="15.75" customHeight="1" x14ac:dyDescent="0.2">
      <c r="B36" s="49">
        <v>22004287.27</v>
      </c>
      <c r="C36" s="49">
        <v>24913229.780000001</v>
      </c>
      <c r="D36" s="49">
        <v>22692268.859999999</v>
      </c>
      <c r="E36" s="49"/>
      <c r="F36" s="57">
        <v>23350312.050000001</v>
      </c>
      <c r="H36" s="49"/>
      <c r="I36" s="58">
        <v>1</v>
      </c>
    </row>
    <row r="37" spans="1:9" ht="15" customHeight="1" x14ac:dyDescent="0.2">
      <c r="C37" s="59"/>
      <c r="G37" s="60"/>
    </row>
    <row r="38" spans="1:9" ht="15.75" customHeight="1" x14ac:dyDescent="0.2">
      <c r="B38" s="11" t="s">
        <v>234</v>
      </c>
      <c r="C38" s="49">
        <v>24913229.780000001</v>
      </c>
      <c r="D38" s="49"/>
      <c r="E38" s="49"/>
      <c r="F38" s="49"/>
    </row>
    <row r="39" spans="1:9" ht="15.75" customHeight="1" x14ac:dyDescent="0.2">
      <c r="C39" s="49"/>
      <c r="F39" s="60"/>
    </row>
    <row r="40" spans="1:9" ht="15.75" customHeight="1" x14ac:dyDescent="0.2">
      <c r="B40" s="11" t="s">
        <v>235</v>
      </c>
      <c r="C40" s="49">
        <v>8924138.3900000006</v>
      </c>
      <c r="D40" s="61">
        <v>0.35820000000000002</v>
      </c>
      <c r="E40" s="61"/>
      <c r="F40" s="49"/>
      <c r="G40" s="11"/>
    </row>
    <row r="41" spans="1:9" ht="15.75" customHeight="1" x14ac:dyDescent="0.2">
      <c r="C41" s="49"/>
      <c r="G41" s="49"/>
    </row>
    <row r="42" spans="1:9" ht="15.75" customHeight="1" x14ac:dyDescent="0.2">
      <c r="D42" s="62" t="s">
        <v>236</v>
      </c>
      <c r="F42" s="23"/>
    </row>
    <row r="43" spans="1:9" ht="15.75" customHeight="1" x14ac:dyDescent="0.2">
      <c r="A43" s="11" t="s">
        <v>260</v>
      </c>
      <c r="B43" s="49">
        <v>8946212.5</v>
      </c>
      <c r="D43" s="63">
        <v>238</v>
      </c>
      <c r="E43" s="64"/>
      <c r="F43" s="49"/>
    </row>
    <row r="44" spans="1:9" ht="15.75" customHeight="1" x14ac:dyDescent="0.2">
      <c r="A44" s="11" t="s">
        <v>261</v>
      </c>
      <c r="B44" s="49">
        <v>7453574.1500000004</v>
      </c>
      <c r="D44" s="65">
        <v>205</v>
      </c>
    </row>
    <row r="45" spans="1:9" ht="15.75" customHeight="1" x14ac:dyDescent="0.2">
      <c r="A45" s="11" t="s">
        <v>262</v>
      </c>
      <c r="B45" s="49">
        <v>3796089.5</v>
      </c>
      <c r="C45" s="23"/>
      <c r="D45" s="65"/>
      <c r="E45" s="49"/>
    </row>
    <row r="46" spans="1:9" ht="15.75" customHeight="1" x14ac:dyDescent="0.2">
      <c r="A46" s="11" t="s">
        <v>263</v>
      </c>
      <c r="B46" s="49">
        <v>4717353.63</v>
      </c>
      <c r="C46" s="59"/>
      <c r="D46" s="65"/>
      <c r="E46" s="49"/>
    </row>
    <row r="47" spans="1:9" ht="15.75" customHeight="1" x14ac:dyDescent="0.2">
      <c r="B47" s="49"/>
      <c r="C47" s="30" t="s">
        <v>242</v>
      </c>
      <c r="D47" s="65">
        <v>443</v>
      </c>
      <c r="E47" s="49"/>
    </row>
    <row r="48" spans="1:9" ht="15.75" customHeight="1" x14ac:dyDescent="0.2">
      <c r="A48" s="30" t="s">
        <v>243</v>
      </c>
      <c r="B48" s="49">
        <v>24913229.780000001</v>
      </c>
    </row>
    <row r="49" spans="1:4" ht="15.75" customHeight="1" x14ac:dyDescent="0.2">
      <c r="B49" s="49"/>
      <c r="C49" s="60"/>
      <c r="D49" s="60"/>
    </row>
    <row r="50" spans="1:4" ht="15.75" customHeight="1" x14ac:dyDescent="0.2"/>
    <row r="51" spans="1:4" ht="15.75" customHeight="1" x14ac:dyDescent="0.2">
      <c r="A51" s="30" t="s">
        <v>244</v>
      </c>
      <c r="B51" s="49">
        <v>1083183.8999999999</v>
      </c>
    </row>
    <row r="52" spans="1:4" ht="15.75" customHeight="1" x14ac:dyDescent="0.2">
      <c r="A52" s="30" t="s">
        <v>245</v>
      </c>
      <c r="B52" s="49">
        <v>371839.1</v>
      </c>
      <c r="C52" s="24"/>
    </row>
    <row r="53" spans="1:4" ht="15.75" customHeight="1" x14ac:dyDescent="0.2"/>
    <row r="54" spans="1:4" ht="15.75" customHeight="1" x14ac:dyDescent="0.2"/>
    <row r="55" spans="1:4" ht="15.75" customHeight="1" x14ac:dyDescent="0.2"/>
    <row r="56" spans="1:4" ht="15.75" customHeight="1" x14ac:dyDescent="0.2">
      <c r="D56" s="23"/>
    </row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F60"/>
  <sheetViews>
    <sheetView workbookViewId="0"/>
  </sheetViews>
  <sheetFormatPr baseColWidth="10" defaultColWidth="12.6640625" defaultRowHeight="15" customHeight="1" x14ac:dyDescent="0.2"/>
  <cols>
    <col min="1" max="1" width="3.83203125" customWidth="1"/>
    <col min="2" max="2" width="10" customWidth="1"/>
    <col min="3" max="3" width="11.1640625" customWidth="1"/>
    <col min="4" max="4" width="5.1640625" customWidth="1"/>
  </cols>
  <sheetData>
    <row r="1" spans="1:6" x14ac:dyDescent="0.2">
      <c r="A1" s="4"/>
      <c r="B1" s="4"/>
      <c r="C1" s="4"/>
      <c r="D1" s="4"/>
      <c r="E1" s="4"/>
      <c r="F1" s="4"/>
    </row>
    <row r="2" spans="1:6" x14ac:dyDescent="0.2">
      <c r="A2" s="4"/>
      <c r="B2" s="4"/>
      <c r="C2" s="4"/>
      <c r="D2" s="4"/>
      <c r="E2" s="2"/>
      <c r="F2" s="72"/>
    </row>
    <row r="3" spans="1:6" x14ac:dyDescent="0.2">
      <c r="A3" s="4"/>
      <c r="B3" s="4"/>
      <c r="C3" s="4"/>
      <c r="D3" s="4"/>
      <c r="E3" s="2"/>
      <c r="F3" s="72"/>
    </row>
    <row r="4" spans="1:6" x14ac:dyDescent="0.2">
      <c r="A4" s="4"/>
      <c r="B4" s="81" t="s">
        <v>264</v>
      </c>
      <c r="C4" s="82"/>
      <c r="D4" s="4"/>
      <c r="E4" s="2"/>
      <c r="F4" s="4"/>
    </row>
    <row r="5" spans="1:6" x14ac:dyDescent="0.2">
      <c r="A5" s="4"/>
      <c r="B5" s="73" t="s">
        <v>265</v>
      </c>
      <c r="C5" s="74">
        <v>35365</v>
      </c>
      <c r="D5" s="4"/>
      <c r="E5" s="2"/>
      <c r="F5" s="4"/>
    </row>
    <row r="6" spans="1:6" x14ac:dyDescent="0.2">
      <c r="A6" s="4"/>
      <c r="B6" s="4"/>
      <c r="C6" s="4"/>
      <c r="D6" s="4"/>
      <c r="E6" s="2"/>
      <c r="F6" s="4"/>
    </row>
    <row r="7" spans="1:6" x14ac:dyDescent="0.2">
      <c r="A7" s="4"/>
      <c r="B7" s="81" t="s">
        <v>266</v>
      </c>
      <c r="C7" s="82"/>
      <c r="D7" s="4"/>
      <c r="E7" s="2"/>
      <c r="F7" s="4"/>
    </row>
    <row r="8" spans="1:6" x14ac:dyDescent="0.2">
      <c r="A8" s="4"/>
      <c r="B8" s="73" t="s">
        <v>265</v>
      </c>
      <c r="C8" s="74">
        <v>282229.25</v>
      </c>
      <c r="D8" s="4"/>
      <c r="E8" s="4"/>
      <c r="F8" s="4"/>
    </row>
    <row r="9" spans="1:6" x14ac:dyDescent="0.2">
      <c r="A9" s="4"/>
      <c r="B9" s="4"/>
      <c r="C9" s="4"/>
      <c r="D9" s="4"/>
      <c r="E9" s="4"/>
      <c r="F9" s="4"/>
    </row>
    <row r="10" spans="1:6" x14ac:dyDescent="0.2">
      <c r="A10" s="4"/>
      <c r="B10" s="81" t="s">
        <v>267</v>
      </c>
      <c r="C10" s="82"/>
      <c r="D10" s="4"/>
      <c r="E10" s="4"/>
      <c r="F10" s="4"/>
    </row>
    <row r="11" spans="1:6" x14ac:dyDescent="0.2">
      <c r="A11" s="4"/>
      <c r="B11" s="73" t="s">
        <v>265</v>
      </c>
      <c r="C11" s="74">
        <v>300174</v>
      </c>
      <c r="D11" s="4"/>
      <c r="E11" s="4"/>
      <c r="F11" s="4"/>
    </row>
    <row r="12" spans="1:6" x14ac:dyDescent="0.2">
      <c r="A12" s="4"/>
      <c r="B12" s="4"/>
      <c r="C12" s="4"/>
      <c r="D12" s="4"/>
      <c r="E12" s="4"/>
      <c r="F12" s="4"/>
    </row>
    <row r="13" spans="1:6" x14ac:dyDescent="0.2">
      <c r="A13" s="4"/>
      <c r="B13" s="4"/>
      <c r="C13" s="4"/>
      <c r="D13" s="4"/>
      <c r="E13" s="4"/>
      <c r="F13" s="4"/>
    </row>
    <row r="14" spans="1:6" x14ac:dyDescent="0.2">
      <c r="A14" s="4"/>
      <c r="B14" s="4"/>
      <c r="C14" s="4"/>
      <c r="D14" s="4"/>
      <c r="E14" s="2"/>
      <c r="F14" s="1"/>
    </row>
    <row r="15" spans="1:6" x14ac:dyDescent="0.2">
      <c r="A15" s="4"/>
      <c r="B15" s="4"/>
      <c r="C15" s="4"/>
      <c r="D15" s="4"/>
      <c r="E15" s="2"/>
      <c r="F15" s="1"/>
    </row>
    <row r="16" spans="1:6" x14ac:dyDescent="0.2">
      <c r="A16" s="4"/>
      <c r="B16" s="4"/>
      <c r="C16" s="4"/>
      <c r="D16" s="4"/>
      <c r="E16" s="2"/>
      <c r="F16" s="1"/>
    </row>
    <row r="17" spans="1:6" x14ac:dyDescent="0.2">
      <c r="A17" s="4"/>
      <c r="B17" s="4"/>
      <c r="C17" s="4"/>
      <c r="D17" s="4"/>
      <c r="E17" s="2"/>
      <c r="F17" s="1"/>
    </row>
    <row r="18" spans="1:6" x14ac:dyDescent="0.2">
      <c r="A18" s="4"/>
      <c r="B18" s="4"/>
      <c r="C18" s="4"/>
      <c r="D18" s="4"/>
      <c r="E18" s="2"/>
      <c r="F18" s="1"/>
    </row>
    <row r="19" spans="1:6" x14ac:dyDescent="0.2">
      <c r="A19" s="4"/>
      <c r="B19" s="4"/>
      <c r="C19" s="4"/>
      <c r="D19" s="4"/>
      <c r="E19" s="2"/>
      <c r="F19" s="1"/>
    </row>
    <row r="20" spans="1:6" x14ac:dyDescent="0.2">
      <c r="A20" s="4"/>
      <c r="B20" s="4"/>
      <c r="C20" s="4"/>
      <c r="D20" s="4"/>
      <c r="E20" s="2"/>
      <c r="F20" s="1"/>
    </row>
    <row r="21" spans="1:6" x14ac:dyDescent="0.2">
      <c r="A21" s="4"/>
      <c r="B21" s="4"/>
      <c r="C21" s="4"/>
      <c r="D21" s="4"/>
      <c r="E21" s="2"/>
      <c r="F21" s="4"/>
    </row>
    <row r="22" spans="1:6" x14ac:dyDescent="0.2">
      <c r="A22" s="4"/>
      <c r="B22" s="4"/>
      <c r="C22" s="2"/>
      <c r="D22" s="2"/>
      <c r="E22" s="2"/>
      <c r="F22" s="4"/>
    </row>
    <row r="23" spans="1:6" x14ac:dyDescent="0.2">
      <c r="A23" s="4"/>
      <c r="B23" s="4"/>
      <c r="C23" s="2"/>
      <c r="D23" s="2"/>
      <c r="E23" s="2"/>
      <c r="F23" s="4"/>
    </row>
    <row r="24" spans="1:6" x14ac:dyDescent="0.2">
      <c r="A24" s="4"/>
      <c r="B24" s="4"/>
      <c r="C24" s="2"/>
      <c r="D24" s="2"/>
      <c r="E24" s="2"/>
      <c r="F24" s="4"/>
    </row>
    <row r="25" spans="1:6" x14ac:dyDescent="0.2">
      <c r="A25" s="4"/>
      <c r="B25" s="5"/>
      <c r="C25" s="5"/>
      <c r="D25" s="5"/>
      <c r="E25" s="2"/>
      <c r="F25" s="4"/>
    </row>
    <row r="26" spans="1:6" x14ac:dyDescent="0.2">
      <c r="A26" s="4"/>
      <c r="B26" s="4"/>
      <c r="C26" s="2"/>
      <c r="D26" s="2"/>
      <c r="E26" s="2"/>
      <c r="F26" s="4"/>
    </row>
    <row r="27" spans="1:6" x14ac:dyDescent="0.2">
      <c r="A27" s="4"/>
      <c r="B27" s="4"/>
      <c r="C27" s="2"/>
      <c r="D27" s="2"/>
      <c r="E27" s="2"/>
      <c r="F27" s="4"/>
    </row>
    <row r="28" spans="1:6" x14ac:dyDescent="0.2">
      <c r="A28" s="4"/>
      <c r="B28" s="4"/>
      <c r="C28" s="2"/>
      <c r="D28" s="2"/>
      <c r="E28" s="2"/>
      <c r="F28" s="4"/>
    </row>
    <row r="59" spans="5:5" x14ac:dyDescent="0.2">
      <c r="E59" s="13"/>
    </row>
    <row r="60" spans="5:5" x14ac:dyDescent="0.2">
      <c r="E60" s="13"/>
    </row>
  </sheetData>
  <mergeCells count="3">
    <mergeCell ref="B4:C4"/>
    <mergeCell ref="B7:C7"/>
    <mergeCell ref="B10:C10"/>
  </mergeCells>
  <printOptions horizontalCentered="1"/>
  <pageMargins left="0.25" right="0.25" top="0.59251968503937003" bottom="0.59251968503937003" header="0" footer="0"/>
  <pageSetup paperSize="9" scale="95" pageOrder="overThenDown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01-04-2026 </vt:lpstr>
      <vt:lpstr>02-04-2026 </vt:lpstr>
      <vt:lpstr>06-04-2026 </vt:lpstr>
      <vt:lpstr>07-04-2026 </vt:lpstr>
      <vt:lpstr>08-04-2026 </vt:lpstr>
      <vt:lpstr>09-04-2026 </vt:lpstr>
      <vt:lpstr>CUENTAS CORRIENTES ABRIL</vt:lpstr>
      <vt:lpstr>CUENTAS CORRIENTES MARZO</vt:lpstr>
      <vt:lpstr>CUENTAS CORRIENTES FEBRERO</vt:lpstr>
      <vt:lpstr>CUENTAS CORRIENTES ENERO</vt:lpstr>
      <vt:lpstr>JUAN COMISION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 Fede</dc:creator>
  <cp:lastModifiedBy>Microsoft Office User</cp:lastModifiedBy>
  <dcterms:created xsi:type="dcterms:W3CDTF">2024-12-01T23:15:56Z</dcterms:created>
  <dcterms:modified xsi:type="dcterms:W3CDTF">2026-04-09T16:48:58Z</dcterms:modified>
</cp:coreProperties>
</file>