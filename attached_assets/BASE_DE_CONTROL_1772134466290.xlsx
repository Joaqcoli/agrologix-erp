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5"/>
    <sheet state="visible" name="PRECIOS" sheetId="2" r:id="rId6"/>
    <sheet state="visible" name="STOCK" sheetId="3" r:id="rId7"/>
    <sheet state="visible" name="ARMADO DE COMPRA" sheetId="4" r:id="rId8"/>
    <sheet state="visible" name="CARGA DE PEDIDOS" sheetId="5" r:id="rId9"/>
    <sheet state="visible" name="prueba" sheetId="6" r:id="rId10"/>
  </sheets>
  <definedNames>
    <definedName hidden="1" localSheetId="1" name="_xlnm._FilterDatabase">PRECIOS!$A$1:$K$181</definedName>
  </definedNames>
  <calcPr/>
</workbook>
</file>

<file path=xl/sharedStrings.xml><?xml version="1.0" encoding="utf-8"?>
<sst xmlns="http://schemas.openxmlformats.org/spreadsheetml/2006/main" count="466" uniqueCount="134">
  <si>
    <t>FECHA</t>
  </si>
  <si>
    <t>PRODUCTO</t>
  </si>
  <si>
    <t>COSTO</t>
  </si>
  <si>
    <t>CANTIDAD</t>
  </si>
  <si>
    <t>KILOS / UNIDADES</t>
  </si>
  <si>
    <t>PROVEEDOR</t>
  </si>
  <si>
    <t>METODO DE PAGO</t>
  </si>
  <si>
    <t>VACIO</t>
  </si>
  <si>
    <t>UNIDAD</t>
  </si>
  <si>
    <t>d536df47</t>
  </si>
  <si>
    <t>ACELGA</t>
  </si>
  <si>
    <t>JCB</t>
  </si>
  <si>
    <t>CAJON</t>
  </si>
  <si>
    <t>COSTO ACTUAL</t>
  </si>
  <si>
    <t>MARGEN (%)</t>
  </si>
  <si>
    <t>PRECIO VENTA</t>
  </si>
  <si>
    <t>KG / UNIDAD POR CAJON</t>
  </si>
  <si>
    <t>TOTAL VACIOS</t>
  </si>
  <si>
    <t>STOCK ACTUAL X UNIDADES</t>
  </si>
  <si>
    <t>COSTO UNITARIO</t>
  </si>
  <si>
    <t>VENTA UNITARIO</t>
  </si>
  <si>
    <t>ALBAHACA</t>
  </si>
  <si>
    <t>APIO</t>
  </si>
  <si>
    <t>BROCOLI</t>
  </si>
  <si>
    <t>REPOLLITOS DE BRUSELAS</t>
  </si>
  <si>
    <t>CEBOLLA DE VERDEO</t>
  </si>
  <si>
    <t>COLIFLOR</t>
  </si>
  <si>
    <t>ESPINACA</t>
  </si>
  <si>
    <t>LECHUGA CAPUCCINA</t>
  </si>
  <si>
    <t>KG</t>
  </si>
  <si>
    <t>LECHUGA MORADA</t>
  </si>
  <si>
    <t>LECHUGA CRIOLLA</t>
  </si>
  <si>
    <t>LECHUGA FRANCESA</t>
  </si>
  <si>
    <t>LECHUGA MANTECA</t>
  </si>
  <si>
    <t>PEREJIL</t>
  </si>
  <si>
    <t>PUERRO</t>
  </si>
  <si>
    <t>RABANITO</t>
  </si>
  <si>
    <t>REPOLLO BLANCO</t>
  </si>
  <si>
    <t>REPOLLO ROJO</t>
  </si>
  <si>
    <t>RUCULA</t>
  </si>
  <si>
    <t>BANANA ECUADOR</t>
  </si>
  <si>
    <t>BANANA BOLIVIA</t>
  </si>
  <si>
    <t>BANANA PARAGUAY</t>
  </si>
  <si>
    <t>FRUTILLA TAMARA</t>
  </si>
  <si>
    <t>FRUTILLA</t>
  </si>
  <si>
    <t>KIWI</t>
  </si>
  <si>
    <t>LIMA</t>
  </si>
  <si>
    <t>LIMON</t>
  </si>
  <si>
    <t>MANDARINA</t>
  </si>
  <si>
    <t>MANGO</t>
  </si>
  <si>
    <t>MANZANA ROJA ELEGIDA</t>
  </si>
  <si>
    <t>MANZANA ROJA COMERCIAL</t>
  </si>
  <si>
    <t>MANZANA GRANNY ELEGIDA</t>
  </si>
  <si>
    <t>MANZANA GRANNY COMERCIAL</t>
  </si>
  <si>
    <t>MELON AMARILLO</t>
  </si>
  <si>
    <t>MELON BLANCO</t>
  </si>
  <si>
    <t>NARANJA JUGO ELEGIDA</t>
  </si>
  <si>
    <t>NARANJA JUGO COMERCIAL</t>
  </si>
  <si>
    <t>NARANJA JUGO COMERIAL</t>
  </si>
  <si>
    <t>NARANJA OMBLIGO</t>
  </si>
  <si>
    <t>PALTA</t>
  </si>
  <si>
    <t>POMELO IMPORTADO</t>
  </si>
  <si>
    <t>POMELO NACIONAL</t>
  </si>
  <si>
    <t>UVA BLANCA</t>
  </si>
  <si>
    <t>UVA ROSADA</t>
  </si>
  <si>
    <t>UVA NEGRA</t>
  </si>
  <si>
    <t>PERA</t>
  </si>
  <si>
    <t>BERENJENA</t>
  </si>
  <si>
    <t>CHAUCHA ROLLIZA</t>
  </si>
  <si>
    <t>CHAUCHA PLANA</t>
  </si>
  <si>
    <t>CHOCLO</t>
  </si>
  <si>
    <t>PEPINO</t>
  </si>
  <si>
    <t>MORRON AMARILLO</t>
  </si>
  <si>
    <t>MORRON ROJO</t>
  </si>
  <si>
    <t>MORRON VERDE</t>
  </si>
  <si>
    <t xml:space="preserve">TOMATE PERITA </t>
  </si>
  <si>
    <t>TOMATE REDONDO</t>
  </si>
  <si>
    <t>ZAPALLITO LARGO</t>
  </si>
  <si>
    <t>ZAPALLITO REDONDO</t>
  </si>
  <si>
    <t>AJO</t>
  </si>
  <si>
    <t>BATATA</t>
  </si>
  <si>
    <t>BOLSA</t>
  </si>
  <si>
    <t>BONIATO</t>
  </si>
  <si>
    <t>CEBOLLA MAQUINADA</t>
  </si>
  <si>
    <t>CEBOLLA COMUN</t>
  </si>
  <si>
    <t>CEBOLLON COMUN</t>
  </si>
  <si>
    <t>CEBOLLA MORADA</t>
  </si>
  <si>
    <t>PAPA NEGRA</t>
  </si>
  <si>
    <t>PAPA NEGRA CEPILLADA</t>
  </si>
  <si>
    <t>PAPA LAVADA</t>
  </si>
  <si>
    <t>ZANAHORIA INDUSTRIAL</t>
  </si>
  <si>
    <t>ZANAHORIA ELEGIDA CUBITO</t>
  </si>
  <si>
    <t>ZANAHORIA ELEGIDA CAJON</t>
  </si>
  <si>
    <t>ANCO</t>
  </si>
  <si>
    <t>CABUTIA</t>
  </si>
  <si>
    <t>BROTE DE SOJA</t>
  </si>
  <si>
    <t>BROTE DE ALFALFA</t>
  </si>
  <si>
    <t>BROTE DE RABANITO</t>
  </si>
  <si>
    <t>CHAMPIGNON</t>
  </si>
  <si>
    <t>PORTOBELLO</t>
  </si>
  <si>
    <t>GIRGOLAS</t>
  </si>
  <si>
    <t>CIBOULLETE</t>
  </si>
  <si>
    <t>CILANTRO</t>
  </si>
  <si>
    <t>LAUREL</t>
  </si>
  <si>
    <t>MENTA</t>
  </si>
  <si>
    <t>ROMERO</t>
  </si>
  <si>
    <t>TOMILLO</t>
  </si>
  <si>
    <t>FLORES COMESTIBLES</t>
  </si>
  <si>
    <t>KURKUMA</t>
  </si>
  <si>
    <t>JENGIBRE</t>
  </si>
  <si>
    <t>HUEVO N1</t>
  </si>
  <si>
    <t>HUEVO N2</t>
  </si>
  <si>
    <t>COPIAR MENSAJE ABAJO (B2)</t>
  </si>
  <si>
    <t>STOCK</t>
  </si>
  <si>
    <t>MERMA</t>
  </si>
  <si>
    <t>KG/UN BULTO</t>
  </si>
  <si>
    <t>PRECIO</t>
  </si>
  <si>
    <t>TOTAL</t>
  </si>
  <si>
    <t>PRODCUTO</t>
  </si>
  <si>
    <t>VALOR</t>
  </si>
  <si>
    <t>CLIENTES YA PROCESADOS</t>
  </si>
  <si>
    <t>GRUPO</t>
  </si>
  <si>
    <t>FV</t>
  </si>
  <si>
    <t>FRUTA</t>
  </si>
  <si>
    <t>BRASOV</t>
  </si>
  <si>
    <t>HORTALIZA LIVIANA</t>
  </si>
  <si>
    <t>VERDURA</t>
  </si>
  <si>
    <t>¿LLEVA IVA?</t>
  </si>
  <si>
    <t>SI</t>
  </si>
  <si>
    <t>rto:</t>
  </si>
  <si>
    <t>COMPRA</t>
  </si>
  <si>
    <t>TOTAL + IVA</t>
  </si>
  <si>
    <t>DIFERENCIA</t>
  </si>
  <si>
    <t>UN/KG X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</si>
</sst>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d/m/yyyy"/>
    <numFmt numFmtId="166" formatCode="&quot;$&quot;#,##0"/>
    <numFmt numFmtId="167" formatCode="#,##0.0"/>
    <numFmt numFmtId="168" formatCode="_ [$$-2C0A]\ * #,##0.00_ ;_ [$$-2C0A]\ * \-#,##0.00_ ;_ [$$-2C0A]\ * &quot;-&quot;??_ ;_ @_ "/>
    <numFmt numFmtId="169" formatCode="_-* #,##0.00\ _€_-;\-* #,##0.00\ _€_-;_-* &quot;-&quot;??\ _€_-;_-@"/>
    <numFmt numFmtId="170" formatCode="d/M/yyyy"/>
    <numFmt numFmtId="171" formatCode="_-&quot;$&quot;\ * #,##0.00_-;\-&quot;$&quot;\ * #,##0.00_-;_-&quot;$&quot;\ * &quot;-&quot;??_-;_-@"/>
    <numFmt numFmtId="172" formatCode="0.0%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sz val="11.0"/>
      <color rgb="FF14270D"/>
      <name val="Calibri"/>
    </font>
    <font>
      <color rgb="FF1F1F1F"/>
      <name val="&quot;Google Sans Text&quot;"/>
    </font>
    <font>
      <b/>
      <i/>
      <sz val="9.0"/>
      <color theme="1"/>
      <name val="Arial"/>
      <scheme val="minor"/>
    </font>
    <font>
      <b/>
      <sz val="11.0"/>
      <color theme="1"/>
      <name val="Arial"/>
      <scheme val="minor"/>
    </font>
    <font>
      <sz val="8.0"/>
      <color theme="1"/>
      <name val="Arial"/>
      <scheme val="minor"/>
    </font>
    <font/>
    <font>
      <b/>
      <sz val="10.0"/>
      <color theme="1"/>
      <name val="Arial"/>
      <scheme val="minor"/>
    </font>
    <font>
      <sz val="11.0"/>
      <color theme="1"/>
      <name val="Aptos Narrow"/>
    </font>
    <font>
      <sz val="11.0"/>
      <color theme="1"/>
      <name val="Calibri"/>
    </font>
    <font>
      <sz val="11.0"/>
      <color theme="1"/>
      <name val="Arial"/>
    </font>
    <font>
      <b/>
      <i/>
      <sz val="11.0"/>
      <color theme="1"/>
      <name val="Calibri"/>
    </font>
    <font>
      <b/>
      <color theme="1"/>
      <name val="Aptos Narrow"/>
    </font>
    <font>
      <color theme="1"/>
      <name val="Aptos Narrow"/>
    </font>
    <font>
      <b/>
      <sz val="10.0"/>
      <color theme="1"/>
      <name val="Arial"/>
    </font>
    <font>
      <sz val="16.0"/>
      <color rgb="FF000000"/>
      <name val="Calibri"/>
    </font>
    <font>
      <sz val="11.0"/>
      <color rgb="FF000000"/>
      <name val="Aptos Narrow"/>
    </font>
    <font>
      <sz val="11.0"/>
      <color rgb="FF000000"/>
      <name val="Calibri"/>
    </font>
    <font>
      <color rgb="FF000000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BECED"/>
        <bgColor rgb="FFEBECED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  <xf borderId="1" fillId="0" fontId="3" numFmtId="0" xfId="0" applyAlignment="1" applyBorder="1" applyFon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2" fontId="4" numFmtId="0" xfId="0" applyAlignment="1" applyBorder="1" applyFill="1" applyFont="1">
      <alignment vertical="bottom"/>
    </xf>
    <xf borderId="0" fillId="0" fontId="5" numFmtId="0" xfId="0" applyAlignment="1" applyFont="1">
      <alignment readingOrder="0"/>
    </xf>
    <xf borderId="0" fillId="0" fontId="1" numFmtId="166" xfId="0" applyFont="1" applyNumberFormat="1"/>
    <xf borderId="0" fillId="0" fontId="5" numFmtId="167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0" fontId="9" numFmtId="0" xfId="0" applyBorder="1" applyFont="1"/>
    <xf borderId="5" fillId="0" fontId="9" numFmtId="0" xfId="0" applyBorder="1" applyFont="1"/>
    <xf borderId="0" fillId="0" fontId="1" numFmtId="164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3" fillId="0" fontId="10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0" fillId="0" fontId="11" numFmtId="168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1" numFmtId="169" xfId="0" applyAlignment="1" applyFont="1" applyNumberFormat="1">
      <alignment vertical="bottom"/>
    </xf>
    <xf borderId="0" fillId="0" fontId="11" numFmtId="169" xfId="0" applyAlignment="1" applyFont="1" applyNumberFormat="1">
      <alignment readingOrder="0" vertical="bottom"/>
    </xf>
    <xf borderId="0" fillId="0" fontId="12" numFmtId="169" xfId="0" applyAlignment="1" applyFont="1" applyNumberFormat="1">
      <alignment vertical="bottom"/>
    </xf>
    <xf borderId="0" fillId="0" fontId="12" numFmtId="169" xfId="0" applyAlignment="1" applyFont="1" applyNumberFormat="1">
      <alignment readingOrder="0" vertical="bottom"/>
    </xf>
    <xf borderId="0" fillId="0" fontId="13" numFmtId="168" xfId="0" applyAlignment="1" applyFont="1" applyNumberFormat="1">
      <alignment readingOrder="0" vertical="bottom"/>
    </xf>
    <xf borderId="0" fillId="0" fontId="12" numFmtId="16" xfId="0" applyAlignment="1" applyFont="1" applyNumberFormat="1">
      <alignment horizontal="right" readingOrder="0" vertical="bottom"/>
    </xf>
    <xf borderId="0" fillId="0" fontId="12" numFmtId="168" xfId="0" applyAlignment="1" applyFont="1" applyNumberFormat="1">
      <alignment horizontal="center" vertical="bottom"/>
    </xf>
    <xf borderId="0" fillId="0" fontId="12" numFmtId="168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8" xfId="0" applyFont="1" applyNumberFormat="1"/>
    <xf borderId="0" fillId="0" fontId="12" numFmtId="168" xfId="0" applyAlignment="1" applyFont="1" applyNumberFormat="1">
      <alignment readingOrder="0" vertical="bottom"/>
    </xf>
    <xf borderId="0" fillId="0" fontId="12" numFmtId="168" xfId="0" applyAlignment="1" applyFont="1" applyNumberFormat="1">
      <alignment readingOrder="0" vertical="bottom"/>
    </xf>
    <xf borderId="0" fillId="0" fontId="11" numFmtId="10" xfId="0" applyAlignment="1" applyFont="1" applyNumberFormat="1">
      <alignment vertical="bottom"/>
    </xf>
    <xf borderId="0" fillId="0" fontId="14" numFmtId="168" xfId="0" applyAlignment="1" applyFont="1" applyNumberFormat="1">
      <alignment vertical="bottom"/>
    </xf>
    <xf borderId="0" fillId="0" fontId="15" numFmtId="168" xfId="0" applyAlignment="1" applyFont="1" applyNumberFormat="1">
      <alignment horizontal="center"/>
    </xf>
    <xf borderId="0" fillId="0" fontId="1" numFmtId="0" xfId="0" applyFont="1"/>
    <xf borderId="0" fillId="0" fontId="12" numFmtId="169" xfId="0" applyAlignment="1" applyFont="1" applyNumberFormat="1">
      <alignment readingOrder="0" vertical="bottom"/>
    </xf>
    <xf borderId="0" fillId="0" fontId="12" numFmtId="0" xfId="0" applyAlignment="1" applyFont="1">
      <alignment readingOrder="0" vertical="bottom"/>
    </xf>
    <xf borderId="0" fillId="0" fontId="12" numFmtId="168" xfId="0" applyAlignment="1" applyFont="1" applyNumberFormat="1">
      <alignment horizontal="right" readingOrder="0" vertical="bottom"/>
    </xf>
    <xf borderId="0" fillId="0" fontId="12" numFmtId="168" xfId="0" applyAlignment="1" applyFont="1" applyNumberFormat="1">
      <alignment horizontal="right" vertical="bottom"/>
    </xf>
    <xf borderId="0" fillId="0" fontId="12" numFmtId="168" xfId="0" applyAlignment="1" applyFont="1" applyNumberFormat="1">
      <alignment horizontal="right" readingOrder="0"/>
    </xf>
    <xf borderId="0" fillId="0" fontId="15" numFmtId="169" xfId="0" applyAlignment="1" applyFont="1" applyNumberFormat="1">
      <alignment horizontal="center"/>
    </xf>
    <xf borderId="0" fillId="0" fontId="16" numFmtId="168" xfId="0" applyFont="1" applyNumberFormat="1"/>
    <xf borderId="0" fillId="0" fontId="12" numFmtId="169" xfId="0" applyAlignment="1" applyFont="1" applyNumberFormat="1">
      <alignment horizontal="right" readingOrder="0"/>
    </xf>
    <xf borderId="0" fillId="0" fontId="12" numFmtId="168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2" numFmtId="168" xfId="0" applyAlignment="1" applyFont="1" applyNumberFormat="1">
      <alignment horizontal="right" readingOrder="0" vertical="bottom"/>
    </xf>
    <xf borderId="0" fillId="0" fontId="12" numFmtId="168" xfId="0" applyAlignment="1" applyFont="1" applyNumberFormat="1">
      <alignment horizontal="right" vertical="bottom"/>
    </xf>
    <xf borderId="0" fillId="0" fontId="11" numFmtId="168" xfId="0" applyAlignment="1" applyFont="1" applyNumberFormat="1">
      <alignment vertical="bottom"/>
    </xf>
    <xf borderId="0" fillId="0" fontId="12" numFmtId="168" xfId="0" applyAlignment="1" applyFont="1" applyNumberFormat="1">
      <alignment horizontal="right" readingOrder="0"/>
    </xf>
    <xf borderId="0" fillId="0" fontId="11" numFmtId="10" xfId="0" applyAlignment="1" applyFont="1" applyNumberFormat="1">
      <alignment vertical="bottom"/>
    </xf>
    <xf borderId="0" fillId="0" fontId="11" numFmtId="10" xfId="0" applyAlignment="1" applyFont="1" applyNumberFormat="1">
      <alignment vertical="bottom"/>
    </xf>
    <xf borderId="0" fillId="0" fontId="16" numFmtId="169" xfId="0" applyAlignment="1" applyFont="1" applyNumberFormat="1">
      <alignment horizontal="center" readingOrder="0"/>
    </xf>
    <xf borderId="0" fillId="0" fontId="16" numFmtId="16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7" numFmtId="169" xfId="0" applyAlignment="1" applyFont="1" applyNumberFormat="1">
      <alignment readingOrder="0" vertical="bottom"/>
    </xf>
    <xf borderId="0" fillId="0" fontId="17" numFmtId="170" xfId="0" applyAlignment="1" applyFont="1" applyNumberFormat="1">
      <alignment readingOrder="0" vertical="bottom"/>
    </xf>
    <xf borderId="0" fillId="0" fontId="18" numFmtId="169" xfId="0" applyAlignment="1" applyFont="1" applyNumberFormat="1">
      <alignment vertical="bottom"/>
    </xf>
    <xf borderId="0" fillId="0" fontId="18" numFmtId="168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168" xfId="0" applyAlignment="1" applyFont="1" applyNumberFormat="1">
      <alignment vertical="bottom"/>
    </xf>
    <xf borderId="0" fillId="0" fontId="19" numFmtId="10" xfId="0" applyAlignment="1" applyFont="1" applyNumberFormat="1">
      <alignment vertical="bottom"/>
    </xf>
    <xf borderId="0" fillId="0" fontId="20" numFmtId="169" xfId="0" applyAlignment="1" applyFont="1" applyNumberFormat="1">
      <alignment readingOrder="0" vertical="bottom"/>
    </xf>
    <xf borderId="0" fillId="0" fontId="21" numFmtId="0" xfId="0" applyFont="1"/>
    <xf borderId="0" fillId="0" fontId="22" numFmtId="168" xfId="0" applyAlignment="1" applyFont="1" applyNumberFormat="1">
      <alignment readingOrder="0" vertical="bottom"/>
    </xf>
    <xf borderId="0" fillId="0" fontId="20" numFmtId="16" xfId="0" applyAlignment="1" applyFont="1" applyNumberFormat="1">
      <alignment horizontal="right" readingOrder="0" vertical="bottom"/>
    </xf>
    <xf borderId="0" fillId="0" fontId="20" numFmtId="168" xfId="0" applyAlignment="1" applyFont="1" applyNumberFormat="1">
      <alignment horizontal="center" vertical="bottom"/>
    </xf>
    <xf borderId="0" fillId="0" fontId="20" numFmtId="169" xfId="0" applyAlignment="1" applyFont="1" applyNumberFormat="1">
      <alignment vertical="bottom"/>
    </xf>
    <xf borderId="0" fillId="0" fontId="20" numFmtId="168" xfId="0" applyAlignment="1" applyFont="1" applyNumberFormat="1">
      <alignment vertical="bottom"/>
    </xf>
    <xf borderId="0" fillId="0" fontId="20" numFmtId="0" xfId="0" applyAlignment="1" applyFont="1">
      <alignment vertical="bottom"/>
    </xf>
    <xf borderId="0" fillId="0" fontId="20" numFmtId="168" xfId="0" applyFont="1" applyNumberFormat="1"/>
    <xf borderId="0" fillId="0" fontId="20" numFmtId="168" xfId="0" applyAlignment="1" applyFont="1" applyNumberFormat="1">
      <alignment readingOrder="0" vertical="bottom"/>
    </xf>
    <xf borderId="0" fillId="0" fontId="20" numFmtId="0" xfId="0" applyAlignment="1" applyFont="1">
      <alignment readingOrder="0" vertical="bottom"/>
    </xf>
    <xf borderId="0" fillId="0" fontId="20" numFmtId="168" xfId="0" applyAlignment="1" applyFont="1" applyNumberFormat="1">
      <alignment horizontal="right" readingOrder="0" vertical="bottom"/>
    </xf>
    <xf borderId="0" fillId="0" fontId="20" numFmtId="168" xfId="0" applyAlignment="1" applyFont="1" applyNumberFormat="1">
      <alignment horizontal="right" vertical="bottom"/>
    </xf>
    <xf borderId="0" fillId="0" fontId="20" numFmtId="168" xfId="0" applyAlignment="1" applyFont="1" applyNumberFormat="1">
      <alignment horizontal="right" readingOrder="0"/>
    </xf>
    <xf borderId="0" fillId="0" fontId="20" numFmtId="169" xfId="0" applyAlignment="1" applyFont="1" applyNumberFormat="1">
      <alignment horizontal="right" readingOrder="0"/>
    </xf>
    <xf borderId="0" fillId="0" fontId="20" numFmtId="168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0" numFmtId="169" xfId="0" applyAlignment="1" applyFont="1" applyNumberFormat="1">
      <alignment horizontal="right"/>
    </xf>
    <xf borderId="0" fillId="0" fontId="20" numFmtId="0" xfId="0" applyFont="1"/>
    <xf borderId="0" fillId="0" fontId="19" numFmtId="10" xfId="0" applyAlignment="1" applyFont="1" applyNumberFormat="1">
      <alignment vertical="bottom"/>
    </xf>
    <xf borderId="0" fillId="0" fontId="20" numFmtId="10" xfId="0" applyAlignment="1" applyFont="1" applyNumberFormat="1">
      <alignment horizontal="right" vertical="bottom"/>
    </xf>
    <xf borderId="0" fillId="0" fontId="19" numFmtId="169" xfId="0" applyAlignment="1" applyFont="1" applyNumberFormat="1">
      <alignment vertical="bottom"/>
    </xf>
    <xf borderId="0" fillId="0" fontId="11" numFmtId="16" xfId="0" applyAlignment="1" applyFont="1" applyNumberFormat="1">
      <alignment vertical="bottom"/>
    </xf>
    <xf borderId="0" fillId="0" fontId="11" numFmtId="171" xfId="0" applyAlignment="1" applyFont="1" applyNumberFormat="1">
      <alignment vertical="bottom"/>
    </xf>
    <xf borderId="0" fillId="0" fontId="11" numFmtId="172" xfId="0" applyAlignment="1" applyFont="1" applyNumberFormat="1">
      <alignment vertical="bottom"/>
    </xf>
    <xf borderId="6" fillId="0" fontId="11" numFmtId="0" xfId="0" applyAlignment="1" applyBorder="1" applyFont="1">
      <alignment vertical="bottom"/>
    </xf>
    <xf borderId="7" fillId="0" fontId="11" numFmtId="169" xfId="0" applyAlignment="1" applyBorder="1" applyFont="1" applyNumberFormat="1">
      <alignment vertical="bottom"/>
    </xf>
    <xf borderId="8" fillId="0" fontId="11" numFmtId="0" xfId="0" applyAlignment="1" applyBorder="1" applyFont="1">
      <alignment vertical="bottom"/>
    </xf>
    <xf borderId="8" fillId="0" fontId="11" numFmtId="168" xfId="0" applyAlignment="1" applyBorder="1" applyFont="1" applyNumberFormat="1">
      <alignment vertical="bottom"/>
    </xf>
    <xf borderId="7" fillId="0" fontId="11" numFmtId="171" xfId="0" applyAlignment="1" applyBorder="1" applyFont="1" applyNumberFormat="1">
      <alignment vertical="bottom"/>
    </xf>
    <xf borderId="8" fillId="0" fontId="11" numFmtId="171" xfId="0" applyAlignment="1" applyBorder="1" applyFont="1" applyNumberFormat="1">
      <alignment vertical="bottom"/>
    </xf>
    <xf borderId="9" fillId="0" fontId="11" numFmtId="171" xfId="0" applyAlignment="1" applyBorder="1" applyFont="1" applyNumberFormat="1">
      <alignment vertical="bottom"/>
    </xf>
    <xf borderId="0" fillId="0" fontId="11" numFmtId="171" xfId="0" applyAlignment="1" applyFont="1" applyNumberFormat="1">
      <alignment vertical="top"/>
    </xf>
    <xf borderId="10" fillId="3" fontId="11" numFmtId="171" xfId="0" applyAlignment="1" applyBorder="1" applyFill="1" applyFont="1" applyNumberFormat="1">
      <alignment vertical="bottom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0</xdr:row>
      <xdr:rowOff>180975</xdr:rowOff>
    </xdr:from>
    <xdr:ext cx="1028700" cy="304800"/>
    <xdr:sp>
      <xdr:nvSpPr>
        <xdr:cNvPr id="3" name="Shape 3"/>
        <xdr:cNvSpPr/>
      </xdr:nvSpPr>
      <xdr:spPr>
        <a:xfrm>
          <a:off x="2134850" y="273525"/>
          <a:ext cx="1390986" cy="390258"/>
        </a:xfrm>
        <a:prstGeom prst="flowChartTermina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PROCESAR</a:t>
          </a:r>
          <a:endParaRPr b="1" sz="1400"/>
        </a:p>
      </xdr:txBody>
    </xdr:sp>
    <xdr:clientData fLocksWithSheet="0"/>
  </xdr:oneCellAnchor>
  <xdr:oneCellAnchor>
    <xdr:from>
      <xdr:col>6</xdr:col>
      <xdr:colOff>428625</xdr:colOff>
      <xdr:row>0</xdr:row>
      <xdr:rowOff>114300</xdr:rowOff>
    </xdr:from>
    <xdr:ext cx="1952625" cy="447675"/>
    <xdr:sp>
      <xdr:nvSpPr>
        <xdr:cNvPr id="4" name="Shape 4"/>
        <xdr:cNvSpPr/>
      </xdr:nvSpPr>
      <xdr:spPr>
        <a:xfrm>
          <a:off x="1454375" y="223500"/>
          <a:ext cx="1931364" cy="430326"/>
        </a:xfrm>
        <a:prstGeom prst="flowChartTerminator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LIMPIAR STOCK</a:t>
          </a:r>
          <a:endParaRPr b="1"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123825</xdr:rowOff>
    </xdr:from>
    <xdr:ext cx="1238250" cy="342900"/>
    <xdr:sp>
      <xdr:nvSpPr>
        <xdr:cNvPr id="5" name="Shape 5"/>
        <xdr:cNvSpPr/>
      </xdr:nvSpPr>
      <xdr:spPr>
        <a:xfrm>
          <a:off x="1474375" y="153450"/>
          <a:ext cx="1370952" cy="360234"/>
        </a:xfrm>
        <a:prstGeom prst="flowChartTermina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PROCESAR</a:t>
          </a:r>
          <a:endParaRPr b="1" sz="1400"/>
        </a:p>
      </xdr:txBody>
    </xdr:sp>
    <xdr:clientData fLocksWithSheet="0"/>
  </xdr:oneCellAnchor>
  <xdr:oneCellAnchor>
    <xdr:from>
      <xdr:col>4</xdr:col>
      <xdr:colOff>19050</xdr:colOff>
      <xdr:row>0</xdr:row>
      <xdr:rowOff>123825</xdr:rowOff>
    </xdr:from>
    <xdr:ext cx="1504950" cy="342900"/>
    <xdr:sp>
      <xdr:nvSpPr>
        <xdr:cNvPr id="6" name="Shape 6"/>
        <xdr:cNvSpPr/>
      </xdr:nvSpPr>
      <xdr:spPr>
        <a:xfrm>
          <a:off x="2134850" y="193475"/>
          <a:ext cx="1771254" cy="380268"/>
        </a:xfrm>
        <a:prstGeom prst="flowChartTermina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INCLUIR STOCK</a:t>
          </a:r>
          <a:endParaRPr b="1" sz="1400"/>
        </a:p>
      </xdr:txBody>
    </xdr:sp>
    <xdr:clientData fLocksWithSheet="0"/>
  </xdr:oneCellAnchor>
  <xdr:oneCellAnchor>
    <xdr:from>
      <xdr:col>7</xdr:col>
      <xdr:colOff>219075</xdr:colOff>
      <xdr:row>0</xdr:row>
      <xdr:rowOff>180975</xdr:rowOff>
    </xdr:from>
    <xdr:ext cx="1504950" cy="400050"/>
    <xdr:sp>
      <xdr:nvSpPr>
        <xdr:cNvPr id="7" name="Shape 7"/>
        <xdr:cNvSpPr/>
      </xdr:nvSpPr>
      <xdr:spPr>
        <a:xfrm>
          <a:off x="1904675" y="303550"/>
          <a:ext cx="1961388" cy="500364"/>
        </a:xfrm>
        <a:prstGeom prst="flowChartTerminator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LIMPIAR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171450</xdr:rowOff>
    </xdr:from>
    <xdr:ext cx="1019175" cy="342900"/>
    <xdr:sp>
      <xdr:nvSpPr>
        <xdr:cNvPr id="8" name="Shape 8"/>
        <xdr:cNvSpPr/>
      </xdr:nvSpPr>
      <xdr:spPr>
        <a:xfrm>
          <a:off x="1644500" y="103400"/>
          <a:ext cx="1110780" cy="350244"/>
        </a:xfrm>
        <a:prstGeom prst="flowChartTermina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PROCESAR</a:t>
          </a:r>
          <a:endParaRPr b="1" sz="9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0</xdr:row>
      <xdr:rowOff>0</xdr:rowOff>
    </xdr:from>
    <xdr:ext cx="1095375" cy="342900"/>
    <xdr:sp>
      <xdr:nvSpPr>
        <xdr:cNvPr id="9" name="Shape 9"/>
        <xdr:cNvSpPr/>
      </xdr:nvSpPr>
      <xdr:spPr>
        <a:xfrm>
          <a:off x="1774600" y="183475"/>
          <a:ext cx="1511082" cy="460350"/>
        </a:xfrm>
        <a:prstGeom prst="flowChartTerminator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LIMPIAR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9.5"/>
    <col customWidth="1" min="2" max="2" width="18.38"/>
    <col customWidth="1" min="3" max="3" width="19.25"/>
    <col customWidth="1" min="4" max="8" width="18.38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3" t="s">
        <v>7</v>
      </c>
      <c r="J1" s="2" t="s">
        <v>8</v>
      </c>
    </row>
    <row r="2">
      <c r="A2" s="1" t="s">
        <v>9</v>
      </c>
      <c r="B2" s="5">
        <v>46065.0</v>
      </c>
      <c r="C2" s="1" t="s">
        <v>10</v>
      </c>
      <c r="D2" s="6">
        <v>12000.0</v>
      </c>
      <c r="E2" s="7">
        <v>2.0</v>
      </c>
      <c r="F2" s="7">
        <v>10.0</v>
      </c>
      <c r="G2" s="1" t="s">
        <v>11</v>
      </c>
      <c r="I2" s="6">
        <v>4000.0</v>
      </c>
      <c r="J2" s="1" t="s">
        <v>12</v>
      </c>
    </row>
    <row r="3">
      <c r="D3" s="8"/>
      <c r="E3" s="9"/>
      <c r="F3" s="9"/>
      <c r="I3" s="8"/>
    </row>
    <row r="4">
      <c r="D4" s="8"/>
      <c r="E4" s="9"/>
      <c r="F4" s="9"/>
      <c r="I4" s="8"/>
    </row>
    <row r="5">
      <c r="D5" s="8"/>
      <c r="E5" s="9"/>
      <c r="F5" s="9"/>
      <c r="I5" s="8"/>
    </row>
    <row r="6">
      <c r="D6" s="8"/>
      <c r="E6" s="9"/>
      <c r="F6" s="9"/>
      <c r="I6" s="8"/>
    </row>
    <row r="7">
      <c r="D7" s="8"/>
      <c r="E7" s="9"/>
      <c r="F7" s="9"/>
      <c r="I7" s="8"/>
    </row>
    <row r="8">
      <c r="D8" s="8"/>
      <c r="E8" s="9"/>
      <c r="F8" s="9"/>
      <c r="I8" s="8"/>
    </row>
    <row r="9">
      <c r="D9" s="8"/>
      <c r="E9" s="9"/>
      <c r="F9" s="9"/>
      <c r="I9" s="8"/>
    </row>
    <row r="10">
      <c r="D10" s="8"/>
      <c r="E10" s="9"/>
      <c r="F10" s="9"/>
      <c r="I10" s="8"/>
    </row>
    <row r="11">
      <c r="D11" s="8"/>
      <c r="E11" s="9"/>
      <c r="F11" s="9"/>
      <c r="I11" s="8"/>
    </row>
    <row r="12">
      <c r="D12" s="8"/>
      <c r="E12" s="9"/>
      <c r="F12" s="9"/>
      <c r="I12" s="8"/>
    </row>
    <row r="13">
      <c r="D13" s="8"/>
      <c r="E13" s="9"/>
      <c r="F13" s="9"/>
      <c r="I13" s="8"/>
    </row>
    <row r="14">
      <c r="D14" s="8"/>
      <c r="E14" s="9"/>
      <c r="F14" s="9"/>
      <c r="I14" s="8"/>
    </row>
    <row r="15">
      <c r="D15" s="8"/>
      <c r="E15" s="9"/>
      <c r="F15" s="9"/>
      <c r="I15" s="8"/>
    </row>
    <row r="16">
      <c r="D16" s="8"/>
      <c r="E16" s="9"/>
      <c r="F16" s="9"/>
      <c r="I16" s="8"/>
    </row>
    <row r="17">
      <c r="D17" s="8"/>
      <c r="E17" s="9"/>
      <c r="F17" s="9"/>
      <c r="I17" s="8"/>
    </row>
    <row r="18">
      <c r="D18" s="8"/>
      <c r="E18" s="9"/>
      <c r="F18" s="9"/>
      <c r="I18" s="8"/>
    </row>
    <row r="19">
      <c r="D19" s="8"/>
      <c r="E19" s="9"/>
      <c r="F19" s="9"/>
      <c r="I19" s="8"/>
    </row>
    <row r="20">
      <c r="D20" s="8"/>
      <c r="E20" s="9"/>
      <c r="F20" s="9"/>
      <c r="I20" s="8"/>
    </row>
    <row r="21">
      <c r="D21" s="8"/>
      <c r="E21" s="9"/>
      <c r="F21" s="9"/>
      <c r="I21" s="8"/>
    </row>
    <row r="22">
      <c r="D22" s="8"/>
      <c r="E22" s="9"/>
      <c r="F22" s="9"/>
      <c r="I22" s="8"/>
    </row>
    <row r="23">
      <c r="D23" s="8"/>
      <c r="E23" s="9"/>
      <c r="F23" s="9"/>
      <c r="I23" s="8"/>
    </row>
    <row r="24">
      <c r="D24" s="8"/>
      <c r="E24" s="9"/>
      <c r="F24" s="9"/>
      <c r="I24" s="8"/>
    </row>
    <row r="25">
      <c r="D25" s="8"/>
      <c r="E25" s="9"/>
      <c r="F25" s="9"/>
      <c r="I25" s="8"/>
    </row>
    <row r="26">
      <c r="D26" s="8"/>
      <c r="E26" s="9"/>
      <c r="F26" s="9"/>
      <c r="I26" s="8"/>
    </row>
    <row r="27">
      <c r="D27" s="8"/>
      <c r="E27" s="9"/>
      <c r="F27" s="9"/>
      <c r="I27" s="8"/>
    </row>
    <row r="28">
      <c r="D28" s="8"/>
      <c r="E28" s="9"/>
      <c r="F28" s="9"/>
      <c r="I28" s="8"/>
    </row>
    <row r="29">
      <c r="D29" s="8"/>
      <c r="E29" s="9"/>
      <c r="F29" s="9"/>
      <c r="I29" s="8"/>
    </row>
    <row r="30">
      <c r="D30" s="8"/>
      <c r="E30" s="9"/>
      <c r="F30" s="9"/>
      <c r="I30" s="8"/>
    </row>
    <row r="31">
      <c r="D31" s="8"/>
      <c r="E31" s="9"/>
      <c r="F31" s="9"/>
      <c r="I31" s="8"/>
    </row>
    <row r="32">
      <c r="D32" s="8"/>
      <c r="E32" s="9"/>
      <c r="F32" s="9"/>
      <c r="I32" s="8"/>
    </row>
    <row r="33">
      <c r="D33" s="8"/>
      <c r="E33" s="9"/>
      <c r="F33" s="9"/>
      <c r="I33" s="8"/>
    </row>
    <row r="34">
      <c r="D34" s="8"/>
      <c r="E34" s="9"/>
      <c r="F34" s="9"/>
      <c r="I34" s="8"/>
    </row>
    <row r="35">
      <c r="D35" s="8"/>
      <c r="E35" s="9"/>
      <c r="F35" s="9"/>
      <c r="I35" s="8"/>
    </row>
    <row r="36">
      <c r="D36" s="8"/>
      <c r="E36" s="9"/>
      <c r="F36" s="9"/>
      <c r="I36" s="8"/>
    </row>
    <row r="37">
      <c r="D37" s="8"/>
      <c r="E37" s="9"/>
      <c r="F37" s="9"/>
      <c r="I37" s="8"/>
    </row>
    <row r="38">
      <c r="D38" s="8"/>
      <c r="E38" s="9"/>
      <c r="F38" s="9"/>
      <c r="I38" s="8"/>
    </row>
    <row r="39">
      <c r="D39" s="8"/>
      <c r="E39" s="9"/>
      <c r="F39" s="9"/>
      <c r="I39" s="8"/>
    </row>
    <row r="40">
      <c r="D40" s="8"/>
      <c r="E40" s="9"/>
      <c r="F40" s="9"/>
      <c r="I40" s="8"/>
    </row>
    <row r="41">
      <c r="D41" s="8"/>
      <c r="E41" s="9"/>
      <c r="F41" s="9"/>
      <c r="I41" s="8"/>
    </row>
    <row r="42">
      <c r="D42" s="8"/>
      <c r="E42" s="9"/>
      <c r="F42" s="9"/>
      <c r="I42" s="8"/>
    </row>
    <row r="43">
      <c r="D43" s="8"/>
      <c r="E43" s="9"/>
      <c r="F43" s="9"/>
      <c r="I43" s="8"/>
    </row>
    <row r="44">
      <c r="D44" s="8"/>
      <c r="E44" s="9"/>
      <c r="F44" s="9"/>
      <c r="I44" s="8"/>
    </row>
    <row r="45">
      <c r="D45" s="8"/>
      <c r="E45" s="9"/>
      <c r="F45" s="9"/>
      <c r="I45" s="8"/>
    </row>
    <row r="46">
      <c r="D46" s="8"/>
      <c r="E46" s="9"/>
      <c r="F46" s="9"/>
      <c r="I46" s="8"/>
    </row>
    <row r="47">
      <c r="D47" s="8"/>
      <c r="E47" s="9"/>
      <c r="F47" s="9"/>
      <c r="I47" s="8"/>
    </row>
    <row r="48">
      <c r="D48" s="8"/>
      <c r="E48" s="9"/>
      <c r="F48" s="9"/>
      <c r="I48" s="8"/>
    </row>
    <row r="49">
      <c r="D49" s="8"/>
      <c r="E49" s="9"/>
      <c r="F49" s="9"/>
      <c r="I49" s="8"/>
    </row>
    <row r="50">
      <c r="D50" s="8"/>
      <c r="E50" s="9"/>
      <c r="F50" s="9"/>
      <c r="I50" s="8"/>
    </row>
    <row r="51">
      <c r="D51" s="8"/>
      <c r="E51" s="9"/>
      <c r="F51" s="9"/>
      <c r="I51" s="8"/>
    </row>
    <row r="52">
      <c r="D52" s="8"/>
      <c r="E52" s="9"/>
      <c r="F52" s="9"/>
      <c r="I52" s="8"/>
    </row>
    <row r="53">
      <c r="D53" s="8"/>
      <c r="E53" s="9"/>
      <c r="F53" s="9"/>
      <c r="I53" s="8"/>
    </row>
    <row r="54">
      <c r="D54" s="8"/>
      <c r="E54" s="9"/>
      <c r="F54" s="9"/>
      <c r="I54" s="8"/>
    </row>
    <row r="55">
      <c r="D55" s="8"/>
      <c r="E55" s="9"/>
      <c r="F55" s="9"/>
      <c r="I55" s="8"/>
    </row>
    <row r="56">
      <c r="D56" s="8"/>
      <c r="E56" s="9"/>
      <c r="F56" s="9"/>
      <c r="I56" s="8"/>
    </row>
    <row r="57">
      <c r="D57" s="8"/>
      <c r="E57" s="9"/>
      <c r="F57" s="9"/>
      <c r="I57" s="8"/>
    </row>
    <row r="58">
      <c r="D58" s="8"/>
      <c r="E58" s="9"/>
      <c r="F58" s="9"/>
      <c r="I58" s="8"/>
    </row>
    <row r="59">
      <c r="D59" s="8"/>
      <c r="E59" s="9"/>
      <c r="F59" s="9"/>
      <c r="I59" s="8"/>
    </row>
    <row r="60">
      <c r="D60" s="8"/>
      <c r="E60" s="9"/>
      <c r="F60" s="9"/>
      <c r="I60" s="8"/>
    </row>
    <row r="61">
      <c r="D61" s="8"/>
      <c r="E61" s="9"/>
      <c r="F61" s="9"/>
      <c r="I61" s="8"/>
    </row>
    <row r="62">
      <c r="D62" s="8"/>
      <c r="E62" s="9"/>
      <c r="F62" s="9"/>
      <c r="I62" s="8"/>
    </row>
    <row r="63">
      <c r="D63" s="8"/>
      <c r="E63" s="9"/>
      <c r="F63" s="9"/>
      <c r="I63" s="8"/>
    </row>
    <row r="64">
      <c r="D64" s="8"/>
      <c r="E64" s="9"/>
      <c r="F64" s="9"/>
      <c r="I64" s="8"/>
    </row>
    <row r="65">
      <c r="D65" s="8"/>
      <c r="E65" s="9"/>
      <c r="F65" s="9"/>
      <c r="I65" s="8"/>
    </row>
    <row r="66">
      <c r="D66" s="8"/>
      <c r="E66" s="9"/>
      <c r="F66" s="9"/>
      <c r="I66" s="8"/>
    </row>
    <row r="67">
      <c r="D67" s="8"/>
      <c r="E67" s="9"/>
      <c r="F67" s="9"/>
      <c r="I67" s="8"/>
    </row>
    <row r="68">
      <c r="D68" s="8"/>
      <c r="E68" s="9"/>
      <c r="F68" s="9"/>
      <c r="I68" s="8"/>
    </row>
    <row r="69">
      <c r="D69" s="8"/>
      <c r="E69" s="9"/>
      <c r="F69" s="9"/>
      <c r="I69" s="8"/>
    </row>
    <row r="70">
      <c r="D70" s="8"/>
      <c r="E70" s="9"/>
      <c r="F70" s="9"/>
      <c r="I70" s="8"/>
    </row>
    <row r="71">
      <c r="D71" s="8"/>
      <c r="E71" s="9"/>
      <c r="F71" s="9"/>
      <c r="I71" s="8"/>
    </row>
    <row r="72">
      <c r="D72" s="8"/>
      <c r="E72" s="9"/>
      <c r="F72" s="9"/>
      <c r="I72" s="8"/>
    </row>
    <row r="73">
      <c r="D73" s="8"/>
      <c r="E73" s="9"/>
      <c r="F73" s="9"/>
      <c r="I73" s="8"/>
    </row>
    <row r="74">
      <c r="D74" s="8"/>
      <c r="E74" s="9"/>
      <c r="F74" s="9"/>
      <c r="I74" s="8"/>
    </row>
    <row r="75">
      <c r="D75" s="8"/>
      <c r="E75" s="9"/>
      <c r="F75" s="9"/>
      <c r="I75" s="8"/>
    </row>
    <row r="76">
      <c r="D76" s="8"/>
      <c r="E76" s="9"/>
      <c r="F76" s="9"/>
      <c r="I76" s="8"/>
    </row>
    <row r="77">
      <c r="D77" s="8"/>
      <c r="E77" s="9"/>
      <c r="F77" s="9"/>
      <c r="I77" s="8"/>
    </row>
    <row r="78">
      <c r="D78" s="8"/>
      <c r="E78" s="9"/>
      <c r="F78" s="9"/>
      <c r="I78" s="8"/>
    </row>
    <row r="79">
      <c r="D79" s="8"/>
      <c r="E79" s="9"/>
      <c r="F79" s="9"/>
      <c r="I79" s="8"/>
    </row>
    <row r="80">
      <c r="D80" s="8"/>
      <c r="E80" s="9"/>
      <c r="F80" s="9"/>
      <c r="I80" s="8"/>
    </row>
    <row r="81">
      <c r="D81" s="8"/>
      <c r="E81" s="9"/>
      <c r="F81" s="9"/>
      <c r="I81" s="8"/>
    </row>
    <row r="82">
      <c r="D82" s="8"/>
      <c r="E82" s="9"/>
      <c r="F82" s="9"/>
      <c r="I82" s="8"/>
    </row>
    <row r="83">
      <c r="D83" s="8"/>
      <c r="E83" s="9"/>
      <c r="F83" s="9"/>
      <c r="I83" s="8"/>
    </row>
    <row r="84">
      <c r="D84" s="8"/>
      <c r="E84" s="9"/>
      <c r="F84" s="9"/>
      <c r="I84" s="8"/>
    </row>
    <row r="85">
      <c r="D85" s="8"/>
      <c r="E85" s="9"/>
      <c r="F85" s="9"/>
      <c r="I85" s="8"/>
    </row>
    <row r="86">
      <c r="D86" s="8"/>
      <c r="E86" s="9"/>
      <c r="F86" s="9"/>
      <c r="I86" s="8"/>
    </row>
    <row r="87">
      <c r="D87" s="8"/>
      <c r="E87" s="9"/>
      <c r="F87" s="9"/>
      <c r="I87" s="8"/>
    </row>
    <row r="88">
      <c r="D88" s="8"/>
      <c r="E88" s="9"/>
      <c r="F88" s="9"/>
      <c r="I88" s="8"/>
    </row>
    <row r="89">
      <c r="D89" s="8"/>
      <c r="E89" s="9"/>
      <c r="F89" s="9"/>
      <c r="I89" s="8"/>
    </row>
    <row r="90">
      <c r="D90" s="8"/>
      <c r="E90" s="9"/>
      <c r="F90" s="9"/>
      <c r="I90" s="8"/>
    </row>
    <row r="91">
      <c r="D91" s="8"/>
      <c r="E91" s="9"/>
      <c r="F91" s="9"/>
      <c r="I91" s="8"/>
    </row>
    <row r="92">
      <c r="D92" s="8"/>
      <c r="E92" s="9"/>
      <c r="F92" s="9"/>
      <c r="I92" s="8"/>
    </row>
    <row r="93">
      <c r="D93" s="8"/>
      <c r="E93" s="9"/>
      <c r="F93" s="9"/>
      <c r="I93" s="8"/>
    </row>
    <row r="94">
      <c r="D94" s="8"/>
      <c r="E94" s="9"/>
      <c r="F94" s="9"/>
      <c r="I94" s="8"/>
    </row>
    <row r="95">
      <c r="D95" s="8"/>
      <c r="E95" s="9"/>
      <c r="F95" s="9"/>
      <c r="I95" s="8"/>
    </row>
    <row r="96">
      <c r="D96" s="8"/>
      <c r="E96" s="9"/>
      <c r="F96" s="9"/>
      <c r="I96" s="8"/>
    </row>
    <row r="97">
      <c r="D97" s="8"/>
      <c r="E97" s="9"/>
      <c r="F97" s="9"/>
      <c r="I97" s="8"/>
    </row>
    <row r="98">
      <c r="D98" s="8"/>
      <c r="E98" s="9"/>
      <c r="F98" s="9"/>
      <c r="I98" s="8"/>
    </row>
    <row r="99">
      <c r="D99" s="8"/>
      <c r="E99" s="9"/>
      <c r="F99" s="9"/>
      <c r="I99" s="8"/>
    </row>
    <row r="100">
      <c r="D100" s="8"/>
      <c r="E100" s="9"/>
      <c r="F100" s="9"/>
      <c r="I100" s="8"/>
    </row>
    <row r="101">
      <c r="D101" s="8"/>
      <c r="E101" s="9"/>
      <c r="F101" s="9"/>
      <c r="I101" s="8"/>
    </row>
    <row r="102">
      <c r="D102" s="8"/>
      <c r="E102" s="9"/>
      <c r="F102" s="9"/>
      <c r="I102" s="8"/>
    </row>
    <row r="103">
      <c r="D103" s="8"/>
      <c r="E103" s="9"/>
      <c r="F103" s="9"/>
      <c r="I103" s="8"/>
    </row>
    <row r="104">
      <c r="D104" s="8"/>
      <c r="E104" s="9"/>
      <c r="F104" s="9"/>
      <c r="I104" s="8"/>
    </row>
    <row r="105">
      <c r="D105" s="8"/>
      <c r="E105" s="9"/>
      <c r="F105" s="9"/>
      <c r="I105" s="8"/>
    </row>
    <row r="106">
      <c r="D106" s="8"/>
      <c r="E106" s="9"/>
      <c r="F106" s="9"/>
      <c r="I106" s="8"/>
    </row>
    <row r="107">
      <c r="D107" s="8"/>
      <c r="E107" s="9"/>
      <c r="F107" s="9"/>
      <c r="I107" s="8"/>
    </row>
    <row r="108">
      <c r="D108" s="8"/>
      <c r="E108" s="9"/>
      <c r="F108" s="9"/>
      <c r="I108" s="8"/>
    </row>
    <row r="109">
      <c r="D109" s="8"/>
      <c r="E109" s="9"/>
      <c r="F109" s="9"/>
      <c r="I109" s="8"/>
    </row>
    <row r="110">
      <c r="D110" s="8"/>
      <c r="E110" s="9"/>
      <c r="F110" s="9"/>
      <c r="I110" s="8"/>
    </row>
    <row r="111">
      <c r="D111" s="8"/>
      <c r="E111" s="9"/>
      <c r="F111" s="9"/>
      <c r="I111" s="8"/>
    </row>
    <row r="112">
      <c r="D112" s="8"/>
      <c r="E112" s="9"/>
      <c r="F112" s="9"/>
      <c r="I112" s="8"/>
    </row>
    <row r="113">
      <c r="D113" s="8"/>
      <c r="E113" s="9"/>
      <c r="F113" s="9"/>
      <c r="I113" s="8"/>
    </row>
    <row r="114">
      <c r="D114" s="8"/>
      <c r="E114" s="9"/>
      <c r="F114" s="9"/>
      <c r="I114" s="8"/>
    </row>
    <row r="115">
      <c r="D115" s="8"/>
      <c r="E115" s="9"/>
      <c r="F115" s="9"/>
      <c r="I115" s="8"/>
    </row>
    <row r="116">
      <c r="D116" s="8"/>
      <c r="E116" s="9"/>
      <c r="F116" s="9"/>
      <c r="I116" s="8"/>
    </row>
    <row r="117">
      <c r="D117" s="8"/>
      <c r="E117" s="9"/>
      <c r="F117" s="9"/>
      <c r="I117" s="8"/>
    </row>
    <row r="118">
      <c r="D118" s="8"/>
      <c r="E118" s="9"/>
      <c r="F118" s="9"/>
      <c r="I118" s="8"/>
    </row>
    <row r="119">
      <c r="D119" s="8"/>
      <c r="E119" s="9"/>
      <c r="F119" s="9"/>
      <c r="I119" s="8"/>
    </row>
    <row r="120">
      <c r="D120" s="8"/>
      <c r="E120" s="9"/>
      <c r="F120" s="9"/>
      <c r="I120" s="8"/>
    </row>
    <row r="121">
      <c r="D121" s="8"/>
      <c r="E121" s="9"/>
      <c r="F121" s="9"/>
      <c r="I121" s="8"/>
    </row>
    <row r="122">
      <c r="D122" s="8"/>
      <c r="E122" s="9"/>
      <c r="F122" s="9"/>
      <c r="I122" s="8"/>
    </row>
    <row r="123">
      <c r="D123" s="8"/>
      <c r="E123" s="9"/>
      <c r="F123" s="9"/>
      <c r="I123" s="8"/>
    </row>
    <row r="124">
      <c r="D124" s="8"/>
      <c r="E124" s="9"/>
      <c r="F124" s="9"/>
      <c r="I124" s="8"/>
    </row>
    <row r="125">
      <c r="D125" s="8"/>
      <c r="E125" s="9"/>
      <c r="F125" s="9"/>
      <c r="I125" s="8"/>
    </row>
    <row r="126">
      <c r="D126" s="8"/>
      <c r="E126" s="9"/>
      <c r="F126" s="9"/>
      <c r="I126" s="8"/>
    </row>
    <row r="127">
      <c r="D127" s="8"/>
      <c r="E127" s="9"/>
      <c r="F127" s="9"/>
      <c r="I127" s="8"/>
    </row>
    <row r="128">
      <c r="D128" s="8"/>
      <c r="E128" s="9"/>
      <c r="F128" s="9"/>
      <c r="I128" s="8"/>
    </row>
    <row r="129">
      <c r="D129" s="8"/>
      <c r="E129" s="9"/>
      <c r="F129" s="9"/>
      <c r="I129" s="8"/>
    </row>
    <row r="130">
      <c r="D130" s="8"/>
      <c r="E130" s="9"/>
      <c r="F130" s="9"/>
      <c r="I130" s="8"/>
    </row>
    <row r="131">
      <c r="D131" s="8"/>
      <c r="E131" s="9"/>
      <c r="F131" s="9"/>
      <c r="I131" s="8"/>
    </row>
    <row r="132">
      <c r="D132" s="8"/>
      <c r="E132" s="9"/>
      <c r="F132" s="9"/>
      <c r="I132" s="8"/>
    </row>
    <row r="133">
      <c r="D133" s="8"/>
      <c r="E133" s="9"/>
      <c r="F133" s="9"/>
      <c r="I133" s="8"/>
    </row>
    <row r="134">
      <c r="D134" s="8"/>
      <c r="E134" s="9"/>
      <c r="F134" s="9"/>
      <c r="I134" s="8"/>
    </row>
    <row r="135">
      <c r="D135" s="8"/>
      <c r="E135" s="9"/>
      <c r="F135" s="9"/>
      <c r="I135" s="8"/>
    </row>
    <row r="136">
      <c r="D136" s="8"/>
      <c r="E136" s="9"/>
      <c r="F136" s="9"/>
      <c r="I136" s="8"/>
    </row>
    <row r="137">
      <c r="D137" s="8"/>
      <c r="E137" s="9"/>
      <c r="F137" s="9"/>
      <c r="I137" s="8"/>
    </row>
    <row r="138">
      <c r="D138" s="8"/>
      <c r="E138" s="9"/>
      <c r="F138" s="9"/>
      <c r="I138" s="8"/>
    </row>
    <row r="139">
      <c r="D139" s="8"/>
      <c r="E139" s="9"/>
      <c r="F139" s="9"/>
      <c r="I139" s="8"/>
    </row>
    <row r="140">
      <c r="D140" s="8"/>
      <c r="E140" s="9"/>
      <c r="F140" s="9"/>
      <c r="I140" s="8"/>
    </row>
    <row r="141">
      <c r="D141" s="8"/>
      <c r="E141" s="9"/>
      <c r="F141" s="9"/>
      <c r="I141" s="8"/>
    </row>
    <row r="142">
      <c r="D142" s="8"/>
      <c r="E142" s="9"/>
      <c r="F142" s="9"/>
      <c r="I142" s="8"/>
    </row>
    <row r="143">
      <c r="D143" s="8"/>
      <c r="E143" s="9"/>
      <c r="F143" s="9"/>
      <c r="I143" s="8"/>
    </row>
    <row r="144">
      <c r="D144" s="8"/>
      <c r="E144" s="9"/>
      <c r="F144" s="9"/>
      <c r="I144" s="8"/>
    </row>
    <row r="145">
      <c r="D145" s="8"/>
      <c r="E145" s="9"/>
      <c r="F145" s="9"/>
      <c r="I145" s="8"/>
    </row>
    <row r="146">
      <c r="D146" s="8"/>
      <c r="E146" s="9"/>
      <c r="F146" s="9"/>
      <c r="I146" s="8"/>
    </row>
    <row r="147">
      <c r="D147" s="8"/>
      <c r="E147" s="9"/>
      <c r="F147" s="9"/>
      <c r="I147" s="8"/>
    </row>
    <row r="148">
      <c r="D148" s="8"/>
      <c r="E148" s="9"/>
      <c r="F148" s="9"/>
      <c r="I148" s="8"/>
    </row>
    <row r="149">
      <c r="D149" s="8"/>
      <c r="E149" s="9"/>
      <c r="F149" s="9"/>
      <c r="I149" s="8"/>
    </row>
    <row r="150">
      <c r="D150" s="8"/>
      <c r="E150" s="9"/>
      <c r="F150" s="9"/>
      <c r="I150" s="8"/>
    </row>
    <row r="151">
      <c r="D151" s="8"/>
      <c r="E151" s="9"/>
      <c r="F151" s="9"/>
      <c r="I151" s="8"/>
    </row>
    <row r="152">
      <c r="D152" s="8"/>
      <c r="E152" s="9"/>
      <c r="F152" s="9"/>
      <c r="I152" s="8"/>
    </row>
    <row r="153">
      <c r="D153" s="8"/>
      <c r="E153" s="9"/>
      <c r="F153" s="9"/>
      <c r="I153" s="8"/>
    </row>
    <row r="154">
      <c r="D154" s="8"/>
      <c r="E154" s="9"/>
      <c r="F154" s="9"/>
      <c r="I154" s="8"/>
    </row>
    <row r="155">
      <c r="D155" s="8"/>
      <c r="E155" s="9"/>
      <c r="F155" s="9"/>
      <c r="I155" s="8"/>
    </row>
    <row r="156">
      <c r="D156" s="8"/>
      <c r="E156" s="9"/>
      <c r="F156" s="9"/>
      <c r="I156" s="8"/>
    </row>
    <row r="157">
      <c r="D157" s="8"/>
      <c r="E157" s="9"/>
      <c r="F157" s="9"/>
      <c r="I157" s="8"/>
    </row>
    <row r="158">
      <c r="D158" s="8"/>
      <c r="E158" s="9"/>
      <c r="F158" s="9"/>
      <c r="I158" s="8"/>
    </row>
    <row r="159">
      <c r="D159" s="8"/>
      <c r="E159" s="9"/>
      <c r="F159" s="9"/>
      <c r="I159" s="8"/>
    </row>
    <row r="160">
      <c r="D160" s="8"/>
      <c r="E160" s="9"/>
      <c r="F160" s="9"/>
      <c r="I160" s="8"/>
    </row>
    <row r="161">
      <c r="D161" s="8"/>
      <c r="E161" s="9"/>
      <c r="F161" s="9"/>
      <c r="I161" s="8"/>
    </row>
    <row r="162">
      <c r="D162" s="8"/>
      <c r="E162" s="9"/>
      <c r="F162" s="9"/>
      <c r="I162" s="8"/>
    </row>
    <row r="163">
      <c r="D163" s="8"/>
      <c r="E163" s="9"/>
      <c r="F163" s="9"/>
      <c r="I163" s="8"/>
    </row>
    <row r="164">
      <c r="D164" s="8"/>
      <c r="E164" s="9"/>
      <c r="F164" s="9"/>
      <c r="I164" s="8"/>
    </row>
    <row r="165">
      <c r="D165" s="8"/>
      <c r="E165" s="9"/>
      <c r="F165" s="9"/>
      <c r="I165" s="8"/>
    </row>
    <row r="166">
      <c r="D166" s="8"/>
      <c r="E166" s="9"/>
      <c r="F166" s="9"/>
      <c r="I166" s="8"/>
    </row>
    <row r="167">
      <c r="D167" s="8"/>
      <c r="E167" s="9"/>
      <c r="F167" s="9"/>
      <c r="I167" s="8"/>
    </row>
    <row r="168">
      <c r="D168" s="8"/>
      <c r="E168" s="9"/>
      <c r="F168" s="9"/>
      <c r="I168" s="8"/>
    </row>
    <row r="169">
      <c r="D169" s="8"/>
      <c r="E169" s="9"/>
      <c r="F169" s="9"/>
      <c r="I169" s="8"/>
    </row>
    <row r="170">
      <c r="D170" s="8"/>
      <c r="E170" s="9"/>
      <c r="F170" s="9"/>
      <c r="I170" s="8"/>
    </row>
    <row r="171">
      <c r="D171" s="8"/>
      <c r="E171" s="9"/>
      <c r="F171" s="9"/>
      <c r="I171" s="8"/>
    </row>
    <row r="172">
      <c r="D172" s="8"/>
      <c r="E172" s="9"/>
      <c r="F172" s="9"/>
      <c r="I172" s="8"/>
    </row>
    <row r="173">
      <c r="D173" s="8"/>
      <c r="E173" s="9"/>
      <c r="F173" s="9"/>
      <c r="I173" s="8"/>
    </row>
    <row r="174">
      <c r="D174" s="8"/>
      <c r="E174" s="9"/>
      <c r="F174" s="9"/>
      <c r="I174" s="8"/>
    </row>
    <row r="175">
      <c r="D175" s="8"/>
      <c r="E175" s="9"/>
      <c r="F175" s="9"/>
      <c r="I175" s="8"/>
    </row>
    <row r="176">
      <c r="D176" s="8"/>
      <c r="E176" s="9"/>
      <c r="F176" s="9"/>
      <c r="I176" s="8"/>
    </row>
    <row r="177">
      <c r="D177" s="8"/>
      <c r="E177" s="9"/>
      <c r="F177" s="9"/>
      <c r="I177" s="8"/>
    </row>
    <row r="178">
      <c r="D178" s="8"/>
      <c r="E178" s="9"/>
      <c r="F178" s="9"/>
      <c r="I178" s="8"/>
    </row>
    <row r="179">
      <c r="D179" s="8"/>
      <c r="E179" s="9"/>
      <c r="F179" s="9"/>
      <c r="I179" s="8"/>
    </row>
    <row r="180">
      <c r="D180" s="8"/>
      <c r="E180" s="9"/>
      <c r="F180" s="9"/>
      <c r="I180" s="8"/>
    </row>
    <row r="181">
      <c r="D181" s="8"/>
      <c r="E181" s="9"/>
      <c r="F181" s="9"/>
      <c r="I181" s="8"/>
    </row>
    <row r="182">
      <c r="D182" s="8"/>
      <c r="E182" s="9"/>
      <c r="F182" s="9"/>
      <c r="I182" s="8"/>
    </row>
    <row r="183">
      <c r="D183" s="8"/>
      <c r="E183" s="9"/>
      <c r="F183" s="9"/>
      <c r="I183" s="8"/>
    </row>
    <row r="184">
      <c r="D184" s="8"/>
      <c r="E184" s="9"/>
      <c r="F184" s="9"/>
      <c r="I184" s="8"/>
    </row>
    <row r="185">
      <c r="D185" s="8"/>
      <c r="E185" s="9"/>
      <c r="F185" s="9"/>
      <c r="I185" s="8"/>
    </row>
    <row r="186">
      <c r="D186" s="8"/>
      <c r="E186" s="9"/>
      <c r="F186" s="9"/>
      <c r="I186" s="8"/>
    </row>
    <row r="187">
      <c r="D187" s="8"/>
      <c r="E187" s="9"/>
      <c r="F187" s="9"/>
      <c r="I187" s="8"/>
    </row>
    <row r="188">
      <c r="D188" s="8"/>
      <c r="E188" s="9"/>
      <c r="F188" s="9"/>
      <c r="I188" s="8"/>
    </row>
    <row r="189">
      <c r="D189" s="8"/>
      <c r="E189" s="9"/>
      <c r="F189" s="9"/>
      <c r="I189" s="8"/>
    </row>
    <row r="190">
      <c r="D190" s="8"/>
      <c r="E190" s="9"/>
      <c r="F190" s="9"/>
      <c r="I190" s="8"/>
    </row>
    <row r="191">
      <c r="D191" s="8"/>
      <c r="E191" s="9"/>
      <c r="F191" s="9"/>
      <c r="I191" s="8"/>
    </row>
    <row r="192">
      <c r="D192" s="8"/>
      <c r="E192" s="9"/>
      <c r="F192" s="9"/>
      <c r="I192" s="8"/>
    </row>
    <row r="193">
      <c r="D193" s="8"/>
      <c r="E193" s="9"/>
      <c r="F193" s="9"/>
      <c r="I193" s="8"/>
    </row>
    <row r="194">
      <c r="D194" s="8"/>
      <c r="E194" s="9"/>
      <c r="F194" s="9"/>
      <c r="I194" s="8"/>
    </row>
    <row r="195">
      <c r="D195" s="8"/>
      <c r="E195" s="9"/>
      <c r="F195" s="9"/>
      <c r="I195" s="8"/>
    </row>
    <row r="196">
      <c r="D196" s="8"/>
      <c r="E196" s="9"/>
      <c r="F196" s="9"/>
      <c r="I196" s="8"/>
    </row>
    <row r="197">
      <c r="D197" s="8"/>
      <c r="E197" s="9"/>
      <c r="F197" s="9"/>
      <c r="I197" s="8"/>
    </row>
    <row r="198">
      <c r="D198" s="8"/>
      <c r="E198" s="9"/>
      <c r="F198" s="9"/>
      <c r="I198" s="8"/>
    </row>
    <row r="199">
      <c r="D199" s="8"/>
      <c r="E199" s="9"/>
      <c r="F199" s="9"/>
      <c r="I199" s="8"/>
    </row>
    <row r="200">
      <c r="D200" s="8"/>
      <c r="E200" s="9"/>
      <c r="F200" s="9"/>
      <c r="I200" s="8"/>
    </row>
    <row r="201">
      <c r="D201" s="8"/>
      <c r="E201" s="9"/>
      <c r="F201" s="9"/>
      <c r="I201" s="8"/>
    </row>
    <row r="202">
      <c r="D202" s="8"/>
      <c r="E202" s="9"/>
      <c r="F202" s="9"/>
      <c r="I202" s="8"/>
    </row>
    <row r="203">
      <c r="D203" s="8"/>
      <c r="E203" s="9"/>
      <c r="F203" s="9"/>
      <c r="I203" s="8"/>
    </row>
    <row r="204">
      <c r="D204" s="8"/>
      <c r="E204" s="9"/>
      <c r="F204" s="9"/>
      <c r="I204" s="8"/>
    </row>
    <row r="205">
      <c r="D205" s="8"/>
      <c r="E205" s="9"/>
      <c r="F205" s="9"/>
      <c r="I205" s="8"/>
    </row>
    <row r="206">
      <c r="D206" s="8"/>
      <c r="E206" s="9"/>
      <c r="F206" s="9"/>
      <c r="I206" s="8"/>
    </row>
    <row r="207">
      <c r="D207" s="8"/>
      <c r="E207" s="9"/>
      <c r="F207" s="9"/>
      <c r="I207" s="8"/>
    </row>
    <row r="208">
      <c r="D208" s="8"/>
      <c r="E208" s="9"/>
      <c r="F208" s="9"/>
      <c r="I208" s="8"/>
    </row>
    <row r="209">
      <c r="D209" s="8"/>
      <c r="E209" s="9"/>
      <c r="F209" s="9"/>
      <c r="I209" s="8"/>
    </row>
    <row r="210">
      <c r="D210" s="8"/>
      <c r="E210" s="9"/>
      <c r="F210" s="9"/>
      <c r="I210" s="8"/>
    </row>
    <row r="211">
      <c r="D211" s="8"/>
      <c r="E211" s="9"/>
      <c r="F211" s="9"/>
      <c r="I211" s="8"/>
    </row>
    <row r="212">
      <c r="D212" s="8"/>
      <c r="E212" s="9"/>
      <c r="F212" s="9"/>
      <c r="I212" s="8"/>
    </row>
    <row r="213">
      <c r="D213" s="8"/>
      <c r="E213" s="9"/>
      <c r="F213" s="9"/>
      <c r="I213" s="8"/>
    </row>
    <row r="214">
      <c r="D214" s="8"/>
      <c r="E214" s="9"/>
      <c r="F214" s="9"/>
      <c r="I214" s="8"/>
    </row>
    <row r="215">
      <c r="D215" s="8"/>
      <c r="E215" s="9"/>
      <c r="F215" s="9"/>
      <c r="I215" s="8"/>
    </row>
    <row r="216">
      <c r="D216" s="8"/>
      <c r="E216" s="9"/>
      <c r="F216" s="9"/>
      <c r="I216" s="8"/>
    </row>
    <row r="217">
      <c r="D217" s="8"/>
      <c r="E217" s="9"/>
      <c r="F217" s="9"/>
      <c r="I217" s="8"/>
    </row>
    <row r="218">
      <c r="D218" s="8"/>
      <c r="E218" s="9"/>
      <c r="F218" s="9"/>
      <c r="I218" s="8"/>
    </row>
    <row r="219">
      <c r="D219" s="8"/>
      <c r="E219" s="9"/>
      <c r="F219" s="9"/>
      <c r="I219" s="8"/>
    </row>
    <row r="220">
      <c r="D220" s="8"/>
      <c r="E220" s="9"/>
      <c r="F220" s="9"/>
      <c r="I220" s="8"/>
    </row>
    <row r="221">
      <c r="D221" s="8"/>
      <c r="E221" s="9"/>
      <c r="F221" s="9"/>
      <c r="I221" s="8"/>
    </row>
    <row r="222">
      <c r="D222" s="8"/>
      <c r="E222" s="9"/>
      <c r="F222" s="9"/>
      <c r="I222" s="8"/>
    </row>
    <row r="223">
      <c r="D223" s="8"/>
      <c r="E223" s="9"/>
      <c r="F223" s="9"/>
      <c r="I223" s="8"/>
    </row>
    <row r="224">
      <c r="D224" s="8"/>
      <c r="E224" s="9"/>
      <c r="F224" s="9"/>
      <c r="I224" s="8"/>
    </row>
    <row r="225">
      <c r="D225" s="8"/>
      <c r="E225" s="9"/>
      <c r="F225" s="9"/>
      <c r="I225" s="8"/>
    </row>
    <row r="226">
      <c r="D226" s="8"/>
      <c r="E226" s="9"/>
      <c r="F226" s="9"/>
      <c r="I226" s="8"/>
    </row>
    <row r="227">
      <c r="D227" s="8"/>
      <c r="E227" s="9"/>
      <c r="F227" s="9"/>
      <c r="I227" s="8"/>
    </row>
    <row r="228">
      <c r="D228" s="8"/>
      <c r="E228" s="9"/>
      <c r="F228" s="9"/>
      <c r="I228" s="8"/>
    </row>
    <row r="229">
      <c r="D229" s="8"/>
      <c r="E229" s="9"/>
      <c r="F229" s="9"/>
      <c r="I229" s="8"/>
    </row>
    <row r="230">
      <c r="D230" s="8"/>
      <c r="E230" s="9"/>
      <c r="F230" s="9"/>
      <c r="I230" s="8"/>
    </row>
    <row r="231">
      <c r="D231" s="8"/>
      <c r="E231" s="9"/>
      <c r="F231" s="9"/>
      <c r="I231" s="8"/>
    </row>
    <row r="232">
      <c r="D232" s="8"/>
      <c r="E232" s="9"/>
      <c r="F232" s="9"/>
      <c r="I232" s="8"/>
    </row>
    <row r="233">
      <c r="D233" s="8"/>
      <c r="E233" s="9"/>
      <c r="F233" s="9"/>
      <c r="I233" s="8"/>
    </row>
    <row r="234">
      <c r="D234" s="8"/>
      <c r="E234" s="9"/>
      <c r="F234" s="9"/>
      <c r="I234" s="8"/>
    </row>
    <row r="235">
      <c r="D235" s="8"/>
      <c r="E235" s="9"/>
      <c r="F235" s="9"/>
      <c r="I235" s="8"/>
    </row>
    <row r="236">
      <c r="D236" s="8"/>
      <c r="E236" s="9"/>
      <c r="F236" s="9"/>
      <c r="I236" s="8"/>
    </row>
    <row r="237">
      <c r="D237" s="8"/>
      <c r="E237" s="9"/>
      <c r="F237" s="9"/>
      <c r="I237" s="8"/>
    </row>
    <row r="238">
      <c r="D238" s="8"/>
      <c r="E238" s="9"/>
      <c r="F238" s="9"/>
      <c r="I238" s="8"/>
    </row>
    <row r="239">
      <c r="D239" s="8"/>
      <c r="E239" s="9"/>
      <c r="F239" s="9"/>
      <c r="I239" s="8"/>
    </row>
    <row r="240">
      <c r="D240" s="8"/>
      <c r="E240" s="9"/>
      <c r="F240" s="9"/>
      <c r="I240" s="8"/>
    </row>
    <row r="241">
      <c r="D241" s="8"/>
      <c r="E241" s="9"/>
      <c r="F241" s="9"/>
      <c r="I241" s="8"/>
    </row>
    <row r="242">
      <c r="D242" s="8"/>
      <c r="E242" s="9"/>
      <c r="F242" s="9"/>
      <c r="I242" s="8"/>
    </row>
    <row r="243">
      <c r="D243" s="8"/>
      <c r="E243" s="9"/>
      <c r="F243" s="9"/>
      <c r="I243" s="8"/>
    </row>
    <row r="244">
      <c r="D244" s="8"/>
      <c r="E244" s="9"/>
      <c r="F244" s="9"/>
      <c r="I244" s="8"/>
    </row>
    <row r="245">
      <c r="D245" s="8"/>
      <c r="E245" s="9"/>
      <c r="F245" s="9"/>
      <c r="I245" s="8"/>
    </row>
    <row r="246">
      <c r="D246" s="8"/>
      <c r="E246" s="9"/>
      <c r="F246" s="9"/>
      <c r="I246" s="8"/>
    </row>
    <row r="247">
      <c r="D247" s="8"/>
      <c r="E247" s="9"/>
      <c r="F247" s="9"/>
      <c r="I247" s="8"/>
    </row>
    <row r="248">
      <c r="D248" s="8"/>
      <c r="E248" s="9"/>
      <c r="F248" s="9"/>
      <c r="I248" s="8"/>
    </row>
    <row r="249">
      <c r="D249" s="8"/>
      <c r="E249" s="9"/>
      <c r="F249" s="9"/>
      <c r="I249" s="8"/>
    </row>
    <row r="250">
      <c r="D250" s="8"/>
      <c r="E250" s="9"/>
      <c r="F250" s="9"/>
      <c r="I250" s="8"/>
    </row>
    <row r="251">
      <c r="D251" s="8"/>
      <c r="E251" s="9"/>
      <c r="F251" s="9"/>
      <c r="I251" s="8"/>
    </row>
    <row r="252">
      <c r="D252" s="8"/>
      <c r="E252" s="9"/>
      <c r="F252" s="9"/>
      <c r="I252" s="8"/>
    </row>
    <row r="253">
      <c r="D253" s="8"/>
      <c r="E253" s="9"/>
      <c r="F253" s="9"/>
      <c r="I253" s="8"/>
    </row>
    <row r="254">
      <c r="D254" s="8"/>
      <c r="E254" s="9"/>
      <c r="F254" s="9"/>
      <c r="I254" s="8"/>
    </row>
    <row r="255">
      <c r="D255" s="8"/>
      <c r="E255" s="9"/>
      <c r="F255" s="9"/>
      <c r="I255" s="8"/>
    </row>
    <row r="256">
      <c r="D256" s="8"/>
      <c r="E256" s="9"/>
      <c r="F256" s="9"/>
      <c r="I256" s="8"/>
    </row>
    <row r="257">
      <c r="D257" s="8"/>
      <c r="E257" s="9"/>
      <c r="F257" s="9"/>
      <c r="I257" s="8"/>
    </row>
    <row r="258">
      <c r="D258" s="8"/>
      <c r="E258" s="9"/>
      <c r="F258" s="9"/>
      <c r="I258" s="8"/>
    </row>
    <row r="259">
      <c r="D259" s="8"/>
      <c r="E259" s="9"/>
      <c r="F259" s="9"/>
      <c r="I259" s="8"/>
    </row>
    <row r="260">
      <c r="D260" s="8"/>
      <c r="E260" s="9"/>
      <c r="F260" s="9"/>
      <c r="I260" s="8"/>
    </row>
    <row r="261">
      <c r="D261" s="8"/>
      <c r="E261" s="9"/>
      <c r="F261" s="9"/>
      <c r="I261" s="8"/>
    </row>
    <row r="262">
      <c r="D262" s="8"/>
      <c r="E262" s="9"/>
      <c r="F262" s="9"/>
      <c r="I262" s="8"/>
    </row>
    <row r="263">
      <c r="D263" s="8"/>
      <c r="E263" s="9"/>
      <c r="F263" s="9"/>
      <c r="I263" s="8"/>
    </row>
    <row r="264">
      <c r="D264" s="8"/>
      <c r="E264" s="9"/>
      <c r="F264" s="9"/>
      <c r="I264" s="8"/>
    </row>
    <row r="265">
      <c r="D265" s="8"/>
      <c r="E265" s="9"/>
      <c r="F265" s="9"/>
      <c r="I265" s="8"/>
    </row>
    <row r="266">
      <c r="D266" s="8"/>
      <c r="E266" s="9"/>
      <c r="F266" s="9"/>
      <c r="I266" s="8"/>
    </row>
    <row r="267">
      <c r="D267" s="8"/>
      <c r="E267" s="9"/>
      <c r="F267" s="9"/>
      <c r="I267" s="8"/>
    </row>
    <row r="268">
      <c r="D268" s="8"/>
      <c r="E268" s="9"/>
      <c r="F268" s="9"/>
      <c r="I268" s="8"/>
    </row>
    <row r="269">
      <c r="D269" s="8"/>
      <c r="E269" s="9"/>
      <c r="F269" s="9"/>
      <c r="I269" s="8"/>
    </row>
    <row r="270">
      <c r="D270" s="8"/>
      <c r="E270" s="9"/>
      <c r="F270" s="9"/>
      <c r="I270" s="8"/>
    </row>
    <row r="271">
      <c r="D271" s="8"/>
      <c r="E271" s="9"/>
      <c r="F271" s="9"/>
      <c r="I271" s="8"/>
    </row>
    <row r="272">
      <c r="D272" s="8"/>
      <c r="E272" s="9"/>
      <c r="F272" s="9"/>
      <c r="I272" s="8"/>
    </row>
    <row r="273">
      <c r="D273" s="8"/>
      <c r="E273" s="9"/>
      <c r="F273" s="9"/>
      <c r="I273" s="8"/>
    </row>
    <row r="274">
      <c r="D274" s="8"/>
      <c r="E274" s="9"/>
      <c r="F274" s="9"/>
      <c r="I274" s="8"/>
    </row>
    <row r="275">
      <c r="D275" s="8"/>
      <c r="E275" s="9"/>
      <c r="F275" s="9"/>
      <c r="I275" s="8"/>
    </row>
    <row r="276">
      <c r="D276" s="8"/>
      <c r="E276" s="9"/>
      <c r="F276" s="9"/>
      <c r="I276" s="8"/>
    </row>
    <row r="277">
      <c r="D277" s="8"/>
      <c r="E277" s="9"/>
      <c r="F277" s="9"/>
      <c r="I277" s="8"/>
    </row>
    <row r="278">
      <c r="D278" s="8"/>
      <c r="E278" s="9"/>
      <c r="F278" s="9"/>
      <c r="I278" s="8"/>
    </row>
    <row r="279">
      <c r="D279" s="8"/>
      <c r="E279" s="9"/>
      <c r="F279" s="9"/>
      <c r="I279" s="8"/>
    </row>
    <row r="280">
      <c r="D280" s="8"/>
      <c r="E280" s="9"/>
      <c r="F280" s="9"/>
      <c r="I280" s="8"/>
    </row>
    <row r="281">
      <c r="D281" s="8"/>
      <c r="E281" s="9"/>
      <c r="F281" s="9"/>
      <c r="I281" s="8"/>
    </row>
    <row r="282">
      <c r="D282" s="8"/>
      <c r="E282" s="9"/>
      <c r="F282" s="9"/>
      <c r="I282" s="8"/>
    </row>
    <row r="283">
      <c r="D283" s="8"/>
      <c r="E283" s="9"/>
      <c r="F283" s="9"/>
      <c r="I283" s="8"/>
    </row>
    <row r="284">
      <c r="D284" s="8"/>
      <c r="E284" s="9"/>
      <c r="F284" s="9"/>
      <c r="I284" s="8"/>
    </row>
    <row r="285">
      <c r="D285" s="8"/>
      <c r="E285" s="9"/>
      <c r="F285" s="9"/>
      <c r="I285" s="8"/>
    </row>
    <row r="286">
      <c r="D286" s="8"/>
      <c r="E286" s="9"/>
      <c r="F286" s="9"/>
      <c r="I286" s="8"/>
    </row>
    <row r="287">
      <c r="D287" s="8"/>
      <c r="E287" s="9"/>
      <c r="F287" s="9"/>
      <c r="I287" s="8"/>
    </row>
    <row r="288">
      <c r="D288" s="8"/>
      <c r="E288" s="9"/>
      <c r="F288" s="9"/>
      <c r="I288" s="8"/>
    </row>
    <row r="289">
      <c r="D289" s="8"/>
      <c r="E289" s="9"/>
      <c r="F289" s="9"/>
      <c r="I289" s="8"/>
    </row>
    <row r="290">
      <c r="D290" s="8"/>
      <c r="E290" s="9"/>
      <c r="F290" s="9"/>
      <c r="I290" s="8"/>
    </row>
    <row r="291">
      <c r="D291" s="8"/>
      <c r="E291" s="9"/>
      <c r="F291" s="9"/>
      <c r="I291" s="8"/>
    </row>
    <row r="292">
      <c r="D292" s="8"/>
      <c r="E292" s="9"/>
      <c r="F292" s="9"/>
      <c r="I292" s="8"/>
    </row>
    <row r="293">
      <c r="D293" s="8"/>
      <c r="E293" s="9"/>
      <c r="F293" s="9"/>
      <c r="I293" s="8"/>
    </row>
    <row r="294">
      <c r="D294" s="8"/>
      <c r="E294" s="9"/>
      <c r="F294" s="9"/>
      <c r="I294" s="8"/>
    </row>
    <row r="295">
      <c r="D295" s="8"/>
      <c r="E295" s="9"/>
      <c r="F295" s="9"/>
      <c r="I295" s="8"/>
    </row>
    <row r="296">
      <c r="D296" s="8"/>
      <c r="E296" s="9"/>
      <c r="F296" s="9"/>
      <c r="I296" s="8"/>
    </row>
    <row r="297">
      <c r="D297" s="8"/>
      <c r="E297" s="9"/>
      <c r="F297" s="9"/>
      <c r="I297" s="8"/>
    </row>
    <row r="298">
      <c r="D298" s="8"/>
      <c r="E298" s="9"/>
      <c r="F298" s="9"/>
      <c r="I298" s="8"/>
    </row>
    <row r="299">
      <c r="D299" s="8"/>
      <c r="E299" s="9"/>
      <c r="F299" s="9"/>
      <c r="I299" s="8"/>
    </row>
    <row r="300">
      <c r="D300" s="8"/>
      <c r="E300" s="9"/>
      <c r="F300" s="9"/>
      <c r="I300" s="8"/>
    </row>
    <row r="301">
      <c r="D301" s="8"/>
      <c r="E301" s="9"/>
      <c r="F301" s="9"/>
      <c r="I301" s="8"/>
    </row>
    <row r="302">
      <c r="D302" s="8"/>
      <c r="E302" s="9"/>
      <c r="F302" s="9"/>
      <c r="I302" s="8"/>
    </row>
    <row r="303">
      <c r="D303" s="8"/>
      <c r="E303" s="9"/>
      <c r="F303" s="9"/>
      <c r="I303" s="8"/>
    </row>
    <row r="304">
      <c r="D304" s="8"/>
      <c r="E304" s="9"/>
      <c r="F304" s="9"/>
      <c r="I304" s="8"/>
    </row>
    <row r="305">
      <c r="D305" s="8"/>
      <c r="E305" s="9"/>
      <c r="F305" s="9"/>
      <c r="I305" s="8"/>
    </row>
    <row r="306">
      <c r="D306" s="8"/>
      <c r="E306" s="9"/>
      <c r="F306" s="9"/>
      <c r="I306" s="8"/>
    </row>
    <row r="307">
      <c r="D307" s="8"/>
      <c r="E307" s="9"/>
      <c r="F307" s="9"/>
      <c r="I307" s="8"/>
    </row>
    <row r="308">
      <c r="D308" s="8"/>
      <c r="E308" s="9"/>
      <c r="F308" s="9"/>
      <c r="I308" s="8"/>
    </row>
    <row r="309">
      <c r="D309" s="8"/>
      <c r="E309" s="9"/>
      <c r="F309" s="9"/>
      <c r="I309" s="8"/>
    </row>
    <row r="310">
      <c r="D310" s="8"/>
      <c r="E310" s="9"/>
      <c r="F310" s="9"/>
      <c r="I310" s="8"/>
    </row>
    <row r="311">
      <c r="D311" s="8"/>
      <c r="E311" s="9"/>
      <c r="F311" s="9"/>
      <c r="I311" s="8"/>
    </row>
    <row r="312">
      <c r="D312" s="8"/>
      <c r="E312" s="9"/>
      <c r="F312" s="9"/>
      <c r="I312" s="8"/>
    </row>
    <row r="313">
      <c r="D313" s="8"/>
      <c r="E313" s="9"/>
      <c r="F313" s="9"/>
      <c r="I313" s="8"/>
    </row>
    <row r="314">
      <c r="D314" s="8"/>
      <c r="E314" s="9"/>
      <c r="F314" s="9"/>
      <c r="I314" s="8"/>
    </row>
    <row r="315">
      <c r="D315" s="8"/>
      <c r="E315" s="9"/>
      <c r="F315" s="9"/>
      <c r="I315" s="8"/>
    </row>
    <row r="316">
      <c r="D316" s="8"/>
      <c r="E316" s="9"/>
      <c r="F316" s="9"/>
      <c r="I316" s="8"/>
    </row>
    <row r="317">
      <c r="D317" s="8"/>
      <c r="E317" s="9"/>
      <c r="F317" s="9"/>
      <c r="I317" s="8"/>
    </row>
    <row r="318">
      <c r="D318" s="8"/>
      <c r="E318" s="9"/>
      <c r="F318" s="9"/>
      <c r="I318" s="8"/>
    </row>
    <row r="319">
      <c r="D319" s="8"/>
      <c r="E319" s="9"/>
      <c r="F319" s="9"/>
      <c r="I319" s="8"/>
    </row>
    <row r="320">
      <c r="D320" s="8"/>
      <c r="E320" s="9"/>
      <c r="F320" s="9"/>
      <c r="I320" s="8"/>
    </row>
    <row r="321">
      <c r="D321" s="8"/>
      <c r="E321" s="9"/>
      <c r="F321" s="9"/>
      <c r="I321" s="8"/>
    </row>
    <row r="322">
      <c r="D322" s="8"/>
      <c r="E322" s="9"/>
      <c r="F322" s="9"/>
      <c r="I322" s="8"/>
    </row>
    <row r="323">
      <c r="D323" s="8"/>
      <c r="E323" s="9"/>
      <c r="F323" s="9"/>
      <c r="I323" s="8"/>
    </row>
    <row r="324">
      <c r="D324" s="8"/>
      <c r="E324" s="9"/>
      <c r="F324" s="9"/>
      <c r="I324" s="8"/>
    </row>
    <row r="325">
      <c r="D325" s="8"/>
      <c r="E325" s="9"/>
      <c r="F325" s="9"/>
      <c r="I325" s="8"/>
    </row>
    <row r="326">
      <c r="D326" s="8"/>
      <c r="E326" s="9"/>
      <c r="F326" s="9"/>
      <c r="I326" s="8"/>
    </row>
    <row r="327">
      <c r="D327" s="8"/>
      <c r="E327" s="9"/>
      <c r="F327" s="9"/>
      <c r="I327" s="8"/>
    </row>
    <row r="328">
      <c r="D328" s="8"/>
      <c r="E328" s="9"/>
      <c r="F328" s="9"/>
      <c r="I328" s="8"/>
    </row>
    <row r="329">
      <c r="D329" s="8"/>
      <c r="E329" s="9"/>
      <c r="F329" s="9"/>
      <c r="I329" s="8"/>
    </row>
    <row r="330">
      <c r="D330" s="8"/>
      <c r="E330" s="9"/>
      <c r="F330" s="9"/>
      <c r="I330" s="8"/>
    </row>
    <row r="331">
      <c r="D331" s="8"/>
      <c r="E331" s="9"/>
      <c r="F331" s="9"/>
      <c r="I331" s="8"/>
    </row>
    <row r="332">
      <c r="D332" s="8"/>
      <c r="E332" s="9"/>
      <c r="F332" s="9"/>
      <c r="I332" s="8"/>
    </row>
    <row r="333">
      <c r="D333" s="8"/>
      <c r="E333" s="9"/>
      <c r="F333" s="9"/>
      <c r="I333" s="8"/>
    </row>
    <row r="334">
      <c r="D334" s="8"/>
      <c r="E334" s="9"/>
      <c r="F334" s="9"/>
      <c r="I334" s="8"/>
    </row>
    <row r="335">
      <c r="D335" s="8"/>
      <c r="E335" s="9"/>
      <c r="F335" s="9"/>
      <c r="I335" s="8"/>
    </row>
    <row r="336">
      <c r="D336" s="8"/>
      <c r="E336" s="9"/>
      <c r="F336" s="9"/>
      <c r="I336" s="8"/>
    </row>
    <row r="337">
      <c r="D337" s="8"/>
      <c r="E337" s="9"/>
      <c r="F337" s="9"/>
      <c r="I337" s="8"/>
    </row>
    <row r="338">
      <c r="D338" s="8"/>
      <c r="E338" s="9"/>
      <c r="F338" s="9"/>
      <c r="I338" s="8"/>
    </row>
    <row r="339">
      <c r="D339" s="8"/>
      <c r="E339" s="9"/>
      <c r="F339" s="9"/>
      <c r="I339" s="8"/>
    </row>
    <row r="340">
      <c r="D340" s="8"/>
      <c r="E340" s="9"/>
      <c r="F340" s="9"/>
      <c r="I340" s="8"/>
    </row>
    <row r="341">
      <c r="D341" s="8"/>
      <c r="E341" s="9"/>
      <c r="F341" s="9"/>
      <c r="I341" s="8"/>
    </row>
    <row r="342">
      <c r="D342" s="8"/>
      <c r="E342" s="9"/>
      <c r="F342" s="9"/>
      <c r="I342" s="8"/>
    </row>
    <row r="343">
      <c r="D343" s="8"/>
      <c r="E343" s="9"/>
      <c r="F343" s="9"/>
      <c r="I343" s="8"/>
    </row>
    <row r="344">
      <c r="D344" s="8"/>
      <c r="E344" s="9"/>
      <c r="F344" s="9"/>
      <c r="I344" s="8"/>
    </row>
    <row r="345">
      <c r="D345" s="8"/>
      <c r="E345" s="9"/>
      <c r="F345" s="9"/>
      <c r="I345" s="8"/>
    </row>
    <row r="346">
      <c r="D346" s="8"/>
      <c r="E346" s="9"/>
      <c r="F346" s="9"/>
      <c r="I346" s="8"/>
    </row>
    <row r="347">
      <c r="D347" s="8"/>
      <c r="E347" s="9"/>
      <c r="F347" s="9"/>
      <c r="I347" s="8"/>
    </row>
    <row r="348">
      <c r="D348" s="8"/>
      <c r="E348" s="9"/>
      <c r="F348" s="9"/>
      <c r="I348" s="8"/>
    </row>
    <row r="349">
      <c r="D349" s="8"/>
      <c r="E349" s="9"/>
      <c r="F349" s="9"/>
      <c r="I349" s="8"/>
    </row>
    <row r="350">
      <c r="D350" s="8"/>
      <c r="E350" s="9"/>
      <c r="F350" s="9"/>
      <c r="I350" s="8"/>
    </row>
    <row r="351">
      <c r="D351" s="8"/>
      <c r="E351" s="9"/>
      <c r="F351" s="9"/>
      <c r="I351" s="8"/>
    </row>
    <row r="352">
      <c r="D352" s="8"/>
      <c r="E352" s="9"/>
      <c r="F352" s="9"/>
      <c r="I352" s="8"/>
    </row>
    <row r="353">
      <c r="D353" s="8"/>
      <c r="E353" s="9"/>
      <c r="F353" s="9"/>
      <c r="I353" s="8"/>
    </row>
    <row r="354">
      <c r="D354" s="8"/>
      <c r="E354" s="9"/>
      <c r="F354" s="9"/>
      <c r="I354" s="8"/>
    </row>
    <row r="355">
      <c r="D355" s="8"/>
      <c r="E355" s="9"/>
      <c r="F355" s="9"/>
      <c r="I355" s="8"/>
    </row>
    <row r="356">
      <c r="D356" s="8"/>
      <c r="E356" s="9"/>
      <c r="F356" s="9"/>
      <c r="I356" s="8"/>
    </row>
    <row r="357">
      <c r="D357" s="8"/>
      <c r="E357" s="9"/>
      <c r="F357" s="9"/>
      <c r="I357" s="8"/>
    </row>
    <row r="358">
      <c r="D358" s="8"/>
      <c r="E358" s="9"/>
      <c r="F358" s="9"/>
      <c r="I358" s="8"/>
    </row>
    <row r="359">
      <c r="D359" s="8"/>
      <c r="E359" s="9"/>
      <c r="F359" s="9"/>
      <c r="I359" s="8"/>
    </row>
    <row r="360">
      <c r="D360" s="8"/>
      <c r="E360" s="9"/>
      <c r="F360" s="9"/>
      <c r="I360" s="8"/>
    </row>
    <row r="361">
      <c r="D361" s="8"/>
      <c r="E361" s="9"/>
      <c r="F361" s="9"/>
      <c r="I361" s="8"/>
    </row>
    <row r="362">
      <c r="D362" s="8"/>
      <c r="E362" s="9"/>
      <c r="F362" s="9"/>
      <c r="I362" s="8"/>
    </row>
    <row r="363">
      <c r="D363" s="8"/>
      <c r="E363" s="9"/>
      <c r="F363" s="9"/>
      <c r="I363" s="8"/>
    </row>
    <row r="364">
      <c r="D364" s="8"/>
      <c r="E364" s="9"/>
      <c r="F364" s="9"/>
      <c r="I364" s="8"/>
    </row>
    <row r="365">
      <c r="D365" s="8"/>
      <c r="E365" s="9"/>
      <c r="F365" s="9"/>
      <c r="I365" s="8"/>
    </row>
    <row r="366">
      <c r="D366" s="8"/>
      <c r="E366" s="9"/>
      <c r="F366" s="9"/>
      <c r="I366" s="8"/>
    </row>
    <row r="367">
      <c r="D367" s="8"/>
      <c r="E367" s="9"/>
      <c r="F367" s="9"/>
      <c r="I367" s="8"/>
    </row>
    <row r="368">
      <c r="D368" s="8"/>
      <c r="E368" s="9"/>
      <c r="F368" s="9"/>
      <c r="I368" s="8"/>
    </row>
    <row r="369">
      <c r="D369" s="8"/>
      <c r="E369" s="9"/>
      <c r="F369" s="9"/>
      <c r="I369" s="8"/>
    </row>
    <row r="370">
      <c r="D370" s="8"/>
      <c r="E370" s="9"/>
      <c r="F370" s="9"/>
      <c r="I370" s="8"/>
    </row>
    <row r="371">
      <c r="D371" s="8"/>
      <c r="E371" s="9"/>
      <c r="F371" s="9"/>
      <c r="I371" s="8"/>
    </row>
    <row r="372">
      <c r="D372" s="8"/>
      <c r="E372" s="9"/>
      <c r="F372" s="9"/>
      <c r="I372" s="8"/>
    </row>
    <row r="373">
      <c r="D373" s="8"/>
      <c r="E373" s="9"/>
      <c r="F373" s="9"/>
      <c r="I373" s="8"/>
    </row>
    <row r="374">
      <c r="D374" s="8"/>
      <c r="E374" s="9"/>
      <c r="F374" s="9"/>
      <c r="I374" s="8"/>
    </row>
    <row r="375">
      <c r="D375" s="8"/>
      <c r="E375" s="9"/>
      <c r="F375" s="9"/>
      <c r="I375" s="8"/>
    </row>
    <row r="376">
      <c r="D376" s="8"/>
      <c r="E376" s="9"/>
      <c r="F376" s="9"/>
      <c r="I376" s="8"/>
    </row>
    <row r="377">
      <c r="D377" s="8"/>
      <c r="E377" s="9"/>
      <c r="F377" s="9"/>
      <c r="I377" s="8"/>
    </row>
    <row r="378">
      <c r="D378" s="8"/>
      <c r="E378" s="9"/>
      <c r="F378" s="9"/>
      <c r="I378" s="8"/>
    </row>
    <row r="379">
      <c r="D379" s="8"/>
      <c r="E379" s="9"/>
      <c r="F379" s="9"/>
      <c r="I379" s="8"/>
    </row>
    <row r="380">
      <c r="D380" s="8"/>
      <c r="E380" s="9"/>
      <c r="F380" s="9"/>
      <c r="I380" s="8"/>
    </row>
    <row r="381">
      <c r="D381" s="8"/>
      <c r="E381" s="9"/>
      <c r="F381" s="9"/>
      <c r="I381" s="8"/>
    </row>
    <row r="382">
      <c r="D382" s="8"/>
      <c r="E382" s="9"/>
      <c r="F382" s="9"/>
      <c r="I382" s="8"/>
    </row>
    <row r="383">
      <c r="D383" s="8"/>
      <c r="E383" s="9"/>
      <c r="F383" s="9"/>
      <c r="I383" s="8"/>
    </row>
    <row r="384">
      <c r="D384" s="8"/>
      <c r="E384" s="9"/>
      <c r="F384" s="9"/>
      <c r="I384" s="8"/>
    </row>
    <row r="385">
      <c r="D385" s="8"/>
      <c r="E385" s="9"/>
      <c r="F385" s="9"/>
      <c r="I385" s="8"/>
    </row>
    <row r="386">
      <c r="D386" s="8"/>
      <c r="E386" s="9"/>
      <c r="F386" s="9"/>
      <c r="I386" s="8"/>
    </row>
    <row r="387">
      <c r="D387" s="8"/>
      <c r="E387" s="9"/>
      <c r="F387" s="9"/>
      <c r="I387" s="8"/>
    </row>
    <row r="388">
      <c r="D388" s="8"/>
      <c r="E388" s="9"/>
      <c r="F388" s="9"/>
      <c r="I388" s="8"/>
    </row>
    <row r="389">
      <c r="D389" s="8"/>
      <c r="E389" s="9"/>
      <c r="F389" s="9"/>
      <c r="I389" s="8"/>
    </row>
    <row r="390">
      <c r="D390" s="8"/>
      <c r="E390" s="9"/>
      <c r="F390" s="9"/>
      <c r="I390" s="8"/>
    </row>
    <row r="391">
      <c r="D391" s="8"/>
      <c r="E391" s="9"/>
      <c r="F391" s="9"/>
      <c r="I391" s="8"/>
    </row>
    <row r="392">
      <c r="D392" s="8"/>
      <c r="E392" s="9"/>
      <c r="F392" s="9"/>
      <c r="I392" s="8"/>
    </row>
    <row r="393">
      <c r="D393" s="8"/>
      <c r="E393" s="9"/>
      <c r="F393" s="9"/>
      <c r="I393" s="8"/>
    </row>
    <row r="394">
      <c r="D394" s="8"/>
      <c r="E394" s="9"/>
      <c r="F394" s="9"/>
      <c r="I394" s="8"/>
    </row>
    <row r="395">
      <c r="D395" s="8"/>
      <c r="E395" s="9"/>
      <c r="F395" s="9"/>
      <c r="I395" s="8"/>
    </row>
    <row r="396">
      <c r="D396" s="8"/>
      <c r="E396" s="9"/>
      <c r="F396" s="9"/>
      <c r="I396" s="8"/>
    </row>
    <row r="397">
      <c r="D397" s="8"/>
      <c r="E397" s="9"/>
      <c r="F397" s="9"/>
      <c r="I397" s="8"/>
    </row>
    <row r="398">
      <c r="D398" s="8"/>
      <c r="E398" s="9"/>
      <c r="F398" s="9"/>
      <c r="I398" s="8"/>
    </row>
    <row r="399">
      <c r="D399" s="8"/>
      <c r="E399" s="9"/>
      <c r="F399" s="9"/>
      <c r="I399" s="8"/>
    </row>
    <row r="400">
      <c r="D400" s="8"/>
      <c r="E400" s="9"/>
      <c r="F400" s="9"/>
      <c r="I400" s="8"/>
    </row>
    <row r="401">
      <c r="D401" s="8"/>
      <c r="E401" s="9"/>
      <c r="F401" s="9"/>
      <c r="I401" s="8"/>
    </row>
    <row r="402">
      <c r="D402" s="8"/>
      <c r="E402" s="9"/>
      <c r="F402" s="9"/>
      <c r="I402" s="8"/>
    </row>
    <row r="403">
      <c r="D403" s="8"/>
      <c r="E403" s="9"/>
      <c r="F403" s="9"/>
      <c r="I403" s="8"/>
    </row>
    <row r="404">
      <c r="D404" s="8"/>
      <c r="E404" s="9"/>
      <c r="F404" s="9"/>
      <c r="I404" s="8"/>
    </row>
    <row r="405">
      <c r="D405" s="8"/>
      <c r="E405" s="9"/>
      <c r="F405" s="9"/>
      <c r="I405" s="8"/>
    </row>
    <row r="406">
      <c r="D406" s="8"/>
      <c r="E406" s="9"/>
      <c r="F406" s="9"/>
      <c r="I406" s="8"/>
    </row>
    <row r="407">
      <c r="D407" s="8"/>
      <c r="E407" s="9"/>
      <c r="F407" s="9"/>
      <c r="I407" s="8"/>
    </row>
    <row r="408">
      <c r="D408" s="8"/>
      <c r="E408" s="9"/>
      <c r="F408" s="9"/>
      <c r="I408" s="8"/>
    </row>
    <row r="409">
      <c r="D409" s="8"/>
      <c r="E409" s="9"/>
      <c r="F409" s="9"/>
      <c r="I409" s="8"/>
    </row>
    <row r="410">
      <c r="D410" s="8"/>
      <c r="E410" s="9"/>
      <c r="F410" s="9"/>
      <c r="I410" s="8"/>
    </row>
    <row r="411">
      <c r="D411" s="8"/>
      <c r="E411" s="9"/>
      <c r="F411" s="9"/>
      <c r="I411" s="8"/>
    </row>
    <row r="412">
      <c r="D412" s="8"/>
      <c r="E412" s="9"/>
      <c r="F412" s="9"/>
      <c r="I412" s="8"/>
    </row>
    <row r="413">
      <c r="D413" s="8"/>
      <c r="E413" s="9"/>
      <c r="F413" s="9"/>
      <c r="I413" s="8"/>
    </row>
    <row r="414">
      <c r="D414" s="8"/>
      <c r="E414" s="9"/>
      <c r="F414" s="9"/>
      <c r="I414" s="8"/>
    </row>
    <row r="415">
      <c r="D415" s="8"/>
      <c r="E415" s="9"/>
      <c r="F415" s="9"/>
      <c r="I415" s="8"/>
    </row>
    <row r="416">
      <c r="D416" s="8"/>
      <c r="E416" s="9"/>
      <c r="F416" s="9"/>
      <c r="I416" s="8"/>
    </row>
    <row r="417">
      <c r="D417" s="8"/>
      <c r="E417" s="9"/>
      <c r="F417" s="9"/>
      <c r="I417" s="8"/>
    </row>
    <row r="418">
      <c r="D418" s="8"/>
      <c r="E418" s="9"/>
      <c r="F418" s="9"/>
      <c r="I418" s="8"/>
    </row>
    <row r="419">
      <c r="D419" s="8"/>
      <c r="E419" s="9"/>
      <c r="F419" s="9"/>
      <c r="I419" s="8"/>
    </row>
    <row r="420">
      <c r="D420" s="8"/>
      <c r="E420" s="9"/>
      <c r="F420" s="9"/>
      <c r="I420" s="8"/>
    </row>
    <row r="421">
      <c r="D421" s="8"/>
      <c r="E421" s="9"/>
      <c r="F421" s="9"/>
      <c r="I421" s="8"/>
    </row>
    <row r="422">
      <c r="D422" s="8"/>
      <c r="E422" s="9"/>
      <c r="F422" s="9"/>
      <c r="I422" s="8"/>
    </row>
    <row r="423">
      <c r="D423" s="8"/>
      <c r="E423" s="9"/>
      <c r="F423" s="9"/>
      <c r="I423" s="8"/>
    </row>
    <row r="424">
      <c r="D424" s="8"/>
      <c r="E424" s="9"/>
      <c r="F424" s="9"/>
      <c r="I424" s="8"/>
    </row>
    <row r="425">
      <c r="D425" s="8"/>
      <c r="E425" s="9"/>
      <c r="F425" s="9"/>
      <c r="I425" s="8"/>
    </row>
    <row r="426">
      <c r="D426" s="8"/>
      <c r="E426" s="9"/>
      <c r="F426" s="9"/>
      <c r="I426" s="8"/>
    </row>
    <row r="427">
      <c r="D427" s="8"/>
      <c r="E427" s="9"/>
      <c r="F427" s="9"/>
      <c r="I427" s="8"/>
    </row>
    <row r="428">
      <c r="D428" s="8"/>
      <c r="E428" s="9"/>
      <c r="F428" s="9"/>
      <c r="I428" s="8"/>
    </row>
    <row r="429">
      <c r="D429" s="8"/>
      <c r="E429" s="9"/>
      <c r="F429" s="9"/>
      <c r="I429" s="8"/>
    </row>
    <row r="430">
      <c r="D430" s="8"/>
      <c r="E430" s="9"/>
      <c r="F430" s="9"/>
      <c r="I430" s="8"/>
    </row>
    <row r="431">
      <c r="D431" s="8"/>
      <c r="E431" s="9"/>
      <c r="F431" s="9"/>
      <c r="I431" s="8"/>
    </row>
    <row r="432">
      <c r="D432" s="8"/>
      <c r="E432" s="9"/>
      <c r="F432" s="9"/>
      <c r="I432" s="8"/>
    </row>
    <row r="433">
      <c r="D433" s="8"/>
      <c r="E433" s="9"/>
      <c r="F433" s="9"/>
      <c r="I433" s="8"/>
    </row>
    <row r="434">
      <c r="D434" s="8"/>
      <c r="E434" s="9"/>
      <c r="F434" s="9"/>
      <c r="I434" s="8"/>
    </row>
    <row r="435">
      <c r="D435" s="8"/>
      <c r="E435" s="9"/>
      <c r="F435" s="9"/>
      <c r="I435" s="8"/>
    </row>
    <row r="436">
      <c r="D436" s="8"/>
      <c r="E436" s="9"/>
      <c r="F436" s="9"/>
      <c r="I436" s="8"/>
    </row>
    <row r="437">
      <c r="D437" s="8"/>
      <c r="E437" s="9"/>
      <c r="F437" s="9"/>
      <c r="I437" s="8"/>
    </row>
    <row r="438">
      <c r="D438" s="8"/>
      <c r="E438" s="9"/>
      <c r="F438" s="9"/>
      <c r="I438" s="8"/>
    </row>
    <row r="439">
      <c r="D439" s="8"/>
      <c r="E439" s="9"/>
      <c r="F439" s="9"/>
      <c r="I439" s="8"/>
    </row>
    <row r="440">
      <c r="D440" s="8"/>
      <c r="E440" s="9"/>
      <c r="F440" s="9"/>
      <c r="I440" s="8"/>
    </row>
    <row r="441">
      <c r="D441" s="8"/>
      <c r="E441" s="9"/>
      <c r="F441" s="9"/>
      <c r="I441" s="8"/>
    </row>
    <row r="442">
      <c r="D442" s="8"/>
      <c r="E442" s="9"/>
      <c r="F442" s="9"/>
      <c r="I442" s="8"/>
    </row>
    <row r="443">
      <c r="D443" s="8"/>
      <c r="E443" s="9"/>
      <c r="F443" s="9"/>
      <c r="I443" s="8"/>
    </row>
    <row r="444">
      <c r="D444" s="8"/>
      <c r="E444" s="9"/>
      <c r="F444" s="9"/>
      <c r="I444" s="8"/>
    </row>
    <row r="445">
      <c r="D445" s="8"/>
      <c r="E445" s="9"/>
      <c r="F445" s="9"/>
      <c r="I445" s="8"/>
    </row>
    <row r="446">
      <c r="D446" s="8"/>
      <c r="E446" s="9"/>
      <c r="F446" s="9"/>
      <c r="I446" s="8"/>
    </row>
    <row r="447">
      <c r="D447" s="8"/>
      <c r="E447" s="9"/>
      <c r="F447" s="9"/>
      <c r="I447" s="8"/>
    </row>
    <row r="448">
      <c r="D448" s="8"/>
      <c r="E448" s="9"/>
      <c r="F448" s="9"/>
      <c r="I448" s="8"/>
    </row>
    <row r="449">
      <c r="D449" s="8"/>
      <c r="E449" s="9"/>
      <c r="F449" s="9"/>
      <c r="I449" s="8"/>
    </row>
    <row r="450">
      <c r="D450" s="8"/>
      <c r="E450" s="9"/>
      <c r="F450" s="9"/>
      <c r="I450" s="8"/>
    </row>
    <row r="451">
      <c r="D451" s="8"/>
      <c r="E451" s="9"/>
      <c r="F451" s="9"/>
      <c r="I451" s="8"/>
    </row>
    <row r="452">
      <c r="D452" s="8"/>
      <c r="E452" s="9"/>
      <c r="F452" s="9"/>
      <c r="I452" s="8"/>
    </row>
    <row r="453">
      <c r="D453" s="8"/>
      <c r="E453" s="9"/>
      <c r="F453" s="9"/>
      <c r="I453" s="8"/>
    </row>
    <row r="454">
      <c r="D454" s="8"/>
      <c r="E454" s="9"/>
      <c r="F454" s="9"/>
      <c r="I454" s="8"/>
    </row>
    <row r="455">
      <c r="D455" s="8"/>
      <c r="E455" s="9"/>
      <c r="F455" s="9"/>
      <c r="I455" s="8"/>
    </row>
    <row r="456">
      <c r="D456" s="8"/>
      <c r="E456" s="9"/>
      <c r="F456" s="9"/>
      <c r="I456" s="8"/>
    </row>
    <row r="457">
      <c r="D457" s="8"/>
      <c r="E457" s="9"/>
      <c r="F457" s="9"/>
      <c r="I457" s="8"/>
    </row>
    <row r="458">
      <c r="D458" s="8"/>
      <c r="E458" s="9"/>
      <c r="F458" s="9"/>
      <c r="I458" s="8"/>
    </row>
    <row r="459">
      <c r="D459" s="8"/>
      <c r="E459" s="9"/>
      <c r="F459" s="9"/>
      <c r="I459" s="8"/>
    </row>
    <row r="460">
      <c r="D460" s="8"/>
      <c r="E460" s="9"/>
      <c r="F460" s="9"/>
      <c r="I460" s="8"/>
    </row>
    <row r="461">
      <c r="D461" s="8"/>
      <c r="E461" s="9"/>
      <c r="F461" s="9"/>
      <c r="I461" s="8"/>
    </row>
    <row r="462">
      <c r="D462" s="8"/>
      <c r="E462" s="9"/>
      <c r="F462" s="9"/>
      <c r="I462" s="8"/>
    </row>
    <row r="463">
      <c r="D463" s="8"/>
      <c r="E463" s="9"/>
      <c r="F463" s="9"/>
      <c r="I463" s="8"/>
    </row>
    <row r="464">
      <c r="D464" s="8"/>
      <c r="E464" s="9"/>
      <c r="F464" s="9"/>
      <c r="I464" s="8"/>
    </row>
    <row r="465">
      <c r="D465" s="8"/>
      <c r="E465" s="9"/>
      <c r="F465" s="9"/>
      <c r="I465" s="8"/>
    </row>
    <row r="466">
      <c r="D466" s="8"/>
      <c r="E466" s="9"/>
      <c r="F466" s="9"/>
      <c r="I466" s="8"/>
    </row>
    <row r="467">
      <c r="D467" s="8"/>
      <c r="E467" s="9"/>
      <c r="F467" s="9"/>
      <c r="I467" s="8"/>
    </row>
    <row r="468">
      <c r="D468" s="8"/>
      <c r="E468" s="9"/>
      <c r="F468" s="9"/>
      <c r="I468" s="8"/>
    </row>
    <row r="469">
      <c r="D469" s="8"/>
      <c r="E469" s="9"/>
      <c r="F469" s="9"/>
      <c r="I469" s="8"/>
    </row>
    <row r="470">
      <c r="D470" s="8"/>
      <c r="E470" s="9"/>
      <c r="F470" s="9"/>
      <c r="I470" s="8"/>
    </row>
    <row r="471">
      <c r="D471" s="8"/>
      <c r="E471" s="9"/>
      <c r="F471" s="9"/>
      <c r="I471" s="8"/>
    </row>
    <row r="472">
      <c r="D472" s="8"/>
      <c r="E472" s="9"/>
      <c r="F472" s="9"/>
      <c r="I472" s="8"/>
    </row>
    <row r="473">
      <c r="D473" s="8"/>
      <c r="E473" s="9"/>
      <c r="F473" s="9"/>
      <c r="I473" s="8"/>
    </row>
    <row r="474">
      <c r="D474" s="8"/>
      <c r="E474" s="9"/>
      <c r="F474" s="9"/>
      <c r="I474" s="8"/>
    </row>
    <row r="475">
      <c r="D475" s="8"/>
      <c r="E475" s="9"/>
      <c r="F475" s="9"/>
      <c r="I475" s="8"/>
    </row>
    <row r="476">
      <c r="D476" s="8"/>
      <c r="E476" s="9"/>
      <c r="F476" s="9"/>
      <c r="I476" s="8"/>
    </row>
    <row r="477">
      <c r="D477" s="8"/>
      <c r="E477" s="9"/>
      <c r="F477" s="9"/>
      <c r="I477" s="8"/>
    </row>
    <row r="478">
      <c r="D478" s="8"/>
      <c r="E478" s="9"/>
      <c r="F478" s="9"/>
      <c r="I478" s="8"/>
    </row>
    <row r="479">
      <c r="D479" s="8"/>
      <c r="E479" s="9"/>
      <c r="F479" s="9"/>
      <c r="I479" s="8"/>
    </row>
    <row r="480">
      <c r="D480" s="8"/>
      <c r="E480" s="9"/>
      <c r="F480" s="9"/>
      <c r="I480" s="8"/>
    </row>
    <row r="481">
      <c r="D481" s="8"/>
      <c r="E481" s="9"/>
      <c r="F481" s="9"/>
      <c r="I481" s="8"/>
    </row>
    <row r="482">
      <c r="D482" s="8"/>
      <c r="E482" s="9"/>
      <c r="F482" s="9"/>
      <c r="I482" s="8"/>
    </row>
    <row r="483">
      <c r="D483" s="8"/>
      <c r="E483" s="9"/>
      <c r="F483" s="9"/>
      <c r="I483" s="8"/>
    </row>
    <row r="484">
      <c r="D484" s="8"/>
      <c r="E484" s="9"/>
      <c r="F484" s="9"/>
      <c r="I484" s="8"/>
    </row>
    <row r="485">
      <c r="D485" s="8"/>
      <c r="E485" s="9"/>
      <c r="F485" s="9"/>
      <c r="I485" s="8"/>
    </row>
    <row r="486">
      <c r="D486" s="8"/>
      <c r="E486" s="9"/>
      <c r="F486" s="9"/>
      <c r="I486" s="8"/>
    </row>
    <row r="487">
      <c r="D487" s="8"/>
      <c r="E487" s="9"/>
      <c r="F487" s="9"/>
      <c r="I487" s="8"/>
    </row>
    <row r="488">
      <c r="D488" s="8"/>
      <c r="E488" s="9"/>
      <c r="F488" s="9"/>
      <c r="I488" s="8"/>
    </row>
    <row r="489">
      <c r="D489" s="8"/>
      <c r="E489" s="9"/>
      <c r="F489" s="9"/>
      <c r="I489" s="8"/>
    </row>
    <row r="490">
      <c r="D490" s="8"/>
      <c r="E490" s="9"/>
      <c r="F490" s="9"/>
      <c r="I490" s="8"/>
    </row>
    <row r="491">
      <c r="D491" s="8"/>
      <c r="E491" s="9"/>
      <c r="F491" s="9"/>
      <c r="I491" s="8"/>
    </row>
    <row r="492">
      <c r="D492" s="8"/>
      <c r="E492" s="9"/>
      <c r="F492" s="9"/>
      <c r="I492" s="8"/>
    </row>
    <row r="493">
      <c r="D493" s="8"/>
      <c r="E493" s="9"/>
      <c r="F493" s="9"/>
      <c r="I493" s="8"/>
    </row>
    <row r="494">
      <c r="D494" s="8"/>
      <c r="E494" s="9"/>
      <c r="F494" s="9"/>
      <c r="I494" s="8"/>
    </row>
    <row r="495">
      <c r="D495" s="8"/>
      <c r="E495" s="9"/>
      <c r="F495" s="9"/>
      <c r="I495" s="8"/>
    </row>
    <row r="496">
      <c r="D496" s="8"/>
      <c r="E496" s="9"/>
      <c r="F496" s="9"/>
      <c r="I496" s="8"/>
    </row>
    <row r="497">
      <c r="D497" s="8"/>
      <c r="E497" s="9"/>
      <c r="F497" s="9"/>
      <c r="I497" s="8"/>
    </row>
    <row r="498">
      <c r="D498" s="8"/>
      <c r="E498" s="9"/>
      <c r="F498" s="9"/>
      <c r="I498" s="8"/>
    </row>
    <row r="499">
      <c r="D499" s="8"/>
      <c r="E499" s="9"/>
      <c r="F499" s="9"/>
      <c r="I499" s="8"/>
    </row>
    <row r="500">
      <c r="D500" s="8"/>
      <c r="E500" s="9"/>
      <c r="F500" s="9"/>
      <c r="I500" s="8"/>
    </row>
    <row r="501">
      <c r="D501" s="8"/>
      <c r="E501" s="9"/>
      <c r="F501" s="9"/>
      <c r="I501" s="8"/>
    </row>
    <row r="502">
      <c r="D502" s="8"/>
      <c r="E502" s="9"/>
      <c r="F502" s="9"/>
      <c r="I502" s="8"/>
    </row>
    <row r="503">
      <c r="D503" s="8"/>
      <c r="E503" s="9"/>
      <c r="F503" s="9"/>
      <c r="I503" s="8"/>
    </row>
    <row r="504">
      <c r="D504" s="8"/>
      <c r="E504" s="9"/>
      <c r="F504" s="9"/>
      <c r="I504" s="8"/>
    </row>
    <row r="505">
      <c r="D505" s="8"/>
      <c r="E505" s="9"/>
      <c r="F505" s="9"/>
      <c r="I505" s="8"/>
    </row>
    <row r="506">
      <c r="D506" s="8"/>
      <c r="E506" s="9"/>
      <c r="F506" s="9"/>
      <c r="I506" s="8"/>
    </row>
    <row r="507">
      <c r="D507" s="8"/>
      <c r="E507" s="9"/>
      <c r="F507" s="9"/>
      <c r="I507" s="8"/>
    </row>
    <row r="508">
      <c r="D508" s="8"/>
      <c r="E508" s="9"/>
      <c r="F508" s="9"/>
      <c r="I508" s="8"/>
    </row>
    <row r="509">
      <c r="D509" s="8"/>
      <c r="E509" s="9"/>
      <c r="F509" s="9"/>
      <c r="I509" s="8"/>
    </row>
    <row r="510">
      <c r="D510" s="8"/>
      <c r="E510" s="9"/>
      <c r="F510" s="9"/>
      <c r="I510" s="8"/>
    </row>
    <row r="511">
      <c r="D511" s="8"/>
      <c r="E511" s="9"/>
      <c r="F511" s="9"/>
      <c r="I511" s="8"/>
    </row>
    <row r="512">
      <c r="D512" s="8"/>
      <c r="E512" s="9"/>
      <c r="F512" s="9"/>
      <c r="I512" s="8"/>
    </row>
    <row r="513">
      <c r="D513" s="8"/>
      <c r="E513" s="9"/>
      <c r="F513" s="9"/>
      <c r="I513" s="8"/>
    </row>
    <row r="514">
      <c r="D514" s="8"/>
      <c r="E514" s="9"/>
      <c r="F514" s="9"/>
      <c r="I514" s="8"/>
    </row>
    <row r="515">
      <c r="D515" s="8"/>
      <c r="E515" s="9"/>
      <c r="F515" s="9"/>
      <c r="I515" s="8"/>
    </row>
    <row r="516">
      <c r="D516" s="8"/>
      <c r="E516" s="9"/>
      <c r="F516" s="9"/>
      <c r="I516" s="8"/>
    </row>
    <row r="517">
      <c r="D517" s="8"/>
      <c r="E517" s="9"/>
      <c r="F517" s="9"/>
      <c r="I517" s="8"/>
    </row>
    <row r="518">
      <c r="D518" s="8"/>
      <c r="E518" s="9"/>
      <c r="F518" s="9"/>
      <c r="I518" s="8"/>
    </row>
    <row r="519">
      <c r="D519" s="8"/>
      <c r="E519" s="9"/>
      <c r="F519" s="9"/>
      <c r="I519" s="8"/>
    </row>
    <row r="520">
      <c r="D520" s="8"/>
      <c r="E520" s="9"/>
      <c r="F520" s="9"/>
      <c r="I520" s="8"/>
    </row>
    <row r="521">
      <c r="D521" s="8"/>
      <c r="E521" s="9"/>
      <c r="F521" s="9"/>
      <c r="I521" s="8"/>
    </row>
    <row r="522">
      <c r="D522" s="8"/>
      <c r="E522" s="9"/>
      <c r="F522" s="9"/>
      <c r="I522" s="8"/>
    </row>
    <row r="523">
      <c r="D523" s="8"/>
      <c r="E523" s="9"/>
      <c r="F523" s="9"/>
      <c r="I523" s="8"/>
    </row>
    <row r="524">
      <c r="D524" s="8"/>
      <c r="E524" s="9"/>
      <c r="F524" s="9"/>
      <c r="I524" s="8"/>
    </row>
    <row r="525">
      <c r="D525" s="8"/>
      <c r="E525" s="9"/>
      <c r="F525" s="9"/>
      <c r="I525" s="8"/>
    </row>
    <row r="526">
      <c r="D526" s="8"/>
      <c r="E526" s="9"/>
      <c r="F526" s="9"/>
      <c r="I526" s="8"/>
    </row>
    <row r="527">
      <c r="D527" s="8"/>
      <c r="E527" s="9"/>
      <c r="F527" s="9"/>
      <c r="I527" s="8"/>
    </row>
    <row r="528">
      <c r="D528" s="8"/>
      <c r="E528" s="9"/>
      <c r="F528" s="9"/>
      <c r="I528" s="8"/>
    </row>
    <row r="529">
      <c r="D529" s="8"/>
      <c r="E529" s="9"/>
      <c r="F529" s="9"/>
      <c r="I529" s="8"/>
    </row>
    <row r="530">
      <c r="D530" s="8"/>
      <c r="E530" s="9"/>
      <c r="F530" s="9"/>
      <c r="I530" s="8"/>
    </row>
    <row r="531">
      <c r="D531" s="8"/>
      <c r="E531" s="9"/>
      <c r="F531" s="9"/>
      <c r="I531" s="8"/>
    </row>
    <row r="532">
      <c r="D532" s="8"/>
      <c r="E532" s="9"/>
      <c r="F532" s="9"/>
      <c r="I532" s="8"/>
    </row>
    <row r="533">
      <c r="D533" s="8"/>
      <c r="E533" s="9"/>
      <c r="F533" s="9"/>
      <c r="I533" s="8"/>
    </row>
    <row r="534">
      <c r="D534" s="8"/>
      <c r="E534" s="9"/>
      <c r="F534" s="9"/>
      <c r="I534" s="8"/>
    </row>
    <row r="535">
      <c r="D535" s="8"/>
      <c r="E535" s="9"/>
      <c r="F535" s="9"/>
      <c r="I535" s="8"/>
    </row>
    <row r="536">
      <c r="D536" s="8"/>
      <c r="E536" s="9"/>
      <c r="F536" s="9"/>
      <c r="I536" s="8"/>
    </row>
    <row r="537">
      <c r="D537" s="8"/>
      <c r="E537" s="9"/>
      <c r="F537" s="9"/>
      <c r="I537" s="8"/>
    </row>
    <row r="538">
      <c r="D538" s="8"/>
      <c r="E538" s="9"/>
      <c r="F538" s="9"/>
      <c r="I538" s="8"/>
    </row>
    <row r="539">
      <c r="D539" s="8"/>
      <c r="E539" s="9"/>
      <c r="F539" s="9"/>
      <c r="I539" s="8"/>
    </row>
    <row r="540">
      <c r="D540" s="8"/>
      <c r="E540" s="9"/>
      <c r="F540" s="9"/>
      <c r="I540" s="8"/>
    </row>
    <row r="541">
      <c r="D541" s="8"/>
      <c r="E541" s="9"/>
      <c r="F541" s="9"/>
      <c r="I541" s="8"/>
    </row>
    <row r="542">
      <c r="D542" s="8"/>
      <c r="E542" s="9"/>
      <c r="F542" s="9"/>
      <c r="I542" s="8"/>
    </row>
    <row r="543">
      <c r="D543" s="8"/>
      <c r="E543" s="9"/>
      <c r="F543" s="9"/>
      <c r="I543" s="8"/>
    </row>
    <row r="544">
      <c r="D544" s="8"/>
      <c r="E544" s="9"/>
      <c r="F544" s="9"/>
      <c r="I544" s="8"/>
    </row>
    <row r="545">
      <c r="D545" s="8"/>
      <c r="E545" s="9"/>
      <c r="F545" s="9"/>
      <c r="I545" s="8"/>
    </row>
    <row r="546">
      <c r="D546" s="8"/>
      <c r="E546" s="9"/>
      <c r="F546" s="9"/>
      <c r="I546" s="8"/>
    </row>
    <row r="547">
      <c r="D547" s="8"/>
      <c r="E547" s="9"/>
      <c r="F547" s="9"/>
      <c r="I547" s="8"/>
    </row>
    <row r="548">
      <c r="D548" s="8"/>
      <c r="E548" s="9"/>
      <c r="F548" s="9"/>
      <c r="I548" s="8"/>
    </row>
    <row r="549">
      <c r="D549" s="8"/>
      <c r="E549" s="9"/>
      <c r="F549" s="9"/>
      <c r="I549" s="8"/>
    </row>
    <row r="550">
      <c r="D550" s="8"/>
      <c r="E550" s="9"/>
      <c r="F550" s="9"/>
      <c r="I550" s="8"/>
    </row>
    <row r="551">
      <c r="D551" s="8"/>
      <c r="E551" s="9"/>
      <c r="F551" s="9"/>
      <c r="I551" s="8"/>
    </row>
    <row r="552">
      <c r="D552" s="8"/>
      <c r="E552" s="9"/>
      <c r="F552" s="9"/>
      <c r="I552" s="8"/>
    </row>
    <row r="553">
      <c r="D553" s="8"/>
      <c r="E553" s="9"/>
      <c r="F553" s="9"/>
      <c r="I553" s="8"/>
    </row>
    <row r="554">
      <c r="D554" s="8"/>
      <c r="E554" s="9"/>
      <c r="F554" s="9"/>
      <c r="I554" s="8"/>
    </row>
    <row r="555">
      <c r="D555" s="8"/>
      <c r="E555" s="9"/>
      <c r="F555" s="9"/>
      <c r="I555" s="8"/>
    </row>
    <row r="556">
      <c r="D556" s="8"/>
      <c r="E556" s="9"/>
      <c r="F556" s="9"/>
      <c r="I556" s="8"/>
    </row>
    <row r="557">
      <c r="D557" s="8"/>
      <c r="E557" s="9"/>
      <c r="F557" s="9"/>
      <c r="I557" s="8"/>
    </row>
    <row r="558">
      <c r="D558" s="8"/>
      <c r="E558" s="9"/>
      <c r="F558" s="9"/>
      <c r="I558" s="8"/>
    </row>
    <row r="559">
      <c r="D559" s="8"/>
      <c r="E559" s="9"/>
      <c r="F559" s="9"/>
      <c r="I559" s="8"/>
    </row>
    <row r="560">
      <c r="D560" s="8"/>
      <c r="E560" s="9"/>
      <c r="F560" s="9"/>
      <c r="I560" s="8"/>
    </row>
    <row r="561">
      <c r="D561" s="8"/>
      <c r="E561" s="9"/>
      <c r="F561" s="9"/>
      <c r="I561" s="8"/>
    </row>
    <row r="562">
      <c r="D562" s="8"/>
      <c r="E562" s="9"/>
      <c r="F562" s="9"/>
      <c r="I562" s="8"/>
    </row>
    <row r="563">
      <c r="D563" s="8"/>
      <c r="E563" s="9"/>
      <c r="F563" s="9"/>
      <c r="I563" s="8"/>
    </row>
    <row r="564">
      <c r="D564" s="8"/>
      <c r="E564" s="9"/>
      <c r="F564" s="9"/>
      <c r="I564" s="8"/>
    </row>
    <row r="565">
      <c r="D565" s="8"/>
      <c r="E565" s="9"/>
      <c r="F565" s="9"/>
      <c r="I565" s="8"/>
    </row>
    <row r="566">
      <c r="D566" s="8"/>
      <c r="E566" s="9"/>
      <c r="F566" s="9"/>
      <c r="I566" s="8"/>
    </row>
    <row r="567">
      <c r="D567" s="8"/>
      <c r="E567" s="9"/>
      <c r="F567" s="9"/>
      <c r="I567" s="8"/>
    </row>
    <row r="568">
      <c r="D568" s="8"/>
      <c r="E568" s="9"/>
      <c r="F568" s="9"/>
      <c r="I568" s="8"/>
    </row>
    <row r="569">
      <c r="D569" s="8"/>
      <c r="E569" s="9"/>
      <c r="F569" s="9"/>
      <c r="I569" s="8"/>
    </row>
    <row r="570">
      <c r="D570" s="8"/>
      <c r="E570" s="9"/>
      <c r="F570" s="9"/>
      <c r="I570" s="8"/>
    </row>
    <row r="571">
      <c r="D571" s="8"/>
      <c r="E571" s="9"/>
      <c r="F571" s="9"/>
      <c r="I571" s="8"/>
    </row>
    <row r="572">
      <c r="D572" s="8"/>
      <c r="E572" s="9"/>
      <c r="F572" s="9"/>
      <c r="I572" s="8"/>
    </row>
    <row r="573">
      <c r="D573" s="8"/>
      <c r="E573" s="9"/>
      <c r="F573" s="9"/>
      <c r="I573" s="8"/>
    </row>
    <row r="574">
      <c r="D574" s="8"/>
      <c r="E574" s="9"/>
      <c r="F574" s="9"/>
      <c r="I574" s="8"/>
    </row>
    <row r="575">
      <c r="D575" s="8"/>
      <c r="E575" s="9"/>
      <c r="F575" s="9"/>
      <c r="I575" s="8"/>
    </row>
    <row r="576">
      <c r="D576" s="8"/>
      <c r="E576" s="9"/>
      <c r="F576" s="9"/>
      <c r="I576" s="8"/>
    </row>
    <row r="577">
      <c r="D577" s="8"/>
      <c r="E577" s="9"/>
      <c r="F577" s="9"/>
      <c r="I577" s="8"/>
    </row>
    <row r="578">
      <c r="D578" s="8"/>
      <c r="E578" s="9"/>
      <c r="F578" s="9"/>
      <c r="I578" s="8"/>
    </row>
    <row r="579">
      <c r="D579" s="8"/>
      <c r="E579" s="9"/>
      <c r="F579" s="9"/>
      <c r="I579" s="8"/>
    </row>
    <row r="580">
      <c r="D580" s="8"/>
      <c r="E580" s="9"/>
      <c r="F580" s="9"/>
      <c r="I580" s="8"/>
    </row>
    <row r="581">
      <c r="D581" s="8"/>
      <c r="E581" s="9"/>
      <c r="F581" s="9"/>
      <c r="I581" s="8"/>
    </row>
    <row r="582">
      <c r="D582" s="8"/>
      <c r="E582" s="9"/>
      <c r="F582" s="9"/>
      <c r="I582" s="8"/>
    </row>
    <row r="583">
      <c r="D583" s="8"/>
      <c r="E583" s="9"/>
      <c r="F583" s="9"/>
      <c r="I583" s="8"/>
    </row>
    <row r="584">
      <c r="D584" s="8"/>
      <c r="E584" s="9"/>
      <c r="F584" s="9"/>
      <c r="I584" s="8"/>
    </row>
    <row r="585">
      <c r="D585" s="8"/>
      <c r="E585" s="9"/>
      <c r="F585" s="9"/>
      <c r="I585" s="8"/>
    </row>
    <row r="586">
      <c r="D586" s="8"/>
      <c r="E586" s="9"/>
      <c r="F586" s="9"/>
      <c r="I586" s="8"/>
    </row>
    <row r="587">
      <c r="D587" s="8"/>
      <c r="E587" s="9"/>
      <c r="F587" s="9"/>
      <c r="I587" s="8"/>
    </row>
    <row r="588">
      <c r="D588" s="8"/>
      <c r="E588" s="9"/>
      <c r="F588" s="9"/>
      <c r="I588" s="8"/>
    </row>
    <row r="589">
      <c r="D589" s="8"/>
      <c r="E589" s="9"/>
      <c r="F589" s="9"/>
      <c r="I589" s="8"/>
    </row>
    <row r="590">
      <c r="D590" s="8"/>
      <c r="E590" s="9"/>
      <c r="F590" s="9"/>
      <c r="I590" s="8"/>
    </row>
    <row r="591">
      <c r="D591" s="8"/>
      <c r="E591" s="9"/>
      <c r="F591" s="9"/>
      <c r="I591" s="8"/>
    </row>
    <row r="592">
      <c r="D592" s="8"/>
      <c r="E592" s="9"/>
      <c r="F592" s="9"/>
      <c r="I592" s="8"/>
    </row>
    <row r="593">
      <c r="D593" s="8"/>
      <c r="E593" s="9"/>
      <c r="F593" s="9"/>
      <c r="I593" s="8"/>
    </row>
    <row r="594">
      <c r="D594" s="8"/>
      <c r="E594" s="9"/>
      <c r="F594" s="9"/>
      <c r="I594" s="8"/>
    </row>
    <row r="595">
      <c r="D595" s="8"/>
      <c r="E595" s="9"/>
      <c r="F595" s="9"/>
      <c r="I595" s="8"/>
    </row>
    <row r="596">
      <c r="D596" s="8"/>
      <c r="E596" s="9"/>
      <c r="F596" s="9"/>
      <c r="I596" s="8"/>
    </row>
    <row r="597">
      <c r="D597" s="8"/>
      <c r="E597" s="9"/>
      <c r="F597" s="9"/>
      <c r="I597" s="8"/>
    </row>
    <row r="598">
      <c r="D598" s="8"/>
      <c r="E598" s="9"/>
      <c r="F598" s="9"/>
      <c r="I598" s="8"/>
    </row>
    <row r="599">
      <c r="D599" s="8"/>
      <c r="E599" s="9"/>
      <c r="F599" s="9"/>
      <c r="I599" s="8"/>
    </row>
    <row r="600">
      <c r="D600" s="8"/>
      <c r="E600" s="9"/>
      <c r="F600" s="9"/>
      <c r="I600" s="8"/>
    </row>
    <row r="601">
      <c r="D601" s="8"/>
      <c r="E601" s="9"/>
      <c r="F601" s="9"/>
      <c r="I601" s="8"/>
    </row>
    <row r="602">
      <c r="D602" s="8"/>
      <c r="E602" s="9"/>
      <c r="F602" s="9"/>
      <c r="I602" s="8"/>
    </row>
    <row r="603">
      <c r="D603" s="8"/>
      <c r="E603" s="9"/>
      <c r="F603" s="9"/>
      <c r="I603" s="8"/>
    </row>
    <row r="604">
      <c r="D604" s="8"/>
      <c r="E604" s="9"/>
      <c r="F604" s="9"/>
      <c r="I604" s="8"/>
    </row>
    <row r="605">
      <c r="D605" s="8"/>
      <c r="E605" s="9"/>
      <c r="F605" s="9"/>
      <c r="I605" s="8"/>
    </row>
    <row r="606">
      <c r="D606" s="8"/>
      <c r="E606" s="9"/>
      <c r="F606" s="9"/>
      <c r="I606" s="8"/>
    </row>
    <row r="607">
      <c r="D607" s="8"/>
      <c r="E607" s="9"/>
      <c r="F607" s="9"/>
      <c r="I607" s="8"/>
    </row>
    <row r="608">
      <c r="D608" s="8"/>
      <c r="E608" s="9"/>
      <c r="F608" s="9"/>
      <c r="I608" s="8"/>
    </row>
    <row r="609">
      <c r="D609" s="8"/>
      <c r="E609" s="9"/>
      <c r="F609" s="9"/>
      <c r="I609" s="8"/>
    </row>
    <row r="610">
      <c r="D610" s="8"/>
      <c r="E610" s="9"/>
      <c r="F610" s="9"/>
      <c r="I610" s="8"/>
    </row>
    <row r="611">
      <c r="D611" s="8"/>
      <c r="E611" s="9"/>
      <c r="F611" s="9"/>
      <c r="I611" s="8"/>
    </row>
    <row r="612">
      <c r="D612" s="8"/>
      <c r="E612" s="9"/>
      <c r="F612" s="9"/>
      <c r="I612" s="8"/>
    </row>
    <row r="613">
      <c r="D613" s="8"/>
      <c r="E613" s="9"/>
      <c r="F613" s="9"/>
      <c r="I613" s="8"/>
    </row>
    <row r="614">
      <c r="D614" s="8"/>
      <c r="E614" s="9"/>
      <c r="F614" s="9"/>
      <c r="I614" s="8"/>
    </row>
    <row r="615">
      <c r="D615" s="8"/>
      <c r="E615" s="9"/>
      <c r="F615" s="9"/>
      <c r="I615" s="8"/>
    </row>
    <row r="616">
      <c r="D616" s="8"/>
      <c r="E616" s="9"/>
      <c r="F616" s="9"/>
      <c r="I616" s="8"/>
    </row>
    <row r="617">
      <c r="D617" s="8"/>
      <c r="E617" s="9"/>
      <c r="F617" s="9"/>
      <c r="I617" s="8"/>
    </row>
    <row r="618">
      <c r="D618" s="8"/>
      <c r="E618" s="9"/>
      <c r="F618" s="9"/>
      <c r="I618" s="8"/>
    </row>
    <row r="619">
      <c r="D619" s="8"/>
      <c r="E619" s="9"/>
      <c r="F619" s="9"/>
      <c r="I619" s="8"/>
    </row>
    <row r="620">
      <c r="D620" s="8"/>
      <c r="E620" s="9"/>
      <c r="F620" s="9"/>
      <c r="I620" s="8"/>
    </row>
    <row r="621">
      <c r="D621" s="8"/>
      <c r="E621" s="9"/>
      <c r="F621" s="9"/>
      <c r="I621" s="8"/>
    </row>
    <row r="622">
      <c r="D622" s="8"/>
      <c r="E622" s="9"/>
      <c r="F622" s="9"/>
      <c r="I622" s="8"/>
    </row>
    <row r="623">
      <c r="D623" s="8"/>
      <c r="E623" s="9"/>
      <c r="F623" s="9"/>
      <c r="I623" s="8"/>
    </row>
    <row r="624">
      <c r="D624" s="8"/>
      <c r="E624" s="9"/>
      <c r="F624" s="9"/>
      <c r="I624" s="8"/>
    </row>
    <row r="625">
      <c r="D625" s="8"/>
      <c r="E625" s="9"/>
      <c r="F625" s="9"/>
      <c r="I625" s="8"/>
    </row>
    <row r="626">
      <c r="D626" s="8"/>
      <c r="E626" s="9"/>
      <c r="F626" s="9"/>
      <c r="I626" s="8"/>
    </row>
    <row r="627">
      <c r="D627" s="8"/>
      <c r="E627" s="9"/>
      <c r="F627" s="9"/>
      <c r="I627" s="8"/>
    </row>
    <row r="628">
      <c r="D628" s="8"/>
      <c r="E628" s="9"/>
      <c r="F628" s="9"/>
      <c r="I628" s="8"/>
    </row>
    <row r="629">
      <c r="D629" s="8"/>
      <c r="E629" s="9"/>
      <c r="F629" s="9"/>
      <c r="I629" s="8"/>
    </row>
    <row r="630">
      <c r="D630" s="8"/>
      <c r="E630" s="9"/>
      <c r="F630" s="9"/>
      <c r="I630" s="8"/>
    </row>
    <row r="631">
      <c r="D631" s="8"/>
      <c r="E631" s="9"/>
      <c r="F631" s="9"/>
      <c r="I631" s="8"/>
    </row>
    <row r="632">
      <c r="D632" s="8"/>
      <c r="E632" s="9"/>
      <c r="F632" s="9"/>
      <c r="I632" s="8"/>
    </row>
    <row r="633">
      <c r="D633" s="8"/>
      <c r="E633" s="9"/>
      <c r="F633" s="9"/>
      <c r="I633" s="8"/>
    </row>
    <row r="634">
      <c r="D634" s="8"/>
      <c r="E634" s="9"/>
      <c r="F634" s="9"/>
      <c r="I634" s="8"/>
    </row>
    <row r="635">
      <c r="D635" s="8"/>
      <c r="E635" s="9"/>
      <c r="F635" s="9"/>
      <c r="I635" s="8"/>
    </row>
    <row r="636">
      <c r="D636" s="8"/>
      <c r="E636" s="9"/>
      <c r="F636" s="9"/>
      <c r="I636" s="8"/>
    </row>
    <row r="637">
      <c r="D637" s="8"/>
      <c r="E637" s="9"/>
      <c r="F637" s="9"/>
      <c r="I637" s="8"/>
    </row>
    <row r="638">
      <c r="D638" s="8"/>
      <c r="E638" s="9"/>
      <c r="F638" s="9"/>
      <c r="I638" s="8"/>
    </row>
    <row r="639">
      <c r="D639" s="8"/>
      <c r="E639" s="9"/>
      <c r="F639" s="9"/>
      <c r="I639" s="8"/>
    </row>
    <row r="640">
      <c r="D640" s="8"/>
      <c r="E640" s="9"/>
      <c r="F640" s="9"/>
      <c r="I640" s="8"/>
    </row>
    <row r="641">
      <c r="D641" s="8"/>
      <c r="E641" s="9"/>
      <c r="F641" s="9"/>
      <c r="I641" s="8"/>
    </row>
    <row r="642">
      <c r="D642" s="8"/>
      <c r="E642" s="9"/>
      <c r="F642" s="9"/>
      <c r="I642" s="8"/>
    </row>
    <row r="643">
      <c r="D643" s="8"/>
      <c r="E643" s="9"/>
      <c r="F643" s="9"/>
      <c r="I643" s="8"/>
    </row>
    <row r="644">
      <c r="D644" s="8"/>
      <c r="E644" s="9"/>
      <c r="F644" s="9"/>
      <c r="I644" s="8"/>
    </row>
    <row r="645">
      <c r="D645" s="8"/>
      <c r="E645" s="9"/>
      <c r="F645" s="9"/>
      <c r="I645" s="8"/>
    </row>
    <row r="646">
      <c r="D646" s="8"/>
      <c r="E646" s="9"/>
      <c r="F646" s="9"/>
      <c r="I646" s="8"/>
    </row>
    <row r="647">
      <c r="D647" s="8"/>
      <c r="E647" s="9"/>
      <c r="F647" s="9"/>
      <c r="I647" s="8"/>
    </row>
    <row r="648">
      <c r="D648" s="8"/>
      <c r="E648" s="9"/>
      <c r="F648" s="9"/>
      <c r="I648" s="8"/>
    </row>
    <row r="649">
      <c r="D649" s="8"/>
      <c r="E649" s="9"/>
      <c r="F649" s="9"/>
      <c r="I649" s="8"/>
    </row>
    <row r="650">
      <c r="D650" s="8"/>
      <c r="E650" s="9"/>
      <c r="F650" s="9"/>
      <c r="I650" s="8"/>
    </row>
    <row r="651">
      <c r="D651" s="8"/>
      <c r="E651" s="9"/>
      <c r="F651" s="9"/>
      <c r="I651" s="8"/>
    </row>
    <row r="652">
      <c r="D652" s="8"/>
      <c r="E652" s="9"/>
      <c r="F652" s="9"/>
      <c r="I652" s="8"/>
    </row>
    <row r="653">
      <c r="D653" s="8"/>
      <c r="E653" s="9"/>
      <c r="F653" s="9"/>
      <c r="I653" s="8"/>
    </row>
    <row r="654">
      <c r="D654" s="8"/>
      <c r="E654" s="9"/>
      <c r="F654" s="9"/>
      <c r="I654" s="8"/>
    </row>
    <row r="655">
      <c r="D655" s="8"/>
      <c r="E655" s="9"/>
      <c r="F655" s="9"/>
      <c r="I655" s="8"/>
    </row>
    <row r="656">
      <c r="D656" s="8"/>
      <c r="E656" s="9"/>
      <c r="F656" s="9"/>
      <c r="I656" s="8"/>
    </row>
    <row r="657">
      <c r="D657" s="8"/>
      <c r="E657" s="9"/>
      <c r="F657" s="9"/>
      <c r="I657" s="8"/>
    </row>
    <row r="658">
      <c r="D658" s="8"/>
      <c r="E658" s="9"/>
      <c r="F658" s="9"/>
      <c r="I658" s="8"/>
    </row>
    <row r="659">
      <c r="D659" s="8"/>
      <c r="E659" s="9"/>
      <c r="F659" s="9"/>
      <c r="I659" s="8"/>
    </row>
    <row r="660">
      <c r="D660" s="8"/>
      <c r="E660" s="9"/>
      <c r="F660" s="9"/>
      <c r="I660" s="8"/>
    </row>
    <row r="661">
      <c r="D661" s="8"/>
      <c r="E661" s="9"/>
      <c r="F661" s="9"/>
      <c r="I661" s="8"/>
    </row>
    <row r="662">
      <c r="D662" s="8"/>
      <c r="E662" s="9"/>
      <c r="F662" s="9"/>
      <c r="I662" s="8"/>
    </row>
    <row r="663">
      <c r="D663" s="8"/>
      <c r="E663" s="9"/>
      <c r="F663" s="9"/>
      <c r="I663" s="8"/>
    </row>
    <row r="664">
      <c r="D664" s="8"/>
      <c r="E664" s="9"/>
      <c r="F664" s="9"/>
      <c r="I664" s="8"/>
    </row>
    <row r="665">
      <c r="D665" s="8"/>
      <c r="E665" s="9"/>
      <c r="F665" s="9"/>
      <c r="I665" s="8"/>
    </row>
    <row r="666">
      <c r="D666" s="8"/>
      <c r="E666" s="9"/>
      <c r="F666" s="9"/>
      <c r="I666" s="8"/>
    </row>
    <row r="667">
      <c r="D667" s="8"/>
      <c r="E667" s="9"/>
      <c r="F667" s="9"/>
      <c r="I667" s="8"/>
    </row>
    <row r="668">
      <c r="D668" s="8"/>
      <c r="E668" s="9"/>
      <c r="F668" s="9"/>
      <c r="I668" s="8"/>
    </row>
    <row r="669">
      <c r="D669" s="8"/>
      <c r="E669" s="9"/>
      <c r="F669" s="9"/>
      <c r="I669" s="8"/>
    </row>
    <row r="670">
      <c r="D670" s="8"/>
      <c r="E670" s="9"/>
      <c r="F670" s="9"/>
      <c r="I670" s="8"/>
    </row>
    <row r="671">
      <c r="D671" s="8"/>
      <c r="E671" s="9"/>
      <c r="F671" s="9"/>
      <c r="I671" s="8"/>
    </row>
    <row r="672">
      <c r="D672" s="8"/>
      <c r="E672" s="9"/>
      <c r="F672" s="9"/>
      <c r="I672" s="8"/>
    </row>
    <row r="673">
      <c r="D673" s="8"/>
      <c r="E673" s="9"/>
      <c r="F673" s="9"/>
      <c r="I673" s="8"/>
    </row>
    <row r="674">
      <c r="D674" s="8"/>
      <c r="E674" s="9"/>
      <c r="F674" s="9"/>
      <c r="I674" s="8"/>
    </row>
    <row r="675">
      <c r="D675" s="8"/>
      <c r="E675" s="9"/>
      <c r="F675" s="9"/>
      <c r="I675" s="8"/>
    </row>
    <row r="676">
      <c r="D676" s="8"/>
      <c r="E676" s="9"/>
      <c r="F676" s="9"/>
      <c r="I676" s="8"/>
    </row>
    <row r="677">
      <c r="D677" s="8"/>
      <c r="E677" s="9"/>
      <c r="F677" s="9"/>
      <c r="I677" s="8"/>
    </row>
    <row r="678">
      <c r="D678" s="8"/>
      <c r="E678" s="9"/>
      <c r="F678" s="9"/>
      <c r="I678" s="8"/>
    </row>
    <row r="679">
      <c r="D679" s="8"/>
      <c r="E679" s="9"/>
      <c r="F679" s="9"/>
      <c r="I679" s="8"/>
    </row>
    <row r="680">
      <c r="D680" s="8"/>
      <c r="E680" s="9"/>
      <c r="F680" s="9"/>
      <c r="I680" s="8"/>
    </row>
    <row r="681">
      <c r="D681" s="8"/>
      <c r="E681" s="9"/>
      <c r="F681" s="9"/>
      <c r="I681" s="8"/>
    </row>
    <row r="682">
      <c r="D682" s="8"/>
      <c r="E682" s="9"/>
      <c r="F682" s="9"/>
      <c r="I682" s="8"/>
    </row>
    <row r="683">
      <c r="D683" s="8"/>
      <c r="E683" s="9"/>
      <c r="F683" s="9"/>
      <c r="I683" s="8"/>
    </row>
    <row r="684">
      <c r="D684" s="8"/>
      <c r="E684" s="9"/>
      <c r="F684" s="9"/>
      <c r="I684" s="8"/>
    </row>
    <row r="685">
      <c r="D685" s="8"/>
      <c r="E685" s="9"/>
      <c r="F685" s="9"/>
      <c r="I685" s="8"/>
    </row>
    <row r="686">
      <c r="D686" s="8"/>
      <c r="E686" s="9"/>
      <c r="F686" s="9"/>
      <c r="I686" s="8"/>
    </row>
    <row r="687">
      <c r="D687" s="8"/>
      <c r="E687" s="9"/>
      <c r="F687" s="9"/>
      <c r="I687" s="8"/>
    </row>
    <row r="688">
      <c r="D688" s="8"/>
      <c r="E688" s="9"/>
      <c r="F688" s="9"/>
      <c r="I688" s="8"/>
    </row>
    <row r="689">
      <c r="D689" s="8"/>
      <c r="E689" s="9"/>
      <c r="F689" s="9"/>
      <c r="I689" s="8"/>
    </row>
    <row r="690">
      <c r="D690" s="8"/>
      <c r="E690" s="9"/>
      <c r="F690" s="9"/>
      <c r="I690" s="8"/>
    </row>
    <row r="691">
      <c r="D691" s="8"/>
      <c r="E691" s="9"/>
      <c r="F691" s="9"/>
      <c r="I691" s="8"/>
    </row>
    <row r="692">
      <c r="D692" s="8"/>
      <c r="E692" s="9"/>
      <c r="F692" s="9"/>
      <c r="I692" s="8"/>
    </row>
    <row r="693">
      <c r="D693" s="8"/>
      <c r="E693" s="9"/>
      <c r="F693" s="9"/>
      <c r="I693" s="8"/>
    </row>
    <row r="694">
      <c r="D694" s="8"/>
      <c r="E694" s="9"/>
      <c r="F694" s="9"/>
      <c r="I694" s="8"/>
    </row>
    <row r="695">
      <c r="D695" s="8"/>
      <c r="E695" s="9"/>
      <c r="F695" s="9"/>
      <c r="I695" s="8"/>
    </row>
    <row r="696">
      <c r="D696" s="8"/>
      <c r="E696" s="9"/>
      <c r="F696" s="9"/>
      <c r="I696" s="8"/>
    </row>
    <row r="697">
      <c r="D697" s="8"/>
      <c r="E697" s="9"/>
      <c r="F697" s="9"/>
      <c r="I697" s="8"/>
    </row>
    <row r="698">
      <c r="D698" s="8"/>
      <c r="E698" s="9"/>
      <c r="F698" s="9"/>
      <c r="I698" s="8"/>
    </row>
    <row r="699">
      <c r="D699" s="8"/>
      <c r="E699" s="9"/>
      <c r="F699" s="9"/>
      <c r="I699" s="8"/>
    </row>
    <row r="700">
      <c r="D700" s="8"/>
      <c r="E700" s="9"/>
      <c r="F700" s="9"/>
      <c r="I700" s="8"/>
    </row>
    <row r="701">
      <c r="D701" s="8"/>
      <c r="E701" s="9"/>
      <c r="F701" s="9"/>
      <c r="I701" s="8"/>
    </row>
    <row r="702">
      <c r="D702" s="8"/>
      <c r="E702" s="9"/>
      <c r="F702" s="9"/>
      <c r="I702" s="8"/>
    </row>
    <row r="703">
      <c r="D703" s="8"/>
      <c r="E703" s="9"/>
      <c r="F703" s="9"/>
      <c r="I703" s="8"/>
    </row>
    <row r="704">
      <c r="D704" s="8"/>
      <c r="E704" s="9"/>
      <c r="F704" s="9"/>
      <c r="I704" s="8"/>
    </row>
    <row r="705">
      <c r="D705" s="8"/>
      <c r="E705" s="9"/>
      <c r="F705" s="9"/>
      <c r="I705" s="8"/>
    </row>
    <row r="706">
      <c r="D706" s="8"/>
      <c r="E706" s="9"/>
      <c r="F706" s="9"/>
      <c r="I706" s="8"/>
    </row>
    <row r="707">
      <c r="D707" s="8"/>
      <c r="E707" s="9"/>
      <c r="F707" s="9"/>
      <c r="I707" s="8"/>
    </row>
    <row r="708">
      <c r="D708" s="8"/>
      <c r="E708" s="9"/>
      <c r="F708" s="9"/>
      <c r="I708" s="8"/>
    </row>
    <row r="709">
      <c r="D709" s="8"/>
      <c r="E709" s="9"/>
      <c r="F709" s="9"/>
      <c r="I709" s="8"/>
    </row>
    <row r="710">
      <c r="D710" s="8"/>
      <c r="E710" s="9"/>
      <c r="F710" s="9"/>
      <c r="I710" s="8"/>
    </row>
    <row r="711">
      <c r="D711" s="8"/>
      <c r="E711" s="9"/>
      <c r="F711" s="9"/>
      <c r="I711" s="8"/>
    </row>
    <row r="712">
      <c r="D712" s="8"/>
      <c r="E712" s="9"/>
      <c r="F712" s="9"/>
      <c r="I712" s="8"/>
    </row>
    <row r="713">
      <c r="D713" s="8"/>
      <c r="E713" s="9"/>
      <c r="F713" s="9"/>
      <c r="I713" s="8"/>
    </row>
    <row r="714">
      <c r="D714" s="8"/>
      <c r="E714" s="9"/>
      <c r="F714" s="9"/>
      <c r="I714" s="8"/>
    </row>
    <row r="715">
      <c r="D715" s="8"/>
      <c r="E715" s="9"/>
      <c r="F715" s="9"/>
      <c r="I715" s="8"/>
    </row>
    <row r="716">
      <c r="D716" s="8"/>
      <c r="E716" s="9"/>
      <c r="F716" s="9"/>
      <c r="I716" s="8"/>
    </row>
    <row r="717">
      <c r="D717" s="8"/>
      <c r="E717" s="9"/>
      <c r="F717" s="9"/>
      <c r="I717" s="8"/>
    </row>
    <row r="718">
      <c r="D718" s="8"/>
      <c r="E718" s="9"/>
      <c r="F718" s="9"/>
      <c r="I718" s="8"/>
    </row>
    <row r="719">
      <c r="D719" s="8"/>
      <c r="E719" s="9"/>
      <c r="F719" s="9"/>
      <c r="I719" s="8"/>
    </row>
    <row r="720">
      <c r="D720" s="8"/>
      <c r="E720" s="9"/>
      <c r="F720" s="9"/>
      <c r="I720" s="8"/>
    </row>
    <row r="721">
      <c r="D721" s="8"/>
      <c r="E721" s="9"/>
      <c r="F721" s="9"/>
      <c r="I721" s="8"/>
    </row>
    <row r="722">
      <c r="D722" s="8"/>
      <c r="E722" s="9"/>
      <c r="F722" s="9"/>
      <c r="I722" s="8"/>
    </row>
    <row r="723">
      <c r="D723" s="8"/>
      <c r="E723" s="9"/>
      <c r="F723" s="9"/>
      <c r="I723" s="8"/>
    </row>
    <row r="724">
      <c r="D724" s="8"/>
      <c r="E724" s="9"/>
      <c r="F724" s="9"/>
      <c r="I724" s="8"/>
    </row>
    <row r="725">
      <c r="D725" s="8"/>
      <c r="E725" s="9"/>
      <c r="F725" s="9"/>
      <c r="I725" s="8"/>
    </row>
    <row r="726">
      <c r="D726" s="8"/>
      <c r="E726" s="9"/>
      <c r="F726" s="9"/>
      <c r="I726" s="8"/>
    </row>
    <row r="727">
      <c r="D727" s="8"/>
      <c r="E727" s="9"/>
      <c r="F727" s="9"/>
      <c r="I727" s="8"/>
    </row>
    <row r="728">
      <c r="D728" s="8"/>
      <c r="E728" s="9"/>
      <c r="F728" s="9"/>
      <c r="I728" s="8"/>
    </row>
    <row r="729">
      <c r="D729" s="8"/>
      <c r="E729" s="9"/>
      <c r="F729" s="9"/>
      <c r="I729" s="8"/>
    </row>
    <row r="730">
      <c r="D730" s="8"/>
      <c r="E730" s="9"/>
      <c r="F730" s="9"/>
      <c r="I730" s="8"/>
    </row>
    <row r="731">
      <c r="D731" s="8"/>
      <c r="E731" s="9"/>
      <c r="F731" s="9"/>
      <c r="I731" s="8"/>
    </row>
    <row r="732">
      <c r="D732" s="8"/>
      <c r="E732" s="9"/>
      <c r="F732" s="9"/>
      <c r="I732" s="8"/>
    </row>
    <row r="733">
      <c r="D733" s="8"/>
      <c r="E733" s="9"/>
      <c r="F733" s="9"/>
      <c r="I733" s="8"/>
    </row>
    <row r="734">
      <c r="D734" s="8"/>
      <c r="E734" s="9"/>
      <c r="F734" s="9"/>
      <c r="I734" s="8"/>
    </row>
    <row r="735">
      <c r="D735" s="8"/>
      <c r="E735" s="9"/>
      <c r="F735" s="9"/>
      <c r="I735" s="8"/>
    </row>
    <row r="736">
      <c r="D736" s="8"/>
      <c r="E736" s="9"/>
      <c r="F736" s="9"/>
      <c r="I736" s="8"/>
    </row>
    <row r="737">
      <c r="D737" s="8"/>
      <c r="E737" s="9"/>
      <c r="F737" s="9"/>
      <c r="I737" s="8"/>
    </row>
    <row r="738">
      <c r="D738" s="8"/>
      <c r="E738" s="9"/>
      <c r="F738" s="9"/>
      <c r="I738" s="8"/>
    </row>
    <row r="739">
      <c r="D739" s="8"/>
      <c r="E739" s="9"/>
      <c r="F739" s="9"/>
      <c r="I739" s="8"/>
    </row>
    <row r="740">
      <c r="D740" s="8"/>
      <c r="E740" s="9"/>
      <c r="F740" s="9"/>
      <c r="I740" s="8"/>
    </row>
    <row r="741">
      <c r="D741" s="8"/>
      <c r="E741" s="9"/>
      <c r="F741" s="9"/>
      <c r="I741" s="8"/>
    </row>
    <row r="742">
      <c r="D742" s="8"/>
      <c r="E742" s="9"/>
      <c r="F742" s="9"/>
      <c r="I742" s="8"/>
    </row>
    <row r="743">
      <c r="D743" s="8"/>
      <c r="E743" s="9"/>
      <c r="F743" s="9"/>
      <c r="I743" s="8"/>
    </row>
    <row r="744">
      <c r="D744" s="8"/>
      <c r="E744" s="9"/>
      <c r="F744" s="9"/>
      <c r="I744" s="8"/>
    </row>
    <row r="745">
      <c r="D745" s="8"/>
      <c r="E745" s="9"/>
      <c r="F745" s="9"/>
      <c r="I745" s="8"/>
    </row>
    <row r="746">
      <c r="D746" s="8"/>
      <c r="E746" s="9"/>
      <c r="F746" s="9"/>
      <c r="I746" s="8"/>
    </row>
    <row r="747">
      <c r="D747" s="8"/>
      <c r="E747" s="9"/>
      <c r="F747" s="9"/>
      <c r="I747" s="8"/>
    </row>
    <row r="748">
      <c r="D748" s="8"/>
      <c r="E748" s="9"/>
      <c r="F748" s="9"/>
      <c r="I748" s="8"/>
    </row>
    <row r="749">
      <c r="D749" s="8"/>
      <c r="E749" s="9"/>
      <c r="F749" s="9"/>
      <c r="I749" s="8"/>
    </row>
    <row r="750">
      <c r="D750" s="8"/>
      <c r="E750" s="9"/>
      <c r="F750" s="9"/>
      <c r="I750" s="8"/>
    </row>
    <row r="751">
      <c r="D751" s="8"/>
      <c r="E751" s="9"/>
      <c r="F751" s="9"/>
      <c r="I751" s="8"/>
    </row>
    <row r="752">
      <c r="D752" s="8"/>
      <c r="E752" s="9"/>
      <c r="F752" s="9"/>
      <c r="I752" s="8"/>
    </row>
    <row r="753">
      <c r="D753" s="8"/>
      <c r="E753" s="9"/>
      <c r="F753" s="9"/>
      <c r="I753" s="8"/>
    </row>
    <row r="754">
      <c r="D754" s="8"/>
      <c r="E754" s="9"/>
      <c r="F754" s="9"/>
      <c r="I754" s="8"/>
    </row>
    <row r="755">
      <c r="D755" s="8"/>
      <c r="E755" s="9"/>
      <c r="F755" s="9"/>
      <c r="I755" s="8"/>
    </row>
    <row r="756">
      <c r="D756" s="8"/>
      <c r="E756" s="9"/>
      <c r="F756" s="9"/>
      <c r="I756" s="8"/>
    </row>
    <row r="757">
      <c r="D757" s="8"/>
      <c r="E757" s="9"/>
      <c r="F757" s="9"/>
      <c r="I757" s="8"/>
    </row>
    <row r="758">
      <c r="D758" s="8"/>
      <c r="E758" s="9"/>
      <c r="F758" s="9"/>
      <c r="I758" s="8"/>
    </row>
    <row r="759">
      <c r="D759" s="8"/>
      <c r="E759" s="9"/>
      <c r="F759" s="9"/>
      <c r="I759" s="8"/>
    </row>
    <row r="760">
      <c r="D760" s="8"/>
      <c r="E760" s="9"/>
      <c r="F760" s="9"/>
      <c r="I760" s="8"/>
    </row>
    <row r="761">
      <c r="D761" s="8"/>
      <c r="E761" s="9"/>
      <c r="F761" s="9"/>
      <c r="I761" s="8"/>
    </row>
    <row r="762">
      <c r="D762" s="8"/>
      <c r="E762" s="9"/>
      <c r="F762" s="9"/>
      <c r="I762" s="8"/>
    </row>
    <row r="763">
      <c r="D763" s="8"/>
      <c r="E763" s="9"/>
      <c r="F763" s="9"/>
      <c r="I763" s="8"/>
    </row>
    <row r="764">
      <c r="D764" s="8"/>
      <c r="E764" s="9"/>
      <c r="F764" s="9"/>
      <c r="I764" s="8"/>
    </row>
    <row r="765">
      <c r="D765" s="8"/>
      <c r="E765" s="9"/>
      <c r="F765" s="9"/>
      <c r="I765" s="8"/>
    </row>
    <row r="766">
      <c r="D766" s="8"/>
      <c r="E766" s="9"/>
      <c r="F766" s="9"/>
      <c r="I766" s="8"/>
    </row>
    <row r="767">
      <c r="D767" s="8"/>
      <c r="E767" s="9"/>
      <c r="F767" s="9"/>
      <c r="I767" s="8"/>
    </row>
    <row r="768">
      <c r="D768" s="8"/>
      <c r="E768" s="9"/>
      <c r="F768" s="9"/>
      <c r="I768" s="8"/>
    </row>
    <row r="769">
      <c r="D769" s="8"/>
      <c r="E769" s="9"/>
      <c r="F769" s="9"/>
      <c r="I769" s="8"/>
    </row>
    <row r="770">
      <c r="D770" s="8"/>
      <c r="E770" s="9"/>
      <c r="F770" s="9"/>
      <c r="I770" s="8"/>
    </row>
    <row r="771">
      <c r="D771" s="8"/>
      <c r="E771" s="9"/>
      <c r="F771" s="9"/>
      <c r="I771" s="8"/>
    </row>
    <row r="772">
      <c r="D772" s="8"/>
      <c r="E772" s="9"/>
      <c r="F772" s="9"/>
      <c r="I772" s="8"/>
    </row>
    <row r="773">
      <c r="D773" s="8"/>
      <c r="E773" s="9"/>
      <c r="F773" s="9"/>
      <c r="I773" s="8"/>
    </row>
    <row r="774">
      <c r="D774" s="8"/>
      <c r="E774" s="9"/>
      <c r="F774" s="9"/>
      <c r="I774" s="8"/>
    </row>
    <row r="775">
      <c r="D775" s="8"/>
      <c r="E775" s="9"/>
      <c r="F775" s="9"/>
      <c r="I775" s="8"/>
    </row>
    <row r="776">
      <c r="D776" s="8"/>
      <c r="E776" s="9"/>
      <c r="F776" s="9"/>
      <c r="I776" s="8"/>
    </row>
    <row r="777">
      <c r="D777" s="8"/>
      <c r="E777" s="9"/>
      <c r="F777" s="9"/>
      <c r="I777" s="8"/>
    </row>
    <row r="778">
      <c r="D778" s="8"/>
      <c r="E778" s="9"/>
      <c r="F778" s="9"/>
      <c r="I778" s="8"/>
    </row>
    <row r="779">
      <c r="D779" s="8"/>
      <c r="E779" s="9"/>
      <c r="F779" s="9"/>
      <c r="I779" s="8"/>
    </row>
    <row r="780">
      <c r="D780" s="8"/>
      <c r="E780" s="9"/>
      <c r="F780" s="9"/>
      <c r="I780" s="8"/>
    </row>
    <row r="781">
      <c r="D781" s="8"/>
      <c r="E781" s="9"/>
      <c r="F781" s="9"/>
      <c r="I781" s="8"/>
    </row>
    <row r="782">
      <c r="D782" s="8"/>
      <c r="E782" s="9"/>
      <c r="F782" s="9"/>
      <c r="I782" s="8"/>
    </row>
    <row r="783">
      <c r="D783" s="8"/>
      <c r="E783" s="9"/>
      <c r="F783" s="9"/>
      <c r="I783" s="8"/>
    </row>
    <row r="784">
      <c r="D784" s="8"/>
      <c r="E784" s="9"/>
      <c r="F784" s="9"/>
      <c r="I784" s="8"/>
    </row>
    <row r="785">
      <c r="D785" s="8"/>
      <c r="E785" s="9"/>
      <c r="F785" s="9"/>
      <c r="I785" s="8"/>
    </row>
    <row r="786">
      <c r="D786" s="8"/>
      <c r="E786" s="9"/>
      <c r="F786" s="9"/>
      <c r="I786" s="8"/>
    </row>
    <row r="787">
      <c r="D787" s="8"/>
      <c r="E787" s="9"/>
      <c r="F787" s="9"/>
      <c r="I787" s="8"/>
    </row>
    <row r="788">
      <c r="D788" s="8"/>
      <c r="E788" s="9"/>
      <c r="F788" s="9"/>
      <c r="I788" s="8"/>
    </row>
    <row r="789">
      <c r="D789" s="8"/>
      <c r="E789" s="9"/>
      <c r="F789" s="9"/>
      <c r="I789" s="8"/>
    </row>
    <row r="790">
      <c r="D790" s="8"/>
      <c r="E790" s="9"/>
      <c r="F790" s="9"/>
      <c r="I790" s="8"/>
    </row>
    <row r="791">
      <c r="D791" s="8"/>
      <c r="E791" s="9"/>
      <c r="F791" s="9"/>
      <c r="I791" s="8"/>
    </row>
    <row r="792">
      <c r="D792" s="8"/>
      <c r="E792" s="9"/>
      <c r="F792" s="9"/>
      <c r="I792" s="8"/>
    </row>
    <row r="793">
      <c r="D793" s="8"/>
      <c r="E793" s="9"/>
      <c r="F793" s="9"/>
      <c r="I793" s="8"/>
    </row>
    <row r="794">
      <c r="D794" s="8"/>
      <c r="E794" s="9"/>
      <c r="F794" s="9"/>
      <c r="I794" s="8"/>
    </row>
    <row r="795">
      <c r="D795" s="8"/>
      <c r="E795" s="9"/>
      <c r="F795" s="9"/>
      <c r="I795" s="8"/>
    </row>
    <row r="796">
      <c r="D796" s="8"/>
      <c r="E796" s="9"/>
      <c r="F796" s="9"/>
      <c r="I796" s="8"/>
    </row>
    <row r="797">
      <c r="D797" s="8"/>
      <c r="E797" s="9"/>
      <c r="F797" s="9"/>
      <c r="I797" s="8"/>
    </row>
    <row r="798">
      <c r="D798" s="8"/>
      <c r="E798" s="9"/>
      <c r="F798" s="9"/>
      <c r="I798" s="8"/>
    </row>
    <row r="799">
      <c r="D799" s="8"/>
      <c r="E799" s="9"/>
      <c r="F799" s="9"/>
      <c r="I799" s="8"/>
    </row>
    <row r="800">
      <c r="D800" s="8"/>
      <c r="E800" s="9"/>
      <c r="F800" s="9"/>
      <c r="I800" s="8"/>
    </row>
    <row r="801">
      <c r="D801" s="8"/>
      <c r="E801" s="9"/>
      <c r="F801" s="9"/>
      <c r="I801" s="8"/>
    </row>
    <row r="802">
      <c r="D802" s="8"/>
      <c r="E802" s="9"/>
      <c r="F802" s="9"/>
      <c r="I802" s="8"/>
    </row>
    <row r="803">
      <c r="D803" s="8"/>
      <c r="E803" s="9"/>
      <c r="F803" s="9"/>
      <c r="I803" s="8"/>
    </row>
    <row r="804">
      <c r="D804" s="8"/>
      <c r="E804" s="9"/>
      <c r="F804" s="9"/>
      <c r="I804" s="8"/>
    </row>
    <row r="805">
      <c r="D805" s="8"/>
      <c r="E805" s="9"/>
      <c r="F805" s="9"/>
      <c r="I805" s="8"/>
    </row>
    <row r="806">
      <c r="D806" s="8"/>
      <c r="E806" s="9"/>
      <c r="F806" s="9"/>
      <c r="I806" s="8"/>
    </row>
    <row r="807">
      <c r="D807" s="8"/>
      <c r="E807" s="9"/>
      <c r="F807" s="9"/>
      <c r="I807" s="8"/>
    </row>
    <row r="808">
      <c r="D808" s="8"/>
      <c r="E808" s="9"/>
      <c r="F808" s="9"/>
      <c r="I808" s="8"/>
    </row>
    <row r="809">
      <c r="D809" s="8"/>
      <c r="E809" s="9"/>
      <c r="F809" s="9"/>
      <c r="I809" s="8"/>
    </row>
    <row r="810">
      <c r="D810" s="8"/>
      <c r="E810" s="9"/>
      <c r="F810" s="9"/>
      <c r="I810" s="8"/>
    </row>
    <row r="811">
      <c r="D811" s="8"/>
      <c r="E811" s="9"/>
      <c r="F811" s="9"/>
      <c r="I811" s="8"/>
    </row>
    <row r="812">
      <c r="D812" s="8"/>
      <c r="E812" s="9"/>
      <c r="F812" s="9"/>
      <c r="I812" s="8"/>
    </row>
    <row r="813">
      <c r="D813" s="8"/>
      <c r="E813" s="9"/>
      <c r="F813" s="9"/>
      <c r="I813" s="8"/>
    </row>
    <row r="814">
      <c r="D814" s="8"/>
      <c r="E814" s="9"/>
      <c r="F814" s="9"/>
      <c r="I814" s="8"/>
    </row>
    <row r="815">
      <c r="D815" s="8"/>
      <c r="E815" s="9"/>
      <c r="F815" s="9"/>
      <c r="I815" s="8"/>
    </row>
    <row r="816">
      <c r="D816" s="8"/>
      <c r="E816" s="9"/>
      <c r="F816" s="9"/>
      <c r="I816" s="8"/>
    </row>
    <row r="817">
      <c r="D817" s="8"/>
      <c r="E817" s="9"/>
      <c r="F817" s="9"/>
      <c r="I817" s="8"/>
    </row>
    <row r="818">
      <c r="D818" s="8"/>
      <c r="E818" s="9"/>
      <c r="F818" s="9"/>
      <c r="I818" s="8"/>
    </row>
    <row r="819">
      <c r="D819" s="8"/>
      <c r="E819" s="9"/>
      <c r="F819" s="9"/>
      <c r="I819" s="8"/>
    </row>
    <row r="820">
      <c r="D820" s="8"/>
      <c r="E820" s="9"/>
      <c r="F820" s="9"/>
      <c r="I820" s="8"/>
    </row>
    <row r="821">
      <c r="D821" s="8"/>
      <c r="E821" s="9"/>
      <c r="F821" s="9"/>
      <c r="I821" s="8"/>
    </row>
    <row r="822">
      <c r="D822" s="8"/>
      <c r="E822" s="9"/>
      <c r="F822" s="9"/>
      <c r="I822" s="8"/>
    </row>
    <row r="823">
      <c r="D823" s="8"/>
      <c r="E823" s="9"/>
      <c r="F823" s="9"/>
      <c r="I823" s="8"/>
    </row>
    <row r="824">
      <c r="D824" s="8"/>
      <c r="E824" s="9"/>
      <c r="F824" s="9"/>
      <c r="I824" s="8"/>
    </row>
    <row r="825">
      <c r="D825" s="8"/>
      <c r="E825" s="9"/>
      <c r="F825" s="9"/>
      <c r="I825" s="8"/>
    </row>
    <row r="826">
      <c r="D826" s="8"/>
      <c r="E826" s="9"/>
      <c r="F826" s="9"/>
      <c r="I826" s="8"/>
    </row>
    <row r="827">
      <c r="D827" s="8"/>
      <c r="E827" s="9"/>
      <c r="F827" s="9"/>
      <c r="I827" s="8"/>
    </row>
    <row r="828">
      <c r="D828" s="8"/>
      <c r="E828" s="9"/>
      <c r="F828" s="9"/>
      <c r="I828" s="8"/>
    </row>
    <row r="829">
      <c r="D829" s="8"/>
      <c r="E829" s="9"/>
      <c r="F829" s="9"/>
      <c r="I829" s="8"/>
    </row>
    <row r="830">
      <c r="D830" s="8"/>
      <c r="E830" s="9"/>
      <c r="F830" s="9"/>
      <c r="I830" s="8"/>
    </row>
    <row r="831">
      <c r="D831" s="8"/>
      <c r="E831" s="9"/>
      <c r="F831" s="9"/>
      <c r="I831" s="8"/>
    </row>
    <row r="832">
      <c r="D832" s="8"/>
      <c r="E832" s="9"/>
      <c r="F832" s="9"/>
      <c r="I832" s="8"/>
    </row>
    <row r="833">
      <c r="D833" s="8"/>
      <c r="E833" s="9"/>
      <c r="F833" s="9"/>
      <c r="I833" s="8"/>
    </row>
    <row r="834">
      <c r="D834" s="8"/>
      <c r="E834" s="9"/>
      <c r="F834" s="9"/>
      <c r="I834" s="8"/>
    </row>
    <row r="835">
      <c r="D835" s="8"/>
      <c r="E835" s="9"/>
      <c r="F835" s="9"/>
      <c r="I835" s="8"/>
    </row>
    <row r="836">
      <c r="D836" s="8"/>
      <c r="E836" s="9"/>
      <c r="F836" s="9"/>
      <c r="I836" s="8"/>
    </row>
    <row r="837">
      <c r="D837" s="8"/>
      <c r="E837" s="9"/>
      <c r="F837" s="9"/>
      <c r="I837" s="8"/>
    </row>
    <row r="838">
      <c r="D838" s="8"/>
      <c r="E838" s="9"/>
      <c r="F838" s="9"/>
      <c r="I838" s="8"/>
    </row>
    <row r="839">
      <c r="D839" s="8"/>
      <c r="E839" s="9"/>
      <c r="F839" s="9"/>
      <c r="I839" s="8"/>
    </row>
    <row r="840">
      <c r="D840" s="8"/>
      <c r="E840" s="9"/>
      <c r="F840" s="9"/>
      <c r="I840" s="8"/>
    </row>
    <row r="841">
      <c r="D841" s="8"/>
      <c r="E841" s="9"/>
      <c r="F841" s="9"/>
      <c r="I841" s="8"/>
    </row>
    <row r="842">
      <c r="D842" s="8"/>
      <c r="E842" s="9"/>
      <c r="F842" s="9"/>
      <c r="I842" s="8"/>
    </row>
    <row r="843">
      <c r="D843" s="8"/>
      <c r="E843" s="9"/>
      <c r="F843" s="9"/>
      <c r="I843" s="8"/>
    </row>
    <row r="844">
      <c r="D844" s="8"/>
      <c r="E844" s="9"/>
      <c r="F844" s="9"/>
      <c r="I844" s="8"/>
    </row>
    <row r="845">
      <c r="D845" s="8"/>
      <c r="E845" s="9"/>
      <c r="F845" s="9"/>
      <c r="I845" s="8"/>
    </row>
    <row r="846">
      <c r="D846" s="8"/>
      <c r="E846" s="9"/>
      <c r="F846" s="9"/>
      <c r="I846" s="8"/>
    </row>
    <row r="847">
      <c r="D847" s="8"/>
      <c r="E847" s="9"/>
      <c r="F847" s="9"/>
      <c r="I847" s="8"/>
    </row>
    <row r="848">
      <c r="D848" s="8"/>
      <c r="E848" s="9"/>
      <c r="F848" s="9"/>
      <c r="I848" s="8"/>
    </row>
    <row r="849">
      <c r="D849" s="8"/>
      <c r="E849" s="9"/>
      <c r="F849" s="9"/>
      <c r="I849" s="8"/>
    </row>
    <row r="850">
      <c r="D850" s="8"/>
      <c r="E850" s="9"/>
      <c r="F850" s="9"/>
      <c r="I850" s="8"/>
    </row>
    <row r="851">
      <c r="D851" s="8"/>
      <c r="E851" s="9"/>
      <c r="F851" s="9"/>
      <c r="I851" s="8"/>
    </row>
    <row r="852">
      <c r="D852" s="8"/>
      <c r="E852" s="9"/>
      <c r="F852" s="9"/>
      <c r="I852" s="8"/>
    </row>
    <row r="853">
      <c r="D853" s="8"/>
      <c r="E853" s="9"/>
      <c r="F853" s="9"/>
      <c r="I853" s="8"/>
    </row>
    <row r="854">
      <c r="D854" s="8"/>
      <c r="E854" s="9"/>
      <c r="F854" s="9"/>
      <c r="I854" s="8"/>
    </row>
    <row r="855">
      <c r="D855" s="8"/>
      <c r="E855" s="9"/>
      <c r="F855" s="9"/>
      <c r="I855" s="8"/>
    </row>
    <row r="856">
      <c r="D856" s="8"/>
      <c r="E856" s="9"/>
      <c r="F856" s="9"/>
      <c r="I856" s="8"/>
    </row>
    <row r="857">
      <c r="D857" s="8"/>
      <c r="E857" s="9"/>
      <c r="F857" s="9"/>
      <c r="I857" s="8"/>
    </row>
    <row r="858">
      <c r="D858" s="8"/>
      <c r="E858" s="9"/>
      <c r="F858" s="9"/>
      <c r="I858" s="8"/>
    </row>
    <row r="859">
      <c r="D859" s="8"/>
      <c r="E859" s="9"/>
      <c r="F859" s="9"/>
      <c r="I859" s="8"/>
    </row>
    <row r="860">
      <c r="D860" s="8"/>
      <c r="E860" s="9"/>
      <c r="F860" s="9"/>
      <c r="I860" s="8"/>
    </row>
    <row r="861">
      <c r="D861" s="8"/>
      <c r="E861" s="9"/>
      <c r="F861" s="9"/>
      <c r="I861" s="8"/>
    </row>
    <row r="862">
      <c r="D862" s="8"/>
      <c r="E862" s="9"/>
      <c r="F862" s="9"/>
      <c r="I862" s="8"/>
    </row>
    <row r="863">
      <c r="D863" s="8"/>
      <c r="E863" s="9"/>
      <c r="F863" s="9"/>
      <c r="I863" s="8"/>
    </row>
    <row r="864">
      <c r="D864" s="8"/>
      <c r="E864" s="9"/>
      <c r="F864" s="9"/>
      <c r="I864" s="8"/>
    </row>
    <row r="865">
      <c r="D865" s="8"/>
      <c r="E865" s="9"/>
      <c r="F865" s="9"/>
      <c r="I865" s="8"/>
    </row>
    <row r="866">
      <c r="D866" s="8"/>
      <c r="E866" s="9"/>
      <c r="F866" s="9"/>
      <c r="I866" s="8"/>
    </row>
    <row r="867">
      <c r="D867" s="8"/>
      <c r="E867" s="9"/>
      <c r="F867" s="9"/>
      <c r="I867" s="8"/>
    </row>
    <row r="868">
      <c r="D868" s="8"/>
      <c r="E868" s="9"/>
      <c r="F868" s="9"/>
      <c r="I868" s="8"/>
    </row>
    <row r="869">
      <c r="D869" s="8"/>
      <c r="E869" s="9"/>
      <c r="F869" s="9"/>
      <c r="I869" s="8"/>
    </row>
    <row r="870">
      <c r="D870" s="8"/>
      <c r="E870" s="9"/>
      <c r="F870" s="9"/>
      <c r="I870" s="8"/>
    </row>
    <row r="871">
      <c r="D871" s="8"/>
      <c r="E871" s="9"/>
      <c r="F871" s="9"/>
      <c r="I871" s="8"/>
    </row>
    <row r="872">
      <c r="D872" s="8"/>
      <c r="E872" s="9"/>
      <c r="F872" s="9"/>
      <c r="I872" s="8"/>
    </row>
    <row r="873">
      <c r="D873" s="8"/>
      <c r="E873" s="9"/>
      <c r="F873" s="9"/>
      <c r="I873" s="8"/>
    </row>
    <row r="874">
      <c r="D874" s="8"/>
      <c r="E874" s="9"/>
      <c r="F874" s="9"/>
      <c r="I874" s="8"/>
    </row>
    <row r="875">
      <c r="D875" s="8"/>
      <c r="E875" s="9"/>
      <c r="F875" s="9"/>
      <c r="I875" s="8"/>
    </row>
    <row r="876">
      <c r="D876" s="8"/>
      <c r="E876" s="9"/>
      <c r="F876" s="9"/>
      <c r="I876" s="8"/>
    </row>
    <row r="877">
      <c r="D877" s="8"/>
      <c r="E877" s="9"/>
      <c r="F877" s="9"/>
      <c r="I877" s="8"/>
    </row>
    <row r="878">
      <c r="D878" s="8"/>
      <c r="E878" s="9"/>
      <c r="F878" s="9"/>
      <c r="I878" s="8"/>
    </row>
    <row r="879">
      <c r="D879" s="8"/>
      <c r="E879" s="9"/>
      <c r="F879" s="9"/>
      <c r="I879" s="8"/>
    </row>
    <row r="880">
      <c r="D880" s="8"/>
      <c r="E880" s="9"/>
      <c r="F880" s="9"/>
      <c r="I880" s="8"/>
    </row>
    <row r="881">
      <c r="D881" s="8"/>
      <c r="E881" s="9"/>
      <c r="F881" s="9"/>
      <c r="I881" s="8"/>
    </row>
    <row r="882">
      <c r="D882" s="8"/>
      <c r="E882" s="9"/>
      <c r="F882" s="9"/>
      <c r="I882" s="8"/>
    </row>
    <row r="883">
      <c r="D883" s="8"/>
      <c r="E883" s="9"/>
      <c r="F883" s="9"/>
      <c r="I883" s="8"/>
    </row>
    <row r="884">
      <c r="D884" s="8"/>
      <c r="E884" s="9"/>
      <c r="F884" s="9"/>
      <c r="I884" s="8"/>
    </row>
    <row r="885">
      <c r="D885" s="8"/>
      <c r="E885" s="9"/>
      <c r="F885" s="9"/>
      <c r="I885" s="8"/>
    </row>
    <row r="886">
      <c r="D886" s="8"/>
      <c r="E886" s="9"/>
      <c r="F886" s="9"/>
      <c r="I886" s="8"/>
    </row>
    <row r="887">
      <c r="D887" s="8"/>
      <c r="E887" s="9"/>
      <c r="F887" s="9"/>
      <c r="I887" s="8"/>
    </row>
    <row r="888">
      <c r="D888" s="8"/>
      <c r="E888" s="9"/>
      <c r="F888" s="9"/>
      <c r="I888" s="8"/>
    </row>
    <row r="889">
      <c r="D889" s="8"/>
      <c r="E889" s="9"/>
      <c r="F889" s="9"/>
      <c r="I889" s="8"/>
    </row>
    <row r="890">
      <c r="D890" s="8"/>
      <c r="E890" s="9"/>
      <c r="F890" s="9"/>
      <c r="I890" s="8"/>
    </row>
    <row r="891">
      <c r="D891" s="8"/>
      <c r="E891" s="9"/>
      <c r="F891" s="9"/>
      <c r="I891" s="8"/>
    </row>
    <row r="892">
      <c r="D892" s="8"/>
      <c r="E892" s="9"/>
      <c r="F892" s="9"/>
      <c r="I892" s="8"/>
    </row>
    <row r="893">
      <c r="D893" s="8"/>
      <c r="E893" s="9"/>
      <c r="F893" s="9"/>
      <c r="I893" s="8"/>
    </row>
    <row r="894">
      <c r="D894" s="8"/>
      <c r="E894" s="9"/>
      <c r="F894" s="9"/>
      <c r="I894" s="8"/>
    </row>
    <row r="895">
      <c r="D895" s="8"/>
      <c r="E895" s="9"/>
      <c r="F895" s="9"/>
      <c r="I895" s="8"/>
    </row>
    <row r="896">
      <c r="D896" s="8"/>
      <c r="E896" s="9"/>
      <c r="F896" s="9"/>
      <c r="I896" s="8"/>
    </row>
    <row r="897">
      <c r="D897" s="8"/>
      <c r="E897" s="9"/>
      <c r="F897" s="9"/>
      <c r="I897" s="8"/>
    </row>
    <row r="898">
      <c r="D898" s="8"/>
      <c r="E898" s="9"/>
      <c r="F898" s="9"/>
      <c r="I898" s="8"/>
    </row>
    <row r="899">
      <c r="D899" s="8"/>
      <c r="E899" s="9"/>
      <c r="F899" s="9"/>
      <c r="I899" s="8"/>
    </row>
    <row r="900">
      <c r="D900" s="8"/>
      <c r="E900" s="9"/>
      <c r="F900" s="9"/>
      <c r="I900" s="8"/>
    </row>
    <row r="901">
      <c r="D901" s="8"/>
      <c r="E901" s="9"/>
      <c r="F901" s="9"/>
      <c r="I901" s="8"/>
    </row>
    <row r="902">
      <c r="D902" s="8"/>
      <c r="E902" s="9"/>
      <c r="F902" s="9"/>
      <c r="I902" s="8"/>
    </row>
    <row r="903">
      <c r="D903" s="8"/>
      <c r="E903" s="9"/>
      <c r="F903" s="9"/>
      <c r="I903" s="8"/>
    </row>
    <row r="904">
      <c r="D904" s="8"/>
      <c r="E904" s="9"/>
      <c r="F904" s="9"/>
      <c r="I904" s="8"/>
    </row>
    <row r="905">
      <c r="D905" s="8"/>
      <c r="E905" s="9"/>
      <c r="F905" s="9"/>
      <c r="I905" s="8"/>
    </row>
    <row r="906">
      <c r="D906" s="8"/>
      <c r="E906" s="9"/>
      <c r="F906" s="9"/>
      <c r="I906" s="8"/>
    </row>
    <row r="907">
      <c r="D907" s="8"/>
      <c r="E907" s="9"/>
      <c r="F907" s="9"/>
      <c r="I907" s="8"/>
    </row>
    <row r="908">
      <c r="D908" s="8"/>
      <c r="E908" s="9"/>
      <c r="F908" s="9"/>
      <c r="I908" s="8"/>
    </row>
    <row r="909">
      <c r="D909" s="8"/>
      <c r="E909" s="9"/>
      <c r="F909" s="9"/>
      <c r="I909" s="8"/>
    </row>
    <row r="910">
      <c r="D910" s="8"/>
      <c r="E910" s="9"/>
      <c r="F910" s="9"/>
      <c r="I910" s="8"/>
    </row>
    <row r="911">
      <c r="D911" s="8"/>
      <c r="E911" s="9"/>
      <c r="F911" s="9"/>
      <c r="I911" s="8"/>
    </row>
    <row r="912">
      <c r="D912" s="8"/>
      <c r="E912" s="9"/>
      <c r="F912" s="9"/>
      <c r="I912" s="8"/>
    </row>
    <row r="913">
      <c r="D913" s="8"/>
      <c r="E913" s="9"/>
      <c r="F913" s="9"/>
      <c r="I913" s="8"/>
    </row>
    <row r="914">
      <c r="D914" s="8"/>
      <c r="E914" s="9"/>
      <c r="F914" s="9"/>
      <c r="I914" s="8"/>
    </row>
    <row r="915">
      <c r="D915" s="8"/>
      <c r="E915" s="9"/>
      <c r="F915" s="9"/>
      <c r="I915" s="8"/>
    </row>
    <row r="916">
      <c r="D916" s="8"/>
      <c r="E916" s="9"/>
      <c r="F916" s="9"/>
      <c r="I916" s="8"/>
    </row>
    <row r="917">
      <c r="D917" s="8"/>
      <c r="E917" s="9"/>
      <c r="F917" s="9"/>
      <c r="I917" s="8"/>
    </row>
    <row r="918">
      <c r="D918" s="8"/>
      <c r="E918" s="9"/>
      <c r="F918" s="9"/>
      <c r="I918" s="8"/>
    </row>
    <row r="919">
      <c r="D919" s="8"/>
      <c r="E919" s="9"/>
      <c r="F919" s="9"/>
      <c r="I919" s="8"/>
    </row>
    <row r="920">
      <c r="D920" s="8"/>
      <c r="E920" s="9"/>
      <c r="F920" s="9"/>
      <c r="I920" s="8"/>
    </row>
    <row r="921">
      <c r="D921" s="8"/>
      <c r="E921" s="9"/>
      <c r="F921" s="9"/>
      <c r="I921" s="8"/>
    </row>
    <row r="922">
      <c r="D922" s="8"/>
      <c r="E922" s="9"/>
      <c r="F922" s="9"/>
      <c r="I922" s="8"/>
    </row>
    <row r="923">
      <c r="D923" s="8"/>
      <c r="E923" s="9"/>
      <c r="F923" s="9"/>
      <c r="I923" s="8"/>
    </row>
    <row r="924">
      <c r="D924" s="8"/>
      <c r="E924" s="9"/>
      <c r="F924" s="9"/>
      <c r="I924" s="8"/>
    </row>
    <row r="925">
      <c r="D925" s="8"/>
      <c r="E925" s="9"/>
      <c r="F925" s="9"/>
      <c r="I925" s="8"/>
    </row>
    <row r="926">
      <c r="D926" s="8"/>
      <c r="E926" s="9"/>
      <c r="F926" s="9"/>
      <c r="I926" s="8"/>
    </row>
    <row r="927">
      <c r="D927" s="8"/>
      <c r="E927" s="9"/>
      <c r="F927" s="9"/>
      <c r="I927" s="8"/>
    </row>
    <row r="928">
      <c r="D928" s="8"/>
      <c r="E928" s="9"/>
      <c r="F928" s="9"/>
      <c r="I928" s="8"/>
    </row>
    <row r="929">
      <c r="D929" s="8"/>
      <c r="E929" s="9"/>
      <c r="F929" s="9"/>
      <c r="I929" s="8"/>
    </row>
    <row r="930">
      <c r="D930" s="8"/>
      <c r="E930" s="9"/>
      <c r="F930" s="9"/>
      <c r="I930" s="8"/>
    </row>
    <row r="931">
      <c r="D931" s="8"/>
      <c r="E931" s="9"/>
      <c r="F931" s="9"/>
      <c r="I931" s="8"/>
    </row>
    <row r="932">
      <c r="D932" s="8"/>
      <c r="E932" s="9"/>
      <c r="F932" s="9"/>
      <c r="I932" s="8"/>
    </row>
    <row r="933">
      <c r="D933" s="8"/>
      <c r="E933" s="9"/>
      <c r="F933" s="9"/>
      <c r="I933" s="8"/>
    </row>
    <row r="934">
      <c r="D934" s="8"/>
      <c r="E934" s="9"/>
      <c r="F934" s="9"/>
      <c r="I934" s="8"/>
    </row>
    <row r="935">
      <c r="D935" s="8"/>
      <c r="E935" s="9"/>
      <c r="F935" s="9"/>
      <c r="I935" s="8"/>
    </row>
    <row r="936">
      <c r="D936" s="8"/>
      <c r="E936" s="9"/>
      <c r="F936" s="9"/>
      <c r="I936" s="8"/>
    </row>
    <row r="937">
      <c r="D937" s="8"/>
      <c r="E937" s="9"/>
      <c r="F937" s="9"/>
      <c r="I937" s="8"/>
    </row>
    <row r="938">
      <c r="D938" s="8"/>
      <c r="E938" s="9"/>
      <c r="F938" s="9"/>
      <c r="I938" s="8"/>
    </row>
    <row r="939">
      <c r="D939" s="8"/>
      <c r="E939" s="9"/>
      <c r="F939" s="9"/>
      <c r="I939" s="8"/>
    </row>
    <row r="940">
      <c r="D940" s="8"/>
      <c r="E940" s="9"/>
      <c r="F940" s="9"/>
      <c r="I940" s="8"/>
    </row>
    <row r="941">
      <c r="D941" s="8"/>
      <c r="E941" s="9"/>
      <c r="F941" s="9"/>
      <c r="I941" s="8"/>
    </row>
    <row r="942">
      <c r="D942" s="8"/>
      <c r="E942" s="9"/>
      <c r="F942" s="9"/>
      <c r="I942" s="8"/>
    </row>
    <row r="943">
      <c r="D943" s="8"/>
      <c r="E943" s="9"/>
      <c r="F943" s="9"/>
      <c r="I943" s="8"/>
    </row>
    <row r="944">
      <c r="D944" s="8"/>
      <c r="E944" s="9"/>
      <c r="F944" s="9"/>
      <c r="I944" s="8"/>
    </row>
    <row r="945">
      <c r="D945" s="8"/>
      <c r="E945" s="9"/>
      <c r="F945" s="9"/>
      <c r="I945" s="8"/>
    </row>
    <row r="946">
      <c r="D946" s="8"/>
      <c r="E946" s="9"/>
      <c r="F946" s="9"/>
      <c r="I946" s="8"/>
    </row>
    <row r="947">
      <c r="D947" s="8"/>
      <c r="E947" s="9"/>
      <c r="F947" s="9"/>
      <c r="I947" s="8"/>
    </row>
    <row r="948">
      <c r="D948" s="8"/>
      <c r="E948" s="9"/>
      <c r="F948" s="9"/>
      <c r="I948" s="8"/>
    </row>
    <row r="949">
      <c r="D949" s="8"/>
      <c r="E949" s="9"/>
      <c r="F949" s="9"/>
      <c r="I949" s="8"/>
    </row>
    <row r="950">
      <c r="D950" s="8"/>
      <c r="E950" s="9"/>
      <c r="F950" s="9"/>
      <c r="I950" s="8"/>
    </row>
    <row r="951">
      <c r="D951" s="8"/>
      <c r="E951" s="9"/>
      <c r="F951" s="9"/>
      <c r="I951" s="8"/>
    </row>
    <row r="952">
      <c r="D952" s="8"/>
      <c r="E952" s="9"/>
      <c r="F952" s="9"/>
      <c r="I952" s="8"/>
    </row>
    <row r="953">
      <c r="D953" s="8"/>
      <c r="E953" s="9"/>
      <c r="F953" s="9"/>
      <c r="I953" s="8"/>
    </row>
    <row r="954">
      <c r="D954" s="8"/>
      <c r="E954" s="9"/>
      <c r="F954" s="9"/>
      <c r="I954" s="8"/>
    </row>
    <row r="955">
      <c r="D955" s="8"/>
      <c r="E955" s="9"/>
      <c r="F955" s="9"/>
      <c r="I955" s="8"/>
    </row>
    <row r="956">
      <c r="D956" s="8"/>
      <c r="E956" s="9"/>
      <c r="F956" s="9"/>
      <c r="I956" s="8"/>
    </row>
    <row r="957">
      <c r="D957" s="8"/>
      <c r="E957" s="9"/>
      <c r="F957" s="9"/>
      <c r="I957" s="8"/>
    </row>
    <row r="958">
      <c r="D958" s="8"/>
      <c r="E958" s="9"/>
      <c r="F958" s="9"/>
      <c r="I958" s="8"/>
    </row>
    <row r="959">
      <c r="D959" s="8"/>
      <c r="E959" s="9"/>
      <c r="F959" s="9"/>
      <c r="I959" s="8"/>
    </row>
    <row r="960">
      <c r="D960" s="8"/>
      <c r="E960" s="9"/>
      <c r="F960" s="9"/>
      <c r="I960" s="8"/>
    </row>
    <row r="961">
      <c r="D961" s="8"/>
      <c r="E961" s="9"/>
      <c r="F961" s="9"/>
      <c r="I961" s="8"/>
    </row>
    <row r="962">
      <c r="D962" s="8"/>
      <c r="E962" s="9"/>
      <c r="F962" s="9"/>
      <c r="I962" s="8"/>
    </row>
    <row r="963">
      <c r="D963" s="8"/>
      <c r="E963" s="9"/>
      <c r="F963" s="9"/>
      <c r="I963" s="8"/>
    </row>
    <row r="964">
      <c r="D964" s="8"/>
      <c r="E964" s="9"/>
      <c r="F964" s="9"/>
      <c r="I964" s="8"/>
    </row>
    <row r="965">
      <c r="D965" s="8"/>
      <c r="E965" s="9"/>
      <c r="F965" s="9"/>
      <c r="I965" s="8"/>
    </row>
    <row r="966">
      <c r="D966" s="8"/>
      <c r="E966" s="9"/>
      <c r="F966" s="9"/>
      <c r="I966" s="8"/>
    </row>
    <row r="967">
      <c r="D967" s="8"/>
      <c r="E967" s="9"/>
      <c r="F967" s="9"/>
      <c r="I967" s="8"/>
    </row>
    <row r="968">
      <c r="D968" s="8"/>
      <c r="E968" s="9"/>
      <c r="F968" s="9"/>
      <c r="I968" s="8"/>
    </row>
    <row r="969">
      <c r="D969" s="8"/>
      <c r="E969" s="9"/>
      <c r="F969" s="9"/>
      <c r="I969" s="8"/>
    </row>
    <row r="970">
      <c r="D970" s="8"/>
      <c r="E970" s="9"/>
      <c r="F970" s="9"/>
      <c r="I970" s="8"/>
    </row>
    <row r="971">
      <c r="D971" s="8"/>
      <c r="E971" s="9"/>
      <c r="F971" s="9"/>
      <c r="I971" s="8"/>
    </row>
    <row r="972">
      <c r="D972" s="8"/>
      <c r="E972" s="9"/>
      <c r="F972" s="9"/>
      <c r="I972" s="8"/>
    </row>
    <row r="973">
      <c r="D973" s="8"/>
      <c r="E973" s="9"/>
      <c r="F973" s="9"/>
      <c r="I973" s="8"/>
    </row>
    <row r="974">
      <c r="D974" s="8"/>
      <c r="E974" s="9"/>
      <c r="F974" s="9"/>
      <c r="I97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6.38"/>
    <col customWidth="1" min="3" max="3" width="14.0"/>
    <col customWidth="1" min="4" max="4" width="11.63"/>
    <col customWidth="1" min="5" max="5" width="13.13"/>
    <col customWidth="1" min="6" max="6" width="21.63"/>
    <col customWidth="1" min="8" max="8" width="24.38"/>
    <col customWidth="1" min="9" max="9" width="16.63"/>
    <col customWidth="1" min="10" max="10" width="16.75"/>
    <col customWidth="1" min="11" max="11" width="32.75"/>
  </cols>
  <sheetData>
    <row r="1">
      <c r="A1" s="10" t="s">
        <v>1</v>
      </c>
      <c r="B1" s="10" t="s">
        <v>8</v>
      </c>
      <c r="C1" s="11" t="s">
        <v>13</v>
      </c>
      <c r="D1" s="10" t="s">
        <v>14</v>
      </c>
      <c r="E1" s="12" t="s">
        <v>15</v>
      </c>
      <c r="F1" s="10" t="s">
        <v>16</v>
      </c>
      <c r="G1" s="12" t="s">
        <v>17</v>
      </c>
      <c r="H1" s="12" t="s">
        <v>18</v>
      </c>
      <c r="I1" s="12" t="s">
        <v>19</v>
      </c>
      <c r="J1" s="12" t="s">
        <v>20</v>
      </c>
    </row>
    <row r="2">
      <c r="A2" s="13" t="s">
        <v>10</v>
      </c>
      <c r="B2" s="14" t="s">
        <v>12</v>
      </c>
      <c r="C2" s="15">
        <f>IFERROR(AVERAGEIFS(COMPRAS!$D:$D, COMPRAS!$C:$C, $A2, COMPRAS!$J:$J, $B2), 0)</f>
        <v>12000</v>
      </c>
      <c r="D2" s="16">
        <v>1.3</v>
      </c>
      <c r="E2" s="8">
        <f>ROUNDUP(C2 * D2, -3)</f>
        <v>16000</v>
      </c>
      <c r="F2" s="17">
        <f>IFERROR(AVERAGEIFS(COMPRAS!$F:$F, COMPRAS!$C:$C, $A2, COMPRAS!$J:$J, $B2), 1)</f>
        <v>10</v>
      </c>
      <c r="G2" s="8">
        <f>IFERROR(SUMIFS(COMPRAS!I:I, COMPRAS!C:C, A2) * SUMIFS(COMPRAS!E:E, COMPRAS!C:C, A2) / COUNTIF(COMPRAS!C:C, A2), 0)</f>
        <v>8000</v>
      </c>
      <c r="H2" s="18">
        <f>IFERROR(
  ((SUMIFS(COMPRAS!$E:$E, COMPRAS!$C:$C, $A2, COMPRAS!$J:$J, "CAJON") + SUMIFS(COMPRAS!$E:$E, COMPRAS!$C:$C, $A2, COMPRAS!$J:$J, "BOLSA")) * $F2) - 
  ((SUMIFS(prueba!$A:$A, prueba!$C:$C, $A2, prueba!$B:$B, "CAJON") + SUMIFS(prueba!$A:$A, prueba!$C:$C, $A2, prueba!$B:$B, "BOLSA")) * $F2) - 
  MAX(0, (SUMIFS(prueba!$A:$A, prueba!$C:$C, $A2, prueba!$B:$B, "UNIDAD") + SUMIFS(prueba!$A:$A, prueba!$C:$C, $A2, prueba!$B:$B, "KG")) - 
  (SUMIFS(COMPRAS!$E:$E, COMPRAS!$C:$C, $A2, COMPRAS!$J:$J, "UNIDAD") + SUMIFS(COMPRAS!$E:$E, COMPRAS!$C:$C, $A2, COMPRAS!$J:$J, "KG"))), 
0)</f>
        <v>20</v>
      </c>
      <c r="I2" s="8">
        <f t="shared" ref="I2:I181" si="1">IFERROR(C2 / F2, 0)</f>
        <v>1200</v>
      </c>
      <c r="J2" s="8">
        <f>IFERROR(ROUNDUP((E2 / F2) * 1.2, -2),0)</f>
        <v>2000</v>
      </c>
      <c r="K2" s="18" t="str">
        <f t="shared" ref="K2:K181" si="2">A2&amp;B2</f>
        <v>ACELGACAJON</v>
      </c>
    </row>
    <row r="3">
      <c r="A3" s="13" t="s">
        <v>10</v>
      </c>
      <c r="B3" s="14" t="s">
        <v>8</v>
      </c>
      <c r="C3" s="15">
        <f>IFERROR(AVERAGEIFS(COMPRAS!$D:$D, COMPRAS!$C:$C, $A3, COMPRAS!$J:$J, $B3), 0)</f>
        <v>0</v>
      </c>
      <c r="D3" s="16">
        <v>1.1</v>
      </c>
      <c r="E3" s="8">
        <f>ROUNDUP(C3 * D3, -2)</f>
        <v>0</v>
      </c>
      <c r="F3" s="17">
        <f>IFERROR(AVERAGEIFS(COMPRAS!$F:$F, COMPRAS!$C:$C, $A3, COMPRAS!$J:$J, $B3), 1)</f>
        <v>1</v>
      </c>
      <c r="G3" s="8">
        <f>IFERROR(SUMIFS(COMPRAS!I:I, COMPRAS!C:C, A3) * SUMIFS(COMPRAS!E:E, COMPRAS!C:C, A3) / COUNTIF(COMPRAS!C:C, A3), 0)</f>
        <v>8000</v>
      </c>
      <c r="H3" s="18">
        <f>MAX(0, 
  (SUMIFS(COMPRAS!$E:$E, COMPRAS!$C:$C, $A3, COMPRAS!$J:$J, "UNIDAD") + SUMIFS(COMPRAS!$E:$E, COMPRAS!$C:$C, $A3, COMPRAS!$J:$J, "KG")) - 
  (SUMIFS(prueba!$A:$A, prueba!$C:$C, $A3, prueba!$B:$B, "UNIDAD") + SUMIFS(prueba!$A:$A, prueba!$C:$C, $A3, prueba!$B:$B, "KG"))
)</f>
        <v>0</v>
      </c>
      <c r="I3" s="8">
        <f t="shared" si="1"/>
        <v>0</v>
      </c>
      <c r="J3" s="8">
        <f>IFERROR(ROUNDUP((E3 / F3) , -2),0)</f>
        <v>0</v>
      </c>
      <c r="K3" s="18" t="str">
        <f t="shared" si="2"/>
        <v>ACELGAUNIDAD</v>
      </c>
    </row>
    <row r="4">
      <c r="A4" s="13" t="s">
        <v>21</v>
      </c>
      <c r="B4" s="14" t="s">
        <v>12</v>
      </c>
      <c r="C4" s="15">
        <f>IFERROR(AVERAGEIFS(COMPRAS!$D:$D, COMPRAS!$C:$C, $A4, COMPRAS!$J:$J, $B4), 0)</f>
        <v>0</v>
      </c>
      <c r="D4" s="16">
        <v>1.3</v>
      </c>
      <c r="E4" s="8">
        <f>ROUNDUP(C4 *D4, -3)</f>
        <v>0</v>
      </c>
      <c r="F4" s="17">
        <f>IFERROR(AVERAGEIFS(COMPRAS!$F:$F, COMPRAS!$C:$C, $A4, COMPRAS!$J:$J, $B4), 1)</f>
        <v>1</v>
      </c>
      <c r="G4" s="8">
        <f>IFERROR(SUMIFS(COMPRAS!I:I, COMPRAS!C:C, A4) * SUMIFS(COMPRAS!E:E, COMPRAS!C:C, A4) / COUNTIF(COMPRAS!C:C, A4), 0)</f>
        <v>0</v>
      </c>
      <c r="H4" s="18">
        <f>IFERROR(
  ((SUMIFS(COMPRAS!$E:$E, COMPRAS!$C:$C, $A4, COMPRAS!$J:$J, "CAJON") + SUMIFS(COMPRAS!$E:$E, COMPRAS!$C:$C, $A4, COMPRAS!$J:$J, "BOLSA")) * $F4) - 
  ((SUMIFS(prueba!$A:$A, prueba!$C:$C, $A4, prueba!$B:$B, "CAJON") + SUMIFS(prueba!$A:$A, prueba!$C:$C, $A4, prueba!$B:$B, "BOLSA")) * $F4) - 
  MAX(0, (SUMIFS(prueba!$A:$A, prueba!$C:$C, $A4, prueba!$B:$B, "UNIDAD") + SUMIFS(prueba!$A:$A, prueba!$C:$C, $A4, prueba!$B:$B, "KG")) - 
  (SUMIFS(COMPRAS!$E:$E, COMPRAS!$C:$C, $A4, COMPRAS!$J:$J, "UNIDAD") + SUMIFS(COMPRAS!$E:$E, COMPRAS!$C:$C, $A4, COMPRAS!$J:$J, "KG"))), 
0)</f>
        <v>0</v>
      </c>
      <c r="I4" s="8">
        <f t="shared" si="1"/>
        <v>0</v>
      </c>
      <c r="J4" s="8">
        <f t="shared" ref="J4:J181" si="3">IFERROR(ROUNDUP((E4 / F4) * 1.1, -2),0)</f>
        <v>0</v>
      </c>
      <c r="K4" s="18" t="str">
        <f t="shared" si="2"/>
        <v>ALBAHACACAJON</v>
      </c>
    </row>
    <row r="5">
      <c r="A5" s="13" t="s">
        <v>21</v>
      </c>
      <c r="B5" s="14" t="s">
        <v>8</v>
      </c>
      <c r="C5" s="15">
        <f>IFERROR(AVERAGEIFS(COMPRAS!$D:$D, COMPRAS!$C:$C, $A5, COMPRAS!$J:$J, $B5), 0)</f>
        <v>0</v>
      </c>
      <c r="D5" s="16">
        <v>1.3</v>
      </c>
      <c r="E5" s="8">
        <f>ROUNDUP(C5 *D5, -2)</f>
        <v>0</v>
      </c>
      <c r="F5" s="17">
        <f>IFERROR(AVERAGEIFS(COMPRAS!$F:$F, COMPRAS!$C:$C, $A5, COMPRAS!$J:$J, $B5), 1)</f>
        <v>1</v>
      </c>
      <c r="G5" s="8">
        <f>IFERROR(SUMIFS(COMPRAS!I:I, COMPRAS!C:C, A5) * SUMIFS(COMPRAS!E:E, COMPRAS!C:C, A5) / COUNTIF(COMPRAS!C:C, A5), 0)</f>
        <v>0</v>
      </c>
      <c r="H5" s="18">
        <f>MAX(0, 
  (SUMIFS(COMPRAS!$E:$E, COMPRAS!$C:$C, $A5, COMPRAS!$J:$J, "UNIDAD") + SUMIFS(COMPRAS!$E:$E, COMPRAS!$C:$C, $A5, COMPRAS!$J:$J, "KG")) - 
  (SUMIFS(prueba!$A:$A, prueba!$C:$C, $A5, prueba!$B:$B, "UNIDAD") + SUMIFS(prueba!$A:$A, prueba!$C:$C, $A5, prueba!$B:$B, "KG"))
)</f>
        <v>0</v>
      </c>
      <c r="I5" s="8">
        <f t="shared" si="1"/>
        <v>0</v>
      </c>
      <c r="J5" s="8">
        <f t="shared" si="3"/>
        <v>0</v>
      </c>
      <c r="K5" s="18" t="str">
        <f t="shared" si="2"/>
        <v>ALBAHACAUNIDAD</v>
      </c>
    </row>
    <row r="6">
      <c r="A6" s="19" t="s">
        <v>22</v>
      </c>
      <c r="B6" s="14" t="s">
        <v>12</v>
      </c>
      <c r="C6" s="15">
        <f>IFERROR(AVERAGEIFS(COMPRAS!$D:$D, COMPRAS!$C:$C, $A6, COMPRAS!$J:$J, $B6), 0)</f>
        <v>0</v>
      </c>
      <c r="D6" s="16">
        <v>1.3</v>
      </c>
      <c r="E6" s="8">
        <f>ROUNDUP(C6 *D6, -3)</f>
        <v>0</v>
      </c>
      <c r="F6" s="17">
        <f>IFERROR(AVERAGEIFS(COMPRAS!$F:$F, COMPRAS!$C:$C, $A6, COMPRAS!$J:$J, $B6), 1)</f>
        <v>1</v>
      </c>
      <c r="G6" s="8">
        <f>IFERROR(SUMIFS(COMPRAS!I:I, COMPRAS!C:C, A6) * SUMIFS(COMPRAS!E:E, COMPRAS!C:C, A6) / COUNTIF(COMPRAS!C:C, A6), 0)</f>
        <v>0</v>
      </c>
      <c r="H6" s="18">
        <f>IFERROR(
  ((SUMIFS(COMPRAS!$E:$E, COMPRAS!$C:$C, $A6, COMPRAS!$J:$J, "CAJON") + SUMIFS(COMPRAS!$E:$E, COMPRAS!$C:$C, $A6, COMPRAS!$J:$J, "BOLSA")) * $F6) - 
  ((SUMIFS(prueba!$A:$A, prueba!$C:$C, $A6, prueba!$B:$B, "CAJON") + SUMIFS(prueba!$A:$A, prueba!$C:$C, $A6, prueba!$B:$B, "BOLSA")) * $F6) - 
  MAX(0, (SUMIFS(prueba!$A:$A, prueba!$C:$C, $A6, prueba!$B:$B, "UNIDAD") + SUMIFS(prueba!$A:$A, prueba!$C:$C, $A6, prueba!$B:$B, "KG")) - 
  (SUMIFS(COMPRAS!$E:$E, COMPRAS!$C:$C, $A6, COMPRAS!$J:$J, "UNIDAD") + SUMIFS(COMPRAS!$E:$E, COMPRAS!$C:$C, $A6, COMPRAS!$J:$J, "KG"))), 
0)</f>
        <v>-2</v>
      </c>
      <c r="I6" s="8">
        <f t="shared" si="1"/>
        <v>0</v>
      </c>
      <c r="J6" s="8">
        <f t="shared" si="3"/>
        <v>0</v>
      </c>
      <c r="K6" s="18" t="str">
        <f t="shared" si="2"/>
        <v>APIOCAJON</v>
      </c>
    </row>
    <row r="7">
      <c r="A7" s="19" t="s">
        <v>22</v>
      </c>
      <c r="B7" s="14" t="s">
        <v>8</v>
      </c>
      <c r="C7" s="15">
        <f>IFERROR(AVERAGEIFS(COMPRAS!$D:$D, COMPRAS!$C:$C, $A7, COMPRAS!$J:$J, $B7), 0)</f>
        <v>0</v>
      </c>
      <c r="D7" s="16">
        <v>1.3</v>
      </c>
      <c r="E7" s="8">
        <f>ROUNDUP(C7 *D7, -2)</f>
        <v>0</v>
      </c>
      <c r="F7" s="17">
        <f>IFERROR(AVERAGEIFS(COMPRAS!$F:$F, COMPRAS!$C:$C, $A7, COMPRAS!$J:$J, $B7), 1)</f>
        <v>1</v>
      </c>
      <c r="G7" s="8">
        <f>IFERROR(SUMIFS(COMPRAS!I:I, COMPRAS!C:C, A7) * SUMIFS(COMPRAS!E:E, COMPRAS!C:C, A7) / COUNTIF(COMPRAS!C:C, A7), 0)</f>
        <v>0</v>
      </c>
      <c r="H7" s="18">
        <f>MAX(0, 
  (SUMIFS(COMPRAS!$E:$E, COMPRAS!$C:$C, $A7, COMPRAS!$J:$J, "UNIDAD") + SUMIFS(COMPRAS!$E:$E, COMPRAS!$C:$C, $A7, COMPRAS!$J:$J, "KG")) - 
  (SUMIFS(prueba!$A:$A, prueba!$C:$C, $A7, prueba!$B:$B, "UNIDAD") + SUMIFS(prueba!$A:$A, prueba!$C:$C, $A7, prueba!$B:$B, "KG"))
)</f>
        <v>0</v>
      </c>
      <c r="I7" s="8">
        <f t="shared" si="1"/>
        <v>0</v>
      </c>
      <c r="J7" s="8">
        <f t="shared" si="3"/>
        <v>0</v>
      </c>
      <c r="K7" s="18" t="str">
        <f t="shared" si="2"/>
        <v>APIOUNIDAD</v>
      </c>
    </row>
    <row r="8">
      <c r="A8" s="19" t="s">
        <v>23</v>
      </c>
      <c r="B8" s="14" t="s">
        <v>12</v>
      </c>
      <c r="C8" s="15">
        <f>IFERROR(AVERAGEIFS(COMPRAS!$D:$D, COMPRAS!$C:$C, $A8, COMPRAS!$J:$J, $B8), 0)</f>
        <v>0</v>
      </c>
      <c r="D8" s="16">
        <v>1.3</v>
      </c>
      <c r="E8" s="8">
        <f>ROUNDUP(C8 *D8, -3)</f>
        <v>0</v>
      </c>
      <c r="F8" s="17">
        <f>IFERROR(AVERAGEIFS(COMPRAS!$F:$F, COMPRAS!$C:$C, $A8, COMPRAS!$J:$J, $B8), 1)</f>
        <v>1</v>
      </c>
      <c r="G8" s="8">
        <f>IFERROR(SUMIFS(COMPRAS!I:I, COMPRAS!C:C, A8) * SUMIFS(COMPRAS!E:E, COMPRAS!C:C, A8) / COUNTIF(COMPRAS!C:C, A8), 0)</f>
        <v>0</v>
      </c>
      <c r="H8" s="18">
        <f>IFERROR(
  ((SUMIFS(COMPRAS!$E:$E, COMPRAS!$C:$C, $A8, COMPRAS!$J:$J, "CAJON") + SUMIFS(COMPRAS!$E:$E, COMPRAS!$C:$C, $A8, COMPRAS!$J:$J, "BOLSA")) * $F8) - 
  ((SUMIFS(prueba!$A:$A, prueba!$C:$C, $A8, prueba!$B:$B, "CAJON") + SUMIFS(prueba!$A:$A, prueba!$C:$C, $A8, prueba!$B:$B, "BOLSA")) * $F8) - 
  MAX(0, (SUMIFS(prueba!$A:$A, prueba!$C:$C, $A8, prueba!$B:$B, "UNIDAD") + SUMIFS(prueba!$A:$A, prueba!$C:$C, $A8, prueba!$B:$B, "KG")) - 
  (SUMIFS(COMPRAS!$E:$E, COMPRAS!$C:$C, $A8, COMPRAS!$J:$J, "UNIDAD") + SUMIFS(COMPRAS!$E:$E, COMPRAS!$C:$C, $A8, COMPRAS!$J:$J, "KG"))), 
0)</f>
        <v>0</v>
      </c>
      <c r="I8" s="8">
        <f t="shared" si="1"/>
        <v>0</v>
      </c>
      <c r="J8" s="8">
        <f t="shared" si="3"/>
        <v>0</v>
      </c>
      <c r="K8" s="18" t="str">
        <f t="shared" si="2"/>
        <v>BROCOLICAJON</v>
      </c>
    </row>
    <row r="9">
      <c r="A9" s="19" t="s">
        <v>23</v>
      </c>
      <c r="B9" s="14" t="s">
        <v>8</v>
      </c>
      <c r="C9" s="15">
        <f>IFERROR(AVERAGEIFS(COMPRAS!$D:$D, COMPRAS!$C:$C, $A9, COMPRAS!$J:$J, $B9), 0)</f>
        <v>0</v>
      </c>
      <c r="D9" s="16">
        <v>1.3</v>
      </c>
      <c r="E9" s="8">
        <f>ROUNDUP(C9 *D9, -2)</f>
        <v>0</v>
      </c>
      <c r="F9" s="17">
        <f>IFERROR(AVERAGEIFS(COMPRAS!$F:$F, COMPRAS!$C:$C, $A9, COMPRAS!$J:$J, $B9), 1)</f>
        <v>1</v>
      </c>
      <c r="G9" s="8">
        <f>IFERROR(SUMIFS(COMPRAS!I:I, COMPRAS!C:C, A9) * SUMIFS(COMPRAS!E:E, COMPRAS!C:C, A9) / COUNTIF(COMPRAS!C:C, A9), 0)</f>
        <v>0</v>
      </c>
      <c r="H9" s="18">
        <f>MAX(0, 
  (SUMIFS(COMPRAS!$E:$E, COMPRAS!$C:$C, $A9, COMPRAS!$J:$J, "UNIDAD") + SUMIFS(COMPRAS!$E:$E, COMPRAS!$C:$C, $A9, COMPRAS!$J:$J, "KG")) - 
  (SUMIFS(prueba!$A:$A, prueba!$C:$C, $A9, prueba!$B:$B, "UNIDAD") + SUMIFS(prueba!$A:$A, prueba!$C:$C, $A9, prueba!$B:$B, "KG"))
)</f>
        <v>0</v>
      </c>
      <c r="I9" s="8">
        <f t="shared" si="1"/>
        <v>0</v>
      </c>
      <c r="J9" s="8">
        <f t="shared" si="3"/>
        <v>0</v>
      </c>
      <c r="K9" s="18" t="str">
        <f t="shared" si="2"/>
        <v>BROCOLIUNIDAD</v>
      </c>
    </row>
    <row r="10">
      <c r="A10" s="20" t="s">
        <v>24</v>
      </c>
      <c r="B10" s="14" t="s">
        <v>12</v>
      </c>
      <c r="C10" s="15">
        <f>IFERROR(AVERAGEIFS(COMPRAS!$D:$D, COMPRAS!$C:$C, $A10, COMPRAS!$J:$J, $B10), 0)</f>
        <v>0</v>
      </c>
      <c r="D10" s="16">
        <v>1.3</v>
      </c>
      <c r="E10" s="8">
        <f>ROUNDUP(C10 *D10, -3)</f>
        <v>0</v>
      </c>
      <c r="F10" s="17">
        <f>IFERROR(AVERAGEIFS(COMPRAS!$F:$F, COMPRAS!$C:$C, $A10, COMPRAS!$J:$J, $B10), 1)</f>
        <v>1</v>
      </c>
      <c r="G10" s="8">
        <f>IFERROR(SUMIFS(COMPRAS!I:I, COMPRAS!C:C, A10) * SUMIFS(COMPRAS!E:E, COMPRAS!C:C, A10) / COUNTIF(COMPRAS!C:C, A10), 0)</f>
        <v>0</v>
      </c>
      <c r="H10" s="18">
        <f>IFERROR(
  ((SUMIFS(COMPRAS!$E:$E, COMPRAS!$C:$C, $A10, COMPRAS!$J:$J, "CAJON") + SUMIFS(COMPRAS!$E:$E, COMPRAS!$C:$C, $A10, COMPRAS!$J:$J, "BOLSA")) * $F10) - 
  ((SUMIFS(prueba!$A:$A, prueba!$C:$C, $A10, prueba!$B:$B, "CAJON") + SUMIFS(prueba!$A:$A, prueba!$C:$C, $A10, prueba!$B:$B, "BOLSA")) * $F10) - 
  MAX(0, (SUMIFS(prueba!$A:$A, prueba!$C:$C, $A10, prueba!$B:$B, "UNIDAD") + SUMIFS(prueba!$A:$A, prueba!$C:$C, $A10, prueba!$B:$B, "KG")) - 
  (SUMIFS(COMPRAS!$E:$E, COMPRAS!$C:$C, $A10, COMPRAS!$J:$J, "UNIDAD") + SUMIFS(COMPRAS!$E:$E, COMPRAS!$C:$C, $A10, COMPRAS!$J:$J, "KG"))), 
0)</f>
        <v>0</v>
      </c>
      <c r="I10" s="8">
        <f t="shared" si="1"/>
        <v>0</v>
      </c>
      <c r="J10" s="8">
        <f t="shared" si="3"/>
        <v>0</v>
      </c>
      <c r="K10" s="18" t="str">
        <f t="shared" si="2"/>
        <v>REPOLLITOS DE BRUSELASCAJON</v>
      </c>
    </row>
    <row r="11">
      <c r="A11" s="20" t="s">
        <v>24</v>
      </c>
      <c r="B11" s="14" t="s">
        <v>8</v>
      </c>
      <c r="C11" s="15">
        <f>IFERROR(AVERAGEIFS(COMPRAS!$D:$D, COMPRAS!$C:$C, $A11, COMPRAS!$J:$J, $B11), 0)</f>
        <v>0</v>
      </c>
      <c r="D11" s="16">
        <v>1.3</v>
      </c>
      <c r="E11" s="8">
        <f>ROUNDUP(C11 *D11, -2)</f>
        <v>0</v>
      </c>
      <c r="F11" s="17">
        <f>IFERROR(AVERAGEIFS(COMPRAS!$F:$F, COMPRAS!$C:$C, $A11, COMPRAS!$J:$J, $B11), 1)</f>
        <v>1</v>
      </c>
      <c r="G11" s="8">
        <f>IFERROR(SUMIFS(COMPRAS!I:I, COMPRAS!C:C, A11) * SUMIFS(COMPRAS!E:E, COMPRAS!C:C, A11) / COUNTIF(COMPRAS!C:C, A11), 0)</f>
        <v>0</v>
      </c>
      <c r="H11" s="18">
        <f>MAX(0, 
  (SUMIFS(COMPRAS!$E:$E, COMPRAS!$C:$C, $A11, COMPRAS!$J:$J, "UNIDAD") + SUMIFS(COMPRAS!$E:$E, COMPRAS!$C:$C, $A11, COMPRAS!$J:$J, "KG")) - 
  (SUMIFS(prueba!$A:$A, prueba!$C:$C, $A11, prueba!$B:$B, "UNIDAD") + SUMIFS(prueba!$A:$A, prueba!$C:$C, $A11, prueba!$B:$B, "KG"))
)</f>
        <v>0</v>
      </c>
      <c r="I11" s="8">
        <f t="shared" si="1"/>
        <v>0</v>
      </c>
      <c r="J11" s="8">
        <f t="shared" si="3"/>
        <v>0</v>
      </c>
      <c r="K11" s="18" t="str">
        <f t="shared" si="2"/>
        <v>REPOLLITOS DE BRUSELASUNIDAD</v>
      </c>
    </row>
    <row r="12">
      <c r="A12" s="19" t="s">
        <v>25</v>
      </c>
      <c r="B12" s="14" t="s">
        <v>12</v>
      </c>
      <c r="C12" s="15">
        <f>IFERROR(AVERAGEIFS(COMPRAS!$D:$D, COMPRAS!$C:$C, $A12, COMPRAS!$J:$J, $B12), 0)</f>
        <v>0</v>
      </c>
      <c r="D12" s="16">
        <v>1.3</v>
      </c>
      <c r="E12" s="8">
        <f>ROUNDUP(C12 *D12, -3)</f>
        <v>0</v>
      </c>
      <c r="F12" s="17">
        <f>IFERROR(AVERAGEIFS(COMPRAS!$F:$F, COMPRAS!$C:$C, $A12, COMPRAS!$J:$J, $B12), 1)</f>
        <v>1</v>
      </c>
      <c r="G12" s="8">
        <f>IFERROR(SUMIFS(COMPRAS!I:I, COMPRAS!C:C, A12) * SUMIFS(COMPRAS!E:E, COMPRAS!C:C, A12) / COUNTIF(COMPRAS!C:C, A12), 0)</f>
        <v>0</v>
      </c>
      <c r="H12" s="18">
        <f>IFERROR(
  ((SUMIFS(COMPRAS!$E:$E, COMPRAS!$C:$C, $A12, COMPRAS!$J:$J, "CAJON") + SUMIFS(COMPRAS!$E:$E, COMPRAS!$C:$C, $A12, COMPRAS!$J:$J, "BOLSA")) * $F12) - 
  ((SUMIFS(prueba!$A:$A, prueba!$C:$C, $A12, prueba!$B:$B, "CAJON") + SUMIFS(prueba!$A:$A, prueba!$C:$C, $A12, prueba!$B:$B, "BOLSA")) * $F12) - 
  MAX(0, (SUMIFS(prueba!$A:$A, prueba!$C:$C, $A12, prueba!$B:$B, "UNIDAD") + SUMIFS(prueba!$A:$A, prueba!$C:$C, $A12, prueba!$B:$B, "KG")) - 
  (SUMIFS(COMPRAS!$E:$E, COMPRAS!$C:$C, $A12, COMPRAS!$J:$J, "UNIDAD") + SUMIFS(COMPRAS!$E:$E, COMPRAS!$C:$C, $A12, COMPRAS!$J:$J, "KG"))), 
0)</f>
        <v>0</v>
      </c>
      <c r="I12" s="8">
        <f t="shared" si="1"/>
        <v>0</v>
      </c>
      <c r="J12" s="8">
        <f t="shared" si="3"/>
        <v>0</v>
      </c>
      <c r="K12" s="18" t="str">
        <f t="shared" si="2"/>
        <v>CEBOLLA DE VERDEOCAJON</v>
      </c>
    </row>
    <row r="13">
      <c r="A13" s="19" t="s">
        <v>25</v>
      </c>
      <c r="B13" s="14" t="s">
        <v>8</v>
      </c>
      <c r="C13" s="15">
        <f>IFERROR(AVERAGEIFS(COMPRAS!$D:$D, COMPRAS!$C:$C, $A13, COMPRAS!$J:$J, $B13), 0)</f>
        <v>0</v>
      </c>
      <c r="D13" s="16">
        <v>1.3</v>
      </c>
      <c r="E13" s="8">
        <f>ROUNDUP(C13 *D13, -2)</f>
        <v>0</v>
      </c>
      <c r="F13" s="17">
        <f>IFERROR(AVERAGEIFS(COMPRAS!$F:$F, COMPRAS!$C:$C, $A13, COMPRAS!$J:$J, $B13), 1)</f>
        <v>1</v>
      </c>
      <c r="G13" s="8">
        <f>IFERROR(SUMIFS(COMPRAS!I:I, COMPRAS!C:C, A13) * SUMIFS(COMPRAS!E:E, COMPRAS!C:C, A13) / COUNTIF(COMPRAS!C:C, A13), 0)</f>
        <v>0</v>
      </c>
      <c r="H13" s="18">
        <f>MAX(0, 
  (SUMIFS(COMPRAS!$E:$E, COMPRAS!$C:$C, $A13, COMPRAS!$J:$J, "UNIDAD") + SUMIFS(COMPRAS!$E:$E, COMPRAS!$C:$C, $A13, COMPRAS!$J:$J, "KG")) - 
  (SUMIFS(prueba!$A:$A, prueba!$C:$C, $A13, prueba!$B:$B, "UNIDAD") + SUMIFS(prueba!$A:$A, prueba!$C:$C, $A13, prueba!$B:$B, "KG"))
)</f>
        <v>0</v>
      </c>
      <c r="I13" s="8">
        <f t="shared" si="1"/>
        <v>0</v>
      </c>
      <c r="J13" s="8">
        <f t="shared" si="3"/>
        <v>0</v>
      </c>
      <c r="K13" s="18" t="str">
        <f t="shared" si="2"/>
        <v>CEBOLLA DE VERDEOUNIDAD</v>
      </c>
    </row>
    <row r="14">
      <c r="A14" s="19" t="s">
        <v>26</v>
      </c>
      <c r="B14" s="14" t="s">
        <v>12</v>
      </c>
      <c r="C14" s="15">
        <f>IFERROR(AVERAGEIFS(COMPRAS!$D:$D, COMPRAS!$C:$C, $A14, COMPRAS!$J:$J, $B14), 0)</f>
        <v>0</v>
      </c>
      <c r="D14" s="16">
        <v>1.3</v>
      </c>
      <c r="E14" s="8">
        <f>ROUNDUP(C14 * D14, -3)</f>
        <v>0</v>
      </c>
      <c r="F14" s="17">
        <f>IFERROR(AVERAGEIFS(COMPRAS!$F:$F, COMPRAS!$C:$C, $A14, COMPRAS!$J:$J, $B14), 1)</f>
        <v>1</v>
      </c>
      <c r="G14" s="8">
        <f>IFERROR(SUMIFS(COMPRAS!I:I, COMPRAS!C:C, A14) * SUMIFS(COMPRAS!E:E, COMPRAS!C:C, A14) / COUNTIF(COMPRAS!C:C, A14), 0)</f>
        <v>0</v>
      </c>
      <c r="H14" s="18">
        <f>IFERROR(
  ((SUMIFS(COMPRAS!$E:$E, COMPRAS!$C:$C, $A14, COMPRAS!$J:$J, "CAJON") + SUMIFS(COMPRAS!$E:$E, COMPRAS!$C:$C, $A14, COMPRAS!$J:$J, "BOLSA")) * $F14) - 
  ((SUMIFS(prueba!$A:$A, prueba!$C:$C, $A14, prueba!$B:$B, "CAJON") + SUMIFS(prueba!$A:$A, prueba!$C:$C, $A14, prueba!$B:$B, "BOLSA")) * $F14) - 
  MAX(0, (SUMIFS(prueba!$A:$A, prueba!$C:$C, $A14, prueba!$B:$B, "UNIDAD") + SUMIFS(prueba!$A:$A, prueba!$C:$C, $A14, prueba!$B:$B, "KG")) - 
  (SUMIFS(COMPRAS!$E:$E, COMPRAS!$C:$C, $A14, COMPRAS!$J:$J, "UNIDAD") + SUMIFS(COMPRAS!$E:$E, COMPRAS!$C:$C, $A14, COMPRAS!$J:$J, "KG"))), 
0)</f>
        <v>0</v>
      </c>
      <c r="I14" s="8">
        <f t="shared" si="1"/>
        <v>0</v>
      </c>
      <c r="J14" s="8">
        <f t="shared" si="3"/>
        <v>0</v>
      </c>
      <c r="K14" s="18" t="str">
        <f t="shared" si="2"/>
        <v>COLIFLORCAJON</v>
      </c>
    </row>
    <row r="15">
      <c r="A15" s="19" t="s">
        <v>26</v>
      </c>
      <c r="B15" s="14" t="s">
        <v>8</v>
      </c>
      <c r="C15" s="15">
        <f>IFERROR(AVERAGEIFS(COMPRAS!$D:$D, COMPRAS!$C:$C, $A15, COMPRAS!$J:$J, $B15), 0)</f>
        <v>0</v>
      </c>
      <c r="D15" s="16">
        <v>1.3</v>
      </c>
      <c r="E15" s="8">
        <f>ROUNDUP(C15 * D15, -2)</f>
        <v>0</v>
      </c>
      <c r="F15" s="17">
        <f>IFERROR(AVERAGEIFS(COMPRAS!$F:$F, COMPRAS!$C:$C, $A15, COMPRAS!$J:$J, $B15), 1)</f>
        <v>1</v>
      </c>
      <c r="G15" s="8">
        <f>IFERROR(SUMIFS(COMPRAS!I:I, COMPRAS!C:C, A15) * SUMIFS(COMPRAS!E:E, COMPRAS!C:C, A15) / COUNTIF(COMPRAS!C:C, A15), 0)</f>
        <v>0</v>
      </c>
      <c r="H15" s="18">
        <f>MAX(0, 
  (SUMIFS(COMPRAS!$E:$E, COMPRAS!$C:$C, $A15, COMPRAS!$J:$J, "UNIDAD") + SUMIFS(COMPRAS!$E:$E, COMPRAS!$C:$C, $A15, COMPRAS!$J:$J, "KG")) - 
  (SUMIFS(prueba!$A:$A, prueba!$C:$C, $A15, prueba!$B:$B, "UNIDAD") + SUMIFS(prueba!$A:$A, prueba!$C:$C, $A15, prueba!$B:$B, "KG"))
)</f>
        <v>0</v>
      </c>
      <c r="I15" s="8">
        <f t="shared" si="1"/>
        <v>0</v>
      </c>
      <c r="J15" s="8">
        <f t="shared" si="3"/>
        <v>0</v>
      </c>
      <c r="K15" s="18" t="str">
        <f t="shared" si="2"/>
        <v>COLIFLORUNIDAD</v>
      </c>
    </row>
    <row r="16">
      <c r="A16" s="19" t="s">
        <v>27</v>
      </c>
      <c r="B16" s="14" t="s">
        <v>12</v>
      </c>
      <c r="C16" s="15">
        <f>IFERROR(AVERAGEIFS(COMPRAS!$D:$D, COMPRAS!$C:$C, $A16, COMPRAS!$J:$J, $B16), 0)</f>
        <v>0</v>
      </c>
      <c r="D16" s="16">
        <v>1.3</v>
      </c>
      <c r="E16" s="8">
        <f>ROUNDUP(C16 *D16, -3)</f>
        <v>0</v>
      </c>
      <c r="F16" s="17">
        <f>IFERROR(AVERAGEIFS(COMPRAS!$F:$F, COMPRAS!$C:$C, $A16, COMPRAS!$J:$J, $B16), 1)</f>
        <v>1</v>
      </c>
      <c r="G16" s="8">
        <f>IFERROR(SUMIFS(COMPRAS!I:I, COMPRAS!C:C, A16) * SUMIFS(COMPRAS!E:E, COMPRAS!C:C, A16) / COUNTIF(COMPRAS!C:C, A16), 0)</f>
        <v>0</v>
      </c>
      <c r="H16" s="18">
        <f>IFERROR(
  ((SUMIFS(COMPRAS!$E:$E, COMPRAS!$C:$C, $A16, COMPRAS!$J:$J, "CAJON") + SUMIFS(COMPRAS!$E:$E, COMPRAS!$C:$C, $A16, COMPRAS!$J:$J, "BOLSA")) * $F16) - 
  ((SUMIFS(prueba!$A:$A, prueba!$C:$C, $A16, prueba!$B:$B, "CAJON") + SUMIFS(prueba!$A:$A, prueba!$C:$C, $A16, prueba!$B:$B, "BOLSA")) * $F16) - 
  MAX(0, (SUMIFS(prueba!$A:$A, prueba!$C:$C, $A16, prueba!$B:$B, "UNIDAD") + SUMIFS(prueba!$A:$A, prueba!$C:$C, $A16, prueba!$B:$B, "KG")) - 
  (SUMIFS(COMPRAS!$E:$E, COMPRAS!$C:$C, $A16, COMPRAS!$J:$J, "UNIDAD") + SUMIFS(COMPRAS!$E:$E, COMPRAS!$C:$C, $A16, COMPRAS!$J:$J, "KG"))), 
0)</f>
        <v>0</v>
      </c>
      <c r="I16" s="8">
        <f t="shared" si="1"/>
        <v>0</v>
      </c>
      <c r="J16" s="8">
        <f t="shared" si="3"/>
        <v>0</v>
      </c>
      <c r="K16" s="18" t="str">
        <f t="shared" si="2"/>
        <v>ESPINACACAJON</v>
      </c>
    </row>
    <row r="17">
      <c r="A17" s="19" t="s">
        <v>27</v>
      </c>
      <c r="B17" s="14" t="s">
        <v>8</v>
      </c>
      <c r="C17" s="15">
        <f>IFERROR(AVERAGEIFS(COMPRAS!$D:$D, COMPRAS!$C:$C, $A17, COMPRAS!$J:$J, $B17), 0)</f>
        <v>0</v>
      </c>
      <c r="D17" s="16">
        <v>1.3</v>
      </c>
      <c r="E17" s="8">
        <f>ROUNDUP(C17 *D17, -2)</f>
        <v>0</v>
      </c>
      <c r="F17" s="17">
        <f>IFERROR(AVERAGEIFS(COMPRAS!$F:$F, COMPRAS!$C:$C, $A17, COMPRAS!$J:$J, $B17), 1)</f>
        <v>1</v>
      </c>
      <c r="G17" s="8">
        <f>IFERROR(SUMIFS(COMPRAS!I:I, COMPRAS!C:C, A17) * SUMIFS(COMPRAS!E:E, COMPRAS!C:C, A17) / COUNTIF(COMPRAS!C:C, A17), 0)</f>
        <v>0</v>
      </c>
      <c r="H17" s="18">
        <f>MAX(0, 
  (SUMIFS(COMPRAS!$E:$E, COMPRAS!$C:$C, $A17, COMPRAS!$J:$J, "UNIDAD") + SUMIFS(COMPRAS!$E:$E, COMPRAS!$C:$C, $A17, COMPRAS!$J:$J, "KG")) - 
  (SUMIFS(prueba!$A:$A, prueba!$C:$C, $A17, prueba!$B:$B, "UNIDAD") + SUMIFS(prueba!$A:$A, prueba!$C:$C, $A17, prueba!$B:$B, "KG"))
)</f>
        <v>0</v>
      </c>
      <c r="I17" s="8">
        <f t="shared" si="1"/>
        <v>0</v>
      </c>
      <c r="J17" s="8">
        <f t="shared" si="3"/>
        <v>0</v>
      </c>
      <c r="K17" s="18" t="str">
        <f t="shared" si="2"/>
        <v>ESPINACAUNIDAD</v>
      </c>
    </row>
    <row r="18">
      <c r="A18" s="19" t="s">
        <v>28</v>
      </c>
      <c r="B18" s="14" t="s">
        <v>12</v>
      </c>
      <c r="C18" s="15">
        <f>IFERROR(AVERAGEIFS(COMPRAS!$D:$D, COMPRAS!$C:$C, $A18, COMPRAS!$J:$J, $B18), 0)</f>
        <v>0</v>
      </c>
      <c r="D18" s="16">
        <v>1.3</v>
      </c>
      <c r="E18" s="8">
        <f>ROUNDUP(C18 *D18, -3)</f>
        <v>0</v>
      </c>
      <c r="F18" s="17">
        <f>IFERROR(AVERAGEIFS(COMPRAS!$F:$F, COMPRAS!$C:$C, $A18, COMPRAS!$J:$J, $B18), 1)</f>
        <v>1</v>
      </c>
      <c r="G18" s="8">
        <f>IFERROR(SUMIFS(COMPRAS!I:I, COMPRAS!C:C, A18) * SUMIFS(COMPRAS!E:E, COMPRAS!C:C, A18) / COUNTIF(COMPRAS!C:C, A18), 0)</f>
        <v>0</v>
      </c>
      <c r="H18" s="18">
        <f>IFERROR(
  ((SUMIFS(COMPRAS!$E:$E, COMPRAS!$C:$C, $A18, COMPRAS!$J:$J, "CAJON") + SUMIFS(COMPRAS!$E:$E, COMPRAS!$C:$C, $A18, COMPRAS!$J:$J, "BOLSA")) * $F18) - 
  ((SUMIFS(prueba!$A:$A, prueba!$C:$C, $A18, prueba!$B:$B, "CAJON") + SUMIFS(prueba!$A:$A, prueba!$C:$C, $A18, prueba!$B:$B, "BOLSA")) * $F18) - 
  MAX(0, (SUMIFS(prueba!$A:$A, prueba!$C:$C, $A18, prueba!$B:$B, "UNIDAD") + SUMIFS(prueba!$A:$A, prueba!$C:$C, $A18, prueba!$B:$B, "KG")) - 
  (SUMIFS(COMPRAS!$E:$E, COMPRAS!$C:$C, $A18, COMPRAS!$J:$J, "UNIDAD") + SUMIFS(COMPRAS!$E:$E, COMPRAS!$C:$C, $A18, COMPRAS!$J:$J, "KG"))), 
0)</f>
        <v>0</v>
      </c>
      <c r="I18" s="8">
        <f t="shared" si="1"/>
        <v>0</v>
      </c>
      <c r="J18" s="8">
        <f t="shared" si="3"/>
        <v>0</v>
      </c>
      <c r="K18" s="18" t="str">
        <f t="shared" si="2"/>
        <v>LECHUGA CAPUCCINACAJON</v>
      </c>
    </row>
    <row r="19">
      <c r="A19" s="19" t="s">
        <v>28</v>
      </c>
      <c r="B19" s="14" t="s">
        <v>29</v>
      </c>
      <c r="C19" s="15">
        <f>IFERROR(AVERAGEIFS(COMPRAS!$D:$D, COMPRAS!$C:$C, $A19, COMPRAS!$J:$J, $B19), 0)</f>
        <v>0</v>
      </c>
      <c r="D19" s="16">
        <v>1.3</v>
      </c>
      <c r="E19" s="8">
        <f>ROUNDUP(C19 *D19, -2)</f>
        <v>0</v>
      </c>
      <c r="F19" s="17">
        <f>IFERROR(AVERAGEIFS(COMPRAS!$F:$F, COMPRAS!$C:$C, $A19, COMPRAS!$J:$J, $B19), 1)</f>
        <v>1</v>
      </c>
      <c r="G19" s="8">
        <f>IFERROR(SUMIFS(COMPRAS!I:I, COMPRAS!C:C, A19) * SUMIFS(COMPRAS!E:E, COMPRAS!C:C, A19) / COUNTIF(COMPRAS!C:C, A19), 0)</f>
        <v>0</v>
      </c>
      <c r="H19" s="18">
        <f>MAX(0, 
  (SUMIFS(COMPRAS!$E:$E, COMPRAS!$C:$C, $A19, COMPRAS!$J:$J, "UNIDAD") + SUMIFS(COMPRAS!$E:$E, COMPRAS!$C:$C, $A19, COMPRAS!$J:$J, "KG")) - 
  (SUMIFS(prueba!$A:$A, prueba!$C:$C, $A19, prueba!$B:$B, "UNIDAD") + SUMIFS(prueba!$A:$A, prueba!$C:$C, $A19, prueba!$B:$B, "KG"))
)</f>
        <v>0</v>
      </c>
      <c r="I19" s="8">
        <f t="shared" si="1"/>
        <v>0</v>
      </c>
      <c r="J19" s="8">
        <f t="shared" si="3"/>
        <v>0</v>
      </c>
      <c r="K19" s="18" t="str">
        <f t="shared" si="2"/>
        <v>LECHUGA CAPUCCINAKG</v>
      </c>
    </row>
    <row r="20">
      <c r="A20" s="19" t="s">
        <v>30</v>
      </c>
      <c r="B20" s="14" t="s">
        <v>12</v>
      </c>
      <c r="C20" s="15">
        <f>IFERROR(AVERAGEIFS(COMPRAS!$D:$D, COMPRAS!$C:$C, $A20, COMPRAS!$J:$J, $B20), 0)</f>
        <v>0</v>
      </c>
      <c r="D20" s="16">
        <v>1.3</v>
      </c>
      <c r="E20" s="8">
        <f>ROUNDUP(C20 *D20, -3)</f>
        <v>0</v>
      </c>
      <c r="F20" s="17">
        <f>IFERROR(AVERAGEIFS(COMPRAS!$F:$F, COMPRAS!$C:$C, $A20, COMPRAS!$J:$J, $B20), 1)</f>
        <v>1</v>
      </c>
      <c r="G20" s="8">
        <f>IFERROR(SUMIFS(COMPRAS!I:I, COMPRAS!C:C, A20) * SUMIFS(COMPRAS!E:E, COMPRAS!C:C, A20) / COUNTIF(COMPRAS!C:C, A20), 0)</f>
        <v>0</v>
      </c>
      <c r="H20" s="18">
        <f>IFERROR(
  ((SUMIFS(COMPRAS!$E:$E, COMPRAS!$C:$C, $A20, COMPRAS!$J:$J, "CAJON") + SUMIFS(COMPRAS!$E:$E, COMPRAS!$C:$C, $A20, COMPRAS!$J:$J, "BOLSA")) * $F20) - 
  ((SUMIFS(prueba!$A:$A, prueba!$C:$C, $A20, prueba!$B:$B, "CAJON") + SUMIFS(prueba!$A:$A, prueba!$C:$C, $A20, prueba!$B:$B, "BOLSA")) * $F20) - 
  MAX(0, (SUMIFS(prueba!$A:$A, prueba!$C:$C, $A20, prueba!$B:$B, "UNIDAD") + SUMIFS(prueba!$A:$A, prueba!$C:$C, $A20, prueba!$B:$B, "KG")) - 
  (SUMIFS(COMPRAS!$E:$E, COMPRAS!$C:$C, $A20, COMPRAS!$J:$J, "UNIDAD") + SUMIFS(COMPRAS!$E:$E, COMPRAS!$C:$C, $A20, COMPRAS!$J:$J, "KG"))), 
0)</f>
        <v>0</v>
      </c>
      <c r="I20" s="8">
        <f t="shared" si="1"/>
        <v>0</v>
      </c>
      <c r="J20" s="8">
        <f t="shared" si="3"/>
        <v>0</v>
      </c>
      <c r="K20" s="18" t="str">
        <f t="shared" si="2"/>
        <v>LECHUGA MORADACAJON</v>
      </c>
    </row>
    <row r="21">
      <c r="A21" s="19" t="s">
        <v>30</v>
      </c>
      <c r="B21" s="14" t="s">
        <v>29</v>
      </c>
      <c r="C21" s="15">
        <f>IFERROR(AVERAGEIFS(COMPRAS!$D:$D, COMPRAS!$C:$C, $A21, COMPRAS!$J:$J, $B21), 0)</f>
        <v>0</v>
      </c>
      <c r="D21" s="16">
        <v>1.3</v>
      </c>
      <c r="E21" s="8">
        <f>ROUNDUP(C21 *D21, -2)</f>
        <v>0</v>
      </c>
      <c r="F21" s="17">
        <f>IFERROR(AVERAGEIFS(COMPRAS!$F:$F, COMPRAS!$C:$C, $A21, COMPRAS!$J:$J, $B21), 1)</f>
        <v>1</v>
      </c>
      <c r="G21" s="8">
        <f>IFERROR(SUMIFS(COMPRAS!I:I, COMPRAS!C:C, A21) * SUMIFS(COMPRAS!E:E, COMPRAS!C:C, A21) / COUNTIF(COMPRAS!C:C, A21), 0)</f>
        <v>0</v>
      </c>
      <c r="H21" s="18">
        <f>MAX(0, 
  (SUMIFS(COMPRAS!$E:$E, COMPRAS!$C:$C, $A21, COMPRAS!$J:$J, "UNIDAD") + SUMIFS(COMPRAS!$E:$E, COMPRAS!$C:$C, $A21, COMPRAS!$J:$J, "KG")) - 
  (SUMIFS(prueba!$A:$A, prueba!$C:$C, $A21, prueba!$B:$B, "UNIDAD") + SUMIFS(prueba!$A:$A, prueba!$C:$C, $A21, prueba!$B:$B, "KG"))
)</f>
        <v>0</v>
      </c>
      <c r="I21" s="8">
        <f t="shared" si="1"/>
        <v>0</v>
      </c>
      <c r="J21" s="8">
        <f t="shared" si="3"/>
        <v>0</v>
      </c>
      <c r="K21" s="18" t="str">
        <f t="shared" si="2"/>
        <v>LECHUGA MORADAKG</v>
      </c>
    </row>
    <row r="22">
      <c r="A22" s="19" t="s">
        <v>31</v>
      </c>
      <c r="B22" s="14" t="s">
        <v>12</v>
      </c>
      <c r="C22" s="15">
        <f>IFERROR(AVERAGEIFS(COMPRAS!$D:$D, COMPRAS!$C:$C, $A22, COMPRAS!$J:$J, $B22), 0)</f>
        <v>0</v>
      </c>
      <c r="D22" s="16">
        <v>1.3</v>
      </c>
      <c r="E22" s="8">
        <f>ROUNDUP(C22 *D22, -3)</f>
        <v>0</v>
      </c>
      <c r="F22" s="17">
        <f>IFERROR(AVERAGEIFS(COMPRAS!$F:$F, COMPRAS!$C:$C, $A22, COMPRAS!$J:$J, $B22), 1)</f>
        <v>1</v>
      </c>
      <c r="G22" s="8">
        <f>IFERROR(SUMIFS(COMPRAS!I:I, COMPRAS!C:C, A22) * SUMIFS(COMPRAS!E:E, COMPRAS!C:C, A22) / COUNTIF(COMPRAS!C:C, A22), 0)</f>
        <v>0</v>
      </c>
      <c r="H22" s="18">
        <f>IFERROR(
  ((SUMIFS(COMPRAS!$E:$E, COMPRAS!$C:$C, $A22, COMPRAS!$J:$J, "CAJON") + SUMIFS(COMPRAS!$E:$E, COMPRAS!$C:$C, $A22, COMPRAS!$J:$J, "BOLSA")) * $F22) - 
  ((SUMIFS(prueba!$A:$A, prueba!$C:$C, $A22, prueba!$B:$B, "CAJON") + SUMIFS(prueba!$A:$A, prueba!$C:$C, $A22, prueba!$B:$B, "BOLSA")) * $F22) - 
  MAX(0, (SUMIFS(prueba!$A:$A, prueba!$C:$C, $A22, prueba!$B:$B, "UNIDAD") + SUMIFS(prueba!$A:$A, prueba!$C:$C, $A22, prueba!$B:$B, "KG")) - 
  (SUMIFS(COMPRAS!$E:$E, COMPRAS!$C:$C, $A22, COMPRAS!$J:$J, "UNIDAD") + SUMIFS(COMPRAS!$E:$E, COMPRAS!$C:$C, $A22, COMPRAS!$J:$J, "KG"))), 
0)</f>
        <v>0</v>
      </c>
      <c r="I22" s="8">
        <f t="shared" si="1"/>
        <v>0</v>
      </c>
      <c r="J22" s="8">
        <f t="shared" si="3"/>
        <v>0</v>
      </c>
      <c r="K22" s="18" t="str">
        <f t="shared" si="2"/>
        <v>LECHUGA CRIOLLACAJON</v>
      </c>
    </row>
    <row r="23">
      <c r="A23" s="19" t="s">
        <v>31</v>
      </c>
      <c r="B23" s="14" t="s">
        <v>29</v>
      </c>
      <c r="C23" s="15">
        <f>IFERROR(AVERAGEIFS(COMPRAS!$D:$D, COMPRAS!$C:$C, $A23, COMPRAS!$J:$J, $B23), 0)</f>
        <v>0</v>
      </c>
      <c r="D23" s="16">
        <v>1.3</v>
      </c>
      <c r="E23" s="8">
        <f>ROUNDUP(C23 *D23, -2)</f>
        <v>0</v>
      </c>
      <c r="F23" s="17">
        <f>IFERROR(AVERAGEIFS(COMPRAS!$F:$F, COMPRAS!$C:$C, $A23, COMPRAS!$J:$J, $B23), 1)</f>
        <v>1</v>
      </c>
      <c r="G23" s="8">
        <f>IFERROR(SUMIFS(COMPRAS!I:I, COMPRAS!C:C, A23) * SUMIFS(COMPRAS!E:E, COMPRAS!C:C, A23) / COUNTIF(COMPRAS!C:C, A23), 0)</f>
        <v>0</v>
      </c>
      <c r="H23" s="18">
        <f>MAX(0, 
  (SUMIFS(COMPRAS!$E:$E, COMPRAS!$C:$C, $A23, COMPRAS!$J:$J, "UNIDAD") + SUMIFS(COMPRAS!$E:$E, COMPRAS!$C:$C, $A23, COMPRAS!$J:$J, "KG")) - 
  (SUMIFS(prueba!$A:$A, prueba!$C:$C, $A23, prueba!$B:$B, "UNIDAD") + SUMIFS(prueba!$A:$A, prueba!$C:$C, $A23, prueba!$B:$B, "KG"))
)</f>
        <v>0</v>
      </c>
      <c r="I23" s="8">
        <f t="shared" si="1"/>
        <v>0</v>
      </c>
      <c r="J23" s="8">
        <f t="shared" si="3"/>
        <v>0</v>
      </c>
      <c r="K23" s="18" t="str">
        <f t="shared" si="2"/>
        <v>LECHUGA CRIOLLAKG</v>
      </c>
    </row>
    <row r="24">
      <c r="A24" s="19" t="s">
        <v>32</v>
      </c>
      <c r="B24" s="14" t="s">
        <v>12</v>
      </c>
      <c r="C24" s="15">
        <f>IFERROR(AVERAGEIFS(COMPRAS!$D:$D, COMPRAS!$C:$C, $A24, COMPRAS!$J:$J, $B24), 0)</f>
        <v>0</v>
      </c>
      <c r="D24" s="16">
        <v>1.3</v>
      </c>
      <c r="E24" s="8">
        <f>ROUNDUP(C24 *D24, -3)</f>
        <v>0</v>
      </c>
      <c r="F24" s="17">
        <f>IFERROR(AVERAGEIFS(COMPRAS!$F:$F, COMPRAS!$C:$C, $A24, COMPRAS!$J:$J, $B24), 1)</f>
        <v>1</v>
      </c>
      <c r="G24" s="8">
        <f>IFERROR(SUMIFS(COMPRAS!I:I, COMPRAS!C:C, A24) * SUMIFS(COMPRAS!E:E, COMPRAS!C:C, A24) / COUNTIF(COMPRAS!C:C, A24), 0)</f>
        <v>0</v>
      </c>
      <c r="H24" s="18">
        <f>IFERROR(
  ((SUMIFS(COMPRAS!$E:$E, COMPRAS!$C:$C, $A24, COMPRAS!$J:$J, "CAJON") + SUMIFS(COMPRAS!$E:$E, COMPRAS!$C:$C, $A24, COMPRAS!$J:$J, "BOLSA")) * $F24) - 
  ((SUMIFS(prueba!$A:$A, prueba!$C:$C, $A24, prueba!$B:$B, "CAJON") + SUMIFS(prueba!$A:$A, prueba!$C:$C, $A24, prueba!$B:$B, "BOLSA")) * $F24) - 
  MAX(0, (SUMIFS(prueba!$A:$A, prueba!$C:$C, $A24, prueba!$B:$B, "UNIDAD") + SUMIFS(prueba!$A:$A, prueba!$C:$C, $A24, prueba!$B:$B, "KG")) - 
  (SUMIFS(COMPRAS!$E:$E, COMPRAS!$C:$C, $A24, COMPRAS!$J:$J, "UNIDAD") + SUMIFS(COMPRAS!$E:$E, COMPRAS!$C:$C, $A24, COMPRAS!$J:$J, "KG"))), 
0)</f>
        <v>0</v>
      </c>
      <c r="I24" s="8">
        <f t="shared" si="1"/>
        <v>0</v>
      </c>
      <c r="J24" s="8">
        <f t="shared" si="3"/>
        <v>0</v>
      </c>
      <c r="K24" s="18" t="str">
        <f t="shared" si="2"/>
        <v>LECHUGA FRANCESACAJON</v>
      </c>
    </row>
    <row r="25">
      <c r="A25" s="19" t="s">
        <v>32</v>
      </c>
      <c r="B25" s="14" t="s">
        <v>29</v>
      </c>
      <c r="C25" s="15">
        <f>IFERROR(AVERAGEIFS(COMPRAS!$D:$D, COMPRAS!$C:$C, $A25, COMPRAS!$J:$J, $B25), 0)</f>
        <v>0</v>
      </c>
      <c r="D25" s="16">
        <v>1.3</v>
      </c>
      <c r="E25" s="8">
        <f>ROUNDUP(C25 *D25, -2)</f>
        <v>0</v>
      </c>
      <c r="F25" s="17">
        <f>IFERROR(AVERAGEIFS(COMPRAS!$F:$F, COMPRAS!$C:$C, $A25, COMPRAS!$J:$J, $B25), 1)</f>
        <v>1</v>
      </c>
      <c r="G25" s="8">
        <f>IFERROR(SUMIFS(COMPRAS!I:I, COMPRAS!C:C, A25) * SUMIFS(COMPRAS!E:E, COMPRAS!C:C, A25) / COUNTIF(COMPRAS!C:C, A25), 0)</f>
        <v>0</v>
      </c>
      <c r="H25" s="18">
        <f>MAX(0, 
  (SUMIFS(COMPRAS!$E:$E, COMPRAS!$C:$C, $A25, COMPRAS!$J:$J, "UNIDAD") + SUMIFS(COMPRAS!$E:$E, COMPRAS!$C:$C, $A25, COMPRAS!$J:$J, "KG")) - 
  (SUMIFS(prueba!$A:$A, prueba!$C:$C, $A25, prueba!$B:$B, "UNIDAD") + SUMIFS(prueba!$A:$A, prueba!$C:$C, $A25, prueba!$B:$B, "KG"))
)</f>
        <v>0</v>
      </c>
      <c r="I25" s="8">
        <f t="shared" si="1"/>
        <v>0</v>
      </c>
      <c r="J25" s="8">
        <f t="shared" si="3"/>
        <v>0</v>
      </c>
      <c r="K25" s="18" t="str">
        <f t="shared" si="2"/>
        <v>LECHUGA FRANCESAKG</v>
      </c>
    </row>
    <row r="26">
      <c r="A26" s="19" t="s">
        <v>33</v>
      </c>
      <c r="B26" s="14" t="s">
        <v>12</v>
      </c>
      <c r="C26" s="15">
        <f>IFERROR(AVERAGEIFS(COMPRAS!$D:$D, COMPRAS!$C:$C, $A26, COMPRAS!$J:$J, $B26), 0)</f>
        <v>0</v>
      </c>
      <c r="D26" s="16">
        <v>1.3</v>
      </c>
      <c r="E26" s="8">
        <f>ROUNDUP(C26 * D26, -3)</f>
        <v>0</v>
      </c>
      <c r="F26" s="17">
        <f>IFERROR(AVERAGEIFS(COMPRAS!$F:$F, COMPRAS!$C:$C, $A26, COMPRAS!$J:$J, $B26), 1)</f>
        <v>1</v>
      </c>
      <c r="G26" s="8">
        <f>IFERROR(SUMIFS(COMPRAS!I:I, COMPRAS!C:C, A26) * SUMIFS(COMPRAS!E:E, COMPRAS!C:C, A26) / COUNTIF(COMPRAS!C:C, A26), 0)</f>
        <v>0</v>
      </c>
      <c r="H26" s="18">
        <f>IFERROR(
  ((SUMIFS(COMPRAS!$E:$E, COMPRAS!$C:$C, $A26, COMPRAS!$J:$J, "CAJON") + SUMIFS(COMPRAS!$E:$E, COMPRAS!$C:$C, $A26, COMPRAS!$J:$J, "BOLSA")) * $F26) - 
  ((SUMIFS(prueba!$A:$A, prueba!$C:$C, $A26, prueba!$B:$B, "CAJON") + SUMIFS(prueba!$A:$A, prueba!$C:$C, $A26, prueba!$B:$B, "BOLSA")) * $F26) - 
  MAX(0, (SUMIFS(prueba!$A:$A, prueba!$C:$C, $A26, prueba!$B:$B, "UNIDAD") + SUMIFS(prueba!$A:$A, prueba!$C:$C, $A26, prueba!$B:$B, "KG")) - 
  (SUMIFS(COMPRAS!$E:$E, COMPRAS!$C:$C, $A26, COMPRAS!$J:$J, "UNIDAD") + SUMIFS(COMPRAS!$E:$E, COMPRAS!$C:$C, $A26, COMPRAS!$J:$J, "KG"))), 
0)</f>
        <v>0</v>
      </c>
      <c r="I26" s="8">
        <f t="shared" si="1"/>
        <v>0</v>
      </c>
      <c r="J26" s="8">
        <f t="shared" si="3"/>
        <v>0</v>
      </c>
      <c r="K26" s="18" t="str">
        <f t="shared" si="2"/>
        <v>LECHUGA MANTECACAJON</v>
      </c>
    </row>
    <row r="27">
      <c r="A27" s="19" t="s">
        <v>33</v>
      </c>
      <c r="B27" s="14" t="s">
        <v>29</v>
      </c>
      <c r="C27" s="15">
        <f>IFERROR(AVERAGEIFS(COMPRAS!$D:$D, COMPRAS!$C:$C, $A27, COMPRAS!$J:$J, $B27), 0)</f>
        <v>0</v>
      </c>
      <c r="D27" s="16">
        <v>1.3</v>
      </c>
      <c r="E27" s="8">
        <f>ROUNDUP(C27 * D27, -2)</f>
        <v>0</v>
      </c>
      <c r="F27" s="17">
        <f>IFERROR(AVERAGEIFS(COMPRAS!$F:$F, COMPRAS!$C:$C, $A27, COMPRAS!$J:$J, $B27), 1)</f>
        <v>1</v>
      </c>
      <c r="G27" s="8">
        <f>IFERROR(SUMIFS(COMPRAS!I:I, COMPRAS!C:C, A27) * SUMIFS(COMPRAS!E:E, COMPRAS!C:C, A27) / COUNTIF(COMPRAS!C:C, A27), 0)</f>
        <v>0</v>
      </c>
      <c r="H27" s="18">
        <f>MAX(0, 
  (SUMIFS(COMPRAS!$E:$E, COMPRAS!$C:$C, $A27, COMPRAS!$J:$J, "UNIDAD") + SUMIFS(COMPRAS!$E:$E, COMPRAS!$C:$C, $A27, COMPRAS!$J:$J, "KG")) - 
  (SUMIFS(prueba!$A:$A, prueba!$C:$C, $A27, prueba!$B:$B, "UNIDAD") + SUMIFS(prueba!$A:$A, prueba!$C:$C, $A27, prueba!$B:$B, "KG"))
)</f>
        <v>0</v>
      </c>
      <c r="I27" s="8">
        <f t="shared" si="1"/>
        <v>0</v>
      </c>
      <c r="J27" s="8">
        <f t="shared" si="3"/>
        <v>0</v>
      </c>
      <c r="K27" s="18" t="str">
        <f t="shared" si="2"/>
        <v>LECHUGA MANTECAKG</v>
      </c>
    </row>
    <row r="28">
      <c r="A28" s="19" t="s">
        <v>34</v>
      </c>
      <c r="B28" s="14" t="s">
        <v>12</v>
      </c>
      <c r="C28" s="15">
        <f>IFERROR(AVERAGEIFS(COMPRAS!$D:$D, COMPRAS!$C:$C, $A28, COMPRAS!$J:$J, $B28), 0)</f>
        <v>0</v>
      </c>
      <c r="D28" s="16">
        <v>1.3</v>
      </c>
      <c r="E28" s="8">
        <f>ROUNDUP(C28 *D28, -3)</f>
        <v>0</v>
      </c>
      <c r="F28" s="17">
        <f>IFERROR(AVERAGEIFS(COMPRAS!$F:$F, COMPRAS!$C:$C, $A28, COMPRAS!$J:$J, $B28), 1)</f>
        <v>1</v>
      </c>
      <c r="G28" s="8">
        <f>IFERROR(SUMIFS(COMPRAS!I:I, COMPRAS!C:C, A28) * SUMIFS(COMPRAS!E:E, COMPRAS!C:C, A28) / COUNTIF(COMPRAS!C:C, A28), 0)</f>
        <v>0</v>
      </c>
      <c r="H28" s="18">
        <f>IFERROR(
  ((SUMIFS(COMPRAS!$E:$E, COMPRAS!$C:$C, $A28, COMPRAS!$J:$J, "CAJON") + SUMIFS(COMPRAS!$E:$E, COMPRAS!$C:$C, $A28, COMPRAS!$J:$J, "BOLSA")) * $F28) - 
  ((SUMIFS(prueba!$A:$A, prueba!$C:$C, $A28, prueba!$B:$B, "CAJON") + SUMIFS(prueba!$A:$A, prueba!$C:$C, $A28, prueba!$B:$B, "BOLSA")) * $F28) - 
  MAX(0, (SUMIFS(prueba!$A:$A, prueba!$C:$C, $A28, prueba!$B:$B, "UNIDAD") + SUMIFS(prueba!$A:$A, prueba!$C:$C, $A28, prueba!$B:$B, "KG")) - 
  (SUMIFS(COMPRAS!$E:$E, COMPRAS!$C:$C, $A28, COMPRAS!$J:$J, "UNIDAD") + SUMIFS(COMPRAS!$E:$E, COMPRAS!$C:$C, $A28, COMPRAS!$J:$J, "KG"))), 
0)</f>
        <v>0</v>
      </c>
      <c r="I28" s="8">
        <f t="shared" si="1"/>
        <v>0</v>
      </c>
      <c r="J28" s="8">
        <f t="shared" si="3"/>
        <v>0</v>
      </c>
      <c r="K28" s="18" t="str">
        <f t="shared" si="2"/>
        <v>PEREJILCAJON</v>
      </c>
    </row>
    <row r="29">
      <c r="A29" s="19" t="s">
        <v>34</v>
      </c>
      <c r="B29" s="14" t="s">
        <v>8</v>
      </c>
      <c r="C29" s="15">
        <f>IFERROR(AVERAGEIFS(COMPRAS!$D:$D, COMPRAS!$C:$C, $A29, COMPRAS!$J:$J, $B29), 0)</f>
        <v>0</v>
      </c>
      <c r="D29" s="16">
        <v>1.3</v>
      </c>
      <c r="E29" s="8">
        <f>ROUNDUP(C29 *D29, -2)</f>
        <v>0</v>
      </c>
      <c r="F29" s="17">
        <f>IFERROR(AVERAGEIFS(COMPRAS!$F:$F, COMPRAS!$C:$C, $A29, COMPRAS!$J:$J, $B29), 1)</f>
        <v>1</v>
      </c>
      <c r="G29" s="8">
        <f>IFERROR(SUMIFS(COMPRAS!I:I, COMPRAS!C:C, A29) * SUMIFS(COMPRAS!E:E, COMPRAS!C:C, A29) / COUNTIF(COMPRAS!C:C, A29), 0)</f>
        <v>0</v>
      </c>
      <c r="H29" s="18">
        <f>MAX(0, 
  (SUMIFS(COMPRAS!$E:$E, COMPRAS!$C:$C, $A29, COMPRAS!$J:$J, "UNIDAD") + SUMIFS(COMPRAS!$E:$E, COMPRAS!$C:$C, $A29, COMPRAS!$J:$J, "KG")) - 
  (SUMIFS(prueba!$A:$A, prueba!$C:$C, $A29, prueba!$B:$B, "UNIDAD") + SUMIFS(prueba!$A:$A, prueba!$C:$C, $A29, prueba!$B:$B, "KG"))
)</f>
        <v>0</v>
      </c>
      <c r="I29" s="8">
        <f t="shared" si="1"/>
        <v>0</v>
      </c>
      <c r="J29" s="8">
        <f t="shared" si="3"/>
        <v>0</v>
      </c>
      <c r="K29" s="18" t="str">
        <f t="shared" si="2"/>
        <v>PEREJILUNIDAD</v>
      </c>
    </row>
    <row r="30">
      <c r="A30" s="19" t="s">
        <v>35</v>
      </c>
      <c r="B30" s="14" t="s">
        <v>12</v>
      </c>
      <c r="C30" s="15">
        <f>IFERROR(AVERAGEIFS(COMPRAS!$D:$D, COMPRAS!$C:$C, $A30, COMPRAS!$J:$J, $B30), 0)</f>
        <v>0</v>
      </c>
      <c r="D30" s="16">
        <v>1.3</v>
      </c>
      <c r="E30" s="8">
        <f>ROUNDUP(C30 *D30, -3)</f>
        <v>0</v>
      </c>
      <c r="F30" s="17">
        <f>IFERROR(AVERAGEIFS(COMPRAS!$F:$F, COMPRAS!$C:$C, $A30, COMPRAS!$J:$J, $B30), 1)</f>
        <v>1</v>
      </c>
      <c r="G30" s="8">
        <f>IFERROR(SUMIFS(COMPRAS!I:I, COMPRAS!C:C, A30) * SUMIFS(COMPRAS!E:E, COMPRAS!C:C, A30) / COUNTIF(COMPRAS!C:C, A30), 0)</f>
        <v>0</v>
      </c>
      <c r="H30" s="18">
        <f>IFERROR(
  ((SUMIFS(COMPRAS!$E:$E, COMPRAS!$C:$C, $A30, COMPRAS!$J:$J, "CAJON") + SUMIFS(COMPRAS!$E:$E, COMPRAS!$C:$C, $A30, COMPRAS!$J:$J, "BOLSA")) * $F30) - 
  ((SUMIFS(prueba!$A:$A, prueba!$C:$C, $A30, prueba!$B:$B, "CAJON") + SUMIFS(prueba!$A:$A, prueba!$C:$C, $A30, prueba!$B:$B, "BOLSA")) * $F30) - 
  MAX(0, (SUMIFS(prueba!$A:$A, prueba!$C:$C, $A30, prueba!$B:$B, "UNIDAD") + SUMIFS(prueba!$A:$A, prueba!$C:$C, $A30, prueba!$B:$B, "KG")) - 
  (SUMIFS(COMPRAS!$E:$E, COMPRAS!$C:$C, $A30, COMPRAS!$J:$J, "UNIDAD") + SUMIFS(COMPRAS!$E:$E, COMPRAS!$C:$C, $A30, COMPRAS!$J:$J, "KG"))), 
0)</f>
        <v>0</v>
      </c>
      <c r="I30" s="8">
        <f t="shared" si="1"/>
        <v>0</v>
      </c>
      <c r="J30" s="8">
        <f t="shared" si="3"/>
        <v>0</v>
      </c>
      <c r="K30" s="18" t="str">
        <f t="shared" si="2"/>
        <v>PUERROCAJON</v>
      </c>
    </row>
    <row r="31">
      <c r="A31" s="19" t="s">
        <v>35</v>
      </c>
      <c r="B31" s="14" t="s">
        <v>8</v>
      </c>
      <c r="C31" s="15">
        <f>IFERROR(AVERAGEIFS(COMPRAS!$D:$D, COMPRAS!$C:$C, $A31, COMPRAS!$J:$J, $B31), 0)</f>
        <v>0</v>
      </c>
      <c r="D31" s="16">
        <v>1.3</v>
      </c>
      <c r="E31" s="8">
        <f>ROUNDUP(C31 *D31, -2)</f>
        <v>0</v>
      </c>
      <c r="F31" s="17">
        <f>IFERROR(AVERAGEIFS(COMPRAS!$F:$F, COMPRAS!$C:$C, $A31, COMPRAS!$J:$J, $B31), 1)</f>
        <v>1</v>
      </c>
      <c r="G31" s="8">
        <f>IFERROR(SUMIFS(COMPRAS!I:I, COMPRAS!C:C, A31) * SUMIFS(COMPRAS!E:E, COMPRAS!C:C, A31) / COUNTIF(COMPRAS!C:C, A31), 0)</f>
        <v>0</v>
      </c>
      <c r="H31" s="18">
        <f>MAX(0, 
  (SUMIFS(COMPRAS!$E:$E, COMPRAS!$C:$C, $A31, COMPRAS!$J:$J, "UNIDAD") + SUMIFS(COMPRAS!$E:$E, COMPRAS!$C:$C, $A31, COMPRAS!$J:$J, "KG")) - 
  (SUMIFS(prueba!$A:$A, prueba!$C:$C, $A31, prueba!$B:$B, "UNIDAD") + SUMIFS(prueba!$A:$A, prueba!$C:$C, $A31, prueba!$B:$B, "KG"))
)</f>
        <v>0</v>
      </c>
      <c r="I31" s="8">
        <f t="shared" si="1"/>
        <v>0</v>
      </c>
      <c r="J31" s="8">
        <f t="shared" si="3"/>
        <v>0</v>
      </c>
      <c r="K31" s="18" t="str">
        <f t="shared" si="2"/>
        <v>PUERROUNIDAD</v>
      </c>
    </row>
    <row r="32">
      <c r="A32" s="19" t="s">
        <v>36</v>
      </c>
      <c r="B32" s="14" t="s">
        <v>12</v>
      </c>
      <c r="C32" s="15">
        <f>IFERROR(AVERAGEIFS(COMPRAS!$D:$D, COMPRAS!$C:$C, $A32, COMPRAS!$J:$J, $B32), 0)</f>
        <v>0</v>
      </c>
      <c r="D32" s="16">
        <v>1.3</v>
      </c>
      <c r="E32" s="8">
        <f>ROUNDUP(C32 *D32, -3)</f>
        <v>0</v>
      </c>
      <c r="F32" s="17">
        <f>IFERROR(AVERAGEIFS(COMPRAS!$F:$F, COMPRAS!$C:$C, $A32, COMPRAS!$J:$J, $B32), 1)</f>
        <v>1</v>
      </c>
      <c r="G32" s="8">
        <f>IFERROR(SUMIFS(COMPRAS!I:I, COMPRAS!C:C, A32) * SUMIFS(COMPRAS!E:E, COMPRAS!C:C, A32) / COUNTIF(COMPRAS!C:C, A32), 0)</f>
        <v>0</v>
      </c>
      <c r="H32" s="18">
        <f>IFERROR(
  ((SUMIFS(COMPRAS!$E:$E, COMPRAS!$C:$C, $A32, COMPRAS!$J:$J, "CAJON") + SUMIFS(COMPRAS!$E:$E, COMPRAS!$C:$C, $A32, COMPRAS!$J:$J, "BOLSA")) * $F32) - 
  ((SUMIFS(prueba!$A:$A, prueba!$C:$C, $A32, prueba!$B:$B, "CAJON") + SUMIFS(prueba!$A:$A, prueba!$C:$C, $A32, prueba!$B:$B, "BOLSA")) * $F32) - 
  MAX(0, (SUMIFS(prueba!$A:$A, prueba!$C:$C, $A32, prueba!$B:$B, "UNIDAD") + SUMIFS(prueba!$A:$A, prueba!$C:$C, $A32, prueba!$B:$B, "KG")) - 
  (SUMIFS(COMPRAS!$E:$E, COMPRAS!$C:$C, $A32, COMPRAS!$J:$J, "UNIDAD") + SUMIFS(COMPRAS!$E:$E, COMPRAS!$C:$C, $A32, COMPRAS!$J:$J, "KG"))), 
0)</f>
        <v>0</v>
      </c>
      <c r="I32" s="8">
        <f t="shared" si="1"/>
        <v>0</v>
      </c>
      <c r="J32" s="8">
        <f t="shared" si="3"/>
        <v>0</v>
      </c>
      <c r="K32" s="18" t="str">
        <f t="shared" si="2"/>
        <v>RABANITOCAJON</v>
      </c>
    </row>
    <row r="33">
      <c r="A33" s="19" t="s">
        <v>36</v>
      </c>
      <c r="B33" s="14" t="s">
        <v>8</v>
      </c>
      <c r="C33" s="15">
        <f>IFERROR(AVERAGEIFS(COMPRAS!$D:$D, COMPRAS!$C:$C, $A33, COMPRAS!$J:$J, $B33), 0)</f>
        <v>0</v>
      </c>
      <c r="D33" s="16">
        <v>1.3</v>
      </c>
      <c r="E33" s="8">
        <f>ROUNDUP(C33 *D33, -2)</f>
        <v>0</v>
      </c>
      <c r="F33" s="17">
        <f>IFERROR(AVERAGEIFS(COMPRAS!$F:$F, COMPRAS!$C:$C, $A33, COMPRAS!$J:$J, $B33), 1)</f>
        <v>1</v>
      </c>
      <c r="G33" s="8">
        <f>IFERROR(SUMIFS(COMPRAS!I:I, COMPRAS!C:C, A33) * SUMIFS(COMPRAS!E:E, COMPRAS!C:C, A33) / COUNTIF(COMPRAS!C:C, A33), 0)</f>
        <v>0</v>
      </c>
      <c r="H33" s="18">
        <f>MAX(0, 
  (SUMIFS(COMPRAS!$E:$E, COMPRAS!$C:$C, $A33, COMPRAS!$J:$J, "UNIDAD") + SUMIFS(COMPRAS!$E:$E, COMPRAS!$C:$C, $A33, COMPRAS!$J:$J, "KG")) - 
  (SUMIFS(prueba!$A:$A, prueba!$C:$C, $A33, prueba!$B:$B, "UNIDAD") + SUMIFS(prueba!$A:$A, prueba!$C:$C, $A33, prueba!$B:$B, "KG"))
)</f>
        <v>0</v>
      </c>
      <c r="I33" s="8">
        <f t="shared" si="1"/>
        <v>0</v>
      </c>
      <c r="J33" s="8">
        <f t="shared" si="3"/>
        <v>0</v>
      </c>
      <c r="K33" s="18" t="str">
        <f t="shared" si="2"/>
        <v>RABANITOUNIDAD</v>
      </c>
    </row>
    <row r="34">
      <c r="A34" s="19" t="s">
        <v>37</v>
      </c>
      <c r="B34" s="14" t="s">
        <v>12</v>
      </c>
      <c r="C34" s="15">
        <f>IFERROR(AVERAGEIFS(COMPRAS!$D:$D, COMPRAS!$C:$C, $A34, COMPRAS!$J:$J, $B34), 0)</f>
        <v>0</v>
      </c>
      <c r="D34" s="16">
        <v>1.3</v>
      </c>
      <c r="E34" s="8">
        <f>ROUNDUP(C34 *D34, -3)</f>
        <v>0</v>
      </c>
      <c r="F34" s="17">
        <f>IFERROR(AVERAGEIFS(COMPRAS!$F:$F, COMPRAS!$C:$C, $A34, COMPRAS!$J:$J, $B34), 1)</f>
        <v>1</v>
      </c>
      <c r="G34" s="8">
        <f>IFERROR(SUMIFS(COMPRAS!I:I, COMPRAS!C:C, A34) * SUMIFS(COMPRAS!E:E, COMPRAS!C:C, A34) / COUNTIF(COMPRAS!C:C, A34), 0)</f>
        <v>0</v>
      </c>
      <c r="H34" s="18">
        <f>IFERROR(
  ((SUMIFS(COMPRAS!$E:$E, COMPRAS!$C:$C, $A34, COMPRAS!$J:$J, "CAJON") + SUMIFS(COMPRAS!$E:$E, COMPRAS!$C:$C, $A34, COMPRAS!$J:$J, "BOLSA")) * $F34) - 
  ((SUMIFS(prueba!$A:$A, prueba!$C:$C, $A34, prueba!$B:$B, "CAJON") + SUMIFS(prueba!$A:$A, prueba!$C:$C, $A34, prueba!$B:$B, "BOLSA")) * $F34) - 
  MAX(0, (SUMIFS(prueba!$A:$A, prueba!$C:$C, $A34, prueba!$B:$B, "UNIDAD") + SUMIFS(prueba!$A:$A, prueba!$C:$C, $A34, prueba!$B:$B, "KG")) - 
  (SUMIFS(COMPRAS!$E:$E, COMPRAS!$C:$C, $A34, COMPRAS!$J:$J, "UNIDAD") + SUMIFS(COMPRAS!$E:$E, COMPRAS!$C:$C, $A34, COMPRAS!$J:$J, "KG"))), 
0)</f>
        <v>0</v>
      </c>
      <c r="I34" s="8">
        <f t="shared" si="1"/>
        <v>0</v>
      </c>
      <c r="J34" s="8">
        <f t="shared" si="3"/>
        <v>0</v>
      </c>
      <c r="K34" s="18" t="str">
        <f t="shared" si="2"/>
        <v>REPOLLO BLANCOCAJON</v>
      </c>
    </row>
    <row r="35">
      <c r="A35" s="19" t="s">
        <v>37</v>
      </c>
      <c r="B35" s="14" t="s">
        <v>8</v>
      </c>
      <c r="C35" s="15">
        <f>IFERROR(AVERAGEIFS(COMPRAS!$D:$D, COMPRAS!$C:$C, $A35, COMPRAS!$J:$J, $B35), 0)</f>
        <v>0</v>
      </c>
      <c r="D35" s="16">
        <v>1.3</v>
      </c>
      <c r="E35" s="8">
        <f>ROUNDUP(C35 *D35, -2)</f>
        <v>0</v>
      </c>
      <c r="F35" s="17">
        <f>IFERROR(AVERAGEIFS(COMPRAS!$F:$F, COMPRAS!$C:$C, $A35, COMPRAS!$J:$J, $B35), 1)</f>
        <v>1</v>
      </c>
      <c r="G35" s="8">
        <f>IFERROR(SUMIFS(COMPRAS!I:I, COMPRAS!C:C, A35) * SUMIFS(COMPRAS!E:E, COMPRAS!C:C, A35) / COUNTIF(COMPRAS!C:C, A35), 0)</f>
        <v>0</v>
      </c>
      <c r="H35" s="18">
        <f>MAX(0, 
  (SUMIFS(COMPRAS!$E:$E, COMPRAS!$C:$C, $A35, COMPRAS!$J:$J, "UNIDAD") + SUMIFS(COMPRAS!$E:$E, COMPRAS!$C:$C, $A35, COMPRAS!$J:$J, "KG")) - 
  (SUMIFS(prueba!$A:$A, prueba!$C:$C, $A35, prueba!$B:$B, "UNIDAD") + SUMIFS(prueba!$A:$A, prueba!$C:$C, $A35, prueba!$B:$B, "KG"))
)</f>
        <v>0</v>
      </c>
      <c r="I35" s="8">
        <f t="shared" si="1"/>
        <v>0</v>
      </c>
      <c r="J35" s="8">
        <f t="shared" si="3"/>
        <v>0</v>
      </c>
      <c r="K35" s="18" t="str">
        <f t="shared" si="2"/>
        <v>REPOLLO BLANCOUNIDAD</v>
      </c>
    </row>
    <row r="36">
      <c r="A36" s="19" t="s">
        <v>38</v>
      </c>
      <c r="B36" s="14" t="s">
        <v>12</v>
      </c>
      <c r="C36" s="15">
        <f>IFERROR(AVERAGEIFS(COMPRAS!$D:$D, COMPRAS!$C:$C, $A36, COMPRAS!$J:$J, $B36), 0)</f>
        <v>0</v>
      </c>
      <c r="D36" s="16">
        <v>1.3</v>
      </c>
      <c r="E36" s="8">
        <f>ROUNDUP(C36 *D36, -3)</f>
        <v>0</v>
      </c>
      <c r="F36" s="17">
        <f>IFERROR(AVERAGEIFS(COMPRAS!$F:$F, COMPRAS!$C:$C, $A36, COMPRAS!$J:$J, $B36), 1)</f>
        <v>1</v>
      </c>
      <c r="G36" s="8">
        <f>IFERROR(SUMIFS(COMPRAS!I:I, COMPRAS!C:C, A36) * SUMIFS(COMPRAS!E:E, COMPRAS!C:C, A36) / COUNTIF(COMPRAS!C:C, A36), 0)</f>
        <v>0</v>
      </c>
      <c r="H36" s="18">
        <f>IFERROR(
  ((SUMIFS(COMPRAS!$E:$E, COMPRAS!$C:$C, $A36, COMPRAS!$J:$J, "CAJON") + SUMIFS(COMPRAS!$E:$E, COMPRAS!$C:$C, $A36, COMPRAS!$J:$J, "BOLSA")) * $F36) - 
  ((SUMIFS(prueba!$A:$A, prueba!$C:$C, $A36, prueba!$B:$B, "CAJON") + SUMIFS(prueba!$A:$A, prueba!$C:$C, $A36, prueba!$B:$B, "BOLSA")) * $F36) - 
  MAX(0, (SUMIFS(prueba!$A:$A, prueba!$C:$C, $A36, prueba!$B:$B, "UNIDAD") + SUMIFS(prueba!$A:$A, prueba!$C:$C, $A36, prueba!$B:$B, "KG")) - 
  (SUMIFS(COMPRAS!$E:$E, COMPRAS!$C:$C, $A36, COMPRAS!$J:$J, "UNIDAD") + SUMIFS(COMPRAS!$E:$E, COMPRAS!$C:$C, $A36, COMPRAS!$J:$J, "KG"))), 
0)</f>
        <v>0</v>
      </c>
      <c r="I36" s="8">
        <f t="shared" si="1"/>
        <v>0</v>
      </c>
      <c r="J36" s="8">
        <f t="shared" si="3"/>
        <v>0</v>
      </c>
      <c r="K36" s="18" t="str">
        <f t="shared" si="2"/>
        <v>REPOLLO ROJOCAJON</v>
      </c>
    </row>
    <row r="37">
      <c r="A37" s="19" t="s">
        <v>38</v>
      </c>
      <c r="B37" s="14" t="s">
        <v>8</v>
      </c>
      <c r="C37" s="15">
        <f>IFERROR(AVERAGEIFS(COMPRAS!$D:$D, COMPRAS!$C:$C, $A37, COMPRAS!$J:$J, $B37), 0)</f>
        <v>0</v>
      </c>
      <c r="D37" s="16">
        <v>1.3</v>
      </c>
      <c r="E37" s="8">
        <f>ROUNDUP(C37 *D37, -2)</f>
        <v>0</v>
      </c>
      <c r="F37" s="17">
        <f>IFERROR(AVERAGEIFS(COMPRAS!$F:$F, COMPRAS!$C:$C, $A37, COMPRAS!$J:$J, $B37), 1)</f>
        <v>1</v>
      </c>
      <c r="G37" s="8">
        <f>IFERROR(SUMIFS(COMPRAS!I:I, COMPRAS!C:C, A37) * SUMIFS(COMPRAS!E:E, COMPRAS!C:C, A37) / COUNTIF(COMPRAS!C:C, A37), 0)</f>
        <v>0</v>
      </c>
      <c r="H37" s="18">
        <f>MAX(0, 
  (SUMIFS(COMPRAS!$E:$E, COMPRAS!$C:$C, $A37, COMPRAS!$J:$J, "UNIDAD") + SUMIFS(COMPRAS!$E:$E, COMPRAS!$C:$C, $A37, COMPRAS!$J:$J, "KG")) - 
  (SUMIFS(prueba!$A:$A, prueba!$C:$C, $A37, prueba!$B:$B, "UNIDAD") + SUMIFS(prueba!$A:$A, prueba!$C:$C, $A37, prueba!$B:$B, "KG"))
)</f>
        <v>0</v>
      </c>
      <c r="I37" s="8">
        <f t="shared" si="1"/>
        <v>0</v>
      </c>
      <c r="J37" s="8">
        <f t="shared" si="3"/>
        <v>0</v>
      </c>
      <c r="K37" s="18" t="str">
        <f t="shared" si="2"/>
        <v>REPOLLO ROJOUNIDAD</v>
      </c>
    </row>
    <row r="38">
      <c r="A38" s="19" t="s">
        <v>39</v>
      </c>
      <c r="B38" s="14" t="s">
        <v>12</v>
      </c>
      <c r="C38" s="15">
        <f>IFERROR(AVERAGEIFS(COMPRAS!$D:$D, COMPRAS!$C:$C, $A38, COMPRAS!$J:$J, $B38), 0)</f>
        <v>0</v>
      </c>
      <c r="D38" s="16">
        <v>1.3</v>
      </c>
      <c r="E38" s="8">
        <f>ROUNDUP(C38 * D38, -3)</f>
        <v>0</v>
      </c>
      <c r="F38" s="17">
        <f>IFERROR(AVERAGEIFS(COMPRAS!$F:$F, COMPRAS!$C:$C, $A38, COMPRAS!$J:$J, $B38), 1)</f>
        <v>1</v>
      </c>
      <c r="G38" s="8">
        <f>IFERROR(SUMIFS(COMPRAS!I:I, COMPRAS!C:C, A38) * SUMIFS(COMPRAS!E:E, COMPRAS!C:C, A38) / COUNTIF(COMPRAS!C:C, A38), 0)</f>
        <v>0</v>
      </c>
      <c r="H38" s="18">
        <f>IFERROR(
  ((SUMIFS(COMPRAS!$E:$E, COMPRAS!$C:$C, $A38, COMPRAS!$J:$J, "CAJON") + SUMIFS(COMPRAS!$E:$E, COMPRAS!$C:$C, $A38, COMPRAS!$J:$J, "BOLSA")) * $F38) - 
  ((SUMIFS(prueba!$A:$A, prueba!$C:$C, $A38, prueba!$B:$B, "CAJON") + SUMIFS(prueba!$A:$A, prueba!$C:$C, $A38, prueba!$B:$B, "BOLSA")) * $F38) - 
  MAX(0, (SUMIFS(prueba!$A:$A, prueba!$C:$C, $A38, prueba!$B:$B, "UNIDAD") + SUMIFS(prueba!$A:$A, prueba!$C:$C, $A38, prueba!$B:$B, "KG")) - 
  (SUMIFS(COMPRAS!$E:$E, COMPRAS!$C:$C, $A38, COMPRAS!$J:$J, "UNIDAD") + SUMIFS(COMPRAS!$E:$E, COMPRAS!$C:$C, $A38, COMPRAS!$J:$J, "KG"))), 
0)</f>
        <v>0</v>
      </c>
      <c r="I38" s="8">
        <f t="shared" si="1"/>
        <v>0</v>
      </c>
      <c r="J38" s="8">
        <f t="shared" si="3"/>
        <v>0</v>
      </c>
      <c r="K38" s="18" t="str">
        <f t="shared" si="2"/>
        <v>RUCULACAJON</v>
      </c>
    </row>
    <row r="39">
      <c r="A39" s="19" t="s">
        <v>39</v>
      </c>
      <c r="B39" s="14" t="s">
        <v>8</v>
      </c>
      <c r="C39" s="15">
        <f>IFERROR(AVERAGEIFS(COMPRAS!$D:$D, COMPRAS!$C:$C, $A39, COMPRAS!$J:$J, $B39), 0)</f>
        <v>0</v>
      </c>
      <c r="D39" s="16">
        <v>1.3</v>
      </c>
      <c r="E39" s="8">
        <f>ROUNDUP(C39 * D39, -2)</f>
        <v>0</v>
      </c>
      <c r="F39" s="17">
        <f>IFERROR(AVERAGEIFS(COMPRAS!$F:$F, COMPRAS!$C:$C, $A39, COMPRAS!$J:$J, $B39), 1)</f>
        <v>1</v>
      </c>
      <c r="G39" s="8">
        <f>IFERROR(SUMIFS(COMPRAS!I:I, COMPRAS!C:C, A39) * SUMIFS(COMPRAS!E:E, COMPRAS!C:C, A39) / COUNTIF(COMPRAS!C:C, A39), 0)</f>
        <v>0</v>
      </c>
      <c r="H39" s="18">
        <f>MAX(0, 
  (SUMIFS(COMPRAS!$E:$E, COMPRAS!$C:$C, $A39, COMPRAS!$J:$J, "UNIDAD") + SUMIFS(COMPRAS!$E:$E, COMPRAS!$C:$C, $A39, COMPRAS!$J:$J, "KG")) - 
  (SUMIFS(prueba!$A:$A, prueba!$C:$C, $A39, prueba!$B:$B, "UNIDAD") + SUMIFS(prueba!$A:$A, prueba!$C:$C, $A39, prueba!$B:$B, "KG"))
)</f>
        <v>0</v>
      </c>
      <c r="I39" s="8">
        <f t="shared" si="1"/>
        <v>0</v>
      </c>
      <c r="J39" s="8">
        <f t="shared" si="3"/>
        <v>0</v>
      </c>
      <c r="K39" s="18" t="str">
        <f t="shared" si="2"/>
        <v>RUCULAUNIDAD</v>
      </c>
    </row>
    <row r="40">
      <c r="A40" s="19" t="s">
        <v>40</v>
      </c>
      <c r="B40" s="14" t="s">
        <v>12</v>
      </c>
      <c r="C40" s="15">
        <f>IFERROR(AVERAGEIFS(COMPRAS!$D:$D, COMPRAS!$C:$C, $A40, COMPRAS!$J:$J, $B40), 0)</f>
        <v>0</v>
      </c>
      <c r="D40" s="16">
        <v>1.3</v>
      </c>
      <c r="E40" s="8">
        <f>ROUNDUP(C40 *D40, -3)</f>
        <v>0</v>
      </c>
      <c r="F40" s="17">
        <f>IFERROR(AVERAGEIFS(COMPRAS!$F:$F, COMPRAS!$C:$C, $A40, COMPRAS!$J:$J, $B40), 1)</f>
        <v>1</v>
      </c>
      <c r="G40" s="8">
        <f>IFERROR(SUMIFS(COMPRAS!I:I, COMPRAS!C:C, A40) * SUMIFS(COMPRAS!E:E, COMPRAS!C:C, A40) / COUNTIF(COMPRAS!C:C, A40), 0)</f>
        <v>0</v>
      </c>
      <c r="H40" s="18">
        <f>IFERROR(
  ((SUMIFS(COMPRAS!$E:$E, COMPRAS!$C:$C, $A40, COMPRAS!$J:$J, "CAJON") + SUMIFS(COMPRAS!$E:$E, COMPRAS!$C:$C, $A40, COMPRAS!$J:$J, "BOLSA")) * $F40) - 
  ((SUMIFS(prueba!$A:$A, prueba!$C:$C, $A40, prueba!$B:$B, "CAJON") + SUMIFS(prueba!$A:$A, prueba!$C:$C, $A40, prueba!$B:$B, "BOLSA")) * $F40) - 
  MAX(0, (SUMIFS(prueba!$A:$A, prueba!$C:$C, $A40, prueba!$B:$B, "UNIDAD") + SUMIFS(prueba!$A:$A, prueba!$C:$C, $A40, prueba!$B:$B, "KG")) - 
  (SUMIFS(COMPRAS!$E:$E, COMPRAS!$C:$C, $A40, COMPRAS!$J:$J, "UNIDAD") + SUMIFS(COMPRAS!$E:$E, COMPRAS!$C:$C, $A40, COMPRAS!$J:$J, "KG"))), 
0)</f>
        <v>0</v>
      </c>
      <c r="I40" s="8">
        <f t="shared" si="1"/>
        <v>0</v>
      </c>
      <c r="J40" s="8">
        <f t="shared" si="3"/>
        <v>0</v>
      </c>
      <c r="K40" s="18" t="str">
        <f t="shared" si="2"/>
        <v>BANANA ECUADORCAJON</v>
      </c>
    </row>
    <row r="41">
      <c r="A41" s="19" t="s">
        <v>40</v>
      </c>
      <c r="B41" s="14" t="s">
        <v>29</v>
      </c>
      <c r="C41" s="15">
        <f>IFERROR(AVERAGEIFS(COMPRAS!$D:$D, COMPRAS!$C:$C, $A41, COMPRAS!$J:$J, $B41), 0)</f>
        <v>0</v>
      </c>
      <c r="D41" s="16">
        <v>1.3</v>
      </c>
      <c r="E41" s="8">
        <f>ROUNDUP(C41 *D41, -2)</f>
        <v>0</v>
      </c>
      <c r="F41" s="17">
        <f>IFERROR(AVERAGEIFS(COMPRAS!$F:$F, COMPRAS!$C:$C, $A41, COMPRAS!$J:$J, $B41), 1)</f>
        <v>1</v>
      </c>
      <c r="G41" s="8">
        <f>IFERROR(SUMIFS(COMPRAS!I:I, COMPRAS!C:C, A41) * SUMIFS(COMPRAS!E:E, COMPRAS!C:C, A41) / COUNTIF(COMPRAS!C:C, A41), 0)</f>
        <v>0</v>
      </c>
      <c r="H41" s="18">
        <f>MAX(0, 
  (SUMIFS(COMPRAS!$E:$E, COMPRAS!$C:$C, $A41, COMPRAS!$J:$J, "UNIDAD") + SUMIFS(COMPRAS!$E:$E, COMPRAS!$C:$C, $A41, COMPRAS!$J:$J, "KG")) - 
  (SUMIFS(prueba!$A:$A, prueba!$C:$C, $A41, prueba!$B:$B, "UNIDAD") + SUMIFS(prueba!$A:$A, prueba!$C:$C, $A41, prueba!$B:$B, "KG"))
)</f>
        <v>0</v>
      </c>
      <c r="I41" s="8">
        <f t="shared" si="1"/>
        <v>0</v>
      </c>
      <c r="J41" s="8">
        <f t="shared" si="3"/>
        <v>0</v>
      </c>
      <c r="K41" s="18" t="str">
        <f t="shared" si="2"/>
        <v>BANANA ECUADORKG</v>
      </c>
    </row>
    <row r="42">
      <c r="A42" s="19" t="s">
        <v>41</v>
      </c>
      <c r="B42" s="14" t="s">
        <v>12</v>
      </c>
      <c r="C42" s="15">
        <f>IFERROR(AVERAGEIFS(COMPRAS!$D:$D, COMPRAS!$C:$C, $A42, COMPRAS!$J:$J, $B42), 0)</f>
        <v>0</v>
      </c>
      <c r="D42" s="16">
        <v>1.3</v>
      </c>
      <c r="E42" s="8">
        <f>ROUNDUP(C42 *D42, -3)</f>
        <v>0</v>
      </c>
      <c r="F42" s="17">
        <f>IFERROR(AVERAGEIFS(COMPRAS!$F:$F, COMPRAS!$C:$C, $A42, COMPRAS!$J:$J, $B42), 1)</f>
        <v>1</v>
      </c>
      <c r="G42" s="8">
        <f>IFERROR(SUMIFS(COMPRAS!I:I, COMPRAS!C:C, A42) * SUMIFS(COMPRAS!E:E, COMPRAS!C:C, A42) / COUNTIF(COMPRAS!C:C, A42), 0)</f>
        <v>0</v>
      </c>
      <c r="H42" s="18">
        <f>IFERROR(
  ((SUMIFS(COMPRAS!$E:$E, COMPRAS!$C:$C, $A42, COMPRAS!$J:$J, "CAJON") + SUMIFS(COMPRAS!$E:$E, COMPRAS!$C:$C, $A42, COMPRAS!$J:$J, "BOLSA")) * $F42) - 
  ((SUMIFS(prueba!$A:$A, prueba!$C:$C, $A42, prueba!$B:$B, "CAJON") + SUMIFS(prueba!$A:$A, prueba!$C:$C, $A42, prueba!$B:$B, "BOLSA")) * $F42) - 
  MAX(0, (SUMIFS(prueba!$A:$A, prueba!$C:$C, $A42, prueba!$B:$B, "UNIDAD") + SUMIFS(prueba!$A:$A, prueba!$C:$C, $A42, prueba!$B:$B, "KG")) - 
  (SUMIFS(COMPRAS!$E:$E, COMPRAS!$C:$C, $A42, COMPRAS!$J:$J, "UNIDAD") + SUMIFS(COMPRAS!$E:$E, COMPRAS!$C:$C, $A42, COMPRAS!$J:$J, "KG"))), 
0)</f>
        <v>0</v>
      </c>
      <c r="I42" s="8">
        <f t="shared" si="1"/>
        <v>0</v>
      </c>
      <c r="J42" s="8">
        <f t="shared" si="3"/>
        <v>0</v>
      </c>
      <c r="K42" s="18" t="str">
        <f t="shared" si="2"/>
        <v>BANANA BOLIVIACAJON</v>
      </c>
    </row>
    <row r="43">
      <c r="A43" s="19" t="s">
        <v>41</v>
      </c>
      <c r="B43" s="14" t="s">
        <v>29</v>
      </c>
      <c r="C43" s="15">
        <f>IFERROR(AVERAGEIFS(COMPRAS!$D:$D, COMPRAS!$C:$C, $A43, COMPRAS!$J:$J, $B43), 0)</f>
        <v>0</v>
      </c>
      <c r="D43" s="16">
        <v>1.3</v>
      </c>
      <c r="E43" s="8">
        <f>ROUNDUP(C43 *D43, -2)</f>
        <v>0</v>
      </c>
      <c r="F43" s="17">
        <f>IFERROR(AVERAGEIFS(COMPRAS!$F:$F, COMPRAS!$C:$C, $A43, COMPRAS!$J:$J, $B43), 1)</f>
        <v>1</v>
      </c>
      <c r="G43" s="8">
        <f>IFERROR(SUMIFS(COMPRAS!I:I, COMPRAS!C:C, A43) * SUMIFS(COMPRAS!E:E, COMPRAS!C:C, A43) / COUNTIF(COMPRAS!C:C, A43), 0)</f>
        <v>0</v>
      </c>
      <c r="H43" s="18">
        <f>MAX(0, 
  (SUMIFS(COMPRAS!$E:$E, COMPRAS!$C:$C, $A43, COMPRAS!$J:$J, "UNIDAD") + SUMIFS(COMPRAS!$E:$E, COMPRAS!$C:$C, $A43, COMPRAS!$J:$J, "KG")) - 
  (SUMIFS(prueba!$A:$A, prueba!$C:$C, $A43, prueba!$B:$B, "UNIDAD") + SUMIFS(prueba!$A:$A, prueba!$C:$C, $A43, prueba!$B:$B, "KG"))
)</f>
        <v>0</v>
      </c>
      <c r="I43" s="8">
        <f t="shared" si="1"/>
        <v>0</v>
      </c>
      <c r="J43" s="8">
        <f t="shared" si="3"/>
        <v>0</v>
      </c>
      <c r="K43" s="18" t="str">
        <f t="shared" si="2"/>
        <v>BANANA BOLIVIAKG</v>
      </c>
    </row>
    <row r="44">
      <c r="A44" s="19" t="s">
        <v>42</v>
      </c>
      <c r="B44" s="14" t="s">
        <v>12</v>
      </c>
      <c r="C44" s="15">
        <f>IFERROR(AVERAGEIFS(COMPRAS!$D:$D, COMPRAS!$C:$C, $A44, COMPRAS!$J:$J, $B44), 0)</f>
        <v>0</v>
      </c>
      <c r="D44" s="16">
        <v>1.3</v>
      </c>
      <c r="E44" s="8">
        <f>ROUNDUP(C44 *D44, -3)</f>
        <v>0</v>
      </c>
      <c r="F44" s="17">
        <f>IFERROR(AVERAGEIFS(COMPRAS!$F:$F, COMPRAS!$C:$C, $A44, COMPRAS!$J:$J, $B44), 1)</f>
        <v>1</v>
      </c>
      <c r="G44" s="8">
        <f>IFERROR(SUMIFS(COMPRAS!I:I, COMPRAS!C:C, A44) * SUMIFS(COMPRAS!E:E, COMPRAS!C:C, A44) / COUNTIF(COMPRAS!C:C, A44), 0)</f>
        <v>0</v>
      </c>
      <c r="H44" s="18">
        <f>IFERROR(
  ((SUMIFS(COMPRAS!$E:$E, COMPRAS!$C:$C, $A44, COMPRAS!$J:$J, "CAJON") + SUMIFS(COMPRAS!$E:$E, COMPRAS!$C:$C, $A44, COMPRAS!$J:$J, "BOLSA")) * $F44) - 
  ((SUMIFS(prueba!$A:$A, prueba!$C:$C, $A44, prueba!$B:$B, "CAJON") + SUMIFS(prueba!$A:$A, prueba!$C:$C, $A44, prueba!$B:$B, "BOLSA")) * $F44) - 
  MAX(0, (SUMIFS(prueba!$A:$A, prueba!$C:$C, $A44, prueba!$B:$B, "UNIDAD") + SUMIFS(prueba!$A:$A, prueba!$C:$C, $A44, prueba!$B:$B, "KG")) - 
  (SUMIFS(COMPRAS!$E:$E, COMPRAS!$C:$C, $A44, COMPRAS!$J:$J, "UNIDAD") + SUMIFS(COMPRAS!$E:$E, COMPRAS!$C:$C, $A44, COMPRAS!$J:$J, "KG"))), 
0)</f>
        <v>0</v>
      </c>
      <c r="I44" s="8">
        <f t="shared" si="1"/>
        <v>0</v>
      </c>
      <c r="J44" s="8">
        <f t="shared" si="3"/>
        <v>0</v>
      </c>
      <c r="K44" s="18" t="str">
        <f t="shared" si="2"/>
        <v>BANANA PARAGUAYCAJON</v>
      </c>
    </row>
    <row r="45">
      <c r="A45" s="19" t="s">
        <v>42</v>
      </c>
      <c r="B45" s="14" t="s">
        <v>29</v>
      </c>
      <c r="C45" s="15">
        <f>IFERROR(AVERAGEIFS(COMPRAS!$D:$D, COMPRAS!$C:$C, $A45, COMPRAS!$J:$J, $B45), 0)</f>
        <v>0</v>
      </c>
      <c r="D45" s="16">
        <v>1.3</v>
      </c>
      <c r="E45" s="8">
        <f>ROUNDUP(C45 *D45, -2)</f>
        <v>0</v>
      </c>
      <c r="F45" s="17">
        <f>IFERROR(AVERAGEIFS(COMPRAS!$F:$F, COMPRAS!$C:$C, $A45, COMPRAS!$J:$J, $B45), 1)</f>
        <v>1</v>
      </c>
      <c r="G45" s="8">
        <f>IFERROR(SUMIFS(COMPRAS!I:I, COMPRAS!C:C, A45) * SUMIFS(COMPRAS!E:E, COMPRAS!C:C, A45) / COUNTIF(COMPRAS!C:C, A45), 0)</f>
        <v>0</v>
      </c>
      <c r="H45" s="18">
        <f>MAX(0, 
  (SUMIFS(COMPRAS!$E:$E, COMPRAS!$C:$C, $A45, COMPRAS!$J:$J, "UNIDAD") + SUMIFS(COMPRAS!$E:$E, COMPRAS!$C:$C, $A45, COMPRAS!$J:$J, "KG")) - 
  (SUMIFS(prueba!$A:$A, prueba!$C:$C, $A45, prueba!$B:$B, "UNIDAD") + SUMIFS(prueba!$A:$A, prueba!$C:$C, $A45, prueba!$B:$B, "KG"))
)</f>
        <v>0</v>
      </c>
      <c r="I45" s="8">
        <f t="shared" si="1"/>
        <v>0</v>
      </c>
      <c r="J45" s="8">
        <f t="shared" si="3"/>
        <v>0</v>
      </c>
      <c r="K45" s="18" t="str">
        <f t="shared" si="2"/>
        <v>BANANA PARAGUAYKG</v>
      </c>
    </row>
    <row r="46">
      <c r="A46" s="20" t="s">
        <v>43</v>
      </c>
      <c r="B46" s="14" t="s">
        <v>12</v>
      </c>
      <c r="C46" s="15">
        <f>IFERROR(AVERAGEIFS(COMPRAS!$D:$D, COMPRAS!$C:$C, $A46, COMPRAS!$J:$J, $B46), 0)</f>
        <v>0</v>
      </c>
      <c r="D46" s="16">
        <v>1.3</v>
      </c>
      <c r="E46" s="8">
        <f>ROUNDUP(C46 *D46, -3)</f>
        <v>0</v>
      </c>
      <c r="F46" s="17">
        <f>IFERROR(AVERAGEIFS(COMPRAS!$F:$F, COMPRAS!$C:$C, $A46, COMPRAS!$J:$J, $B46), 1)</f>
        <v>1</v>
      </c>
      <c r="G46" s="8">
        <f>IFERROR(SUMIFS(COMPRAS!I:I, COMPRAS!C:C, A46) * SUMIFS(COMPRAS!E:E, COMPRAS!C:C, A46) / COUNTIF(COMPRAS!C:C, A46), 0)</f>
        <v>0</v>
      </c>
      <c r="H46" s="18">
        <f>IFERROR(
  ((SUMIFS(COMPRAS!$E:$E, COMPRAS!$C:$C, $A46, COMPRAS!$J:$J, "CAJON") + SUMIFS(COMPRAS!$E:$E, COMPRAS!$C:$C, $A46, COMPRAS!$J:$J, "BOLSA")) * $F46) - 
  ((SUMIFS(prueba!$A:$A, prueba!$C:$C, $A46, prueba!$B:$B, "CAJON") + SUMIFS(prueba!$A:$A, prueba!$C:$C, $A46, prueba!$B:$B, "BOLSA")) * $F46) - 
  MAX(0, (SUMIFS(prueba!$A:$A, prueba!$C:$C, $A46, prueba!$B:$B, "UNIDAD") + SUMIFS(prueba!$A:$A, prueba!$C:$C, $A46, prueba!$B:$B, "KG")) - 
  (SUMIFS(COMPRAS!$E:$E, COMPRAS!$C:$C, $A46, COMPRAS!$J:$J, "UNIDAD") + SUMIFS(COMPRAS!$E:$E, COMPRAS!$C:$C, $A46, COMPRAS!$J:$J, "KG"))), 
0)</f>
        <v>0</v>
      </c>
      <c r="I46" s="8">
        <f t="shared" si="1"/>
        <v>0</v>
      </c>
      <c r="J46" s="8">
        <f t="shared" si="3"/>
        <v>0</v>
      </c>
      <c r="K46" s="18" t="str">
        <f t="shared" si="2"/>
        <v>FRUTILLA TAMARACAJON</v>
      </c>
    </row>
    <row r="47">
      <c r="A47" s="20" t="s">
        <v>43</v>
      </c>
      <c r="B47" s="14" t="s">
        <v>29</v>
      </c>
      <c r="C47" s="15">
        <f>IFERROR(AVERAGEIFS(COMPRAS!$D:$D, COMPRAS!$C:$C, $A47, COMPRAS!$J:$J, $B47), 0)</f>
        <v>0</v>
      </c>
      <c r="D47" s="16">
        <v>1.3</v>
      </c>
      <c r="E47" s="8">
        <f>ROUNDUP(C47 *D47, -2)</f>
        <v>0</v>
      </c>
      <c r="F47" s="17">
        <f>IFERROR(AVERAGEIFS(COMPRAS!$F:$F, COMPRAS!$C:$C, $A47, COMPRAS!$J:$J, $B47), 1)</f>
        <v>1</v>
      </c>
      <c r="G47" s="8">
        <f>IFERROR(SUMIFS(COMPRAS!I:I, COMPRAS!C:C, A47) * SUMIFS(COMPRAS!E:E, COMPRAS!C:C, A47) / COUNTIF(COMPRAS!C:C, A47), 0)</f>
        <v>0</v>
      </c>
      <c r="H47" s="18">
        <f>MAX(0, 
  (SUMIFS(COMPRAS!$E:$E, COMPRAS!$C:$C, $A47, COMPRAS!$J:$J, "UNIDAD") + SUMIFS(COMPRAS!$E:$E, COMPRAS!$C:$C, $A47, COMPRAS!$J:$J, "KG")) - 
  (SUMIFS(prueba!$A:$A, prueba!$C:$C, $A47, prueba!$B:$B, "UNIDAD") + SUMIFS(prueba!$A:$A, prueba!$C:$C, $A47, prueba!$B:$B, "KG"))
)</f>
        <v>0</v>
      </c>
      <c r="I47" s="8">
        <f t="shared" si="1"/>
        <v>0</v>
      </c>
      <c r="J47" s="8">
        <f t="shared" si="3"/>
        <v>0</v>
      </c>
      <c r="K47" s="18" t="str">
        <f t="shared" si="2"/>
        <v>FRUTILLA TAMARAKG</v>
      </c>
    </row>
    <row r="48">
      <c r="A48" s="19" t="s">
        <v>44</v>
      </c>
      <c r="B48" s="14" t="s">
        <v>12</v>
      </c>
      <c r="C48" s="15">
        <f>IFERROR(AVERAGEIFS(COMPRAS!$D:$D, COMPRAS!$C:$C, $A48, COMPRAS!$J:$J, $B48), 0)</f>
        <v>0</v>
      </c>
      <c r="D48" s="16">
        <v>1.3</v>
      </c>
      <c r="E48" s="8">
        <f>ROUNDUP(C48 *D48, -3)</f>
        <v>0</v>
      </c>
      <c r="F48" s="17">
        <f>IFERROR(AVERAGEIFS(COMPRAS!$F:$F, COMPRAS!$C:$C, $A48, COMPRAS!$J:$J, $B48), 1)</f>
        <v>1</v>
      </c>
      <c r="G48" s="8">
        <f>IFERROR(SUMIFS(COMPRAS!I:I, COMPRAS!C:C, A48) * SUMIFS(COMPRAS!E:E, COMPRAS!C:C, A48) / COUNTIF(COMPRAS!C:C, A48), 0)</f>
        <v>0</v>
      </c>
      <c r="H48" s="18">
        <f>IFERROR(
  ((SUMIFS(COMPRAS!$E:$E, COMPRAS!$C:$C, $A48, COMPRAS!$J:$J, "CAJON") + SUMIFS(COMPRAS!$E:$E, COMPRAS!$C:$C, $A48, COMPRAS!$J:$J, "BOLSA")) * $F48) - 
  ((SUMIFS(prueba!$A:$A, prueba!$C:$C, $A48, prueba!$B:$B, "CAJON") + SUMIFS(prueba!$A:$A, prueba!$C:$C, $A48, prueba!$B:$B, "BOLSA")) * $F48) - 
  MAX(0, (SUMIFS(prueba!$A:$A, prueba!$C:$C, $A48, prueba!$B:$B, "UNIDAD") + SUMIFS(prueba!$A:$A, prueba!$C:$C, $A48, prueba!$B:$B, "KG")) - 
  (SUMIFS(COMPRAS!$E:$E, COMPRAS!$C:$C, $A48, COMPRAS!$J:$J, "UNIDAD") + SUMIFS(COMPRAS!$E:$E, COMPRAS!$C:$C, $A48, COMPRAS!$J:$J, "KG"))), 
0)</f>
        <v>0</v>
      </c>
      <c r="I48" s="8">
        <f t="shared" si="1"/>
        <v>0</v>
      </c>
      <c r="J48" s="8">
        <f t="shared" si="3"/>
        <v>0</v>
      </c>
      <c r="K48" s="18" t="str">
        <f t="shared" si="2"/>
        <v>FRUTILLACAJON</v>
      </c>
    </row>
    <row r="49">
      <c r="A49" s="19" t="s">
        <v>44</v>
      </c>
      <c r="B49" s="14" t="s">
        <v>29</v>
      </c>
      <c r="C49" s="15">
        <f>IFERROR(AVERAGEIFS(COMPRAS!$D:$D, COMPRAS!$C:$C, $A49, COMPRAS!$J:$J, $B49), 0)</f>
        <v>0</v>
      </c>
      <c r="D49" s="16">
        <v>1.3</v>
      </c>
      <c r="E49" s="8">
        <f>ROUNDUP(C49 *D49, -2)</f>
        <v>0</v>
      </c>
      <c r="F49" s="17">
        <f>IFERROR(AVERAGEIFS(COMPRAS!$F:$F, COMPRAS!$C:$C, $A49, COMPRAS!$J:$J, $B49), 1)</f>
        <v>1</v>
      </c>
      <c r="G49" s="8">
        <f>IFERROR(SUMIFS(COMPRAS!I:I, COMPRAS!C:C, A49) * SUMIFS(COMPRAS!E:E, COMPRAS!C:C, A49) / COUNTIF(COMPRAS!C:C, A49), 0)</f>
        <v>0</v>
      </c>
      <c r="H49" s="18">
        <f>MAX(0, 
  (SUMIFS(COMPRAS!$E:$E, COMPRAS!$C:$C, $A49, COMPRAS!$J:$J, "UNIDAD") + SUMIFS(COMPRAS!$E:$E, COMPRAS!$C:$C, $A49, COMPRAS!$J:$J, "KG")) - 
  (SUMIFS(prueba!$A:$A, prueba!$C:$C, $A49, prueba!$B:$B, "UNIDAD") + SUMIFS(prueba!$A:$A, prueba!$C:$C, $A49, prueba!$B:$B, "KG"))
)</f>
        <v>0</v>
      </c>
      <c r="I49" s="8">
        <f t="shared" si="1"/>
        <v>0</v>
      </c>
      <c r="J49" s="8">
        <f t="shared" si="3"/>
        <v>0</v>
      </c>
      <c r="K49" s="18" t="str">
        <f t="shared" si="2"/>
        <v>FRUTILLAKG</v>
      </c>
    </row>
    <row r="50">
      <c r="A50" s="19" t="s">
        <v>45</v>
      </c>
      <c r="B50" s="14" t="s">
        <v>12</v>
      </c>
      <c r="C50" s="15">
        <f>IFERROR(AVERAGEIFS(COMPRAS!$D:$D, COMPRAS!$C:$C, $A50, COMPRAS!$J:$J, $B50), 0)</f>
        <v>0</v>
      </c>
      <c r="D50" s="16">
        <v>1.3</v>
      </c>
      <c r="E50" s="8">
        <f>ROUNDUP(C50 * D50, -3)</f>
        <v>0</v>
      </c>
      <c r="F50" s="17">
        <f>IFERROR(AVERAGEIFS(COMPRAS!$F:$F, COMPRAS!$C:$C, $A50, COMPRAS!$J:$J, $B50), 1)</f>
        <v>1</v>
      </c>
      <c r="G50" s="8">
        <f>IFERROR(SUMIFS(COMPRAS!I:I, COMPRAS!C:C, A50) * SUMIFS(COMPRAS!E:E, COMPRAS!C:C, A50) / COUNTIF(COMPRAS!C:C, A50), 0)</f>
        <v>0</v>
      </c>
      <c r="H50" s="18">
        <f>IFERROR(
  ((SUMIFS(COMPRAS!$E:$E, COMPRAS!$C:$C, $A50, COMPRAS!$J:$J, "CAJON") + SUMIFS(COMPRAS!$E:$E, COMPRAS!$C:$C, $A50, COMPRAS!$J:$J, "BOLSA")) * $F50) - 
  ((SUMIFS(prueba!$A:$A, prueba!$C:$C, $A50, prueba!$B:$B, "CAJON") + SUMIFS(prueba!$A:$A, prueba!$C:$C, $A50, prueba!$B:$B, "BOLSA")) * $F50) - 
  MAX(0, (SUMIFS(prueba!$A:$A, prueba!$C:$C, $A50, prueba!$B:$B, "UNIDAD") + SUMIFS(prueba!$A:$A, prueba!$C:$C, $A50, prueba!$B:$B, "KG")) - 
  (SUMIFS(COMPRAS!$E:$E, COMPRAS!$C:$C, $A50, COMPRAS!$J:$J, "UNIDAD") + SUMIFS(COMPRAS!$E:$E, COMPRAS!$C:$C, $A50, COMPRAS!$J:$J, "KG"))), 
0)</f>
        <v>0</v>
      </c>
      <c r="I50" s="8">
        <f t="shared" si="1"/>
        <v>0</v>
      </c>
      <c r="J50" s="8">
        <f t="shared" si="3"/>
        <v>0</v>
      </c>
      <c r="K50" s="18" t="str">
        <f t="shared" si="2"/>
        <v>KIWICAJON</v>
      </c>
    </row>
    <row r="51">
      <c r="A51" s="19" t="s">
        <v>45</v>
      </c>
      <c r="B51" s="14" t="s">
        <v>29</v>
      </c>
      <c r="C51" s="15">
        <f>IFERROR(AVERAGEIFS(COMPRAS!$D:$D, COMPRAS!$C:$C, $A51, COMPRAS!$J:$J, $B51), 0)</f>
        <v>0</v>
      </c>
      <c r="D51" s="16">
        <v>1.3</v>
      </c>
      <c r="E51" s="8">
        <f>ROUNDUP(C51 * D51, -2)</f>
        <v>0</v>
      </c>
      <c r="F51" s="17">
        <f>IFERROR(AVERAGEIFS(COMPRAS!$F:$F, COMPRAS!$C:$C, $A51, COMPRAS!$J:$J, $B51), 1)</f>
        <v>1</v>
      </c>
      <c r="G51" s="8">
        <f>IFERROR(SUMIFS(COMPRAS!I:I, COMPRAS!C:C, A51) * SUMIFS(COMPRAS!E:E, COMPRAS!C:C, A51) / COUNTIF(COMPRAS!C:C, A51), 0)</f>
        <v>0</v>
      </c>
      <c r="H51" s="18">
        <f>MAX(0, 
  (SUMIFS(COMPRAS!$E:$E, COMPRAS!$C:$C, $A51, COMPRAS!$J:$J, "UNIDAD") + SUMIFS(COMPRAS!$E:$E, COMPRAS!$C:$C, $A51, COMPRAS!$J:$J, "KG")) - 
  (SUMIFS(prueba!$A:$A, prueba!$C:$C, $A51, prueba!$B:$B, "UNIDAD") + SUMIFS(prueba!$A:$A, prueba!$C:$C, $A51, prueba!$B:$B, "KG"))
)</f>
        <v>0</v>
      </c>
      <c r="I51" s="8">
        <f t="shared" si="1"/>
        <v>0</v>
      </c>
      <c r="J51" s="8">
        <f t="shared" si="3"/>
        <v>0</v>
      </c>
      <c r="K51" s="18" t="str">
        <f t="shared" si="2"/>
        <v>KIWIKG</v>
      </c>
    </row>
    <row r="52">
      <c r="A52" s="19" t="s">
        <v>46</v>
      </c>
      <c r="B52" s="14" t="s">
        <v>12</v>
      </c>
      <c r="C52" s="15">
        <f>IFERROR(AVERAGEIFS(COMPRAS!$D:$D, COMPRAS!$C:$C, $A52, COMPRAS!$J:$J, $B52), 0)</f>
        <v>0</v>
      </c>
      <c r="D52" s="16">
        <v>1.3</v>
      </c>
      <c r="E52" s="8">
        <f>ROUNDUP(C52 *D52, -3)</f>
        <v>0</v>
      </c>
      <c r="F52" s="17">
        <f>IFERROR(AVERAGEIFS(COMPRAS!$F:$F, COMPRAS!$C:$C, $A52, COMPRAS!$J:$J, $B52), 1)</f>
        <v>1</v>
      </c>
      <c r="G52" s="8">
        <f>IFERROR(SUMIFS(COMPRAS!I:I, COMPRAS!C:C, A52) * SUMIFS(COMPRAS!E:E, COMPRAS!C:C, A52) / COUNTIF(COMPRAS!C:C, A52), 0)</f>
        <v>0</v>
      </c>
      <c r="H52" s="18">
        <f>IFERROR(
  ((SUMIFS(COMPRAS!$E:$E, COMPRAS!$C:$C, $A52, COMPRAS!$J:$J, "CAJON") + SUMIFS(COMPRAS!$E:$E, COMPRAS!$C:$C, $A52, COMPRAS!$J:$J, "BOLSA")) * $F52) - 
  ((SUMIFS(prueba!$A:$A, prueba!$C:$C, $A52, prueba!$B:$B, "CAJON") + SUMIFS(prueba!$A:$A, prueba!$C:$C, $A52, prueba!$B:$B, "BOLSA")) * $F52) - 
  MAX(0, (SUMIFS(prueba!$A:$A, prueba!$C:$C, $A52, prueba!$B:$B, "UNIDAD") + SUMIFS(prueba!$A:$A, prueba!$C:$C, $A52, prueba!$B:$B, "KG")) - 
  (SUMIFS(COMPRAS!$E:$E, COMPRAS!$C:$C, $A52, COMPRAS!$J:$J, "UNIDAD") + SUMIFS(COMPRAS!$E:$E, COMPRAS!$C:$C, $A52, COMPRAS!$J:$J, "KG"))), 
0)</f>
        <v>0</v>
      </c>
      <c r="I52" s="8">
        <f t="shared" si="1"/>
        <v>0</v>
      </c>
      <c r="J52" s="8">
        <f t="shared" si="3"/>
        <v>0</v>
      </c>
      <c r="K52" s="18" t="str">
        <f t="shared" si="2"/>
        <v>LIMACAJON</v>
      </c>
    </row>
    <row r="53">
      <c r="A53" s="19" t="s">
        <v>46</v>
      </c>
      <c r="B53" s="14" t="s">
        <v>29</v>
      </c>
      <c r="C53" s="15">
        <f>IFERROR(AVERAGEIFS(COMPRAS!$D:$D, COMPRAS!$C:$C, $A53, COMPRAS!$J:$J, $B53), 0)</f>
        <v>0</v>
      </c>
      <c r="D53" s="16">
        <v>1.3</v>
      </c>
      <c r="E53" s="8">
        <f>ROUNDUP(C53 *D53, -2)</f>
        <v>0</v>
      </c>
      <c r="F53" s="17">
        <f>IFERROR(AVERAGEIFS(COMPRAS!$F:$F, COMPRAS!$C:$C, $A53, COMPRAS!$J:$J, $B53), 1)</f>
        <v>1</v>
      </c>
      <c r="G53" s="8">
        <f>IFERROR(SUMIFS(COMPRAS!I:I, COMPRAS!C:C, A53) * SUMIFS(COMPRAS!E:E, COMPRAS!C:C, A53) / COUNTIF(COMPRAS!C:C, A53), 0)</f>
        <v>0</v>
      </c>
      <c r="H53" s="18">
        <f>MAX(0, 
  (SUMIFS(COMPRAS!$E:$E, COMPRAS!$C:$C, $A53, COMPRAS!$J:$J, "UNIDAD") + SUMIFS(COMPRAS!$E:$E, COMPRAS!$C:$C, $A53, COMPRAS!$J:$J, "KG")) - 
  (SUMIFS(prueba!$A:$A, prueba!$C:$C, $A53, prueba!$B:$B, "UNIDAD") + SUMIFS(prueba!$A:$A, prueba!$C:$C, $A53, prueba!$B:$B, "KG"))
)</f>
        <v>0</v>
      </c>
      <c r="I53" s="8">
        <f t="shared" si="1"/>
        <v>0</v>
      </c>
      <c r="J53" s="8">
        <f t="shared" si="3"/>
        <v>0</v>
      </c>
      <c r="K53" s="18" t="str">
        <f t="shared" si="2"/>
        <v>LIMAKG</v>
      </c>
    </row>
    <row r="54">
      <c r="A54" s="19" t="s">
        <v>47</v>
      </c>
      <c r="B54" s="14" t="s">
        <v>12</v>
      </c>
      <c r="C54" s="15">
        <f>IFERROR(AVERAGEIFS(COMPRAS!$D:$D, COMPRAS!$C:$C, $A54, COMPRAS!$J:$J, $B54), 0)</f>
        <v>0</v>
      </c>
      <c r="D54" s="16">
        <v>1.3</v>
      </c>
      <c r="E54" s="8">
        <f>ROUNDUP(C54 *D54, -3)</f>
        <v>0</v>
      </c>
      <c r="F54" s="17">
        <f>IFERROR(AVERAGEIFS(COMPRAS!$F:$F, COMPRAS!$C:$C, $A54, COMPRAS!$J:$J, $B54), 1)</f>
        <v>1</v>
      </c>
      <c r="G54" s="8">
        <f>IFERROR(SUMIFS(COMPRAS!I:I, COMPRAS!C:C, A54) * SUMIFS(COMPRAS!E:E, COMPRAS!C:C, A54) / COUNTIF(COMPRAS!C:C, A54), 0)</f>
        <v>0</v>
      </c>
      <c r="H54" s="18">
        <f>IFERROR(
  ((SUMIFS(COMPRAS!$E:$E, COMPRAS!$C:$C, $A54, COMPRAS!$J:$J, "CAJON") + SUMIFS(COMPRAS!$E:$E, COMPRAS!$C:$C, $A54, COMPRAS!$J:$J, "BOLSA")) * $F54) - 
  ((SUMIFS(prueba!$A:$A, prueba!$C:$C, $A54, prueba!$B:$B, "CAJON") + SUMIFS(prueba!$A:$A, prueba!$C:$C, $A54, prueba!$B:$B, "BOLSA")) * $F54) - 
  MAX(0, (SUMIFS(prueba!$A:$A, prueba!$C:$C, $A54, prueba!$B:$B, "UNIDAD") + SUMIFS(prueba!$A:$A, prueba!$C:$C, $A54, prueba!$B:$B, "KG")) - 
  (SUMIFS(COMPRAS!$E:$E, COMPRAS!$C:$C, $A54, COMPRAS!$J:$J, "UNIDAD") + SUMIFS(COMPRAS!$E:$E, COMPRAS!$C:$C, $A54, COMPRAS!$J:$J, "KG"))), 
0)</f>
        <v>0</v>
      </c>
      <c r="I54" s="8">
        <f t="shared" si="1"/>
        <v>0</v>
      </c>
      <c r="J54" s="8">
        <f t="shared" si="3"/>
        <v>0</v>
      </c>
      <c r="K54" s="18" t="str">
        <f t="shared" si="2"/>
        <v>LIMONCAJON</v>
      </c>
    </row>
    <row r="55">
      <c r="A55" s="19" t="s">
        <v>47</v>
      </c>
      <c r="B55" s="14" t="s">
        <v>29</v>
      </c>
      <c r="C55" s="15">
        <f>IFERROR(AVERAGEIFS(COMPRAS!$D:$D, COMPRAS!$C:$C, $A55, COMPRAS!$J:$J, $B55), 0)</f>
        <v>0</v>
      </c>
      <c r="D55" s="16">
        <v>1.3</v>
      </c>
      <c r="E55" s="8">
        <f>ROUNDUP(C55 *D55, -2)</f>
        <v>0</v>
      </c>
      <c r="F55" s="17">
        <f>IFERROR(AVERAGEIFS(COMPRAS!$F:$F, COMPRAS!$C:$C, $A55, COMPRAS!$J:$J, $B55), 1)</f>
        <v>1</v>
      </c>
      <c r="G55" s="8">
        <f>IFERROR(SUMIFS(COMPRAS!I:I, COMPRAS!C:C, A55) * SUMIFS(COMPRAS!E:E, COMPRAS!C:C, A55) / COUNTIF(COMPRAS!C:C, A55), 0)</f>
        <v>0</v>
      </c>
      <c r="H55" s="18">
        <f>MAX(0, 
  (SUMIFS(COMPRAS!$E:$E, COMPRAS!$C:$C, $A55, COMPRAS!$J:$J, "UNIDAD") + SUMIFS(COMPRAS!$E:$E, COMPRAS!$C:$C, $A55, COMPRAS!$J:$J, "KG")) - 
  (SUMIFS(prueba!$A:$A, prueba!$C:$C, $A55, prueba!$B:$B, "UNIDAD") + SUMIFS(prueba!$A:$A, prueba!$C:$C, $A55, prueba!$B:$B, "KG"))
)</f>
        <v>0</v>
      </c>
      <c r="I55" s="8">
        <f t="shared" si="1"/>
        <v>0</v>
      </c>
      <c r="J55" s="8">
        <f t="shared" si="3"/>
        <v>0</v>
      </c>
      <c r="K55" s="18" t="str">
        <f t="shared" si="2"/>
        <v>LIMONKG</v>
      </c>
    </row>
    <row r="56">
      <c r="A56" s="19" t="s">
        <v>48</v>
      </c>
      <c r="B56" s="14" t="s">
        <v>12</v>
      </c>
      <c r="C56" s="15">
        <f>IFERROR(AVERAGEIFS(COMPRAS!$D:$D, COMPRAS!$C:$C, $A56, COMPRAS!$J:$J, $B56), 0)</f>
        <v>0</v>
      </c>
      <c r="D56" s="16">
        <v>1.3</v>
      </c>
      <c r="E56" s="8">
        <f>ROUNDUP(C56 *D56, -3)</f>
        <v>0</v>
      </c>
      <c r="F56" s="17">
        <f>IFERROR(AVERAGEIFS(COMPRAS!$F:$F, COMPRAS!$C:$C, $A56, COMPRAS!$J:$J, $B56), 1)</f>
        <v>1</v>
      </c>
      <c r="G56" s="8">
        <f>IFERROR(SUMIFS(COMPRAS!I:I, COMPRAS!C:C, A56) * SUMIFS(COMPRAS!E:E, COMPRAS!C:C, A56) / COUNTIF(COMPRAS!C:C, A56), 0)</f>
        <v>0</v>
      </c>
      <c r="H56" s="18">
        <f>IFERROR(
  ((SUMIFS(COMPRAS!$E:$E, COMPRAS!$C:$C, $A56, COMPRAS!$J:$J, "CAJON") + SUMIFS(COMPRAS!$E:$E, COMPRAS!$C:$C, $A56, COMPRAS!$J:$J, "BOLSA")) * $F56) - 
  ((SUMIFS(prueba!$A:$A, prueba!$C:$C, $A56, prueba!$B:$B, "CAJON") + SUMIFS(prueba!$A:$A, prueba!$C:$C, $A56, prueba!$B:$B, "BOLSA")) * $F56) - 
  MAX(0, (SUMIFS(prueba!$A:$A, prueba!$C:$C, $A56, prueba!$B:$B, "UNIDAD") + SUMIFS(prueba!$A:$A, prueba!$C:$C, $A56, prueba!$B:$B, "KG")) - 
  (SUMIFS(COMPRAS!$E:$E, COMPRAS!$C:$C, $A56, COMPRAS!$J:$J, "UNIDAD") + SUMIFS(COMPRAS!$E:$E, COMPRAS!$C:$C, $A56, COMPRAS!$J:$J, "KG"))), 
0)</f>
        <v>0</v>
      </c>
      <c r="I56" s="8">
        <f t="shared" si="1"/>
        <v>0</v>
      </c>
      <c r="J56" s="8">
        <f t="shared" si="3"/>
        <v>0</v>
      </c>
      <c r="K56" s="18" t="str">
        <f t="shared" si="2"/>
        <v>MANDARINACAJON</v>
      </c>
    </row>
    <row r="57">
      <c r="A57" s="19" t="s">
        <v>48</v>
      </c>
      <c r="B57" s="14" t="s">
        <v>29</v>
      </c>
      <c r="C57" s="15">
        <f>IFERROR(AVERAGEIFS(COMPRAS!$D:$D, COMPRAS!$C:$C, $A57, COMPRAS!$J:$J, $B57), 0)</f>
        <v>0</v>
      </c>
      <c r="D57" s="16">
        <v>1.3</v>
      </c>
      <c r="E57" s="8">
        <f>ROUNDUP(C57 *D57, -2)</f>
        <v>0</v>
      </c>
      <c r="F57" s="17">
        <f>IFERROR(AVERAGEIFS(COMPRAS!$F:$F, COMPRAS!$C:$C, $A57, COMPRAS!$J:$J, $B57), 1)</f>
        <v>1</v>
      </c>
      <c r="G57" s="8">
        <f>IFERROR(SUMIFS(COMPRAS!I:I, COMPRAS!C:C, A57) * SUMIFS(COMPRAS!E:E, COMPRAS!C:C, A57) / COUNTIF(COMPRAS!C:C, A57), 0)</f>
        <v>0</v>
      </c>
      <c r="H57" s="18">
        <f>MAX(0, 
  (SUMIFS(COMPRAS!$E:$E, COMPRAS!$C:$C, $A57, COMPRAS!$J:$J, "UNIDAD") + SUMIFS(COMPRAS!$E:$E, COMPRAS!$C:$C, $A57, COMPRAS!$J:$J, "KG")) - 
  (SUMIFS(prueba!$A:$A, prueba!$C:$C, $A57, prueba!$B:$B, "UNIDAD") + SUMIFS(prueba!$A:$A, prueba!$C:$C, $A57, prueba!$B:$B, "KG"))
)</f>
        <v>0</v>
      </c>
      <c r="I57" s="8">
        <f t="shared" si="1"/>
        <v>0</v>
      </c>
      <c r="J57" s="8">
        <f t="shared" si="3"/>
        <v>0</v>
      </c>
      <c r="K57" s="18" t="str">
        <f t="shared" si="2"/>
        <v>MANDARINAKG</v>
      </c>
    </row>
    <row r="58">
      <c r="A58" s="19" t="s">
        <v>49</v>
      </c>
      <c r="B58" s="14" t="s">
        <v>12</v>
      </c>
      <c r="C58" s="15">
        <f>IFERROR(AVERAGEIFS(COMPRAS!$D:$D, COMPRAS!$C:$C, $A58, COMPRAS!$J:$J, $B58), 0)</f>
        <v>0</v>
      </c>
      <c r="D58" s="16">
        <v>1.3</v>
      </c>
      <c r="E58" s="8">
        <f>ROUNDUP(C58 *D58, -3)</f>
        <v>0</v>
      </c>
      <c r="F58" s="17">
        <f>IFERROR(AVERAGEIFS(COMPRAS!$F:$F, COMPRAS!$C:$C, $A58, COMPRAS!$J:$J, $B58), 1)</f>
        <v>1</v>
      </c>
      <c r="G58" s="8">
        <f>IFERROR(SUMIFS(COMPRAS!I:I, COMPRAS!C:C, A58) * SUMIFS(COMPRAS!E:E, COMPRAS!C:C, A58) / COUNTIF(COMPRAS!C:C, A58), 0)</f>
        <v>0</v>
      </c>
      <c r="H58" s="18">
        <f>IFERROR(
  ((SUMIFS(COMPRAS!$E:$E, COMPRAS!$C:$C, $A58, COMPRAS!$J:$J, "CAJON") + SUMIFS(COMPRAS!$E:$E, COMPRAS!$C:$C, $A58, COMPRAS!$J:$J, "BOLSA")) * $F58) - 
  ((SUMIFS(prueba!$A:$A, prueba!$C:$C, $A58, prueba!$B:$B, "CAJON") + SUMIFS(prueba!$A:$A, prueba!$C:$C, $A58, prueba!$B:$B, "BOLSA")) * $F58) - 
  MAX(0, (SUMIFS(prueba!$A:$A, prueba!$C:$C, $A58, prueba!$B:$B, "UNIDAD") + SUMIFS(prueba!$A:$A, prueba!$C:$C, $A58, prueba!$B:$B, "KG")) - 
  (SUMIFS(COMPRAS!$E:$E, COMPRAS!$C:$C, $A58, COMPRAS!$J:$J, "UNIDAD") + SUMIFS(COMPRAS!$E:$E, COMPRAS!$C:$C, $A58, COMPRAS!$J:$J, "KG"))), 
0)</f>
        <v>0</v>
      </c>
      <c r="I58" s="8">
        <f t="shared" si="1"/>
        <v>0</v>
      </c>
      <c r="J58" s="8">
        <f t="shared" si="3"/>
        <v>0</v>
      </c>
      <c r="K58" s="18" t="str">
        <f t="shared" si="2"/>
        <v>MANGOCAJON</v>
      </c>
    </row>
    <row r="59">
      <c r="A59" s="19" t="s">
        <v>49</v>
      </c>
      <c r="B59" s="14" t="s">
        <v>8</v>
      </c>
      <c r="C59" s="15">
        <f>IFERROR(AVERAGEIFS(COMPRAS!$D:$D, COMPRAS!$C:$C, $A59, COMPRAS!$J:$J, $B59), 0)</f>
        <v>0</v>
      </c>
      <c r="D59" s="16">
        <v>1.3</v>
      </c>
      <c r="E59" s="8">
        <f>ROUNDUP(C59 *D59, -2)</f>
        <v>0</v>
      </c>
      <c r="F59" s="17">
        <f>IFERROR(AVERAGEIFS(COMPRAS!$F:$F, COMPRAS!$C:$C, $A59, COMPRAS!$J:$J, $B59), 1)</f>
        <v>1</v>
      </c>
      <c r="G59" s="8">
        <f>IFERROR(SUMIFS(COMPRAS!I:I, COMPRAS!C:C, A59) * SUMIFS(COMPRAS!E:E, COMPRAS!C:C, A59) / COUNTIF(COMPRAS!C:C, A59), 0)</f>
        <v>0</v>
      </c>
      <c r="H59" s="18">
        <f>MAX(0, 
  (SUMIFS(COMPRAS!$E:$E, COMPRAS!$C:$C, $A59, COMPRAS!$J:$J, "UNIDAD") + SUMIFS(COMPRAS!$E:$E, COMPRAS!$C:$C, $A59, COMPRAS!$J:$J, "KG")) - 
  (SUMIFS(prueba!$A:$A, prueba!$C:$C, $A59, prueba!$B:$B, "UNIDAD") + SUMIFS(prueba!$A:$A, prueba!$C:$C, $A59, prueba!$B:$B, "KG"))
)</f>
        <v>0</v>
      </c>
      <c r="I59" s="8">
        <f t="shared" si="1"/>
        <v>0</v>
      </c>
      <c r="J59" s="8">
        <f t="shared" si="3"/>
        <v>0</v>
      </c>
      <c r="K59" s="18" t="str">
        <f t="shared" si="2"/>
        <v>MANGOUNIDAD</v>
      </c>
    </row>
    <row r="60">
      <c r="A60" s="20" t="s">
        <v>50</v>
      </c>
      <c r="B60" s="14" t="s">
        <v>12</v>
      </c>
      <c r="C60" s="15">
        <f>IFERROR(AVERAGEIFS(COMPRAS!$D:$D, COMPRAS!$C:$C, $A60, COMPRAS!$J:$J, $B60), 0)</f>
        <v>0</v>
      </c>
      <c r="D60" s="16">
        <v>1.3</v>
      </c>
      <c r="E60" s="8">
        <f>ROUNDUP(C60 *D60, -3)</f>
        <v>0</v>
      </c>
      <c r="F60" s="17">
        <f>IFERROR(AVERAGEIFS(COMPRAS!$F:$F, COMPRAS!$C:$C, $A60, COMPRAS!$J:$J, $B60), 1)</f>
        <v>1</v>
      </c>
      <c r="G60" s="8">
        <f>IFERROR(SUMIFS(COMPRAS!I:I, COMPRAS!C:C, A60) * SUMIFS(COMPRAS!E:E, COMPRAS!C:C, A60) / COUNTIF(COMPRAS!C:C, A60), 0)</f>
        <v>0</v>
      </c>
      <c r="H60" s="18">
        <f>IFERROR(
  ((SUMIFS(COMPRAS!$E:$E, COMPRAS!$C:$C, $A60, COMPRAS!$J:$J, "CAJON") + SUMIFS(COMPRAS!$E:$E, COMPRAS!$C:$C, $A60, COMPRAS!$J:$J, "BOLSA")) * $F60) - 
  ((SUMIFS(prueba!$A:$A, prueba!$C:$C, $A60, prueba!$B:$B, "CAJON") + SUMIFS(prueba!$A:$A, prueba!$C:$C, $A60, prueba!$B:$B, "BOLSA")) * $F60) - 
  MAX(0, (SUMIFS(prueba!$A:$A, prueba!$C:$C, $A60, prueba!$B:$B, "UNIDAD") + SUMIFS(prueba!$A:$A, prueba!$C:$C, $A60, prueba!$B:$B, "KG")) - 
  (SUMIFS(COMPRAS!$E:$E, COMPRAS!$C:$C, $A60, COMPRAS!$J:$J, "UNIDAD") + SUMIFS(COMPRAS!$E:$E, COMPRAS!$C:$C, $A60, COMPRAS!$J:$J, "KG"))), 
0)</f>
        <v>0</v>
      </c>
      <c r="I60" s="8">
        <f t="shared" si="1"/>
        <v>0</v>
      </c>
      <c r="J60" s="8">
        <f t="shared" si="3"/>
        <v>0</v>
      </c>
      <c r="K60" s="18" t="str">
        <f t="shared" si="2"/>
        <v>MANZANA ROJA ELEGIDACAJON</v>
      </c>
    </row>
    <row r="61">
      <c r="A61" s="20" t="s">
        <v>50</v>
      </c>
      <c r="B61" s="14" t="s">
        <v>29</v>
      </c>
      <c r="C61" s="15">
        <f>IFERROR(AVERAGEIFS(COMPRAS!$D:$D, COMPRAS!$C:$C, $A61, COMPRAS!$J:$J, $B61), 0)</f>
        <v>0</v>
      </c>
      <c r="D61" s="16">
        <v>1.3</v>
      </c>
      <c r="E61" s="8">
        <f>ROUNDUP(C61 *D61, -2)</f>
        <v>0</v>
      </c>
      <c r="F61" s="17">
        <f>IFERROR(AVERAGEIFS(COMPRAS!$F:$F, COMPRAS!$C:$C, $A61, COMPRAS!$J:$J, $B61), 1)</f>
        <v>1</v>
      </c>
      <c r="G61" s="8">
        <f>IFERROR(SUMIFS(COMPRAS!I:I, COMPRAS!C:C, A61) * SUMIFS(COMPRAS!E:E, COMPRAS!C:C, A61) / COUNTIF(COMPRAS!C:C, A61), 0)</f>
        <v>0</v>
      </c>
      <c r="H61" s="18">
        <f>MAX(0, 
  (SUMIFS(COMPRAS!$E:$E, COMPRAS!$C:$C, $A61, COMPRAS!$J:$J, "UNIDAD") + SUMIFS(COMPRAS!$E:$E, COMPRAS!$C:$C, $A61, COMPRAS!$J:$J, "KG")) - 
  (SUMIFS(prueba!$A:$A, prueba!$C:$C, $A61, prueba!$B:$B, "UNIDAD") + SUMIFS(prueba!$A:$A, prueba!$C:$C, $A61, prueba!$B:$B, "KG"))
)</f>
        <v>0</v>
      </c>
      <c r="I61" s="8">
        <f t="shared" si="1"/>
        <v>0</v>
      </c>
      <c r="J61" s="8">
        <f t="shared" si="3"/>
        <v>0</v>
      </c>
      <c r="K61" s="18" t="str">
        <f t="shared" si="2"/>
        <v>MANZANA ROJA ELEGIDAKG</v>
      </c>
    </row>
    <row r="62">
      <c r="A62" s="20" t="s">
        <v>51</v>
      </c>
      <c r="B62" s="14" t="s">
        <v>12</v>
      </c>
      <c r="C62" s="15">
        <f>IFERROR(AVERAGEIFS(COMPRAS!$D:$D, COMPRAS!$C:$C, $A62, COMPRAS!$J:$J, $B62), 0)</f>
        <v>0</v>
      </c>
      <c r="D62" s="16">
        <v>1.3</v>
      </c>
      <c r="E62" s="8">
        <f>ROUNDUP(C62 * D62, -3)</f>
        <v>0</v>
      </c>
      <c r="F62" s="17">
        <f>IFERROR(AVERAGEIFS(COMPRAS!$F:$F, COMPRAS!$C:$C, $A62, COMPRAS!$J:$J, $B62), 1)</f>
        <v>1</v>
      </c>
      <c r="G62" s="8">
        <f>IFERROR(SUMIFS(COMPRAS!I:I, COMPRAS!C:C, A62) * SUMIFS(COMPRAS!E:E, COMPRAS!C:C, A62) / COUNTIF(COMPRAS!C:C, A62), 0)</f>
        <v>0</v>
      </c>
      <c r="H62" s="18">
        <f>IFERROR(
  ((SUMIFS(COMPRAS!$E:$E, COMPRAS!$C:$C, $A62, COMPRAS!$J:$J, "CAJON") + SUMIFS(COMPRAS!$E:$E, COMPRAS!$C:$C, $A62, COMPRAS!$J:$J, "BOLSA")) * $F62) - 
  ((SUMIFS(prueba!$A:$A, prueba!$C:$C, $A62, prueba!$B:$B, "CAJON") + SUMIFS(prueba!$A:$A, prueba!$C:$C, $A62, prueba!$B:$B, "BOLSA")) * $F62) - 
  MAX(0, (SUMIFS(prueba!$A:$A, prueba!$C:$C, $A62, prueba!$B:$B, "UNIDAD") + SUMIFS(prueba!$A:$A, prueba!$C:$C, $A62, prueba!$B:$B, "KG")) - 
  (SUMIFS(COMPRAS!$E:$E, COMPRAS!$C:$C, $A62, COMPRAS!$J:$J, "UNIDAD") + SUMIFS(COMPRAS!$E:$E, COMPRAS!$C:$C, $A62, COMPRAS!$J:$J, "KG"))), 
0)</f>
        <v>0</v>
      </c>
      <c r="I62" s="8">
        <f t="shared" si="1"/>
        <v>0</v>
      </c>
      <c r="J62" s="8">
        <f t="shared" si="3"/>
        <v>0</v>
      </c>
      <c r="K62" s="18" t="str">
        <f t="shared" si="2"/>
        <v>MANZANA ROJA COMERCIALCAJON</v>
      </c>
    </row>
    <row r="63">
      <c r="A63" s="20" t="s">
        <v>51</v>
      </c>
      <c r="B63" s="14" t="s">
        <v>29</v>
      </c>
      <c r="C63" s="15">
        <f>IFERROR(AVERAGEIFS(COMPRAS!$D:$D, COMPRAS!$C:$C, $A63, COMPRAS!$J:$J, $B63), 0)</f>
        <v>0</v>
      </c>
      <c r="D63" s="16">
        <v>1.3</v>
      </c>
      <c r="E63" s="8">
        <f>ROUNDUP(C63 * D63, -2)</f>
        <v>0</v>
      </c>
      <c r="F63" s="17">
        <f>IFERROR(AVERAGEIFS(COMPRAS!$F:$F, COMPRAS!$C:$C, $A63, COMPRAS!$J:$J, $B63), 1)</f>
        <v>1</v>
      </c>
      <c r="G63" s="8">
        <f>IFERROR(SUMIFS(COMPRAS!I:I, COMPRAS!C:C, A63) * SUMIFS(COMPRAS!E:E, COMPRAS!C:C, A63) / COUNTIF(COMPRAS!C:C, A63), 0)</f>
        <v>0</v>
      </c>
      <c r="H63" s="18">
        <f>MAX(0, 
  (SUMIFS(COMPRAS!$E:$E, COMPRAS!$C:$C, $A63, COMPRAS!$J:$J, "UNIDAD") + SUMIFS(COMPRAS!$E:$E, COMPRAS!$C:$C, $A63, COMPRAS!$J:$J, "KG")) - 
  (SUMIFS(prueba!$A:$A, prueba!$C:$C, $A63, prueba!$B:$B, "UNIDAD") + SUMIFS(prueba!$A:$A, prueba!$C:$C, $A63, prueba!$B:$B, "KG"))
)</f>
        <v>0</v>
      </c>
      <c r="I63" s="8">
        <f t="shared" si="1"/>
        <v>0</v>
      </c>
      <c r="J63" s="8">
        <f t="shared" si="3"/>
        <v>0</v>
      </c>
      <c r="K63" s="18" t="str">
        <f t="shared" si="2"/>
        <v>MANZANA ROJA COMERCIALKG</v>
      </c>
    </row>
    <row r="64">
      <c r="A64" s="20" t="s">
        <v>52</v>
      </c>
      <c r="B64" s="14" t="s">
        <v>12</v>
      </c>
      <c r="C64" s="15">
        <f>IFERROR(AVERAGEIFS(COMPRAS!$D:$D, COMPRAS!$C:$C, $A64, COMPRAS!$J:$J, $B64), 0)</f>
        <v>0</v>
      </c>
      <c r="D64" s="16">
        <v>1.3</v>
      </c>
      <c r="E64" s="8">
        <f>ROUNDUP(C64 *D64, -3)</f>
        <v>0</v>
      </c>
      <c r="F64" s="17">
        <f>IFERROR(AVERAGEIFS(COMPRAS!$F:$F, COMPRAS!$C:$C, $A64, COMPRAS!$J:$J, $B64), 1)</f>
        <v>1</v>
      </c>
      <c r="G64" s="8">
        <f>IFERROR(SUMIFS(COMPRAS!I:I, COMPRAS!C:C, A64) * SUMIFS(COMPRAS!E:E, COMPRAS!C:C, A64) / COUNTIF(COMPRAS!C:C, A64), 0)</f>
        <v>0</v>
      </c>
      <c r="H64" s="18">
        <f>IFERROR(
  ((SUMIFS(COMPRAS!$E:$E, COMPRAS!$C:$C, $A64, COMPRAS!$J:$J, "CAJON") + SUMIFS(COMPRAS!$E:$E, COMPRAS!$C:$C, $A64, COMPRAS!$J:$J, "BOLSA")) * $F64) - 
  ((SUMIFS(prueba!$A:$A, prueba!$C:$C, $A64, prueba!$B:$B, "CAJON") + SUMIFS(prueba!$A:$A, prueba!$C:$C, $A64, prueba!$B:$B, "BOLSA")) * $F64) - 
  MAX(0, (SUMIFS(prueba!$A:$A, prueba!$C:$C, $A64, prueba!$B:$B, "UNIDAD") + SUMIFS(prueba!$A:$A, prueba!$C:$C, $A64, prueba!$B:$B, "KG")) - 
  (SUMIFS(COMPRAS!$E:$E, COMPRAS!$C:$C, $A64, COMPRAS!$J:$J, "UNIDAD") + SUMIFS(COMPRAS!$E:$E, COMPRAS!$C:$C, $A64, COMPRAS!$J:$J, "KG"))), 
0)</f>
        <v>0</v>
      </c>
      <c r="I64" s="8">
        <f t="shared" si="1"/>
        <v>0</v>
      </c>
      <c r="J64" s="8">
        <f t="shared" si="3"/>
        <v>0</v>
      </c>
      <c r="K64" s="18" t="str">
        <f t="shared" si="2"/>
        <v>MANZANA GRANNY ELEGIDACAJON</v>
      </c>
    </row>
    <row r="65">
      <c r="A65" s="20" t="s">
        <v>52</v>
      </c>
      <c r="B65" s="14" t="s">
        <v>29</v>
      </c>
      <c r="C65" s="15">
        <f>IFERROR(AVERAGEIFS(COMPRAS!$D:$D, COMPRAS!$C:$C, $A65, COMPRAS!$J:$J, $B65), 0)</f>
        <v>0</v>
      </c>
      <c r="D65" s="16">
        <v>1.3</v>
      </c>
      <c r="E65" s="8">
        <f>ROUNDUP(C65 *D65, -2)</f>
        <v>0</v>
      </c>
      <c r="F65" s="17">
        <f>IFERROR(AVERAGEIFS(COMPRAS!$F:$F, COMPRAS!$C:$C, $A65, COMPRAS!$J:$J, $B65), 1)</f>
        <v>1</v>
      </c>
      <c r="G65" s="8">
        <f>IFERROR(SUMIFS(COMPRAS!I:I, COMPRAS!C:C, A65) * SUMIFS(COMPRAS!E:E, COMPRAS!C:C, A65) / COUNTIF(COMPRAS!C:C, A65), 0)</f>
        <v>0</v>
      </c>
      <c r="H65" s="18">
        <f>MAX(0, 
  (SUMIFS(COMPRAS!$E:$E, COMPRAS!$C:$C, $A65, COMPRAS!$J:$J, "UNIDAD") + SUMIFS(COMPRAS!$E:$E, COMPRAS!$C:$C, $A65, COMPRAS!$J:$J, "KG")) - 
  (SUMIFS(prueba!$A:$A, prueba!$C:$C, $A65, prueba!$B:$B, "UNIDAD") + SUMIFS(prueba!$A:$A, prueba!$C:$C, $A65, prueba!$B:$B, "KG"))
)</f>
        <v>0</v>
      </c>
      <c r="I65" s="8">
        <f t="shared" si="1"/>
        <v>0</v>
      </c>
      <c r="J65" s="8">
        <f t="shared" si="3"/>
        <v>0</v>
      </c>
      <c r="K65" s="18" t="str">
        <f t="shared" si="2"/>
        <v>MANZANA GRANNY ELEGIDAKG</v>
      </c>
    </row>
    <row r="66">
      <c r="A66" s="20" t="s">
        <v>53</v>
      </c>
      <c r="B66" s="14" t="s">
        <v>12</v>
      </c>
      <c r="C66" s="15">
        <f>IFERROR(AVERAGEIFS(COMPRAS!$D:$D, COMPRAS!$C:$C, $A66, COMPRAS!$J:$J, $B66), 0)</f>
        <v>0</v>
      </c>
      <c r="D66" s="16">
        <v>1.3</v>
      </c>
      <c r="E66" s="8">
        <f>ROUNDUP(C66 *D66, -3)</f>
        <v>0</v>
      </c>
      <c r="F66" s="17">
        <f>IFERROR(AVERAGEIFS(COMPRAS!$F:$F, COMPRAS!$C:$C, $A66, COMPRAS!$J:$J, $B66), 1)</f>
        <v>1</v>
      </c>
      <c r="G66" s="8">
        <f>IFERROR(SUMIFS(COMPRAS!I:I, COMPRAS!C:C, A66) * SUMIFS(COMPRAS!E:E, COMPRAS!C:C, A66) / COUNTIF(COMPRAS!C:C, A66), 0)</f>
        <v>0</v>
      </c>
      <c r="H66" s="18">
        <f>IFERROR(
  ((SUMIFS(COMPRAS!$E:$E, COMPRAS!$C:$C, $A66, COMPRAS!$J:$J, "CAJON") + SUMIFS(COMPRAS!$E:$E, COMPRAS!$C:$C, $A66, COMPRAS!$J:$J, "BOLSA")) * $F66) - 
  ((SUMIFS(prueba!$A:$A, prueba!$C:$C, $A66, prueba!$B:$B, "CAJON") + SUMIFS(prueba!$A:$A, prueba!$C:$C, $A66, prueba!$B:$B, "BOLSA")) * $F66) - 
  MAX(0, (SUMIFS(prueba!$A:$A, prueba!$C:$C, $A66, prueba!$B:$B, "UNIDAD") + SUMIFS(prueba!$A:$A, prueba!$C:$C, $A66, prueba!$B:$B, "KG")) - 
  (SUMIFS(COMPRAS!$E:$E, COMPRAS!$C:$C, $A66, COMPRAS!$J:$J, "UNIDAD") + SUMIFS(COMPRAS!$E:$E, COMPRAS!$C:$C, $A66, COMPRAS!$J:$J, "KG"))), 
0)</f>
        <v>0</v>
      </c>
      <c r="I66" s="8">
        <f t="shared" si="1"/>
        <v>0</v>
      </c>
      <c r="J66" s="8">
        <f t="shared" si="3"/>
        <v>0</v>
      </c>
      <c r="K66" s="18" t="str">
        <f t="shared" si="2"/>
        <v>MANZANA GRANNY COMERCIALCAJON</v>
      </c>
    </row>
    <row r="67">
      <c r="A67" s="20" t="s">
        <v>53</v>
      </c>
      <c r="B67" s="14" t="s">
        <v>29</v>
      </c>
      <c r="C67" s="15">
        <f>IFERROR(AVERAGEIFS(COMPRAS!$D:$D, COMPRAS!$C:$C, $A67, COMPRAS!$J:$J, $B67), 0)</f>
        <v>0</v>
      </c>
      <c r="D67" s="16">
        <v>1.3</v>
      </c>
      <c r="E67" s="8">
        <f>ROUNDUP(C67 *D67, -2)</f>
        <v>0</v>
      </c>
      <c r="F67" s="17">
        <f>IFERROR(AVERAGEIFS(COMPRAS!$F:$F, COMPRAS!$C:$C, $A67, COMPRAS!$J:$J, $B67), 1)</f>
        <v>1</v>
      </c>
      <c r="G67" s="8">
        <f>IFERROR(SUMIFS(COMPRAS!I:I, COMPRAS!C:C, A67) * SUMIFS(COMPRAS!E:E, COMPRAS!C:C, A67) / COUNTIF(COMPRAS!C:C, A67), 0)</f>
        <v>0</v>
      </c>
      <c r="H67" s="18">
        <f>MAX(0, 
  (SUMIFS(COMPRAS!$E:$E, COMPRAS!$C:$C, $A67, COMPRAS!$J:$J, "UNIDAD") + SUMIFS(COMPRAS!$E:$E, COMPRAS!$C:$C, $A67, COMPRAS!$J:$J, "KG")) - 
  (SUMIFS(prueba!$A:$A, prueba!$C:$C, $A67, prueba!$B:$B, "UNIDAD") + SUMIFS(prueba!$A:$A, prueba!$C:$C, $A67, prueba!$B:$B, "KG"))
)</f>
        <v>0</v>
      </c>
      <c r="I67" s="8">
        <f t="shared" si="1"/>
        <v>0</v>
      </c>
      <c r="J67" s="8">
        <f t="shared" si="3"/>
        <v>0</v>
      </c>
      <c r="K67" s="18" t="str">
        <f t="shared" si="2"/>
        <v>MANZANA GRANNY COMERCIALKG</v>
      </c>
    </row>
    <row r="68">
      <c r="A68" s="19" t="s">
        <v>54</v>
      </c>
      <c r="B68" s="14" t="s">
        <v>12</v>
      </c>
      <c r="C68" s="15">
        <f>IFERROR(AVERAGEIFS(COMPRAS!$D:$D, COMPRAS!$C:$C, $A68, COMPRAS!$J:$J, $B68), 0)</f>
        <v>0</v>
      </c>
      <c r="D68" s="16">
        <v>1.3</v>
      </c>
      <c r="E68" s="8">
        <f>ROUNDUP(C68 *D68, -3)</f>
        <v>0</v>
      </c>
      <c r="F68" s="17">
        <f>IFERROR(AVERAGEIFS(COMPRAS!$F:$F, COMPRAS!$C:$C, $A68, COMPRAS!$J:$J, $B68), 1)</f>
        <v>1</v>
      </c>
      <c r="G68" s="8">
        <f>IFERROR(SUMIFS(COMPRAS!I:I, COMPRAS!C:C, A68) * SUMIFS(COMPRAS!E:E, COMPRAS!C:C, A68) / COUNTIF(COMPRAS!C:C, A68), 0)</f>
        <v>0</v>
      </c>
      <c r="H68" s="18">
        <f>IFERROR(
  ((SUMIFS(COMPRAS!$E:$E, COMPRAS!$C:$C, $A68, COMPRAS!$J:$J, "CAJON") + SUMIFS(COMPRAS!$E:$E, COMPRAS!$C:$C, $A68, COMPRAS!$J:$J, "BOLSA")) * $F68) - 
  ((SUMIFS(prueba!$A:$A, prueba!$C:$C, $A68, prueba!$B:$B, "CAJON") + SUMIFS(prueba!$A:$A, prueba!$C:$C, $A68, prueba!$B:$B, "BOLSA")) * $F68) - 
  MAX(0, (SUMIFS(prueba!$A:$A, prueba!$C:$C, $A68, prueba!$B:$B, "UNIDAD") + SUMIFS(prueba!$A:$A, prueba!$C:$C, $A68, prueba!$B:$B, "KG")) - 
  (SUMIFS(COMPRAS!$E:$E, COMPRAS!$C:$C, $A68, COMPRAS!$J:$J, "UNIDAD") + SUMIFS(COMPRAS!$E:$E, COMPRAS!$C:$C, $A68, COMPRAS!$J:$J, "KG"))), 
0)</f>
        <v>0</v>
      </c>
      <c r="I68" s="8">
        <f t="shared" si="1"/>
        <v>0</v>
      </c>
      <c r="J68" s="8">
        <f t="shared" si="3"/>
        <v>0</v>
      </c>
      <c r="K68" s="18" t="str">
        <f t="shared" si="2"/>
        <v>MELON AMARILLOCAJON</v>
      </c>
    </row>
    <row r="69">
      <c r="A69" s="19" t="s">
        <v>54</v>
      </c>
      <c r="B69" s="14" t="s">
        <v>8</v>
      </c>
      <c r="C69" s="15">
        <f>IFERROR(AVERAGEIFS(COMPRAS!$D:$D, COMPRAS!$C:$C, $A69, COMPRAS!$J:$J, $B69), 0)</f>
        <v>0</v>
      </c>
      <c r="D69" s="16">
        <v>1.3</v>
      </c>
      <c r="E69" s="8">
        <f>ROUNDUP(C69 *D69, -2)</f>
        <v>0</v>
      </c>
      <c r="F69" s="17">
        <f>IFERROR(AVERAGEIFS(COMPRAS!$F:$F, COMPRAS!$C:$C, $A69, COMPRAS!$J:$J, $B69), 1)</f>
        <v>1</v>
      </c>
      <c r="G69" s="8">
        <f>IFERROR(SUMIFS(COMPRAS!I:I, COMPRAS!C:C, A69) * SUMIFS(COMPRAS!E:E, COMPRAS!C:C, A69) / COUNTIF(COMPRAS!C:C, A69), 0)</f>
        <v>0</v>
      </c>
      <c r="H69" s="18">
        <f>MAX(0, 
  (SUMIFS(COMPRAS!$E:$E, COMPRAS!$C:$C, $A69, COMPRAS!$J:$J, "UNIDAD") + SUMIFS(COMPRAS!$E:$E, COMPRAS!$C:$C, $A69, COMPRAS!$J:$J, "KG")) - 
  (SUMIFS(prueba!$A:$A, prueba!$C:$C, $A69, prueba!$B:$B, "UNIDAD") + SUMIFS(prueba!$A:$A, prueba!$C:$C, $A69, prueba!$B:$B, "KG"))
)</f>
        <v>0</v>
      </c>
      <c r="I69" s="8">
        <f t="shared" si="1"/>
        <v>0</v>
      </c>
      <c r="J69" s="8">
        <f t="shared" si="3"/>
        <v>0</v>
      </c>
      <c r="K69" s="18" t="str">
        <f t="shared" si="2"/>
        <v>MELON AMARILLOUNIDAD</v>
      </c>
    </row>
    <row r="70">
      <c r="A70" s="19" t="s">
        <v>55</v>
      </c>
      <c r="B70" s="14" t="s">
        <v>12</v>
      </c>
      <c r="C70" s="15">
        <f>IFERROR(AVERAGEIFS(COMPRAS!$D:$D, COMPRAS!$C:$C, $A70, COMPRAS!$J:$J, $B70), 0)</f>
        <v>0</v>
      </c>
      <c r="D70" s="16">
        <v>1.3</v>
      </c>
      <c r="E70" s="8">
        <f>ROUNDUP(C70 *D70, -3)</f>
        <v>0</v>
      </c>
      <c r="F70" s="17">
        <f>IFERROR(AVERAGEIFS(COMPRAS!$F:$F, COMPRAS!$C:$C, $A70, COMPRAS!$J:$J, $B70), 1)</f>
        <v>1</v>
      </c>
      <c r="G70" s="8">
        <f>IFERROR(SUMIFS(COMPRAS!I:I, COMPRAS!C:C, A70) * SUMIFS(COMPRAS!E:E, COMPRAS!C:C, A70) / COUNTIF(COMPRAS!C:C, A70), 0)</f>
        <v>0</v>
      </c>
      <c r="H70" s="18">
        <f>IFERROR(
  ((SUMIFS(COMPRAS!$E:$E, COMPRAS!$C:$C, $A70, COMPRAS!$J:$J, "CAJON") + SUMIFS(COMPRAS!$E:$E, COMPRAS!$C:$C, $A70, COMPRAS!$J:$J, "BOLSA")) * $F70) - 
  ((SUMIFS(prueba!$A:$A, prueba!$C:$C, $A70, prueba!$B:$B, "CAJON") + SUMIFS(prueba!$A:$A, prueba!$C:$C, $A70, prueba!$B:$B, "BOLSA")) * $F70) - 
  MAX(0, (SUMIFS(prueba!$A:$A, prueba!$C:$C, $A70, prueba!$B:$B, "UNIDAD") + SUMIFS(prueba!$A:$A, prueba!$C:$C, $A70, prueba!$B:$B, "KG")) - 
  (SUMIFS(COMPRAS!$E:$E, COMPRAS!$C:$C, $A70, COMPRAS!$J:$J, "UNIDAD") + SUMIFS(COMPRAS!$E:$E, COMPRAS!$C:$C, $A70, COMPRAS!$J:$J, "KG"))), 
0)</f>
        <v>0</v>
      </c>
      <c r="I70" s="8">
        <f t="shared" si="1"/>
        <v>0</v>
      </c>
      <c r="J70" s="8">
        <f t="shared" si="3"/>
        <v>0</v>
      </c>
      <c r="K70" s="18" t="str">
        <f t="shared" si="2"/>
        <v>MELON BLANCOCAJON</v>
      </c>
    </row>
    <row r="71">
      <c r="A71" s="19" t="s">
        <v>55</v>
      </c>
      <c r="B71" s="14" t="s">
        <v>8</v>
      </c>
      <c r="C71" s="15">
        <f>IFERROR(AVERAGEIFS(COMPRAS!$D:$D, COMPRAS!$C:$C, $A71, COMPRAS!$J:$J, $B71), 0)</f>
        <v>0</v>
      </c>
      <c r="D71" s="16">
        <v>1.3</v>
      </c>
      <c r="E71" s="8">
        <f>ROUNDUP(C71 *D71, -2)</f>
        <v>0</v>
      </c>
      <c r="F71" s="17">
        <f>IFERROR(AVERAGEIFS(COMPRAS!$F:$F, COMPRAS!$C:$C, $A71, COMPRAS!$J:$J, $B71), 1)</f>
        <v>1</v>
      </c>
      <c r="G71" s="8">
        <f>IFERROR(SUMIFS(COMPRAS!I:I, COMPRAS!C:C, A71) * SUMIFS(COMPRAS!E:E, COMPRAS!C:C, A71) / COUNTIF(COMPRAS!C:C, A71), 0)</f>
        <v>0</v>
      </c>
      <c r="H71" s="18">
        <f>MAX(0, 
  (SUMIFS(COMPRAS!$E:$E, COMPRAS!$C:$C, $A71, COMPRAS!$J:$J, "UNIDAD") + SUMIFS(COMPRAS!$E:$E, COMPRAS!$C:$C, $A71, COMPRAS!$J:$J, "KG")) - 
  (SUMIFS(prueba!$A:$A, prueba!$C:$C, $A71, prueba!$B:$B, "UNIDAD") + SUMIFS(prueba!$A:$A, prueba!$C:$C, $A71, prueba!$B:$B, "KG"))
)</f>
        <v>0</v>
      </c>
      <c r="I71" s="8">
        <f t="shared" si="1"/>
        <v>0</v>
      </c>
      <c r="J71" s="8">
        <f t="shared" si="3"/>
        <v>0</v>
      </c>
      <c r="K71" s="18" t="str">
        <f t="shared" si="2"/>
        <v>MELON BLANCOUNIDAD</v>
      </c>
    </row>
    <row r="72">
      <c r="A72" s="20" t="s">
        <v>56</v>
      </c>
      <c r="B72" s="14" t="s">
        <v>12</v>
      </c>
      <c r="C72" s="15">
        <f>IFERROR(AVERAGEIFS(COMPRAS!$D:$D, COMPRAS!$C:$C, $A72, COMPRAS!$J:$J, $B72), 0)</f>
        <v>0</v>
      </c>
      <c r="D72" s="16">
        <v>1.3</v>
      </c>
      <c r="E72" s="8">
        <f>ROUNDUP(C72 *D72, -3)</f>
        <v>0</v>
      </c>
      <c r="F72" s="17">
        <f>IFERROR(AVERAGEIFS(COMPRAS!$F:$F, COMPRAS!$C:$C, $A72, COMPRAS!$J:$J, $B72), 1)</f>
        <v>1</v>
      </c>
      <c r="G72" s="8">
        <f>IFERROR(SUMIFS(COMPRAS!I:I, COMPRAS!C:C, A72) * SUMIFS(COMPRAS!E:E, COMPRAS!C:C, A72) / COUNTIF(COMPRAS!C:C, A72), 0)</f>
        <v>0</v>
      </c>
      <c r="H72" s="18">
        <f>IFERROR(
  ((SUMIFS(COMPRAS!$E:$E, COMPRAS!$C:$C, $A72, COMPRAS!$J:$J, "CAJON") + SUMIFS(COMPRAS!$E:$E, COMPRAS!$C:$C, $A72, COMPRAS!$J:$J, "BOLSA")) * $F72) - 
  ((SUMIFS(prueba!$A:$A, prueba!$C:$C, $A72, prueba!$B:$B, "CAJON") + SUMIFS(prueba!$A:$A, prueba!$C:$C, $A72, prueba!$B:$B, "BOLSA")) * $F72) - 
  MAX(0, (SUMIFS(prueba!$A:$A, prueba!$C:$C, $A72, prueba!$B:$B, "UNIDAD") + SUMIFS(prueba!$A:$A, prueba!$C:$C, $A72, prueba!$B:$B, "KG")) - 
  (SUMIFS(COMPRAS!$E:$E, COMPRAS!$C:$C, $A72, COMPRAS!$J:$J, "UNIDAD") + SUMIFS(COMPRAS!$E:$E, COMPRAS!$C:$C, $A72, COMPRAS!$J:$J, "KG"))), 
0)</f>
        <v>0</v>
      </c>
      <c r="I72" s="8">
        <f t="shared" si="1"/>
        <v>0</v>
      </c>
      <c r="J72" s="8">
        <f t="shared" si="3"/>
        <v>0</v>
      </c>
      <c r="K72" s="18" t="str">
        <f t="shared" si="2"/>
        <v>NARANJA JUGO ELEGIDACAJON</v>
      </c>
    </row>
    <row r="73">
      <c r="A73" s="20" t="s">
        <v>56</v>
      </c>
      <c r="B73" s="14" t="s">
        <v>29</v>
      </c>
      <c r="C73" s="15">
        <f>IFERROR(AVERAGEIFS(COMPRAS!$D:$D, COMPRAS!$C:$C, $A73, COMPRAS!$J:$J, $B73), 0)</f>
        <v>0</v>
      </c>
      <c r="D73" s="16">
        <v>1.3</v>
      </c>
      <c r="E73" s="8">
        <f>ROUNDUP(C73 *D73, -2)</f>
        <v>0</v>
      </c>
      <c r="F73" s="17">
        <f>IFERROR(AVERAGEIFS(COMPRAS!$F:$F, COMPRAS!$C:$C, $A73, COMPRAS!$J:$J, $B73), 1)</f>
        <v>1</v>
      </c>
      <c r="G73" s="8">
        <f>IFERROR(SUMIFS(COMPRAS!I:I, COMPRAS!C:C, A73) * SUMIFS(COMPRAS!E:E, COMPRAS!C:C, A73) / COUNTIF(COMPRAS!C:C, A73), 0)</f>
        <v>0</v>
      </c>
      <c r="H73" s="18">
        <f>MAX(0, 
  (SUMIFS(COMPRAS!$E:$E, COMPRAS!$C:$C, $A73, COMPRAS!$J:$J, "UNIDAD") + SUMIFS(COMPRAS!$E:$E, COMPRAS!$C:$C, $A73, COMPRAS!$J:$J, "KG")) - 
  (SUMIFS(prueba!$A:$A, prueba!$C:$C, $A73, prueba!$B:$B, "UNIDAD") + SUMIFS(prueba!$A:$A, prueba!$C:$C, $A73, prueba!$B:$B, "KG"))
)</f>
        <v>0</v>
      </c>
      <c r="I73" s="8">
        <f t="shared" si="1"/>
        <v>0</v>
      </c>
      <c r="J73" s="8">
        <f t="shared" si="3"/>
        <v>0</v>
      </c>
      <c r="K73" s="18" t="str">
        <f t="shared" si="2"/>
        <v>NARANJA JUGO ELEGIDAKG</v>
      </c>
    </row>
    <row r="74">
      <c r="A74" s="20" t="s">
        <v>57</v>
      </c>
      <c r="B74" s="14" t="s">
        <v>12</v>
      </c>
      <c r="C74" s="15">
        <f>IFERROR(AVERAGEIFS(COMPRAS!$D:$D, COMPRAS!$C:$C, $A74, COMPRAS!$J:$J, $B74), 0)</f>
        <v>0</v>
      </c>
      <c r="D74" s="16">
        <v>1.3</v>
      </c>
      <c r="E74" s="8">
        <f>ROUNDUP(C74 * D74, -3)</f>
        <v>0</v>
      </c>
      <c r="F74" s="17">
        <f>IFERROR(AVERAGEIFS(COMPRAS!$F:$F, COMPRAS!$C:$C, $A74, COMPRAS!$J:$J, $B74), 1)</f>
        <v>1</v>
      </c>
      <c r="G74" s="8">
        <f>IFERROR(SUMIFS(COMPRAS!I:I, COMPRAS!C:C, A74) * SUMIFS(COMPRAS!E:E, COMPRAS!C:C, A74) / COUNTIF(COMPRAS!C:C, A74), 0)</f>
        <v>0</v>
      </c>
      <c r="H74" s="18">
        <f>IFERROR(
  ((SUMIFS(COMPRAS!$E:$E, COMPRAS!$C:$C, $A74, COMPRAS!$J:$J, "CAJON") + SUMIFS(COMPRAS!$E:$E, COMPRAS!$C:$C, $A74, COMPRAS!$J:$J, "BOLSA")) * $F74) - 
  ((SUMIFS(prueba!$A:$A, prueba!$C:$C, $A74, prueba!$B:$B, "CAJON") + SUMIFS(prueba!$A:$A, prueba!$C:$C, $A74, prueba!$B:$B, "BOLSA")) * $F74) - 
  MAX(0, (SUMIFS(prueba!$A:$A, prueba!$C:$C, $A74, prueba!$B:$B, "UNIDAD") + SUMIFS(prueba!$A:$A, prueba!$C:$C, $A74, prueba!$B:$B, "KG")) - 
  (SUMIFS(COMPRAS!$E:$E, COMPRAS!$C:$C, $A74, COMPRAS!$J:$J, "UNIDAD") + SUMIFS(COMPRAS!$E:$E, COMPRAS!$C:$C, $A74, COMPRAS!$J:$J, "KG"))), 
0)</f>
        <v>-1</v>
      </c>
      <c r="I74" s="8">
        <f t="shared" si="1"/>
        <v>0</v>
      </c>
      <c r="J74" s="8">
        <f t="shared" si="3"/>
        <v>0</v>
      </c>
      <c r="K74" s="18" t="str">
        <f t="shared" si="2"/>
        <v>NARANJA JUGO COMERCIALCAJON</v>
      </c>
    </row>
    <row r="75">
      <c r="A75" s="20" t="s">
        <v>57</v>
      </c>
      <c r="B75" s="14" t="s">
        <v>29</v>
      </c>
      <c r="C75" s="15">
        <f>IFERROR(AVERAGEIFS(COMPRAS!$D:$D, COMPRAS!$C:$C, $A75, COMPRAS!$J:$J, $B75), 0)</f>
        <v>0</v>
      </c>
      <c r="D75" s="16">
        <v>1.3</v>
      </c>
      <c r="E75" s="8">
        <f>ROUNDUP(C75 * D75, -2)</f>
        <v>0</v>
      </c>
      <c r="F75" s="17">
        <f>IFERROR(AVERAGEIFS(COMPRAS!$F:$F, COMPRAS!$C:$C, $A75, COMPRAS!$J:$J, $B75), 1)</f>
        <v>1</v>
      </c>
      <c r="G75" s="8">
        <f>IFERROR(SUMIFS(COMPRAS!I:I, COMPRAS!C:C, A75) * SUMIFS(COMPRAS!E:E, COMPRAS!C:C, A75) / COUNTIF(COMPRAS!C:C, A75), 0)</f>
        <v>0</v>
      </c>
      <c r="H75" s="18">
        <f>MAX(0, 
  (SUMIFS(COMPRAS!$E:$E, COMPRAS!$C:$C, $A75, COMPRAS!$J:$J, "UNIDAD") + SUMIFS(COMPRAS!$E:$E, COMPRAS!$C:$C, $A75, COMPRAS!$J:$J, "KG")) - 
  (SUMIFS(prueba!$A:$A, prueba!$C:$C, $A75, prueba!$B:$B, "UNIDAD") + SUMIFS(prueba!$A:$A, prueba!$C:$C, $A75, prueba!$B:$B, "KG"))
)</f>
        <v>0</v>
      </c>
      <c r="I75" s="8">
        <f t="shared" si="1"/>
        <v>0</v>
      </c>
      <c r="J75" s="8">
        <f t="shared" si="3"/>
        <v>0</v>
      </c>
      <c r="K75" s="18" t="str">
        <f t="shared" si="2"/>
        <v>NARANJA JUGO COMERCIALKG</v>
      </c>
    </row>
    <row r="76">
      <c r="A76" s="20" t="s">
        <v>58</v>
      </c>
      <c r="B76" s="14" t="s">
        <v>12</v>
      </c>
      <c r="C76" s="15">
        <f>IFERROR(AVERAGEIFS(COMPRAS!$D:$D, COMPRAS!$C:$C, $A76, COMPRAS!$J:$J, $B76), 0)</f>
        <v>0</v>
      </c>
      <c r="D76" s="16">
        <v>1.3</v>
      </c>
      <c r="E76" s="8">
        <f>ROUNDUP(C76 *D76, -3)</f>
        <v>0</v>
      </c>
      <c r="F76" s="17">
        <f>IFERROR(AVERAGEIFS(COMPRAS!$F:$F, COMPRAS!$C:$C, $A76, COMPRAS!$J:$J, $B76), 1)</f>
        <v>1</v>
      </c>
      <c r="G76" s="8">
        <f>IFERROR(SUMIFS(COMPRAS!I:I, COMPRAS!C:C, A76) * SUMIFS(COMPRAS!E:E, COMPRAS!C:C, A76) / COUNTIF(COMPRAS!C:C, A76), 0)</f>
        <v>0</v>
      </c>
      <c r="H76" s="18">
        <f>IFERROR(
  ((SUMIFS(COMPRAS!$E:$E, COMPRAS!$C:$C, $A76, COMPRAS!$J:$J, "CAJON") + SUMIFS(COMPRAS!$E:$E, COMPRAS!$C:$C, $A76, COMPRAS!$J:$J, "BOLSA")) * $F76) - 
  ((SUMIFS(prueba!$A:$A, prueba!$C:$C, $A76, prueba!$B:$B, "CAJON") + SUMIFS(prueba!$A:$A, prueba!$C:$C, $A76, prueba!$B:$B, "BOLSA")) * $F76) - 
  MAX(0, (SUMIFS(prueba!$A:$A, prueba!$C:$C, $A76, prueba!$B:$B, "UNIDAD") + SUMIFS(prueba!$A:$A, prueba!$C:$C, $A76, prueba!$B:$B, "KG")) - 
  (SUMIFS(COMPRAS!$E:$E, COMPRAS!$C:$C, $A76, COMPRAS!$J:$J, "UNIDAD") + SUMIFS(COMPRAS!$E:$E, COMPRAS!$C:$C, $A76, COMPRAS!$J:$J, "KG"))), 
0)</f>
        <v>0</v>
      </c>
      <c r="I76" s="8">
        <f t="shared" si="1"/>
        <v>0</v>
      </c>
      <c r="J76" s="8">
        <f t="shared" si="3"/>
        <v>0</v>
      </c>
      <c r="K76" s="18" t="str">
        <f t="shared" si="2"/>
        <v>NARANJA JUGO COMERIALCAJON</v>
      </c>
    </row>
    <row r="77">
      <c r="A77" s="20" t="s">
        <v>58</v>
      </c>
      <c r="B77" s="14" t="s">
        <v>29</v>
      </c>
      <c r="C77" s="15">
        <f>IFERROR(AVERAGEIFS(COMPRAS!$D:$D, COMPRAS!$C:$C, $A77, COMPRAS!$J:$J, $B77), 0)</f>
        <v>0</v>
      </c>
      <c r="D77" s="16">
        <v>1.3</v>
      </c>
      <c r="E77" s="8">
        <f>ROUNDUP(C77 *D77, -2)</f>
        <v>0</v>
      </c>
      <c r="F77" s="17">
        <f>IFERROR(AVERAGEIFS(COMPRAS!$F:$F, COMPRAS!$C:$C, $A77, COMPRAS!$J:$J, $B77), 1)</f>
        <v>1</v>
      </c>
      <c r="G77" s="8">
        <f>IFERROR(SUMIFS(COMPRAS!I:I, COMPRAS!C:C, A77) * SUMIFS(COMPRAS!E:E, COMPRAS!C:C, A77) / COUNTIF(COMPRAS!C:C, A77), 0)</f>
        <v>0</v>
      </c>
      <c r="H77" s="18">
        <f>MAX(0, 
  (SUMIFS(COMPRAS!$E:$E, COMPRAS!$C:$C, $A77, COMPRAS!$J:$J, "UNIDAD") + SUMIFS(COMPRAS!$E:$E, COMPRAS!$C:$C, $A77, COMPRAS!$J:$J, "KG")) - 
  (SUMIFS(prueba!$A:$A, prueba!$C:$C, $A77, prueba!$B:$B, "UNIDAD") + SUMIFS(prueba!$A:$A, prueba!$C:$C, $A77, prueba!$B:$B, "KG"))
)</f>
        <v>0</v>
      </c>
      <c r="I77" s="8">
        <f t="shared" si="1"/>
        <v>0</v>
      </c>
      <c r="J77" s="8">
        <f t="shared" si="3"/>
        <v>0</v>
      </c>
      <c r="K77" s="18" t="str">
        <f t="shared" si="2"/>
        <v>NARANJA JUGO COMERIALKG</v>
      </c>
    </row>
    <row r="78">
      <c r="A78" s="19" t="s">
        <v>59</v>
      </c>
      <c r="B78" s="14" t="s">
        <v>12</v>
      </c>
      <c r="C78" s="15">
        <f>IFERROR(AVERAGEIFS(COMPRAS!$D:$D, COMPRAS!$C:$C, $A78, COMPRAS!$J:$J, $B78), 0)</f>
        <v>0</v>
      </c>
      <c r="D78" s="16">
        <v>1.3</v>
      </c>
      <c r="E78" s="8">
        <f>ROUNDUP(C78 *D78, -3)</f>
        <v>0</v>
      </c>
      <c r="F78" s="17">
        <f>IFERROR(AVERAGEIFS(COMPRAS!$F:$F, COMPRAS!$C:$C, $A78, COMPRAS!$J:$J, $B78), 1)</f>
        <v>1</v>
      </c>
      <c r="G78" s="8">
        <f>IFERROR(SUMIFS(COMPRAS!I:I, COMPRAS!C:C, A78) * SUMIFS(COMPRAS!E:E, COMPRAS!C:C, A78) / COUNTIF(COMPRAS!C:C, A78), 0)</f>
        <v>0</v>
      </c>
      <c r="H78" s="18">
        <f>IFERROR(
  ((SUMIFS(COMPRAS!$E:$E, COMPRAS!$C:$C, $A78, COMPRAS!$J:$J, "CAJON") + SUMIFS(COMPRAS!$E:$E, COMPRAS!$C:$C, $A78, COMPRAS!$J:$J, "BOLSA")) * $F78) - 
  ((SUMIFS(prueba!$A:$A, prueba!$C:$C, $A78, prueba!$B:$B, "CAJON") + SUMIFS(prueba!$A:$A, prueba!$C:$C, $A78, prueba!$B:$B, "BOLSA")) * $F78) - 
  MAX(0, (SUMIFS(prueba!$A:$A, prueba!$C:$C, $A78, prueba!$B:$B, "UNIDAD") + SUMIFS(prueba!$A:$A, prueba!$C:$C, $A78, prueba!$B:$B, "KG")) - 
  (SUMIFS(COMPRAS!$E:$E, COMPRAS!$C:$C, $A78, COMPRAS!$J:$J, "UNIDAD") + SUMIFS(COMPRAS!$E:$E, COMPRAS!$C:$C, $A78, COMPRAS!$J:$J, "KG"))), 
0)</f>
        <v>0</v>
      </c>
      <c r="I78" s="8">
        <f t="shared" si="1"/>
        <v>0</v>
      </c>
      <c r="J78" s="8">
        <f t="shared" si="3"/>
        <v>0</v>
      </c>
      <c r="K78" s="18" t="str">
        <f t="shared" si="2"/>
        <v>NARANJA OMBLIGOCAJON</v>
      </c>
    </row>
    <row r="79">
      <c r="A79" s="19" t="s">
        <v>59</v>
      </c>
      <c r="B79" s="14" t="s">
        <v>29</v>
      </c>
      <c r="C79" s="15">
        <f>IFERROR(AVERAGEIFS(COMPRAS!$D:$D, COMPRAS!$C:$C, $A79, COMPRAS!$J:$J, $B79), 0)</f>
        <v>0</v>
      </c>
      <c r="D79" s="16">
        <v>1.3</v>
      </c>
      <c r="E79" s="8">
        <f>ROUNDUP(C79 *D79, -2)</f>
        <v>0</v>
      </c>
      <c r="F79" s="17">
        <f>IFERROR(AVERAGEIFS(COMPRAS!$F:$F, COMPRAS!$C:$C, $A79, COMPRAS!$J:$J, $B79), 1)</f>
        <v>1</v>
      </c>
      <c r="G79" s="8">
        <f>IFERROR(SUMIFS(COMPRAS!I:I, COMPRAS!C:C, A79) * SUMIFS(COMPRAS!E:E, COMPRAS!C:C, A79) / COUNTIF(COMPRAS!C:C, A79), 0)</f>
        <v>0</v>
      </c>
      <c r="H79" s="18">
        <f>MAX(0, 
  (SUMIFS(COMPRAS!$E:$E, COMPRAS!$C:$C, $A79, COMPRAS!$J:$J, "UNIDAD") + SUMIFS(COMPRAS!$E:$E, COMPRAS!$C:$C, $A79, COMPRAS!$J:$J, "KG")) - 
  (SUMIFS(prueba!$A:$A, prueba!$C:$C, $A79, prueba!$B:$B, "UNIDAD") + SUMIFS(prueba!$A:$A, prueba!$C:$C, $A79, prueba!$B:$B, "KG"))
)</f>
        <v>0</v>
      </c>
      <c r="I79" s="8">
        <f t="shared" si="1"/>
        <v>0</v>
      </c>
      <c r="J79" s="8">
        <f t="shared" si="3"/>
        <v>0</v>
      </c>
      <c r="K79" s="18" t="str">
        <f t="shared" si="2"/>
        <v>NARANJA OMBLIGOKG</v>
      </c>
    </row>
    <row r="80">
      <c r="A80" s="19" t="s">
        <v>60</v>
      </c>
      <c r="B80" s="14" t="s">
        <v>12</v>
      </c>
      <c r="C80" s="15">
        <f>IFERROR(AVERAGEIFS(COMPRAS!$D:$D, COMPRAS!$C:$C, $A80, COMPRAS!$J:$J, $B80), 0)</f>
        <v>0</v>
      </c>
      <c r="D80" s="16">
        <v>1.3</v>
      </c>
      <c r="E80" s="8">
        <f>ROUNDUP(C80 *D80, -3)</f>
        <v>0</v>
      </c>
      <c r="F80" s="17">
        <f>IFERROR(AVERAGEIFS(COMPRAS!$F:$F, COMPRAS!$C:$C, $A80, COMPRAS!$J:$J, $B80), 1)</f>
        <v>1</v>
      </c>
      <c r="G80" s="8">
        <f>IFERROR(SUMIFS(COMPRAS!I:I, COMPRAS!C:C, A80) * SUMIFS(COMPRAS!E:E, COMPRAS!C:C, A80) / COUNTIF(COMPRAS!C:C, A80), 0)</f>
        <v>0</v>
      </c>
      <c r="H80" s="18">
        <f>IFERROR(
  ((SUMIFS(COMPRAS!$E:$E, COMPRAS!$C:$C, $A80, COMPRAS!$J:$J, "CAJON") + SUMIFS(COMPRAS!$E:$E, COMPRAS!$C:$C, $A80, COMPRAS!$J:$J, "BOLSA")) * $F80) - 
  ((SUMIFS(prueba!$A:$A, prueba!$C:$C, $A80, prueba!$B:$B, "CAJON") + SUMIFS(prueba!$A:$A, prueba!$C:$C, $A80, prueba!$B:$B, "BOLSA")) * $F80) - 
  MAX(0, (SUMIFS(prueba!$A:$A, prueba!$C:$C, $A80, prueba!$B:$B, "UNIDAD") + SUMIFS(prueba!$A:$A, prueba!$C:$C, $A80, prueba!$B:$B, "KG")) - 
  (SUMIFS(COMPRAS!$E:$E, COMPRAS!$C:$C, $A80, COMPRAS!$J:$J, "UNIDAD") + SUMIFS(COMPRAS!$E:$E, COMPRAS!$C:$C, $A80, COMPRAS!$J:$J, "KG"))), 
0)</f>
        <v>0</v>
      </c>
      <c r="I80" s="8">
        <f t="shared" si="1"/>
        <v>0</v>
      </c>
      <c r="J80" s="8">
        <f t="shared" si="3"/>
        <v>0</v>
      </c>
      <c r="K80" s="18" t="str">
        <f t="shared" si="2"/>
        <v>PALTACAJON</v>
      </c>
    </row>
    <row r="81">
      <c r="A81" s="19" t="s">
        <v>60</v>
      </c>
      <c r="B81" s="14" t="s">
        <v>8</v>
      </c>
      <c r="C81" s="15">
        <f>IFERROR(AVERAGEIFS(COMPRAS!$D:$D, COMPRAS!$C:$C, $A81, COMPRAS!$J:$J, $B81), 0)</f>
        <v>0</v>
      </c>
      <c r="D81" s="16">
        <v>1.3</v>
      </c>
      <c r="E81" s="8">
        <f>ROUNDUP(C81 *D81, -2)</f>
        <v>0</v>
      </c>
      <c r="F81" s="17">
        <f>IFERROR(AVERAGEIFS(COMPRAS!$F:$F, COMPRAS!$C:$C, $A81, COMPRAS!$J:$J, $B81), 1)</f>
        <v>1</v>
      </c>
      <c r="G81" s="8">
        <f>IFERROR(SUMIFS(COMPRAS!I:I, COMPRAS!C:C, A81) * SUMIFS(COMPRAS!E:E, COMPRAS!C:C, A81) / COUNTIF(COMPRAS!C:C, A81), 0)</f>
        <v>0</v>
      </c>
      <c r="H81" s="18">
        <f>MAX(0, 
  (SUMIFS(COMPRAS!$E:$E, COMPRAS!$C:$C, $A81, COMPRAS!$J:$J, "UNIDAD") + SUMIFS(COMPRAS!$E:$E, COMPRAS!$C:$C, $A81, COMPRAS!$J:$J, "KG")) - 
  (SUMIFS(prueba!$A:$A, prueba!$C:$C, $A81, prueba!$B:$B, "UNIDAD") + SUMIFS(prueba!$A:$A, prueba!$C:$C, $A81, prueba!$B:$B, "KG"))
)</f>
        <v>0</v>
      </c>
      <c r="I81" s="8">
        <f t="shared" si="1"/>
        <v>0</v>
      </c>
      <c r="J81" s="8">
        <f t="shared" si="3"/>
        <v>0</v>
      </c>
      <c r="K81" s="18" t="str">
        <f t="shared" si="2"/>
        <v>PALTAUNIDAD</v>
      </c>
    </row>
    <row r="82">
      <c r="A82" s="20" t="s">
        <v>61</v>
      </c>
      <c r="B82" s="14" t="s">
        <v>12</v>
      </c>
      <c r="C82" s="15">
        <f>IFERROR(AVERAGEIFS(COMPRAS!$D:$D, COMPRAS!$C:$C, $A82, COMPRAS!$J:$J, $B82), 0)</f>
        <v>0</v>
      </c>
      <c r="D82" s="16">
        <v>1.3</v>
      </c>
      <c r="E82" s="8">
        <f>ROUNDUP(C82 *D82, -3)</f>
        <v>0</v>
      </c>
      <c r="F82" s="17">
        <f>IFERROR(AVERAGEIFS(COMPRAS!$F:$F, COMPRAS!$C:$C, $A82, COMPRAS!$J:$J, $B82), 1)</f>
        <v>1</v>
      </c>
      <c r="G82" s="8">
        <f>IFERROR(SUMIFS(COMPRAS!I:I, COMPRAS!C:C, A82) * SUMIFS(COMPRAS!E:E, COMPRAS!C:C, A82) / COUNTIF(COMPRAS!C:C, A82), 0)</f>
        <v>0</v>
      </c>
      <c r="H82" s="18">
        <f>IFERROR(
  ((SUMIFS(COMPRAS!$E:$E, COMPRAS!$C:$C, $A82, COMPRAS!$J:$J, "CAJON") + SUMIFS(COMPRAS!$E:$E, COMPRAS!$C:$C, $A82, COMPRAS!$J:$J, "BOLSA")) * $F82) - 
  ((SUMIFS(prueba!$A:$A, prueba!$C:$C, $A82, prueba!$B:$B, "CAJON") + SUMIFS(prueba!$A:$A, prueba!$C:$C, $A82, prueba!$B:$B, "BOLSA")) * $F82) - 
  MAX(0, (SUMIFS(prueba!$A:$A, prueba!$C:$C, $A82, prueba!$B:$B, "UNIDAD") + SUMIFS(prueba!$A:$A, prueba!$C:$C, $A82, prueba!$B:$B, "KG")) - 
  (SUMIFS(COMPRAS!$E:$E, COMPRAS!$C:$C, $A82, COMPRAS!$J:$J, "UNIDAD") + SUMIFS(COMPRAS!$E:$E, COMPRAS!$C:$C, $A82, COMPRAS!$J:$J, "KG"))), 
0)</f>
        <v>0</v>
      </c>
      <c r="I82" s="8">
        <f t="shared" si="1"/>
        <v>0</v>
      </c>
      <c r="J82" s="8">
        <f t="shared" si="3"/>
        <v>0</v>
      </c>
      <c r="K82" s="18" t="str">
        <f t="shared" si="2"/>
        <v>POMELO IMPORTADOCAJON</v>
      </c>
    </row>
    <row r="83">
      <c r="A83" s="20" t="s">
        <v>61</v>
      </c>
      <c r="B83" s="14" t="s">
        <v>29</v>
      </c>
      <c r="C83" s="15">
        <f>IFERROR(AVERAGEIFS(COMPRAS!$D:$D, COMPRAS!$C:$C, $A83, COMPRAS!$J:$J, $B83), 0)</f>
        <v>0</v>
      </c>
      <c r="D83" s="16">
        <v>1.3</v>
      </c>
      <c r="E83" s="8">
        <f>ROUNDUP(C83 *D83, -2)</f>
        <v>0</v>
      </c>
      <c r="F83" s="17">
        <f>IFERROR(AVERAGEIFS(COMPRAS!$F:$F, COMPRAS!$C:$C, $A83, COMPRAS!$J:$J, $B83), 1)</f>
        <v>1</v>
      </c>
      <c r="G83" s="8">
        <f>IFERROR(SUMIFS(COMPRAS!I:I, COMPRAS!C:C, A83) * SUMIFS(COMPRAS!E:E, COMPRAS!C:C, A83) / COUNTIF(COMPRAS!C:C, A83), 0)</f>
        <v>0</v>
      </c>
      <c r="H83" s="18">
        <f>MAX(0, 
  (SUMIFS(COMPRAS!$E:$E, COMPRAS!$C:$C, $A83, COMPRAS!$J:$J, "UNIDAD") + SUMIFS(COMPRAS!$E:$E, COMPRAS!$C:$C, $A83, COMPRAS!$J:$J, "KG")) - 
  (SUMIFS(prueba!$A:$A, prueba!$C:$C, $A83, prueba!$B:$B, "UNIDAD") + SUMIFS(prueba!$A:$A, prueba!$C:$C, $A83, prueba!$B:$B, "KG"))
)</f>
        <v>0</v>
      </c>
      <c r="I83" s="8">
        <f t="shared" si="1"/>
        <v>0</v>
      </c>
      <c r="J83" s="8">
        <f t="shared" si="3"/>
        <v>0</v>
      </c>
      <c r="K83" s="18" t="str">
        <f t="shared" si="2"/>
        <v>POMELO IMPORTADOKG</v>
      </c>
    </row>
    <row r="84">
      <c r="A84" s="20" t="s">
        <v>62</v>
      </c>
      <c r="B84" s="14" t="s">
        <v>12</v>
      </c>
      <c r="C84" s="15">
        <f>IFERROR(AVERAGEIFS(COMPRAS!$D:$D, COMPRAS!$C:$C, $A84, COMPRAS!$J:$J, $B84), 0)</f>
        <v>0</v>
      </c>
      <c r="D84" s="16">
        <v>1.3</v>
      </c>
      <c r="E84" s="8">
        <f>ROUNDUP(C84 *D84, -3)</f>
        <v>0</v>
      </c>
      <c r="F84" s="17">
        <f>IFERROR(AVERAGEIFS(COMPRAS!$F:$F, COMPRAS!$C:$C, $A84, COMPRAS!$J:$J, $B84), 1)</f>
        <v>1</v>
      </c>
      <c r="G84" s="8">
        <f>IFERROR(SUMIFS(COMPRAS!I:I, COMPRAS!C:C, A84) * SUMIFS(COMPRAS!E:E, COMPRAS!C:C, A84) / COUNTIF(COMPRAS!C:C, A84), 0)</f>
        <v>0</v>
      </c>
      <c r="H84" s="18">
        <f>IFERROR(
  ((SUMIFS(COMPRAS!$E:$E, COMPRAS!$C:$C, $A84, COMPRAS!$J:$J, "CAJON") + SUMIFS(COMPRAS!$E:$E, COMPRAS!$C:$C, $A84, COMPRAS!$J:$J, "BOLSA")) * $F84) - 
  ((SUMIFS(prueba!$A:$A, prueba!$C:$C, $A84, prueba!$B:$B, "CAJON") + SUMIFS(prueba!$A:$A, prueba!$C:$C, $A84, prueba!$B:$B, "BOLSA")) * $F84) - 
  MAX(0, (SUMIFS(prueba!$A:$A, prueba!$C:$C, $A84, prueba!$B:$B, "UNIDAD") + SUMIFS(prueba!$A:$A, prueba!$C:$C, $A84, prueba!$B:$B, "KG")) - 
  (SUMIFS(COMPRAS!$E:$E, COMPRAS!$C:$C, $A84, COMPRAS!$J:$J, "UNIDAD") + SUMIFS(COMPRAS!$E:$E, COMPRAS!$C:$C, $A84, COMPRAS!$J:$J, "KG"))), 
0)</f>
        <v>0</v>
      </c>
      <c r="I84" s="8">
        <f t="shared" si="1"/>
        <v>0</v>
      </c>
      <c r="J84" s="8">
        <f t="shared" si="3"/>
        <v>0</v>
      </c>
      <c r="K84" s="18" t="str">
        <f t="shared" si="2"/>
        <v>POMELO NACIONALCAJON</v>
      </c>
    </row>
    <row r="85">
      <c r="A85" s="20" t="s">
        <v>62</v>
      </c>
      <c r="B85" s="14" t="s">
        <v>29</v>
      </c>
      <c r="C85" s="15">
        <f>IFERROR(AVERAGEIFS(COMPRAS!$D:$D, COMPRAS!$C:$C, $A85, COMPRAS!$J:$J, $B85), 0)</f>
        <v>0</v>
      </c>
      <c r="D85" s="16">
        <v>1.3</v>
      </c>
      <c r="E85" s="8">
        <f>ROUNDUP(C85 *D85, -2)</f>
        <v>0</v>
      </c>
      <c r="F85" s="17">
        <f>IFERROR(AVERAGEIFS(COMPRAS!$F:$F, COMPRAS!$C:$C, $A85, COMPRAS!$J:$J, $B85), 1)</f>
        <v>1</v>
      </c>
      <c r="G85" s="8">
        <f>IFERROR(SUMIFS(COMPRAS!I:I, COMPRAS!C:C, A85) * SUMIFS(COMPRAS!E:E, COMPRAS!C:C, A85) / COUNTIF(COMPRAS!C:C, A85), 0)</f>
        <v>0</v>
      </c>
      <c r="H85" s="18">
        <f>MAX(0, 
  (SUMIFS(COMPRAS!$E:$E, COMPRAS!$C:$C, $A85, COMPRAS!$J:$J, "UNIDAD") + SUMIFS(COMPRAS!$E:$E, COMPRAS!$C:$C, $A85, COMPRAS!$J:$J, "KG")) - 
  (SUMIFS(prueba!$A:$A, prueba!$C:$C, $A85, prueba!$B:$B, "UNIDAD") + SUMIFS(prueba!$A:$A, prueba!$C:$C, $A85, prueba!$B:$B, "KG"))
)</f>
        <v>0</v>
      </c>
      <c r="I85" s="8">
        <f t="shared" si="1"/>
        <v>0</v>
      </c>
      <c r="J85" s="8">
        <f t="shared" si="3"/>
        <v>0</v>
      </c>
      <c r="K85" s="18" t="str">
        <f t="shared" si="2"/>
        <v>POMELO NACIONALKG</v>
      </c>
    </row>
    <row r="86">
      <c r="A86" s="19" t="s">
        <v>63</v>
      </c>
      <c r="B86" s="14" t="s">
        <v>12</v>
      </c>
      <c r="C86" s="15">
        <f>IFERROR(AVERAGEIFS(COMPRAS!$D:$D, COMPRAS!$C:$C, $A86, COMPRAS!$J:$J, $B86), 0)</f>
        <v>0</v>
      </c>
      <c r="D86" s="16">
        <v>1.3</v>
      </c>
      <c r="E86" s="8">
        <f>ROUNDUP(C86 * D86, -3)</f>
        <v>0</v>
      </c>
      <c r="F86" s="17">
        <f>IFERROR(AVERAGEIFS(COMPRAS!$F:$F, COMPRAS!$C:$C, $A86, COMPRAS!$J:$J, $B86), 1)</f>
        <v>1</v>
      </c>
      <c r="G86" s="8">
        <f>IFERROR(SUMIFS(COMPRAS!I:I, COMPRAS!C:C, A86) * SUMIFS(COMPRAS!E:E, COMPRAS!C:C, A86) / COUNTIF(COMPRAS!C:C, A86), 0)</f>
        <v>0</v>
      </c>
      <c r="H86" s="18">
        <f>IFERROR(
  ((SUMIFS(COMPRAS!$E:$E, COMPRAS!$C:$C, $A86, COMPRAS!$J:$J, "CAJON") + SUMIFS(COMPRAS!$E:$E, COMPRAS!$C:$C, $A86, COMPRAS!$J:$J, "BOLSA")) * $F86) - 
  ((SUMIFS(prueba!$A:$A, prueba!$C:$C, $A86, prueba!$B:$B, "CAJON") + SUMIFS(prueba!$A:$A, prueba!$C:$C, $A86, prueba!$B:$B, "BOLSA")) * $F86) - 
  MAX(0, (SUMIFS(prueba!$A:$A, prueba!$C:$C, $A86, prueba!$B:$B, "UNIDAD") + SUMIFS(prueba!$A:$A, prueba!$C:$C, $A86, prueba!$B:$B, "KG")) - 
  (SUMIFS(COMPRAS!$E:$E, COMPRAS!$C:$C, $A86, COMPRAS!$J:$J, "UNIDAD") + SUMIFS(COMPRAS!$E:$E, COMPRAS!$C:$C, $A86, COMPRAS!$J:$J, "KG"))), 
0)</f>
        <v>0</v>
      </c>
      <c r="I86" s="8">
        <f t="shared" si="1"/>
        <v>0</v>
      </c>
      <c r="J86" s="8">
        <f t="shared" si="3"/>
        <v>0</v>
      </c>
      <c r="K86" s="18" t="str">
        <f t="shared" si="2"/>
        <v>UVA BLANCACAJON</v>
      </c>
    </row>
    <row r="87">
      <c r="A87" s="19" t="s">
        <v>63</v>
      </c>
      <c r="B87" s="14" t="s">
        <v>29</v>
      </c>
      <c r="C87" s="15">
        <f>IFERROR(AVERAGEIFS(COMPRAS!$D:$D, COMPRAS!$C:$C, $A87, COMPRAS!$J:$J, $B87), 0)</f>
        <v>0</v>
      </c>
      <c r="D87" s="16">
        <v>1.3</v>
      </c>
      <c r="E87" s="8">
        <f>ROUNDUP(C87 * D87, -2)</f>
        <v>0</v>
      </c>
      <c r="F87" s="17">
        <f>IFERROR(AVERAGEIFS(COMPRAS!$F:$F, COMPRAS!$C:$C, $A87, COMPRAS!$J:$J, $B87), 1)</f>
        <v>1</v>
      </c>
      <c r="G87" s="8">
        <f>IFERROR(SUMIFS(COMPRAS!I:I, COMPRAS!C:C, A87) * SUMIFS(COMPRAS!E:E, COMPRAS!C:C, A87) / COUNTIF(COMPRAS!C:C, A87), 0)</f>
        <v>0</v>
      </c>
      <c r="H87" s="18">
        <f>MAX(0, 
  (SUMIFS(COMPRAS!$E:$E, COMPRAS!$C:$C, $A87, COMPRAS!$J:$J, "UNIDAD") + SUMIFS(COMPRAS!$E:$E, COMPRAS!$C:$C, $A87, COMPRAS!$J:$J, "KG")) - 
  (SUMIFS(prueba!$A:$A, prueba!$C:$C, $A87, prueba!$B:$B, "UNIDAD") + SUMIFS(prueba!$A:$A, prueba!$C:$C, $A87, prueba!$B:$B, "KG"))
)</f>
        <v>0</v>
      </c>
      <c r="I87" s="8">
        <f t="shared" si="1"/>
        <v>0</v>
      </c>
      <c r="J87" s="8">
        <f t="shared" si="3"/>
        <v>0</v>
      </c>
      <c r="K87" s="18" t="str">
        <f t="shared" si="2"/>
        <v>UVA BLANCAKG</v>
      </c>
    </row>
    <row r="88">
      <c r="A88" s="19" t="s">
        <v>64</v>
      </c>
      <c r="B88" s="14" t="s">
        <v>12</v>
      </c>
      <c r="C88" s="15">
        <f>IFERROR(AVERAGEIFS(COMPRAS!$D:$D, COMPRAS!$C:$C, $A88, COMPRAS!$J:$J, $B88), 0)</f>
        <v>0</v>
      </c>
      <c r="D88" s="16">
        <v>1.3</v>
      </c>
      <c r="E88" s="8">
        <f>ROUNDUP(C88 *D88, -3)</f>
        <v>0</v>
      </c>
      <c r="F88" s="17">
        <f>IFERROR(AVERAGEIFS(COMPRAS!$F:$F, COMPRAS!$C:$C, $A88, COMPRAS!$J:$J, $B88), 1)</f>
        <v>1</v>
      </c>
      <c r="G88" s="8">
        <f>IFERROR(SUMIFS(COMPRAS!I:I, COMPRAS!C:C, A88) * SUMIFS(COMPRAS!E:E, COMPRAS!C:C, A88) / COUNTIF(COMPRAS!C:C, A88), 0)</f>
        <v>0</v>
      </c>
      <c r="H88" s="18">
        <f>IFERROR(
  ((SUMIFS(COMPRAS!$E:$E, COMPRAS!$C:$C, $A88, COMPRAS!$J:$J, "CAJON") + SUMIFS(COMPRAS!$E:$E, COMPRAS!$C:$C, $A88, COMPRAS!$J:$J, "BOLSA")) * $F88) - 
  ((SUMIFS(prueba!$A:$A, prueba!$C:$C, $A88, prueba!$B:$B, "CAJON") + SUMIFS(prueba!$A:$A, prueba!$C:$C, $A88, prueba!$B:$B, "BOLSA")) * $F88) - 
  MAX(0, (SUMIFS(prueba!$A:$A, prueba!$C:$C, $A88, prueba!$B:$B, "UNIDAD") + SUMIFS(prueba!$A:$A, prueba!$C:$C, $A88, prueba!$B:$B, "KG")) - 
  (SUMIFS(COMPRAS!$E:$E, COMPRAS!$C:$C, $A88, COMPRAS!$J:$J, "UNIDAD") + SUMIFS(COMPRAS!$E:$E, COMPRAS!$C:$C, $A88, COMPRAS!$J:$J, "KG"))), 
0)</f>
        <v>0</v>
      </c>
      <c r="I88" s="8">
        <f t="shared" si="1"/>
        <v>0</v>
      </c>
      <c r="J88" s="8">
        <f t="shared" si="3"/>
        <v>0</v>
      </c>
      <c r="K88" s="18" t="str">
        <f t="shared" si="2"/>
        <v>UVA ROSADACAJON</v>
      </c>
    </row>
    <row r="89">
      <c r="A89" s="19" t="s">
        <v>64</v>
      </c>
      <c r="B89" s="14" t="s">
        <v>29</v>
      </c>
      <c r="C89" s="15">
        <f>IFERROR(AVERAGEIFS(COMPRAS!$D:$D, COMPRAS!$C:$C, $A89, COMPRAS!$J:$J, $B89), 0)</f>
        <v>0</v>
      </c>
      <c r="D89" s="16">
        <v>1.3</v>
      </c>
      <c r="E89" s="8">
        <f>ROUNDUP(C89 *D89, -2)</f>
        <v>0</v>
      </c>
      <c r="F89" s="17">
        <f>IFERROR(AVERAGEIFS(COMPRAS!$F:$F, COMPRAS!$C:$C, $A89, COMPRAS!$J:$J, $B89), 1)</f>
        <v>1</v>
      </c>
      <c r="G89" s="8">
        <f>IFERROR(SUMIFS(COMPRAS!I:I, COMPRAS!C:C, A89) * SUMIFS(COMPRAS!E:E, COMPRAS!C:C, A89) / COUNTIF(COMPRAS!C:C, A89), 0)</f>
        <v>0</v>
      </c>
      <c r="H89" s="18">
        <f>MAX(0, 
  (SUMIFS(COMPRAS!$E:$E, COMPRAS!$C:$C, $A89, COMPRAS!$J:$J, "UNIDAD") + SUMIFS(COMPRAS!$E:$E, COMPRAS!$C:$C, $A89, COMPRAS!$J:$J, "KG")) - 
  (SUMIFS(prueba!$A:$A, prueba!$C:$C, $A89, prueba!$B:$B, "UNIDAD") + SUMIFS(prueba!$A:$A, prueba!$C:$C, $A89, prueba!$B:$B, "KG"))
)</f>
        <v>0</v>
      </c>
      <c r="I89" s="8">
        <f t="shared" si="1"/>
        <v>0</v>
      </c>
      <c r="J89" s="8">
        <f t="shared" si="3"/>
        <v>0</v>
      </c>
      <c r="K89" s="18" t="str">
        <f t="shared" si="2"/>
        <v>UVA ROSADAKG</v>
      </c>
    </row>
    <row r="90">
      <c r="A90" s="19" t="s">
        <v>65</v>
      </c>
      <c r="B90" s="14" t="s">
        <v>12</v>
      </c>
      <c r="C90" s="15">
        <f>IFERROR(AVERAGEIFS(COMPRAS!$D:$D, COMPRAS!$C:$C, $A90, COMPRAS!$J:$J, $B90), 0)</f>
        <v>0</v>
      </c>
      <c r="D90" s="16">
        <v>1.3</v>
      </c>
      <c r="E90" s="8">
        <f>ROUNDUP(C90 *D90, -3)</f>
        <v>0</v>
      </c>
      <c r="F90" s="17">
        <f>IFERROR(AVERAGEIFS(COMPRAS!$F:$F, COMPRAS!$C:$C, $A90, COMPRAS!$J:$J, $B90), 1)</f>
        <v>1</v>
      </c>
      <c r="G90" s="8">
        <f>IFERROR(SUMIFS(COMPRAS!I:I, COMPRAS!C:C, A90) * SUMIFS(COMPRAS!E:E, COMPRAS!C:C, A90) / COUNTIF(COMPRAS!C:C, A90), 0)</f>
        <v>0</v>
      </c>
      <c r="H90" s="18">
        <f>IFERROR(
  ((SUMIFS(COMPRAS!$E:$E, COMPRAS!$C:$C, $A90, COMPRAS!$J:$J, "CAJON") + SUMIFS(COMPRAS!$E:$E, COMPRAS!$C:$C, $A90, COMPRAS!$J:$J, "BOLSA")) * $F90) - 
  ((SUMIFS(prueba!$A:$A, prueba!$C:$C, $A90, prueba!$B:$B, "CAJON") + SUMIFS(prueba!$A:$A, prueba!$C:$C, $A90, prueba!$B:$B, "BOLSA")) * $F90) - 
  MAX(0, (SUMIFS(prueba!$A:$A, prueba!$C:$C, $A90, prueba!$B:$B, "UNIDAD") + SUMIFS(prueba!$A:$A, prueba!$C:$C, $A90, prueba!$B:$B, "KG")) - 
  (SUMIFS(COMPRAS!$E:$E, COMPRAS!$C:$C, $A90, COMPRAS!$J:$J, "UNIDAD") + SUMIFS(COMPRAS!$E:$E, COMPRAS!$C:$C, $A90, COMPRAS!$J:$J, "KG"))), 
0)</f>
        <v>0</v>
      </c>
      <c r="I90" s="8">
        <f t="shared" si="1"/>
        <v>0</v>
      </c>
      <c r="J90" s="8">
        <f t="shared" si="3"/>
        <v>0</v>
      </c>
      <c r="K90" s="18" t="str">
        <f t="shared" si="2"/>
        <v>UVA NEGRACAJON</v>
      </c>
    </row>
    <row r="91">
      <c r="A91" s="19" t="s">
        <v>65</v>
      </c>
      <c r="B91" s="14" t="s">
        <v>29</v>
      </c>
      <c r="C91" s="15">
        <f>IFERROR(AVERAGEIFS(COMPRAS!$D:$D, COMPRAS!$C:$C, $A91, COMPRAS!$J:$J, $B91), 0)</f>
        <v>0</v>
      </c>
      <c r="D91" s="16">
        <v>1.3</v>
      </c>
      <c r="E91" s="8">
        <f>ROUNDUP(C91 *D91, -2)</f>
        <v>0</v>
      </c>
      <c r="F91" s="17">
        <f>IFERROR(AVERAGEIFS(COMPRAS!$F:$F, COMPRAS!$C:$C, $A91, COMPRAS!$J:$J, $B91), 1)</f>
        <v>1</v>
      </c>
      <c r="G91" s="8">
        <f>IFERROR(SUMIFS(COMPRAS!I:I, COMPRAS!C:C, A91) * SUMIFS(COMPRAS!E:E, COMPRAS!C:C, A91) / COUNTIF(COMPRAS!C:C, A91), 0)</f>
        <v>0</v>
      </c>
      <c r="H91" s="18">
        <f>MAX(0, 
  (SUMIFS(COMPRAS!$E:$E, COMPRAS!$C:$C, $A91, COMPRAS!$J:$J, "UNIDAD") + SUMIFS(COMPRAS!$E:$E, COMPRAS!$C:$C, $A91, COMPRAS!$J:$J, "KG")) - 
  (SUMIFS(prueba!$A:$A, prueba!$C:$C, $A91, prueba!$B:$B, "UNIDAD") + SUMIFS(prueba!$A:$A, prueba!$C:$C, $A91, prueba!$B:$B, "KG"))
)</f>
        <v>0</v>
      </c>
      <c r="I91" s="8">
        <f t="shared" si="1"/>
        <v>0</v>
      </c>
      <c r="J91" s="8">
        <f t="shared" si="3"/>
        <v>0</v>
      </c>
      <c r="K91" s="18" t="str">
        <f t="shared" si="2"/>
        <v>UVA NEGRAKG</v>
      </c>
    </row>
    <row r="92">
      <c r="A92" s="19" t="s">
        <v>66</v>
      </c>
      <c r="B92" s="14" t="s">
        <v>12</v>
      </c>
      <c r="C92" s="15">
        <f>IFERROR(AVERAGEIFS(COMPRAS!$D:$D, COMPRAS!$C:$C, $A92, COMPRAS!$J:$J, $B92), 0)</f>
        <v>0</v>
      </c>
      <c r="D92" s="16">
        <v>1.3</v>
      </c>
      <c r="E92" s="8">
        <f>ROUNDUP(C92 *D92, -3)</f>
        <v>0</v>
      </c>
      <c r="F92" s="17">
        <f>IFERROR(AVERAGEIFS(COMPRAS!$F:$F, COMPRAS!$C:$C, $A92, COMPRAS!$J:$J, $B92), 1)</f>
        <v>1</v>
      </c>
      <c r="G92" s="8">
        <f>IFERROR(SUMIFS(COMPRAS!I:I, COMPRAS!C:C, A92) * SUMIFS(COMPRAS!E:E, COMPRAS!C:C, A92) / COUNTIF(COMPRAS!C:C, A92), 0)</f>
        <v>0</v>
      </c>
      <c r="H92" s="18">
        <f>IFERROR(
  ((SUMIFS(COMPRAS!$E:$E, COMPRAS!$C:$C, $A92, COMPRAS!$J:$J, "CAJON") + SUMIFS(COMPRAS!$E:$E, COMPRAS!$C:$C, $A92, COMPRAS!$J:$J, "BOLSA")) * $F92) - 
  ((SUMIFS(prueba!$A:$A, prueba!$C:$C, $A92, prueba!$B:$B, "CAJON") + SUMIFS(prueba!$A:$A, prueba!$C:$C, $A92, prueba!$B:$B, "BOLSA")) * $F92) - 
  MAX(0, (SUMIFS(prueba!$A:$A, prueba!$C:$C, $A92, prueba!$B:$B, "UNIDAD") + SUMIFS(prueba!$A:$A, prueba!$C:$C, $A92, prueba!$B:$B, "KG")) - 
  (SUMIFS(COMPRAS!$E:$E, COMPRAS!$C:$C, $A92, COMPRAS!$J:$J, "UNIDAD") + SUMIFS(COMPRAS!$E:$E, COMPRAS!$C:$C, $A92, COMPRAS!$J:$J, "KG"))), 
0)</f>
        <v>0</v>
      </c>
      <c r="I92" s="8">
        <f t="shared" si="1"/>
        <v>0</v>
      </c>
      <c r="J92" s="8">
        <f t="shared" si="3"/>
        <v>0</v>
      </c>
      <c r="K92" s="18" t="str">
        <f t="shared" si="2"/>
        <v>PERACAJON</v>
      </c>
    </row>
    <row r="93">
      <c r="A93" s="19" t="s">
        <v>66</v>
      </c>
      <c r="B93" s="14" t="s">
        <v>29</v>
      </c>
      <c r="C93" s="15">
        <f>IFERROR(AVERAGEIFS(COMPRAS!$D:$D, COMPRAS!$C:$C, $A93, COMPRAS!$J:$J, $B93), 0)</f>
        <v>0</v>
      </c>
      <c r="D93" s="16">
        <v>1.3</v>
      </c>
      <c r="E93" s="8">
        <f>ROUNDUP(C93 *D93, -2)</f>
        <v>0</v>
      </c>
      <c r="F93" s="17">
        <f>IFERROR(AVERAGEIFS(COMPRAS!$F:$F, COMPRAS!$C:$C, $A93, COMPRAS!$J:$J, $B93), 1)</f>
        <v>1</v>
      </c>
      <c r="G93" s="8">
        <f>IFERROR(SUMIFS(COMPRAS!I:I, COMPRAS!C:C, A93) * SUMIFS(COMPRAS!E:E, COMPRAS!C:C, A93) / COUNTIF(COMPRAS!C:C, A93), 0)</f>
        <v>0</v>
      </c>
      <c r="H93" s="18">
        <f>MAX(0, 
  (SUMIFS(COMPRAS!$E:$E, COMPRAS!$C:$C, $A93, COMPRAS!$J:$J, "UNIDAD") + SUMIFS(COMPRAS!$E:$E, COMPRAS!$C:$C, $A93, COMPRAS!$J:$J, "KG")) - 
  (SUMIFS(prueba!$A:$A, prueba!$C:$C, $A93, prueba!$B:$B, "UNIDAD") + SUMIFS(prueba!$A:$A, prueba!$C:$C, $A93, prueba!$B:$B, "KG"))
)</f>
        <v>0</v>
      </c>
      <c r="I93" s="8">
        <f t="shared" si="1"/>
        <v>0</v>
      </c>
      <c r="J93" s="8">
        <f t="shared" si="3"/>
        <v>0</v>
      </c>
      <c r="K93" s="18" t="str">
        <f t="shared" si="2"/>
        <v>PERAKG</v>
      </c>
    </row>
    <row r="94">
      <c r="A94" s="20" t="s">
        <v>67</v>
      </c>
      <c r="B94" s="14" t="s">
        <v>12</v>
      </c>
      <c r="C94" s="15">
        <f>IFERROR(AVERAGEIFS(COMPRAS!$D:$D, COMPRAS!$C:$C, $A94, COMPRAS!$J:$J, $B94), 0)</f>
        <v>0</v>
      </c>
      <c r="D94" s="16">
        <v>1.3</v>
      </c>
      <c r="E94" s="8">
        <f>ROUNDUP(C94 *D94, -3)</f>
        <v>0</v>
      </c>
      <c r="F94" s="17">
        <f>IFERROR(AVERAGEIFS(COMPRAS!$F:$F, COMPRAS!$C:$C, $A94, COMPRAS!$J:$J, $B94), 1)</f>
        <v>1</v>
      </c>
      <c r="G94" s="8">
        <f>IFERROR(SUMIFS(COMPRAS!I:I, COMPRAS!C:C, A94) * SUMIFS(COMPRAS!E:E, COMPRAS!C:C, A94) / COUNTIF(COMPRAS!C:C, A94), 0)</f>
        <v>0</v>
      </c>
      <c r="H94" s="18">
        <f>IFERROR(
  ((SUMIFS(COMPRAS!$E:$E, COMPRAS!$C:$C, $A94, COMPRAS!$J:$J, "CAJON") + SUMIFS(COMPRAS!$E:$E, COMPRAS!$C:$C, $A94, COMPRAS!$J:$J, "BOLSA")) * $F94) - 
  ((SUMIFS(prueba!$A:$A, prueba!$C:$C, $A94, prueba!$B:$B, "CAJON") + SUMIFS(prueba!$A:$A, prueba!$C:$C, $A94, prueba!$B:$B, "BOLSA")) * $F94) - 
  MAX(0, (SUMIFS(prueba!$A:$A, prueba!$C:$C, $A94, prueba!$B:$B, "UNIDAD") + SUMIFS(prueba!$A:$A, prueba!$C:$C, $A94, prueba!$B:$B, "KG")) - 
  (SUMIFS(COMPRAS!$E:$E, COMPRAS!$C:$C, $A94, COMPRAS!$J:$J, "UNIDAD") + SUMIFS(COMPRAS!$E:$E, COMPRAS!$C:$C, $A94, COMPRAS!$J:$J, "KG"))), 
0)</f>
        <v>0</v>
      </c>
      <c r="I94" s="8">
        <f t="shared" si="1"/>
        <v>0</v>
      </c>
      <c r="J94" s="8">
        <f t="shared" si="3"/>
        <v>0</v>
      </c>
      <c r="K94" s="18" t="str">
        <f t="shared" si="2"/>
        <v>BERENJENACAJON</v>
      </c>
    </row>
    <row r="95">
      <c r="A95" s="20" t="s">
        <v>67</v>
      </c>
      <c r="B95" s="14" t="s">
        <v>29</v>
      </c>
      <c r="C95" s="15">
        <f>IFERROR(AVERAGEIFS(COMPRAS!$D:$D, COMPRAS!$C:$C, $A95, COMPRAS!$J:$J, $B95), 0)</f>
        <v>0</v>
      </c>
      <c r="D95" s="16">
        <v>1.3</v>
      </c>
      <c r="E95" s="8">
        <f>ROUNDUP(C95 *D95, -2)</f>
        <v>0</v>
      </c>
      <c r="F95" s="17">
        <f>IFERROR(AVERAGEIFS(COMPRAS!$F:$F, COMPRAS!$C:$C, $A95, COMPRAS!$J:$J, $B95), 1)</f>
        <v>1</v>
      </c>
      <c r="G95" s="8">
        <f>IFERROR(SUMIFS(COMPRAS!I:I, COMPRAS!C:C, A95) * SUMIFS(COMPRAS!E:E, COMPRAS!C:C, A95) / COUNTIF(COMPRAS!C:C, A95), 0)</f>
        <v>0</v>
      </c>
      <c r="H95" s="18">
        <f>MAX(0, 
  (SUMIFS(COMPRAS!$E:$E, COMPRAS!$C:$C, $A95, COMPRAS!$J:$J, "UNIDAD") + SUMIFS(COMPRAS!$E:$E, COMPRAS!$C:$C, $A95, COMPRAS!$J:$J, "KG")) - 
  (SUMIFS(prueba!$A:$A, prueba!$C:$C, $A95, prueba!$B:$B, "UNIDAD") + SUMIFS(prueba!$A:$A, prueba!$C:$C, $A95, prueba!$B:$B, "KG"))
)</f>
        <v>0</v>
      </c>
      <c r="I95" s="8">
        <f t="shared" si="1"/>
        <v>0</v>
      </c>
      <c r="J95" s="8">
        <f t="shared" si="3"/>
        <v>0</v>
      </c>
      <c r="K95" s="18" t="str">
        <f t="shared" si="2"/>
        <v>BERENJENAKG</v>
      </c>
    </row>
    <row r="96">
      <c r="A96" s="19" t="s">
        <v>68</v>
      </c>
      <c r="B96" s="14" t="s">
        <v>12</v>
      </c>
      <c r="C96" s="15">
        <f>IFERROR(AVERAGEIFS(COMPRAS!$D:$D, COMPRAS!$C:$C, $A96, COMPRAS!$J:$J, $B96), 0)</f>
        <v>0</v>
      </c>
      <c r="D96" s="16">
        <v>1.3</v>
      </c>
      <c r="E96" s="8">
        <f>ROUNDUP(C96 *D96, -3)</f>
        <v>0</v>
      </c>
      <c r="F96" s="17">
        <f>IFERROR(AVERAGEIFS(COMPRAS!$F:$F, COMPRAS!$C:$C, $A96, COMPRAS!$J:$J, $B96), 1)</f>
        <v>1</v>
      </c>
      <c r="G96" s="8">
        <f>IFERROR(SUMIFS(COMPRAS!I:I, COMPRAS!C:C, A96) * SUMIFS(COMPRAS!E:E, COMPRAS!C:C, A96) / COUNTIF(COMPRAS!C:C, A96), 0)</f>
        <v>0</v>
      </c>
      <c r="H96" s="18">
        <f>IFERROR(
  ((SUMIFS(COMPRAS!$E:$E, COMPRAS!$C:$C, $A96, COMPRAS!$J:$J, "CAJON") + SUMIFS(COMPRAS!$E:$E, COMPRAS!$C:$C, $A96, COMPRAS!$J:$J, "BOLSA")) * $F96) - 
  ((SUMIFS(prueba!$A:$A, prueba!$C:$C, $A96, prueba!$B:$B, "CAJON") + SUMIFS(prueba!$A:$A, prueba!$C:$C, $A96, prueba!$B:$B, "BOLSA")) * $F96) - 
  MAX(0, (SUMIFS(prueba!$A:$A, prueba!$C:$C, $A96, prueba!$B:$B, "UNIDAD") + SUMIFS(prueba!$A:$A, prueba!$C:$C, $A96, prueba!$B:$B, "KG")) - 
  (SUMIFS(COMPRAS!$E:$E, COMPRAS!$C:$C, $A96, COMPRAS!$J:$J, "UNIDAD") + SUMIFS(COMPRAS!$E:$E, COMPRAS!$C:$C, $A96, COMPRAS!$J:$J, "KG"))), 
0)</f>
        <v>0</v>
      </c>
      <c r="I96" s="8">
        <f t="shared" si="1"/>
        <v>0</v>
      </c>
      <c r="J96" s="8">
        <f t="shared" si="3"/>
        <v>0</v>
      </c>
      <c r="K96" s="18" t="str">
        <f t="shared" si="2"/>
        <v>CHAUCHA ROLLIZACAJON</v>
      </c>
    </row>
    <row r="97">
      <c r="A97" s="19" t="s">
        <v>68</v>
      </c>
      <c r="B97" s="14" t="s">
        <v>29</v>
      </c>
      <c r="C97" s="15">
        <f>IFERROR(AVERAGEIFS(COMPRAS!$D:$D, COMPRAS!$C:$C, $A97, COMPRAS!$J:$J, $B97), 0)</f>
        <v>0</v>
      </c>
      <c r="D97" s="16">
        <v>1.3</v>
      </c>
      <c r="E97" s="8">
        <f>ROUNDUP(C97 *D97, -2)</f>
        <v>0</v>
      </c>
      <c r="F97" s="17">
        <f>IFERROR(AVERAGEIFS(COMPRAS!$F:$F, COMPRAS!$C:$C, $A97, COMPRAS!$J:$J, $B97), 1)</f>
        <v>1</v>
      </c>
      <c r="G97" s="8">
        <f>IFERROR(SUMIFS(COMPRAS!I:I, COMPRAS!C:C, A97) * SUMIFS(COMPRAS!E:E, COMPRAS!C:C, A97) / COUNTIF(COMPRAS!C:C, A97), 0)</f>
        <v>0</v>
      </c>
      <c r="H97" s="18">
        <f>MAX(0, 
  (SUMIFS(COMPRAS!$E:$E, COMPRAS!$C:$C, $A97, COMPRAS!$J:$J, "UNIDAD") + SUMIFS(COMPRAS!$E:$E, COMPRAS!$C:$C, $A97, COMPRAS!$J:$J, "KG")) - 
  (SUMIFS(prueba!$A:$A, prueba!$C:$C, $A97, prueba!$B:$B, "UNIDAD") + SUMIFS(prueba!$A:$A, prueba!$C:$C, $A97, prueba!$B:$B, "KG"))
)</f>
        <v>0</v>
      </c>
      <c r="I97" s="8">
        <f t="shared" si="1"/>
        <v>0</v>
      </c>
      <c r="J97" s="8">
        <f t="shared" si="3"/>
        <v>0</v>
      </c>
      <c r="K97" s="18" t="str">
        <f t="shared" si="2"/>
        <v>CHAUCHA ROLLIZAKG</v>
      </c>
    </row>
    <row r="98">
      <c r="A98" s="19" t="s">
        <v>69</v>
      </c>
      <c r="B98" s="14" t="s">
        <v>12</v>
      </c>
      <c r="C98" s="15">
        <f>IFERROR(AVERAGEIFS(COMPRAS!$D:$D, COMPRAS!$C:$C, $A98, COMPRAS!$J:$J, $B98), 0)</f>
        <v>0</v>
      </c>
      <c r="D98" s="16">
        <v>1.3</v>
      </c>
      <c r="E98" s="8">
        <f>ROUNDUP(C98 * D98, -3)</f>
        <v>0</v>
      </c>
      <c r="F98" s="17">
        <f>IFERROR(AVERAGEIFS(COMPRAS!$F:$F, COMPRAS!$C:$C, $A98, COMPRAS!$J:$J, $B98), 1)</f>
        <v>1</v>
      </c>
      <c r="G98" s="8">
        <f>IFERROR(SUMIFS(COMPRAS!I:I, COMPRAS!C:C, A98) * SUMIFS(COMPRAS!E:E, COMPRAS!C:C, A98) / COUNTIF(COMPRAS!C:C, A98), 0)</f>
        <v>0</v>
      </c>
      <c r="H98" s="18">
        <f>IFERROR(
  ((SUMIFS(COMPRAS!$E:$E, COMPRAS!$C:$C, $A98, COMPRAS!$J:$J, "CAJON") + SUMIFS(COMPRAS!$E:$E, COMPRAS!$C:$C, $A98, COMPRAS!$J:$J, "BOLSA")) * $F98) - 
  ((SUMIFS(prueba!$A:$A, prueba!$C:$C, $A98, prueba!$B:$B, "CAJON") + SUMIFS(prueba!$A:$A, prueba!$C:$C, $A98, prueba!$B:$B, "BOLSA")) * $F98) - 
  MAX(0, (SUMIFS(prueba!$A:$A, prueba!$C:$C, $A98, prueba!$B:$B, "UNIDAD") + SUMIFS(prueba!$A:$A, prueba!$C:$C, $A98, prueba!$B:$B, "KG")) - 
  (SUMIFS(COMPRAS!$E:$E, COMPRAS!$C:$C, $A98, COMPRAS!$J:$J, "UNIDAD") + SUMIFS(COMPRAS!$E:$E, COMPRAS!$C:$C, $A98, COMPRAS!$J:$J, "KG"))), 
0)</f>
        <v>0</v>
      </c>
      <c r="I98" s="8">
        <f t="shared" si="1"/>
        <v>0</v>
      </c>
      <c r="J98" s="8">
        <f t="shared" si="3"/>
        <v>0</v>
      </c>
      <c r="K98" s="18" t="str">
        <f t="shared" si="2"/>
        <v>CHAUCHA PLANACAJON</v>
      </c>
    </row>
    <row r="99">
      <c r="A99" s="19" t="s">
        <v>69</v>
      </c>
      <c r="B99" s="14" t="s">
        <v>29</v>
      </c>
      <c r="C99" s="15">
        <f>IFERROR(AVERAGEIFS(COMPRAS!$D:$D, COMPRAS!$C:$C, $A99, COMPRAS!$J:$J, $B99), 0)</f>
        <v>0</v>
      </c>
      <c r="D99" s="16">
        <v>1.3</v>
      </c>
      <c r="E99" s="8">
        <f>ROUNDUP(C99 * D99, -2)</f>
        <v>0</v>
      </c>
      <c r="F99" s="17">
        <f>IFERROR(AVERAGEIFS(COMPRAS!$F:$F, COMPRAS!$C:$C, $A99, COMPRAS!$J:$J, $B99), 1)</f>
        <v>1</v>
      </c>
      <c r="G99" s="8">
        <f>IFERROR(SUMIFS(COMPRAS!I:I, COMPRAS!C:C, A99) * SUMIFS(COMPRAS!E:E, COMPRAS!C:C, A99) / COUNTIF(COMPRAS!C:C, A99), 0)</f>
        <v>0</v>
      </c>
      <c r="H99" s="18">
        <f>MAX(0, 
  (SUMIFS(COMPRAS!$E:$E, COMPRAS!$C:$C, $A99, COMPRAS!$J:$J, "UNIDAD") + SUMIFS(COMPRAS!$E:$E, COMPRAS!$C:$C, $A99, COMPRAS!$J:$J, "KG")) - 
  (SUMIFS(prueba!$A:$A, prueba!$C:$C, $A99, prueba!$B:$B, "UNIDAD") + SUMIFS(prueba!$A:$A, prueba!$C:$C, $A99, prueba!$B:$B, "KG"))
)</f>
        <v>0</v>
      </c>
      <c r="I99" s="8">
        <f t="shared" si="1"/>
        <v>0</v>
      </c>
      <c r="J99" s="8">
        <f t="shared" si="3"/>
        <v>0</v>
      </c>
      <c r="K99" s="18" t="str">
        <f t="shared" si="2"/>
        <v>CHAUCHA PLANAKG</v>
      </c>
    </row>
    <row r="100">
      <c r="A100" s="19" t="s">
        <v>70</v>
      </c>
      <c r="B100" s="14" t="s">
        <v>12</v>
      </c>
      <c r="C100" s="15">
        <f>IFERROR(AVERAGEIFS(COMPRAS!$D:$D, COMPRAS!$C:$C, $A100, COMPRAS!$J:$J, $B100), 0)</f>
        <v>0</v>
      </c>
      <c r="D100" s="16">
        <v>1.3</v>
      </c>
      <c r="E100" s="8">
        <f>ROUNDUP(C100 *D100, -3)</f>
        <v>0</v>
      </c>
      <c r="F100" s="17">
        <f>IFERROR(AVERAGEIFS(COMPRAS!$F:$F, COMPRAS!$C:$C, $A100, COMPRAS!$J:$J, $B100), 1)</f>
        <v>1</v>
      </c>
      <c r="G100" s="8">
        <f>IFERROR(SUMIFS(COMPRAS!I:I, COMPRAS!C:C, A100) * SUMIFS(COMPRAS!E:E, COMPRAS!C:C, A100) / COUNTIF(COMPRAS!C:C, A100), 0)</f>
        <v>0</v>
      </c>
      <c r="H100" s="18">
        <f>IFERROR(
  ((SUMIFS(COMPRAS!$E:$E, COMPRAS!$C:$C, $A100, COMPRAS!$J:$J, "CAJON") + SUMIFS(COMPRAS!$E:$E, COMPRAS!$C:$C, $A100, COMPRAS!$J:$J, "BOLSA")) * $F100) - 
  ((SUMIFS(prueba!$A:$A, prueba!$C:$C, $A100, prueba!$B:$B, "CAJON") + SUMIFS(prueba!$A:$A, prueba!$C:$C, $A100, prueba!$B:$B, "BOLSA")) * $F100) - 
  MAX(0, (SUMIFS(prueba!$A:$A, prueba!$C:$C, $A100, prueba!$B:$B, "UNIDAD") + SUMIFS(prueba!$A:$A, prueba!$C:$C, $A100, prueba!$B:$B, "KG")) - 
  (SUMIFS(COMPRAS!$E:$E, COMPRAS!$C:$C, $A100, COMPRAS!$J:$J, "UNIDAD") + SUMIFS(COMPRAS!$E:$E, COMPRAS!$C:$C, $A100, COMPRAS!$J:$J, "KG"))), 
0)</f>
        <v>0</v>
      </c>
      <c r="I100" s="8">
        <f t="shared" si="1"/>
        <v>0</v>
      </c>
      <c r="J100" s="8">
        <f t="shared" si="3"/>
        <v>0</v>
      </c>
      <c r="K100" s="18" t="str">
        <f t="shared" si="2"/>
        <v>CHOCLOCAJON</v>
      </c>
    </row>
    <row r="101">
      <c r="A101" s="19" t="s">
        <v>70</v>
      </c>
      <c r="B101" s="14" t="s">
        <v>8</v>
      </c>
      <c r="C101" s="15">
        <f>IFERROR(AVERAGEIFS(COMPRAS!$D:$D, COMPRAS!$C:$C, $A101, COMPRAS!$J:$J, $B101), 0)</f>
        <v>0</v>
      </c>
      <c r="D101" s="16">
        <v>1.3</v>
      </c>
      <c r="E101" s="8">
        <f>ROUNDUP(C101 *D101, -2)</f>
        <v>0</v>
      </c>
      <c r="F101" s="17">
        <f>IFERROR(AVERAGEIFS(COMPRAS!$F:$F, COMPRAS!$C:$C, $A101, COMPRAS!$J:$J, $B101), 1)</f>
        <v>1</v>
      </c>
      <c r="G101" s="8">
        <f>IFERROR(SUMIFS(COMPRAS!I:I, COMPRAS!C:C, A101) * SUMIFS(COMPRAS!E:E, COMPRAS!C:C, A101) / COUNTIF(COMPRAS!C:C, A101), 0)</f>
        <v>0</v>
      </c>
      <c r="H101" s="18">
        <f>MAX(0, 
  (SUMIFS(COMPRAS!$E:$E, COMPRAS!$C:$C, $A101, COMPRAS!$J:$J, "UNIDAD") + SUMIFS(COMPRAS!$E:$E, COMPRAS!$C:$C, $A101, COMPRAS!$J:$J, "KG")) - 
  (SUMIFS(prueba!$A:$A, prueba!$C:$C, $A101, prueba!$B:$B, "UNIDAD") + SUMIFS(prueba!$A:$A, prueba!$C:$C, $A101, prueba!$B:$B, "KG"))
)</f>
        <v>0</v>
      </c>
      <c r="I101" s="8">
        <f t="shared" si="1"/>
        <v>0</v>
      </c>
      <c r="J101" s="8">
        <f t="shared" si="3"/>
        <v>0</v>
      </c>
      <c r="K101" s="18" t="str">
        <f t="shared" si="2"/>
        <v>CHOCLOUNIDAD</v>
      </c>
    </row>
    <row r="102">
      <c r="A102" s="19" t="s">
        <v>71</v>
      </c>
      <c r="B102" s="14" t="s">
        <v>12</v>
      </c>
      <c r="C102" s="15">
        <f>IFERROR(AVERAGEIFS(COMPRAS!$D:$D, COMPRAS!$C:$C, $A102, COMPRAS!$J:$J, $B102), 0)</f>
        <v>0</v>
      </c>
      <c r="D102" s="16">
        <v>1.3</v>
      </c>
      <c r="E102" s="8">
        <f>ROUNDUP(C102 *D102, -3)</f>
        <v>0</v>
      </c>
      <c r="F102" s="17">
        <f>IFERROR(AVERAGEIFS(COMPRAS!$F:$F, COMPRAS!$C:$C, $A102, COMPRAS!$J:$J, $B102), 1)</f>
        <v>1</v>
      </c>
      <c r="G102" s="8">
        <f>IFERROR(SUMIFS(COMPRAS!I:I, COMPRAS!C:C, A102) * SUMIFS(COMPRAS!E:E, COMPRAS!C:C, A102) / COUNTIF(COMPRAS!C:C, A102), 0)</f>
        <v>0</v>
      </c>
      <c r="H102" s="18">
        <f>IFERROR(
  ((SUMIFS(COMPRAS!$E:$E, COMPRAS!$C:$C, $A102, COMPRAS!$J:$J, "CAJON") + SUMIFS(COMPRAS!$E:$E, COMPRAS!$C:$C, $A102, COMPRAS!$J:$J, "BOLSA")) * $F102) - 
  ((SUMIFS(prueba!$A:$A, prueba!$C:$C, $A102, prueba!$B:$B, "CAJON") + SUMIFS(prueba!$A:$A, prueba!$C:$C, $A102, prueba!$B:$B, "BOLSA")) * $F102) - 
  MAX(0, (SUMIFS(prueba!$A:$A, prueba!$C:$C, $A102, prueba!$B:$B, "UNIDAD") + SUMIFS(prueba!$A:$A, prueba!$C:$C, $A102, prueba!$B:$B, "KG")) - 
  (SUMIFS(COMPRAS!$E:$E, COMPRAS!$C:$C, $A102, COMPRAS!$J:$J, "UNIDAD") + SUMIFS(COMPRAS!$E:$E, COMPRAS!$C:$C, $A102, COMPRAS!$J:$J, "KG"))), 
0)</f>
        <v>0</v>
      </c>
      <c r="I102" s="8">
        <f t="shared" si="1"/>
        <v>0</v>
      </c>
      <c r="J102" s="8">
        <f t="shared" si="3"/>
        <v>0</v>
      </c>
      <c r="K102" s="18" t="str">
        <f t="shared" si="2"/>
        <v>PEPINOCAJON</v>
      </c>
    </row>
    <row r="103">
      <c r="A103" s="19" t="s">
        <v>71</v>
      </c>
      <c r="B103" s="14" t="s">
        <v>29</v>
      </c>
      <c r="C103" s="15">
        <f>IFERROR(AVERAGEIFS(COMPRAS!$D:$D, COMPRAS!$C:$C, $A103, COMPRAS!$J:$J, $B103), 0)</f>
        <v>0</v>
      </c>
      <c r="D103" s="16">
        <v>1.3</v>
      </c>
      <c r="E103" s="8">
        <f>ROUNDUP(C103 *D103, -2)</f>
        <v>0</v>
      </c>
      <c r="F103" s="17">
        <f>IFERROR(AVERAGEIFS(COMPRAS!$F:$F, COMPRAS!$C:$C, $A103, COMPRAS!$J:$J, $B103), 1)</f>
        <v>1</v>
      </c>
      <c r="G103" s="8">
        <f>IFERROR(SUMIFS(COMPRAS!I:I, COMPRAS!C:C, A103) * SUMIFS(COMPRAS!E:E, COMPRAS!C:C, A103) / COUNTIF(COMPRAS!C:C, A103), 0)</f>
        <v>0</v>
      </c>
      <c r="H103" s="18">
        <f>MAX(0, 
  (SUMIFS(COMPRAS!$E:$E, COMPRAS!$C:$C, $A103, COMPRAS!$J:$J, "UNIDAD") + SUMIFS(COMPRAS!$E:$E, COMPRAS!$C:$C, $A103, COMPRAS!$J:$J, "KG")) - 
  (SUMIFS(prueba!$A:$A, prueba!$C:$C, $A103, prueba!$B:$B, "UNIDAD") + SUMIFS(prueba!$A:$A, prueba!$C:$C, $A103, prueba!$B:$B, "KG"))
)</f>
        <v>0</v>
      </c>
      <c r="I103" s="8">
        <f t="shared" si="1"/>
        <v>0</v>
      </c>
      <c r="J103" s="8">
        <f t="shared" si="3"/>
        <v>0</v>
      </c>
      <c r="K103" s="18" t="str">
        <f t="shared" si="2"/>
        <v>PEPINOKG</v>
      </c>
    </row>
    <row r="104">
      <c r="A104" s="19" t="s">
        <v>72</v>
      </c>
      <c r="B104" s="14" t="s">
        <v>12</v>
      </c>
      <c r="C104" s="15">
        <f>IFERROR(AVERAGEIFS(COMPRAS!$D:$D, COMPRAS!$C:$C, $A104, COMPRAS!$J:$J, $B104), 0)</f>
        <v>0</v>
      </c>
      <c r="D104" s="16">
        <v>1.3</v>
      </c>
      <c r="E104" s="8">
        <f>ROUNDUP(C104 *D104, -3)</f>
        <v>0</v>
      </c>
      <c r="F104" s="17">
        <f>IFERROR(AVERAGEIFS(COMPRAS!$F:$F, COMPRAS!$C:$C, $A104, COMPRAS!$J:$J, $B104), 1)</f>
        <v>1</v>
      </c>
      <c r="G104" s="8">
        <f>IFERROR(SUMIFS(COMPRAS!I:I, COMPRAS!C:C, A104) * SUMIFS(COMPRAS!E:E, COMPRAS!C:C, A104) / COUNTIF(COMPRAS!C:C, A104), 0)</f>
        <v>0</v>
      </c>
      <c r="H104" s="18">
        <f>IFERROR(
  ((SUMIFS(COMPRAS!$E:$E, COMPRAS!$C:$C, $A104, COMPRAS!$J:$J, "CAJON") + SUMIFS(COMPRAS!$E:$E, COMPRAS!$C:$C, $A104, COMPRAS!$J:$J, "BOLSA")) * $F104) - 
  ((SUMIFS(prueba!$A:$A, prueba!$C:$C, $A104, prueba!$B:$B, "CAJON") + SUMIFS(prueba!$A:$A, prueba!$C:$C, $A104, prueba!$B:$B, "BOLSA")) * $F104) - 
  MAX(0, (SUMIFS(prueba!$A:$A, prueba!$C:$C, $A104, prueba!$B:$B, "UNIDAD") + SUMIFS(prueba!$A:$A, prueba!$C:$C, $A104, prueba!$B:$B, "KG")) - 
  (SUMIFS(COMPRAS!$E:$E, COMPRAS!$C:$C, $A104, COMPRAS!$J:$J, "UNIDAD") + SUMIFS(COMPRAS!$E:$E, COMPRAS!$C:$C, $A104, COMPRAS!$J:$J, "KG"))), 
0)</f>
        <v>0</v>
      </c>
      <c r="I104" s="8">
        <f t="shared" si="1"/>
        <v>0</v>
      </c>
      <c r="J104" s="8">
        <f t="shared" si="3"/>
        <v>0</v>
      </c>
      <c r="K104" s="18" t="str">
        <f t="shared" si="2"/>
        <v>MORRON AMARILLOCAJON</v>
      </c>
    </row>
    <row r="105">
      <c r="A105" s="19" t="s">
        <v>72</v>
      </c>
      <c r="B105" s="14" t="s">
        <v>29</v>
      </c>
      <c r="C105" s="15">
        <f>IFERROR(AVERAGEIFS(COMPRAS!$D:$D, COMPRAS!$C:$C, $A105, COMPRAS!$J:$J, $B105), 0)</f>
        <v>0</v>
      </c>
      <c r="D105" s="16">
        <v>1.3</v>
      </c>
      <c r="E105" s="8">
        <f>ROUNDUP(C105 *D105, -2)</f>
        <v>0</v>
      </c>
      <c r="F105" s="17">
        <f>IFERROR(AVERAGEIFS(COMPRAS!$F:$F, COMPRAS!$C:$C, $A105, COMPRAS!$J:$J, $B105), 1)</f>
        <v>1</v>
      </c>
      <c r="G105" s="8">
        <f>IFERROR(SUMIFS(COMPRAS!I:I, COMPRAS!C:C, A105) * SUMIFS(COMPRAS!E:E, COMPRAS!C:C, A105) / COUNTIF(COMPRAS!C:C, A105), 0)</f>
        <v>0</v>
      </c>
      <c r="H105" s="18">
        <f>MAX(0, 
  (SUMIFS(COMPRAS!$E:$E, COMPRAS!$C:$C, $A105, COMPRAS!$J:$J, "UNIDAD") + SUMIFS(COMPRAS!$E:$E, COMPRAS!$C:$C, $A105, COMPRAS!$J:$J, "KG")) - 
  (SUMIFS(prueba!$A:$A, prueba!$C:$C, $A105, prueba!$B:$B, "UNIDAD") + SUMIFS(prueba!$A:$A, prueba!$C:$C, $A105, prueba!$B:$B, "KG"))
)</f>
        <v>0</v>
      </c>
      <c r="I105" s="8">
        <f t="shared" si="1"/>
        <v>0</v>
      </c>
      <c r="J105" s="8">
        <f t="shared" si="3"/>
        <v>0</v>
      </c>
      <c r="K105" s="18" t="str">
        <f t="shared" si="2"/>
        <v>MORRON AMARILLOKG</v>
      </c>
    </row>
    <row r="106">
      <c r="A106" s="20" t="s">
        <v>73</v>
      </c>
      <c r="B106" s="14" t="s">
        <v>12</v>
      </c>
      <c r="C106" s="15">
        <f>IFERROR(AVERAGEIFS(COMPRAS!$D:$D, COMPRAS!$C:$C, $A106, COMPRAS!$J:$J, $B106), 0)</f>
        <v>0</v>
      </c>
      <c r="D106" s="16">
        <v>1.3</v>
      </c>
      <c r="E106" s="8">
        <f>ROUNDUP(C106 *D106, -3)</f>
        <v>0</v>
      </c>
      <c r="F106" s="17">
        <f>IFERROR(AVERAGEIFS(COMPRAS!$F:$F, COMPRAS!$C:$C, $A106, COMPRAS!$J:$J, $B106), 1)</f>
        <v>1</v>
      </c>
      <c r="G106" s="8">
        <f>IFERROR(SUMIFS(COMPRAS!I:I, COMPRAS!C:C, A106) * SUMIFS(COMPRAS!E:E, COMPRAS!C:C, A106) / COUNTIF(COMPRAS!C:C, A106), 0)</f>
        <v>0</v>
      </c>
      <c r="H106" s="18">
        <f>IFERROR(
  ((SUMIFS(COMPRAS!$E:$E, COMPRAS!$C:$C, $A106, COMPRAS!$J:$J, "CAJON") + SUMIFS(COMPRAS!$E:$E, COMPRAS!$C:$C, $A106, COMPRAS!$J:$J, "BOLSA")) * $F106) - 
  ((SUMIFS(prueba!$A:$A, prueba!$C:$C, $A106, prueba!$B:$B, "CAJON") + SUMIFS(prueba!$A:$A, prueba!$C:$C, $A106, prueba!$B:$B, "BOLSA")) * $F106) - 
  MAX(0, (SUMIFS(prueba!$A:$A, prueba!$C:$C, $A106, prueba!$B:$B, "UNIDAD") + SUMIFS(prueba!$A:$A, prueba!$C:$C, $A106, prueba!$B:$B, "KG")) - 
  (SUMIFS(COMPRAS!$E:$E, COMPRAS!$C:$C, $A106, COMPRAS!$J:$J, "UNIDAD") + SUMIFS(COMPRAS!$E:$E, COMPRAS!$C:$C, $A106, COMPRAS!$J:$J, "KG"))), 
0)</f>
        <v>0</v>
      </c>
      <c r="I106" s="8">
        <f t="shared" si="1"/>
        <v>0</v>
      </c>
      <c r="J106" s="8">
        <f t="shared" si="3"/>
        <v>0</v>
      </c>
      <c r="K106" s="18" t="str">
        <f t="shared" si="2"/>
        <v>MORRON ROJOCAJON</v>
      </c>
    </row>
    <row r="107">
      <c r="A107" s="20" t="s">
        <v>73</v>
      </c>
      <c r="B107" s="14" t="s">
        <v>29</v>
      </c>
      <c r="C107" s="15">
        <f>IFERROR(AVERAGEIFS(COMPRAS!$D:$D, COMPRAS!$C:$C, $A107, COMPRAS!$J:$J, $B107), 0)</f>
        <v>0</v>
      </c>
      <c r="D107" s="16">
        <v>1.3</v>
      </c>
      <c r="E107" s="8">
        <f>ROUNDUP(C107 *D107, -2)</f>
        <v>0</v>
      </c>
      <c r="F107" s="17">
        <f>IFERROR(AVERAGEIFS(COMPRAS!$F:$F, COMPRAS!$C:$C, $A107, COMPRAS!$J:$J, $B107), 1)</f>
        <v>1</v>
      </c>
      <c r="G107" s="8">
        <f>IFERROR(SUMIFS(COMPRAS!I:I, COMPRAS!C:C, A107) * SUMIFS(COMPRAS!E:E, COMPRAS!C:C, A107) / COUNTIF(COMPRAS!C:C, A107), 0)</f>
        <v>0</v>
      </c>
      <c r="H107" s="18">
        <f>MAX(0, 
  (SUMIFS(COMPRAS!$E:$E, COMPRAS!$C:$C, $A107, COMPRAS!$J:$J, "UNIDAD") + SUMIFS(COMPRAS!$E:$E, COMPRAS!$C:$C, $A107, COMPRAS!$J:$J, "KG")) - 
  (SUMIFS(prueba!$A:$A, prueba!$C:$C, $A107, prueba!$B:$B, "UNIDAD") + SUMIFS(prueba!$A:$A, prueba!$C:$C, $A107, prueba!$B:$B, "KG"))
)</f>
        <v>0</v>
      </c>
      <c r="I107" s="8">
        <f t="shared" si="1"/>
        <v>0</v>
      </c>
      <c r="J107" s="8">
        <f t="shared" si="3"/>
        <v>0</v>
      </c>
      <c r="K107" s="18" t="str">
        <f t="shared" si="2"/>
        <v>MORRON ROJOKG</v>
      </c>
    </row>
    <row r="108">
      <c r="A108" s="19" t="s">
        <v>74</v>
      </c>
      <c r="B108" s="14" t="s">
        <v>12</v>
      </c>
      <c r="C108" s="15">
        <f>IFERROR(AVERAGEIFS(COMPRAS!$D:$D, COMPRAS!$C:$C, $A108, COMPRAS!$J:$J, $B108), 0)</f>
        <v>0</v>
      </c>
      <c r="D108" s="16">
        <v>1.3</v>
      </c>
      <c r="E108" s="8">
        <f>ROUNDUP(C108 *D108, -3)</f>
        <v>0</v>
      </c>
      <c r="F108" s="17">
        <f>IFERROR(AVERAGEIFS(COMPRAS!$F:$F, COMPRAS!$C:$C, $A108, COMPRAS!$J:$J, $B108), 1)</f>
        <v>1</v>
      </c>
      <c r="G108" s="8">
        <f>IFERROR(SUMIFS(COMPRAS!I:I, COMPRAS!C:C, A108) * SUMIFS(COMPRAS!E:E, COMPRAS!C:C, A108) / COUNTIF(COMPRAS!C:C, A108), 0)</f>
        <v>0</v>
      </c>
      <c r="H108" s="18">
        <f>IFERROR(
  ((SUMIFS(COMPRAS!$E:$E, COMPRAS!$C:$C, $A108, COMPRAS!$J:$J, "CAJON") + SUMIFS(COMPRAS!$E:$E, COMPRAS!$C:$C, $A108, COMPRAS!$J:$J, "BOLSA")) * $F108) - 
  ((SUMIFS(prueba!$A:$A, prueba!$C:$C, $A108, prueba!$B:$B, "CAJON") + SUMIFS(prueba!$A:$A, prueba!$C:$C, $A108, prueba!$B:$B, "BOLSA")) * $F108) - 
  MAX(0, (SUMIFS(prueba!$A:$A, prueba!$C:$C, $A108, prueba!$B:$B, "UNIDAD") + SUMIFS(prueba!$A:$A, prueba!$C:$C, $A108, prueba!$B:$B, "KG")) - 
  (SUMIFS(COMPRAS!$E:$E, COMPRAS!$C:$C, $A108, COMPRAS!$J:$J, "UNIDAD") + SUMIFS(COMPRAS!$E:$E, COMPRAS!$C:$C, $A108, COMPRAS!$J:$J, "KG"))), 
0)</f>
        <v>0</v>
      </c>
      <c r="I108" s="8">
        <f t="shared" si="1"/>
        <v>0</v>
      </c>
      <c r="J108" s="8">
        <f t="shared" si="3"/>
        <v>0</v>
      </c>
      <c r="K108" s="18" t="str">
        <f t="shared" si="2"/>
        <v>MORRON VERDECAJON</v>
      </c>
    </row>
    <row r="109">
      <c r="A109" s="19" t="s">
        <v>74</v>
      </c>
      <c r="B109" s="14" t="s">
        <v>29</v>
      </c>
      <c r="C109" s="15">
        <f>IFERROR(AVERAGEIFS(COMPRAS!$D:$D, COMPRAS!$C:$C, $A109, COMPRAS!$J:$J, $B109), 0)</f>
        <v>0</v>
      </c>
      <c r="D109" s="16">
        <v>1.3</v>
      </c>
      <c r="E109" s="8">
        <f>ROUNDUP(C109 *D109, -2)</f>
        <v>0</v>
      </c>
      <c r="F109" s="17">
        <f>IFERROR(AVERAGEIFS(COMPRAS!$F:$F, COMPRAS!$C:$C, $A109, COMPRAS!$J:$J, $B109), 1)</f>
        <v>1</v>
      </c>
      <c r="G109" s="8">
        <f>IFERROR(SUMIFS(COMPRAS!I:I, COMPRAS!C:C, A109) * SUMIFS(COMPRAS!E:E, COMPRAS!C:C, A109) / COUNTIF(COMPRAS!C:C, A109), 0)</f>
        <v>0</v>
      </c>
      <c r="H109" s="18">
        <f>MAX(0, 
  (SUMIFS(COMPRAS!$E:$E, COMPRAS!$C:$C, $A109, COMPRAS!$J:$J, "UNIDAD") + SUMIFS(COMPRAS!$E:$E, COMPRAS!$C:$C, $A109, COMPRAS!$J:$J, "KG")) - 
  (SUMIFS(prueba!$A:$A, prueba!$C:$C, $A109, prueba!$B:$B, "UNIDAD") + SUMIFS(prueba!$A:$A, prueba!$C:$C, $A109, prueba!$B:$B, "KG"))
)</f>
        <v>0</v>
      </c>
      <c r="I109" s="8">
        <f t="shared" si="1"/>
        <v>0</v>
      </c>
      <c r="J109" s="8">
        <f t="shared" si="3"/>
        <v>0</v>
      </c>
      <c r="K109" s="18" t="str">
        <f t="shared" si="2"/>
        <v>MORRON VERDEKG</v>
      </c>
    </row>
    <row r="110">
      <c r="A110" s="19" t="s">
        <v>75</v>
      </c>
      <c r="B110" s="14" t="s">
        <v>12</v>
      </c>
      <c r="C110" s="15">
        <f>IFERROR(AVERAGEIFS(COMPRAS!$D:$D, COMPRAS!$C:$C, $A110, COMPRAS!$J:$J, $B110), 0)</f>
        <v>0</v>
      </c>
      <c r="D110" s="16">
        <v>1.3</v>
      </c>
      <c r="E110" s="8">
        <f>ROUNDUP(C110 * D110, -3)</f>
        <v>0</v>
      </c>
      <c r="F110" s="17">
        <f>IFERROR(AVERAGEIFS(COMPRAS!$F:$F, COMPRAS!$C:$C, $A110, COMPRAS!$J:$J, $B110), 1)</f>
        <v>1</v>
      </c>
      <c r="G110" s="8">
        <f>IFERROR(SUMIFS(COMPRAS!I:I, COMPRAS!C:C, A110) * SUMIFS(COMPRAS!E:E, COMPRAS!C:C, A110) / COUNTIF(COMPRAS!C:C, A110), 0)</f>
        <v>0</v>
      </c>
      <c r="H110" s="18">
        <f>IFERROR(
  ((SUMIFS(COMPRAS!$E:$E, COMPRAS!$C:$C, $A110, COMPRAS!$J:$J, "CAJON") + SUMIFS(COMPRAS!$E:$E, COMPRAS!$C:$C, $A110, COMPRAS!$J:$J, "BOLSA")) * $F110) - 
  ((SUMIFS(prueba!$A:$A, prueba!$C:$C, $A110, prueba!$B:$B, "CAJON") + SUMIFS(prueba!$A:$A, prueba!$C:$C, $A110, prueba!$B:$B, "BOLSA")) * $F110) - 
  MAX(0, (SUMIFS(prueba!$A:$A, prueba!$C:$C, $A110, prueba!$B:$B, "UNIDAD") + SUMIFS(prueba!$A:$A, prueba!$C:$C, $A110, prueba!$B:$B, "KG")) - 
  (SUMIFS(COMPRAS!$E:$E, COMPRAS!$C:$C, $A110, COMPRAS!$J:$J, "UNIDAD") + SUMIFS(COMPRAS!$E:$E, COMPRAS!$C:$C, $A110, COMPRAS!$J:$J, "KG"))), 
0)</f>
        <v>0</v>
      </c>
      <c r="I110" s="8">
        <f t="shared" si="1"/>
        <v>0</v>
      </c>
      <c r="J110" s="8">
        <f t="shared" si="3"/>
        <v>0</v>
      </c>
      <c r="K110" s="18" t="str">
        <f t="shared" si="2"/>
        <v>TOMATE PERITA CAJON</v>
      </c>
    </row>
    <row r="111">
      <c r="A111" s="19" t="s">
        <v>75</v>
      </c>
      <c r="B111" s="14" t="s">
        <v>29</v>
      </c>
      <c r="C111" s="15">
        <f>IFERROR(AVERAGEIFS(COMPRAS!$D:$D, COMPRAS!$C:$C, $A111, COMPRAS!$J:$J, $B111), 0)</f>
        <v>0</v>
      </c>
      <c r="D111" s="16">
        <v>1.3</v>
      </c>
      <c r="E111" s="8">
        <f>ROUNDUP(C111 * D111, -2)</f>
        <v>0</v>
      </c>
      <c r="F111" s="17">
        <f>IFERROR(AVERAGEIFS(COMPRAS!$F:$F, COMPRAS!$C:$C, $A111, COMPRAS!$J:$J, $B111), 1)</f>
        <v>1</v>
      </c>
      <c r="G111" s="8">
        <f>IFERROR(SUMIFS(COMPRAS!I:I, COMPRAS!C:C, A111) * SUMIFS(COMPRAS!E:E, COMPRAS!C:C, A111) / COUNTIF(COMPRAS!C:C, A111), 0)</f>
        <v>0</v>
      </c>
      <c r="H111" s="18">
        <f>MAX(0, 
  (SUMIFS(COMPRAS!$E:$E, COMPRAS!$C:$C, $A111, COMPRAS!$J:$J, "UNIDAD") + SUMIFS(COMPRAS!$E:$E, COMPRAS!$C:$C, $A111, COMPRAS!$J:$J, "KG")) - 
  (SUMIFS(prueba!$A:$A, prueba!$C:$C, $A111, prueba!$B:$B, "UNIDAD") + SUMIFS(prueba!$A:$A, prueba!$C:$C, $A111, prueba!$B:$B, "KG"))
)</f>
        <v>0</v>
      </c>
      <c r="I111" s="8">
        <f t="shared" si="1"/>
        <v>0</v>
      </c>
      <c r="J111" s="8">
        <f t="shared" si="3"/>
        <v>0</v>
      </c>
      <c r="K111" s="18" t="str">
        <f t="shared" si="2"/>
        <v>TOMATE PERITA KG</v>
      </c>
    </row>
    <row r="112">
      <c r="A112" s="19" t="s">
        <v>76</v>
      </c>
      <c r="B112" s="14" t="s">
        <v>12</v>
      </c>
      <c r="C112" s="15">
        <f>IFERROR(AVERAGEIFS(COMPRAS!$D:$D, COMPRAS!$C:$C, $A112, COMPRAS!$J:$J, $B112), 0)</f>
        <v>0</v>
      </c>
      <c r="D112" s="16">
        <v>1.3</v>
      </c>
      <c r="E112" s="8">
        <f>ROUNDUP(C112 *D112, -3)</f>
        <v>0</v>
      </c>
      <c r="F112" s="17">
        <f>IFERROR(AVERAGEIFS(COMPRAS!$F:$F, COMPRAS!$C:$C, $A112, COMPRAS!$J:$J, $B112), 1)</f>
        <v>1</v>
      </c>
      <c r="G112" s="8">
        <f>IFERROR(SUMIFS(COMPRAS!I:I, COMPRAS!C:C, A112) * SUMIFS(COMPRAS!E:E, COMPRAS!C:C, A112) / COUNTIF(COMPRAS!C:C, A112), 0)</f>
        <v>0</v>
      </c>
      <c r="H112" s="18">
        <f>IFERROR(
  ((SUMIFS(COMPRAS!$E:$E, COMPRAS!$C:$C, $A112, COMPRAS!$J:$J, "CAJON") + SUMIFS(COMPRAS!$E:$E, COMPRAS!$C:$C, $A112, COMPRAS!$J:$J, "BOLSA")) * $F112) - 
  ((SUMIFS(prueba!$A:$A, prueba!$C:$C, $A112, prueba!$B:$B, "CAJON") + SUMIFS(prueba!$A:$A, prueba!$C:$C, $A112, prueba!$B:$B, "BOLSA")) * $F112) - 
  MAX(0, (SUMIFS(prueba!$A:$A, prueba!$C:$C, $A112, prueba!$B:$B, "UNIDAD") + SUMIFS(prueba!$A:$A, prueba!$C:$C, $A112, prueba!$B:$B, "KG")) - 
  (SUMIFS(COMPRAS!$E:$E, COMPRAS!$C:$C, $A112, COMPRAS!$J:$J, "UNIDAD") + SUMIFS(COMPRAS!$E:$E, COMPRAS!$C:$C, $A112, COMPRAS!$J:$J, "KG"))), 
0)</f>
        <v>-2</v>
      </c>
      <c r="I112" s="8">
        <f t="shared" si="1"/>
        <v>0</v>
      </c>
      <c r="J112" s="8">
        <f t="shared" si="3"/>
        <v>0</v>
      </c>
      <c r="K112" s="18" t="str">
        <f t="shared" si="2"/>
        <v>TOMATE REDONDOCAJON</v>
      </c>
    </row>
    <row r="113">
      <c r="A113" s="19" t="s">
        <v>76</v>
      </c>
      <c r="B113" s="14" t="s">
        <v>29</v>
      </c>
      <c r="C113" s="15">
        <f>IFERROR(AVERAGEIFS(COMPRAS!$D:$D, COMPRAS!$C:$C, $A113, COMPRAS!$J:$J, $B113), 0)</f>
        <v>0</v>
      </c>
      <c r="D113" s="16">
        <v>1.3</v>
      </c>
      <c r="E113" s="8">
        <f>ROUNDUP(C113 *D113, -2)</f>
        <v>0</v>
      </c>
      <c r="F113" s="17">
        <f>IFERROR(AVERAGEIFS(COMPRAS!$F:$F, COMPRAS!$C:$C, $A113, COMPRAS!$J:$J, $B113), 1)</f>
        <v>1</v>
      </c>
      <c r="G113" s="8">
        <f>IFERROR(SUMIFS(COMPRAS!I:I, COMPRAS!C:C, A113) * SUMIFS(COMPRAS!E:E, COMPRAS!C:C, A113) / COUNTIF(COMPRAS!C:C, A113), 0)</f>
        <v>0</v>
      </c>
      <c r="H113" s="18">
        <f>MAX(0, 
  (SUMIFS(COMPRAS!$E:$E, COMPRAS!$C:$C, $A113, COMPRAS!$J:$J, "UNIDAD") + SUMIFS(COMPRAS!$E:$E, COMPRAS!$C:$C, $A113, COMPRAS!$J:$J, "KG")) - 
  (SUMIFS(prueba!$A:$A, prueba!$C:$C, $A113, prueba!$B:$B, "UNIDAD") + SUMIFS(prueba!$A:$A, prueba!$C:$C, $A113, prueba!$B:$B, "KG"))
)</f>
        <v>0</v>
      </c>
      <c r="I113" s="8">
        <f t="shared" si="1"/>
        <v>0</v>
      </c>
      <c r="J113" s="8">
        <f t="shared" si="3"/>
        <v>0</v>
      </c>
      <c r="K113" s="18" t="str">
        <f t="shared" si="2"/>
        <v>TOMATE REDONDOKG</v>
      </c>
    </row>
    <row r="114">
      <c r="A114" s="19" t="s">
        <v>77</v>
      </c>
      <c r="B114" s="14" t="s">
        <v>12</v>
      </c>
      <c r="C114" s="15">
        <f>IFERROR(AVERAGEIFS(COMPRAS!$D:$D, COMPRAS!$C:$C, $A114, COMPRAS!$J:$J, $B114), 0)</f>
        <v>0</v>
      </c>
      <c r="D114" s="16">
        <v>1.3</v>
      </c>
      <c r="E114" s="8">
        <f>ROUNDUP(C114 *D114, -3)</f>
        <v>0</v>
      </c>
      <c r="F114" s="17">
        <f>IFERROR(AVERAGEIFS(COMPRAS!$F:$F, COMPRAS!$C:$C, $A114, COMPRAS!$J:$J, $B114), 1)</f>
        <v>1</v>
      </c>
      <c r="G114" s="8">
        <f>IFERROR(SUMIFS(COMPRAS!I:I, COMPRAS!C:C, A114) * SUMIFS(COMPRAS!E:E, COMPRAS!C:C, A114) / COUNTIF(COMPRAS!C:C, A114), 0)</f>
        <v>0</v>
      </c>
      <c r="H114" s="18">
        <f>IFERROR(
  ((SUMIFS(COMPRAS!$E:$E, COMPRAS!$C:$C, $A114, COMPRAS!$J:$J, "CAJON") + SUMIFS(COMPRAS!$E:$E, COMPRAS!$C:$C, $A114, COMPRAS!$J:$J, "BOLSA")) * $F114) - 
  ((SUMIFS(prueba!$A:$A, prueba!$C:$C, $A114, prueba!$B:$B, "CAJON") + SUMIFS(prueba!$A:$A, prueba!$C:$C, $A114, prueba!$B:$B, "BOLSA")) * $F114) - 
  MAX(0, (SUMIFS(prueba!$A:$A, prueba!$C:$C, $A114, prueba!$B:$B, "UNIDAD") + SUMIFS(prueba!$A:$A, prueba!$C:$C, $A114, prueba!$B:$B, "KG")) - 
  (SUMIFS(COMPRAS!$E:$E, COMPRAS!$C:$C, $A114, COMPRAS!$J:$J, "UNIDAD") + SUMIFS(COMPRAS!$E:$E, COMPRAS!$C:$C, $A114, COMPRAS!$J:$J, "KG"))), 
0)</f>
        <v>0</v>
      </c>
      <c r="I114" s="8">
        <f t="shared" si="1"/>
        <v>0</v>
      </c>
      <c r="J114" s="8">
        <f t="shared" si="3"/>
        <v>0</v>
      </c>
      <c r="K114" s="18" t="str">
        <f t="shared" si="2"/>
        <v>ZAPALLITO LARGOCAJON</v>
      </c>
    </row>
    <row r="115">
      <c r="A115" s="19" t="s">
        <v>77</v>
      </c>
      <c r="B115" s="14" t="s">
        <v>29</v>
      </c>
      <c r="C115" s="15">
        <f>IFERROR(AVERAGEIFS(COMPRAS!$D:$D, COMPRAS!$C:$C, $A115, COMPRAS!$J:$J, $B115), 0)</f>
        <v>0</v>
      </c>
      <c r="D115" s="16">
        <v>1.3</v>
      </c>
      <c r="E115" s="8">
        <f>ROUNDUP(C115 *D115, -2)</f>
        <v>0</v>
      </c>
      <c r="F115" s="17">
        <f>IFERROR(AVERAGEIFS(COMPRAS!$F:$F, COMPRAS!$C:$C, $A115, COMPRAS!$J:$J, $B115), 1)</f>
        <v>1</v>
      </c>
      <c r="G115" s="8">
        <f>IFERROR(SUMIFS(COMPRAS!I:I, COMPRAS!C:C, A115) * SUMIFS(COMPRAS!E:E, COMPRAS!C:C, A115) / COUNTIF(COMPRAS!C:C, A115), 0)</f>
        <v>0</v>
      </c>
      <c r="H115" s="18">
        <f>MAX(0, 
  (SUMIFS(COMPRAS!$E:$E, COMPRAS!$C:$C, $A115, COMPRAS!$J:$J, "UNIDAD") + SUMIFS(COMPRAS!$E:$E, COMPRAS!$C:$C, $A115, COMPRAS!$J:$J, "KG")) - 
  (SUMIFS(prueba!$A:$A, prueba!$C:$C, $A115, prueba!$B:$B, "UNIDAD") + SUMIFS(prueba!$A:$A, prueba!$C:$C, $A115, prueba!$B:$B, "KG"))
)</f>
        <v>0</v>
      </c>
      <c r="I115" s="8">
        <f t="shared" si="1"/>
        <v>0</v>
      </c>
      <c r="J115" s="8">
        <f t="shared" si="3"/>
        <v>0</v>
      </c>
      <c r="K115" s="18" t="str">
        <f t="shared" si="2"/>
        <v>ZAPALLITO LARGOKG</v>
      </c>
    </row>
    <row r="116">
      <c r="A116" s="19" t="s">
        <v>78</v>
      </c>
      <c r="B116" s="14" t="s">
        <v>12</v>
      </c>
      <c r="C116" s="15">
        <f>IFERROR(AVERAGEIFS(COMPRAS!$D:$D, COMPRAS!$C:$C, $A116, COMPRAS!$J:$J, $B116), 0)</f>
        <v>0</v>
      </c>
      <c r="D116" s="16">
        <v>1.3</v>
      </c>
      <c r="E116" s="8">
        <f>ROUNDUP(C116 *D116, -3)</f>
        <v>0</v>
      </c>
      <c r="F116" s="17">
        <f>IFERROR(AVERAGEIFS(COMPRAS!$F:$F, COMPRAS!$C:$C, $A116, COMPRAS!$J:$J, $B116), 1)</f>
        <v>1</v>
      </c>
      <c r="G116" s="8">
        <f>IFERROR(SUMIFS(COMPRAS!I:I, COMPRAS!C:C, A116) * SUMIFS(COMPRAS!E:E, COMPRAS!C:C, A116) / COUNTIF(COMPRAS!C:C, A116), 0)</f>
        <v>0</v>
      </c>
      <c r="H116" s="18">
        <f>IFERROR(
  ((SUMIFS(COMPRAS!$E:$E, COMPRAS!$C:$C, $A116, COMPRAS!$J:$J, "CAJON") + SUMIFS(COMPRAS!$E:$E, COMPRAS!$C:$C, $A116, COMPRAS!$J:$J, "BOLSA")) * $F116) - 
  ((SUMIFS(prueba!$A:$A, prueba!$C:$C, $A116, prueba!$B:$B, "CAJON") + SUMIFS(prueba!$A:$A, prueba!$C:$C, $A116, prueba!$B:$B, "BOLSA")) * $F116) - 
  MAX(0, (SUMIFS(prueba!$A:$A, prueba!$C:$C, $A116, prueba!$B:$B, "UNIDAD") + SUMIFS(prueba!$A:$A, prueba!$C:$C, $A116, prueba!$B:$B, "KG")) - 
  (SUMIFS(COMPRAS!$E:$E, COMPRAS!$C:$C, $A116, COMPRAS!$J:$J, "UNIDAD") + SUMIFS(COMPRAS!$E:$E, COMPRAS!$C:$C, $A116, COMPRAS!$J:$J, "KG"))), 
0)</f>
        <v>0</v>
      </c>
      <c r="I116" s="8">
        <f t="shared" si="1"/>
        <v>0</v>
      </c>
      <c r="J116" s="8">
        <f t="shared" si="3"/>
        <v>0</v>
      </c>
      <c r="K116" s="18" t="str">
        <f t="shared" si="2"/>
        <v>ZAPALLITO REDONDOCAJON</v>
      </c>
    </row>
    <row r="117">
      <c r="A117" s="19" t="s">
        <v>78</v>
      </c>
      <c r="B117" s="14" t="s">
        <v>29</v>
      </c>
      <c r="C117" s="15">
        <f>IFERROR(AVERAGEIFS(COMPRAS!$D:$D, COMPRAS!$C:$C, $A117, COMPRAS!$J:$J, $B117), 0)</f>
        <v>0</v>
      </c>
      <c r="D117" s="16">
        <v>1.3</v>
      </c>
      <c r="E117" s="8">
        <f>ROUNDUP(C117 *D117, -2)</f>
        <v>0</v>
      </c>
      <c r="F117" s="17">
        <f>IFERROR(AVERAGEIFS(COMPRAS!$F:$F, COMPRAS!$C:$C, $A117, COMPRAS!$J:$J, $B117), 1)</f>
        <v>1</v>
      </c>
      <c r="G117" s="8">
        <f>IFERROR(SUMIFS(COMPRAS!I:I, COMPRAS!C:C, A117) * SUMIFS(COMPRAS!E:E, COMPRAS!C:C, A117) / COUNTIF(COMPRAS!C:C, A117), 0)</f>
        <v>0</v>
      </c>
      <c r="H117" s="18">
        <f>MAX(0, 
  (SUMIFS(COMPRAS!$E:$E, COMPRAS!$C:$C, $A117, COMPRAS!$J:$J, "UNIDAD") + SUMIFS(COMPRAS!$E:$E, COMPRAS!$C:$C, $A117, COMPRAS!$J:$J, "KG")) - 
  (SUMIFS(prueba!$A:$A, prueba!$C:$C, $A117, prueba!$B:$B, "UNIDAD") + SUMIFS(prueba!$A:$A, prueba!$C:$C, $A117, prueba!$B:$B, "KG"))
)</f>
        <v>0</v>
      </c>
      <c r="I117" s="8">
        <f t="shared" si="1"/>
        <v>0</v>
      </c>
      <c r="J117" s="8">
        <f t="shared" si="3"/>
        <v>0</v>
      </c>
      <c r="K117" s="18" t="str">
        <f t="shared" si="2"/>
        <v>ZAPALLITO REDONDOKG</v>
      </c>
    </row>
    <row r="118">
      <c r="A118" s="13" t="s">
        <v>79</v>
      </c>
      <c r="B118" s="14" t="s">
        <v>12</v>
      </c>
      <c r="C118" s="15">
        <f>IFERROR(AVERAGEIFS(COMPRAS!$D:$D, COMPRAS!$C:$C, $A118, COMPRAS!$J:$J, $B118), 0)</f>
        <v>0</v>
      </c>
      <c r="D118" s="16">
        <v>1.3</v>
      </c>
      <c r="E118" s="8">
        <f>ROUNDUP(C118 *D118, -3)</f>
        <v>0</v>
      </c>
      <c r="F118" s="17">
        <f>IFERROR(AVERAGEIFS(COMPRAS!$F:$F, COMPRAS!$C:$C, $A118, COMPRAS!$J:$J, $B118), 1)</f>
        <v>1</v>
      </c>
      <c r="G118" s="8">
        <f>IFERROR(SUMIFS(COMPRAS!I:I, COMPRAS!C:C, A118) * SUMIFS(COMPRAS!E:E, COMPRAS!C:C, A118) / COUNTIF(COMPRAS!C:C, A118), 0)</f>
        <v>0</v>
      </c>
      <c r="H118" s="18">
        <f>IFERROR(
  ((SUMIFS(COMPRAS!$E:$E, COMPRAS!$C:$C, $A118, COMPRAS!$J:$J, "CAJON") + SUMIFS(COMPRAS!$E:$E, COMPRAS!$C:$C, $A118, COMPRAS!$J:$J, "BOLSA")) * $F118) - 
  ((SUMIFS(prueba!$A:$A, prueba!$C:$C, $A118, prueba!$B:$B, "CAJON") + SUMIFS(prueba!$A:$A, prueba!$C:$C, $A118, prueba!$B:$B, "BOLSA")) * $F118) - 
  MAX(0, (SUMIFS(prueba!$A:$A, prueba!$C:$C, $A118, prueba!$B:$B, "UNIDAD") + SUMIFS(prueba!$A:$A, prueba!$C:$C, $A118, prueba!$B:$B, "KG")) - 
  (SUMIFS(COMPRAS!$E:$E, COMPRAS!$C:$C, $A118, COMPRAS!$J:$J, "UNIDAD") + SUMIFS(COMPRAS!$E:$E, COMPRAS!$C:$C, $A118, COMPRAS!$J:$J, "KG"))), 
0)</f>
        <v>0</v>
      </c>
      <c r="I118" s="8">
        <f t="shared" si="1"/>
        <v>0</v>
      </c>
      <c r="J118" s="8">
        <f t="shared" si="3"/>
        <v>0</v>
      </c>
      <c r="K118" s="18" t="str">
        <f t="shared" si="2"/>
        <v>AJOCAJON</v>
      </c>
    </row>
    <row r="119">
      <c r="A119" s="13" t="s">
        <v>79</v>
      </c>
      <c r="B119" s="14" t="s">
        <v>8</v>
      </c>
      <c r="C119" s="15">
        <f>IFERROR(AVERAGEIFS(COMPRAS!$D:$D, COMPRAS!$C:$C, $A119, COMPRAS!$J:$J, $B119), 0)</f>
        <v>0</v>
      </c>
      <c r="D119" s="16">
        <v>1.3</v>
      </c>
      <c r="E119" s="8">
        <f>ROUNDUP(C119 *D119, -2)</f>
        <v>0</v>
      </c>
      <c r="F119" s="17">
        <f>IFERROR(AVERAGEIFS(COMPRAS!$F:$F, COMPRAS!$C:$C, $A119, COMPRAS!$J:$J, $B119), 1)</f>
        <v>1</v>
      </c>
      <c r="G119" s="8">
        <f>IFERROR(SUMIFS(COMPRAS!I:I, COMPRAS!C:C, A119) * SUMIFS(COMPRAS!E:E, COMPRAS!C:C, A119) / COUNTIF(COMPRAS!C:C, A119), 0)</f>
        <v>0</v>
      </c>
      <c r="H119" s="18">
        <f>MAX(0, 
  (SUMIFS(COMPRAS!$E:$E, COMPRAS!$C:$C, $A119, COMPRAS!$J:$J, "UNIDAD") + SUMIFS(COMPRAS!$E:$E, COMPRAS!$C:$C, $A119, COMPRAS!$J:$J, "KG")) - 
  (SUMIFS(prueba!$A:$A, prueba!$C:$C, $A119, prueba!$B:$B, "UNIDAD") + SUMIFS(prueba!$A:$A, prueba!$C:$C, $A119, prueba!$B:$B, "KG"))
)</f>
        <v>0</v>
      </c>
      <c r="I119" s="8">
        <f t="shared" si="1"/>
        <v>0</v>
      </c>
      <c r="J119" s="8">
        <f t="shared" si="3"/>
        <v>0</v>
      </c>
      <c r="K119" s="18" t="str">
        <f t="shared" si="2"/>
        <v>AJOUNIDAD</v>
      </c>
    </row>
    <row r="120">
      <c r="A120" s="19" t="s">
        <v>80</v>
      </c>
      <c r="B120" s="14" t="s">
        <v>81</v>
      </c>
      <c r="C120" s="15">
        <f>IFERROR(AVERAGEIFS(COMPRAS!$D:$D, COMPRAS!$C:$C, $A120, COMPRAS!$J:$J, $B120), 0)</f>
        <v>0</v>
      </c>
      <c r="D120" s="16">
        <v>1.3</v>
      </c>
      <c r="E120" s="8">
        <f>ROUNDUP(C120 *D120, -3)</f>
        <v>0</v>
      </c>
      <c r="F120" s="17">
        <f>IFERROR(AVERAGEIFS(COMPRAS!$F:$F, COMPRAS!$C:$C, $A120, COMPRAS!$J:$J, $B120), 1)</f>
        <v>1</v>
      </c>
      <c r="G120" s="8">
        <f>IFERROR(SUMIFS(COMPRAS!I:I, COMPRAS!C:C, A120) * SUMIFS(COMPRAS!E:E, COMPRAS!C:C, A120) / COUNTIF(COMPRAS!C:C, A120), 0)</f>
        <v>0</v>
      </c>
      <c r="H120" s="18">
        <f>IFERROR(
  ((SUMIFS(COMPRAS!$E:$E, COMPRAS!$C:$C, $A120, COMPRAS!$J:$J, "CAJON") + SUMIFS(COMPRAS!$E:$E, COMPRAS!$C:$C, $A120, COMPRAS!$J:$J, "BOLSA")) * $F120) - 
  ((SUMIFS(prueba!$A:$A, prueba!$C:$C, $A120, prueba!$B:$B, "CAJON") + SUMIFS(prueba!$A:$A, prueba!$C:$C, $A120, prueba!$B:$B, "BOLSA")) * $F120) - 
  MAX(0, (SUMIFS(prueba!$A:$A, prueba!$C:$C, $A120, prueba!$B:$B, "UNIDAD") + SUMIFS(prueba!$A:$A, prueba!$C:$C, $A120, prueba!$B:$B, "KG")) - 
  (SUMIFS(COMPRAS!$E:$E, COMPRAS!$C:$C, $A120, COMPRAS!$J:$J, "UNIDAD") + SUMIFS(COMPRAS!$E:$E, COMPRAS!$C:$C, $A120, COMPRAS!$J:$J, "KG"))), 
0)</f>
        <v>0</v>
      </c>
      <c r="I120" s="8">
        <f t="shared" si="1"/>
        <v>0</v>
      </c>
      <c r="J120" s="8">
        <f t="shared" si="3"/>
        <v>0</v>
      </c>
      <c r="K120" s="18" t="str">
        <f t="shared" si="2"/>
        <v>BATATABOLSA</v>
      </c>
    </row>
    <row r="121">
      <c r="A121" s="19" t="s">
        <v>80</v>
      </c>
      <c r="B121" s="14" t="s">
        <v>29</v>
      </c>
      <c r="C121" s="15">
        <f>IFERROR(AVERAGEIFS(COMPRAS!$D:$D, COMPRAS!$C:$C, $A121, COMPRAS!$J:$J, $B121), 0)</f>
        <v>0</v>
      </c>
      <c r="D121" s="16">
        <v>1.3</v>
      </c>
      <c r="E121" s="8">
        <f>ROUNDUP(C121 *D121, -2)</f>
        <v>0</v>
      </c>
      <c r="F121" s="17">
        <f>IFERROR(AVERAGEIFS(COMPRAS!$F:$F, COMPRAS!$C:$C, $A121, COMPRAS!$J:$J, $B121), 1)</f>
        <v>1</v>
      </c>
      <c r="G121" s="8">
        <f>IFERROR(SUMIFS(COMPRAS!I:I, COMPRAS!C:C, A121) * SUMIFS(COMPRAS!E:E, COMPRAS!C:C, A121) / COUNTIF(COMPRAS!C:C, A121), 0)</f>
        <v>0</v>
      </c>
      <c r="H121" s="18">
        <f>MAX(0, 
  (SUMIFS(COMPRAS!$E:$E, COMPRAS!$C:$C, $A121, COMPRAS!$J:$J, "UNIDAD") + SUMIFS(COMPRAS!$E:$E, COMPRAS!$C:$C, $A121, COMPRAS!$J:$J, "KG")) - 
  (SUMIFS(prueba!$A:$A, prueba!$C:$C, $A121, prueba!$B:$B, "UNIDAD") + SUMIFS(prueba!$A:$A, prueba!$C:$C, $A121, prueba!$B:$B, "KG"))
)</f>
        <v>0</v>
      </c>
      <c r="I121" s="8">
        <f t="shared" si="1"/>
        <v>0</v>
      </c>
      <c r="J121" s="8">
        <f t="shared" si="3"/>
        <v>0</v>
      </c>
      <c r="K121" s="18" t="str">
        <f t="shared" si="2"/>
        <v>BATATAKG</v>
      </c>
    </row>
    <row r="122">
      <c r="A122" s="19" t="s">
        <v>82</v>
      </c>
      <c r="B122" s="14" t="s">
        <v>81</v>
      </c>
      <c r="C122" s="15">
        <f>IFERROR(AVERAGEIFS(COMPRAS!$D:$D, COMPRAS!$C:$C, $A122, COMPRAS!$J:$J, $B122), 0)</f>
        <v>0</v>
      </c>
      <c r="D122" s="16">
        <v>1.3</v>
      </c>
      <c r="E122" s="8">
        <f>ROUNDUP(C122 * D122, -3)</f>
        <v>0</v>
      </c>
      <c r="F122" s="17">
        <f>IFERROR(AVERAGEIFS(COMPRAS!$F:$F, COMPRAS!$C:$C, $A122, COMPRAS!$J:$J, $B122), 1)</f>
        <v>1</v>
      </c>
      <c r="G122" s="8">
        <f>IFERROR(SUMIFS(COMPRAS!I:I, COMPRAS!C:C, A122) * SUMIFS(COMPRAS!E:E, COMPRAS!C:C, A122) / COUNTIF(COMPRAS!C:C, A122), 0)</f>
        <v>0</v>
      </c>
      <c r="H122" s="18">
        <f>IFERROR(
  ((SUMIFS(COMPRAS!$E:$E, COMPRAS!$C:$C, $A122, COMPRAS!$J:$J, "CAJON") + SUMIFS(COMPRAS!$E:$E, COMPRAS!$C:$C, $A122, COMPRAS!$J:$J, "BOLSA")) * $F122) - 
  ((SUMIFS(prueba!$A:$A, prueba!$C:$C, $A122, prueba!$B:$B, "CAJON") + SUMIFS(prueba!$A:$A, prueba!$C:$C, $A122, prueba!$B:$B, "BOLSA")) * $F122) - 
  MAX(0, (SUMIFS(prueba!$A:$A, prueba!$C:$C, $A122, prueba!$B:$B, "UNIDAD") + SUMIFS(prueba!$A:$A, prueba!$C:$C, $A122, prueba!$B:$B, "KG")) - 
  (SUMIFS(COMPRAS!$E:$E, COMPRAS!$C:$C, $A122, COMPRAS!$J:$J, "UNIDAD") + SUMIFS(COMPRAS!$E:$E, COMPRAS!$C:$C, $A122, COMPRAS!$J:$J, "KG"))), 
0)</f>
        <v>0</v>
      </c>
      <c r="I122" s="8">
        <f t="shared" si="1"/>
        <v>0</v>
      </c>
      <c r="J122" s="8">
        <f t="shared" si="3"/>
        <v>0</v>
      </c>
      <c r="K122" s="18" t="str">
        <f t="shared" si="2"/>
        <v>BONIATOBOLSA</v>
      </c>
    </row>
    <row r="123">
      <c r="A123" s="19" t="s">
        <v>82</v>
      </c>
      <c r="B123" s="14" t="s">
        <v>29</v>
      </c>
      <c r="C123" s="15">
        <f>IFERROR(AVERAGEIFS(COMPRAS!$D:$D, COMPRAS!$C:$C, $A123, COMPRAS!$J:$J, $B123), 0)</f>
        <v>0</v>
      </c>
      <c r="D123" s="16">
        <v>1.3</v>
      </c>
      <c r="E123" s="8">
        <f>ROUNDUP(C123 * D123, -2)</f>
        <v>0</v>
      </c>
      <c r="F123" s="17">
        <f>IFERROR(AVERAGEIFS(COMPRAS!$F:$F, COMPRAS!$C:$C, $A123, COMPRAS!$J:$J, $B123), 1)</f>
        <v>1</v>
      </c>
      <c r="G123" s="8">
        <f>IFERROR(SUMIFS(COMPRAS!I:I, COMPRAS!C:C, A123) * SUMIFS(COMPRAS!E:E, COMPRAS!C:C, A123) / COUNTIF(COMPRAS!C:C, A123), 0)</f>
        <v>0</v>
      </c>
      <c r="H123" s="18">
        <f>MAX(0, 
  (SUMIFS(COMPRAS!$E:$E, COMPRAS!$C:$C, $A123, COMPRAS!$J:$J, "UNIDAD") + SUMIFS(COMPRAS!$E:$E, COMPRAS!$C:$C, $A123, COMPRAS!$J:$J, "KG")) - 
  (SUMIFS(prueba!$A:$A, prueba!$C:$C, $A123, prueba!$B:$B, "UNIDAD") + SUMIFS(prueba!$A:$A, prueba!$C:$C, $A123, prueba!$B:$B, "KG"))
)</f>
        <v>0</v>
      </c>
      <c r="I123" s="8">
        <f t="shared" si="1"/>
        <v>0</v>
      </c>
      <c r="J123" s="8">
        <f t="shared" si="3"/>
        <v>0</v>
      </c>
      <c r="K123" s="18" t="str">
        <f t="shared" si="2"/>
        <v>BONIATOKG</v>
      </c>
    </row>
    <row r="124">
      <c r="A124" s="19" t="s">
        <v>83</v>
      </c>
      <c r="B124" s="14" t="s">
        <v>81</v>
      </c>
      <c r="C124" s="15">
        <f>IFERROR(AVERAGEIFS(COMPRAS!$D:$D, COMPRAS!$C:$C, $A124, COMPRAS!$J:$J, $B124), 0)</f>
        <v>0</v>
      </c>
      <c r="D124" s="16">
        <v>1.3</v>
      </c>
      <c r="E124" s="8">
        <f>ROUNDUP(C124 *D124, -3)</f>
        <v>0</v>
      </c>
      <c r="F124" s="17">
        <f>IFERROR(AVERAGEIFS(COMPRAS!$F:$F, COMPRAS!$C:$C, $A124, COMPRAS!$J:$J, $B124), 1)</f>
        <v>1</v>
      </c>
      <c r="G124" s="8">
        <f>IFERROR(SUMIFS(COMPRAS!I:I, COMPRAS!C:C, A124) * SUMIFS(COMPRAS!E:E, COMPRAS!C:C, A124) / COUNTIF(COMPRAS!C:C, A124), 0)</f>
        <v>0</v>
      </c>
      <c r="H124" s="18">
        <f>IFERROR(
  ((SUMIFS(COMPRAS!$E:$E, COMPRAS!$C:$C, $A124, COMPRAS!$J:$J, "CAJON") + SUMIFS(COMPRAS!$E:$E, COMPRAS!$C:$C, $A124, COMPRAS!$J:$J, "BOLSA")) * $F124) - 
  ((SUMIFS(prueba!$A:$A, prueba!$C:$C, $A124, prueba!$B:$B, "CAJON") + SUMIFS(prueba!$A:$A, prueba!$C:$C, $A124, prueba!$B:$B, "BOLSA")) * $F124) - 
  MAX(0, (SUMIFS(prueba!$A:$A, prueba!$C:$C, $A124, prueba!$B:$B, "UNIDAD") + SUMIFS(prueba!$A:$A, prueba!$C:$C, $A124, prueba!$B:$B, "KG")) - 
  (SUMIFS(COMPRAS!$E:$E, COMPRAS!$C:$C, $A124, COMPRAS!$J:$J, "UNIDAD") + SUMIFS(COMPRAS!$E:$E, COMPRAS!$C:$C, $A124, COMPRAS!$J:$J, "KG"))), 
0)</f>
        <v>0</v>
      </c>
      <c r="I124" s="8">
        <f t="shared" si="1"/>
        <v>0</v>
      </c>
      <c r="J124" s="8">
        <f t="shared" si="3"/>
        <v>0</v>
      </c>
      <c r="K124" s="18" t="str">
        <f t="shared" si="2"/>
        <v>CEBOLLA MAQUINADABOLSA</v>
      </c>
    </row>
    <row r="125">
      <c r="A125" s="19" t="s">
        <v>83</v>
      </c>
      <c r="B125" s="14" t="s">
        <v>29</v>
      </c>
      <c r="C125" s="15">
        <f>IFERROR(AVERAGEIFS(COMPRAS!$D:$D, COMPRAS!$C:$C, $A125, COMPRAS!$J:$J, $B125), 0)</f>
        <v>0</v>
      </c>
      <c r="D125" s="16">
        <v>1.3</v>
      </c>
      <c r="E125" s="8">
        <f>ROUNDUP(C125 *D125, -2)</f>
        <v>0</v>
      </c>
      <c r="F125" s="17">
        <f>IFERROR(AVERAGEIFS(COMPRAS!$F:$F, COMPRAS!$C:$C, $A125, COMPRAS!$J:$J, $B125), 1)</f>
        <v>1</v>
      </c>
      <c r="G125" s="8">
        <f>IFERROR(SUMIFS(COMPRAS!I:I, COMPRAS!C:C, A125) * SUMIFS(COMPRAS!E:E, COMPRAS!C:C, A125) / COUNTIF(COMPRAS!C:C, A125), 0)</f>
        <v>0</v>
      </c>
      <c r="H125" s="18">
        <f>MAX(0, 
  (SUMIFS(COMPRAS!$E:$E, COMPRAS!$C:$C, $A125, COMPRAS!$J:$J, "UNIDAD") + SUMIFS(COMPRAS!$E:$E, COMPRAS!$C:$C, $A125, COMPRAS!$J:$J, "KG")) - 
  (SUMIFS(prueba!$A:$A, prueba!$C:$C, $A125, prueba!$B:$B, "UNIDAD") + SUMIFS(prueba!$A:$A, prueba!$C:$C, $A125, prueba!$B:$B, "KG"))
)</f>
        <v>0</v>
      </c>
      <c r="I125" s="8">
        <f t="shared" si="1"/>
        <v>0</v>
      </c>
      <c r="J125" s="8">
        <f t="shared" si="3"/>
        <v>0</v>
      </c>
      <c r="K125" s="18" t="str">
        <f t="shared" si="2"/>
        <v>CEBOLLA MAQUINADAKG</v>
      </c>
    </row>
    <row r="126">
      <c r="A126" s="19" t="s">
        <v>84</v>
      </c>
      <c r="B126" s="14" t="s">
        <v>81</v>
      </c>
      <c r="C126" s="15">
        <f>IFERROR(AVERAGEIFS(COMPRAS!$D:$D, COMPRAS!$C:$C, $A126, COMPRAS!$J:$J, $B126), 0)</f>
        <v>0</v>
      </c>
      <c r="D126" s="16">
        <v>1.3</v>
      </c>
      <c r="E126" s="8">
        <f>ROUNDUP(C126 *D126, -3)</f>
        <v>0</v>
      </c>
      <c r="F126" s="17">
        <f>IFERROR(AVERAGEIFS(COMPRAS!$F:$F, COMPRAS!$C:$C, $A126, COMPRAS!$J:$J, $B126), 1)</f>
        <v>1</v>
      </c>
      <c r="G126" s="8">
        <f>IFERROR(SUMIFS(COMPRAS!I:I, COMPRAS!C:C, A126) * SUMIFS(COMPRAS!E:E, COMPRAS!C:C, A126) / COUNTIF(COMPRAS!C:C, A126), 0)</f>
        <v>0</v>
      </c>
      <c r="H126" s="18">
        <f>IFERROR(
  ((SUMIFS(COMPRAS!$E:$E, COMPRAS!$C:$C, $A126, COMPRAS!$J:$J, "CAJON") + SUMIFS(COMPRAS!$E:$E, COMPRAS!$C:$C, $A126, COMPRAS!$J:$J, "BOLSA")) * $F126) - 
  ((SUMIFS(prueba!$A:$A, prueba!$C:$C, $A126, prueba!$B:$B, "CAJON") + SUMIFS(prueba!$A:$A, prueba!$C:$C, $A126, prueba!$B:$B, "BOLSA")) * $F126) - 
  MAX(0, (SUMIFS(prueba!$A:$A, prueba!$C:$C, $A126, prueba!$B:$B, "UNIDAD") + SUMIFS(prueba!$A:$A, prueba!$C:$C, $A126, prueba!$B:$B, "KG")) - 
  (SUMIFS(COMPRAS!$E:$E, COMPRAS!$C:$C, $A126, COMPRAS!$J:$J, "UNIDAD") + SUMIFS(COMPRAS!$E:$E, COMPRAS!$C:$C, $A126, COMPRAS!$J:$J, "KG"))), 
0)</f>
        <v>0</v>
      </c>
      <c r="I126" s="8">
        <f t="shared" si="1"/>
        <v>0</v>
      </c>
      <c r="J126" s="8">
        <f t="shared" si="3"/>
        <v>0</v>
      </c>
      <c r="K126" s="18" t="str">
        <f t="shared" si="2"/>
        <v>CEBOLLA COMUNBOLSA</v>
      </c>
    </row>
    <row r="127">
      <c r="A127" s="19" t="s">
        <v>84</v>
      </c>
      <c r="B127" s="14" t="s">
        <v>29</v>
      </c>
      <c r="C127" s="15">
        <f>IFERROR(AVERAGEIFS(COMPRAS!$D:$D, COMPRAS!$C:$C, $A127, COMPRAS!$J:$J, $B127), 0)</f>
        <v>0</v>
      </c>
      <c r="D127" s="16">
        <v>1.3</v>
      </c>
      <c r="E127" s="8">
        <f>ROUNDUP(C127 *D127, -2)</f>
        <v>0</v>
      </c>
      <c r="F127" s="17">
        <f>IFERROR(AVERAGEIFS(COMPRAS!$F:$F, COMPRAS!$C:$C, $A127, COMPRAS!$J:$J, $B127), 1)</f>
        <v>1</v>
      </c>
      <c r="G127" s="8">
        <f>IFERROR(SUMIFS(COMPRAS!I:I, COMPRAS!C:C, A127) * SUMIFS(COMPRAS!E:E, COMPRAS!C:C, A127) / COUNTIF(COMPRAS!C:C, A127), 0)</f>
        <v>0</v>
      </c>
      <c r="H127" s="18">
        <f>MAX(0, 
  (SUMIFS(COMPRAS!$E:$E, COMPRAS!$C:$C, $A127, COMPRAS!$J:$J, "UNIDAD") + SUMIFS(COMPRAS!$E:$E, COMPRAS!$C:$C, $A127, COMPRAS!$J:$J, "KG")) - 
  (SUMIFS(prueba!$A:$A, prueba!$C:$C, $A127, prueba!$B:$B, "UNIDAD") + SUMIFS(prueba!$A:$A, prueba!$C:$C, $A127, prueba!$B:$B, "KG"))
)</f>
        <v>0</v>
      </c>
      <c r="I127" s="8">
        <f t="shared" si="1"/>
        <v>0</v>
      </c>
      <c r="J127" s="8">
        <f t="shared" si="3"/>
        <v>0</v>
      </c>
      <c r="K127" s="18" t="str">
        <f t="shared" si="2"/>
        <v>CEBOLLA COMUNKG</v>
      </c>
    </row>
    <row r="128">
      <c r="A128" s="19" t="s">
        <v>85</v>
      </c>
      <c r="B128" s="14" t="s">
        <v>81</v>
      </c>
      <c r="C128" s="15">
        <f>IFERROR(AVERAGEIFS(COMPRAS!$D:$D, COMPRAS!$C:$C, $A128, COMPRAS!$J:$J, $B128), 0)</f>
        <v>0</v>
      </c>
      <c r="D128" s="16">
        <v>1.3</v>
      </c>
      <c r="E128" s="8">
        <f>ROUNDUP(C128 *D128, -3)</f>
        <v>0</v>
      </c>
      <c r="F128" s="17">
        <f>IFERROR(AVERAGEIFS(COMPRAS!$F:$F, COMPRAS!$C:$C, $A128, COMPRAS!$J:$J, $B128), 1)</f>
        <v>1</v>
      </c>
      <c r="G128" s="8">
        <f>IFERROR(SUMIFS(COMPRAS!I:I, COMPRAS!C:C, A128) * SUMIFS(COMPRAS!E:E, COMPRAS!C:C, A128) / COUNTIF(COMPRAS!C:C, A128), 0)</f>
        <v>0</v>
      </c>
      <c r="H128" s="18">
        <f>IFERROR(
  ((SUMIFS(COMPRAS!$E:$E, COMPRAS!$C:$C, $A128, COMPRAS!$J:$J, "CAJON") + SUMIFS(COMPRAS!$E:$E, COMPRAS!$C:$C, $A128, COMPRAS!$J:$J, "BOLSA")) * $F128) - 
  ((SUMIFS(prueba!$A:$A, prueba!$C:$C, $A128, prueba!$B:$B, "CAJON") + SUMIFS(prueba!$A:$A, prueba!$C:$C, $A128, prueba!$B:$B, "BOLSA")) * $F128) - 
  MAX(0, (SUMIFS(prueba!$A:$A, prueba!$C:$C, $A128, prueba!$B:$B, "UNIDAD") + SUMIFS(prueba!$A:$A, prueba!$C:$C, $A128, prueba!$B:$B, "KG")) - 
  (SUMIFS(COMPRAS!$E:$E, COMPRAS!$C:$C, $A128, COMPRAS!$J:$J, "UNIDAD") + SUMIFS(COMPRAS!$E:$E, COMPRAS!$C:$C, $A128, COMPRAS!$J:$J, "KG"))), 
0)</f>
        <v>0</v>
      </c>
      <c r="I128" s="8">
        <f t="shared" si="1"/>
        <v>0</v>
      </c>
      <c r="J128" s="8">
        <f t="shared" si="3"/>
        <v>0</v>
      </c>
      <c r="K128" s="18" t="str">
        <f t="shared" si="2"/>
        <v>CEBOLLON COMUNBOLSA</v>
      </c>
    </row>
    <row r="129">
      <c r="A129" s="19" t="s">
        <v>85</v>
      </c>
      <c r="B129" s="14" t="s">
        <v>29</v>
      </c>
      <c r="C129" s="15">
        <f>IFERROR(AVERAGEIFS(COMPRAS!$D:$D, COMPRAS!$C:$C, $A129, COMPRAS!$J:$J, $B129), 0)</f>
        <v>0</v>
      </c>
      <c r="D129" s="16">
        <v>1.3</v>
      </c>
      <c r="E129" s="8">
        <f>ROUNDUP(C129 *D129, -2)</f>
        <v>0</v>
      </c>
      <c r="F129" s="17">
        <f>IFERROR(AVERAGEIFS(COMPRAS!$F:$F, COMPRAS!$C:$C, $A129, COMPRAS!$J:$J, $B129), 1)</f>
        <v>1</v>
      </c>
      <c r="G129" s="8">
        <f>IFERROR(SUMIFS(COMPRAS!I:I, COMPRAS!C:C, A129) * SUMIFS(COMPRAS!E:E, COMPRAS!C:C, A129) / COUNTIF(COMPRAS!C:C, A129), 0)</f>
        <v>0</v>
      </c>
      <c r="H129" s="18">
        <f>MAX(0, 
  (SUMIFS(COMPRAS!$E:$E, COMPRAS!$C:$C, $A129, COMPRAS!$J:$J, "UNIDAD") + SUMIFS(COMPRAS!$E:$E, COMPRAS!$C:$C, $A129, COMPRAS!$J:$J, "KG")) - 
  (SUMIFS(prueba!$A:$A, prueba!$C:$C, $A129, prueba!$B:$B, "UNIDAD") + SUMIFS(prueba!$A:$A, prueba!$C:$C, $A129, prueba!$B:$B, "KG"))
)</f>
        <v>0</v>
      </c>
      <c r="I129" s="8">
        <f t="shared" si="1"/>
        <v>0</v>
      </c>
      <c r="J129" s="8">
        <f t="shared" si="3"/>
        <v>0</v>
      </c>
      <c r="K129" s="18" t="str">
        <f t="shared" si="2"/>
        <v>CEBOLLON COMUNKG</v>
      </c>
    </row>
    <row r="130">
      <c r="A130" s="19" t="s">
        <v>86</v>
      </c>
      <c r="B130" s="14" t="s">
        <v>81</v>
      </c>
      <c r="C130" s="15">
        <f>IFERROR(AVERAGEIFS(COMPRAS!$D:$D, COMPRAS!$C:$C, $A130, COMPRAS!$J:$J, $B130), 0)</f>
        <v>0</v>
      </c>
      <c r="D130" s="16">
        <v>1.3</v>
      </c>
      <c r="E130" s="8">
        <f>ROUNDUP(C130 *D130, -3)</f>
        <v>0</v>
      </c>
      <c r="F130" s="17">
        <f>IFERROR(AVERAGEIFS(COMPRAS!$F:$F, COMPRAS!$C:$C, $A130, COMPRAS!$J:$J, $B130), 1)</f>
        <v>1</v>
      </c>
      <c r="G130" s="8">
        <f>IFERROR(SUMIFS(COMPRAS!I:I, COMPRAS!C:C, A130) * SUMIFS(COMPRAS!E:E, COMPRAS!C:C, A130) / COUNTIF(COMPRAS!C:C, A130), 0)</f>
        <v>0</v>
      </c>
      <c r="H130" s="18">
        <f>IFERROR(
  ((SUMIFS(COMPRAS!$E:$E, COMPRAS!$C:$C, $A130, COMPRAS!$J:$J, "CAJON") + SUMIFS(COMPRAS!$E:$E, COMPRAS!$C:$C, $A130, COMPRAS!$J:$J, "BOLSA")) * $F130) - 
  ((SUMIFS(prueba!$A:$A, prueba!$C:$C, $A130, prueba!$B:$B, "CAJON") + SUMIFS(prueba!$A:$A, prueba!$C:$C, $A130, prueba!$B:$B, "BOLSA")) * $F130) - 
  MAX(0, (SUMIFS(prueba!$A:$A, prueba!$C:$C, $A130, prueba!$B:$B, "UNIDAD") + SUMIFS(prueba!$A:$A, prueba!$C:$C, $A130, prueba!$B:$B, "KG")) - 
  (SUMIFS(COMPRAS!$E:$E, COMPRAS!$C:$C, $A130, COMPRAS!$J:$J, "UNIDAD") + SUMIFS(COMPRAS!$E:$E, COMPRAS!$C:$C, $A130, COMPRAS!$J:$J, "KG"))), 
0)</f>
        <v>0</v>
      </c>
      <c r="I130" s="8">
        <f t="shared" si="1"/>
        <v>0</v>
      </c>
      <c r="J130" s="8">
        <f t="shared" si="3"/>
        <v>0</v>
      </c>
      <c r="K130" s="18" t="str">
        <f t="shared" si="2"/>
        <v>CEBOLLA MORADABOLSA</v>
      </c>
    </row>
    <row r="131">
      <c r="A131" s="19" t="s">
        <v>86</v>
      </c>
      <c r="B131" s="14" t="s">
        <v>29</v>
      </c>
      <c r="C131" s="15">
        <f>IFERROR(AVERAGEIFS(COMPRAS!$D:$D, COMPRAS!$C:$C, $A131, COMPRAS!$J:$J, $B131), 0)</f>
        <v>0</v>
      </c>
      <c r="D131" s="16">
        <v>1.3</v>
      </c>
      <c r="E131" s="8">
        <f>ROUNDUP(C131 *D131, -2)</f>
        <v>0</v>
      </c>
      <c r="F131" s="17">
        <f>IFERROR(AVERAGEIFS(COMPRAS!$F:$F, COMPRAS!$C:$C, $A131, COMPRAS!$J:$J, $B131), 1)</f>
        <v>1</v>
      </c>
      <c r="G131" s="8">
        <f>IFERROR(SUMIFS(COMPRAS!I:I, COMPRAS!C:C, A131) * SUMIFS(COMPRAS!E:E, COMPRAS!C:C, A131) / COUNTIF(COMPRAS!C:C, A131), 0)</f>
        <v>0</v>
      </c>
      <c r="H131" s="18">
        <f>MAX(0, 
  (SUMIFS(COMPRAS!$E:$E, COMPRAS!$C:$C, $A131, COMPRAS!$J:$J, "UNIDAD") + SUMIFS(COMPRAS!$E:$E, COMPRAS!$C:$C, $A131, COMPRAS!$J:$J, "KG")) - 
  (SUMIFS(prueba!$A:$A, prueba!$C:$C, $A131, prueba!$B:$B, "UNIDAD") + SUMIFS(prueba!$A:$A, prueba!$C:$C, $A131, prueba!$B:$B, "KG"))
)</f>
        <v>0</v>
      </c>
      <c r="I131" s="8">
        <f t="shared" si="1"/>
        <v>0</v>
      </c>
      <c r="J131" s="8">
        <f t="shared" si="3"/>
        <v>0</v>
      </c>
      <c r="K131" s="18" t="str">
        <f t="shared" si="2"/>
        <v>CEBOLLA MORADAKG</v>
      </c>
    </row>
    <row r="132">
      <c r="A132" s="20" t="s">
        <v>87</v>
      </c>
      <c r="B132" s="14" t="s">
        <v>81</v>
      </c>
      <c r="C132" s="15">
        <f>IFERROR(AVERAGEIFS(COMPRAS!$D:$D, COMPRAS!$C:$C, $A132, COMPRAS!$J:$J, $B132), 0)</f>
        <v>0</v>
      </c>
      <c r="D132" s="16">
        <v>1.3</v>
      </c>
      <c r="E132" s="8">
        <f>ROUNDUP(C132 *D132, -3)</f>
        <v>0</v>
      </c>
      <c r="F132" s="17">
        <f>IFERROR(AVERAGEIFS(COMPRAS!$F:$F, COMPRAS!$C:$C, $A132, COMPRAS!$J:$J, $B132), 1)</f>
        <v>1</v>
      </c>
      <c r="G132" s="8">
        <f>IFERROR(SUMIFS(COMPRAS!I:I, COMPRAS!C:C, A132) * SUMIFS(COMPRAS!E:E, COMPRAS!C:C, A132) / COUNTIF(COMPRAS!C:C, A132), 0)</f>
        <v>0</v>
      </c>
      <c r="H132" s="18">
        <f>IFERROR(
  ((SUMIFS(COMPRAS!$E:$E, COMPRAS!$C:$C, $A132, COMPRAS!$J:$J, "CAJON") + SUMIFS(COMPRAS!$E:$E, COMPRAS!$C:$C, $A132, COMPRAS!$J:$J, "BOLSA")) * $F132) - 
  ((SUMIFS(prueba!$A:$A, prueba!$C:$C, $A132, prueba!$B:$B, "CAJON") + SUMIFS(prueba!$A:$A, prueba!$C:$C, $A132, prueba!$B:$B, "BOLSA")) * $F132) - 
  MAX(0, (SUMIFS(prueba!$A:$A, prueba!$C:$C, $A132, prueba!$B:$B, "UNIDAD") + SUMIFS(prueba!$A:$A, prueba!$C:$C, $A132, prueba!$B:$B, "KG")) - 
  (SUMIFS(COMPRAS!$E:$E, COMPRAS!$C:$C, $A132, COMPRAS!$J:$J, "UNIDAD") + SUMIFS(COMPRAS!$E:$E, COMPRAS!$C:$C, $A132, COMPRAS!$J:$J, "KG"))), 
0)</f>
        <v>0</v>
      </c>
      <c r="I132" s="8">
        <f t="shared" si="1"/>
        <v>0</v>
      </c>
      <c r="J132" s="8">
        <f t="shared" si="3"/>
        <v>0</v>
      </c>
      <c r="K132" s="18" t="str">
        <f t="shared" si="2"/>
        <v>PAPA NEGRABOLSA</v>
      </c>
    </row>
    <row r="133">
      <c r="A133" s="20" t="s">
        <v>87</v>
      </c>
      <c r="B133" s="14" t="s">
        <v>29</v>
      </c>
      <c r="C133" s="15">
        <f>IFERROR(AVERAGEIFS(COMPRAS!$D:$D, COMPRAS!$C:$C, $A133, COMPRAS!$J:$J, $B133), 0)</f>
        <v>0</v>
      </c>
      <c r="D133" s="16">
        <v>1.3</v>
      </c>
      <c r="E133" s="8">
        <f>ROUNDUP(C133 *D133, -2)</f>
        <v>0</v>
      </c>
      <c r="F133" s="17">
        <f>IFERROR(AVERAGEIFS(COMPRAS!$F:$F, COMPRAS!$C:$C, $A133, COMPRAS!$J:$J, $B133), 1)</f>
        <v>1</v>
      </c>
      <c r="G133" s="8">
        <f>IFERROR(SUMIFS(COMPRAS!I:I, COMPRAS!C:C, A133) * SUMIFS(COMPRAS!E:E, COMPRAS!C:C, A133) / COUNTIF(COMPRAS!C:C, A133), 0)</f>
        <v>0</v>
      </c>
      <c r="H133" s="18">
        <f>MAX(0, 
  (SUMIFS(COMPRAS!$E:$E, COMPRAS!$C:$C, $A133, COMPRAS!$J:$J, "UNIDAD") + SUMIFS(COMPRAS!$E:$E, COMPRAS!$C:$C, $A133, COMPRAS!$J:$J, "KG")) - 
  (SUMIFS(prueba!$A:$A, prueba!$C:$C, $A133, prueba!$B:$B, "UNIDAD") + SUMIFS(prueba!$A:$A, prueba!$C:$C, $A133, prueba!$B:$B, "KG"))
)</f>
        <v>0</v>
      </c>
      <c r="I133" s="8">
        <f t="shared" si="1"/>
        <v>0</v>
      </c>
      <c r="J133" s="8">
        <f t="shared" si="3"/>
        <v>0</v>
      </c>
      <c r="K133" s="18" t="str">
        <f t="shared" si="2"/>
        <v>PAPA NEGRAKG</v>
      </c>
    </row>
    <row r="134">
      <c r="A134" s="19" t="s">
        <v>88</v>
      </c>
      <c r="B134" s="14" t="s">
        <v>81</v>
      </c>
      <c r="C134" s="15">
        <f>IFERROR(AVERAGEIFS(COMPRAS!$D:$D, COMPRAS!$C:$C, $A134, COMPRAS!$J:$J, $B134), 0)</f>
        <v>0</v>
      </c>
      <c r="D134" s="16">
        <v>1.3</v>
      </c>
      <c r="E134" s="8">
        <f>ROUNDUP(C134 * D134, -3)</f>
        <v>0</v>
      </c>
      <c r="F134" s="17">
        <f>IFERROR(AVERAGEIFS(COMPRAS!$F:$F, COMPRAS!$C:$C, $A134, COMPRAS!$J:$J, $B134), 1)</f>
        <v>1</v>
      </c>
      <c r="G134" s="8">
        <f>IFERROR(SUMIFS(COMPRAS!I:I, COMPRAS!C:C, A134) * SUMIFS(COMPRAS!E:E, COMPRAS!C:C, A134) / COUNTIF(COMPRAS!C:C, A134), 0)</f>
        <v>0</v>
      </c>
      <c r="H134" s="18">
        <f>IFERROR(
  ((SUMIFS(COMPRAS!$E:$E, COMPRAS!$C:$C, $A134, COMPRAS!$J:$J, "CAJON") + SUMIFS(COMPRAS!$E:$E, COMPRAS!$C:$C, $A134, COMPRAS!$J:$J, "BOLSA")) * $F134) - 
  ((SUMIFS(prueba!$A:$A, prueba!$C:$C, $A134, prueba!$B:$B, "CAJON") + SUMIFS(prueba!$A:$A, prueba!$C:$C, $A134, prueba!$B:$B, "BOLSA")) * $F134) - 
  MAX(0, (SUMIFS(prueba!$A:$A, prueba!$C:$C, $A134, prueba!$B:$B, "UNIDAD") + SUMIFS(prueba!$A:$A, prueba!$C:$C, $A134, prueba!$B:$B, "KG")) - 
  (SUMIFS(COMPRAS!$E:$E, COMPRAS!$C:$C, $A134, COMPRAS!$J:$J, "UNIDAD") + SUMIFS(COMPRAS!$E:$E, COMPRAS!$C:$C, $A134, COMPRAS!$J:$J, "KG"))), 
0)</f>
        <v>0</v>
      </c>
      <c r="I134" s="8">
        <f t="shared" si="1"/>
        <v>0</v>
      </c>
      <c r="J134" s="8">
        <f t="shared" si="3"/>
        <v>0</v>
      </c>
      <c r="K134" s="18" t="str">
        <f t="shared" si="2"/>
        <v>PAPA NEGRA CEPILLADABOLSA</v>
      </c>
    </row>
    <row r="135">
      <c r="A135" s="19" t="s">
        <v>88</v>
      </c>
      <c r="B135" s="14" t="s">
        <v>29</v>
      </c>
      <c r="C135" s="15">
        <f>IFERROR(AVERAGEIFS(COMPRAS!$D:$D, COMPRAS!$C:$C, $A135, COMPRAS!$J:$J, $B135), 0)</f>
        <v>0</v>
      </c>
      <c r="D135" s="16">
        <v>1.3</v>
      </c>
      <c r="E135" s="8">
        <f>ROUNDUP(C135 * D135, -2)</f>
        <v>0</v>
      </c>
      <c r="F135" s="17">
        <f>IFERROR(AVERAGEIFS(COMPRAS!$F:$F, COMPRAS!$C:$C, $A135, COMPRAS!$J:$J, $B135), 1)</f>
        <v>1</v>
      </c>
      <c r="G135" s="8">
        <f>IFERROR(SUMIFS(COMPRAS!I:I, COMPRAS!C:C, A135) * SUMIFS(COMPRAS!E:E, COMPRAS!C:C, A135) / COUNTIF(COMPRAS!C:C, A135), 0)</f>
        <v>0</v>
      </c>
      <c r="H135" s="18">
        <f>MAX(0, 
  (SUMIFS(COMPRAS!$E:$E, COMPRAS!$C:$C, $A135, COMPRAS!$J:$J, "UNIDAD") + SUMIFS(COMPRAS!$E:$E, COMPRAS!$C:$C, $A135, COMPRAS!$J:$J, "KG")) - 
  (SUMIFS(prueba!$A:$A, prueba!$C:$C, $A135, prueba!$B:$B, "UNIDAD") + SUMIFS(prueba!$A:$A, prueba!$C:$C, $A135, prueba!$B:$B, "KG"))
)</f>
        <v>0</v>
      </c>
      <c r="I135" s="8">
        <f t="shared" si="1"/>
        <v>0</v>
      </c>
      <c r="J135" s="8">
        <f t="shared" si="3"/>
        <v>0</v>
      </c>
      <c r="K135" s="18" t="str">
        <f t="shared" si="2"/>
        <v>PAPA NEGRA CEPILLADAKG</v>
      </c>
    </row>
    <row r="136">
      <c r="A136" s="19" t="s">
        <v>89</v>
      </c>
      <c r="B136" s="14" t="s">
        <v>81</v>
      </c>
      <c r="C136" s="15">
        <f>IFERROR(AVERAGEIFS(COMPRAS!$D:$D, COMPRAS!$C:$C, $A136, COMPRAS!$J:$J, $B136), 0)</f>
        <v>0</v>
      </c>
      <c r="D136" s="16">
        <v>1.3</v>
      </c>
      <c r="E136" s="8">
        <f>ROUNDUP(C136 *D136, -3)</f>
        <v>0</v>
      </c>
      <c r="F136" s="17">
        <f>IFERROR(AVERAGEIFS(COMPRAS!$F:$F, COMPRAS!$C:$C, $A136, COMPRAS!$J:$J, $B136), 1)</f>
        <v>1</v>
      </c>
      <c r="G136" s="8">
        <f>IFERROR(SUMIFS(COMPRAS!I:I, COMPRAS!C:C, A136) * SUMIFS(COMPRAS!E:E, COMPRAS!C:C, A136) / COUNTIF(COMPRAS!C:C, A136), 0)</f>
        <v>0</v>
      </c>
      <c r="H136" s="18">
        <f>IFERROR(
  ((SUMIFS(COMPRAS!$E:$E, COMPRAS!$C:$C, $A136, COMPRAS!$J:$J, "CAJON") + SUMIFS(COMPRAS!$E:$E, COMPRAS!$C:$C, $A136, COMPRAS!$J:$J, "BOLSA")) * $F136) - 
  ((SUMIFS(prueba!$A:$A, prueba!$C:$C, $A136, prueba!$B:$B, "CAJON") + SUMIFS(prueba!$A:$A, prueba!$C:$C, $A136, prueba!$B:$B, "BOLSA")) * $F136) - 
  MAX(0, (SUMIFS(prueba!$A:$A, prueba!$C:$C, $A136, prueba!$B:$B, "UNIDAD") + SUMIFS(prueba!$A:$A, prueba!$C:$C, $A136, prueba!$B:$B, "KG")) - 
  (SUMIFS(COMPRAS!$E:$E, COMPRAS!$C:$C, $A136, COMPRAS!$J:$J, "UNIDAD") + SUMIFS(COMPRAS!$E:$E, COMPRAS!$C:$C, $A136, COMPRAS!$J:$J, "KG"))), 
0)</f>
        <v>0</v>
      </c>
      <c r="I136" s="8">
        <f t="shared" si="1"/>
        <v>0</v>
      </c>
      <c r="J136" s="8">
        <f t="shared" si="3"/>
        <v>0</v>
      </c>
      <c r="K136" s="18" t="str">
        <f t="shared" si="2"/>
        <v>PAPA LAVADABOLSA</v>
      </c>
    </row>
    <row r="137">
      <c r="A137" s="19" t="s">
        <v>89</v>
      </c>
      <c r="B137" s="14" t="s">
        <v>29</v>
      </c>
      <c r="C137" s="15">
        <f>IFERROR(AVERAGEIFS(COMPRAS!$D:$D, COMPRAS!$C:$C, $A137, COMPRAS!$J:$J, $B137), 0)</f>
        <v>0</v>
      </c>
      <c r="D137" s="16">
        <v>1.3</v>
      </c>
      <c r="E137" s="8">
        <f>ROUNDUP(C137 *D137, -2)</f>
        <v>0</v>
      </c>
      <c r="F137" s="17">
        <f>IFERROR(AVERAGEIFS(COMPRAS!$F:$F, COMPRAS!$C:$C, $A137, COMPRAS!$J:$J, $B137), 1)</f>
        <v>1</v>
      </c>
      <c r="G137" s="8">
        <f>IFERROR(SUMIFS(COMPRAS!I:I, COMPRAS!C:C, A137) * SUMIFS(COMPRAS!E:E, COMPRAS!C:C, A137) / COUNTIF(COMPRAS!C:C, A137), 0)</f>
        <v>0</v>
      </c>
      <c r="H137" s="18">
        <f>MAX(0, 
  (SUMIFS(COMPRAS!$E:$E, COMPRAS!$C:$C, $A137, COMPRAS!$J:$J, "UNIDAD") + SUMIFS(COMPRAS!$E:$E, COMPRAS!$C:$C, $A137, COMPRAS!$J:$J, "KG")) - 
  (SUMIFS(prueba!$A:$A, prueba!$C:$C, $A137, prueba!$B:$B, "UNIDAD") + SUMIFS(prueba!$A:$A, prueba!$C:$C, $A137, prueba!$B:$B, "KG"))
)</f>
        <v>0</v>
      </c>
      <c r="I137" s="8">
        <f t="shared" si="1"/>
        <v>0</v>
      </c>
      <c r="J137" s="8">
        <f t="shared" si="3"/>
        <v>0</v>
      </c>
      <c r="K137" s="18" t="str">
        <f t="shared" si="2"/>
        <v>PAPA LAVADAKG</v>
      </c>
    </row>
    <row r="138">
      <c r="A138" s="19" t="s">
        <v>90</v>
      </c>
      <c r="B138" s="14" t="s">
        <v>81</v>
      </c>
      <c r="C138" s="15">
        <f>IFERROR(AVERAGEIFS(COMPRAS!$D:$D, COMPRAS!$C:$C, $A138, COMPRAS!$J:$J, $B138), 0)</f>
        <v>0</v>
      </c>
      <c r="D138" s="16">
        <v>1.3</v>
      </c>
      <c r="E138" s="8">
        <f>ROUNDUP(C138 *D138, -3)</f>
        <v>0</v>
      </c>
      <c r="F138" s="17">
        <f>IFERROR(AVERAGEIFS(COMPRAS!$F:$F, COMPRAS!$C:$C, $A138, COMPRAS!$J:$J, $B138), 1)</f>
        <v>1</v>
      </c>
      <c r="G138" s="8">
        <f>IFERROR(SUMIFS(COMPRAS!I:I, COMPRAS!C:C, A138) * SUMIFS(COMPRAS!E:E, COMPRAS!C:C, A138) / COUNTIF(COMPRAS!C:C, A138), 0)</f>
        <v>0</v>
      </c>
      <c r="H138" s="18">
        <f>IFERROR(
  ((SUMIFS(COMPRAS!$E:$E, COMPRAS!$C:$C, $A138, COMPRAS!$J:$J, "CAJON") + SUMIFS(COMPRAS!$E:$E, COMPRAS!$C:$C, $A138, COMPRAS!$J:$J, "BOLSA")) * $F138) - 
  ((SUMIFS(prueba!$A:$A, prueba!$C:$C, $A138, prueba!$B:$B, "CAJON") + SUMIFS(prueba!$A:$A, prueba!$C:$C, $A138, prueba!$B:$B, "BOLSA")) * $F138) - 
  MAX(0, (SUMIFS(prueba!$A:$A, prueba!$C:$C, $A138, prueba!$B:$B, "UNIDAD") + SUMIFS(prueba!$A:$A, prueba!$C:$C, $A138, prueba!$B:$B, "KG")) - 
  (SUMIFS(COMPRAS!$E:$E, COMPRAS!$C:$C, $A138, COMPRAS!$J:$J, "UNIDAD") + SUMIFS(COMPRAS!$E:$E, COMPRAS!$C:$C, $A138, COMPRAS!$J:$J, "KG"))), 
0)</f>
        <v>0</v>
      </c>
      <c r="I138" s="8">
        <f t="shared" si="1"/>
        <v>0</v>
      </c>
      <c r="J138" s="8">
        <f t="shared" si="3"/>
        <v>0</v>
      </c>
      <c r="K138" s="18" t="str">
        <f t="shared" si="2"/>
        <v>ZANAHORIA INDUSTRIALBOLSA</v>
      </c>
    </row>
    <row r="139">
      <c r="A139" s="19" t="s">
        <v>90</v>
      </c>
      <c r="B139" s="14" t="s">
        <v>29</v>
      </c>
      <c r="C139" s="15">
        <f>IFERROR(AVERAGEIFS(COMPRAS!$D:$D, COMPRAS!$C:$C, $A139, COMPRAS!$J:$J, $B139), 0)</f>
        <v>0</v>
      </c>
      <c r="D139" s="16">
        <v>1.3</v>
      </c>
      <c r="E139" s="8">
        <f>ROUNDUP(C139 *D139, -2)</f>
        <v>0</v>
      </c>
      <c r="F139" s="17">
        <f>IFERROR(AVERAGEIFS(COMPRAS!$F:$F, COMPRAS!$C:$C, $A139, COMPRAS!$J:$J, $B139), 1)</f>
        <v>1</v>
      </c>
      <c r="G139" s="8">
        <f>IFERROR(SUMIFS(COMPRAS!I:I, COMPRAS!C:C, A139) * SUMIFS(COMPRAS!E:E, COMPRAS!C:C, A139) / COUNTIF(COMPRAS!C:C, A139), 0)</f>
        <v>0</v>
      </c>
      <c r="H139" s="18">
        <f>MAX(0, 
  (SUMIFS(COMPRAS!$E:$E, COMPRAS!$C:$C, $A139, COMPRAS!$J:$J, "UNIDAD") + SUMIFS(COMPRAS!$E:$E, COMPRAS!$C:$C, $A139, COMPRAS!$J:$J, "KG")) - 
  (SUMIFS(prueba!$A:$A, prueba!$C:$C, $A139, prueba!$B:$B, "UNIDAD") + SUMIFS(prueba!$A:$A, prueba!$C:$C, $A139, prueba!$B:$B, "KG"))
)</f>
        <v>0</v>
      </c>
      <c r="I139" s="8">
        <f t="shared" si="1"/>
        <v>0</v>
      </c>
      <c r="J139" s="8">
        <f t="shared" si="3"/>
        <v>0</v>
      </c>
      <c r="K139" s="18" t="str">
        <f t="shared" si="2"/>
        <v>ZANAHORIA INDUSTRIALKG</v>
      </c>
    </row>
    <row r="140">
      <c r="A140" s="19" t="s">
        <v>91</v>
      </c>
      <c r="B140" s="14" t="s">
        <v>81</v>
      </c>
      <c r="C140" s="15">
        <f>IFERROR(AVERAGEIFS(COMPRAS!$D:$D, COMPRAS!$C:$C, $A140, COMPRAS!$J:$J, $B140), 0)</f>
        <v>0</v>
      </c>
      <c r="D140" s="16">
        <v>1.3</v>
      </c>
      <c r="E140" s="8">
        <f>ROUNDUP(C140 *D140, -3)</f>
        <v>0</v>
      </c>
      <c r="F140" s="17">
        <f>IFERROR(AVERAGEIFS(COMPRAS!$F:$F, COMPRAS!$C:$C, $A140, COMPRAS!$J:$J, $B140), 1)</f>
        <v>1</v>
      </c>
      <c r="G140" s="8">
        <f>IFERROR(SUMIFS(COMPRAS!I:I, COMPRAS!C:C, A140) * SUMIFS(COMPRAS!E:E, COMPRAS!C:C, A140) / COUNTIF(COMPRAS!C:C, A140), 0)</f>
        <v>0</v>
      </c>
      <c r="H140" s="18">
        <f>IFERROR(
  ((SUMIFS(COMPRAS!$E:$E, COMPRAS!$C:$C, $A140, COMPRAS!$J:$J, "CAJON") + SUMIFS(COMPRAS!$E:$E, COMPRAS!$C:$C, $A140, COMPRAS!$J:$J, "BOLSA")) * $F140) - 
  ((SUMIFS(prueba!$A:$A, prueba!$C:$C, $A140, prueba!$B:$B, "CAJON") + SUMIFS(prueba!$A:$A, prueba!$C:$C, $A140, prueba!$B:$B, "BOLSA")) * $F140) - 
  MAX(0, (SUMIFS(prueba!$A:$A, prueba!$C:$C, $A140, prueba!$B:$B, "UNIDAD") + SUMIFS(prueba!$A:$A, prueba!$C:$C, $A140, prueba!$B:$B, "KG")) - 
  (SUMIFS(COMPRAS!$E:$E, COMPRAS!$C:$C, $A140, COMPRAS!$J:$J, "UNIDAD") + SUMIFS(COMPRAS!$E:$E, COMPRAS!$C:$C, $A140, COMPRAS!$J:$J, "KG"))), 
0)</f>
        <v>0</v>
      </c>
      <c r="I140" s="8">
        <f t="shared" si="1"/>
        <v>0</v>
      </c>
      <c r="J140" s="8">
        <f t="shared" si="3"/>
        <v>0</v>
      </c>
      <c r="K140" s="18" t="str">
        <f t="shared" si="2"/>
        <v>ZANAHORIA ELEGIDA CUBITOBOLSA</v>
      </c>
    </row>
    <row r="141">
      <c r="A141" s="19" t="s">
        <v>91</v>
      </c>
      <c r="B141" s="14" t="s">
        <v>29</v>
      </c>
      <c r="C141" s="15">
        <f>IFERROR(AVERAGEIFS(COMPRAS!$D:$D, COMPRAS!$C:$C, $A141, COMPRAS!$J:$J, $B141), 0)</f>
        <v>0</v>
      </c>
      <c r="D141" s="16">
        <v>1.3</v>
      </c>
      <c r="E141" s="8">
        <f>ROUNDUP(C141 *D141, -2)</f>
        <v>0</v>
      </c>
      <c r="F141" s="17">
        <f>IFERROR(AVERAGEIFS(COMPRAS!$F:$F, COMPRAS!$C:$C, $A141, COMPRAS!$J:$J, $B141), 1)</f>
        <v>1</v>
      </c>
      <c r="G141" s="8">
        <f>IFERROR(SUMIFS(COMPRAS!I:I, COMPRAS!C:C, A141) * SUMIFS(COMPRAS!E:E, COMPRAS!C:C, A141) / COUNTIF(COMPRAS!C:C, A141), 0)</f>
        <v>0</v>
      </c>
      <c r="H141" s="18">
        <f>MAX(0, 
  (SUMIFS(COMPRAS!$E:$E, COMPRAS!$C:$C, $A141, COMPRAS!$J:$J, "UNIDAD") + SUMIFS(COMPRAS!$E:$E, COMPRAS!$C:$C, $A141, COMPRAS!$J:$J, "KG")) - 
  (SUMIFS(prueba!$A:$A, prueba!$C:$C, $A141, prueba!$B:$B, "UNIDAD") + SUMIFS(prueba!$A:$A, prueba!$C:$C, $A141, prueba!$B:$B, "KG"))
)</f>
        <v>0</v>
      </c>
      <c r="I141" s="8">
        <f t="shared" si="1"/>
        <v>0</v>
      </c>
      <c r="J141" s="8">
        <f t="shared" si="3"/>
        <v>0</v>
      </c>
      <c r="K141" s="18" t="str">
        <f t="shared" si="2"/>
        <v>ZANAHORIA ELEGIDA CUBITOKG</v>
      </c>
    </row>
    <row r="142">
      <c r="A142" s="20" t="s">
        <v>92</v>
      </c>
      <c r="B142" s="14" t="s">
        <v>81</v>
      </c>
      <c r="C142" s="15">
        <f>IFERROR(AVERAGEIFS(COMPRAS!$D:$D, COMPRAS!$C:$C, $A142, COMPRAS!$J:$J, $B142), 0)</f>
        <v>0</v>
      </c>
      <c r="D142" s="16">
        <v>1.3</v>
      </c>
      <c r="E142" s="8">
        <f>ROUNDUP(C142 *D142, -3)</f>
        <v>0</v>
      </c>
      <c r="F142" s="17">
        <f>IFERROR(AVERAGEIFS(COMPRAS!$F:$F, COMPRAS!$C:$C, $A142, COMPRAS!$J:$J, $B142), 1)</f>
        <v>1</v>
      </c>
      <c r="G142" s="8">
        <f>IFERROR(SUMIFS(COMPRAS!I:I, COMPRAS!C:C, A142) * SUMIFS(COMPRAS!E:E, COMPRAS!C:C, A142) / COUNTIF(COMPRAS!C:C, A142), 0)</f>
        <v>0</v>
      </c>
      <c r="H142" s="18">
        <f>IFERROR(
  ((SUMIFS(COMPRAS!$E:$E, COMPRAS!$C:$C, $A142, COMPRAS!$J:$J, "CAJON") + SUMIFS(COMPRAS!$E:$E, COMPRAS!$C:$C, $A142, COMPRAS!$J:$J, "BOLSA")) * $F142) - 
  ((SUMIFS(prueba!$A:$A, prueba!$C:$C, $A142, prueba!$B:$B, "CAJON") + SUMIFS(prueba!$A:$A, prueba!$C:$C, $A142, prueba!$B:$B, "BOLSA")) * $F142) - 
  MAX(0, (SUMIFS(prueba!$A:$A, prueba!$C:$C, $A142, prueba!$B:$B, "UNIDAD") + SUMIFS(prueba!$A:$A, prueba!$C:$C, $A142, prueba!$B:$B, "KG")) - 
  (SUMIFS(COMPRAS!$E:$E, COMPRAS!$C:$C, $A142, COMPRAS!$J:$J, "UNIDAD") + SUMIFS(COMPRAS!$E:$E, COMPRAS!$C:$C, $A142, COMPRAS!$J:$J, "KG"))), 
0)</f>
        <v>0</v>
      </c>
      <c r="I142" s="8">
        <f t="shared" si="1"/>
        <v>0</v>
      </c>
      <c r="J142" s="8">
        <f t="shared" si="3"/>
        <v>0</v>
      </c>
      <c r="K142" s="18" t="str">
        <f t="shared" si="2"/>
        <v>ZANAHORIA ELEGIDA CAJONBOLSA</v>
      </c>
    </row>
    <row r="143">
      <c r="A143" s="20" t="s">
        <v>92</v>
      </c>
      <c r="B143" s="14" t="s">
        <v>29</v>
      </c>
      <c r="C143" s="15">
        <f>IFERROR(AVERAGEIFS(COMPRAS!$D:$D, COMPRAS!$C:$C, $A143, COMPRAS!$J:$J, $B143), 0)</f>
        <v>0</v>
      </c>
      <c r="D143" s="16">
        <v>1.3</v>
      </c>
      <c r="E143" s="8">
        <f>ROUNDUP(C143 *D143, -2)</f>
        <v>0</v>
      </c>
      <c r="F143" s="17">
        <f>IFERROR(AVERAGEIFS(COMPRAS!$F:$F, COMPRAS!$C:$C, $A143, COMPRAS!$J:$J, $B143), 1)</f>
        <v>1</v>
      </c>
      <c r="G143" s="8">
        <f>IFERROR(SUMIFS(COMPRAS!I:I, COMPRAS!C:C, A143) * SUMIFS(COMPRAS!E:E, COMPRAS!C:C, A143) / COUNTIF(COMPRAS!C:C, A143), 0)</f>
        <v>0</v>
      </c>
      <c r="H143" s="18">
        <f>MAX(0, 
  (SUMIFS(COMPRAS!$E:$E, COMPRAS!$C:$C, $A143, COMPRAS!$J:$J, "UNIDAD") + SUMIFS(COMPRAS!$E:$E, COMPRAS!$C:$C, $A143, COMPRAS!$J:$J, "KG")) - 
  (SUMIFS(prueba!$A:$A, prueba!$C:$C, $A143, prueba!$B:$B, "UNIDAD") + SUMIFS(prueba!$A:$A, prueba!$C:$C, $A143, prueba!$B:$B, "KG"))
)</f>
        <v>0</v>
      </c>
      <c r="I143" s="8">
        <f t="shared" si="1"/>
        <v>0</v>
      </c>
      <c r="J143" s="8">
        <f t="shared" si="3"/>
        <v>0</v>
      </c>
      <c r="K143" s="18" t="str">
        <f t="shared" si="2"/>
        <v>ZANAHORIA ELEGIDA CAJONKG</v>
      </c>
    </row>
    <row r="144">
      <c r="A144" s="19" t="s">
        <v>93</v>
      </c>
      <c r="B144" s="14" t="s">
        <v>81</v>
      </c>
      <c r="C144" s="15">
        <f>IFERROR(AVERAGEIFS(COMPRAS!$D:$D, COMPRAS!$C:$C, $A144, COMPRAS!$J:$J, $B144), 0)</f>
        <v>0</v>
      </c>
      <c r="D144" s="16">
        <v>1.3</v>
      </c>
      <c r="E144" s="8">
        <f>ROUNDUP(C144 *D144, -3)</f>
        <v>0</v>
      </c>
      <c r="F144" s="17">
        <f>IFERROR(AVERAGEIFS(COMPRAS!$F:$F, COMPRAS!$C:$C, $A144, COMPRAS!$J:$J, $B144), 1)</f>
        <v>1</v>
      </c>
      <c r="G144" s="8">
        <f>IFERROR(SUMIFS(COMPRAS!I:I, COMPRAS!C:C, A144) * SUMIFS(COMPRAS!E:E, COMPRAS!C:C, A144) / COUNTIF(COMPRAS!C:C, A144), 0)</f>
        <v>0</v>
      </c>
      <c r="H144" s="18">
        <f>IFERROR(
  ((SUMIFS(COMPRAS!$E:$E, COMPRAS!$C:$C, $A144, COMPRAS!$J:$J, "CAJON") + SUMIFS(COMPRAS!$E:$E, COMPRAS!$C:$C, $A144, COMPRAS!$J:$J, "BOLSA")) * $F144) - 
  ((SUMIFS(prueba!$A:$A, prueba!$C:$C, $A144, prueba!$B:$B, "CAJON") + SUMIFS(prueba!$A:$A, prueba!$C:$C, $A144, prueba!$B:$B, "BOLSA")) * $F144) - 
  MAX(0, (SUMIFS(prueba!$A:$A, prueba!$C:$C, $A144, prueba!$B:$B, "UNIDAD") + SUMIFS(prueba!$A:$A, prueba!$C:$C, $A144, prueba!$B:$B, "KG")) - 
  (SUMIFS(COMPRAS!$E:$E, COMPRAS!$C:$C, $A144, COMPRAS!$J:$J, "UNIDAD") + SUMIFS(COMPRAS!$E:$E, COMPRAS!$C:$C, $A144, COMPRAS!$J:$J, "KG"))), 
0)</f>
        <v>0</v>
      </c>
      <c r="I144" s="8">
        <f t="shared" si="1"/>
        <v>0</v>
      </c>
      <c r="J144" s="8">
        <f t="shared" si="3"/>
        <v>0</v>
      </c>
      <c r="K144" s="18" t="str">
        <f t="shared" si="2"/>
        <v>ANCOBOLSA</v>
      </c>
    </row>
    <row r="145">
      <c r="A145" s="19" t="s">
        <v>93</v>
      </c>
      <c r="B145" s="14" t="s">
        <v>29</v>
      </c>
      <c r="C145" s="15">
        <f>IFERROR(AVERAGEIFS(COMPRAS!$D:$D, COMPRAS!$C:$C, $A145, COMPRAS!$J:$J, $B145), 0)</f>
        <v>0</v>
      </c>
      <c r="D145" s="16">
        <v>1.3</v>
      </c>
      <c r="E145" s="8">
        <f>ROUNDUP(C145 *D145, -2)</f>
        <v>0</v>
      </c>
      <c r="F145" s="17">
        <f>IFERROR(AVERAGEIFS(COMPRAS!$F:$F, COMPRAS!$C:$C, $A145, COMPRAS!$J:$J, $B145), 1)</f>
        <v>1</v>
      </c>
      <c r="G145" s="8">
        <f>IFERROR(SUMIFS(COMPRAS!I:I, COMPRAS!C:C, A145) * SUMIFS(COMPRAS!E:E, COMPRAS!C:C, A145) / COUNTIF(COMPRAS!C:C, A145), 0)</f>
        <v>0</v>
      </c>
      <c r="H145" s="18">
        <f>MAX(0, 
  (SUMIFS(COMPRAS!$E:$E, COMPRAS!$C:$C, $A145, COMPRAS!$J:$J, "UNIDAD") + SUMIFS(COMPRAS!$E:$E, COMPRAS!$C:$C, $A145, COMPRAS!$J:$J, "KG")) - 
  (SUMIFS(prueba!$A:$A, prueba!$C:$C, $A145, prueba!$B:$B, "UNIDAD") + SUMIFS(prueba!$A:$A, prueba!$C:$C, $A145, prueba!$B:$B, "KG"))
)</f>
        <v>0</v>
      </c>
      <c r="I145" s="8">
        <f t="shared" si="1"/>
        <v>0</v>
      </c>
      <c r="J145" s="8">
        <f t="shared" si="3"/>
        <v>0</v>
      </c>
      <c r="K145" s="18" t="str">
        <f t="shared" si="2"/>
        <v>ANCOKG</v>
      </c>
    </row>
    <row r="146">
      <c r="A146" s="19" t="s">
        <v>94</v>
      </c>
      <c r="B146" s="14" t="s">
        <v>81</v>
      </c>
      <c r="C146" s="15">
        <f>IFERROR(AVERAGEIFS(COMPRAS!$D:$D, COMPRAS!$C:$C, $A146, COMPRAS!$J:$J, $B146), 0)</f>
        <v>0</v>
      </c>
      <c r="D146" s="16">
        <v>1.3</v>
      </c>
      <c r="E146" s="8">
        <f>ROUNDUP(C146 * D146, -3)</f>
        <v>0</v>
      </c>
      <c r="F146" s="17">
        <f>IFERROR(AVERAGEIFS(COMPRAS!$F:$F, COMPRAS!$C:$C, $A146, COMPRAS!$J:$J, $B146), 1)</f>
        <v>1</v>
      </c>
      <c r="G146" s="8">
        <f>IFERROR(SUMIFS(COMPRAS!I:I, COMPRAS!C:C, A146) * SUMIFS(COMPRAS!E:E, COMPRAS!C:C, A146) / COUNTIF(COMPRAS!C:C, A146), 0)</f>
        <v>0</v>
      </c>
      <c r="H146" s="18">
        <f>IFERROR(
  ((SUMIFS(COMPRAS!$E:$E, COMPRAS!$C:$C, $A146, COMPRAS!$J:$J, "CAJON") + SUMIFS(COMPRAS!$E:$E, COMPRAS!$C:$C, $A146, COMPRAS!$J:$J, "BOLSA")) * $F146) - 
  ((SUMIFS(prueba!$A:$A, prueba!$C:$C, $A146, prueba!$B:$B, "CAJON") + SUMIFS(prueba!$A:$A, prueba!$C:$C, $A146, prueba!$B:$B, "BOLSA")) * $F146) - 
  MAX(0, (SUMIFS(prueba!$A:$A, prueba!$C:$C, $A146, prueba!$B:$B, "UNIDAD") + SUMIFS(prueba!$A:$A, prueba!$C:$C, $A146, prueba!$B:$B, "KG")) - 
  (SUMIFS(COMPRAS!$E:$E, COMPRAS!$C:$C, $A146, COMPRAS!$J:$J, "UNIDAD") + SUMIFS(COMPRAS!$E:$E, COMPRAS!$C:$C, $A146, COMPRAS!$J:$J, "KG"))), 
0)</f>
        <v>0</v>
      </c>
      <c r="I146" s="8">
        <f t="shared" si="1"/>
        <v>0</v>
      </c>
      <c r="J146" s="8">
        <f t="shared" si="3"/>
        <v>0</v>
      </c>
      <c r="K146" s="18" t="str">
        <f t="shared" si="2"/>
        <v>CABUTIABOLSA</v>
      </c>
    </row>
    <row r="147">
      <c r="A147" s="19" t="s">
        <v>94</v>
      </c>
      <c r="B147" s="14" t="s">
        <v>29</v>
      </c>
      <c r="C147" s="15">
        <f>IFERROR(AVERAGEIFS(COMPRAS!$D:$D, COMPRAS!$C:$C, $A147, COMPRAS!$J:$J, $B147), 0)</f>
        <v>0</v>
      </c>
      <c r="D147" s="16">
        <v>1.3</v>
      </c>
      <c r="E147" s="8">
        <f>ROUNDUP(C147 * D147, -2)</f>
        <v>0</v>
      </c>
      <c r="F147" s="17">
        <f>IFERROR(AVERAGEIFS(COMPRAS!$F:$F, COMPRAS!$C:$C, $A147, COMPRAS!$J:$J, $B147), 1)</f>
        <v>1</v>
      </c>
      <c r="G147" s="8">
        <f>IFERROR(SUMIFS(COMPRAS!I:I, COMPRAS!C:C, A147) * SUMIFS(COMPRAS!E:E, COMPRAS!C:C, A147) / COUNTIF(COMPRAS!C:C, A147), 0)</f>
        <v>0</v>
      </c>
      <c r="H147" s="18">
        <f>MAX(0, 
  (SUMIFS(COMPRAS!$E:$E, COMPRAS!$C:$C, $A147, COMPRAS!$J:$J, "UNIDAD") + SUMIFS(COMPRAS!$E:$E, COMPRAS!$C:$C, $A147, COMPRAS!$J:$J, "KG")) - 
  (SUMIFS(prueba!$A:$A, prueba!$C:$C, $A147, prueba!$B:$B, "UNIDAD") + SUMIFS(prueba!$A:$A, prueba!$C:$C, $A147, prueba!$B:$B, "KG"))
)</f>
        <v>0</v>
      </c>
      <c r="I147" s="8">
        <f t="shared" si="1"/>
        <v>0</v>
      </c>
      <c r="J147" s="8">
        <f t="shared" si="3"/>
        <v>0</v>
      </c>
      <c r="K147" s="18" t="str">
        <f t="shared" si="2"/>
        <v>CABUTIAKG</v>
      </c>
    </row>
    <row r="148">
      <c r="A148" s="19" t="s">
        <v>95</v>
      </c>
      <c r="B148" s="14" t="s">
        <v>12</v>
      </c>
      <c r="C148" s="15">
        <f>IFERROR(AVERAGEIFS(COMPRAS!$D:$D, COMPRAS!$C:$C, $A148, COMPRAS!$J:$J, $B148), 0)</f>
        <v>0</v>
      </c>
      <c r="D148" s="16">
        <v>1.3</v>
      </c>
      <c r="E148" s="8">
        <f>ROUNDUP(C148 *D148, -3)</f>
        <v>0</v>
      </c>
      <c r="F148" s="17">
        <f>IFERROR(AVERAGEIFS(COMPRAS!$F:$F, COMPRAS!$C:$C, $A148, COMPRAS!$J:$J, $B148), 1)</f>
        <v>1</v>
      </c>
      <c r="G148" s="8">
        <f>IFERROR(SUMIFS(COMPRAS!I:I, COMPRAS!C:C, A148) * SUMIFS(COMPRAS!E:E, COMPRAS!C:C, A148) / COUNTIF(COMPRAS!C:C, A148), 0)</f>
        <v>0</v>
      </c>
      <c r="H148" s="18">
        <f>IFERROR(
  ((SUMIFS(COMPRAS!$E:$E, COMPRAS!$C:$C, $A148, COMPRAS!$J:$J, "CAJON") + SUMIFS(COMPRAS!$E:$E, COMPRAS!$C:$C, $A148, COMPRAS!$J:$J, "BOLSA")) * $F148) - 
  ((SUMIFS(prueba!$A:$A, prueba!$C:$C, $A148, prueba!$B:$B, "CAJON") + SUMIFS(prueba!$A:$A, prueba!$C:$C, $A148, prueba!$B:$B, "BOLSA")) * $F148) - 
  MAX(0, (SUMIFS(prueba!$A:$A, prueba!$C:$C, $A148, prueba!$B:$B, "UNIDAD") + SUMIFS(prueba!$A:$A, prueba!$C:$C, $A148, prueba!$B:$B, "KG")) - 
  (SUMIFS(COMPRAS!$E:$E, COMPRAS!$C:$C, $A148, COMPRAS!$J:$J, "UNIDAD") + SUMIFS(COMPRAS!$E:$E, COMPRAS!$C:$C, $A148, COMPRAS!$J:$J, "KG"))), 
0)</f>
        <v>0</v>
      </c>
      <c r="I148" s="8">
        <f t="shared" si="1"/>
        <v>0</v>
      </c>
      <c r="J148" s="8">
        <f t="shared" si="3"/>
        <v>0</v>
      </c>
      <c r="K148" s="18" t="str">
        <f t="shared" si="2"/>
        <v>BROTE DE SOJACAJON</v>
      </c>
    </row>
    <row r="149">
      <c r="A149" s="19" t="s">
        <v>95</v>
      </c>
      <c r="B149" s="14" t="s">
        <v>8</v>
      </c>
      <c r="C149" s="15">
        <f>IFERROR(AVERAGEIFS(COMPRAS!$D:$D, COMPRAS!$C:$C, $A149, COMPRAS!$J:$J, $B149), 0)</f>
        <v>0</v>
      </c>
      <c r="D149" s="16">
        <v>1.3</v>
      </c>
      <c r="E149" s="8">
        <f>ROUNDUP(C149 *D149, -2)</f>
        <v>0</v>
      </c>
      <c r="F149" s="17">
        <f>IFERROR(AVERAGEIFS(COMPRAS!$F:$F, COMPRAS!$C:$C, $A149, COMPRAS!$J:$J, $B149), 1)</f>
        <v>1</v>
      </c>
      <c r="G149" s="8">
        <f>IFERROR(SUMIFS(COMPRAS!I:I, COMPRAS!C:C, A149) * SUMIFS(COMPRAS!E:E, COMPRAS!C:C, A149) / COUNTIF(COMPRAS!C:C, A149), 0)</f>
        <v>0</v>
      </c>
      <c r="H149" s="18">
        <f>MAX(0, 
  (SUMIFS(COMPRAS!$E:$E, COMPRAS!$C:$C, $A149, COMPRAS!$J:$J, "UNIDAD") + SUMIFS(COMPRAS!$E:$E, COMPRAS!$C:$C, $A149, COMPRAS!$J:$J, "KG")) - 
  (SUMIFS(prueba!$A:$A, prueba!$C:$C, $A149, prueba!$B:$B, "UNIDAD") + SUMIFS(prueba!$A:$A, prueba!$C:$C, $A149, prueba!$B:$B, "KG"))
)</f>
        <v>0</v>
      </c>
      <c r="I149" s="8">
        <f t="shared" si="1"/>
        <v>0</v>
      </c>
      <c r="J149" s="8">
        <f t="shared" si="3"/>
        <v>0</v>
      </c>
      <c r="K149" s="18" t="str">
        <f t="shared" si="2"/>
        <v>BROTE DE SOJAUNIDAD</v>
      </c>
    </row>
    <row r="150">
      <c r="A150" s="20" t="s">
        <v>96</v>
      </c>
      <c r="B150" s="14" t="s">
        <v>12</v>
      </c>
      <c r="C150" s="15">
        <f>IFERROR(AVERAGEIFS(COMPRAS!$D:$D, COMPRAS!$C:$C, $A150, COMPRAS!$J:$J, $B150), 0)</f>
        <v>0</v>
      </c>
      <c r="D150" s="16">
        <v>1.3</v>
      </c>
      <c r="E150" s="8">
        <f>ROUNDUP(C150 *D150, -3)</f>
        <v>0</v>
      </c>
      <c r="F150" s="17">
        <f>IFERROR(AVERAGEIFS(COMPRAS!$F:$F, COMPRAS!$C:$C, $A150, COMPRAS!$J:$J, $B150), 1)</f>
        <v>1</v>
      </c>
      <c r="G150" s="8">
        <f>IFERROR(SUMIFS(COMPRAS!I:I, COMPRAS!C:C, A150) * SUMIFS(COMPRAS!E:E, COMPRAS!C:C, A150) / COUNTIF(COMPRAS!C:C, A150), 0)</f>
        <v>0</v>
      </c>
      <c r="H150" s="18">
        <f>IFERROR(
  ((SUMIFS(COMPRAS!$E:$E, COMPRAS!$C:$C, $A150, COMPRAS!$J:$J, "CAJON") + SUMIFS(COMPRAS!$E:$E, COMPRAS!$C:$C, $A150, COMPRAS!$J:$J, "BOLSA")) * $F150) - 
  ((SUMIFS(prueba!$A:$A, prueba!$C:$C, $A150, prueba!$B:$B, "CAJON") + SUMIFS(prueba!$A:$A, prueba!$C:$C, $A150, prueba!$B:$B, "BOLSA")) * $F150) - 
  MAX(0, (SUMIFS(prueba!$A:$A, prueba!$C:$C, $A150, prueba!$B:$B, "UNIDAD") + SUMIFS(prueba!$A:$A, prueba!$C:$C, $A150, prueba!$B:$B, "KG")) - 
  (SUMIFS(COMPRAS!$E:$E, COMPRAS!$C:$C, $A150, COMPRAS!$J:$J, "UNIDAD") + SUMIFS(COMPRAS!$E:$E, COMPRAS!$C:$C, $A150, COMPRAS!$J:$J, "KG"))), 
0)</f>
        <v>0</v>
      </c>
      <c r="I150" s="8">
        <f t="shared" si="1"/>
        <v>0</v>
      </c>
      <c r="J150" s="8">
        <f t="shared" si="3"/>
        <v>0</v>
      </c>
      <c r="K150" s="18" t="str">
        <f t="shared" si="2"/>
        <v>BROTE DE ALFALFACAJON</v>
      </c>
    </row>
    <row r="151">
      <c r="A151" s="19" t="s">
        <v>96</v>
      </c>
      <c r="B151" s="14" t="s">
        <v>8</v>
      </c>
      <c r="C151" s="15">
        <f>IFERROR(AVERAGEIFS(COMPRAS!$D:$D, COMPRAS!$C:$C, $A151, COMPRAS!$J:$J, $B151), 0)</f>
        <v>0</v>
      </c>
      <c r="D151" s="16">
        <v>1.3</v>
      </c>
      <c r="E151" s="8">
        <f>ROUNDUP(C151 *D151, -2)</f>
        <v>0</v>
      </c>
      <c r="F151" s="17">
        <f>IFERROR(AVERAGEIFS(COMPRAS!$F:$F, COMPRAS!$C:$C, $A151, COMPRAS!$J:$J, $B151), 1)</f>
        <v>1</v>
      </c>
      <c r="G151" s="8">
        <f>IFERROR(SUMIFS(COMPRAS!I:I, COMPRAS!C:C, A151) * SUMIFS(COMPRAS!E:E, COMPRAS!C:C, A151) / COUNTIF(COMPRAS!C:C, A151), 0)</f>
        <v>0</v>
      </c>
      <c r="H151" s="18">
        <f>MAX(0, 
  (SUMIFS(COMPRAS!$E:$E, COMPRAS!$C:$C, $A151, COMPRAS!$J:$J, "UNIDAD") + SUMIFS(COMPRAS!$E:$E, COMPRAS!$C:$C, $A151, COMPRAS!$J:$J, "KG")) - 
  (SUMIFS(prueba!$A:$A, prueba!$C:$C, $A151, prueba!$B:$B, "UNIDAD") + SUMIFS(prueba!$A:$A, prueba!$C:$C, $A151, prueba!$B:$B, "KG"))
)</f>
        <v>0</v>
      </c>
      <c r="I151" s="8">
        <f t="shared" si="1"/>
        <v>0</v>
      </c>
      <c r="J151" s="8">
        <f t="shared" si="3"/>
        <v>0</v>
      </c>
      <c r="K151" s="18" t="str">
        <f t="shared" si="2"/>
        <v>BROTE DE ALFALFAUNIDAD</v>
      </c>
    </row>
    <row r="152">
      <c r="A152" s="19" t="s">
        <v>97</v>
      </c>
      <c r="B152" s="14" t="s">
        <v>12</v>
      </c>
      <c r="C152" s="15">
        <f>IFERROR(AVERAGEIFS(COMPRAS!$D:$D, COMPRAS!$C:$C, $A152, COMPRAS!$J:$J, $B152), 0)</f>
        <v>0</v>
      </c>
      <c r="D152" s="16">
        <v>1.3</v>
      </c>
      <c r="E152" s="8">
        <f>ROUNDUP(C152 *D152, -3)</f>
        <v>0</v>
      </c>
      <c r="F152" s="17">
        <f>IFERROR(AVERAGEIFS(COMPRAS!$F:$F, COMPRAS!$C:$C, $A152, COMPRAS!$J:$J, $B152), 1)</f>
        <v>1</v>
      </c>
      <c r="G152" s="8">
        <f>IFERROR(SUMIFS(COMPRAS!I:I, COMPRAS!C:C, A152) * SUMIFS(COMPRAS!E:E, COMPRAS!C:C, A152) / COUNTIF(COMPRAS!C:C, A152), 0)</f>
        <v>0</v>
      </c>
      <c r="H152" s="18">
        <f>IFERROR(
  ((SUMIFS(COMPRAS!$E:$E, COMPRAS!$C:$C, $A152, COMPRAS!$J:$J, "CAJON") + SUMIFS(COMPRAS!$E:$E, COMPRAS!$C:$C, $A152, COMPRAS!$J:$J, "BOLSA")) * $F152) - 
  ((SUMIFS(prueba!$A:$A, prueba!$C:$C, $A152, prueba!$B:$B, "CAJON") + SUMIFS(prueba!$A:$A, prueba!$C:$C, $A152, prueba!$B:$B, "BOLSA")) * $F152) - 
  MAX(0, (SUMIFS(prueba!$A:$A, prueba!$C:$C, $A152, prueba!$B:$B, "UNIDAD") + SUMIFS(prueba!$A:$A, prueba!$C:$C, $A152, prueba!$B:$B, "KG")) - 
  (SUMIFS(COMPRAS!$E:$E, COMPRAS!$C:$C, $A152, COMPRAS!$J:$J, "UNIDAD") + SUMIFS(COMPRAS!$E:$E, COMPRAS!$C:$C, $A152, COMPRAS!$J:$J, "KG"))), 
0)</f>
        <v>0</v>
      </c>
      <c r="I152" s="8">
        <f t="shared" si="1"/>
        <v>0</v>
      </c>
      <c r="J152" s="8">
        <f t="shared" si="3"/>
        <v>0</v>
      </c>
      <c r="K152" s="18" t="str">
        <f t="shared" si="2"/>
        <v>BROTE DE RABANITOCAJON</v>
      </c>
    </row>
    <row r="153">
      <c r="A153" s="19" t="s">
        <v>97</v>
      </c>
      <c r="B153" s="14" t="s">
        <v>8</v>
      </c>
      <c r="C153" s="15">
        <f>IFERROR(AVERAGEIFS(COMPRAS!$D:$D, COMPRAS!$C:$C, $A153, COMPRAS!$J:$J, $B153), 0)</f>
        <v>0</v>
      </c>
      <c r="D153" s="16">
        <v>1.3</v>
      </c>
      <c r="E153" s="8">
        <f>ROUNDUP(C153 *D153, -2)</f>
        <v>0</v>
      </c>
      <c r="F153" s="17">
        <f>IFERROR(AVERAGEIFS(COMPRAS!$F:$F, COMPRAS!$C:$C, $A153, COMPRAS!$J:$J, $B153), 1)</f>
        <v>1</v>
      </c>
      <c r="G153" s="8">
        <f>IFERROR(SUMIFS(COMPRAS!I:I, COMPRAS!C:C, A153) * SUMIFS(COMPRAS!E:E, COMPRAS!C:C, A153) / COUNTIF(COMPRAS!C:C, A153), 0)</f>
        <v>0</v>
      </c>
      <c r="H153" s="18">
        <f>MAX(0, 
  (SUMIFS(COMPRAS!$E:$E, COMPRAS!$C:$C, $A153, COMPRAS!$J:$J, "UNIDAD") + SUMIFS(COMPRAS!$E:$E, COMPRAS!$C:$C, $A153, COMPRAS!$J:$J, "KG")) - 
  (SUMIFS(prueba!$A:$A, prueba!$C:$C, $A153, prueba!$B:$B, "UNIDAD") + SUMIFS(prueba!$A:$A, prueba!$C:$C, $A153, prueba!$B:$B, "KG"))
)</f>
        <v>0</v>
      </c>
      <c r="I153" s="8">
        <f t="shared" si="1"/>
        <v>0</v>
      </c>
      <c r="J153" s="8">
        <f t="shared" si="3"/>
        <v>0</v>
      </c>
      <c r="K153" s="18" t="str">
        <f t="shared" si="2"/>
        <v>BROTE DE RABANITOUNIDAD</v>
      </c>
    </row>
    <row r="154">
      <c r="A154" s="19" t="s">
        <v>98</v>
      </c>
      <c r="B154" s="14" t="s">
        <v>12</v>
      </c>
      <c r="C154" s="15">
        <f>IFERROR(AVERAGEIFS(COMPRAS!$D:$D, COMPRAS!$C:$C, $A154, COMPRAS!$J:$J, $B154), 0)</f>
        <v>0</v>
      </c>
      <c r="D154" s="16">
        <v>1.3</v>
      </c>
      <c r="E154" s="8">
        <f>ROUNDUP(C154 *D154, -3)</f>
        <v>0</v>
      </c>
      <c r="F154" s="17">
        <f>IFERROR(AVERAGEIFS(COMPRAS!$F:$F, COMPRAS!$C:$C, $A154, COMPRAS!$J:$J, $B154), 1)</f>
        <v>1</v>
      </c>
      <c r="G154" s="8">
        <f>IFERROR(SUMIFS(COMPRAS!I:I, COMPRAS!C:C, A154) * SUMIFS(COMPRAS!E:E, COMPRAS!C:C, A154) / COUNTIF(COMPRAS!C:C, A154), 0)</f>
        <v>0</v>
      </c>
      <c r="H154" s="18">
        <f>IFERROR(
  ((SUMIFS(COMPRAS!$E:$E, COMPRAS!$C:$C, $A154, COMPRAS!$J:$J, "CAJON") + SUMIFS(COMPRAS!$E:$E, COMPRAS!$C:$C, $A154, COMPRAS!$J:$J, "BOLSA")) * $F154) - 
  ((SUMIFS(prueba!$A:$A, prueba!$C:$C, $A154, prueba!$B:$B, "CAJON") + SUMIFS(prueba!$A:$A, prueba!$C:$C, $A154, prueba!$B:$B, "BOLSA")) * $F154) - 
  MAX(0, (SUMIFS(prueba!$A:$A, prueba!$C:$C, $A154, prueba!$B:$B, "UNIDAD") + SUMIFS(prueba!$A:$A, prueba!$C:$C, $A154, prueba!$B:$B, "KG")) - 
  (SUMIFS(COMPRAS!$E:$E, COMPRAS!$C:$C, $A154, COMPRAS!$J:$J, "UNIDAD") + SUMIFS(COMPRAS!$E:$E, COMPRAS!$C:$C, $A154, COMPRAS!$J:$J, "KG"))), 
0)</f>
        <v>0</v>
      </c>
      <c r="I154" s="8">
        <f t="shared" si="1"/>
        <v>0</v>
      </c>
      <c r="J154" s="8">
        <f t="shared" si="3"/>
        <v>0</v>
      </c>
      <c r="K154" s="18" t="str">
        <f t="shared" si="2"/>
        <v>CHAMPIGNONCAJON</v>
      </c>
    </row>
    <row r="155">
      <c r="A155" s="19" t="s">
        <v>98</v>
      </c>
      <c r="B155" s="14" t="s">
        <v>29</v>
      </c>
      <c r="C155" s="15">
        <f>IFERROR(AVERAGEIFS(COMPRAS!$D:$D, COMPRAS!$C:$C, $A155, COMPRAS!$J:$J, $B155), 0)</f>
        <v>0</v>
      </c>
      <c r="D155" s="16">
        <v>1.3</v>
      </c>
      <c r="E155" s="8">
        <f>ROUNDUP(C155 *D155, -2)</f>
        <v>0</v>
      </c>
      <c r="F155" s="17">
        <f>IFERROR(AVERAGEIFS(COMPRAS!$F:$F, COMPRAS!$C:$C, $A155, COMPRAS!$J:$J, $B155), 1)</f>
        <v>1</v>
      </c>
      <c r="G155" s="8">
        <f>IFERROR(SUMIFS(COMPRAS!I:I, COMPRAS!C:C, A155) * SUMIFS(COMPRAS!E:E, COMPRAS!C:C, A155) / COUNTIF(COMPRAS!C:C, A155), 0)</f>
        <v>0</v>
      </c>
      <c r="H155" s="18">
        <f>MAX(0, 
  (SUMIFS(COMPRAS!$E:$E, COMPRAS!$C:$C, $A155, COMPRAS!$J:$J, "UNIDAD") + SUMIFS(COMPRAS!$E:$E, COMPRAS!$C:$C, $A155, COMPRAS!$J:$J, "KG")) - 
  (SUMIFS(prueba!$A:$A, prueba!$C:$C, $A155, prueba!$B:$B, "UNIDAD") + SUMIFS(prueba!$A:$A, prueba!$C:$C, $A155, prueba!$B:$B, "KG"))
)</f>
        <v>0</v>
      </c>
      <c r="I155" s="8">
        <f t="shared" si="1"/>
        <v>0</v>
      </c>
      <c r="J155" s="8">
        <f t="shared" si="3"/>
        <v>0</v>
      </c>
      <c r="K155" s="18" t="str">
        <f t="shared" si="2"/>
        <v>CHAMPIGNONKG</v>
      </c>
    </row>
    <row r="156">
      <c r="A156" s="19" t="s">
        <v>99</v>
      </c>
      <c r="B156" s="14" t="s">
        <v>12</v>
      </c>
      <c r="C156" s="15">
        <f>IFERROR(AVERAGEIFS(COMPRAS!$D:$D, COMPRAS!$C:$C, $A156, COMPRAS!$J:$J, $B156), 0)</f>
        <v>0</v>
      </c>
      <c r="D156" s="16">
        <v>1.3</v>
      </c>
      <c r="E156" s="8">
        <f>ROUNDUP(C156 *D156, -3)</f>
        <v>0</v>
      </c>
      <c r="F156" s="17">
        <f>IFERROR(AVERAGEIFS(COMPRAS!$F:$F, COMPRAS!$C:$C, $A156, COMPRAS!$J:$J, $B156), 1)</f>
        <v>1</v>
      </c>
      <c r="G156" s="8">
        <f>IFERROR(SUMIFS(COMPRAS!I:I, COMPRAS!C:C, A156) * SUMIFS(COMPRAS!E:E, COMPRAS!C:C, A156) / COUNTIF(COMPRAS!C:C, A156), 0)</f>
        <v>0</v>
      </c>
      <c r="H156" s="18">
        <f>IFERROR(
  ((SUMIFS(COMPRAS!$E:$E, COMPRAS!$C:$C, $A156, COMPRAS!$J:$J, "CAJON") + SUMIFS(COMPRAS!$E:$E, COMPRAS!$C:$C, $A156, COMPRAS!$J:$J, "BOLSA")) * $F156) - 
  ((SUMIFS(prueba!$A:$A, prueba!$C:$C, $A156, prueba!$B:$B, "CAJON") + SUMIFS(prueba!$A:$A, prueba!$C:$C, $A156, prueba!$B:$B, "BOLSA")) * $F156) - 
  MAX(0, (SUMIFS(prueba!$A:$A, prueba!$C:$C, $A156, prueba!$B:$B, "UNIDAD") + SUMIFS(prueba!$A:$A, prueba!$C:$C, $A156, prueba!$B:$B, "KG")) - 
  (SUMIFS(COMPRAS!$E:$E, COMPRAS!$C:$C, $A156, COMPRAS!$J:$J, "UNIDAD") + SUMIFS(COMPRAS!$E:$E, COMPRAS!$C:$C, $A156, COMPRAS!$J:$J, "KG"))), 
0)</f>
        <v>0</v>
      </c>
      <c r="I156" s="8">
        <f t="shared" si="1"/>
        <v>0</v>
      </c>
      <c r="J156" s="8">
        <f t="shared" si="3"/>
        <v>0</v>
      </c>
      <c r="K156" s="18" t="str">
        <f t="shared" si="2"/>
        <v>PORTOBELLOCAJON</v>
      </c>
    </row>
    <row r="157">
      <c r="A157" s="19" t="s">
        <v>99</v>
      </c>
      <c r="B157" s="14" t="s">
        <v>29</v>
      </c>
      <c r="C157" s="15">
        <f>IFERROR(AVERAGEIFS(COMPRAS!$D:$D, COMPRAS!$C:$C, $A157, COMPRAS!$J:$J, $B157), 0)</f>
        <v>0</v>
      </c>
      <c r="D157" s="16">
        <v>1.3</v>
      </c>
      <c r="E157" s="8">
        <f>ROUNDUP(C157 *D157, -2)</f>
        <v>0</v>
      </c>
      <c r="F157" s="17">
        <f>IFERROR(AVERAGEIFS(COMPRAS!$F:$F, COMPRAS!$C:$C, $A157, COMPRAS!$J:$J, $B157), 1)</f>
        <v>1</v>
      </c>
      <c r="G157" s="8">
        <f>IFERROR(SUMIFS(COMPRAS!I:I, COMPRAS!C:C, A157) * SUMIFS(COMPRAS!E:E, COMPRAS!C:C, A157) / COUNTIF(COMPRAS!C:C, A157), 0)</f>
        <v>0</v>
      </c>
      <c r="H157" s="18">
        <f>MAX(0, 
  (SUMIFS(COMPRAS!$E:$E, COMPRAS!$C:$C, $A157, COMPRAS!$J:$J, "UNIDAD") + SUMIFS(COMPRAS!$E:$E, COMPRAS!$C:$C, $A157, COMPRAS!$J:$J, "KG")) - 
  (SUMIFS(prueba!$A:$A, prueba!$C:$C, $A157, prueba!$B:$B, "UNIDAD") + SUMIFS(prueba!$A:$A, prueba!$C:$C, $A157, prueba!$B:$B, "KG"))
)</f>
        <v>0</v>
      </c>
      <c r="I157" s="8">
        <f t="shared" si="1"/>
        <v>0</v>
      </c>
      <c r="J157" s="8">
        <f t="shared" si="3"/>
        <v>0</v>
      </c>
      <c r="K157" s="18" t="str">
        <f t="shared" si="2"/>
        <v>PORTOBELLOKG</v>
      </c>
    </row>
    <row r="158">
      <c r="A158" s="19" t="s">
        <v>100</v>
      </c>
      <c r="B158" s="14" t="s">
        <v>12</v>
      </c>
      <c r="C158" s="15">
        <f>IFERROR(AVERAGEIFS(COMPRAS!$D:$D, COMPRAS!$C:$C, $A158, COMPRAS!$J:$J, $B158), 0)</f>
        <v>0</v>
      </c>
      <c r="D158" s="16">
        <v>1.3</v>
      </c>
      <c r="E158" s="8">
        <f>ROUNDUP(C158 * D158, -3)</f>
        <v>0</v>
      </c>
      <c r="F158" s="17">
        <f>IFERROR(AVERAGEIFS(COMPRAS!$F:$F, COMPRAS!$C:$C, $A158, COMPRAS!$J:$J, $B158), 1)</f>
        <v>1</v>
      </c>
      <c r="G158" s="8">
        <f>IFERROR(SUMIFS(COMPRAS!I:I, COMPRAS!C:C, A158) * SUMIFS(COMPRAS!E:E, COMPRAS!C:C, A158) / COUNTIF(COMPRAS!C:C, A158), 0)</f>
        <v>0</v>
      </c>
      <c r="H158" s="18">
        <f>IFERROR(
  ((SUMIFS(COMPRAS!$E:$E, COMPRAS!$C:$C, $A158, COMPRAS!$J:$J, "CAJON") + SUMIFS(COMPRAS!$E:$E, COMPRAS!$C:$C, $A158, COMPRAS!$J:$J, "BOLSA")) * $F158) - 
  ((SUMIFS(prueba!$A:$A, prueba!$C:$C, $A158, prueba!$B:$B, "CAJON") + SUMIFS(prueba!$A:$A, prueba!$C:$C, $A158, prueba!$B:$B, "BOLSA")) * $F158) - 
  MAX(0, (SUMIFS(prueba!$A:$A, prueba!$C:$C, $A158, prueba!$B:$B, "UNIDAD") + SUMIFS(prueba!$A:$A, prueba!$C:$C, $A158, prueba!$B:$B, "KG")) - 
  (SUMIFS(COMPRAS!$E:$E, COMPRAS!$C:$C, $A158, COMPRAS!$J:$J, "UNIDAD") + SUMIFS(COMPRAS!$E:$E, COMPRAS!$C:$C, $A158, COMPRAS!$J:$J, "KG"))), 
0)</f>
        <v>0</v>
      </c>
      <c r="I158" s="8">
        <f t="shared" si="1"/>
        <v>0</v>
      </c>
      <c r="J158" s="8">
        <f t="shared" si="3"/>
        <v>0</v>
      </c>
      <c r="K158" s="18" t="str">
        <f t="shared" si="2"/>
        <v>GIRGOLASCAJON</v>
      </c>
    </row>
    <row r="159">
      <c r="A159" s="19" t="s">
        <v>100</v>
      </c>
      <c r="B159" s="14" t="s">
        <v>29</v>
      </c>
      <c r="C159" s="15">
        <f>IFERROR(AVERAGEIFS(COMPRAS!$D:$D, COMPRAS!$C:$C, $A159, COMPRAS!$J:$J, $B159), 0)</f>
        <v>0</v>
      </c>
      <c r="D159" s="16">
        <v>1.3</v>
      </c>
      <c r="E159" s="8">
        <f>ROUNDUP(C159 * D159, -2)</f>
        <v>0</v>
      </c>
      <c r="F159" s="17">
        <f>IFERROR(AVERAGEIFS(COMPRAS!$F:$F, COMPRAS!$C:$C, $A159, COMPRAS!$J:$J, $B159), 1)</f>
        <v>1</v>
      </c>
      <c r="G159" s="8">
        <f>IFERROR(SUMIFS(COMPRAS!I:I, COMPRAS!C:C, A159) * SUMIFS(COMPRAS!E:E, COMPRAS!C:C, A159) / COUNTIF(COMPRAS!C:C, A159), 0)</f>
        <v>0</v>
      </c>
      <c r="H159" s="18">
        <f>MAX(0, 
  (SUMIFS(COMPRAS!$E:$E, COMPRAS!$C:$C, $A159, COMPRAS!$J:$J, "UNIDAD") + SUMIFS(COMPRAS!$E:$E, COMPRAS!$C:$C, $A159, COMPRAS!$J:$J, "KG")) - 
  (SUMIFS(prueba!$A:$A, prueba!$C:$C, $A159, prueba!$B:$B, "UNIDAD") + SUMIFS(prueba!$A:$A, prueba!$C:$C, $A159, prueba!$B:$B, "KG"))
)</f>
        <v>0</v>
      </c>
      <c r="I159" s="8">
        <f t="shared" si="1"/>
        <v>0</v>
      </c>
      <c r="J159" s="8">
        <f t="shared" si="3"/>
        <v>0</v>
      </c>
      <c r="K159" s="18" t="str">
        <f t="shared" si="2"/>
        <v>GIRGOLASKG</v>
      </c>
    </row>
    <row r="160">
      <c r="A160" s="19" t="s">
        <v>101</v>
      </c>
      <c r="B160" s="14" t="s">
        <v>12</v>
      </c>
      <c r="C160" s="15">
        <f>IFERROR(AVERAGEIFS(COMPRAS!$D:$D, COMPRAS!$C:$C, $A160, COMPRAS!$J:$J, $B160), 0)</f>
        <v>0</v>
      </c>
      <c r="D160" s="16">
        <v>1.3</v>
      </c>
      <c r="E160" s="8">
        <f>ROUNDUP(C160 *D160, -3)</f>
        <v>0</v>
      </c>
      <c r="F160" s="17">
        <f>IFERROR(AVERAGEIFS(COMPRAS!$F:$F, COMPRAS!$C:$C, $A160, COMPRAS!$J:$J, $B160), 1)</f>
        <v>1</v>
      </c>
      <c r="G160" s="8">
        <f>IFERROR(SUMIFS(COMPRAS!I:I, COMPRAS!C:C, A160) * SUMIFS(COMPRAS!E:E, COMPRAS!C:C, A160) / COUNTIF(COMPRAS!C:C, A160), 0)</f>
        <v>0</v>
      </c>
      <c r="H160" s="18">
        <f>IFERROR(
  ((SUMIFS(COMPRAS!$E:$E, COMPRAS!$C:$C, $A160, COMPRAS!$J:$J, "CAJON") + SUMIFS(COMPRAS!$E:$E, COMPRAS!$C:$C, $A160, COMPRAS!$J:$J, "BOLSA")) * $F160) - 
  ((SUMIFS(prueba!$A:$A, prueba!$C:$C, $A160, prueba!$B:$B, "CAJON") + SUMIFS(prueba!$A:$A, prueba!$C:$C, $A160, prueba!$B:$B, "BOLSA")) * $F160) - 
  MAX(0, (SUMIFS(prueba!$A:$A, prueba!$C:$C, $A160, prueba!$B:$B, "UNIDAD") + SUMIFS(prueba!$A:$A, prueba!$C:$C, $A160, prueba!$B:$B, "KG")) - 
  (SUMIFS(COMPRAS!$E:$E, COMPRAS!$C:$C, $A160, COMPRAS!$J:$J, "UNIDAD") + SUMIFS(COMPRAS!$E:$E, COMPRAS!$C:$C, $A160, COMPRAS!$J:$J, "KG"))), 
0)</f>
        <v>0</v>
      </c>
      <c r="I160" s="8">
        <f t="shared" si="1"/>
        <v>0</v>
      </c>
      <c r="J160" s="8">
        <f t="shared" si="3"/>
        <v>0</v>
      </c>
      <c r="K160" s="18" t="str">
        <f t="shared" si="2"/>
        <v>CIBOULLETECAJON</v>
      </c>
    </row>
    <row r="161">
      <c r="A161" s="19" t="s">
        <v>101</v>
      </c>
      <c r="B161" s="14" t="s">
        <v>8</v>
      </c>
      <c r="C161" s="15">
        <f>IFERROR(AVERAGEIFS(COMPRAS!$D:$D, COMPRAS!$C:$C, $A161, COMPRAS!$J:$J, $B161), 0)</f>
        <v>0</v>
      </c>
      <c r="D161" s="16">
        <v>1.3</v>
      </c>
      <c r="E161" s="8">
        <f>ROUNDUP(C161 *D161, -2)</f>
        <v>0</v>
      </c>
      <c r="F161" s="17">
        <f>IFERROR(AVERAGEIFS(COMPRAS!$F:$F, COMPRAS!$C:$C, $A161, COMPRAS!$J:$J, $B161), 1)</f>
        <v>1</v>
      </c>
      <c r="G161" s="8">
        <f>IFERROR(SUMIFS(COMPRAS!I:I, COMPRAS!C:C, A161) * SUMIFS(COMPRAS!E:E, COMPRAS!C:C, A161) / COUNTIF(COMPRAS!C:C, A161), 0)</f>
        <v>0</v>
      </c>
      <c r="H161" s="18">
        <f>MAX(0, 
  (SUMIFS(COMPRAS!$E:$E, COMPRAS!$C:$C, $A161, COMPRAS!$J:$J, "UNIDAD") + SUMIFS(COMPRAS!$E:$E, COMPRAS!$C:$C, $A161, COMPRAS!$J:$J, "KG")) - 
  (SUMIFS(prueba!$A:$A, prueba!$C:$C, $A161, prueba!$B:$B, "UNIDAD") + SUMIFS(prueba!$A:$A, prueba!$C:$C, $A161, prueba!$B:$B, "KG"))
)</f>
        <v>0</v>
      </c>
      <c r="I161" s="8">
        <f t="shared" si="1"/>
        <v>0</v>
      </c>
      <c r="J161" s="8">
        <f t="shared" si="3"/>
        <v>0</v>
      </c>
      <c r="K161" s="18" t="str">
        <f t="shared" si="2"/>
        <v>CIBOULLETEUNIDAD</v>
      </c>
    </row>
    <row r="162">
      <c r="A162" s="19" t="s">
        <v>102</v>
      </c>
      <c r="B162" s="14" t="s">
        <v>12</v>
      </c>
      <c r="C162" s="15">
        <f>IFERROR(AVERAGEIFS(COMPRAS!$D:$D, COMPRAS!$C:$C, $A162, COMPRAS!$J:$J, $B162), 0)</f>
        <v>0</v>
      </c>
      <c r="D162" s="16">
        <v>1.3</v>
      </c>
      <c r="E162" s="8">
        <f>ROUNDUP(C162 *D162, -3)</f>
        <v>0</v>
      </c>
      <c r="F162" s="17">
        <f>IFERROR(AVERAGEIFS(COMPRAS!$F:$F, COMPRAS!$C:$C, $A162, COMPRAS!$J:$J, $B162), 1)</f>
        <v>1</v>
      </c>
      <c r="G162" s="8">
        <f>IFERROR(SUMIFS(COMPRAS!I:I, COMPRAS!C:C, A162) * SUMIFS(COMPRAS!E:E, COMPRAS!C:C, A162) / COUNTIF(COMPRAS!C:C, A162), 0)</f>
        <v>0</v>
      </c>
      <c r="H162" s="18">
        <f>IFERROR(
  ((SUMIFS(COMPRAS!$E:$E, COMPRAS!$C:$C, $A162, COMPRAS!$J:$J, "CAJON") + SUMIFS(COMPRAS!$E:$E, COMPRAS!$C:$C, $A162, COMPRAS!$J:$J, "BOLSA")) * $F162) - 
  ((SUMIFS(prueba!$A:$A, prueba!$C:$C, $A162, prueba!$B:$B, "CAJON") + SUMIFS(prueba!$A:$A, prueba!$C:$C, $A162, prueba!$B:$B, "BOLSA")) * $F162) - 
  MAX(0, (SUMIFS(prueba!$A:$A, prueba!$C:$C, $A162, prueba!$B:$B, "UNIDAD") + SUMIFS(prueba!$A:$A, prueba!$C:$C, $A162, prueba!$B:$B, "KG")) - 
  (SUMIFS(COMPRAS!$E:$E, COMPRAS!$C:$C, $A162, COMPRAS!$J:$J, "UNIDAD") + SUMIFS(COMPRAS!$E:$E, COMPRAS!$C:$C, $A162, COMPRAS!$J:$J, "KG"))), 
0)</f>
        <v>0</v>
      </c>
      <c r="I162" s="8">
        <f t="shared" si="1"/>
        <v>0</v>
      </c>
      <c r="J162" s="8">
        <f t="shared" si="3"/>
        <v>0</v>
      </c>
      <c r="K162" s="18" t="str">
        <f t="shared" si="2"/>
        <v>CILANTROCAJON</v>
      </c>
    </row>
    <row r="163">
      <c r="A163" s="19" t="s">
        <v>102</v>
      </c>
      <c r="B163" s="14" t="s">
        <v>8</v>
      </c>
      <c r="C163" s="15">
        <f>IFERROR(AVERAGEIFS(COMPRAS!$D:$D, COMPRAS!$C:$C, $A163, COMPRAS!$J:$J, $B163), 0)</f>
        <v>0</v>
      </c>
      <c r="D163" s="16">
        <v>1.3</v>
      </c>
      <c r="E163" s="8">
        <f>ROUNDUP(C163 *D163, -2)</f>
        <v>0</v>
      </c>
      <c r="F163" s="17">
        <f>IFERROR(AVERAGEIFS(COMPRAS!$F:$F, COMPRAS!$C:$C, $A163, COMPRAS!$J:$J, $B163), 1)</f>
        <v>1</v>
      </c>
      <c r="G163" s="8">
        <f>IFERROR(SUMIFS(COMPRAS!I:I, COMPRAS!C:C, A163) * SUMIFS(COMPRAS!E:E, COMPRAS!C:C, A163) / COUNTIF(COMPRAS!C:C, A163), 0)</f>
        <v>0</v>
      </c>
      <c r="H163" s="18">
        <f>MAX(0, 
  (SUMIFS(COMPRAS!$E:$E, COMPRAS!$C:$C, $A163, COMPRAS!$J:$J, "UNIDAD") + SUMIFS(COMPRAS!$E:$E, COMPRAS!$C:$C, $A163, COMPRAS!$J:$J, "KG")) - 
  (SUMIFS(prueba!$A:$A, prueba!$C:$C, $A163, prueba!$B:$B, "UNIDAD") + SUMIFS(prueba!$A:$A, prueba!$C:$C, $A163, prueba!$B:$B, "KG"))
)</f>
        <v>0</v>
      </c>
      <c r="I163" s="8">
        <f t="shared" si="1"/>
        <v>0</v>
      </c>
      <c r="J163" s="8">
        <f t="shared" si="3"/>
        <v>0</v>
      </c>
      <c r="K163" s="18" t="str">
        <f t="shared" si="2"/>
        <v>CILANTROUNIDAD</v>
      </c>
    </row>
    <row r="164">
      <c r="A164" s="19" t="s">
        <v>103</v>
      </c>
      <c r="B164" s="14" t="s">
        <v>12</v>
      </c>
      <c r="C164" s="15">
        <f>IFERROR(AVERAGEIFS(COMPRAS!$D:$D, COMPRAS!$C:$C, $A164, COMPRAS!$J:$J, $B164), 0)</f>
        <v>0</v>
      </c>
      <c r="D164" s="16">
        <v>1.3</v>
      </c>
      <c r="E164" s="8">
        <f>ROUNDUP(C164 *D164, -3)</f>
        <v>0</v>
      </c>
      <c r="F164" s="17">
        <f>IFERROR(AVERAGEIFS(COMPRAS!$F:$F, COMPRAS!$C:$C, $A164, COMPRAS!$J:$J, $B164), 1)</f>
        <v>1</v>
      </c>
      <c r="G164" s="8">
        <f>IFERROR(SUMIFS(COMPRAS!I:I, COMPRAS!C:C, A164) * SUMIFS(COMPRAS!E:E, COMPRAS!C:C, A164) / COUNTIF(COMPRAS!C:C, A164), 0)</f>
        <v>0</v>
      </c>
      <c r="H164" s="18">
        <f>IFERROR(
  ((SUMIFS(COMPRAS!$E:$E, COMPRAS!$C:$C, $A164, COMPRAS!$J:$J, "CAJON") + SUMIFS(COMPRAS!$E:$E, COMPRAS!$C:$C, $A164, COMPRAS!$J:$J, "BOLSA")) * $F164) - 
  ((SUMIFS(prueba!$A:$A, prueba!$C:$C, $A164, prueba!$B:$B, "CAJON") + SUMIFS(prueba!$A:$A, prueba!$C:$C, $A164, prueba!$B:$B, "BOLSA")) * $F164) - 
  MAX(0, (SUMIFS(prueba!$A:$A, prueba!$C:$C, $A164, prueba!$B:$B, "UNIDAD") + SUMIFS(prueba!$A:$A, prueba!$C:$C, $A164, prueba!$B:$B, "KG")) - 
  (SUMIFS(COMPRAS!$E:$E, COMPRAS!$C:$C, $A164, COMPRAS!$J:$J, "UNIDAD") + SUMIFS(COMPRAS!$E:$E, COMPRAS!$C:$C, $A164, COMPRAS!$J:$J, "KG"))), 
0)</f>
        <v>0</v>
      </c>
      <c r="I164" s="8">
        <f t="shared" si="1"/>
        <v>0</v>
      </c>
      <c r="J164" s="8">
        <f t="shared" si="3"/>
        <v>0</v>
      </c>
      <c r="K164" s="18" t="str">
        <f t="shared" si="2"/>
        <v>LAURELCAJON</v>
      </c>
    </row>
    <row r="165">
      <c r="A165" s="19" t="s">
        <v>103</v>
      </c>
      <c r="B165" s="14" t="s">
        <v>8</v>
      </c>
      <c r="C165" s="15">
        <f>IFERROR(AVERAGEIFS(COMPRAS!$D:$D, COMPRAS!$C:$C, $A165, COMPRAS!$J:$J, $B165), 0)</f>
        <v>0</v>
      </c>
      <c r="D165" s="16">
        <v>1.3</v>
      </c>
      <c r="E165" s="8">
        <f>ROUNDUP(C165 *D165, -2)</f>
        <v>0</v>
      </c>
      <c r="F165" s="17">
        <f>IFERROR(AVERAGEIFS(COMPRAS!$F:$F, COMPRAS!$C:$C, $A165, COMPRAS!$J:$J, $B165), 1)</f>
        <v>1</v>
      </c>
      <c r="G165" s="8">
        <f>IFERROR(SUMIFS(COMPRAS!I:I, COMPRAS!C:C, A165) * SUMIFS(COMPRAS!E:E, COMPRAS!C:C, A165) / COUNTIF(COMPRAS!C:C, A165), 0)</f>
        <v>0</v>
      </c>
      <c r="H165" s="18">
        <f>MAX(0, 
  (SUMIFS(COMPRAS!$E:$E, COMPRAS!$C:$C, $A165, COMPRAS!$J:$J, "UNIDAD") + SUMIFS(COMPRAS!$E:$E, COMPRAS!$C:$C, $A165, COMPRAS!$J:$J, "KG")) - 
  (SUMIFS(prueba!$A:$A, prueba!$C:$C, $A165, prueba!$B:$B, "UNIDAD") + SUMIFS(prueba!$A:$A, prueba!$C:$C, $A165, prueba!$B:$B, "KG"))
)</f>
        <v>0</v>
      </c>
      <c r="I165" s="8">
        <f t="shared" si="1"/>
        <v>0</v>
      </c>
      <c r="J165" s="8">
        <f t="shared" si="3"/>
        <v>0</v>
      </c>
      <c r="K165" s="18" t="str">
        <f t="shared" si="2"/>
        <v>LAURELUNIDAD</v>
      </c>
    </row>
    <row r="166">
      <c r="A166" s="19" t="s">
        <v>104</v>
      </c>
      <c r="B166" s="14" t="s">
        <v>12</v>
      </c>
      <c r="C166" s="15">
        <f>IFERROR(AVERAGEIFS(COMPRAS!$D:$D, COMPRAS!$C:$C, $A166, COMPRAS!$J:$J, $B166), 0)</f>
        <v>0</v>
      </c>
      <c r="D166" s="16">
        <v>1.3</v>
      </c>
      <c r="E166" s="8">
        <f>ROUNDUP(C166 *D166, -3)</f>
        <v>0</v>
      </c>
      <c r="F166" s="17">
        <f>IFERROR(AVERAGEIFS(COMPRAS!$F:$F, COMPRAS!$C:$C, $A166, COMPRAS!$J:$J, $B166), 1)</f>
        <v>1</v>
      </c>
      <c r="G166" s="8">
        <f>IFERROR(SUMIFS(COMPRAS!I:I, COMPRAS!C:C, A166) * SUMIFS(COMPRAS!E:E, COMPRAS!C:C, A166) / COUNTIF(COMPRAS!C:C, A166), 0)</f>
        <v>0</v>
      </c>
      <c r="H166" s="18">
        <f>IFERROR(
  ((SUMIFS(COMPRAS!$E:$E, COMPRAS!$C:$C, $A166, COMPRAS!$J:$J, "CAJON") + SUMIFS(COMPRAS!$E:$E, COMPRAS!$C:$C, $A166, COMPRAS!$J:$J, "BOLSA")) * $F166) - 
  ((SUMIFS(prueba!$A:$A, prueba!$C:$C, $A166, prueba!$B:$B, "CAJON") + SUMIFS(prueba!$A:$A, prueba!$C:$C, $A166, prueba!$B:$B, "BOLSA")) * $F166) - 
  MAX(0, (SUMIFS(prueba!$A:$A, prueba!$C:$C, $A166, prueba!$B:$B, "UNIDAD") + SUMIFS(prueba!$A:$A, prueba!$C:$C, $A166, prueba!$B:$B, "KG")) - 
  (SUMIFS(COMPRAS!$E:$E, COMPRAS!$C:$C, $A166, COMPRAS!$J:$J, "UNIDAD") + SUMIFS(COMPRAS!$E:$E, COMPRAS!$C:$C, $A166, COMPRAS!$J:$J, "KG"))), 
0)</f>
        <v>0</v>
      </c>
      <c r="I166" s="8">
        <f t="shared" si="1"/>
        <v>0</v>
      </c>
      <c r="J166" s="8">
        <f t="shared" si="3"/>
        <v>0</v>
      </c>
      <c r="K166" s="18" t="str">
        <f t="shared" si="2"/>
        <v>MENTACAJON</v>
      </c>
    </row>
    <row r="167">
      <c r="A167" s="19" t="s">
        <v>104</v>
      </c>
      <c r="B167" s="14" t="s">
        <v>8</v>
      </c>
      <c r="C167" s="15">
        <f>IFERROR(AVERAGEIFS(COMPRAS!$D:$D, COMPRAS!$C:$C, $A167, COMPRAS!$J:$J, $B167), 0)</f>
        <v>0</v>
      </c>
      <c r="D167" s="16">
        <v>1.3</v>
      </c>
      <c r="E167" s="8">
        <f>ROUNDUP(C167 *D167, -2)</f>
        <v>0</v>
      </c>
      <c r="F167" s="17">
        <f>IFERROR(AVERAGEIFS(COMPRAS!$F:$F, COMPRAS!$C:$C, $A167, COMPRAS!$J:$J, $B167), 1)</f>
        <v>1</v>
      </c>
      <c r="G167" s="8">
        <f>IFERROR(SUMIFS(COMPRAS!I:I, COMPRAS!C:C, A167) * SUMIFS(COMPRAS!E:E, COMPRAS!C:C, A167) / COUNTIF(COMPRAS!C:C, A167), 0)</f>
        <v>0</v>
      </c>
      <c r="H167" s="18">
        <f>MAX(0, 
  (SUMIFS(COMPRAS!$E:$E, COMPRAS!$C:$C, $A167, COMPRAS!$J:$J, "UNIDAD") + SUMIFS(COMPRAS!$E:$E, COMPRAS!$C:$C, $A167, COMPRAS!$J:$J, "KG")) - 
  (SUMIFS(prueba!$A:$A, prueba!$C:$C, $A167, prueba!$B:$B, "UNIDAD") + SUMIFS(prueba!$A:$A, prueba!$C:$C, $A167, prueba!$B:$B, "KG"))
)</f>
        <v>0</v>
      </c>
      <c r="I167" s="8">
        <f t="shared" si="1"/>
        <v>0</v>
      </c>
      <c r="J167" s="8">
        <f t="shared" si="3"/>
        <v>0</v>
      </c>
      <c r="K167" s="18" t="str">
        <f t="shared" si="2"/>
        <v>MENTAUNIDAD</v>
      </c>
    </row>
    <row r="168">
      <c r="A168" s="19" t="s">
        <v>105</v>
      </c>
      <c r="B168" s="14" t="s">
        <v>12</v>
      </c>
      <c r="C168" s="15">
        <f>IFERROR(AVERAGEIFS(COMPRAS!$D:$D, COMPRAS!$C:$C, $A168, COMPRAS!$J:$J, $B168), 0)</f>
        <v>0</v>
      </c>
      <c r="D168" s="16">
        <v>1.3</v>
      </c>
      <c r="E168" s="8">
        <f>ROUNDUP(C168 *D168, -3)</f>
        <v>0</v>
      </c>
      <c r="F168" s="17">
        <f>IFERROR(AVERAGEIFS(COMPRAS!$F:$F, COMPRAS!$C:$C, $A168, COMPRAS!$J:$J, $B168), 1)</f>
        <v>1</v>
      </c>
      <c r="G168" s="8">
        <f>IFERROR(SUMIFS(COMPRAS!I:I, COMPRAS!C:C, A168) * SUMIFS(COMPRAS!E:E, COMPRAS!C:C, A168) / COUNTIF(COMPRAS!C:C, A168), 0)</f>
        <v>0</v>
      </c>
      <c r="H168" s="18">
        <f>IFERROR(
  ((SUMIFS(COMPRAS!$E:$E, COMPRAS!$C:$C, $A168, COMPRAS!$J:$J, "CAJON") + SUMIFS(COMPRAS!$E:$E, COMPRAS!$C:$C, $A168, COMPRAS!$J:$J, "BOLSA")) * $F168) - 
  ((SUMIFS(prueba!$A:$A, prueba!$C:$C, $A168, prueba!$B:$B, "CAJON") + SUMIFS(prueba!$A:$A, prueba!$C:$C, $A168, prueba!$B:$B, "BOLSA")) * $F168) - 
  MAX(0, (SUMIFS(prueba!$A:$A, prueba!$C:$C, $A168, prueba!$B:$B, "UNIDAD") + SUMIFS(prueba!$A:$A, prueba!$C:$C, $A168, prueba!$B:$B, "KG")) - 
  (SUMIFS(COMPRAS!$E:$E, COMPRAS!$C:$C, $A168, COMPRAS!$J:$J, "UNIDAD") + SUMIFS(COMPRAS!$E:$E, COMPRAS!$C:$C, $A168, COMPRAS!$J:$J, "KG"))), 
0)</f>
        <v>0</v>
      </c>
      <c r="I168" s="8">
        <f t="shared" si="1"/>
        <v>0</v>
      </c>
      <c r="J168" s="8">
        <f t="shared" si="3"/>
        <v>0</v>
      </c>
      <c r="K168" s="18" t="str">
        <f t="shared" si="2"/>
        <v>ROMEROCAJON</v>
      </c>
    </row>
    <row r="169">
      <c r="A169" s="19" t="s">
        <v>105</v>
      </c>
      <c r="B169" s="14" t="s">
        <v>8</v>
      </c>
      <c r="C169" s="15">
        <f>IFERROR(AVERAGEIFS(COMPRAS!$D:$D, COMPRAS!$C:$C, $A169, COMPRAS!$J:$J, $B169), 0)</f>
        <v>0</v>
      </c>
      <c r="D169" s="16">
        <v>1.3</v>
      </c>
      <c r="E169" s="8">
        <f>ROUNDUP(C169 *D169, -2)</f>
        <v>0</v>
      </c>
      <c r="F169" s="17">
        <f>IFERROR(AVERAGEIFS(COMPRAS!$F:$F, COMPRAS!$C:$C, $A169, COMPRAS!$J:$J, $B169), 1)</f>
        <v>1</v>
      </c>
      <c r="G169" s="8">
        <f>IFERROR(SUMIFS(COMPRAS!I:I, COMPRAS!C:C, A169) * SUMIFS(COMPRAS!E:E, COMPRAS!C:C, A169) / COUNTIF(COMPRAS!C:C, A169), 0)</f>
        <v>0</v>
      </c>
      <c r="H169" s="18">
        <f>MAX(0, 
  (SUMIFS(COMPRAS!$E:$E, COMPRAS!$C:$C, $A169, COMPRAS!$J:$J, "UNIDAD") + SUMIFS(COMPRAS!$E:$E, COMPRAS!$C:$C, $A169, COMPRAS!$J:$J, "KG")) - 
  (SUMIFS(prueba!$A:$A, prueba!$C:$C, $A169, prueba!$B:$B, "UNIDAD") + SUMIFS(prueba!$A:$A, prueba!$C:$C, $A169, prueba!$B:$B, "KG"))
)</f>
        <v>0</v>
      </c>
      <c r="I169" s="8">
        <f t="shared" si="1"/>
        <v>0</v>
      </c>
      <c r="J169" s="8">
        <f t="shared" si="3"/>
        <v>0</v>
      </c>
      <c r="K169" s="18" t="str">
        <f t="shared" si="2"/>
        <v>ROMEROUNIDAD</v>
      </c>
    </row>
    <row r="170">
      <c r="A170" s="19" t="s">
        <v>106</v>
      </c>
      <c r="B170" s="14" t="s">
        <v>12</v>
      </c>
      <c r="C170" s="15">
        <f>IFERROR(AVERAGEIFS(COMPRAS!$D:$D, COMPRAS!$C:$C, $A170, COMPRAS!$J:$J, $B170), 0)</f>
        <v>0</v>
      </c>
      <c r="D170" s="16">
        <v>1.3</v>
      </c>
      <c r="E170" s="8">
        <f>ROUNDUP(C170 * D170, -3)</f>
        <v>0</v>
      </c>
      <c r="F170" s="17">
        <f>IFERROR(AVERAGEIFS(COMPRAS!$F:$F, COMPRAS!$C:$C, $A170, COMPRAS!$J:$J, $B170), 1)</f>
        <v>1</v>
      </c>
      <c r="G170" s="8">
        <f>IFERROR(SUMIFS(COMPRAS!I:I, COMPRAS!C:C, A170) * SUMIFS(COMPRAS!E:E, COMPRAS!C:C, A170) / COUNTIF(COMPRAS!C:C, A170), 0)</f>
        <v>0</v>
      </c>
      <c r="H170" s="18">
        <f>IFERROR(
  ((SUMIFS(COMPRAS!$E:$E, COMPRAS!$C:$C, $A170, COMPRAS!$J:$J, "CAJON") + SUMIFS(COMPRAS!$E:$E, COMPRAS!$C:$C, $A170, COMPRAS!$J:$J, "BOLSA")) * $F170) - 
  ((SUMIFS(prueba!$A:$A, prueba!$C:$C, $A170, prueba!$B:$B, "CAJON") + SUMIFS(prueba!$A:$A, prueba!$C:$C, $A170, prueba!$B:$B, "BOLSA")) * $F170) - 
  MAX(0, (SUMIFS(prueba!$A:$A, prueba!$C:$C, $A170, prueba!$B:$B, "UNIDAD") + SUMIFS(prueba!$A:$A, prueba!$C:$C, $A170, prueba!$B:$B, "KG")) - 
  (SUMIFS(COMPRAS!$E:$E, COMPRAS!$C:$C, $A170, COMPRAS!$J:$J, "UNIDAD") + SUMIFS(COMPRAS!$E:$E, COMPRAS!$C:$C, $A170, COMPRAS!$J:$J, "KG"))), 
0)</f>
        <v>0</v>
      </c>
      <c r="I170" s="8">
        <f t="shared" si="1"/>
        <v>0</v>
      </c>
      <c r="J170" s="8">
        <f t="shared" si="3"/>
        <v>0</v>
      </c>
      <c r="K170" s="18" t="str">
        <f t="shared" si="2"/>
        <v>TOMILLOCAJON</v>
      </c>
    </row>
    <row r="171">
      <c r="A171" s="19" t="s">
        <v>106</v>
      </c>
      <c r="B171" s="14" t="s">
        <v>8</v>
      </c>
      <c r="C171" s="15">
        <f>IFERROR(AVERAGEIFS(COMPRAS!$D:$D, COMPRAS!$C:$C, $A171, COMPRAS!$J:$J, $B171), 0)</f>
        <v>0</v>
      </c>
      <c r="D171" s="16">
        <v>1.3</v>
      </c>
      <c r="E171" s="8">
        <f>ROUNDUP(C171 * D171, -2)</f>
        <v>0</v>
      </c>
      <c r="F171" s="17">
        <f>IFERROR(AVERAGEIFS(COMPRAS!$F:$F, COMPRAS!$C:$C, $A171, COMPRAS!$J:$J, $B171), 1)</f>
        <v>1</v>
      </c>
      <c r="G171" s="8">
        <f>IFERROR(SUMIFS(COMPRAS!I:I, COMPRAS!C:C, A171) * SUMIFS(COMPRAS!E:E, COMPRAS!C:C, A171) / COUNTIF(COMPRAS!C:C, A171), 0)</f>
        <v>0</v>
      </c>
      <c r="H171" s="18">
        <f>MAX(0, 
  (SUMIFS(COMPRAS!$E:$E, COMPRAS!$C:$C, $A171, COMPRAS!$J:$J, "UNIDAD") + SUMIFS(COMPRAS!$E:$E, COMPRAS!$C:$C, $A171, COMPRAS!$J:$J, "KG")) - 
  (SUMIFS(prueba!$A:$A, prueba!$C:$C, $A171, prueba!$B:$B, "UNIDAD") + SUMIFS(prueba!$A:$A, prueba!$C:$C, $A171, prueba!$B:$B, "KG"))
)</f>
        <v>0</v>
      </c>
      <c r="I171" s="8">
        <f t="shared" si="1"/>
        <v>0</v>
      </c>
      <c r="J171" s="8">
        <f t="shared" si="3"/>
        <v>0</v>
      </c>
      <c r="K171" s="18" t="str">
        <f t="shared" si="2"/>
        <v>TOMILLOUNIDAD</v>
      </c>
    </row>
    <row r="172" ht="18.0" customHeight="1">
      <c r="A172" s="19" t="s">
        <v>107</v>
      </c>
      <c r="B172" s="14" t="s">
        <v>12</v>
      </c>
      <c r="C172" s="15">
        <f>IFERROR(AVERAGEIFS(COMPRAS!$D:$D, COMPRAS!$C:$C, $A172, COMPRAS!$J:$J, $B172), 0)</f>
        <v>0</v>
      </c>
      <c r="D172" s="16">
        <v>1.3</v>
      </c>
      <c r="E172" s="8">
        <f>ROUNDUP(C172 *D172, -3)</f>
        <v>0</v>
      </c>
      <c r="F172" s="17">
        <f>IFERROR(AVERAGEIFS(COMPRAS!$F:$F, COMPRAS!$C:$C, $A172, COMPRAS!$J:$J, $B172), 1)</f>
        <v>1</v>
      </c>
      <c r="G172" s="8">
        <f>IFERROR(SUMIFS(COMPRAS!I:I, COMPRAS!C:C, A172) * SUMIFS(COMPRAS!E:E, COMPRAS!C:C, A172) / COUNTIF(COMPRAS!C:C, A172), 0)</f>
        <v>0</v>
      </c>
      <c r="H172" s="18">
        <f>IFERROR(
  ((SUMIFS(COMPRAS!$E:$E, COMPRAS!$C:$C, $A172, COMPRAS!$J:$J, "CAJON") + SUMIFS(COMPRAS!$E:$E, COMPRAS!$C:$C, $A172, COMPRAS!$J:$J, "BOLSA")) * $F172) - 
  ((SUMIFS(prueba!$A:$A, prueba!$C:$C, $A172, prueba!$B:$B, "CAJON") + SUMIFS(prueba!$A:$A, prueba!$C:$C, $A172, prueba!$B:$B, "BOLSA")) * $F172) - 
  MAX(0, (SUMIFS(prueba!$A:$A, prueba!$C:$C, $A172, prueba!$B:$B, "UNIDAD") + SUMIFS(prueba!$A:$A, prueba!$C:$C, $A172, prueba!$B:$B, "KG")) - 
  (SUMIFS(COMPRAS!$E:$E, COMPRAS!$C:$C, $A172, COMPRAS!$J:$J, "UNIDAD") + SUMIFS(COMPRAS!$E:$E, COMPRAS!$C:$C, $A172, COMPRAS!$J:$J, "KG"))), 
0)</f>
        <v>0</v>
      </c>
      <c r="I172" s="8">
        <f t="shared" si="1"/>
        <v>0</v>
      </c>
      <c r="J172" s="8">
        <f t="shared" si="3"/>
        <v>0</v>
      </c>
      <c r="K172" s="18" t="str">
        <f t="shared" si="2"/>
        <v>FLORES COMESTIBLESCAJON</v>
      </c>
    </row>
    <row r="173" ht="18.0" customHeight="1">
      <c r="A173" s="19" t="s">
        <v>107</v>
      </c>
      <c r="B173" s="14" t="s">
        <v>8</v>
      </c>
      <c r="C173" s="15">
        <f>IFERROR(AVERAGEIFS(COMPRAS!$D:$D, COMPRAS!$C:$C, $A173, COMPRAS!$J:$J, $B173), 0)</f>
        <v>0</v>
      </c>
      <c r="D173" s="16">
        <v>1.3</v>
      </c>
      <c r="E173" s="8">
        <f>ROUNDUP(C173 *D173, -2)</f>
        <v>0</v>
      </c>
      <c r="F173" s="17">
        <f>IFERROR(AVERAGEIFS(COMPRAS!$F:$F, COMPRAS!$C:$C, $A173, COMPRAS!$J:$J, $B173), 1)</f>
        <v>1</v>
      </c>
      <c r="G173" s="8">
        <f>IFERROR(SUMIFS(COMPRAS!I:I, COMPRAS!C:C, A173) * SUMIFS(COMPRAS!E:E, COMPRAS!C:C, A173) / COUNTIF(COMPRAS!C:C, A173), 0)</f>
        <v>0</v>
      </c>
      <c r="H173" s="18">
        <f>MAX(0, 
  (SUMIFS(COMPRAS!$E:$E, COMPRAS!$C:$C, $A173, COMPRAS!$J:$J, "UNIDAD") + SUMIFS(COMPRAS!$E:$E, COMPRAS!$C:$C, $A173, COMPRAS!$J:$J, "KG")) - 
  (SUMIFS(prueba!$A:$A, prueba!$C:$C, $A173, prueba!$B:$B, "UNIDAD") + SUMIFS(prueba!$A:$A, prueba!$C:$C, $A173, prueba!$B:$B, "KG"))
)</f>
        <v>0</v>
      </c>
      <c r="I173" s="8">
        <f t="shared" si="1"/>
        <v>0</v>
      </c>
      <c r="J173" s="8">
        <f t="shared" si="3"/>
        <v>0</v>
      </c>
      <c r="K173" s="18" t="str">
        <f t="shared" si="2"/>
        <v>FLORES COMESTIBLESUNIDAD</v>
      </c>
    </row>
    <row r="174" ht="18.0" customHeight="1">
      <c r="A174" s="19" t="s">
        <v>108</v>
      </c>
      <c r="B174" s="14" t="s">
        <v>12</v>
      </c>
      <c r="C174" s="15">
        <f>IFERROR(AVERAGEIFS(COMPRAS!$D:$D, COMPRAS!$C:$C, $A174, COMPRAS!$J:$J, $B174), 0)</f>
        <v>0</v>
      </c>
      <c r="D174" s="16">
        <v>1.3</v>
      </c>
      <c r="E174" s="8">
        <f>ROUNDUP(C174 *D174, -3)</f>
        <v>0</v>
      </c>
      <c r="F174" s="17">
        <f>IFERROR(AVERAGEIFS(COMPRAS!$F:$F, COMPRAS!$C:$C, $A174, COMPRAS!$J:$J, $B174), 1)</f>
        <v>1</v>
      </c>
      <c r="G174" s="8">
        <f>IFERROR(SUMIFS(COMPRAS!I:I, COMPRAS!C:C, A174) * SUMIFS(COMPRAS!E:E, COMPRAS!C:C, A174) / COUNTIF(COMPRAS!C:C, A174), 0)</f>
        <v>0</v>
      </c>
      <c r="H174" s="18">
        <f>IFERROR(
  ((SUMIFS(COMPRAS!$E:$E, COMPRAS!$C:$C, $A174, COMPRAS!$J:$J, "CAJON") + SUMIFS(COMPRAS!$E:$E, COMPRAS!$C:$C, $A174, COMPRAS!$J:$J, "BOLSA")) * $F174) - 
  ((SUMIFS(prueba!$A:$A, prueba!$C:$C, $A174, prueba!$B:$B, "CAJON") + SUMIFS(prueba!$A:$A, prueba!$C:$C, $A174, prueba!$B:$B, "BOLSA")) * $F174) - 
  MAX(0, (SUMIFS(prueba!$A:$A, prueba!$C:$C, $A174, prueba!$B:$B, "UNIDAD") + SUMIFS(prueba!$A:$A, prueba!$C:$C, $A174, prueba!$B:$B, "KG")) - 
  (SUMIFS(COMPRAS!$E:$E, COMPRAS!$C:$C, $A174, COMPRAS!$J:$J, "UNIDAD") + SUMIFS(COMPRAS!$E:$E, COMPRAS!$C:$C, $A174, COMPRAS!$J:$J, "KG"))), 
0)</f>
        <v>0</v>
      </c>
      <c r="I174" s="8">
        <f t="shared" si="1"/>
        <v>0</v>
      </c>
      <c r="J174" s="8">
        <f t="shared" si="3"/>
        <v>0</v>
      </c>
      <c r="K174" s="18" t="str">
        <f t="shared" si="2"/>
        <v>KURKUMACAJON</v>
      </c>
    </row>
    <row r="175" ht="18.0" customHeight="1">
      <c r="A175" s="19" t="s">
        <v>108</v>
      </c>
      <c r="B175" s="14" t="s">
        <v>29</v>
      </c>
      <c r="C175" s="15">
        <f>IFERROR(AVERAGEIFS(COMPRAS!$D:$D, COMPRAS!$C:$C, $A175, COMPRAS!$J:$J, $B175), 0)</f>
        <v>0</v>
      </c>
      <c r="D175" s="16">
        <v>1.3</v>
      </c>
      <c r="E175" s="8">
        <f>ROUNDUP(C175 *D175, -2)</f>
        <v>0</v>
      </c>
      <c r="F175" s="17">
        <f>IFERROR(AVERAGEIFS(COMPRAS!$F:$F, COMPRAS!$C:$C, $A175, COMPRAS!$J:$J, $B175), 1)</f>
        <v>1</v>
      </c>
      <c r="G175" s="8">
        <f>IFERROR(SUMIFS(COMPRAS!I:I, COMPRAS!C:C, A175) * SUMIFS(COMPRAS!E:E, COMPRAS!C:C, A175) / COUNTIF(COMPRAS!C:C, A175), 0)</f>
        <v>0</v>
      </c>
      <c r="H175" s="18">
        <f>MAX(0, 
  (SUMIFS(COMPRAS!$E:$E, COMPRAS!$C:$C, $A175, COMPRAS!$J:$J, "UNIDAD") + SUMIFS(COMPRAS!$E:$E, COMPRAS!$C:$C, $A175, COMPRAS!$J:$J, "KG")) - 
  (SUMIFS(prueba!$A:$A, prueba!$C:$C, $A175, prueba!$B:$B, "UNIDAD") + SUMIFS(prueba!$A:$A, prueba!$C:$C, $A175, prueba!$B:$B, "KG"))
)</f>
        <v>0</v>
      </c>
      <c r="I175" s="8">
        <f t="shared" si="1"/>
        <v>0</v>
      </c>
      <c r="J175" s="8">
        <f t="shared" si="3"/>
        <v>0</v>
      </c>
      <c r="K175" s="18" t="str">
        <f t="shared" si="2"/>
        <v>KURKUMAKG</v>
      </c>
    </row>
    <row r="176">
      <c r="A176" s="19" t="s">
        <v>109</v>
      </c>
      <c r="B176" s="14" t="s">
        <v>12</v>
      </c>
      <c r="C176" s="15">
        <f>IFERROR(AVERAGEIFS(COMPRAS!$D:$D, COMPRAS!$C:$C, $A176, COMPRAS!$J:$J, $B176), 0)</f>
        <v>0</v>
      </c>
      <c r="D176" s="16">
        <v>1.3</v>
      </c>
      <c r="E176" s="8">
        <f>ROUNDUP(C176 *D176, -3)</f>
        <v>0</v>
      </c>
      <c r="F176" s="17">
        <f>IFERROR(AVERAGEIFS(COMPRAS!$F:$F, COMPRAS!$C:$C, $A176, COMPRAS!$J:$J, $B176), 1)</f>
        <v>1</v>
      </c>
      <c r="G176" s="8">
        <f>IFERROR(SUMIFS(COMPRAS!I:I, COMPRAS!C:C, A176) * SUMIFS(COMPRAS!E:E, COMPRAS!C:C, A176) / COUNTIF(COMPRAS!C:C, A176), 0)</f>
        <v>0</v>
      </c>
      <c r="H176" s="18">
        <f>IFERROR(
  ((SUMIFS(COMPRAS!$E:$E, COMPRAS!$C:$C, $A176, COMPRAS!$J:$J, "CAJON") + SUMIFS(COMPRAS!$E:$E, COMPRAS!$C:$C, $A176, COMPRAS!$J:$J, "BOLSA")) * $F176) - 
  ((SUMIFS(prueba!$A:$A, prueba!$C:$C, $A176, prueba!$B:$B, "CAJON") + SUMIFS(prueba!$A:$A, prueba!$C:$C, $A176, prueba!$B:$B, "BOLSA")) * $F176) - 
  MAX(0, (SUMIFS(prueba!$A:$A, prueba!$C:$C, $A176, prueba!$B:$B, "UNIDAD") + SUMIFS(prueba!$A:$A, prueba!$C:$C, $A176, prueba!$B:$B, "KG")) - 
  (SUMIFS(COMPRAS!$E:$E, COMPRAS!$C:$C, $A176, COMPRAS!$J:$J, "UNIDAD") + SUMIFS(COMPRAS!$E:$E, COMPRAS!$C:$C, $A176, COMPRAS!$J:$J, "KG"))), 
0)</f>
        <v>0</v>
      </c>
      <c r="I176" s="8">
        <f t="shared" si="1"/>
        <v>0</v>
      </c>
      <c r="J176" s="8">
        <f t="shared" si="3"/>
        <v>0</v>
      </c>
      <c r="K176" s="18" t="str">
        <f t="shared" si="2"/>
        <v>JENGIBRECAJON</v>
      </c>
    </row>
    <row r="177">
      <c r="A177" s="19" t="s">
        <v>109</v>
      </c>
      <c r="B177" s="14" t="s">
        <v>29</v>
      </c>
      <c r="C177" s="15">
        <f>IFERROR(AVERAGEIFS(COMPRAS!$D:$D, COMPRAS!$C:$C, $A177, COMPRAS!$J:$J, $B177), 0)</f>
        <v>0</v>
      </c>
      <c r="D177" s="16">
        <v>1.3</v>
      </c>
      <c r="E177" s="8">
        <f>ROUNDUP(C177 *D177, -2)</f>
        <v>0</v>
      </c>
      <c r="F177" s="17">
        <f>IFERROR(AVERAGEIFS(COMPRAS!$F:$F, COMPRAS!$C:$C, $A177, COMPRAS!$J:$J, $B177), 1)</f>
        <v>1</v>
      </c>
      <c r="G177" s="8">
        <f>IFERROR(SUMIFS(COMPRAS!I:I, COMPRAS!C:C, A177) * SUMIFS(COMPRAS!E:E, COMPRAS!C:C, A177) / COUNTIF(COMPRAS!C:C, A177), 0)</f>
        <v>0</v>
      </c>
      <c r="H177" s="18">
        <f>MAX(0, 
  (SUMIFS(COMPRAS!$E:$E, COMPRAS!$C:$C, $A177, COMPRAS!$J:$J, "UNIDAD") + SUMIFS(COMPRAS!$E:$E, COMPRAS!$C:$C, $A177, COMPRAS!$J:$J, "KG")) - 
  (SUMIFS(prueba!$A:$A, prueba!$C:$C, $A177, prueba!$B:$B, "UNIDAD") + SUMIFS(prueba!$A:$A, prueba!$C:$C, $A177, prueba!$B:$B, "KG"))
)</f>
        <v>0</v>
      </c>
      <c r="I177" s="8">
        <f t="shared" si="1"/>
        <v>0</v>
      </c>
      <c r="J177" s="8">
        <f t="shared" si="3"/>
        <v>0</v>
      </c>
      <c r="K177" s="18" t="str">
        <f t="shared" si="2"/>
        <v>JENGIBREKG</v>
      </c>
    </row>
    <row r="178">
      <c r="A178" s="19" t="s">
        <v>110</v>
      </c>
      <c r="B178" s="14" t="s">
        <v>12</v>
      </c>
      <c r="C178" s="15">
        <f>IFERROR(AVERAGEIFS(COMPRAS!$D:$D, COMPRAS!$C:$C, $A178, COMPRAS!$J:$J, $B178), 0)</f>
        <v>0</v>
      </c>
      <c r="D178" s="16">
        <v>1.3</v>
      </c>
      <c r="E178" s="8">
        <f>ROUNDUP(C178 *D178, -3)</f>
        <v>0</v>
      </c>
      <c r="F178" s="17">
        <f>IFERROR(AVERAGEIFS(COMPRAS!$F:$F, COMPRAS!$C:$C, $A178, COMPRAS!$J:$J, $B178), 1)</f>
        <v>1</v>
      </c>
      <c r="G178" s="8">
        <f>IFERROR(SUMIFS(COMPRAS!I:I, COMPRAS!C:C, A178) * SUMIFS(COMPRAS!E:E, COMPRAS!C:C, A178) / COUNTIF(COMPRAS!C:C, A178), 0)</f>
        <v>0</v>
      </c>
      <c r="H178" s="18">
        <f>IFERROR(
  ((SUMIFS(COMPRAS!$E:$E, COMPRAS!$C:$C, $A178, COMPRAS!$J:$J, "CAJON") + SUMIFS(COMPRAS!$E:$E, COMPRAS!$C:$C, $A178, COMPRAS!$J:$J, "BOLSA")) * $F178) - 
  ((SUMIFS(prueba!$A:$A, prueba!$C:$C, $A178, prueba!$B:$B, "CAJON") + SUMIFS(prueba!$A:$A, prueba!$C:$C, $A178, prueba!$B:$B, "BOLSA")) * $F178) - 
  MAX(0, (SUMIFS(prueba!$A:$A, prueba!$C:$C, $A178, prueba!$B:$B, "UNIDAD") + SUMIFS(prueba!$A:$A, prueba!$C:$C, $A178, prueba!$B:$B, "KG")) - 
  (SUMIFS(COMPRAS!$E:$E, COMPRAS!$C:$C, $A178, COMPRAS!$J:$J, "UNIDAD") + SUMIFS(COMPRAS!$E:$E, COMPRAS!$C:$C, $A178, COMPRAS!$J:$J, "KG"))), 
0)</f>
        <v>0</v>
      </c>
      <c r="I178" s="8">
        <f t="shared" si="1"/>
        <v>0</v>
      </c>
      <c r="J178" s="8">
        <f t="shared" si="3"/>
        <v>0</v>
      </c>
      <c r="K178" s="18" t="str">
        <f t="shared" si="2"/>
        <v>HUEVO N1CAJON</v>
      </c>
    </row>
    <row r="179">
      <c r="A179" s="19" t="s">
        <v>110</v>
      </c>
      <c r="B179" s="14" t="s">
        <v>8</v>
      </c>
      <c r="C179" s="15">
        <f>IFERROR(AVERAGEIFS(COMPRAS!$D:$D, COMPRAS!$C:$C, $A179, COMPRAS!$J:$J, $B179), 0)</f>
        <v>0</v>
      </c>
      <c r="D179" s="16">
        <v>1.3</v>
      </c>
      <c r="E179" s="8">
        <f>ROUNDUP(C179 *D179, -2)</f>
        <v>0</v>
      </c>
      <c r="F179" s="17">
        <f>IFERROR(AVERAGEIFS(COMPRAS!$F:$F, COMPRAS!$C:$C, $A179, COMPRAS!$J:$J, $B179), 1)</f>
        <v>1</v>
      </c>
      <c r="G179" s="8">
        <f>IFERROR(SUMIFS(COMPRAS!I:I, COMPRAS!C:C, A179) * SUMIFS(COMPRAS!E:E, COMPRAS!C:C, A179) / COUNTIF(COMPRAS!C:C, A179), 0)</f>
        <v>0</v>
      </c>
      <c r="H179" s="18">
        <f>MAX(0, 
  (SUMIFS(COMPRAS!$E:$E, COMPRAS!$C:$C, $A179, COMPRAS!$J:$J, "UNIDAD") + SUMIFS(COMPRAS!$E:$E, COMPRAS!$C:$C, $A179, COMPRAS!$J:$J, "KG")) - 
  (SUMIFS(prueba!$A:$A, prueba!$C:$C, $A179, prueba!$B:$B, "UNIDAD") + SUMIFS(prueba!$A:$A, prueba!$C:$C, $A179, prueba!$B:$B, "KG"))
)</f>
        <v>0</v>
      </c>
      <c r="I179" s="8">
        <f t="shared" si="1"/>
        <v>0</v>
      </c>
      <c r="J179" s="8">
        <f t="shared" si="3"/>
        <v>0</v>
      </c>
      <c r="K179" s="18" t="str">
        <f t="shared" si="2"/>
        <v>HUEVO N1UNIDAD</v>
      </c>
    </row>
    <row r="180">
      <c r="A180" s="19" t="s">
        <v>111</v>
      </c>
      <c r="B180" s="14" t="s">
        <v>12</v>
      </c>
      <c r="C180" s="15">
        <f>IFERROR(AVERAGEIFS(COMPRAS!$D:$D, COMPRAS!$C:$C, $A180, COMPRAS!$J:$J, $B180), 0)</f>
        <v>0</v>
      </c>
      <c r="D180" s="16">
        <v>1.3</v>
      </c>
      <c r="E180" s="8">
        <f>ROUNDUP(C180 *D180, -3)</f>
        <v>0</v>
      </c>
      <c r="F180" s="17">
        <f>IFERROR(AVERAGEIFS(COMPRAS!$F:$F, COMPRAS!$C:$C, $A180, COMPRAS!$J:$J, $B180), 1)</f>
        <v>1</v>
      </c>
      <c r="G180" s="8">
        <f>IFERROR(SUMIFS(COMPRAS!I:I, COMPRAS!C:C, A180) * SUMIFS(COMPRAS!E:E, COMPRAS!C:C, A180) / COUNTIF(COMPRAS!C:C, A180), 0)</f>
        <v>0</v>
      </c>
      <c r="H180" s="18">
        <f>IFERROR(
  ((SUMIFS(COMPRAS!$E:$E, COMPRAS!$C:$C, $A180, COMPRAS!$J:$J, "CAJON") + SUMIFS(COMPRAS!$E:$E, COMPRAS!$C:$C, $A180, COMPRAS!$J:$J, "BOLSA")) * $F180) - 
  ((SUMIFS(prueba!$A:$A, prueba!$C:$C, $A180, prueba!$B:$B, "CAJON") + SUMIFS(prueba!$A:$A, prueba!$C:$C, $A180, prueba!$B:$B, "BOLSA")) * $F180) - 
  MAX(0, (SUMIFS(prueba!$A:$A, prueba!$C:$C, $A180, prueba!$B:$B, "UNIDAD") + SUMIFS(prueba!$A:$A, prueba!$C:$C, $A180, prueba!$B:$B, "KG")) - 
  (SUMIFS(COMPRAS!$E:$E, COMPRAS!$C:$C, $A180, COMPRAS!$J:$J, "UNIDAD") + SUMIFS(COMPRAS!$E:$E, COMPRAS!$C:$C, $A180, COMPRAS!$J:$J, "KG"))), 
0)</f>
        <v>0</v>
      </c>
      <c r="I180" s="8">
        <f t="shared" si="1"/>
        <v>0</v>
      </c>
      <c r="J180" s="8">
        <f t="shared" si="3"/>
        <v>0</v>
      </c>
      <c r="K180" s="18" t="str">
        <f t="shared" si="2"/>
        <v>HUEVO N2CAJON</v>
      </c>
    </row>
    <row r="181">
      <c r="A181" s="19" t="s">
        <v>111</v>
      </c>
      <c r="B181" s="14" t="s">
        <v>8</v>
      </c>
      <c r="C181" s="15">
        <f>IFERROR(AVERAGEIFS(COMPRAS!$D:$D, COMPRAS!$C:$C, $A181, COMPRAS!$J:$J, $B181), 0)</f>
        <v>0</v>
      </c>
      <c r="D181" s="16">
        <v>1.3</v>
      </c>
      <c r="E181" s="8">
        <f>ROUNDUP(C181 *D181, -2)</f>
        <v>0</v>
      </c>
      <c r="F181" s="17">
        <f>IFERROR(AVERAGEIFS(COMPRAS!$F:$F, COMPRAS!$C:$C, $A181, COMPRAS!$J:$J, $B181), 1)</f>
        <v>1</v>
      </c>
      <c r="G181" s="8">
        <f>IFERROR(SUMIFS(COMPRAS!I:I, COMPRAS!C:C, A181) * SUMIFS(COMPRAS!E:E, COMPRAS!C:C, A181) / COUNTIF(COMPRAS!C:C, A181), 0)</f>
        <v>0</v>
      </c>
      <c r="H181" s="18">
        <f>MAX(0, 
  (SUMIFS(COMPRAS!$E:$E, COMPRAS!$C:$C, $A181, COMPRAS!$J:$J, "UNIDAD") + SUMIFS(COMPRAS!$E:$E, COMPRAS!$C:$C, $A181, COMPRAS!$J:$J, "KG")) - 
  (SUMIFS(prueba!$A:$A, prueba!$C:$C, $A181, prueba!$B:$B, "UNIDAD") + SUMIFS(prueba!$A:$A, prueba!$C:$C, $A181, prueba!$B:$B, "KG"))
)</f>
        <v>0</v>
      </c>
      <c r="I181" s="8">
        <f t="shared" si="1"/>
        <v>0</v>
      </c>
      <c r="J181" s="8">
        <f t="shared" si="3"/>
        <v>0</v>
      </c>
      <c r="K181" s="18" t="str">
        <f t="shared" si="2"/>
        <v>HUEVO N2UNIDAD</v>
      </c>
    </row>
    <row r="182">
      <c r="B182" s="14"/>
      <c r="C182" s="15"/>
      <c r="E182" s="8"/>
      <c r="G182" s="8"/>
      <c r="J182" s="8"/>
    </row>
    <row r="183">
      <c r="B183" s="14"/>
      <c r="C183" s="15"/>
      <c r="E183" s="8"/>
      <c r="G183" s="8"/>
      <c r="J183" s="8"/>
    </row>
    <row r="184">
      <c r="B184" s="14"/>
      <c r="C184" s="15"/>
      <c r="E184" s="8"/>
      <c r="G184" s="8"/>
      <c r="J184" s="8"/>
    </row>
    <row r="185">
      <c r="B185" s="14"/>
      <c r="C185" s="15"/>
      <c r="E185" s="8"/>
      <c r="G185" s="8"/>
      <c r="J185" s="8"/>
    </row>
    <row r="186">
      <c r="B186" s="14"/>
      <c r="C186" s="15"/>
      <c r="E186" s="8"/>
      <c r="G186" s="8"/>
      <c r="J186" s="8"/>
    </row>
    <row r="187">
      <c r="B187" s="14"/>
      <c r="C187" s="15"/>
      <c r="E187" s="8"/>
      <c r="G187" s="8"/>
      <c r="J187" s="8"/>
    </row>
    <row r="188">
      <c r="B188" s="14"/>
      <c r="C188" s="15"/>
      <c r="E188" s="8"/>
      <c r="G188" s="8"/>
      <c r="J188" s="8"/>
    </row>
    <row r="189">
      <c r="B189" s="14"/>
      <c r="C189" s="15"/>
      <c r="E189" s="8"/>
      <c r="G189" s="8"/>
      <c r="J189" s="8"/>
    </row>
    <row r="190">
      <c r="B190" s="14"/>
      <c r="C190" s="15"/>
      <c r="E190" s="8"/>
      <c r="G190" s="8"/>
      <c r="J190" s="8"/>
    </row>
    <row r="191">
      <c r="B191" s="14"/>
      <c r="C191" s="15"/>
      <c r="E191" s="8"/>
      <c r="G191" s="8"/>
      <c r="J191" s="8"/>
    </row>
    <row r="192">
      <c r="B192" s="14"/>
      <c r="C192" s="15"/>
      <c r="E192" s="8"/>
      <c r="G192" s="8"/>
      <c r="J192" s="8"/>
    </row>
    <row r="193">
      <c r="B193" s="14"/>
      <c r="C193" s="15"/>
      <c r="E193" s="8"/>
      <c r="G193" s="8"/>
      <c r="J193" s="8"/>
    </row>
    <row r="194">
      <c r="C194" s="15"/>
      <c r="E194" s="8"/>
      <c r="G194" s="8"/>
      <c r="J194" s="8"/>
    </row>
    <row r="195">
      <c r="C195" s="15"/>
      <c r="E195" s="8"/>
      <c r="G195" s="8"/>
      <c r="J195" s="8"/>
    </row>
    <row r="196">
      <c r="C196" s="15"/>
      <c r="E196" s="8"/>
      <c r="G196" s="8"/>
      <c r="J196" s="8"/>
    </row>
    <row r="197">
      <c r="C197" s="15"/>
      <c r="E197" s="8"/>
      <c r="G197" s="8"/>
      <c r="J197" s="8"/>
    </row>
    <row r="198">
      <c r="C198" s="15"/>
      <c r="E198" s="8"/>
      <c r="G198" s="8"/>
      <c r="J198" s="8"/>
    </row>
    <row r="199">
      <c r="C199" s="15"/>
      <c r="E199" s="8"/>
      <c r="G199" s="8"/>
      <c r="J199" s="8"/>
    </row>
    <row r="200">
      <c r="C200" s="15"/>
      <c r="E200" s="8"/>
      <c r="G200" s="8"/>
      <c r="J200" s="8"/>
    </row>
    <row r="201">
      <c r="C201" s="15"/>
      <c r="E201" s="8"/>
      <c r="G201" s="8"/>
      <c r="J201" s="8"/>
    </row>
    <row r="202">
      <c r="C202" s="15"/>
      <c r="E202" s="8"/>
      <c r="G202" s="8"/>
      <c r="J202" s="8"/>
    </row>
    <row r="203">
      <c r="C203" s="15"/>
      <c r="E203" s="8"/>
      <c r="G203" s="8"/>
      <c r="J203" s="8"/>
    </row>
    <row r="204">
      <c r="C204" s="15"/>
      <c r="E204" s="8"/>
      <c r="G204" s="8"/>
      <c r="J204" s="8"/>
    </row>
    <row r="205">
      <c r="C205" s="15"/>
      <c r="E205" s="8"/>
      <c r="G205" s="8"/>
      <c r="J205" s="8"/>
    </row>
    <row r="206">
      <c r="C206" s="15"/>
      <c r="E206" s="8"/>
      <c r="G206" s="8"/>
      <c r="J206" s="8"/>
    </row>
    <row r="207">
      <c r="C207" s="15"/>
      <c r="E207" s="8"/>
      <c r="G207" s="8"/>
      <c r="J207" s="8"/>
    </row>
    <row r="208">
      <c r="C208" s="15"/>
      <c r="E208" s="8"/>
      <c r="G208" s="8"/>
      <c r="J208" s="8"/>
    </row>
    <row r="209">
      <c r="C209" s="15"/>
      <c r="E209" s="8"/>
      <c r="G209" s="8"/>
      <c r="J209" s="8"/>
    </row>
    <row r="210">
      <c r="C210" s="15"/>
      <c r="E210" s="8"/>
      <c r="G210" s="8"/>
      <c r="J210" s="8"/>
    </row>
    <row r="211">
      <c r="C211" s="15"/>
      <c r="E211" s="8"/>
      <c r="G211" s="8"/>
      <c r="J211" s="8"/>
    </row>
    <row r="212">
      <c r="C212" s="15"/>
      <c r="E212" s="8"/>
      <c r="G212" s="8"/>
      <c r="J212" s="8"/>
    </row>
    <row r="213">
      <c r="C213" s="15"/>
      <c r="E213" s="8"/>
      <c r="G213" s="8"/>
      <c r="J213" s="8"/>
    </row>
    <row r="214">
      <c r="C214" s="15"/>
      <c r="E214" s="8"/>
      <c r="G214" s="8"/>
      <c r="J214" s="8"/>
    </row>
    <row r="215">
      <c r="C215" s="15"/>
      <c r="E215" s="8"/>
      <c r="G215" s="8"/>
      <c r="J215" s="8"/>
    </row>
    <row r="216">
      <c r="C216" s="15"/>
      <c r="E216" s="8"/>
      <c r="G216" s="8"/>
      <c r="J216" s="8"/>
    </row>
    <row r="217">
      <c r="C217" s="15"/>
      <c r="E217" s="8"/>
      <c r="G217" s="8"/>
      <c r="J217" s="8"/>
    </row>
    <row r="218">
      <c r="C218" s="15"/>
      <c r="E218" s="8"/>
      <c r="G218" s="8"/>
      <c r="J218" s="8"/>
    </row>
    <row r="219">
      <c r="C219" s="15"/>
      <c r="E219" s="8"/>
      <c r="G219" s="8"/>
      <c r="J219" s="8"/>
    </row>
    <row r="220">
      <c r="C220" s="15"/>
      <c r="E220" s="8"/>
      <c r="G220" s="8"/>
      <c r="J220" s="8"/>
    </row>
    <row r="221">
      <c r="C221" s="15"/>
      <c r="E221" s="8"/>
      <c r="G221" s="8"/>
      <c r="J221" s="8"/>
    </row>
    <row r="222">
      <c r="C222" s="15"/>
      <c r="E222" s="8"/>
      <c r="G222" s="8"/>
      <c r="J222" s="8"/>
    </row>
    <row r="223">
      <c r="C223" s="15"/>
      <c r="E223" s="8"/>
      <c r="G223" s="8"/>
      <c r="J223" s="8"/>
    </row>
    <row r="224">
      <c r="C224" s="15"/>
      <c r="E224" s="8"/>
      <c r="G224" s="8"/>
      <c r="J224" s="8"/>
    </row>
    <row r="225">
      <c r="C225" s="15"/>
      <c r="E225" s="8"/>
      <c r="G225" s="8"/>
      <c r="J225" s="8"/>
    </row>
    <row r="226">
      <c r="C226" s="15"/>
      <c r="E226" s="8"/>
      <c r="G226" s="8"/>
      <c r="J226" s="8"/>
    </row>
    <row r="227">
      <c r="C227" s="15"/>
      <c r="E227" s="8"/>
      <c r="G227" s="8"/>
      <c r="J227" s="8"/>
    </row>
    <row r="228">
      <c r="C228" s="15"/>
      <c r="E228" s="8"/>
      <c r="G228" s="8"/>
      <c r="J228" s="8"/>
    </row>
    <row r="229">
      <c r="C229" s="15"/>
      <c r="E229" s="8"/>
      <c r="G229" s="8"/>
      <c r="J229" s="8"/>
    </row>
    <row r="230">
      <c r="C230" s="15"/>
      <c r="E230" s="8"/>
      <c r="G230" s="8"/>
      <c r="J230" s="8"/>
    </row>
    <row r="231">
      <c r="C231" s="15"/>
      <c r="E231" s="8"/>
      <c r="G231" s="8"/>
      <c r="J231" s="8"/>
    </row>
    <row r="232">
      <c r="C232" s="15"/>
      <c r="E232" s="8"/>
      <c r="G232" s="8"/>
      <c r="J232" s="8"/>
    </row>
    <row r="233">
      <c r="C233" s="15"/>
      <c r="E233" s="8"/>
      <c r="G233" s="8"/>
      <c r="J233" s="8"/>
    </row>
    <row r="234">
      <c r="C234" s="15"/>
      <c r="E234" s="8"/>
      <c r="G234" s="8"/>
      <c r="J234" s="8"/>
    </row>
    <row r="235">
      <c r="C235" s="15"/>
      <c r="E235" s="8"/>
      <c r="G235" s="8"/>
      <c r="J235" s="8"/>
    </row>
    <row r="236">
      <c r="C236" s="15"/>
      <c r="E236" s="8"/>
      <c r="G236" s="8"/>
      <c r="J236" s="8"/>
    </row>
    <row r="237">
      <c r="C237" s="15"/>
      <c r="E237" s="8"/>
      <c r="G237" s="8"/>
      <c r="J237" s="8"/>
    </row>
    <row r="238">
      <c r="C238" s="15"/>
      <c r="E238" s="8"/>
      <c r="G238" s="8"/>
      <c r="J238" s="8"/>
    </row>
    <row r="239">
      <c r="C239" s="15"/>
      <c r="E239" s="8"/>
      <c r="G239" s="8"/>
      <c r="J239" s="8"/>
    </row>
    <row r="240">
      <c r="C240" s="15"/>
      <c r="E240" s="8"/>
      <c r="G240" s="8"/>
      <c r="J240" s="8"/>
    </row>
    <row r="241">
      <c r="C241" s="15"/>
      <c r="E241" s="8"/>
      <c r="G241" s="8"/>
      <c r="J241" s="8"/>
    </row>
    <row r="242">
      <c r="C242" s="15"/>
      <c r="E242" s="8"/>
      <c r="G242" s="8"/>
      <c r="J242" s="8"/>
    </row>
    <row r="243">
      <c r="C243" s="15"/>
      <c r="E243" s="8"/>
      <c r="G243" s="8"/>
      <c r="J243" s="8"/>
    </row>
    <row r="244">
      <c r="C244" s="15"/>
      <c r="E244" s="8"/>
      <c r="G244" s="8"/>
      <c r="J244" s="8"/>
    </row>
    <row r="245">
      <c r="C245" s="15"/>
      <c r="E245" s="8"/>
      <c r="G245" s="8"/>
      <c r="J245" s="8"/>
    </row>
    <row r="246">
      <c r="C246" s="15"/>
      <c r="E246" s="8"/>
      <c r="G246" s="8"/>
      <c r="J246" s="8"/>
    </row>
    <row r="247">
      <c r="C247" s="15"/>
      <c r="E247" s="8"/>
      <c r="G247" s="8"/>
      <c r="J247" s="8"/>
    </row>
    <row r="248">
      <c r="C248" s="15"/>
      <c r="E248" s="8"/>
      <c r="G248" s="8"/>
      <c r="J248" s="8"/>
    </row>
    <row r="249">
      <c r="C249" s="15"/>
      <c r="E249" s="8"/>
      <c r="G249" s="8"/>
      <c r="J249" s="8"/>
    </row>
    <row r="250">
      <c r="C250" s="15"/>
      <c r="E250" s="8"/>
      <c r="G250" s="8"/>
      <c r="J250" s="8"/>
    </row>
    <row r="251">
      <c r="C251" s="15"/>
      <c r="E251" s="8"/>
      <c r="G251" s="8"/>
      <c r="J251" s="8"/>
    </row>
    <row r="252">
      <c r="C252" s="15"/>
      <c r="E252" s="8"/>
      <c r="G252" s="8"/>
      <c r="J252" s="8"/>
    </row>
    <row r="253">
      <c r="C253" s="15"/>
      <c r="E253" s="8"/>
      <c r="G253" s="8"/>
      <c r="J253" s="8"/>
    </row>
    <row r="254">
      <c r="C254" s="15"/>
      <c r="E254" s="8"/>
      <c r="G254" s="8"/>
      <c r="J254" s="8"/>
    </row>
    <row r="255">
      <c r="C255" s="15"/>
      <c r="E255" s="8"/>
      <c r="G255" s="8"/>
      <c r="J255" s="8"/>
    </row>
    <row r="256">
      <c r="C256" s="15"/>
      <c r="E256" s="8"/>
      <c r="G256" s="8"/>
      <c r="J256" s="8"/>
    </row>
    <row r="257">
      <c r="C257" s="15"/>
      <c r="E257" s="8"/>
      <c r="G257" s="8"/>
      <c r="J257" s="8"/>
    </row>
    <row r="258">
      <c r="C258" s="15"/>
      <c r="E258" s="8"/>
      <c r="G258" s="8"/>
      <c r="J258" s="8"/>
    </row>
    <row r="259">
      <c r="C259" s="15"/>
      <c r="E259" s="8"/>
      <c r="G259" s="8"/>
      <c r="J259" s="8"/>
    </row>
    <row r="260">
      <c r="C260" s="15"/>
      <c r="E260" s="8"/>
      <c r="G260" s="8"/>
      <c r="J260" s="8"/>
    </row>
    <row r="261">
      <c r="C261" s="15"/>
      <c r="E261" s="8"/>
      <c r="G261" s="8"/>
      <c r="J261" s="8"/>
    </row>
    <row r="262">
      <c r="C262" s="15"/>
      <c r="E262" s="8"/>
      <c r="G262" s="8"/>
      <c r="J262" s="8"/>
    </row>
    <row r="263">
      <c r="C263" s="15"/>
      <c r="E263" s="8"/>
      <c r="G263" s="8"/>
      <c r="J263" s="8"/>
    </row>
    <row r="264">
      <c r="C264" s="15"/>
      <c r="E264" s="8"/>
      <c r="G264" s="8"/>
      <c r="J264" s="8"/>
    </row>
    <row r="265">
      <c r="C265" s="15"/>
      <c r="E265" s="8"/>
      <c r="G265" s="8"/>
      <c r="J265" s="8"/>
    </row>
    <row r="266">
      <c r="C266" s="15"/>
      <c r="E266" s="8"/>
      <c r="G266" s="8"/>
      <c r="J266" s="8"/>
    </row>
    <row r="267">
      <c r="C267" s="15"/>
      <c r="E267" s="8"/>
      <c r="G267" s="8"/>
      <c r="J267" s="8"/>
    </row>
    <row r="268">
      <c r="C268" s="15"/>
      <c r="E268" s="8"/>
      <c r="G268" s="8"/>
      <c r="J268" s="8"/>
    </row>
    <row r="269">
      <c r="C269" s="15"/>
      <c r="E269" s="8"/>
      <c r="G269" s="8"/>
      <c r="J269" s="8"/>
    </row>
    <row r="270">
      <c r="C270" s="15"/>
      <c r="E270" s="8"/>
      <c r="G270" s="8"/>
      <c r="J270" s="8"/>
    </row>
    <row r="271">
      <c r="C271" s="15"/>
      <c r="E271" s="8"/>
      <c r="G271" s="8"/>
      <c r="J271" s="8"/>
    </row>
    <row r="272">
      <c r="C272" s="15"/>
      <c r="E272" s="8"/>
      <c r="G272" s="8"/>
      <c r="J272" s="8"/>
    </row>
    <row r="273">
      <c r="C273" s="15"/>
      <c r="E273" s="8"/>
      <c r="G273" s="8"/>
      <c r="J273" s="8"/>
    </row>
    <row r="274">
      <c r="C274" s="15"/>
      <c r="E274" s="8"/>
      <c r="G274" s="8"/>
      <c r="J274" s="8"/>
    </row>
    <row r="275">
      <c r="C275" s="15"/>
      <c r="E275" s="8"/>
      <c r="G275" s="8"/>
      <c r="J275" s="8"/>
    </row>
    <row r="276">
      <c r="C276" s="15"/>
      <c r="E276" s="8"/>
      <c r="G276" s="8"/>
      <c r="J276" s="8"/>
    </row>
    <row r="277">
      <c r="C277" s="15"/>
      <c r="E277" s="8"/>
      <c r="G277" s="8"/>
      <c r="J277" s="8"/>
    </row>
    <row r="278">
      <c r="C278" s="15"/>
      <c r="E278" s="8"/>
      <c r="G278" s="8"/>
      <c r="J278" s="8"/>
    </row>
    <row r="279">
      <c r="C279" s="15"/>
      <c r="E279" s="8"/>
      <c r="G279" s="8"/>
      <c r="J279" s="8"/>
    </row>
    <row r="280">
      <c r="C280" s="15"/>
      <c r="E280" s="8"/>
      <c r="G280" s="8"/>
      <c r="J280" s="8"/>
    </row>
    <row r="281">
      <c r="C281" s="15"/>
      <c r="E281" s="8"/>
      <c r="G281" s="8"/>
      <c r="J281" s="8"/>
    </row>
    <row r="282">
      <c r="C282" s="15"/>
      <c r="E282" s="8"/>
      <c r="G282" s="8"/>
      <c r="J282" s="8"/>
    </row>
    <row r="283">
      <c r="C283" s="15"/>
      <c r="E283" s="8"/>
      <c r="G283" s="8"/>
      <c r="J283" s="8"/>
    </row>
    <row r="284">
      <c r="C284" s="15"/>
      <c r="E284" s="8"/>
      <c r="G284" s="8"/>
      <c r="J284" s="8"/>
    </row>
    <row r="285">
      <c r="C285" s="15"/>
      <c r="E285" s="8"/>
      <c r="G285" s="8"/>
      <c r="J285" s="8"/>
    </row>
    <row r="286">
      <c r="C286" s="15"/>
      <c r="E286" s="8"/>
      <c r="G286" s="8"/>
      <c r="J286" s="8"/>
    </row>
    <row r="287">
      <c r="C287" s="15"/>
      <c r="E287" s="8"/>
      <c r="G287" s="8"/>
      <c r="J287" s="8"/>
    </row>
    <row r="288">
      <c r="C288" s="15"/>
      <c r="E288" s="8"/>
      <c r="G288" s="8"/>
      <c r="J288" s="8"/>
    </row>
    <row r="289">
      <c r="C289" s="15"/>
      <c r="E289" s="8"/>
      <c r="G289" s="8"/>
      <c r="J289" s="8"/>
    </row>
    <row r="290">
      <c r="C290" s="15"/>
      <c r="E290" s="8"/>
      <c r="G290" s="8"/>
      <c r="J290" s="8"/>
    </row>
    <row r="291">
      <c r="C291" s="15"/>
      <c r="E291" s="8"/>
      <c r="G291" s="8"/>
      <c r="J291" s="8"/>
    </row>
    <row r="292">
      <c r="C292" s="15"/>
      <c r="E292" s="8"/>
      <c r="G292" s="8"/>
      <c r="J292" s="8"/>
    </row>
    <row r="293">
      <c r="C293" s="15"/>
      <c r="E293" s="8"/>
      <c r="G293" s="8"/>
      <c r="J293" s="8"/>
    </row>
    <row r="294">
      <c r="C294" s="15"/>
      <c r="E294" s="8"/>
      <c r="G294" s="8"/>
      <c r="J294" s="8"/>
    </row>
    <row r="295">
      <c r="C295" s="15"/>
      <c r="E295" s="8"/>
      <c r="G295" s="8"/>
      <c r="J295" s="8"/>
    </row>
    <row r="296">
      <c r="C296" s="15"/>
      <c r="E296" s="8"/>
      <c r="G296" s="8"/>
      <c r="J296" s="8"/>
    </row>
    <row r="297">
      <c r="C297" s="15"/>
      <c r="E297" s="8"/>
      <c r="G297" s="8"/>
      <c r="J297" s="8"/>
    </row>
    <row r="298">
      <c r="C298" s="15"/>
      <c r="E298" s="8"/>
      <c r="G298" s="8"/>
      <c r="J298" s="8"/>
    </row>
    <row r="299">
      <c r="C299" s="15"/>
      <c r="E299" s="8"/>
      <c r="G299" s="8"/>
      <c r="J299" s="8"/>
    </row>
    <row r="300">
      <c r="C300" s="15"/>
      <c r="E300" s="8"/>
      <c r="G300" s="8"/>
      <c r="J300" s="8"/>
    </row>
    <row r="301">
      <c r="C301" s="15"/>
      <c r="E301" s="8"/>
      <c r="G301" s="8"/>
      <c r="J301" s="8"/>
    </row>
    <row r="302">
      <c r="C302" s="15"/>
      <c r="E302" s="8"/>
      <c r="G302" s="8"/>
      <c r="J302" s="8"/>
    </row>
    <row r="303">
      <c r="C303" s="15"/>
      <c r="E303" s="8"/>
      <c r="G303" s="8"/>
      <c r="J303" s="8"/>
    </row>
    <row r="304">
      <c r="C304" s="15"/>
      <c r="E304" s="8"/>
      <c r="G304" s="8"/>
      <c r="J304" s="8"/>
    </row>
    <row r="305">
      <c r="C305" s="15"/>
      <c r="E305" s="8"/>
      <c r="G305" s="8"/>
      <c r="J305" s="8"/>
    </row>
    <row r="306">
      <c r="C306" s="15"/>
      <c r="E306" s="8"/>
      <c r="G306" s="8"/>
      <c r="J306" s="8"/>
    </row>
    <row r="307">
      <c r="C307" s="15"/>
      <c r="E307" s="8"/>
      <c r="G307" s="8"/>
      <c r="J307" s="8"/>
    </row>
    <row r="308">
      <c r="C308" s="15"/>
      <c r="E308" s="8"/>
      <c r="G308" s="8"/>
      <c r="J308" s="8"/>
    </row>
    <row r="309">
      <c r="C309" s="15"/>
      <c r="E309" s="8"/>
      <c r="G309" s="8"/>
      <c r="J309" s="8"/>
    </row>
    <row r="310">
      <c r="C310" s="15"/>
      <c r="E310" s="8"/>
      <c r="G310" s="8"/>
      <c r="J310" s="8"/>
    </row>
    <row r="311">
      <c r="C311" s="15"/>
      <c r="E311" s="8"/>
      <c r="G311" s="8"/>
      <c r="J311" s="8"/>
    </row>
    <row r="312">
      <c r="C312" s="15"/>
      <c r="E312" s="8"/>
      <c r="G312" s="8"/>
      <c r="J312" s="8"/>
    </row>
    <row r="313">
      <c r="C313" s="15"/>
      <c r="E313" s="8"/>
      <c r="G313" s="8"/>
      <c r="J313" s="8"/>
    </row>
    <row r="314">
      <c r="C314" s="15"/>
      <c r="E314" s="8"/>
      <c r="G314" s="8"/>
      <c r="J314" s="8"/>
    </row>
    <row r="315">
      <c r="C315" s="15"/>
      <c r="E315" s="8"/>
      <c r="G315" s="8"/>
      <c r="J315" s="8"/>
    </row>
    <row r="316">
      <c r="C316" s="15"/>
      <c r="E316" s="8"/>
      <c r="G316" s="8"/>
      <c r="J316" s="8"/>
    </row>
    <row r="317">
      <c r="C317" s="15"/>
      <c r="E317" s="8"/>
      <c r="G317" s="8"/>
      <c r="J317" s="8"/>
    </row>
    <row r="318">
      <c r="C318" s="15"/>
      <c r="E318" s="8"/>
      <c r="G318" s="8"/>
      <c r="J318" s="8"/>
    </row>
    <row r="319">
      <c r="C319" s="15"/>
      <c r="E319" s="8"/>
      <c r="G319" s="8"/>
      <c r="J319" s="8"/>
    </row>
    <row r="320">
      <c r="C320" s="15"/>
      <c r="E320" s="8"/>
      <c r="G320" s="8"/>
      <c r="J320" s="8"/>
    </row>
    <row r="321">
      <c r="C321" s="15"/>
      <c r="E321" s="8"/>
      <c r="G321" s="8"/>
      <c r="J321" s="8"/>
    </row>
    <row r="322">
      <c r="C322" s="15"/>
      <c r="E322" s="8"/>
      <c r="G322" s="8"/>
      <c r="J322" s="8"/>
    </row>
    <row r="323">
      <c r="C323" s="15"/>
      <c r="E323" s="8"/>
      <c r="G323" s="8"/>
      <c r="J323" s="8"/>
    </row>
    <row r="324">
      <c r="C324" s="15"/>
      <c r="E324" s="8"/>
      <c r="G324" s="8"/>
      <c r="J324" s="8"/>
    </row>
    <row r="325">
      <c r="C325" s="15"/>
      <c r="E325" s="8"/>
      <c r="G325" s="8"/>
      <c r="J325" s="8"/>
    </row>
    <row r="326">
      <c r="C326" s="15"/>
      <c r="E326" s="8"/>
      <c r="G326" s="8"/>
      <c r="J326" s="8"/>
    </row>
    <row r="327">
      <c r="C327" s="15"/>
      <c r="E327" s="8"/>
      <c r="G327" s="8"/>
      <c r="J327" s="8"/>
    </row>
    <row r="328">
      <c r="C328" s="15"/>
      <c r="E328" s="8"/>
      <c r="G328" s="8"/>
      <c r="J328" s="8"/>
    </row>
    <row r="329">
      <c r="C329" s="15"/>
      <c r="E329" s="8"/>
      <c r="G329" s="8"/>
      <c r="J329" s="8"/>
    </row>
    <row r="330">
      <c r="C330" s="15"/>
      <c r="E330" s="8"/>
      <c r="G330" s="8"/>
      <c r="J330" s="8"/>
    </row>
    <row r="331">
      <c r="C331" s="15"/>
      <c r="E331" s="8"/>
      <c r="G331" s="8"/>
      <c r="J331" s="8"/>
    </row>
    <row r="332">
      <c r="C332" s="15"/>
      <c r="E332" s="8"/>
      <c r="G332" s="8"/>
      <c r="J332" s="8"/>
    </row>
    <row r="333">
      <c r="C333" s="15"/>
      <c r="E333" s="8"/>
      <c r="G333" s="8"/>
      <c r="J333" s="8"/>
    </row>
    <row r="334">
      <c r="C334" s="15"/>
      <c r="E334" s="8"/>
      <c r="G334" s="8"/>
      <c r="J334" s="8"/>
    </row>
    <row r="335">
      <c r="C335" s="15"/>
      <c r="E335" s="8"/>
      <c r="G335" s="8"/>
      <c r="J335" s="8"/>
    </row>
    <row r="336">
      <c r="C336" s="15"/>
      <c r="E336" s="8"/>
      <c r="G336" s="8"/>
      <c r="J336" s="8"/>
    </row>
    <row r="337">
      <c r="C337" s="15"/>
      <c r="E337" s="8"/>
      <c r="G337" s="8"/>
      <c r="J337" s="8"/>
    </row>
    <row r="338">
      <c r="C338" s="15"/>
      <c r="E338" s="8"/>
      <c r="G338" s="8"/>
      <c r="J338" s="8"/>
    </row>
    <row r="339">
      <c r="C339" s="15"/>
      <c r="E339" s="8"/>
      <c r="G339" s="8"/>
      <c r="J339" s="8"/>
    </row>
    <row r="340">
      <c r="C340" s="15"/>
      <c r="E340" s="8"/>
      <c r="G340" s="8"/>
      <c r="J340" s="8"/>
    </row>
    <row r="341">
      <c r="C341" s="15"/>
      <c r="E341" s="8"/>
      <c r="G341" s="8"/>
      <c r="J341" s="8"/>
    </row>
    <row r="342">
      <c r="C342" s="15"/>
      <c r="E342" s="8"/>
      <c r="G342" s="8"/>
      <c r="J342" s="8"/>
    </row>
    <row r="343">
      <c r="C343" s="15"/>
      <c r="E343" s="8"/>
      <c r="G343" s="8"/>
      <c r="J343" s="8"/>
    </row>
    <row r="344">
      <c r="C344" s="15"/>
      <c r="E344" s="8"/>
      <c r="G344" s="8"/>
      <c r="J344" s="8"/>
    </row>
    <row r="345">
      <c r="C345" s="15"/>
      <c r="E345" s="8"/>
      <c r="G345" s="8"/>
      <c r="J345" s="8"/>
    </row>
    <row r="346">
      <c r="C346" s="15"/>
      <c r="E346" s="8"/>
      <c r="G346" s="8"/>
      <c r="J346" s="8"/>
    </row>
    <row r="347">
      <c r="C347" s="15"/>
      <c r="E347" s="8"/>
      <c r="G347" s="8"/>
      <c r="J347" s="8"/>
    </row>
    <row r="348">
      <c r="C348" s="15"/>
      <c r="E348" s="8"/>
      <c r="G348" s="8"/>
      <c r="J348" s="8"/>
    </row>
    <row r="349">
      <c r="C349" s="15"/>
      <c r="E349" s="8"/>
      <c r="G349" s="8"/>
      <c r="J349" s="8"/>
    </row>
    <row r="350">
      <c r="C350" s="15"/>
      <c r="E350" s="8"/>
      <c r="G350" s="8"/>
      <c r="J350" s="8"/>
    </row>
    <row r="351">
      <c r="C351" s="15"/>
      <c r="E351" s="8"/>
      <c r="G351" s="8"/>
      <c r="J351" s="8"/>
    </row>
    <row r="352">
      <c r="C352" s="15"/>
      <c r="E352" s="8"/>
      <c r="G352" s="8"/>
      <c r="J352" s="8"/>
    </row>
    <row r="353">
      <c r="C353" s="15"/>
      <c r="E353" s="8"/>
      <c r="G353" s="8"/>
      <c r="J353" s="8"/>
    </row>
    <row r="354">
      <c r="C354" s="15"/>
      <c r="E354" s="8"/>
      <c r="G354" s="8"/>
      <c r="J354" s="8"/>
    </row>
    <row r="355">
      <c r="C355" s="15"/>
      <c r="E355" s="8"/>
      <c r="G355" s="8"/>
      <c r="J355" s="8"/>
    </row>
    <row r="356">
      <c r="C356" s="15"/>
      <c r="E356" s="8"/>
      <c r="G356" s="8"/>
      <c r="J356" s="8"/>
    </row>
    <row r="357">
      <c r="C357" s="15"/>
      <c r="E357" s="8"/>
      <c r="G357" s="8"/>
      <c r="J357" s="8"/>
    </row>
    <row r="358">
      <c r="C358" s="15"/>
      <c r="E358" s="8"/>
      <c r="G358" s="8"/>
      <c r="J358" s="8"/>
    </row>
    <row r="359">
      <c r="C359" s="15"/>
      <c r="E359" s="8"/>
      <c r="G359" s="8"/>
      <c r="J359" s="8"/>
    </row>
    <row r="360">
      <c r="C360" s="15"/>
      <c r="E360" s="8"/>
      <c r="G360" s="8"/>
      <c r="J360" s="8"/>
    </row>
    <row r="361">
      <c r="C361" s="15"/>
      <c r="E361" s="8"/>
      <c r="G361" s="8"/>
      <c r="J361" s="8"/>
    </row>
    <row r="362">
      <c r="C362" s="15"/>
      <c r="E362" s="8"/>
      <c r="G362" s="8"/>
      <c r="J362" s="8"/>
    </row>
    <row r="363">
      <c r="C363" s="15"/>
      <c r="E363" s="8"/>
      <c r="G363" s="8"/>
      <c r="J363" s="8"/>
    </row>
    <row r="364">
      <c r="C364" s="15"/>
      <c r="E364" s="8"/>
      <c r="G364" s="8"/>
      <c r="J364" s="8"/>
    </row>
    <row r="365">
      <c r="C365" s="15"/>
      <c r="E365" s="8"/>
      <c r="G365" s="8"/>
      <c r="J365" s="8"/>
    </row>
    <row r="366">
      <c r="C366" s="15"/>
      <c r="E366" s="8"/>
      <c r="G366" s="8"/>
      <c r="J366" s="8"/>
    </row>
    <row r="367">
      <c r="C367" s="15"/>
      <c r="E367" s="8"/>
      <c r="G367" s="8"/>
      <c r="J367" s="8"/>
    </row>
    <row r="368">
      <c r="C368" s="15"/>
      <c r="E368" s="8"/>
      <c r="G368" s="8"/>
      <c r="J368" s="8"/>
    </row>
    <row r="369">
      <c r="C369" s="15"/>
      <c r="E369" s="8"/>
      <c r="G369" s="8"/>
      <c r="J369" s="8"/>
    </row>
    <row r="370">
      <c r="C370" s="15"/>
      <c r="E370" s="8"/>
      <c r="G370" s="8"/>
      <c r="J370" s="8"/>
    </row>
    <row r="371">
      <c r="C371" s="15"/>
      <c r="E371" s="8"/>
      <c r="G371" s="8"/>
      <c r="J371" s="8"/>
    </row>
    <row r="372">
      <c r="C372" s="15"/>
      <c r="E372" s="8"/>
      <c r="G372" s="8"/>
      <c r="J372" s="8"/>
    </row>
    <row r="373">
      <c r="C373" s="15"/>
      <c r="E373" s="8"/>
      <c r="G373" s="8"/>
      <c r="J373" s="8"/>
    </row>
    <row r="374">
      <c r="C374" s="15"/>
      <c r="E374" s="8"/>
      <c r="G374" s="8"/>
      <c r="J374" s="8"/>
    </row>
    <row r="375">
      <c r="C375" s="15"/>
      <c r="E375" s="8"/>
      <c r="G375" s="8"/>
      <c r="J375" s="8"/>
    </row>
    <row r="376">
      <c r="C376" s="15"/>
      <c r="E376" s="8"/>
      <c r="G376" s="8"/>
      <c r="J376" s="8"/>
    </row>
    <row r="377">
      <c r="C377" s="15"/>
      <c r="E377" s="8"/>
      <c r="G377" s="8"/>
      <c r="J377" s="8"/>
    </row>
    <row r="378">
      <c r="C378" s="15"/>
      <c r="E378" s="8"/>
      <c r="G378" s="8"/>
      <c r="J378" s="8"/>
    </row>
    <row r="379">
      <c r="C379" s="15"/>
      <c r="E379" s="8"/>
      <c r="G379" s="8"/>
      <c r="J379" s="8"/>
    </row>
    <row r="380">
      <c r="C380" s="15"/>
      <c r="E380" s="8"/>
      <c r="G380" s="8"/>
      <c r="J380" s="8"/>
    </row>
    <row r="381">
      <c r="C381" s="15"/>
      <c r="E381" s="8"/>
      <c r="G381" s="8"/>
      <c r="J381" s="8"/>
    </row>
    <row r="382">
      <c r="C382" s="15"/>
      <c r="E382" s="8"/>
      <c r="G382" s="8"/>
      <c r="J382" s="8"/>
    </row>
    <row r="383">
      <c r="C383" s="15"/>
      <c r="E383" s="8"/>
      <c r="G383" s="8"/>
      <c r="J383" s="8"/>
    </row>
    <row r="384">
      <c r="C384" s="15"/>
      <c r="E384" s="8"/>
      <c r="G384" s="8"/>
      <c r="J384" s="8"/>
    </row>
    <row r="385">
      <c r="C385" s="15"/>
      <c r="E385" s="8"/>
      <c r="G385" s="8"/>
      <c r="J385" s="8"/>
    </row>
    <row r="386">
      <c r="C386" s="15"/>
      <c r="E386" s="8"/>
      <c r="G386" s="8"/>
      <c r="J386" s="8"/>
    </row>
    <row r="387">
      <c r="C387" s="15"/>
      <c r="E387" s="8"/>
      <c r="G387" s="8"/>
      <c r="J387" s="8"/>
    </row>
    <row r="388">
      <c r="C388" s="15"/>
      <c r="E388" s="8"/>
      <c r="G388" s="8"/>
      <c r="J388" s="8"/>
    </row>
    <row r="389">
      <c r="C389" s="15"/>
      <c r="E389" s="8"/>
      <c r="G389" s="8"/>
      <c r="J389" s="8"/>
    </row>
    <row r="390">
      <c r="C390" s="15"/>
      <c r="E390" s="8"/>
      <c r="G390" s="8"/>
      <c r="J390" s="8"/>
    </row>
    <row r="391">
      <c r="C391" s="15"/>
      <c r="E391" s="8"/>
      <c r="G391" s="8"/>
      <c r="J391" s="8"/>
    </row>
    <row r="392">
      <c r="C392" s="15"/>
      <c r="E392" s="8"/>
      <c r="G392" s="8"/>
      <c r="J392" s="8"/>
    </row>
    <row r="393">
      <c r="C393" s="15"/>
      <c r="E393" s="8"/>
      <c r="G393" s="8"/>
      <c r="J393" s="8"/>
    </row>
    <row r="394">
      <c r="C394" s="15"/>
      <c r="E394" s="8"/>
      <c r="G394" s="8"/>
      <c r="J394" s="8"/>
    </row>
    <row r="395">
      <c r="C395" s="15"/>
      <c r="E395" s="8"/>
      <c r="G395" s="8"/>
      <c r="J395" s="8"/>
    </row>
    <row r="396">
      <c r="C396" s="15"/>
      <c r="E396" s="8"/>
      <c r="G396" s="8"/>
      <c r="J396" s="8"/>
    </row>
    <row r="397">
      <c r="C397" s="15"/>
      <c r="E397" s="8"/>
      <c r="G397" s="8"/>
      <c r="J397" s="8"/>
    </row>
    <row r="398">
      <c r="C398" s="15"/>
      <c r="E398" s="8"/>
      <c r="G398" s="8"/>
      <c r="J398" s="8"/>
    </row>
    <row r="399">
      <c r="C399" s="15"/>
      <c r="E399" s="8"/>
      <c r="G399" s="8"/>
      <c r="J399" s="8"/>
    </row>
    <row r="400">
      <c r="C400" s="15"/>
      <c r="E400" s="8"/>
      <c r="G400" s="8"/>
      <c r="J400" s="8"/>
    </row>
    <row r="401">
      <c r="C401" s="15"/>
      <c r="E401" s="8"/>
      <c r="G401" s="8"/>
      <c r="J401" s="8"/>
    </row>
    <row r="402">
      <c r="C402" s="15"/>
      <c r="E402" s="8"/>
      <c r="G402" s="8"/>
      <c r="J402" s="8"/>
    </row>
    <row r="403">
      <c r="C403" s="15"/>
      <c r="E403" s="8"/>
      <c r="G403" s="8"/>
      <c r="J403" s="8"/>
    </row>
    <row r="404">
      <c r="C404" s="15"/>
      <c r="E404" s="8"/>
      <c r="G404" s="8"/>
      <c r="J404" s="8"/>
    </row>
    <row r="405">
      <c r="C405" s="15"/>
      <c r="E405" s="8"/>
      <c r="G405" s="8"/>
      <c r="J405" s="8"/>
    </row>
    <row r="406">
      <c r="C406" s="15"/>
      <c r="E406" s="8"/>
      <c r="G406" s="8"/>
      <c r="J406" s="8"/>
    </row>
    <row r="407">
      <c r="C407" s="15"/>
      <c r="E407" s="8"/>
      <c r="G407" s="8"/>
      <c r="J407" s="8"/>
    </row>
    <row r="408">
      <c r="C408" s="15"/>
      <c r="E408" s="8"/>
      <c r="G408" s="8"/>
      <c r="J408" s="8"/>
    </row>
    <row r="409">
      <c r="C409" s="15"/>
      <c r="E409" s="8"/>
      <c r="G409" s="8"/>
      <c r="J409" s="8"/>
    </row>
    <row r="410">
      <c r="C410" s="15"/>
      <c r="E410" s="8"/>
      <c r="G410" s="8"/>
      <c r="J410" s="8"/>
    </row>
    <row r="411">
      <c r="C411" s="15"/>
      <c r="E411" s="8"/>
      <c r="G411" s="8"/>
      <c r="J411" s="8"/>
    </row>
    <row r="412">
      <c r="C412" s="15"/>
      <c r="E412" s="8"/>
      <c r="G412" s="8"/>
      <c r="J412" s="8"/>
    </row>
    <row r="413">
      <c r="C413" s="15"/>
      <c r="E413" s="8"/>
      <c r="G413" s="8"/>
      <c r="J413" s="8"/>
    </row>
    <row r="414">
      <c r="C414" s="15"/>
      <c r="E414" s="8"/>
      <c r="G414" s="8"/>
      <c r="J414" s="8"/>
    </row>
    <row r="415">
      <c r="C415" s="15"/>
      <c r="E415" s="8"/>
      <c r="G415" s="8"/>
      <c r="J415" s="8"/>
    </row>
    <row r="416">
      <c r="C416" s="15"/>
      <c r="E416" s="8"/>
      <c r="G416" s="8"/>
      <c r="J416" s="8"/>
    </row>
    <row r="417">
      <c r="C417" s="15"/>
      <c r="E417" s="8"/>
      <c r="G417" s="8"/>
      <c r="J417" s="8"/>
    </row>
    <row r="418">
      <c r="C418" s="15"/>
      <c r="E418" s="8"/>
      <c r="G418" s="8"/>
      <c r="J418" s="8"/>
    </row>
    <row r="419">
      <c r="C419" s="15"/>
      <c r="E419" s="8"/>
      <c r="G419" s="8"/>
      <c r="J419" s="8"/>
    </row>
    <row r="420">
      <c r="C420" s="15"/>
      <c r="E420" s="8"/>
      <c r="G420" s="8"/>
      <c r="J420" s="8"/>
    </row>
    <row r="421">
      <c r="C421" s="15"/>
      <c r="E421" s="8"/>
      <c r="G421" s="8"/>
      <c r="J421" s="8"/>
    </row>
    <row r="422">
      <c r="C422" s="15"/>
      <c r="E422" s="8"/>
      <c r="G422" s="8"/>
      <c r="J422" s="8"/>
    </row>
    <row r="423">
      <c r="C423" s="15"/>
      <c r="E423" s="8"/>
      <c r="G423" s="8"/>
      <c r="J423" s="8"/>
    </row>
    <row r="424">
      <c r="C424" s="15"/>
      <c r="E424" s="8"/>
      <c r="G424" s="8"/>
      <c r="J424" s="8"/>
    </row>
    <row r="425">
      <c r="C425" s="15"/>
      <c r="E425" s="8"/>
      <c r="G425" s="8"/>
      <c r="J425" s="8"/>
    </row>
    <row r="426">
      <c r="C426" s="15"/>
      <c r="E426" s="8"/>
      <c r="G426" s="8"/>
      <c r="J426" s="8"/>
    </row>
    <row r="427">
      <c r="C427" s="15"/>
      <c r="E427" s="8"/>
      <c r="G427" s="8"/>
      <c r="J427" s="8"/>
    </row>
    <row r="428">
      <c r="C428" s="15"/>
      <c r="E428" s="8"/>
      <c r="G428" s="8"/>
      <c r="J428" s="8"/>
    </row>
    <row r="429">
      <c r="C429" s="15"/>
      <c r="E429" s="8"/>
      <c r="G429" s="8"/>
      <c r="J429" s="8"/>
    </row>
    <row r="430">
      <c r="C430" s="15"/>
      <c r="E430" s="8"/>
      <c r="G430" s="8"/>
      <c r="J430" s="8"/>
    </row>
    <row r="431">
      <c r="C431" s="15"/>
      <c r="E431" s="8"/>
      <c r="G431" s="8"/>
      <c r="J431" s="8"/>
    </row>
    <row r="432">
      <c r="C432" s="15"/>
      <c r="E432" s="8"/>
      <c r="G432" s="8"/>
      <c r="J432" s="8"/>
    </row>
    <row r="433">
      <c r="C433" s="15"/>
      <c r="E433" s="8"/>
      <c r="G433" s="8"/>
      <c r="J433" s="8"/>
    </row>
    <row r="434">
      <c r="C434" s="15"/>
      <c r="E434" s="8"/>
      <c r="G434" s="8"/>
      <c r="J434" s="8"/>
    </row>
    <row r="435">
      <c r="C435" s="15"/>
      <c r="E435" s="8"/>
      <c r="G435" s="8"/>
      <c r="J435" s="8"/>
    </row>
    <row r="436">
      <c r="C436" s="15"/>
      <c r="E436" s="8"/>
      <c r="G436" s="8"/>
      <c r="J436" s="8"/>
    </row>
    <row r="437">
      <c r="C437" s="15"/>
      <c r="E437" s="8"/>
      <c r="G437" s="8"/>
      <c r="J437" s="8"/>
    </row>
    <row r="438">
      <c r="C438" s="15"/>
      <c r="E438" s="8"/>
      <c r="G438" s="8"/>
      <c r="J438" s="8"/>
    </row>
    <row r="439">
      <c r="C439" s="15"/>
      <c r="E439" s="8"/>
      <c r="G439" s="8"/>
      <c r="J439" s="8"/>
    </row>
    <row r="440">
      <c r="C440" s="15"/>
      <c r="E440" s="8"/>
      <c r="G440" s="8"/>
      <c r="J440" s="8"/>
    </row>
    <row r="441">
      <c r="C441" s="15"/>
      <c r="E441" s="8"/>
      <c r="G441" s="8"/>
      <c r="J441" s="8"/>
    </row>
    <row r="442">
      <c r="C442" s="15"/>
      <c r="E442" s="8"/>
      <c r="G442" s="8"/>
      <c r="J442" s="8"/>
    </row>
    <row r="443">
      <c r="C443" s="15"/>
      <c r="E443" s="8"/>
      <c r="G443" s="8"/>
      <c r="J443" s="8"/>
    </row>
    <row r="444">
      <c r="C444" s="15"/>
      <c r="E444" s="8"/>
      <c r="G444" s="8"/>
      <c r="J444" s="8"/>
    </row>
    <row r="445">
      <c r="C445" s="15"/>
      <c r="E445" s="8"/>
      <c r="G445" s="8"/>
      <c r="J445" s="8"/>
    </row>
    <row r="446">
      <c r="C446" s="15"/>
      <c r="E446" s="8"/>
      <c r="G446" s="8"/>
      <c r="J446" s="8"/>
    </row>
    <row r="447">
      <c r="C447" s="15"/>
      <c r="E447" s="8"/>
      <c r="G447" s="8"/>
      <c r="J447" s="8"/>
    </row>
    <row r="448">
      <c r="C448" s="15"/>
      <c r="E448" s="8"/>
      <c r="G448" s="8"/>
      <c r="J448" s="8"/>
    </row>
    <row r="449">
      <c r="C449" s="15"/>
      <c r="E449" s="8"/>
      <c r="G449" s="8"/>
      <c r="J449" s="8"/>
    </row>
    <row r="450">
      <c r="C450" s="15"/>
      <c r="E450" s="8"/>
      <c r="G450" s="8"/>
      <c r="J450" s="8"/>
    </row>
    <row r="451">
      <c r="C451" s="15"/>
      <c r="E451" s="8"/>
      <c r="G451" s="8"/>
      <c r="J451" s="8"/>
    </row>
    <row r="452">
      <c r="C452" s="15"/>
      <c r="E452" s="8"/>
      <c r="G452" s="8"/>
      <c r="J452" s="8"/>
    </row>
    <row r="453">
      <c r="C453" s="15"/>
      <c r="E453" s="8"/>
      <c r="G453" s="8"/>
      <c r="J453" s="8"/>
    </row>
    <row r="454">
      <c r="C454" s="15"/>
      <c r="E454" s="8"/>
      <c r="G454" s="8"/>
      <c r="J454" s="8"/>
    </row>
    <row r="455">
      <c r="C455" s="15"/>
      <c r="E455" s="8"/>
      <c r="G455" s="8"/>
      <c r="J455" s="8"/>
    </row>
    <row r="456">
      <c r="C456" s="15"/>
      <c r="E456" s="8"/>
      <c r="G456" s="8"/>
      <c r="J456" s="8"/>
    </row>
    <row r="457">
      <c r="C457" s="15"/>
      <c r="E457" s="8"/>
      <c r="G457" s="8"/>
      <c r="J457" s="8"/>
    </row>
    <row r="458">
      <c r="C458" s="15"/>
      <c r="E458" s="8"/>
      <c r="G458" s="8"/>
      <c r="J458" s="8"/>
    </row>
    <row r="459">
      <c r="C459" s="15"/>
      <c r="E459" s="8"/>
      <c r="G459" s="8"/>
      <c r="J459" s="8"/>
    </row>
    <row r="460">
      <c r="C460" s="15"/>
      <c r="E460" s="8"/>
      <c r="G460" s="8"/>
      <c r="J460" s="8"/>
    </row>
    <row r="461">
      <c r="C461" s="15"/>
      <c r="E461" s="8"/>
      <c r="G461" s="8"/>
      <c r="J461" s="8"/>
    </row>
    <row r="462">
      <c r="C462" s="15"/>
      <c r="E462" s="8"/>
      <c r="G462" s="8"/>
      <c r="J462" s="8"/>
    </row>
    <row r="463">
      <c r="C463" s="15"/>
      <c r="E463" s="8"/>
      <c r="G463" s="8"/>
      <c r="J463" s="8"/>
    </row>
    <row r="464">
      <c r="C464" s="15"/>
      <c r="E464" s="8"/>
      <c r="G464" s="8"/>
      <c r="J464" s="8"/>
    </row>
    <row r="465">
      <c r="C465" s="15"/>
      <c r="E465" s="8"/>
      <c r="G465" s="8"/>
      <c r="J465" s="8"/>
    </row>
    <row r="466">
      <c r="C466" s="15"/>
      <c r="E466" s="8"/>
      <c r="G466" s="8"/>
      <c r="J466" s="8"/>
    </row>
    <row r="467">
      <c r="C467" s="15"/>
      <c r="E467" s="8"/>
      <c r="G467" s="8"/>
      <c r="J467" s="8"/>
    </row>
    <row r="468">
      <c r="C468" s="15"/>
      <c r="E468" s="8"/>
      <c r="G468" s="8"/>
      <c r="J468" s="8"/>
    </row>
    <row r="469">
      <c r="C469" s="15"/>
      <c r="E469" s="8"/>
      <c r="G469" s="8"/>
      <c r="J469" s="8"/>
    </row>
    <row r="470">
      <c r="C470" s="15"/>
      <c r="E470" s="8"/>
      <c r="G470" s="8"/>
      <c r="J470" s="8"/>
    </row>
    <row r="471">
      <c r="C471" s="15"/>
      <c r="E471" s="8"/>
      <c r="G471" s="8"/>
      <c r="J471" s="8"/>
    </row>
    <row r="472">
      <c r="C472" s="15"/>
      <c r="E472" s="8"/>
      <c r="G472" s="8"/>
      <c r="J472" s="8"/>
    </row>
    <row r="473">
      <c r="C473" s="15"/>
      <c r="E473" s="8"/>
      <c r="G473" s="8"/>
      <c r="J473" s="8"/>
    </row>
    <row r="474">
      <c r="C474" s="15"/>
      <c r="E474" s="8"/>
      <c r="G474" s="8"/>
      <c r="J474" s="8"/>
    </row>
    <row r="475">
      <c r="C475" s="15"/>
      <c r="E475" s="8"/>
      <c r="G475" s="8"/>
      <c r="J475" s="8"/>
    </row>
    <row r="476">
      <c r="C476" s="15"/>
      <c r="E476" s="8"/>
      <c r="G476" s="8"/>
      <c r="J476" s="8"/>
    </row>
    <row r="477">
      <c r="C477" s="15"/>
      <c r="E477" s="8"/>
      <c r="G477" s="8"/>
      <c r="J477" s="8"/>
    </row>
    <row r="478">
      <c r="C478" s="15"/>
      <c r="E478" s="8"/>
      <c r="G478" s="8"/>
      <c r="J478" s="8"/>
    </row>
    <row r="479">
      <c r="C479" s="15"/>
      <c r="E479" s="8"/>
      <c r="G479" s="8"/>
      <c r="J479" s="8"/>
    </row>
    <row r="480">
      <c r="C480" s="15"/>
      <c r="E480" s="8"/>
      <c r="G480" s="8"/>
      <c r="J480" s="8"/>
    </row>
    <row r="481">
      <c r="C481" s="15"/>
      <c r="E481" s="8"/>
      <c r="G481" s="8"/>
      <c r="J481" s="8"/>
    </row>
    <row r="482">
      <c r="C482" s="15"/>
      <c r="E482" s="8"/>
      <c r="G482" s="8"/>
      <c r="J482" s="8"/>
    </row>
    <row r="483">
      <c r="C483" s="15"/>
      <c r="E483" s="8"/>
      <c r="G483" s="8"/>
      <c r="J483" s="8"/>
    </row>
    <row r="484">
      <c r="C484" s="15"/>
      <c r="E484" s="8"/>
      <c r="G484" s="8"/>
      <c r="J484" s="8"/>
    </row>
    <row r="485">
      <c r="C485" s="15"/>
      <c r="E485" s="8"/>
      <c r="G485" s="8"/>
      <c r="J485" s="8"/>
    </row>
    <row r="486">
      <c r="C486" s="15"/>
      <c r="E486" s="8"/>
      <c r="G486" s="8"/>
      <c r="J486" s="8"/>
    </row>
    <row r="487">
      <c r="C487" s="15"/>
      <c r="E487" s="8"/>
      <c r="G487" s="8"/>
      <c r="J487" s="8"/>
    </row>
    <row r="488">
      <c r="C488" s="15"/>
      <c r="E488" s="8"/>
      <c r="G488" s="8"/>
      <c r="J488" s="8"/>
    </row>
    <row r="489">
      <c r="C489" s="15"/>
      <c r="E489" s="8"/>
      <c r="G489" s="8"/>
      <c r="J489" s="8"/>
    </row>
    <row r="490">
      <c r="C490" s="15"/>
      <c r="E490" s="8"/>
      <c r="G490" s="8"/>
      <c r="J490" s="8"/>
    </row>
    <row r="491">
      <c r="C491" s="15"/>
      <c r="E491" s="8"/>
      <c r="G491" s="8"/>
      <c r="J491" s="8"/>
    </row>
    <row r="492">
      <c r="C492" s="15"/>
      <c r="E492" s="8"/>
      <c r="G492" s="8"/>
      <c r="J492" s="8"/>
    </row>
    <row r="493">
      <c r="C493" s="15"/>
      <c r="E493" s="8"/>
      <c r="G493" s="8"/>
      <c r="J493" s="8"/>
    </row>
    <row r="494">
      <c r="C494" s="15"/>
      <c r="E494" s="8"/>
      <c r="G494" s="8"/>
      <c r="J494" s="8"/>
    </row>
    <row r="495">
      <c r="C495" s="15"/>
      <c r="E495" s="8"/>
      <c r="G495" s="8"/>
      <c r="J495" s="8"/>
    </row>
    <row r="496">
      <c r="C496" s="15"/>
      <c r="E496" s="8"/>
      <c r="G496" s="8"/>
      <c r="J496" s="8"/>
    </row>
    <row r="497">
      <c r="C497" s="15"/>
      <c r="E497" s="8"/>
      <c r="G497" s="8"/>
      <c r="J497" s="8"/>
    </row>
    <row r="498">
      <c r="C498" s="15"/>
      <c r="E498" s="8"/>
      <c r="G498" s="8"/>
      <c r="J498" s="8"/>
    </row>
    <row r="499">
      <c r="C499" s="15"/>
      <c r="E499" s="8"/>
      <c r="G499" s="8"/>
      <c r="J499" s="8"/>
    </row>
    <row r="500">
      <c r="C500" s="15"/>
      <c r="E500" s="8"/>
      <c r="G500" s="8"/>
      <c r="J500" s="8"/>
    </row>
    <row r="501">
      <c r="C501" s="15"/>
      <c r="E501" s="8"/>
      <c r="G501" s="8"/>
      <c r="J501" s="8"/>
    </row>
    <row r="502">
      <c r="C502" s="15"/>
      <c r="E502" s="8"/>
      <c r="G502" s="8"/>
      <c r="J502" s="8"/>
    </row>
    <row r="503">
      <c r="C503" s="15"/>
      <c r="E503" s="8"/>
      <c r="G503" s="8"/>
      <c r="J503" s="8"/>
    </row>
    <row r="504">
      <c r="C504" s="15"/>
      <c r="E504" s="8"/>
      <c r="G504" s="8"/>
      <c r="J504" s="8"/>
    </row>
    <row r="505">
      <c r="C505" s="15"/>
      <c r="E505" s="8"/>
      <c r="G505" s="8"/>
      <c r="J505" s="8"/>
    </row>
    <row r="506">
      <c r="C506" s="15"/>
      <c r="E506" s="8"/>
      <c r="G506" s="8"/>
      <c r="J506" s="8"/>
    </row>
    <row r="507">
      <c r="C507" s="15"/>
      <c r="E507" s="8"/>
      <c r="G507" s="8"/>
      <c r="J507" s="8"/>
    </row>
    <row r="508">
      <c r="C508" s="15"/>
      <c r="E508" s="8"/>
      <c r="G508" s="8"/>
      <c r="J508" s="8"/>
    </row>
    <row r="509">
      <c r="C509" s="15"/>
      <c r="E509" s="8"/>
      <c r="G509" s="8"/>
      <c r="J509" s="8"/>
    </row>
    <row r="510">
      <c r="C510" s="15"/>
      <c r="E510" s="8"/>
      <c r="G510" s="8"/>
      <c r="J510" s="8"/>
    </row>
    <row r="511">
      <c r="C511" s="15"/>
      <c r="E511" s="8"/>
      <c r="G511" s="8"/>
      <c r="J511" s="8"/>
    </row>
    <row r="512">
      <c r="C512" s="15"/>
      <c r="E512" s="8"/>
      <c r="G512" s="8"/>
      <c r="J512" s="8"/>
    </row>
    <row r="513">
      <c r="C513" s="15"/>
      <c r="E513" s="8"/>
      <c r="G513" s="8"/>
      <c r="J513" s="8"/>
    </row>
    <row r="514">
      <c r="C514" s="15"/>
      <c r="E514" s="8"/>
      <c r="G514" s="8"/>
      <c r="J514" s="8"/>
    </row>
    <row r="515">
      <c r="C515" s="15"/>
      <c r="E515" s="8"/>
      <c r="G515" s="8"/>
      <c r="J515" s="8"/>
    </row>
    <row r="516">
      <c r="C516" s="15"/>
      <c r="E516" s="8"/>
      <c r="G516" s="8"/>
      <c r="J516" s="8"/>
    </row>
    <row r="517">
      <c r="C517" s="15"/>
      <c r="E517" s="8"/>
      <c r="G517" s="8"/>
      <c r="J517" s="8"/>
    </row>
    <row r="518">
      <c r="C518" s="15"/>
      <c r="E518" s="8"/>
      <c r="G518" s="8"/>
      <c r="J518" s="8"/>
    </row>
    <row r="519">
      <c r="C519" s="15"/>
      <c r="E519" s="8"/>
      <c r="G519" s="8"/>
      <c r="J519" s="8"/>
    </row>
    <row r="520">
      <c r="C520" s="15"/>
      <c r="E520" s="8"/>
      <c r="G520" s="8"/>
      <c r="J520" s="8"/>
    </row>
    <row r="521">
      <c r="C521" s="15"/>
      <c r="E521" s="8"/>
      <c r="G521" s="8"/>
      <c r="J521" s="8"/>
    </row>
    <row r="522">
      <c r="C522" s="15"/>
      <c r="E522" s="8"/>
      <c r="G522" s="8"/>
      <c r="J522" s="8"/>
    </row>
    <row r="523">
      <c r="C523" s="15"/>
      <c r="E523" s="8"/>
      <c r="G523" s="8"/>
      <c r="J523" s="8"/>
    </row>
    <row r="524">
      <c r="C524" s="15"/>
      <c r="E524" s="8"/>
      <c r="G524" s="8"/>
      <c r="J524" s="8"/>
    </row>
    <row r="525">
      <c r="C525" s="15"/>
      <c r="E525" s="8"/>
      <c r="G525" s="8"/>
      <c r="J525" s="8"/>
    </row>
    <row r="526">
      <c r="C526" s="15"/>
      <c r="E526" s="8"/>
      <c r="G526" s="8"/>
      <c r="J526" s="8"/>
    </row>
    <row r="527">
      <c r="C527" s="15"/>
      <c r="E527" s="8"/>
      <c r="G527" s="8"/>
      <c r="J527" s="8"/>
    </row>
    <row r="528">
      <c r="C528" s="15"/>
      <c r="E528" s="8"/>
      <c r="G528" s="8"/>
      <c r="J528" s="8"/>
    </row>
    <row r="529">
      <c r="C529" s="15"/>
      <c r="E529" s="8"/>
      <c r="G529" s="8"/>
      <c r="J529" s="8"/>
    </row>
    <row r="530">
      <c r="C530" s="15"/>
      <c r="E530" s="8"/>
      <c r="G530" s="8"/>
      <c r="J530" s="8"/>
    </row>
    <row r="531">
      <c r="C531" s="15"/>
      <c r="E531" s="8"/>
      <c r="G531" s="8"/>
      <c r="J531" s="8"/>
    </row>
    <row r="532">
      <c r="C532" s="15"/>
      <c r="E532" s="8"/>
      <c r="G532" s="8"/>
      <c r="J532" s="8"/>
    </row>
    <row r="533">
      <c r="C533" s="15"/>
      <c r="E533" s="8"/>
      <c r="G533" s="8"/>
      <c r="J533" s="8"/>
    </row>
    <row r="534">
      <c r="C534" s="15"/>
      <c r="E534" s="8"/>
      <c r="G534" s="8"/>
      <c r="J534" s="8"/>
    </row>
    <row r="535">
      <c r="C535" s="15"/>
      <c r="E535" s="8"/>
      <c r="G535" s="8"/>
      <c r="J535" s="8"/>
    </row>
    <row r="536">
      <c r="C536" s="15"/>
      <c r="E536" s="8"/>
      <c r="G536" s="8"/>
      <c r="J536" s="8"/>
    </row>
    <row r="537">
      <c r="C537" s="15"/>
      <c r="E537" s="8"/>
      <c r="G537" s="8"/>
      <c r="J537" s="8"/>
    </row>
    <row r="538">
      <c r="C538" s="15"/>
      <c r="E538" s="8"/>
      <c r="G538" s="8"/>
      <c r="J538" s="8"/>
    </row>
    <row r="539">
      <c r="C539" s="15"/>
      <c r="E539" s="8"/>
      <c r="G539" s="8"/>
      <c r="J539" s="8"/>
    </row>
    <row r="540">
      <c r="C540" s="15"/>
      <c r="E540" s="8"/>
      <c r="G540" s="8"/>
      <c r="J540" s="8"/>
    </row>
    <row r="541">
      <c r="C541" s="15"/>
      <c r="E541" s="8"/>
      <c r="G541" s="8"/>
      <c r="J541" s="8"/>
    </row>
    <row r="542">
      <c r="C542" s="15"/>
      <c r="E542" s="8"/>
      <c r="G542" s="8"/>
      <c r="J542" s="8"/>
    </row>
    <row r="543">
      <c r="C543" s="15"/>
      <c r="E543" s="8"/>
      <c r="G543" s="8"/>
      <c r="J543" s="8"/>
    </row>
    <row r="544">
      <c r="C544" s="15"/>
      <c r="E544" s="8"/>
      <c r="G544" s="8"/>
      <c r="J544" s="8"/>
    </row>
    <row r="545">
      <c r="C545" s="15"/>
      <c r="E545" s="8"/>
      <c r="G545" s="8"/>
      <c r="J545" s="8"/>
    </row>
    <row r="546">
      <c r="C546" s="15"/>
      <c r="E546" s="8"/>
      <c r="G546" s="8"/>
      <c r="J546" s="8"/>
    </row>
    <row r="547">
      <c r="C547" s="15"/>
      <c r="E547" s="8"/>
      <c r="G547" s="8"/>
      <c r="J547" s="8"/>
    </row>
    <row r="548">
      <c r="C548" s="15"/>
      <c r="E548" s="8"/>
      <c r="G548" s="8"/>
      <c r="J548" s="8"/>
    </row>
    <row r="549">
      <c r="C549" s="15"/>
      <c r="E549" s="8"/>
      <c r="G549" s="8"/>
      <c r="J549" s="8"/>
    </row>
    <row r="550">
      <c r="C550" s="15"/>
      <c r="E550" s="8"/>
      <c r="G550" s="8"/>
      <c r="J550" s="8"/>
    </row>
    <row r="551">
      <c r="C551" s="15"/>
      <c r="E551" s="8"/>
      <c r="G551" s="8"/>
      <c r="J551" s="8"/>
    </row>
    <row r="552">
      <c r="C552" s="15"/>
      <c r="E552" s="8"/>
      <c r="G552" s="8"/>
      <c r="J552" s="8"/>
    </row>
    <row r="553">
      <c r="C553" s="15"/>
      <c r="E553" s="8"/>
      <c r="G553" s="8"/>
      <c r="J553" s="8"/>
    </row>
    <row r="554">
      <c r="C554" s="15"/>
      <c r="E554" s="8"/>
      <c r="G554" s="8"/>
      <c r="J554" s="8"/>
    </row>
    <row r="555">
      <c r="C555" s="15"/>
      <c r="E555" s="8"/>
      <c r="G555" s="8"/>
      <c r="J555" s="8"/>
    </row>
    <row r="556">
      <c r="C556" s="15"/>
      <c r="E556" s="8"/>
      <c r="G556" s="8"/>
      <c r="J556" s="8"/>
    </row>
    <row r="557">
      <c r="C557" s="15"/>
      <c r="E557" s="8"/>
      <c r="G557" s="8"/>
      <c r="J557" s="8"/>
    </row>
    <row r="558">
      <c r="C558" s="15"/>
      <c r="E558" s="8"/>
      <c r="G558" s="8"/>
      <c r="J558" s="8"/>
    </row>
    <row r="559">
      <c r="C559" s="15"/>
      <c r="E559" s="8"/>
      <c r="G559" s="8"/>
      <c r="J559" s="8"/>
    </row>
    <row r="560">
      <c r="C560" s="15"/>
      <c r="E560" s="8"/>
      <c r="G560" s="8"/>
      <c r="J560" s="8"/>
    </row>
    <row r="561">
      <c r="C561" s="15"/>
      <c r="E561" s="8"/>
      <c r="G561" s="8"/>
      <c r="J561" s="8"/>
    </row>
    <row r="562">
      <c r="C562" s="15"/>
      <c r="E562" s="8"/>
      <c r="G562" s="8"/>
      <c r="J562" s="8"/>
    </row>
    <row r="563">
      <c r="C563" s="15"/>
      <c r="E563" s="8"/>
      <c r="G563" s="8"/>
      <c r="J563" s="8"/>
    </row>
    <row r="564">
      <c r="C564" s="15"/>
      <c r="E564" s="8"/>
      <c r="G564" s="8"/>
      <c r="J564" s="8"/>
    </row>
    <row r="565">
      <c r="C565" s="15"/>
      <c r="E565" s="8"/>
      <c r="G565" s="8"/>
      <c r="J565" s="8"/>
    </row>
    <row r="566">
      <c r="C566" s="15"/>
      <c r="E566" s="8"/>
      <c r="G566" s="8"/>
      <c r="J566" s="8"/>
    </row>
    <row r="567">
      <c r="C567" s="15"/>
      <c r="E567" s="8"/>
      <c r="G567" s="8"/>
      <c r="J567" s="8"/>
    </row>
    <row r="568">
      <c r="C568" s="15"/>
      <c r="E568" s="8"/>
      <c r="G568" s="8"/>
      <c r="J568" s="8"/>
    </row>
    <row r="569">
      <c r="C569" s="15"/>
      <c r="E569" s="8"/>
      <c r="G569" s="8"/>
      <c r="J569" s="8"/>
    </row>
    <row r="570">
      <c r="C570" s="15"/>
      <c r="E570" s="8"/>
      <c r="G570" s="8"/>
      <c r="J570" s="8"/>
    </row>
    <row r="571">
      <c r="C571" s="15"/>
      <c r="E571" s="8"/>
      <c r="G571" s="8"/>
      <c r="J571" s="8"/>
    </row>
    <row r="572">
      <c r="C572" s="15"/>
      <c r="E572" s="8"/>
      <c r="G572" s="8"/>
      <c r="J572" s="8"/>
    </row>
    <row r="573">
      <c r="C573" s="15"/>
      <c r="E573" s="8"/>
      <c r="G573" s="8"/>
      <c r="J573" s="8"/>
    </row>
    <row r="574">
      <c r="C574" s="15"/>
      <c r="E574" s="8"/>
      <c r="G574" s="8"/>
      <c r="J574" s="8"/>
    </row>
    <row r="575">
      <c r="C575" s="15"/>
      <c r="E575" s="8"/>
      <c r="G575" s="8"/>
      <c r="J575" s="8"/>
    </row>
    <row r="576">
      <c r="C576" s="15"/>
      <c r="E576" s="8"/>
      <c r="G576" s="8"/>
      <c r="J576" s="8"/>
    </row>
    <row r="577">
      <c r="C577" s="15"/>
      <c r="E577" s="8"/>
      <c r="G577" s="8"/>
      <c r="J577" s="8"/>
    </row>
    <row r="578">
      <c r="C578" s="15"/>
      <c r="E578" s="8"/>
      <c r="G578" s="8"/>
      <c r="J578" s="8"/>
    </row>
    <row r="579">
      <c r="C579" s="15"/>
      <c r="E579" s="8"/>
      <c r="G579" s="8"/>
      <c r="J579" s="8"/>
    </row>
    <row r="580">
      <c r="C580" s="15"/>
      <c r="E580" s="8"/>
      <c r="G580" s="8"/>
      <c r="J580" s="8"/>
    </row>
    <row r="581">
      <c r="C581" s="15"/>
      <c r="E581" s="8"/>
      <c r="G581" s="8"/>
      <c r="J581" s="8"/>
    </row>
    <row r="582">
      <c r="C582" s="15"/>
      <c r="E582" s="8"/>
      <c r="G582" s="8"/>
      <c r="J582" s="8"/>
    </row>
    <row r="583">
      <c r="C583" s="15"/>
      <c r="E583" s="8"/>
      <c r="G583" s="8"/>
      <c r="J583" s="8"/>
    </row>
    <row r="584">
      <c r="C584" s="15"/>
      <c r="E584" s="8"/>
      <c r="G584" s="8"/>
      <c r="J584" s="8"/>
    </row>
    <row r="585">
      <c r="C585" s="15"/>
      <c r="E585" s="8"/>
      <c r="G585" s="8"/>
      <c r="J585" s="8"/>
    </row>
    <row r="586">
      <c r="C586" s="15"/>
      <c r="E586" s="8"/>
      <c r="G586" s="8"/>
      <c r="J586" s="8"/>
    </row>
    <row r="587">
      <c r="C587" s="15"/>
      <c r="E587" s="8"/>
      <c r="G587" s="8"/>
      <c r="J587" s="8"/>
    </row>
    <row r="588">
      <c r="C588" s="15"/>
      <c r="E588" s="8"/>
      <c r="G588" s="8"/>
      <c r="J588" s="8"/>
    </row>
    <row r="589">
      <c r="C589" s="15"/>
      <c r="E589" s="8"/>
      <c r="G589" s="8"/>
      <c r="J589" s="8"/>
    </row>
    <row r="590">
      <c r="C590" s="15"/>
      <c r="E590" s="8"/>
      <c r="G590" s="8"/>
      <c r="J590" s="8"/>
    </row>
    <row r="591">
      <c r="C591" s="15"/>
      <c r="E591" s="8"/>
      <c r="G591" s="8"/>
      <c r="J591" s="8"/>
    </row>
    <row r="592">
      <c r="C592" s="15"/>
      <c r="E592" s="8"/>
      <c r="G592" s="8"/>
      <c r="J592" s="8"/>
    </row>
    <row r="593">
      <c r="C593" s="15"/>
      <c r="E593" s="8"/>
      <c r="G593" s="8"/>
      <c r="J593" s="8"/>
    </row>
    <row r="594">
      <c r="C594" s="15"/>
      <c r="E594" s="8"/>
      <c r="G594" s="8"/>
      <c r="J594" s="8"/>
    </row>
    <row r="595">
      <c r="C595" s="15"/>
      <c r="E595" s="8"/>
      <c r="G595" s="8"/>
      <c r="J595" s="8"/>
    </row>
    <row r="596">
      <c r="C596" s="15"/>
      <c r="E596" s="8"/>
      <c r="G596" s="8"/>
      <c r="J596" s="8"/>
    </row>
    <row r="597">
      <c r="C597" s="15"/>
      <c r="E597" s="8"/>
      <c r="G597" s="8"/>
      <c r="J597" s="8"/>
    </row>
    <row r="598">
      <c r="C598" s="15"/>
      <c r="E598" s="8"/>
      <c r="G598" s="8"/>
      <c r="J598" s="8"/>
    </row>
    <row r="599">
      <c r="C599" s="15"/>
      <c r="E599" s="8"/>
      <c r="G599" s="8"/>
      <c r="J599" s="8"/>
    </row>
    <row r="600">
      <c r="C600" s="15"/>
      <c r="E600" s="8"/>
      <c r="G600" s="8"/>
      <c r="J600" s="8"/>
    </row>
    <row r="601">
      <c r="C601" s="15"/>
      <c r="E601" s="8"/>
      <c r="G601" s="8"/>
      <c r="J601" s="8"/>
    </row>
    <row r="602">
      <c r="C602" s="15"/>
      <c r="E602" s="8"/>
      <c r="G602" s="8"/>
      <c r="J602" s="8"/>
    </row>
    <row r="603">
      <c r="C603" s="15"/>
      <c r="E603" s="8"/>
      <c r="G603" s="8"/>
      <c r="J603" s="8"/>
    </row>
    <row r="604">
      <c r="C604" s="15"/>
      <c r="E604" s="8"/>
      <c r="G604" s="8"/>
      <c r="J604" s="8"/>
    </row>
    <row r="605">
      <c r="C605" s="15"/>
      <c r="E605" s="8"/>
      <c r="G605" s="8"/>
      <c r="J605" s="8"/>
    </row>
    <row r="606">
      <c r="C606" s="15"/>
      <c r="E606" s="8"/>
      <c r="G606" s="8"/>
      <c r="J606" s="8"/>
    </row>
    <row r="607">
      <c r="C607" s="15"/>
      <c r="E607" s="8"/>
      <c r="G607" s="8"/>
      <c r="J607" s="8"/>
    </row>
    <row r="608">
      <c r="C608" s="15"/>
      <c r="E608" s="8"/>
      <c r="G608" s="8"/>
      <c r="J608" s="8"/>
    </row>
    <row r="609">
      <c r="C609" s="15"/>
      <c r="E609" s="8"/>
      <c r="G609" s="8"/>
      <c r="J609" s="8"/>
    </row>
    <row r="610">
      <c r="C610" s="15"/>
      <c r="E610" s="8"/>
      <c r="G610" s="8"/>
      <c r="J610" s="8"/>
    </row>
    <row r="611">
      <c r="C611" s="15"/>
      <c r="E611" s="8"/>
      <c r="G611" s="8"/>
      <c r="J611" s="8"/>
    </row>
    <row r="612">
      <c r="C612" s="15"/>
      <c r="E612" s="8"/>
      <c r="G612" s="8"/>
      <c r="J612" s="8"/>
    </row>
    <row r="613">
      <c r="C613" s="15"/>
      <c r="E613" s="8"/>
      <c r="G613" s="8"/>
      <c r="J613" s="8"/>
    </row>
    <row r="614">
      <c r="C614" s="15"/>
      <c r="E614" s="8"/>
      <c r="G614" s="8"/>
      <c r="J614" s="8"/>
    </row>
    <row r="615">
      <c r="C615" s="15"/>
      <c r="E615" s="8"/>
      <c r="G615" s="8"/>
      <c r="J615" s="8"/>
    </row>
    <row r="616">
      <c r="C616" s="15"/>
      <c r="E616" s="8"/>
      <c r="G616" s="8"/>
      <c r="J616" s="8"/>
    </row>
    <row r="617">
      <c r="C617" s="15"/>
      <c r="E617" s="8"/>
      <c r="G617" s="8"/>
      <c r="J617" s="8"/>
    </row>
    <row r="618">
      <c r="C618" s="15"/>
      <c r="E618" s="8"/>
      <c r="G618" s="8"/>
      <c r="J618" s="8"/>
    </row>
    <row r="619">
      <c r="C619" s="15"/>
      <c r="E619" s="8"/>
      <c r="G619" s="8"/>
      <c r="J619" s="8"/>
    </row>
    <row r="620">
      <c r="C620" s="15"/>
      <c r="E620" s="8"/>
      <c r="G620" s="8"/>
      <c r="J620" s="8"/>
    </row>
    <row r="621">
      <c r="C621" s="15"/>
      <c r="E621" s="8"/>
      <c r="G621" s="8"/>
      <c r="J621" s="8"/>
    </row>
    <row r="622">
      <c r="C622" s="15"/>
      <c r="E622" s="8"/>
      <c r="G622" s="8"/>
      <c r="J622" s="8"/>
    </row>
    <row r="623">
      <c r="C623" s="15"/>
      <c r="E623" s="8"/>
      <c r="G623" s="8"/>
      <c r="J623" s="8"/>
    </row>
    <row r="624">
      <c r="C624" s="15"/>
      <c r="E624" s="8"/>
      <c r="G624" s="8"/>
      <c r="J624" s="8"/>
    </row>
    <row r="625">
      <c r="C625" s="15"/>
      <c r="E625" s="8"/>
      <c r="G625" s="8"/>
      <c r="J625" s="8"/>
    </row>
    <row r="626">
      <c r="C626" s="15"/>
      <c r="E626" s="8"/>
      <c r="G626" s="8"/>
      <c r="J626" s="8"/>
    </row>
    <row r="627">
      <c r="C627" s="15"/>
      <c r="E627" s="8"/>
      <c r="G627" s="8"/>
      <c r="J627" s="8"/>
    </row>
    <row r="628">
      <c r="C628" s="15"/>
      <c r="E628" s="8"/>
      <c r="G628" s="8"/>
      <c r="J628" s="8"/>
    </row>
    <row r="629">
      <c r="C629" s="15"/>
      <c r="E629" s="8"/>
      <c r="G629" s="8"/>
      <c r="J629" s="8"/>
    </row>
    <row r="630">
      <c r="C630" s="15"/>
      <c r="E630" s="8"/>
      <c r="G630" s="8"/>
      <c r="J630" s="8"/>
    </row>
    <row r="631">
      <c r="C631" s="15"/>
      <c r="E631" s="8"/>
      <c r="G631" s="8"/>
      <c r="J631" s="8"/>
    </row>
    <row r="632">
      <c r="C632" s="15"/>
      <c r="E632" s="8"/>
      <c r="G632" s="8"/>
      <c r="J632" s="8"/>
    </row>
    <row r="633">
      <c r="C633" s="15"/>
      <c r="E633" s="8"/>
      <c r="G633" s="8"/>
      <c r="J633" s="8"/>
    </row>
    <row r="634">
      <c r="C634" s="15"/>
      <c r="E634" s="8"/>
      <c r="G634" s="8"/>
      <c r="J634" s="8"/>
    </row>
    <row r="635">
      <c r="C635" s="15"/>
      <c r="E635" s="8"/>
      <c r="G635" s="8"/>
      <c r="J635" s="8"/>
    </row>
    <row r="636">
      <c r="C636" s="15"/>
      <c r="E636" s="8"/>
      <c r="G636" s="8"/>
      <c r="J636" s="8"/>
    </row>
    <row r="637">
      <c r="C637" s="15"/>
      <c r="E637" s="8"/>
      <c r="G637" s="8"/>
      <c r="J637" s="8"/>
    </row>
    <row r="638">
      <c r="C638" s="15"/>
      <c r="E638" s="8"/>
      <c r="G638" s="8"/>
      <c r="J638" s="8"/>
    </row>
    <row r="639">
      <c r="C639" s="15"/>
      <c r="E639" s="8"/>
      <c r="G639" s="8"/>
      <c r="J639" s="8"/>
    </row>
    <row r="640">
      <c r="C640" s="15"/>
      <c r="E640" s="8"/>
      <c r="G640" s="8"/>
      <c r="J640" s="8"/>
    </row>
    <row r="641">
      <c r="C641" s="15"/>
      <c r="E641" s="8"/>
      <c r="G641" s="8"/>
      <c r="J641" s="8"/>
    </row>
    <row r="642">
      <c r="C642" s="15"/>
      <c r="E642" s="8"/>
      <c r="G642" s="8"/>
      <c r="J642" s="8"/>
    </row>
    <row r="643">
      <c r="C643" s="15"/>
      <c r="E643" s="8"/>
      <c r="G643" s="8"/>
      <c r="J643" s="8"/>
    </row>
    <row r="644">
      <c r="C644" s="15"/>
      <c r="E644" s="8"/>
      <c r="G644" s="8"/>
      <c r="J644" s="8"/>
    </row>
    <row r="645">
      <c r="C645" s="15"/>
      <c r="E645" s="8"/>
      <c r="G645" s="8"/>
      <c r="J645" s="8"/>
    </row>
    <row r="646">
      <c r="C646" s="15"/>
      <c r="E646" s="8"/>
      <c r="G646" s="8"/>
      <c r="J646" s="8"/>
    </row>
    <row r="647">
      <c r="C647" s="15"/>
      <c r="E647" s="8"/>
      <c r="G647" s="8"/>
      <c r="J647" s="8"/>
    </row>
    <row r="648">
      <c r="C648" s="15"/>
      <c r="E648" s="8"/>
      <c r="G648" s="8"/>
      <c r="J648" s="8"/>
    </row>
    <row r="649">
      <c r="C649" s="15"/>
      <c r="E649" s="8"/>
      <c r="G649" s="8"/>
      <c r="J649" s="8"/>
    </row>
    <row r="650">
      <c r="C650" s="15"/>
      <c r="E650" s="8"/>
      <c r="G650" s="8"/>
      <c r="J650" s="8"/>
    </row>
    <row r="651">
      <c r="C651" s="15"/>
      <c r="E651" s="8"/>
      <c r="G651" s="8"/>
      <c r="J651" s="8"/>
    </row>
    <row r="652">
      <c r="C652" s="15"/>
      <c r="E652" s="8"/>
      <c r="G652" s="8"/>
      <c r="J652" s="8"/>
    </row>
    <row r="653">
      <c r="C653" s="15"/>
      <c r="E653" s="8"/>
      <c r="G653" s="8"/>
      <c r="J653" s="8"/>
    </row>
    <row r="654">
      <c r="C654" s="15"/>
      <c r="E654" s="8"/>
      <c r="G654" s="8"/>
      <c r="J654" s="8"/>
    </row>
    <row r="655">
      <c r="C655" s="15"/>
      <c r="E655" s="8"/>
      <c r="G655" s="8"/>
      <c r="J655" s="8"/>
    </row>
    <row r="656">
      <c r="C656" s="15"/>
      <c r="E656" s="8"/>
      <c r="G656" s="8"/>
      <c r="J656" s="8"/>
    </row>
    <row r="657">
      <c r="C657" s="15"/>
      <c r="E657" s="8"/>
      <c r="G657" s="8"/>
      <c r="J657" s="8"/>
    </row>
    <row r="658">
      <c r="C658" s="15"/>
      <c r="E658" s="8"/>
      <c r="G658" s="8"/>
      <c r="J658" s="8"/>
    </row>
    <row r="659">
      <c r="C659" s="15"/>
      <c r="E659" s="8"/>
      <c r="G659" s="8"/>
      <c r="J659" s="8"/>
    </row>
    <row r="660">
      <c r="C660" s="15"/>
      <c r="E660" s="8"/>
      <c r="G660" s="8"/>
      <c r="J660" s="8"/>
    </row>
    <row r="661">
      <c r="C661" s="15"/>
      <c r="E661" s="8"/>
      <c r="G661" s="8"/>
      <c r="J661" s="8"/>
    </row>
    <row r="662">
      <c r="C662" s="15"/>
      <c r="E662" s="8"/>
      <c r="G662" s="8"/>
      <c r="J662" s="8"/>
    </row>
    <row r="663">
      <c r="C663" s="15"/>
      <c r="E663" s="8"/>
      <c r="G663" s="8"/>
      <c r="J663" s="8"/>
    </row>
    <row r="664">
      <c r="C664" s="15"/>
      <c r="E664" s="8"/>
      <c r="G664" s="8"/>
      <c r="J664" s="8"/>
    </row>
    <row r="665">
      <c r="C665" s="15"/>
      <c r="E665" s="8"/>
      <c r="G665" s="8"/>
      <c r="J665" s="8"/>
    </row>
    <row r="666">
      <c r="C666" s="15"/>
      <c r="E666" s="8"/>
      <c r="G666" s="8"/>
      <c r="J666" s="8"/>
    </row>
    <row r="667">
      <c r="C667" s="15"/>
      <c r="E667" s="8"/>
      <c r="G667" s="8"/>
      <c r="J667" s="8"/>
    </row>
    <row r="668">
      <c r="C668" s="15"/>
      <c r="E668" s="8"/>
      <c r="G668" s="8"/>
      <c r="J668" s="8"/>
    </row>
    <row r="669">
      <c r="C669" s="15"/>
      <c r="E669" s="8"/>
      <c r="G669" s="8"/>
      <c r="J669" s="8"/>
    </row>
    <row r="670">
      <c r="C670" s="15"/>
      <c r="E670" s="8"/>
      <c r="G670" s="8"/>
      <c r="J670" s="8"/>
    </row>
    <row r="671">
      <c r="C671" s="15"/>
      <c r="E671" s="8"/>
      <c r="G671" s="8"/>
      <c r="J671" s="8"/>
    </row>
    <row r="672">
      <c r="C672" s="15"/>
      <c r="E672" s="8"/>
      <c r="G672" s="8"/>
      <c r="J672" s="8"/>
    </row>
    <row r="673">
      <c r="C673" s="15"/>
      <c r="E673" s="8"/>
      <c r="G673" s="8"/>
      <c r="J673" s="8"/>
    </row>
    <row r="674">
      <c r="C674" s="15"/>
      <c r="E674" s="8"/>
      <c r="G674" s="8"/>
      <c r="J674" s="8"/>
    </row>
    <row r="675">
      <c r="C675" s="15"/>
      <c r="E675" s="8"/>
      <c r="G675" s="8"/>
      <c r="J675" s="8"/>
    </row>
    <row r="676">
      <c r="C676" s="15"/>
      <c r="E676" s="8"/>
      <c r="G676" s="8"/>
      <c r="J676" s="8"/>
    </row>
    <row r="677">
      <c r="C677" s="15"/>
      <c r="E677" s="8"/>
      <c r="G677" s="8"/>
      <c r="J677" s="8"/>
    </row>
    <row r="678">
      <c r="C678" s="15"/>
      <c r="E678" s="8"/>
      <c r="G678" s="8"/>
      <c r="J678" s="8"/>
    </row>
    <row r="679">
      <c r="C679" s="15"/>
      <c r="E679" s="8"/>
      <c r="G679" s="8"/>
      <c r="J679" s="8"/>
    </row>
    <row r="680">
      <c r="C680" s="15"/>
      <c r="E680" s="8"/>
      <c r="G680" s="8"/>
      <c r="J680" s="8"/>
    </row>
    <row r="681">
      <c r="C681" s="15"/>
      <c r="E681" s="8"/>
      <c r="G681" s="8"/>
      <c r="J681" s="8"/>
    </row>
    <row r="682">
      <c r="C682" s="15"/>
      <c r="E682" s="8"/>
      <c r="G682" s="8"/>
      <c r="J682" s="8"/>
    </row>
    <row r="683">
      <c r="C683" s="15"/>
      <c r="E683" s="8"/>
      <c r="G683" s="8"/>
      <c r="J683" s="8"/>
    </row>
    <row r="684">
      <c r="C684" s="15"/>
      <c r="E684" s="8"/>
      <c r="G684" s="8"/>
      <c r="J684" s="8"/>
    </row>
    <row r="685">
      <c r="C685" s="15"/>
      <c r="E685" s="8"/>
      <c r="G685" s="8"/>
      <c r="J685" s="8"/>
    </row>
    <row r="686">
      <c r="C686" s="15"/>
      <c r="E686" s="8"/>
      <c r="G686" s="8"/>
      <c r="J686" s="8"/>
    </row>
    <row r="687">
      <c r="C687" s="15"/>
      <c r="E687" s="8"/>
      <c r="G687" s="8"/>
      <c r="J687" s="8"/>
    </row>
    <row r="688">
      <c r="C688" s="15"/>
      <c r="E688" s="8"/>
      <c r="G688" s="8"/>
      <c r="J688" s="8"/>
    </row>
    <row r="689">
      <c r="C689" s="15"/>
      <c r="E689" s="8"/>
      <c r="G689" s="8"/>
      <c r="J689" s="8"/>
    </row>
    <row r="690">
      <c r="C690" s="15"/>
      <c r="E690" s="8"/>
      <c r="G690" s="8"/>
      <c r="J690" s="8"/>
    </row>
    <row r="691">
      <c r="C691" s="15"/>
      <c r="E691" s="8"/>
      <c r="G691" s="8"/>
      <c r="J691" s="8"/>
    </row>
    <row r="692">
      <c r="C692" s="15"/>
      <c r="E692" s="8"/>
      <c r="G692" s="8"/>
      <c r="J692" s="8"/>
    </row>
    <row r="693">
      <c r="C693" s="15"/>
      <c r="E693" s="8"/>
      <c r="G693" s="8"/>
      <c r="J693" s="8"/>
    </row>
    <row r="694">
      <c r="C694" s="15"/>
      <c r="E694" s="8"/>
      <c r="G694" s="8"/>
      <c r="J694" s="8"/>
    </row>
    <row r="695">
      <c r="C695" s="15"/>
      <c r="E695" s="8"/>
      <c r="G695" s="8"/>
      <c r="J695" s="8"/>
    </row>
    <row r="696">
      <c r="C696" s="15"/>
      <c r="E696" s="8"/>
      <c r="G696" s="8"/>
      <c r="J696" s="8"/>
    </row>
    <row r="697">
      <c r="C697" s="15"/>
      <c r="E697" s="8"/>
      <c r="G697" s="8"/>
      <c r="J697" s="8"/>
    </row>
    <row r="698">
      <c r="C698" s="15"/>
      <c r="E698" s="8"/>
      <c r="G698" s="8"/>
      <c r="J698" s="8"/>
    </row>
    <row r="699">
      <c r="C699" s="15"/>
      <c r="E699" s="8"/>
      <c r="G699" s="8"/>
      <c r="J699" s="8"/>
    </row>
    <row r="700">
      <c r="C700" s="15"/>
      <c r="E700" s="8"/>
      <c r="G700" s="8"/>
      <c r="J700" s="8"/>
    </row>
    <row r="701">
      <c r="C701" s="15"/>
      <c r="E701" s="8"/>
      <c r="G701" s="8"/>
      <c r="J701" s="8"/>
    </row>
    <row r="702">
      <c r="C702" s="15"/>
      <c r="E702" s="8"/>
      <c r="G702" s="8"/>
      <c r="J702" s="8"/>
    </row>
    <row r="703">
      <c r="C703" s="15"/>
      <c r="E703" s="8"/>
      <c r="G703" s="8"/>
      <c r="J703" s="8"/>
    </row>
    <row r="704">
      <c r="C704" s="15"/>
      <c r="E704" s="8"/>
      <c r="G704" s="8"/>
      <c r="J704" s="8"/>
    </row>
    <row r="705">
      <c r="C705" s="15"/>
      <c r="E705" s="8"/>
      <c r="G705" s="8"/>
      <c r="J705" s="8"/>
    </row>
    <row r="706">
      <c r="C706" s="15"/>
      <c r="E706" s="8"/>
      <c r="G706" s="8"/>
      <c r="J706" s="8"/>
    </row>
    <row r="707">
      <c r="C707" s="15"/>
      <c r="E707" s="8"/>
      <c r="G707" s="8"/>
      <c r="J707" s="8"/>
    </row>
    <row r="708">
      <c r="C708" s="15"/>
      <c r="E708" s="8"/>
      <c r="G708" s="8"/>
      <c r="J708" s="8"/>
    </row>
    <row r="709">
      <c r="C709" s="15"/>
      <c r="E709" s="8"/>
      <c r="G709" s="8"/>
      <c r="J709" s="8"/>
    </row>
    <row r="710">
      <c r="C710" s="15"/>
      <c r="E710" s="8"/>
      <c r="G710" s="8"/>
      <c r="J710" s="8"/>
    </row>
    <row r="711">
      <c r="C711" s="15"/>
      <c r="E711" s="8"/>
      <c r="G711" s="8"/>
      <c r="J711" s="8"/>
    </row>
    <row r="712">
      <c r="C712" s="15"/>
      <c r="E712" s="8"/>
      <c r="G712" s="8"/>
      <c r="J712" s="8"/>
    </row>
    <row r="713">
      <c r="C713" s="15"/>
      <c r="E713" s="8"/>
      <c r="G713" s="8"/>
      <c r="J713" s="8"/>
    </row>
    <row r="714">
      <c r="C714" s="15"/>
      <c r="E714" s="8"/>
      <c r="G714" s="8"/>
      <c r="J714" s="8"/>
    </row>
    <row r="715">
      <c r="C715" s="15"/>
      <c r="E715" s="8"/>
      <c r="G715" s="8"/>
      <c r="J715" s="8"/>
    </row>
    <row r="716">
      <c r="C716" s="15"/>
      <c r="E716" s="8"/>
      <c r="G716" s="8"/>
      <c r="J716" s="8"/>
    </row>
    <row r="717">
      <c r="C717" s="15"/>
      <c r="E717" s="8"/>
      <c r="G717" s="8"/>
      <c r="J717" s="8"/>
    </row>
    <row r="718">
      <c r="C718" s="15"/>
      <c r="E718" s="8"/>
      <c r="G718" s="8"/>
      <c r="J718" s="8"/>
    </row>
    <row r="719">
      <c r="C719" s="15"/>
      <c r="E719" s="8"/>
      <c r="G719" s="8"/>
      <c r="J719" s="8"/>
    </row>
    <row r="720">
      <c r="C720" s="15"/>
      <c r="E720" s="8"/>
      <c r="G720" s="8"/>
      <c r="J720" s="8"/>
    </row>
    <row r="721">
      <c r="C721" s="15"/>
      <c r="E721" s="8"/>
      <c r="G721" s="8"/>
      <c r="J721" s="8"/>
    </row>
    <row r="722">
      <c r="C722" s="15"/>
      <c r="E722" s="8"/>
      <c r="G722" s="8"/>
      <c r="J722" s="8"/>
    </row>
    <row r="723">
      <c r="C723" s="15"/>
      <c r="E723" s="8"/>
      <c r="G723" s="8"/>
      <c r="J723" s="8"/>
    </row>
    <row r="724">
      <c r="C724" s="15"/>
      <c r="E724" s="8"/>
      <c r="G724" s="8"/>
      <c r="J724" s="8"/>
    </row>
    <row r="725">
      <c r="C725" s="15"/>
      <c r="E725" s="8"/>
      <c r="G725" s="8"/>
      <c r="J725" s="8"/>
    </row>
    <row r="726">
      <c r="C726" s="15"/>
      <c r="E726" s="8"/>
      <c r="G726" s="8"/>
      <c r="J726" s="8"/>
    </row>
    <row r="727">
      <c r="C727" s="15"/>
      <c r="E727" s="8"/>
      <c r="G727" s="8"/>
      <c r="J727" s="8"/>
    </row>
    <row r="728">
      <c r="C728" s="15"/>
      <c r="E728" s="8"/>
      <c r="G728" s="8"/>
      <c r="J728" s="8"/>
    </row>
    <row r="729">
      <c r="C729" s="15"/>
      <c r="E729" s="8"/>
      <c r="G729" s="8"/>
      <c r="J729" s="8"/>
    </row>
    <row r="730">
      <c r="C730" s="15"/>
      <c r="E730" s="8"/>
      <c r="G730" s="8"/>
      <c r="J730" s="8"/>
    </row>
    <row r="731">
      <c r="C731" s="15"/>
      <c r="E731" s="8"/>
      <c r="G731" s="8"/>
      <c r="J731" s="8"/>
    </row>
    <row r="732">
      <c r="C732" s="15"/>
      <c r="E732" s="8"/>
      <c r="G732" s="8"/>
      <c r="J732" s="8"/>
    </row>
    <row r="733">
      <c r="C733" s="15"/>
      <c r="E733" s="8"/>
      <c r="G733" s="8"/>
      <c r="J733" s="8"/>
    </row>
    <row r="734">
      <c r="C734" s="15"/>
      <c r="E734" s="8"/>
      <c r="G734" s="8"/>
      <c r="J734" s="8"/>
    </row>
    <row r="735">
      <c r="C735" s="15"/>
      <c r="E735" s="8"/>
      <c r="G735" s="8"/>
      <c r="J735" s="8"/>
    </row>
    <row r="736">
      <c r="C736" s="15"/>
      <c r="E736" s="8"/>
      <c r="G736" s="8"/>
      <c r="J736" s="8"/>
    </row>
    <row r="737">
      <c r="C737" s="15"/>
      <c r="E737" s="8"/>
      <c r="G737" s="8"/>
      <c r="J737" s="8"/>
    </row>
    <row r="738">
      <c r="C738" s="15"/>
      <c r="E738" s="8"/>
      <c r="G738" s="8"/>
      <c r="J738" s="8"/>
    </row>
    <row r="739">
      <c r="C739" s="15"/>
      <c r="E739" s="8"/>
      <c r="G739" s="8"/>
      <c r="J739" s="8"/>
    </row>
    <row r="740">
      <c r="C740" s="15"/>
      <c r="E740" s="8"/>
      <c r="G740" s="8"/>
      <c r="J740" s="8"/>
    </row>
    <row r="741">
      <c r="C741" s="15"/>
      <c r="E741" s="8"/>
      <c r="G741" s="8"/>
      <c r="J741" s="8"/>
    </row>
    <row r="742">
      <c r="C742" s="15"/>
      <c r="E742" s="8"/>
      <c r="G742" s="8"/>
      <c r="J742" s="8"/>
    </row>
    <row r="743">
      <c r="C743" s="15"/>
      <c r="E743" s="8"/>
      <c r="G743" s="8"/>
      <c r="J743" s="8"/>
    </row>
    <row r="744">
      <c r="C744" s="15"/>
      <c r="E744" s="8"/>
      <c r="G744" s="8"/>
      <c r="J744" s="8"/>
    </row>
    <row r="745">
      <c r="C745" s="15"/>
      <c r="E745" s="8"/>
      <c r="G745" s="8"/>
      <c r="J745" s="8"/>
    </row>
    <row r="746">
      <c r="C746" s="15"/>
      <c r="E746" s="8"/>
      <c r="G746" s="8"/>
      <c r="J746" s="8"/>
    </row>
    <row r="747">
      <c r="C747" s="15"/>
      <c r="E747" s="8"/>
      <c r="G747" s="8"/>
      <c r="J747" s="8"/>
    </row>
    <row r="748">
      <c r="C748" s="15"/>
      <c r="E748" s="8"/>
      <c r="G748" s="8"/>
      <c r="J748" s="8"/>
    </row>
    <row r="749">
      <c r="C749" s="15"/>
      <c r="E749" s="8"/>
      <c r="G749" s="8"/>
      <c r="J749" s="8"/>
    </row>
    <row r="750">
      <c r="C750" s="15"/>
      <c r="E750" s="8"/>
      <c r="G750" s="8"/>
      <c r="J750" s="8"/>
    </row>
    <row r="751">
      <c r="C751" s="15"/>
      <c r="E751" s="8"/>
      <c r="G751" s="8"/>
      <c r="J751" s="8"/>
    </row>
    <row r="752">
      <c r="C752" s="15"/>
      <c r="E752" s="8"/>
      <c r="G752" s="8"/>
      <c r="J752" s="8"/>
    </row>
    <row r="753">
      <c r="C753" s="15"/>
      <c r="E753" s="8"/>
      <c r="G753" s="8"/>
      <c r="J753" s="8"/>
    </row>
    <row r="754">
      <c r="C754" s="15"/>
      <c r="E754" s="8"/>
      <c r="G754" s="8"/>
      <c r="J754" s="8"/>
    </row>
    <row r="755">
      <c r="C755" s="15"/>
      <c r="E755" s="8"/>
      <c r="G755" s="8"/>
      <c r="J755" s="8"/>
    </row>
    <row r="756">
      <c r="C756" s="15"/>
      <c r="E756" s="8"/>
      <c r="G756" s="8"/>
      <c r="J756" s="8"/>
    </row>
    <row r="757">
      <c r="C757" s="15"/>
      <c r="E757" s="8"/>
      <c r="G757" s="8"/>
      <c r="J757" s="8"/>
    </row>
    <row r="758">
      <c r="C758" s="15"/>
      <c r="E758" s="8"/>
      <c r="G758" s="8"/>
      <c r="J758" s="8"/>
    </row>
    <row r="759">
      <c r="C759" s="15"/>
      <c r="E759" s="8"/>
      <c r="G759" s="8"/>
      <c r="J759" s="8"/>
    </row>
    <row r="760">
      <c r="C760" s="15"/>
      <c r="E760" s="8"/>
      <c r="G760" s="8"/>
      <c r="J760" s="8"/>
    </row>
    <row r="761">
      <c r="C761" s="15"/>
      <c r="E761" s="8"/>
      <c r="G761" s="8"/>
      <c r="J761" s="8"/>
    </row>
    <row r="762">
      <c r="C762" s="15"/>
      <c r="E762" s="8"/>
      <c r="G762" s="8"/>
      <c r="J762" s="8"/>
    </row>
    <row r="763">
      <c r="C763" s="15"/>
      <c r="E763" s="8"/>
      <c r="G763" s="8"/>
      <c r="J763" s="8"/>
    </row>
    <row r="764">
      <c r="C764" s="15"/>
      <c r="E764" s="8"/>
      <c r="G764" s="8"/>
      <c r="J764" s="8"/>
    </row>
    <row r="765">
      <c r="C765" s="15"/>
      <c r="E765" s="8"/>
      <c r="G765" s="8"/>
      <c r="J765" s="8"/>
    </row>
    <row r="766">
      <c r="C766" s="15"/>
      <c r="E766" s="8"/>
      <c r="G766" s="8"/>
      <c r="J766" s="8"/>
    </row>
    <row r="767">
      <c r="C767" s="15"/>
      <c r="E767" s="8"/>
      <c r="G767" s="8"/>
      <c r="J767" s="8"/>
    </row>
    <row r="768">
      <c r="C768" s="15"/>
      <c r="E768" s="8"/>
      <c r="G768" s="8"/>
      <c r="J768" s="8"/>
    </row>
    <row r="769">
      <c r="C769" s="15"/>
      <c r="E769" s="8"/>
      <c r="G769" s="8"/>
      <c r="J769" s="8"/>
    </row>
    <row r="770">
      <c r="C770" s="15"/>
      <c r="E770" s="8"/>
      <c r="G770" s="8"/>
      <c r="J770" s="8"/>
    </row>
    <row r="771">
      <c r="C771" s="15"/>
      <c r="E771" s="8"/>
      <c r="G771" s="8"/>
      <c r="J771" s="8"/>
    </row>
    <row r="772">
      <c r="C772" s="15"/>
      <c r="E772" s="8"/>
      <c r="G772" s="8"/>
      <c r="J772" s="8"/>
    </row>
    <row r="773">
      <c r="C773" s="15"/>
      <c r="E773" s="8"/>
      <c r="G773" s="8"/>
      <c r="J773" s="8"/>
    </row>
    <row r="774">
      <c r="C774" s="15"/>
      <c r="E774" s="8"/>
      <c r="G774" s="8"/>
      <c r="J774" s="8"/>
    </row>
    <row r="775">
      <c r="C775" s="15"/>
      <c r="E775" s="8"/>
      <c r="G775" s="8"/>
      <c r="J775" s="8"/>
    </row>
    <row r="776">
      <c r="C776" s="15"/>
      <c r="E776" s="8"/>
      <c r="G776" s="8"/>
      <c r="J776" s="8"/>
    </row>
    <row r="777">
      <c r="C777" s="15"/>
      <c r="E777" s="8"/>
      <c r="G777" s="8"/>
      <c r="J777" s="8"/>
    </row>
    <row r="778">
      <c r="C778" s="15"/>
      <c r="E778" s="8"/>
      <c r="G778" s="8"/>
      <c r="J778" s="8"/>
    </row>
    <row r="779">
      <c r="C779" s="15"/>
      <c r="E779" s="8"/>
      <c r="G779" s="8"/>
      <c r="J779" s="8"/>
    </row>
    <row r="780">
      <c r="C780" s="15"/>
      <c r="E780" s="8"/>
      <c r="G780" s="8"/>
      <c r="J780" s="8"/>
    </row>
    <row r="781">
      <c r="C781" s="15"/>
      <c r="E781" s="8"/>
      <c r="G781" s="8"/>
      <c r="J781" s="8"/>
    </row>
    <row r="782">
      <c r="C782" s="15"/>
      <c r="E782" s="8"/>
      <c r="G782" s="8"/>
      <c r="J782" s="8"/>
    </row>
    <row r="783">
      <c r="C783" s="15"/>
      <c r="E783" s="8"/>
      <c r="G783" s="8"/>
      <c r="J783" s="8"/>
    </row>
    <row r="784">
      <c r="C784" s="15"/>
      <c r="E784" s="8"/>
      <c r="G784" s="8"/>
      <c r="J784" s="8"/>
    </row>
    <row r="785">
      <c r="C785" s="15"/>
      <c r="E785" s="8"/>
      <c r="G785" s="8"/>
      <c r="J785" s="8"/>
    </row>
    <row r="786">
      <c r="C786" s="15"/>
      <c r="E786" s="8"/>
      <c r="G786" s="8"/>
      <c r="J786" s="8"/>
    </row>
    <row r="787">
      <c r="C787" s="15"/>
      <c r="E787" s="8"/>
      <c r="G787" s="8"/>
      <c r="J787" s="8"/>
    </row>
    <row r="788">
      <c r="C788" s="15"/>
      <c r="E788" s="8"/>
      <c r="G788" s="8"/>
      <c r="J788" s="8"/>
    </row>
    <row r="789">
      <c r="C789" s="15"/>
      <c r="E789" s="8"/>
      <c r="G789" s="8"/>
      <c r="J789" s="8"/>
    </row>
    <row r="790">
      <c r="C790" s="15"/>
      <c r="E790" s="8"/>
      <c r="G790" s="8"/>
      <c r="J790" s="8"/>
    </row>
    <row r="791">
      <c r="C791" s="15"/>
      <c r="E791" s="8"/>
      <c r="G791" s="8"/>
      <c r="J791" s="8"/>
    </row>
    <row r="792">
      <c r="C792" s="15"/>
      <c r="E792" s="8"/>
      <c r="G792" s="8"/>
      <c r="J792" s="8"/>
    </row>
    <row r="793">
      <c r="C793" s="15"/>
      <c r="E793" s="8"/>
      <c r="G793" s="8"/>
      <c r="J793" s="8"/>
    </row>
    <row r="794">
      <c r="C794" s="15"/>
      <c r="E794" s="8"/>
      <c r="G794" s="8"/>
      <c r="J794" s="8"/>
    </row>
    <row r="795">
      <c r="C795" s="15"/>
      <c r="E795" s="8"/>
      <c r="G795" s="8"/>
      <c r="J795" s="8"/>
    </row>
    <row r="796">
      <c r="C796" s="15"/>
      <c r="E796" s="8"/>
      <c r="G796" s="8"/>
      <c r="J796" s="8"/>
    </row>
    <row r="797">
      <c r="C797" s="15"/>
      <c r="E797" s="8"/>
      <c r="G797" s="8"/>
      <c r="J797" s="8"/>
    </row>
    <row r="798">
      <c r="C798" s="15"/>
      <c r="E798" s="8"/>
      <c r="G798" s="8"/>
      <c r="J798" s="8"/>
    </row>
    <row r="799">
      <c r="C799" s="15"/>
      <c r="E799" s="8"/>
      <c r="G799" s="8"/>
      <c r="J799" s="8"/>
    </row>
    <row r="800">
      <c r="C800" s="15"/>
      <c r="E800" s="8"/>
      <c r="G800" s="8"/>
      <c r="J800" s="8"/>
    </row>
    <row r="801">
      <c r="C801" s="15"/>
      <c r="E801" s="8"/>
      <c r="G801" s="8"/>
      <c r="J801" s="8"/>
    </row>
    <row r="802">
      <c r="C802" s="15"/>
      <c r="E802" s="8"/>
      <c r="G802" s="8"/>
      <c r="J802" s="8"/>
    </row>
    <row r="803">
      <c r="C803" s="15"/>
      <c r="E803" s="8"/>
      <c r="G803" s="8"/>
      <c r="J803" s="8"/>
    </row>
    <row r="804">
      <c r="C804" s="15"/>
      <c r="E804" s="8"/>
      <c r="G804" s="8"/>
      <c r="J804" s="8"/>
    </row>
    <row r="805">
      <c r="C805" s="15"/>
      <c r="E805" s="8"/>
      <c r="G805" s="8"/>
      <c r="J805" s="8"/>
    </row>
    <row r="806">
      <c r="C806" s="15"/>
      <c r="E806" s="8"/>
      <c r="G806" s="8"/>
      <c r="J806" s="8"/>
    </row>
    <row r="807">
      <c r="C807" s="15"/>
      <c r="E807" s="8"/>
      <c r="G807" s="8"/>
      <c r="J807" s="8"/>
    </row>
    <row r="808">
      <c r="C808" s="15"/>
      <c r="E808" s="8"/>
      <c r="G808" s="8"/>
      <c r="J808" s="8"/>
    </row>
    <row r="809">
      <c r="C809" s="15"/>
      <c r="E809" s="8"/>
      <c r="G809" s="8"/>
      <c r="J809" s="8"/>
    </row>
    <row r="810">
      <c r="C810" s="15"/>
      <c r="E810" s="8"/>
      <c r="G810" s="8"/>
      <c r="J810" s="8"/>
    </row>
    <row r="811">
      <c r="C811" s="15"/>
      <c r="E811" s="8"/>
      <c r="G811" s="8"/>
      <c r="J811" s="8"/>
    </row>
    <row r="812">
      <c r="C812" s="15"/>
      <c r="E812" s="8"/>
      <c r="G812" s="8"/>
      <c r="J812" s="8"/>
    </row>
    <row r="813">
      <c r="C813" s="15"/>
      <c r="E813" s="8"/>
      <c r="G813" s="8"/>
      <c r="J813" s="8"/>
    </row>
    <row r="814">
      <c r="C814" s="15"/>
      <c r="E814" s="8"/>
      <c r="G814" s="8"/>
      <c r="J814" s="8"/>
    </row>
    <row r="815">
      <c r="C815" s="15"/>
      <c r="E815" s="8"/>
      <c r="G815" s="8"/>
      <c r="J815" s="8"/>
    </row>
    <row r="816">
      <c r="C816" s="15"/>
      <c r="E816" s="8"/>
      <c r="G816" s="8"/>
      <c r="J816" s="8"/>
    </row>
    <row r="817">
      <c r="C817" s="15"/>
      <c r="E817" s="8"/>
      <c r="G817" s="8"/>
      <c r="J817" s="8"/>
    </row>
    <row r="818">
      <c r="C818" s="15"/>
      <c r="E818" s="8"/>
      <c r="G818" s="8"/>
      <c r="J818" s="8"/>
    </row>
    <row r="819">
      <c r="C819" s="15"/>
      <c r="E819" s="8"/>
      <c r="G819" s="8"/>
      <c r="J819" s="8"/>
    </row>
    <row r="820">
      <c r="C820" s="15"/>
      <c r="E820" s="8"/>
      <c r="G820" s="8"/>
      <c r="J820" s="8"/>
    </row>
    <row r="821">
      <c r="C821" s="15"/>
      <c r="E821" s="8"/>
      <c r="G821" s="8"/>
      <c r="J821" s="8"/>
    </row>
    <row r="822">
      <c r="C822" s="15"/>
      <c r="E822" s="8"/>
      <c r="G822" s="8"/>
      <c r="J822" s="8"/>
    </row>
    <row r="823">
      <c r="C823" s="15"/>
      <c r="E823" s="8"/>
      <c r="G823" s="8"/>
      <c r="J823" s="8"/>
    </row>
    <row r="824">
      <c r="C824" s="15"/>
      <c r="E824" s="8"/>
      <c r="G824" s="8"/>
      <c r="J824" s="8"/>
    </row>
    <row r="825">
      <c r="C825" s="15"/>
      <c r="E825" s="8"/>
      <c r="G825" s="8"/>
      <c r="J825" s="8"/>
    </row>
    <row r="826">
      <c r="C826" s="15"/>
      <c r="E826" s="8"/>
      <c r="G826" s="8"/>
      <c r="J826" s="8"/>
    </row>
    <row r="827">
      <c r="C827" s="15"/>
      <c r="E827" s="8"/>
      <c r="G827" s="8"/>
      <c r="J827" s="8"/>
    </row>
    <row r="828">
      <c r="C828" s="15"/>
      <c r="E828" s="8"/>
      <c r="G828" s="8"/>
      <c r="J828" s="8"/>
    </row>
    <row r="829">
      <c r="C829" s="15"/>
      <c r="E829" s="8"/>
      <c r="G829" s="8"/>
      <c r="J829" s="8"/>
    </row>
    <row r="830">
      <c r="C830" s="15"/>
      <c r="E830" s="8"/>
      <c r="G830" s="8"/>
      <c r="J830" s="8"/>
    </row>
    <row r="831">
      <c r="C831" s="15"/>
      <c r="E831" s="8"/>
      <c r="G831" s="8"/>
      <c r="J831" s="8"/>
    </row>
    <row r="832">
      <c r="C832" s="15"/>
      <c r="E832" s="8"/>
      <c r="G832" s="8"/>
      <c r="J832" s="8"/>
    </row>
    <row r="833">
      <c r="C833" s="15"/>
      <c r="E833" s="8"/>
      <c r="G833" s="8"/>
      <c r="J833" s="8"/>
    </row>
    <row r="834">
      <c r="C834" s="15"/>
      <c r="E834" s="8"/>
      <c r="G834" s="8"/>
      <c r="J834" s="8"/>
    </row>
    <row r="835">
      <c r="C835" s="15"/>
      <c r="E835" s="8"/>
      <c r="G835" s="8"/>
      <c r="J835" s="8"/>
    </row>
    <row r="836">
      <c r="C836" s="15"/>
      <c r="E836" s="8"/>
      <c r="G836" s="8"/>
      <c r="J836" s="8"/>
    </row>
    <row r="837">
      <c r="C837" s="15"/>
      <c r="E837" s="8"/>
      <c r="G837" s="8"/>
      <c r="J837" s="8"/>
    </row>
    <row r="838">
      <c r="C838" s="15"/>
      <c r="E838" s="8"/>
      <c r="G838" s="8"/>
      <c r="J838" s="8"/>
    </row>
    <row r="839">
      <c r="C839" s="15"/>
      <c r="E839" s="8"/>
      <c r="G839" s="8"/>
      <c r="J839" s="8"/>
    </row>
    <row r="840">
      <c r="C840" s="15"/>
      <c r="E840" s="8"/>
      <c r="G840" s="8"/>
      <c r="J840" s="8"/>
    </row>
    <row r="841">
      <c r="C841" s="15"/>
      <c r="E841" s="8"/>
      <c r="G841" s="8"/>
      <c r="J841" s="8"/>
    </row>
    <row r="842">
      <c r="C842" s="15"/>
      <c r="E842" s="8"/>
      <c r="G842" s="8"/>
      <c r="J842" s="8"/>
    </row>
    <row r="843">
      <c r="C843" s="15"/>
      <c r="E843" s="8"/>
      <c r="G843" s="8"/>
      <c r="J843" s="8"/>
    </row>
    <row r="844">
      <c r="C844" s="15"/>
      <c r="E844" s="8"/>
      <c r="G844" s="8"/>
      <c r="J844" s="8"/>
    </row>
    <row r="845">
      <c r="C845" s="15"/>
      <c r="E845" s="8"/>
      <c r="G845" s="8"/>
      <c r="J845" s="8"/>
    </row>
    <row r="846">
      <c r="C846" s="15"/>
      <c r="E846" s="8"/>
      <c r="G846" s="8"/>
      <c r="J846" s="8"/>
    </row>
    <row r="847">
      <c r="C847" s="15"/>
      <c r="E847" s="8"/>
      <c r="G847" s="8"/>
      <c r="J847" s="8"/>
    </row>
    <row r="848">
      <c r="C848" s="15"/>
      <c r="E848" s="8"/>
      <c r="G848" s="8"/>
      <c r="J848" s="8"/>
    </row>
    <row r="849">
      <c r="C849" s="15"/>
      <c r="E849" s="8"/>
      <c r="G849" s="8"/>
      <c r="J849" s="8"/>
    </row>
    <row r="850">
      <c r="C850" s="15"/>
      <c r="E850" s="8"/>
      <c r="G850" s="8"/>
      <c r="J850" s="8"/>
    </row>
    <row r="851">
      <c r="C851" s="15"/>
      <c r="E851" s="8"/>
      <c r="G851" s="8"/>
      <c r="J851" s="8"/>
    </row>
    <row r="852">
      <c r="C852" s="15"/>
      <c r="E852" s="8"/>
      <c r="G852" s="8"/>
      <c r="J852" s="8"/>
    </row>
    <row r="853">
      <c r="C853" s="15"/>
      <c r="E853" s="8"/>
      <c r="G853" s="8"/>
      <c r="J853" s="8"/>
    </row>
    <row r="854">
      <c r="C854" s="15"/>
      <c r="E854" s="8"/>
      <c r="G854" s="8"/>
      <c r="J854" s="8"/>
    </row>
    <row r="855">
      <c r="C855" s="15"/>
      <c r="E855" s="8"/>
      <c r="G855" s="8"/>
      <c r="J855" s="8"/>
    </row>
    <row r="856">
      <c r="C856" s="15"/>
      <c r="E856" s="8"/>
      <c r="G856" s="8"/>
      <c r="J856" s="8"/>
    </row>
    <row r="857">
      <c r="C857" s="15"/>
      <c r="E857" s="8"/>
      <c r="G857" s="8"/>
      <c r="J857" s="8"/>
    </row>
    <row r="858">
      <c r="C858" s="15"/>
      <c r="E858" s="8"/>
      <c r="G858" s="8"/>
      <c r="J858" s="8"/>
    </row>
    <row r="859">
      <c r="C859" s="15"/>
      <c r="E859" s="8"/>
      <c r="G859" s="8"/>
      <c r="J859" s="8"/>
    </row>
    <row r="860">
      <c r="C860" s="15"/>
      <c r="E860" s="8"/>
      <c r="G860" s="8"/>
      <c r="J860" s="8"/>
    </row>
    <row r="861">
      <c r="C861" s="15"/>
      <c r="E861" s="8"/>
      <c r="G861" s="8"/>
      <c r="J861" s="8"/>
    </row>
    <row r="862">
      <c r="C862" s="15"/>
      <c r="E862" s="8"/>
      <c r="G862" s="8"/>
      <c r="J862" s="8"/>
    </row>
    <row r="863">
      <c r="C863" s="15"/>
      <c r="E863" s="8"/>
      <c r="G863" s="8"/>
      <c r="J863" s="8"/>
    </row>
    <row r="864">
      <c r="C864" s="15"/>
      <c r="E864" s="8"/>
      <c r="G864" s="8"/>
      <c r="J864" s="8"/>
    </row>
    <row r="865">
      <c r="C865" s="15"/>
      <c r="E865" s="8"/>
      <c r="G865" s="8"/>
      <c r="J865" s="8"/>
    </row>
    <row r="866">
      <c r="C866" s="15"/>
      <c r="E866" s="8"/>
      <c r="G866" s="8"/>
      <c r="J866" s="8"/>
    </row>
    <row r="867">
      <c r="C867" s="15"/>
      <c r="E867" s="8"/>
      <c r="G867" s="8"/>
      <c r="J867" s="8"/>
    </row>
    <row r="868">
      <c r="C868" s="15"/>
      <c r="E868" s="8"/>
      <c r="G868" s="8"/>
      <c r="J868" s="8"/>
    </row>
    <row r="869">
      <c r="C869" s="15"/>
      <c r="E869" s="8"/>
      <c r="G869" s="8"/>
      <c r="J869" s="8"/>
    </row>
    <row r="870">
      <c r="C870" s="15"/>
      <c r="E870" s="8"/>
      <c r="G870" s="8"/>
      <c r="J870" s="8"/>
    </row>
    <row r="871">
      <c r="C871" s="15"/>
      <c r="E871" s="8"/>
      <c r="G871" s="8"/>
      <c r="J871" s="8"/>
    </row>
    <row r="872">
      <c r="C872" s="15"/>
      <c r="E872" s="8"/>
      <c r="G872" s="8"/>
      <c r="J872" s="8"/>
    </row>
    <row r="873">
      <c r="C873" s="15"/>
      <c r="E873" s="8"/>
      <c r="G873" s="8"/>
      <c r="J873" s="8"/>
    </row>
    <row r="874">
      <c r="C874" s="15"/>
      <c r="E874" s="8"/>
      <c r="G874" s="8"/>
      <c r="J874" s="8"/>
    </row>
    <row r="875">
      <c r="C875" s="15"/>
      <c r="E875" s="8"/>
      <c r="G875" s="8"/>
      <c r="J875" s="8"/>
    </row>
    <row r="876">
      <c r="C876" s="15"/>
      <c r="E876" s="8"/>
      <c r="G876" s="8"/>
      <c r="J876" s="8"/>
    </row>
    <row r="877">
      <c r="C877" s="15"/>
      <c r="E877" s="8"/>
      <c r="G877" s="8"/>
      <c r="J877" s="8"/>
    </row>
    <row r="878">
      <c r="C878" s="15"/>
      <c r="E878" s="8"/>
      <c r="G878" s="8"/>
      <c r="J878" s="8"/>
    </row>
    <row r="879">
      <c r="C879" s="15"/>
      <c r="E879" s="8"/>
      <c r="G879" s="8"/>
      <c r="J879" s="8"/>
    </row>
    <row r="880">
      <c r="C880" s="15"/>
      <c r="E880" s="8"/>
      <c r="G880" s="8"/>
      <c r="J880" s="8"/>
    </row>
    <row r="881">
      <c r="C881" s="15"/>
      <c r="E881" s="8"/>
      <c r="G881" s="8"/>
      <c r="J881" s="8"/>
    </row>
    <row r="882">
      <c r="C882" s="15"/>
      <c r="E882" s="8"/>
      <c r="G882" s="8"/>
      <c r="J882" s="8"/>
    </row>
    <row r="883">
      <c r="C883" s="15"/>
      <c r="E883" s="8"/>
      <c r="G883" s="8"/>
      <c r="J883" s="8"/>
    </row>
    <row r="884">
      <c r="C884" s="15"/>
      <c r="E884" s="8"/>
      <c r="G884" s="8"/>
      <c r="J884" s="8"/>
    </row>
    <row r="885">
      <c r="C885" s="15"/>
      <c r="E885" s="8"/>
      <c r="G885" s="8"/>
      <c r="J885" s="8"/>
    </row>
    <row r="886">
      <c r="C886" s="15"/>
      <c r="E886" s="8"/>
      <c r="G886" s="8"/>
      <c r="J886" s="8"/>
    </row>
    <row r="887">
      <c r="C887" s="15"/>
      <c r="E887" s="8"/>
      <c r="G887" s="8"/>
      <c r="J887" s="8"/>
    </row>
    <row r="888">
      <c r="C888" s="15"/>
      <c r="E888" s="8"/>
      <c r="G888" s="8"/>
      <c r="J888" s="8"/>
    </row>
    <row r="889">
      <c r="C889" s="15"/>
      <c r="E889" s="8"/>
      <c r="G889" s="8"/>
      <c r="J889" s="8"/>
    </row>
    <row r="890">
      <c r="C890" s="15"/>
      <c r="E890" s="8"/>
      <c r="G890" s="8"/>
      <c r="J890" s="8"/>
    </row>
    <row r="891">
      <c r="C891" s="15"/>
      <c r="E891" s="8"/>
      <c r="G891" s="8"/>
      <c r="J891" s="8"/>
    </row>
    <row r="892">
      <c r="C892" s="15"/>
      <c r="E892" s="8"/>
      <c r="G892" s="8"/>
      <c r="J892" s="8"/>
    </row>
    <row r="893">
      <c r="C893" s="15"/>
      <c r="E893" s="8"/>
      <c r="G893" s="8"/>
      <c r="J893" s="8"/>
    </row>
    <row r="894">
      <c r="C894" s="15"/>
      <c r="E894" s="8"/>
      <c r="G894" s="8"/>
      <c r="J894" s="8"/>
    </row>
    <row r="895">
      <c r="C895" s="15"/>
      <c r="E895" s="8"/>
      <c r="G895" s="8"/>
      <c r="J895" s="8"/>
    </row>
    <row r="896">
      <c r="C896" s="15"/>
      <c r="E896" s="8"/>
      <c r="G896" s="8"/>
      <c r="J896" s="8"/>
    </row>
    <row r="897">
      <c r="C897" s="15"/>
      <c r="E897" s="8"/>
      <c r="G897" s="8"/>
      <c r="J897" s="8"/>
    </row>
    <row r="898">
      <c r="C898" s="15"/>
      <c r="E898" s="8"/>
      <c r="G898" s="8"/>
      <c r="J898" s="8"/>
    </row>
    <row r="899">
      <c r="C899" s="15"/>
      <c r="E899" s="8"/>
      <c r="G899" s="8"/>
      <c r="J899" s="8"/>
    </row>
    <row r="900">
      <c r="C900" s="15"/>
      <c r="E900" s="8"/>
      <c r="G900" s="8"/>
      <c r="J900" s="8"/>
    </row>
    <row r="901">
      <c r="C901" s="15"/>
      <c r="E901" s="8"/>
      <c r="G901" s="8"/>
      <c r="J901" s="8"/>
    </row>
    <row r="902">
      <c r="C902" s="15"/>
      <c r="E902" s="8"/>
      <c r="G902" s="8"/>
      <c r="J902" s="8"/>
    </row>
    <row r="903">
      <c r="C903" s="15"/>
      <c r="E903" s="8"/>
      <c r="G903" s="8"/>
      <c r="J903" s="8"/>
    </row>
    <row r="904">
      <c r="C904" s="15"/>
      <c r="E904" s="8"/>
      <c r="G904" s="8"/>
      <c r="J904" s="8"/>
    </row>
    <row r="905">
      <c r="C905" s="15"/>
      <c r="E905" s="8"/>
      <c r="G905" s="8"/>
      <c r="J905" s="8"/>
    </row>
    <row r="906">
      <c r="C906" s="15"/>
      <c r="E906" s="8"/>
      <c r="G906" s="8"/>
      <c r="J906" s="8"/>
    </row>
    <row r="907">
      <c r="C907" s="15"/>
      <c r="E907" s="8"/>
      <c r="G907" s="8"/>
      <c r="J907" s="8"/>
    </row>
    <row r="908">
      <c r="C908" s="15"/>
      <c r="E908" s="8"/>
      <c r="G908" s="8"/>
      <c r="J908" s="8"/>
    </row>
    <row r="909">
      <c r="C909" s="15"/>
      <c r="E909" s="8"/>
      <c r="G909" s="8"/>
      <c r="J909" s="8"/>
    </row>
    <row r="910">
      <c r="C910" s="15"/>
      <c r="E910" s="8"/>
      <c r="G910" s="8"/>
      <c r="J910" s="8"/>
    </row>
    <row r="911">
      <c r="C911" s="15"/>
      <c r="E911" s="8"/>
      <c r="G911" s="8"/>
      <c r="J911" s="8"/>
    </row>
    <row r="912">
      <c r="C912" s="15"/>
      <c r="E912" s="8"/>
      <c r="G912" s="8"/>
      <c r="J912" s="8"/>
    </row>
    <row r="913">
      <c r="C913" s="15"/>
      <c r="E913" s="8"/>
      <c r="G913" s="8"/>
      <c r="J913" s="8"/>
    </row>
    <row r="914">
      <c r="C914" s="15"/>
      <c r="E914" s="8"/>
      <c r="G914" s="8"/>
      <c r="J914" s="8"/>
    </row>
    <row r="915">
      <c r="C915" s="15"/>
      <c r="E915" s="8"/>
      <c r="G915" s="8"/>
      <c r="J915" s="8"/>
    </row>
    <row r="916">
      <c r="C916" s="15"/>
      <c r="E916" s="8"/>
      <c r="G916" s="8"/>
      <c r="J916" s="8"/>
    </row>
    <row r="917">
      <c r="C917" s="15"/>
      <c r="E917" s="8"/>
      <c r="G917" s="8"/>
      <c r="J917" s="8"/>
    </row>
    <row r="918">
      <c r="C918" s="15"/>
      <c r="E918" s="8"/>
      <c r="G918" s="8"/>
      <c r="J918" s="8"/>
    </row>
    <row r="919">
      <c r="C919" s="15"/>
      <c r="E919" s="8"/>
      <c r="G919" s="8"/>
      <c r="J919" s="8"/>
    </row>
    <row r="920">
      <c r="C920" s="15"/>
      <c r="E920" s="8"/>
      <c r="G920" s="8"/>
      <c r="J920" s="8"/>
    </row>
    <row r="921">
      <c r="C921" s="15"/>
      <c r="E921" s="8"/>
      <c r="G921" s="8"/>
      <c r="J921" s="8"/>
    </row>
    <row r="922">
      <c r="C922" s="15"/>
      <c r="E922" s="8"/>
      <c r="G922" s="8"/>
      <c r="J922" s="8"/>
    </row>
    <row r="923">
      <c r="C923" s="15"/>
      <c r="E923" s="8"/>
      <c r="G923" s="8"/>
      <c r="J923" s="8"/>
    </row>
    <row r="924">
      <c r="C924" s="15"/>
      <c r="E924" s="8"/>
      <c r="G924" s="8"/>
      <c r="J924" s="8"/>
    </row>
    <row r="925">
      <c r="C925" s="15"/>
      <c r="E925" s="8"/>
      <c r="G925" s="8"/>
      <c r="J925" s="8"/>
    </row>
    <row r="926">
      <c r="C926" s="15"/>
      <c r="E926" s="8"/>
      <c r="G926" s="8"/>
      <c r="J926" s="8"/>
    </row>
    <row r="927">
      <c r="C927" s="15"/>
      <c r="E927" s="8"/>
      <c r="G927" s="8"/>
      <c r="J927" s="8"/>
    </row>
    <row r="928">
      <c r="C928" s="15"/>
      <c r="E928" s="8"/>
      <c r="G928" s="8"/>
      <c r="J928" s="8"/>
    </row>
    <row r="929">
      <c r="C929" s="15"/>
      <c r="E929" s="8"/>
      <c r="G929" s="8"/>
      <c r="J929" s="8"/>
    </row>
    <row r="930">
      <c r="C930" s="15"/>
      <c r="E930" s="8"/>
      <c r="G930" s="8"/>
      <c r="J930" s="8"/>
    </row>
    <row r="931">
      <c r="C931" s="15"/>
      <c r="E931" s="8"/>
      <c r="G931" s="8"/>
      <c r="J931" s="8"/>
    </row>
    <row r="932">
      <c r="C932" s="15"/>
      <c r="E932" s="8"/>
      <c r="G932" s="8"/>
      <c r="J932" s="8"/>
    </row>
    <row r="933">
      <c r="C933" s="15"/>
      <c r="E933" s="8"/>
      <c r="G933" s="8"/>
      <c r="J933" s="8"/>
    </row>
    <row r="934">
      <c r="C934" s="15"/>
      <c r="E934" s="8"/>
      <c r="G934" s="8"/>
      <c r="J934" s="8"/>
    </row>
    <row r="935">
      <c r="C935" s="15"/>
      <c r="E935" s="8"/>
      <c r="G935" s="8"/>
      <c r="J935" s="8"/>
    </row>
    <row r="936">
      <c r="C936" s="15"/>
      <c r="E936" s="8"/>
      <c r="G936" s="8"/>
      <c r="J936" s="8"/>
    </row>
    <row r="937">
      <c r="C937" s="15"/>
      <c r="E937" s="8"/>
      <c r="G937" s="8"/>
      <c r="J937" s="8"/>
    </row>
    <row r="938">
      <c r="C938" s="15"/>
      <c r="E938" s="8"/>
      <c r="G938" s="8"/>
      <c r="J938" s="8"/>
    </row>
    <row r="939">
      <c r="C939" s="15"/>
      <c r="E939" s="8"/>
      <c r="G939" s="8"/>
      <c r="J939" s="8"/>
    </row>
    <row r="940">
      <c r="C940" s="15"/>
      <c r="E940" s="8"/>
      <c r="G940" s="8"/>
      <c r="J940" s="8"/>
    </row>
    <row r="941">
      <c r="C941" s="15"/>
      <c r="E941" s="8"/>
      <c r="G941" s="8"/>
      <c r="J941" s="8"/>
    </row>
    <row r="942">
      <c r="C942" s="15"/>
      <c r="E942" s="8"/>
      <c r="G942" s="8"/>
      <c r="J942" s="8"/>
    </row>
    <row r="943">
      <c r="C943" s="15"/>
      <c r="E943" s="8"/>
      <c r="G943" s="8"/>
      <c r="J943" s="8"/>
    </row>
    <row r="944">
      <c r="C944" s="15"/>
      <c r="E944" s="8"/>
      <c r="G944" s="8"/>
      <c r="J944" s="8"/>
    </row>
    <row r="945">
      <c r="C945" s="15"/>
      <c r="E945" s="8"/>
      <c r="G945" s="8"/>
      <c r="J945" s="8"/>
    </row>
    <row r="946">
      <c r="C946" s="15"/>
      <c r="E946" s="8"/>
      <c r="G946" s="8"/>
      <c r="J946" s="8"/>
    </row>
    <row r="947">
      <c r="C947" s="15"/>
      <c r="E947" s="8"/>
      <c r="G947" s="8"/>
      <c r="J947" s="8"/>
    </row>
    <row r="948">
      <c r="C948" s="15"/>
      <c r="E948" s="8"/>
      <c r="G948" s="8"/>
      <c r="J948" s="8"/>
    </row>
    <row r="949">
      <c r="C949" s="15"/>
      <c r="E949" s="8"/>
      <c r="G949" s="8"/>
      <c r="J949" s="8"/>
    </row>
    <row r="950">
      <c r="C950" s="15"/>
      <c r="E950" s="8"/>
      <c r="G950" s="8"/>
      <c r="J950" s="8"/>
    </row>
    <row r="951">
      <c r="C951" s="15"/>
      <c r="E951" s="8"/>
      <c r="G951" s="8"/>
      <c r="J951" s="8"/>
    </row>
    <row r="952">
      <c r="C952" s="15"/>
      <c r="E952" s="8"/>
      <c r="G952" s="8"/>
      <c r="J952" s="8"/>
    </row>
    <row r="953">
      <c r="C953" s="15"/>
      <c r="E953" s="8"/>
      <c r="G953" s="8"/>
      <c r="J953" s="8"/>
    </row>
    <row r="954">
      <c r="C954" s="15"/>
      <c r="E954" s="8"/>
      <c r="G954" s="8"/>
      <c r="J954" s="8"/>
    </row>
    <row r="955">
      <c r="C955" s="15"/>
      <c r="E955" s="8"/>
      <c r="G955" s="8"/>
      <c r="J955" s="8"/>
    </row>
    <row r="956">
      <c r="C956" s="15"/>
      <c r="E956" s="8"/>
      <c r="G956" s="8"/>
      <c r="J956" s="8"/>
    </row>
    <row r="957">
      <c r="C957" s="15"/>
      <c r="E957" s="8"/>
      <c r="G957" s="8"/>
      <c r="J957" s="8"/>
    </row>
    <row r="958">
      <c r="C958" s="15"/>
      <c r="E958" s="8"/>
      <c r="G958" s="8"/>
      <c r="J958" s="8"/>
    </row>
    <row r="959">
      <c r="C959" s="15"/>
      <c r="E959" s="8"/>
      <c r="G959" s="8"/>
      <c r="J959" s="8"/>
    </row>
    <row r="960">
      <c r="C960" s="15"/>
      <c r="E960" s="8"/>
      <c r="G960" s="8"/>
      <c r="J960" s="8"/>
    </row>
    <row r="961">
      <c r="C961" s="15"/>
      <c r="E961" s="8"/>
      <c r="G961" s="8"/>
      <c r="J961" s="8"/>
    </row>
    <row r="962">
      <c r="C962" s="15"/>
      <c r="E962" s="8"/>
      <c r="G962" s="8"/>
      <c r="J962" s="8"/>
    </row>
    <row r="963">
      <c r="C963" s="15"/>
      <c r="E963" s="8"/>
      <c r="G963" s="8"/>
      <c r="J963" s="8"/>
    </row>
    <row r="964">
      <c r="C964" s="15"/>
      <c r="E964" s="8"/>
      <c r="G964" s="8"/>
      <c r="J964" s="8"/>
    </row>
    <row r="965">
      <c r="C965" s="15"/>
      <c r="E965" s="8"/>
      <c r="G965" s="8"/>
      <c r="J965" s="8"/>
    </row>
    <row r="966">
      <c r="C966" s="15"/>
      <c r="E966" s="8"/>
      <c r="G966" s="8"/>
      <c r="J966" s="8"/>
    </row>
    <row r="967">
      <c r="C967" s="15"/>
      <c r="E967" s="8"/>
      <c r="G967" s="8"/>
      <c r="J967" s="8"/>
    </row>
    <row r="968">
      <c r="C968" s="15"/>
      <c r="E968" s="8"/>
      <c r="G968" s="8"/>
      <c r="J968" s="8"/>
    </row>
    <row r="969">
      <c r="C969" s="15"/>
      <c r="E969" s="8"/>
      <c r="G969" s="8"/>
      <c r="J969" s="8"/>
    </row>
    <row r="970">
      <c r="C970" s="15"/>
      <c r="E970" s="8"/>
      <c r="G970" s="8"/>
      <c r="J970" s="8"/>
    </row>
    <row r="971">
      <c r="C971" s="15"/>
      <c r="E971" s="8"/>
      <c r="G971" s="8"/>
      <c r="J971" s="8"/>
    </row>
    <row r="972">
      <c r="C972" s="15"/>
      <c r="E972" s="8"/>
      <c r="G972" s="8"/>
      <c r="J972" s="8"/>
    </row>
    <row r="973">
      <c r="C973" s="15"/>
      <c r="E973" s="8"/>
      <c r="G973" s="8"/>
      <c r="J973" s="8"/>
    </row>
    <row r="974">
      <c r="C974" s="15"/>
      <c r="E974" s="8"/>
      <c r="G974" s="8"/>
      <c r="J974" s="8"/>
    </row>
    <row r="975">
      <c r="C975" s="15"/>
      <c r="E975" s="8"/>
      <c r="G975" s="8"/>
      <c r="J975" s="8"/>
    </row>
    <row r="976">
      <c r="C976" s="15"/>
      <c r="E976" s="8"/>
      <c r="G976" s="8"/>
      <c r="J976" s="8"/>
    </row>
    <row r="977">
      <c r="C977" s="15"/>
      <c r="E977" s="8"/>
      <c r="G977" s="8"/>
      <c r="J977" s="8"/>
    </row>
    <row r="978">
      <c r="C978" s="15"/>
      <c r="E978" s="8"/>
      <c r="G978" s="8"/>
      <c r="J978" s="8"/>
    </row>
    <row r="979">
      <c r="C979" s="15"/>
      <c r="E979" s="8"/>
      <c r="G979" s="8"/>
      <c r="J979" s="8"/>
    </row>
    <row r="980">
      <c r="C980" s="15"/>
      <c r="E980" s="8"/>
      <c r="G980" s="8"/>
      <c r="J980" s="8"/>
    </row>
    <row r="981">
      <c r="C981" s="15"/>
      <c r="E981" s="8"/>
      <c r="G981" s="8"/>
      <c r="J981" s="8"/>
    </row>
    <row r="982">
      <c r="C982" s="15"/>
      <c r="E982" s="8"/>
      <c r="G982" s="8"/>
      <c r="J982" s="8"/>
    </row>
    <row r="983">
      <c r="C983" s="15"/>
      <c r="E983" s="8"/>
      <c r="G983" s="8"/>
      <c r="J983" s="8"/>
    </row>
    <row r="984">
      <c r="C984" s="15"/>
      <c r="E984" s="8"/>
      <c r="G984" s="8"/>
      <c r="J984" s="8"/>
    </row>
    <row r="985">
      <c r="C985" s="15"/>
      <c r="E985" s="8"/>
      <c r="G985" s="8"/>
      <c r="J985" s="8"/>
    </row>
    <row r="986">
      <c r="C986" s="15"/>
      <c r="E986" s="8"/>
      <c r="G986" s="8"/>
      <c r="J986" s="8"/>
    </row>
    <row r="987">
      <c r="C987" s="15"/>
      <c r="E987" s="8"/>
      <c r="G987" s="8"/>
      <c r="J987" s="8"/>
    </row>
    <row r="988">
      <c r="C988" s="15"/>
      <c r="E988" s="8"/>
      <c r="G988" s="8"/>
      <c r="J988" s="8"/>
    </row>
    <row r="989">
      <c r="C989" s="15"/>
      <c r="E989" s="8"/>
      <c r="G989" s="8"/>
      <c r="J989" s="8"/>
    </row>
    <row r="990">
      <c r="C990" s="15"/>
      <c r="E990" s="8"/>
      <c r="G990" s="8"/>
      <c r="J990" s="8"/>
    </row>
    <row r="991">
      <c r="C991" s="15"/>
      <c r="E991" s="8"/>
      <c r="G991" s="8"/>
      <c r="J991" s="8"/>
    </row>
    <row r="992">
      <c r="C992" s="15"/>
      <c r="E992" s="8"/>
      <c r="G992" s="8"/>
      <c r="J992" s="8"/>
    </row>
    <row r="993">
      <c r="C993" s="15"/>
      <c r="E993" s="8"/>
      <c r="G993" s="8"/>
      <c r="J993" s="8"/>
    </row>
    <row r="994">
      <c r="C994" s="15"/>
      <c r="E994" s="8"/>
      <c r="G994" s="8"/>
      <c r="J994" s="8"/>
    </row>
    <row r="995">
      <c r="C995" s="15"/>
      <c r="E995" s="8"/>
      <c r="G995" s="8"/>
      <c r="J995" s="8"/>
    </row>
    <row r="996">
      <c r="C996" s="15"/>
      <c r="E996" s="8"/>
      <c r="G996" s="8"/>
      <c r="J996" s="8"/>
    </row>
    <row r="997">
      <c r="C997" s="15"/>
      <c r="E997" s="8"/>
      <c r="G997" s="8"/>
      <c r="J997" s="8"/>
    </row>
    <row r="998">
      <c r="C998" s="15"/>
      <c r="E998" s="8"/>
      <c r="G998" s="8"/>
      <c r="J998" s="8"/>
    </row>
    <row r="999">
      <c r="C999" s="15"/>
      <c r="E999" s="8"/>
      <c r="G999" s="8"/>
      <c r="J999" s="8"/>
    </row>
    <row r="1000">
      <c r="C1000" s="15"/>
      <c r="E1000" s="8"/>
      <c r="G1000" s="8"/>
      <c r="J1000" s="8"/>
    </row>
    <row r="1001">
      <c r="C1001" s="15"/>
      <c r="E1001" s="8"/>
      <c r="G1001" s="8"/>
      <c r="J1001" s="8"/>
    </row>
    <row r="1002">
      <c r="C1002" s="15"/>
      <c r="E1002" s="8"/>
      <c r="G1002" s="8"/>
      <c r="J1002" s="8"/>
    </row>
    <row r="1003">
      <c r="C1003" s="15"/>
      <c r="E1003" s="8"/>
      <c r="G1003" s="8"/>
      <c r="J1003" s="8"/>
    </row>
    <row r="1004">
      <c r="C1004" s="15"/>
      <c r="E1004" s="8"/>
      <c r="G1004" s="8"/>
      <c r="J1004" s="8"/>
    </row>
    <row r="1005">
      <c r="C1005" s="15"/>
      <c r="E1005" s="8"/>
      <c r="G1005" s="8"/>
      <c r="J1005" s="8"/>
    </row>
    <row r="1006">
      <c r="C1006" s="15"/>
      <c r="E1006" s="8"/>
      <c r="G1006" s="8"/>
      <c r="J1006" s="8"/>
    </row>
    <row r="1007">
      <c r="C1007" s="15"/>
      <c r="E1007" s="8"/>
      <c r="G1007" s="8"/>
      <c r="J1007" s="8"/>
    </row>
    <row r="1008">
      <c r="C1008" s="15"/>
      <c r="E1008" s="8"/>
      <c r="G1008" s="8"/>
      <c r="J1008" s="8"/>
    </row>
    <row r="1009">
      <c r="C1009" s="15"/>
      <c r="E1009" s="8"/>
      <c r="G1009" s="8"/>
      <c r="J1009" s="8"/>
    </row>
    <row r="1010">
      <c r="C1010" s="15"/>
      <c r="E1010" s="8"/>
      <c r="G1010" s="8"/>
      <c r="J1010" s="8"/>
    </row>
    <row r="1011">
      <c r="C1011" s="15"/>
      <c r="E1011" s="8"/>
      <c r="G1011" s="8"/>
      <c r="J1011" s="8"/>
    </row>
    <row r="1012">
      <c r="C1012" s="15"/>
      <c r="E1012" s="8"/>
      <c r="G1012" s="8"/>
      <c r="J1012" s="8"/>
    </row>
    <row r="1013">
      <c r="C1013" s="15"/>
      <c r="E1013" s="8"/>
      <c r="G1013" s="8"/>
      <c r="J1013" s="8"/>
    </row>
    <row r="1014">
      <c r="C1014" s="15"/>
      <c r="E1014" s="8"/>
      <c r="G1014" s="8"/>
      <c r="J1014" s="8"/>
    </row>
    <row r="1015">
      <c r="C1015" s="15"/>
      <c r="E1015" s="8"/>
      <c r="G1015" s="8"/>
      <c r="J1015" s="8"/>
    </row>
    <row r="1016">
      <c r="C1016" s="15"/>
      <c r="E1016" s="8"/>
      <c r="G1016" s="8"/>
      <c r="J1016" s="8"/>
    </row>
    <row r="1017">
      <c r="C1017" s="15"/>
      <c r="E1017" s="8"/>
      <c r="G1017" s="8"/>
      <c r="J1017" s="8"/>
    </row>
    <row r="1018">
      <c r="C1018" s="15"/>
      <c r="E1018" s="8"/>
      <c r="G1018" s="8"/>
      <c r="J1018" s="8"/>
    </row>
    <row r="1019">
      <c r="C1019" s="15"/>
      <c r="E1019" s="8"/>
      <c r="G1019" s="8"/>
      <c r="J1019" s="8"/>
    </row>
    <row r="1020">
      <c r="C1020" s="15"/>
      <c r="E1020" s="8"/>
      <c r="G1020" s="8"/>
      <c r="J1020" s="8"/>
    </row>
    <row r="1021">
      <c r="C1021" s="15"/>
      <c r="E1021" s="8"/>
      <c r="G1021" s="8"/>
      <c r="J1021" s="8"/>
    </row>
    <row r="1022">
      <c r="C1022" s="15"/>
      <c r="E1022" s="8"/>
      <c r="G1022" s="8"/>
      <c r="J1022" s="8"/>
    </row>
    <row r="1023">
      <c r="C1023" s="15"/>
      <c r="E1023" s="8"/>
      <c r="G1023" s="8"/>
      <c r="J1023" s="8"/>
    </row>
    <row r="1024">
      <c r="C1024" s="15"/>
      <c r="E1024" s="8"/>
      <c r="G1024" s="8"/>
      <c r="J1024" s="8"/>
    </row>
    <row r="1025">
      <c r="C1025" s="15"/>
      <c r="E1025" s="8"/>
      <c r="G1025" s="8"/>
      <c r="J1025" s="8"/>
    </row>
    <row r="1026">
      <c r="C1026" s="15"/>
      <c r="E1026" s="8"/>
      <c r="G1026" s="8"/>
      <c r="J1026" s="8"/>
    </row>
    <row r="1027">
      <c r="C1027" s="15"/>
      <c r="E1027" s="8"/>
      <c r="G1027" s="8"/>
      <c r="J1027" s="8"/>
    </row>
    <row r="1028">
      <c r="C1028" s="15"/>
      <c r="E1028" s="8"/>
      <c r="G1028" s="8"/>
      <c r="J1028" s="8"/>
    </row>
    <row r="1029">
      <c r="C1029" s="15"/>
      <c r="E1029" s="8"/>
      <c r="G1029" s="8"/>
      <c r="J1029" s="8"/>
    </row>
    <row r="1030">
      <c r="C1030" s="15"/>
      <c r="E1030" s="8"/>
      <c r="G1030" s="8"/>
      <c r="J1030" s="8"/>
    </row>
    <row r="1031">
      <c r="C1031" s="15"/>
      <c r="E1031" s="8"/>
      <c r="G1031" s="8"/>
      <c r="J1031" s="8"/>
    </row>
    <row r="1032">
      <c r="C1032" s="15"/>
      <c r="E1032" s="8"/>
      <c r="G1032" s="8"/>
      <c r="J1032" s="8"/>
    </row>
    <row r="1033">
      <c r="C1033" s="15"/>
      <c r="E1033" s="8"/>
      <c r="G1033" s="8"/>
      <c r="J1033" s="8"/>
    </row>
    <row r="1034">
      <c r="C1034" s="15"/>
      <c r="E1034" s="8"/>
      <c r="G1034" s="8"/>
      <c r="J1034" s="8"/>
    </row>
    <row r="1035">
      <c r="C1035" s="15"/>
      <c r="E1035" s="8"/>
      <c r="G1035" s="8"/>
      <c r="J1035" s="8"/>
    </row>
    <row r="1036">
      <c r="C1036" s="15"/>
      <c r="E1036" s="8"/>
      <c r="G1036" s="8"/>
      <c r="J1036" s="8"/>
    </row>
    <row r="1037">
      <c r="C1037" s="15"/>
      <c r="E1037" s="8"/>
      <c r="G1037" s="8"/>
      <c r="J1037" s="8"/>
    </row>
    <row r="1038">
      <c r="C1038" s="15"/>
      <c r="E1038" s="8"/>
      <c r="G1038" s="8"/>
      <c r="J1038" s="8"/>
    </row>
    <row r="1039">
      <c r="C1039" s="15"/>
      <c r="E1039" s="8"/>
      <c r="G1039" s="8"/>
      <c r="J1039" s="8"/>
    </row>
    <row r="1040">
      <c r="C1040" s="15"/>
      <c r="E1040" s="8"/>
      <c r="G1040" s="8"/>
      <c r="J1040" s="8"/>
    </row>
    <row r="1041">
      <c r="C1041" s="15"/>
      <c r="E1041" s="8"/>
      <c r="G1041" s="8"/>
      <c r="J1041" s="8"/>
    </row>
    <row r="1042">
      <c r="C1042" s="15"/>
      <c r="E1042" s="8"/>
      <c r="G1042" s="8"/>
      <c r="J1042" s="8"/>
    </row>
    <row r="1043">
      <c r="C1043" s="15"/>
      <c r="E1043" s="8"/>
      <c r="G1043" s="8"/>
      <c r="J1043" s="8"/>
    </row>
    <row r="1044">
      <c r="C1044" s="15"/>
      <c r="E1044" s="8"/>
      <c r="G1044" s="8"/>
      <c r="J1044" s="8"/>
    </row>
    <row r="1045">
      <c r="C1045" s="15"/>
      <c r="E1045" s="8"/>
      <c r="G1045" s="8"/>
      <c r="J1045" s="8"/>
    </row>
    <row r="1046">
      <c r="C1046" s="15"/>
      <c r="E1046" s="8"/>
      <c r="G1046" s="8"/>
      <c r="J1046" s="8"/>
    </row>
    <row r="1047">
      <c r="C1047" s="15"/>
      <c r="E1047" s="8"/>
      <c r="G1047" s="8"/>
      <c r="J1047" s="8"/>
    </row>
    <row r="1048">
      <c r="C1048" s="15"/>
      <c r="E1048" s="8"/>
      <c r="G1048" s="8"/>
      <c r="J1048" s="8"/>
    </row>
    <row r="1049">
      <c r="C1049" s="15"/>
      <c r="E1049" s="8"/>
      <c r="G1049" s="8"/>
      <c r="J1049" s="8"/>
    </row>
    <row r="1050">
      <c r="C1050" s="15"/>
      <c r="E1050" s="8"/>
      <c r="G1050" s="8"/>
      <c r="J1050" s="8"/>
    </row>
    <row r="1051">
      <c r="C1051" s="15"/>
      <c r="E1051" s="8"/>
      <c r="G1051" s="8"/>
      <c r="J1051" s="8"/>
    </row>
    <row r="1052">
      <c r="C1052" s="15"/>
      <c r="E1052" s="8"/>
      <c r="G1052" s="8"/>
      <c r="J1052" s="8"/>
    </row>
    <row r="1053">
      <c r="C1053" s="15"/>
      <c r="E1053" s="8"/>
      <c r="G1053" s="8"/>
      <c r="J1053" s="8"/>
    </row>
    <row r="1054">
      <c r="C1054" s="15"/>
      <c r="E1054" s="8"/>
      <c r="G1054" s="8"/>
      <c r="J1054" s="8"/>
    </row>
    <row r="1055">
      <c r="C1055" s="15"/>
      <c r="E1055" s="8"/>
      <c r="G1055" s="8"/>
      <c r="J1055" s="8"/>
    </row>
    <row r="1056">
      <c r="C1056" s="15"/>
      <c r="E1056" s="8"/>
      <c r="G1056" s="8"/>
      <c r="J1056" s="8"/>
    </row>
    <row r="1057">
      <c r="C1057" s="15"/>
      <c r="E1057" s="8"/>
      <c r="G1057" s="8"/>
      <c r="J1057" s="8"/>
    </row>
    <row r="1058">
      <c r="C1058" s="15"/>
      <c r="E1058" s="8"/>
      <c r="G1058" s="8"/>
      <c r="J1058" s="8"/>
    </row>
    <row r="1059">
      <c r="C1059" s="15"/>
      <c r="E1059" s="8"/>
      <c r="G1059" s="8"/>
      <c r="J1059" s="8"/>
    </row>
    <row r="1060">
      <c r="C1060" s="15"/>
      <c r="E1060" s="8"/>
      <c r="G1060" s="8"/>
      <c r="J1060" s="8"/>
    </row>
    <row r="1061">
      <c r="C1061" s="15"/>
      <c r="E1061" s="8"/>
      <c r="G1061" s="8"/>
      <c r="J1061" s="8"/>
    </row>
    <row r="1062">
      <c r="C1062" s="15"/>
      <c r="E1062" s="8"/>
      <c r="G1062" s="8"/>
      <c r="J1062" s="8"/>
    </row>
    <row r="1063">
      <c r="C1063" s="15"/>
      <c r="E1063" s="8"/>
      <c r="G1063" s="8"/>
      <c r="J1063" s="8"/>
    </row>
    <row r="1064">
      <c r="C1064" s="15"/>
      <c r="E1064" s="8"/>
      <c r="G1064" s="8"/>
      <c r="J1064" s="8"/>
    </row>
    <row r="1065">
      <c r="C1065" s="15"/>
      <c r="E1065" s="8"/>
      <c r="G1065" s="8"/>
      <c r="J1065" s="8"/>
    </row>
    <row r="1066">
      <c r="C1066" s="15"/>
      <c r="E1066" s="8"/>
      <c r="G1066" s="8"/>
      <c r="J1066" s="8"/>
    </row>
    <row r="1067">
      <c r="C1067" s="15"/>
      <c r="E1067" s="8"/>
      <c r="G1067" s="8"/>
      <c r="J1067" s="8"/>
    </row>
    <row r="1068">
      <c r="C1068" s="15"/>
      <c r="E1068" s="8"/>
      <c r="G1068" s="8"/>
      <c r="J1068" s="8"/>
    </row>
    <row r="1069">
      <c r="C1069" s="15"/>
      <c r="E1069" s="8"/>
      <c r="G1069" s="8"/>
      <c r="J1069" s="8"/>
    </row>
    <row r="1070">
      <c r="C1070" s="15"/>
      <c r="E1070" s="8"/>
      <c r="G1070" s="8"/>
      <c r="J1070" s="8"/>
    </row>
    <row r="1071">
      <c r="C1071" s="15"/>
      <c r="E1071" s="8"/>
      <c r="G1071" s="8"/>
      <c r="J1071" s="8"/>
    </row>
    <row r="1072">
      <c r="C1072" s="15"/>
      <c r="E1072" s="8"/>
      <c r="G1072" s="8"/>
      <c r="J1072" s="8"/>
    </row>
    <row r="1073">
      <c r="C1073" s="15"/>
      <c r="E1073" s="8"/>
      <c r="G1073" s="8"/>
      <c r="J1073" s="8"/>
    </row>
    <row r="1074">
      <c r="C1074" s="15"/>
      <c r="E1074" s="8"/>
      <c r="G1074" s="8"/>
      <c r="J1074" s="8"/>
    </row>
    <row r="1075">
      <c r="C1075" s="15"/>
      <c r="E1075" s="8"/>
      <c r="G1075" s="8"/>
      <c r="J1075" s="8"/>
    </row>
    <row r="1076">
      <c r="C1076" s="15"/>
      <c r="E1076" s="8"/>
      <c r="G1076" s="8"/>
      <c r="J1076" s="8"/>
    </row>
    <row r="1077">
      <c r="C1077" s="15"/>
      <c r="E1077" s="8"/>
      <c r="G1077" s="8"/>
      <c r="J1077" s="8"/>
    </row>
    <row r="1078">
      <c r="C1078" s="15"/>
      <c r="E1078" s="8"/>
      <c r="G1078" s="8"/>
      <c r="J1078" s="8"/>
    </row>
    <row r="1079">
      <c r="C1079" s="15"/>
      <c r="E1079" s="8"/>
      <c r="G1079" s="8"/>
      <c r="J1079" s="8"/>
    </row>
    <row r="1080">
      <c r="C1080" s="15"/>
      <c r="E1080" s="8"/>
      <c r="G1080" s="8"/>
      <c r="J1080" s="8"/>
    </row>
    <row r="1081">
      <c r="C1081" s="15"/>
      <c r="E1081" s="8"/>
      <c r="G1081" s="8"/>
      <c r="J1081" s="8"/>
    </row>
    <row r="1082">
      <c r="C1082" s="15"/>
      <c r="E1082" s="8"/>
      <c r="G1082" s="8"/>
      <c r="J1082" s="8"/>
    </row>
    <row r="1083">
      <c r="C1083" s="15"/>
      <c r="E1083" s="8"/>
      <c r="G1083" s="8"/>
      <c r="J1083" s="8"/>
    </row>
    <row r="1084">
      <c r="C1084" s="15"/>
      <c r="E1084" s="8"/>
      <c r="G1084" s="8"/>
      <c r="J1084" s="8"/>
    </row>
    <row r="1085">
      <c r="C1085" s="15"/>
      <c r="E1085" s="8"/>
      <c r="G1085" s="8"/>
      <c r="J1085" s="8"/>
    </row>
    <row r="1086">
      <c r="C1086" s="15"/>
      <c r="E1086" s="8"/>
      <c r="G1086" s="8"/>
      <c r="J1086" s="8"/>
    </row>
    <row r="1087">
      <c r="C1087" s="15"/>
      <c r="E1087" s="8"/>
      <c r="G1087" s="8"/>
      <c r="J1087" s="8"/>
    </row>
    <row r="1088">
      <c r="C1088" s="15"/>
      <c r="E1088" s="8"/>
      <c r="G1088" s="8"/>
      <c r="J1088" s="8"/>
    </row>
    <row r="1089">
      <c r="C1089" s="15"/>
      <c r="E1089" s="8"/>
      <c r="G1089" s="8"/>
      <c r="J1089" s="8"/>
    </row>
    <row r="1090">
      <c r="C1090" s="15"/>
      <c r="E1090" s="8"/>
      <c r="G1090" s="8"/>
      <c r="J1090" s="8"/>
    </row>
    <row r="1091">
      <c r="C1091" s="15"/>
      <c r="E1091" s="8"/>
      <c r="G1091" s="8"/>
      <c r="J1091" s="8"/>
    </row>
    <row r="1092">
      <c r="C1092" s="15"/>
      <c r="E1092" s="8"/>
      <c r="G1092" s="8"/>
      <c r="J1092" s="8"/>
    </row>
    <row r="1093">
      <c r="C1093" s="15"/>
      <c r="E1093" s="8"/>
      <c r="G1093" s="8"/>
      <c r="J1093" s="8"/>
    </row>
    <row r="1094">
      <c r="C1094" s="15"/>
      <c r="E1094" s="8"/>
      <c r="G1094" s="8"/>
      <c r="J1094" s="8"/>
    </row>
    <row r="1095">
      <c r="C1095" s="15"/>
      <c r="E1095" s="8"/>
      <c r="G1095" s="8"/>
      <c r="J1095" s="8"/>
    </row>
    <row r="1096">
      <c r="C1096" s="15"/>
      <c r="E1096" s="8"/>
      <c r="G1096" s="8"/>
      <c r="J1096" s="8"/>
    </row>
    <row r="1097">
      <c r="C1097" s="15"/>
      <c r="E1097" s="8"/>
      <c r="G1097" s="8"/>
      <c r="J1097" s="8"/>
    </row>
    <row r="1098">
      <c r="C1098" s="15"/>
      <c r="E1098" s="8"/>
      <c r="G1098" s="8"/>
      <c r="J1098" s="8"/>
    </row>
    <row r="1099">
      <c r="C1099" s="15"/>
      <c r="E1099" s="8"/>
      <c r="G1099" s="8"/>
      <c r="J1099" s="8"/>
    </row>
    <row r="1100">
      <c r="C1100" s="15"/>
      <c r="E1100" s="8"/>
      <c r="G1100" s="8"/>
      <c r="J1100" s="8"/>
    </row>
    <row r="1101">
      <c r="C1101" s="15"/>
      <c r="E1101" s="8"/>
      <c r="G1101" s="8"/>
      <c r="J1101" s="8"/>
    </row>
    <row r="1102">
      <c r="C1102" s="15"/>
      <c r="E1102" s="8"/>
      <c r="G1102" s="8"/>
      <c r="J1102" s="8"/>
    </row>
    <row r="1103">
      <c r="C1103" s="15"/>
      <c r="E1103" s="8"/>
      <c r="G1103" s="8"/>
      <c r="J1103" s="8"/>
    </row>
    <row r="1104">
      <c r="C1104" s="15"/>
      <c r="E1104" s="8"/>
      <c r="G1104" s="8"/>
      <c r="J1104" s="8"/>
    </row>
    <row r="1105">
      <c r="C1105" s="15"/>
      <c r="E1105" s="8"/>
      <c r="G1105" s="8"/>
      <c r="J1105" s="8"/>
    </row>
    <row r="1106">
      <c r="C1106" s="15"/>
      <c r="E1106" s="8"/>
      <c r="G1106" s="8"/>
      <c r="J1106" s="8"/>
    </row>
    <row r="1107">
      <c r="C1107" s="15"/>
      <c r="E1107" s="8"/>
      <c r="G1107" s="8"/>
      <c r="J1107" s="8"/>
    </row>
    <row r="1108">
      <c r="C1108" s="15"/>
      <c r="E1108" s="8"/>
      <c r="G1108" s="8"/>
      <c r="J1108" s="8"/>
    </row>
    <row r="1109">
      <c r="C1109" s="15"/>
      <c r="E1109" s="8"/>
      <c r="G1109" s="8"/>
      <c r="J1109" s="8"/>
    </row>
    <row r="1110">
      <c r="C1110" s="15"/>
      <c r="E1110" s="8"/>
      <c r="G1110" s="8"/>
      <c r="J1110" s="8"/>
    </row>
    <row r="1111">
      <c r="C1111" s="15"/>
      <c r="E1111" s="8"/>
      <c r="G1111" s="8"/>
      <c r="J1111" s="8"/>
    </row>
    <row r="1112">
      <c r="C1112" s="15"/>
      <c r="E1112" s="8"/>
      <c r="G1112" s="8"/>
      <c r="J1112" s="8"/>
    </row>
    <row r="1113">
      <c r="C1113" s="15"/>
      <c r="E1113" s="8"/>
      <c r="G1113" s="8"/>
      <c r="J1113" s="8"/>
    </row>
    <row r="1114">
      <c r="C1114" s="15"/>
      <c r="E1114" s="8"/>
      <c r="G1114" s="8"/>
      <c r="J1114" s="8"/>
    </row>
    <row r="1115">
      <c r="C1115" s="15"/>
      <c r="E1115" s="8"/>
      <c r="G1115" s="8"/>
      <c r="J1115" s="8"/>
    </row>
    <row r="1116">
      <c r="C1116" s="15"/>
      <c r="E1116" s="8"/>
      <c r="G1116" s="8"/>
      <c r="J1116" s="8"/>
    </row>
    <row r="1117">
      <c r="C1117" s="15"/>
      <c r="E1117" s="8"/>
      <c r="G1117" s="8"/>
      <c r="J1117" s="8"/>
    </row>
    <row r="1118">
      <c r="C1118" s="15"/>
      <c r="E1118" s="8"/>
      <c r="G1118" s="8"/>
      <c r="J1118" s="8"/>
    </row>
    <row r="1119">
      <c r="C1119" s="15"/>
      <c r="E1119" s="8"/>
      <c r="G1119" s="8"/>
      <c r="J1119" s="8"/>
    </row>
    <row r="1120">
      <c r="C1120" s="15"/>
      <c r="E1120" s="8"/>
      <c r="G1120" s="8"/>
      <c r="J1120" s="8"/>
    </row>
    <row r="1121">
      <c r="C1121" s="15"/>
      <c r="E1121" s="8"/>
      <c r="G1121" s="8"/>
      <c r="J1121" s="8"/>
    </row>
    <row r="1122">
      <c r="C1122" s="15"/>
      <c r="E1122" s="8"/>
      <c r="G1122" s="8"/>
      <c r="J1122" s="8"/>
    </row>
    <row r="1123">
      <c r="C1123" s="15"/>
      <c r="E1123" s="8"/>
      <c r="G1123" s="8"/>
      <c r="J1123" s="8"/>
    </row>
    <row r="1124">
      <c r="C1124" s="15"/>
      <c r="E1124" s="8"/>
      <c r="G1124" s="8"/>
      <c r="J1124" s="8"/>
    </row>
    <row r="1125">
      <c r="C1125" s="15"/>
      <c r="E1125" s="8"/>
      <c r="G1125" s="8"/>
      <c r="J1125" s="8"/>
    </row>
    <row r="1126">
      <c r="C1126" s="15"/>
      <c r="E1126" s="8"/>
      <c r="G1126" s="8"/>
      <c r="J1126" s="8"/>
    </row>
    <row r="1127">
      <c r="C1127" s="15"/>
      <c r="E1127" s="8"/>
      <c r="G1127" s="8"/>
      <c r="J1127" s="8"/>
    </row>
    <row r="1128">
      <c r="C1128" s="15"/>
      <c r="E1128" s="8"/>
      <c r="G1128" s="8"/>
      <c r="J1128" s="8"/>
    </row>
    <row r="1129">
      <c r="C1129" s="15"/>
      <c r="E1129" s="8"/>
      <c r="G1129" s="8"/>
      <c r="J1129" s="8"/>
    </row>
    <row r="1130">
      <c r="C1130" s="15"/>
      <c r="E1130" s="8"/>
      <c r="G1130" s="8"/>
      <c r="J1130" s="8"/>
    </row>
    <row r="1131">
      <c r="C1131" s="15"/>
      <c r="E1131" s="8"/>
      <c r="G1131" s="8"/>
      <c r="J1131" s="8"/>
    </row>
    <row r="1132">
      <c r="C1132" s="15"/>
      <c r="E1132" s="8"/>
      <c r="G1132" s="8"/>
      <c r="J1132" s="8"/>
    </row>
    <row r="1133">
      <c r="C1133" s="15"/>
      <c r="E1133" s="8"/>
      <c r="G1133" s="8"/>
      <c r="J1133" s="8"/>
    </row>
    <row r="1134">
      <c r="C1134" s="15"/>
      <c r="E1134" s="8"/>
      <c r="G1134" s="8"/>
      <c r="J1134" s="8"/>
    </row>
    <row r="1135">
      <c r="C1135" s="15"/>
      <c r="E1135" s="8"/>
      <c r="G1135" s="8"/>
      <c r="J1135" s="8"/>
    </row>
    <row r="1136">
      <c r="C1136" s="15"/>
      <c r="E1136" s="8"/>
      <c r="G1136" s="8"/>
      <c r="J1136" s="8"/>
    </row>
    <row r="1137">
      <c r="C1137" s="15"/>
      <c r="E1137" s="8"/>
      <c r="G1137" s="8"/>
      <c r="J1137" s="8"/>
    </row>
    <row r="1138">
      <c r="C1138" s="15"/>
      <c r="E1138" s="8"/>
      <c r="G1138" s="8"/>
      <c r="J1138" s="8"/>
    </row>
    <row r="1139">
      <c r="C1139" s="15"/>
      <c r="E1139" s="8"/>
      <c r="G1139" s="8"/>
      <c r="J1139" s="8"/>
    </row>
    <row r="1140">
      <c r="C1140" s="15"/>
      <c r="E1140" s="8"/>
      <c r="G1140" s="8"/>
      <c r="J1140" s="8"/>
    </row>
    <row r="1141">
      <c r="C1141" s="15"/>
      <c r="E1141" s="8"/>
      <c r="G1141" s="8"/>
      <c r="J1141" s="8"/>
    </row>
    <row r="1142">
      <c r="C1142" s="15"/>
      <c r="E1142" s="8"/>
      <c r="G1142" s="8"/>
      <c r="J1142" s="8"/>
    </row>
    <row r="1143">
      <c r="C1143" s="15"/>
      <c r="E1143" s="8"/>
      <c r="G1143" s="8"/>
      <c r="J1143" s="8"/>
    </row>
    <row r="1144">
      <c r="C1144" s="15"/>
      <c r="E1144" s="8"/>
      <c r="G1144" s="8"/>
      <c r="J1144" s="8"/>
    </row>
    <row r="1145">
      <c r="C1145" s="15"/>
      <c r="E1145" s="8"/>
      <c r="G1145" s="8"/>
      <c r="J1145" s="8"/>
    </row>
    <row r="1146">
      <c r="C1146" s="15"/>
      <c r="E1146" s="8"/>
      <c r="G1146" s="8"/>
      <c r="J1146" s="8"/>
    </row>
    <row r="1147">
      <c r="C1147" s="15"/>
      <c r="E1147" s="8"/>
      <c r="G1147" s="8"/>
      <c r="J1147" s="8"/>
    </row>
    <row r="1148">
      <c r="C1148" s="15"/>
      <c r="E1148" s="8"/>
      <c r="G1148" s="8"/>
      <c r="J1148" s="8"/>
    </row>
    <row r="1149">
      <c r="C1149" s="15"/>
      <c r="E1149" s="8"/>
      <c r="G1149" s="8"/>
      <c r="J1149" s="8"/>
    </row>
    <row r="1150">
      <c r="C1150" s="15"/>
      <c r="E1150" s="8"/>
      <c r="G1150" s="8"/>
      <c r="J1150" s="8"/>
    </row>
    <row r="1151">
      <c r="C1151" s="15"/>
      <c r="E1151" s="8"/>
      <c r="G1151" s="8"/>
      <c r="J1151" s="8"/>
    </row>
    <row r="1152">
      <c r="C1152" s="15"/>
      <c r="E1152" s="8"/>
      <c r="G1152" s="8"/>
      <c r="J1152" s="8"/>
    </row>
    <row r="1153">
      <c r="C1153" s="15"/>
      <c r="E1153" s="8"/>
      <c r="G1153" s="8"/>
      <c r="J1153" s="8"/>
    </row>
    <row r="1154">
      <c r="C1154" s="15"/>
      <c r="E1154" s="8"/>
      <c r="G1154" s="8"/>
      <c r="J1154" s="8"/>
    </row>
    <row r="1155">
      <c r="C1155" s="15"/>
      <c r="E1155" s="8"/>
      <c r="G1155" s="8"/>
      <c r="J1155" s="8"/>
    </row>
    <row r="1156">
      <c r="C1156" s="15"/>
      <c r="E1156" s="8"/>
      <c r="G1156" s="8"/>
      <c r="J1156" s="8"/>
    </row>
    <row r="1157">
      <c r="C1157" s="15"/>
      <c r="E1157" s="8"/>
      <c r="G1157" s="8"/>
      <c r="J1157" s="8"/>
    </row>
    <row r="1158">
      <c r="C1158" s="15"/>
      <c r="E1158" s="8"/>
      <c r="G1158" s="8"/>
      <c r="J1158" s="8"/>
    </row>
    <row r="1159">
      <c r="C1159" s="15"/>
      <c r="E1159" s="8"/>
      <c r="G1159" s="8"/>
      <c r="J1159" s="8"/>
    </row>
    <row r="1160">
      <c r="C1160" s="15"/>
      <c r="E1160" s="8"/>
      <c r="G1160" s="8"/>
      <c r="J1160" s="8"/>
    </row>
    <row r="1161">
      <c r="C1161" s="15"/>
      <c r="E1161" s="8"/>
      <c r="G1161" s="8"/>
      <c r="J1161" s="8"/>
    </row>
    <row r="1162">
      <c r="C1162" s="15"/>
      <c r="E1162" s="8"/>
      <c r="G1162" s="8"/>
      <c r="J1162" s="8"/>
    </row>
    <row r="1163">
      <c r="C1163" s="15"/>
      <c r="E1163" s="8"/>
      <c r="G1163" s="8"/>
      <c r="J1163" s="8"/>
    </row>
    <row r="1164">
      <c r="C1164" s="15"/>
      <c r="E1164" s="8"/>
      <c r="G1164" s="8"/>
      <c r="J1164" s="8"/>
    </row>
    <row r="1165">
      <c r="C1165" s="15"/>
      <c r="E1165" s="8"/>
      <c r="G1165" s="8"/>
      <c r="J1165" s="8"/>
    </row>
    <row r="1166">
      <c r="C1166" s="15"/>
      <c r="E1166" s="8"/>
      <c r="G1166" s="8"/>
      <c r="J1166" s="8"/>
    </row>
    <row r="1167">
      <c r="C1167" s="15"/>
      <c r="E1167" s="8"/>
      <c r="G1167" s="8"/>
      <c r="J1167" s="8"/>
    </row>
    <row r="1168">
      <c r="C1168" s="15"/>
      <c r="E1168" s="8"/>
      <c r="G1168" s="8"/>
      <c r="J1168" s="8"/>
    </row>
    <row r="1169">
      <c r="C1169" s="15"/>
      <c r="E1169" s="8"/>
      <c r="G1169" s="8"/>
      <c r="J1169" s="8"/>
    </row>
    <row r="1170">
      <c r="C1170" s="15"/>
      <c r="E1170" s="8"/>
      <c r="G1170" s="8"/>
      <c r="J1170" s="8"/>
    </row>
    <row r="1171">
      <c r="C1171" s="15"/>
      <c r="E1171" s="8"/>
      <c r="G1171" s="8"/>
      <c r="J1171" s="8"/>
    </row>
    <row r="1172">
      <c r="C1172" s="15"/>
      <c r="E1172" s="8"/>
      <c r="G1172" s="8"/>
      <c r="J1172" s="8"/>
    </row>
    <row r="1173">
      <c r="C1173" s="15"/>
      <c r="E1173" s="8"/>
      <c r="G1173" s="8"/>
      <c r="J1173" s="8"/>
    </row>
    <row r="1174">
      <c r="C1174" s="15"/>
      <c r="E1174" s="8"/>
      <c r="G1174" s="8"/>
      <c r="J1174" s="8"/>
    </row>
    <row r="1175">
      <c r="C1175" s="15"/>
      <c r="E1175" s="8"/>
      <c r="G1175" s="8"/>
      <c r="J1175" s="8"/>
    </row>
    <row r="1176">
      <c r="C1176" s="15"/>
      <c r="E1176" s="8"/>
      <c r="G1176" s="8"/>
      <c r="J1176" s="8"/>
    </row>
    <row r="1177">
      <c r="C1177" s="15"/>
      <c r="E1177" s="8"/>
      <c r="G1177" s="8"/>
      <c r="J1177" s="8"/>
    </row>
    <row r="1178">
      <c r="C1178" s="15"/>
      <c r="E1178" s="8"/>
      <c r="G1178" s="8"/>
      <c r="J1178" s="8"/>
    </row>
    <row r="1179">
      <c r="C1179" s="15"/>
      <c r="E1179" s="8"/>
      <c r="G1179" s="8"/>
      <c r="J1179" s="8"/>
    </row>
    <row r="1180">
      <c r="C1180" s="15"/>
      <c r="E1180" s="8"/>
      <c r="G1180" s="8"/>
      <c r="J1180" s="8"/>
    </row>
    <row r="1181">
      <c r="C1181" s="15"/>
      <c r="E1181" s="8"/>
      <c r="G1181" s="8"/>
      <c r="J1181" s="8"/>
    </row>
    <row r="1182">
      <c r="C1182" s="15"/>
      <c r="E1182" s="8"/>
      <c r="G1182" s="8"/>
      <c r="J1182" s="8"/>
    </row>
    <row r="1183">
      <c r="C1183" s="15"/>
      <c r="E1183" s="8"/>
      <c r="G1183" s="8"/>
      <c r="J1183" s="8"/>
    </row>
    <row r="1184">
      <c r="C1184" s="15"/>
      <c r="E1184" s="8"/>
      <c r="G1184" s="8"/>
      <c r="J1184" s="8"/>
    </row>
    <row r="1185">
      <c r="C1185" s="15"/>
      <c r="E1185" s="8"/>
      <c r="G1185" s="8"/>
      <c r="J1185" s="8"/>
    </row>
    <row r="1186">
      <c r="C1186" s="15"/>
      <c r="E1186" s="8"/>
      <c r="G1186" s="8"/>
      <c r="J1186" s="8"/>
    </row>
    <row r="1187">
      <c r="C1187" s="15"/>
      <c r="E1187" s="8"/>
      <c r="G1187" s="8"/>
      <c r="J1187" s="8"/>
    </row>
    <row r="1188">
      <c r="C1188" s="15"/>
      <c r="E1188" s="8"/>
      <c r="G1188" s="8"/>
      <c r="J1188" s="8"/>
    </row>
    <row r="1189">
      <c r="C1189" s="15"/>
      <c r="E1189" s="8"/>
      <c r="G1189" s="8"/>
      <c r="J1189" s="8"/>
    </row>
    <row r="1190">
      <c r="C1190" s="15"/>
      <c r="E1190" s="8"/>
      <c r="G1190" s="8"/>
      <c r="J1190" s="8"/>
    </row>
    <row r="1191">
      <c r="C1191" s="15"/>
      <c r="E1191" s="8"/>
      <c r="G1191" s="8"/>
      <c r="J1191" s="8"/>
    </row>
    <row r="1192">
      <c r="C1192" s="15"/>
      <c r="E1192" s="8"/>
      <c r="G1192" s="8"/>
      <c r="J1192" s="8"/>
    </row>
    <row r="1193">
      <c r="C1193" s="15"/>
      <c r="E1193" s="8"/>
      <c r="G1193" s="8"/>
      <c r="J1193" s="8"/>
    </row>
    <row r="1194">
      <c r="C1194" s="15"/>
      <c r="E1194" s="8"/>
      <c r="G1194" s="8"/>
      <c r="J1194" s="8"/>
    </row>
    <row r="1195">
      <c r="C1195" s="15"/>
      <c r="E1195" s="8"/>
      <c r="G1195" s="8"/>
      <c r="J1195" s="8"/>
    </row>
    <row r="1196">
      <c r="C1196" s="15"/>
      <c r="E1196" s="8"/>
      <c r="G1196" s="8"/>
      <c r="J1196" s="8"/>
    </row>
    <row r="1197">
      <c r="C1197" s="15"/>
      <c r="E1197" s="8"/>
      <c r="G1197" s="8"/>
      <c r="J1197" s="8"/>
    </row>
    <row r="1198">
      <c r="C1198" s="15"/>
      <c r="E1198" s="8"/>
      <c r="G1198" s="8"/>
      <c r="J1198" s="8"/>
    </row>
    <row r="1199">
      <c r="C1199" s="15"/>
      <c r="E1199" s="8"/>
      <c r="G1199" s="8"/>
      <c r="J1199" s="8"/>
    </row>
    <row r="1200">
      <c r="C1200" s="15"/>
      <c r="E1200" s="8"/>
      <c r="G1200" s="8"/>
      <c r="J1200" s="8"/>
    </row>
    <row r="1201">
      <c r="C1201" s="15"/>
      <c r="E1201" s="8"/>
      <c r="G1201" s="8"/>
      <c r="J1201" s="8"/>
    </row>
    <row r="1202">
      <c r="C1202" s="15"/>
      <c r="E1202" s="8"/>
      <c r="G1202" s="8"/>
      <c r="J1202" s="8"/>
    </row>
    <row r="1203">
      <c r="C1203" s="15"/>
      <c r="E1203" s="8"/>
      <c r="G1203" s="8"/>
      <c r="J1203" s="8"/>
    </row>
    <row r="1204">
      <c r="C1204" s="15"/>
      <c r="E1204" s="8"/>
      <c r="G1204" s="8"/>
      <c r="J1204" s="8"/>
    </row>
    <row r="1205">
      <c r="C1205" s="15"/>
      <c r="E1205" s="8"/>
      <c r="G1205" s="8"/>
      <c r="J1205" s="8"/>
    </row>
    <row r="1206">
      <c r="C1206" s="15"/>
      <c r="E1206" s="8"/>
      <c r="G1206" s="8"/>
      <c r="J1206" s="8"/>
    </row>
    <row r="1207">
      <c r="C1207" s="15"/>
      <c r="E1207" s="8"/>
      <c r="G1207" s="8"/>
      <c r="J1207" s="8"/>
    </row>
    <row r="1208">
      <c r="C1208" s="15"/>
      <c r="E1208" s="8"/>
      <c r="G1208" s="8"/>
      <c r="J1208" s="8"/>
    </row>
    <row r="1209">
      <c r="C1209" s="15"/>
      <c r="E1209" s="8"/>
      <c r="G1209" s="8"/>
      <c r="J1209" s="8"/>
    </row>
    <row r="1210">
      <c r="C1210" s="15"/>
      <c r="E1210" s="8"/>
      <c r="G1210" s="8"/>
      <c r="J1210" s="8"/>
    </row>
    <row r="1211">
      <c r="C1211" s="15"/>
      <c r="E1211" s="8"/>
      <c r="G1211" s="8"/>
      <c r="J1211" s="8"/>
    </row>
    <row r="1212">
      <c r="C1212" s="15"/>
      <c r="E1212" s="8"/>
      <c r="G1212" s="8"/>
      <c r="J1212" s="8"/>
    </row>
    <row r="1213">
      <c r="C1213" s="15"/>
      <c r="E1213" s="8"/>
      <c r="G1213" s="8"/>
      <c r="J1213" s="8"/>
    </row>
    <row r="1214">
      <c r="C1214" s="15"/>
      <c r="E1214" s="8"/>
      <c r="G1214" s="8"/>
      <c r="J1214" s="8"/>
    </row>
    <row r="1215">
      <c r="C1215" s="15"/>
      <c r="E1215" s="8"/>
      <c r="G1215" s="8"/>
      <c r="J1215" s="8"/>
    </row>
    <row r="1216">
      <c r="C1216" s="15"/>
      <c r="E1216" s="8"/>
      <c r="G1216" s="8"/>
      <c r="J1216" s="8"/>
    </row>
    <row r="1217">
      <c r="C1217" s="15"/>
      <c r="E1217" s="8"/>
      <c r="G1217" s="8"/>
      <c r="J1217" s="8"/>
    </row>
    <row r="1218">
      <c r="C1218" s="15"/>
      <c r="E1218" s="8"/>
      <c r="G1218" s="8"/>
      <c r="J1218" s="8"/>
    </row>
    <row r="1219">
      <c r="C1219" s="15"/>
      <c r="E1219" s="8"/>
      <c r="G1219" s="8"/>
      <c r="J1219" s="8"/>
    </row>
    <row r="1220">
      <c r="C1220" s="15"/>
      <c r="E1220" s="8"/>
      <c r="G1220" s="8"/>
      <c r="J1220" s="8"/>
    </row>
    <row r="1221">
      <c r="C1221" s="15"/>
      <c r="E1221" s="8"/>
      <c r="G1221" s="8"/>
      <c r="J1221" s="8"/>
    </row>
    <row r="1222">
      <c r="C1222" s="15"/>
      <c r="E1222" s="8"/>
      <c r="G1222" s="8"/>
      <c r="J1222" s="8"/>
    </row>
    <row r="1223">
      <c r="C1223" s="15"/>
      <c r="E1223" s="8"/>
      <c r="G1223" s="8"/>
      <c r="J1223" s="8"/>
    </row>
    <row r="1224">
      <c r="C1224" s="15"/>
      <c r="E1224" s="8"/>
      <c r="G1224" s="8"/>
      <c r="J1224" s="8"/>
    </row>
    <row r="1225">
      <c r="C1225" s="15"/>
      <c r="E1225" s="8"/>
      <c r="G1225" s="8"/>
      <c r="J1225" s="8"/>
    </row>
    <row r="1226">
      <c r="C1226" s="15"/>
      <c r="E1226" s="8"/>
      <c r="G1226" s="8"/>
      <c r="J1226" s="8"/>
    </row>
    <row r="1227">
      <c r="C1227" s="15"/>
      <c r="E1227" s="8"/>
      <c r="G1227" s="8"/>
      <c r="J1227" s="8"/>
    </row>
    <row r="1228">
      <c r="C1228" s="15"/>
      <c r="E1228" s="8"/>
      <c r="G1228" s="8"/>
      <c r="J1228" s="8"/>
    </row>
    <row r="1229">
      <c r="C1229" s="15"/>
      <c r="E1229" s="8"/>
      <c r="G1229" s="8"/>
      <c r="J1229" s="8"/>
    </row>
    <row r="1230">
      <c r="C1230" s="15"/>
      <c r="E1230" s="8"/>
      <c r="G1230" s="8"/>
      <c r="J1230" s="8"/>
    </row>
    <row r="1231">
      <c r="C1231" s="15"/>
      <c r="E1231" s="8"/>
      <c r="G1231" s="8"/>
      <c r="J1231" s="8"/>
    </row>
    <row r="1232">
      <c r="C1232" s="15"/>
      <c r="E1232" s="8"/>
      <c r="G1232" s="8"/>
      <c r="J1232" s="8"/>
    </row>
    <row r="1233">
      <c r="C1233" s="15"/>
      <c r="E1233" s="8"/>
      <c r="G1233" s="8"/>
      <c r="J1233" s="8"/>
    </row>
    <row r="1234">
      <c r="C1234" s="15"/>
      <c r="E1234" s="8"/>
      <c r="G1234" s="8"/>
      <c r="J1234" s="8"/>
    </row>
    <row r="1235">
      <c r="C1235" s="15"/>
      <c r="E1235" s="8"/>
      <c r="G1235" s="8"/>
      <c r="J1235" s="8"/>
    </row>
    <row r="1236">
      <c r="C1236" s="15"/>
      <c r="E1236" s="8"/>
      <c r="G1236" s="8"/>
      <c r="J1236" s="8"/>
    </row>
    <row r="1237">
      <c r="C1237" s="15"/>
      <c r="E1237" s="8"/>
      <c r="G1237" s="8"/>
      <c r="J1237" s="8"/>
    </row>
    <row r="1238">
      <c r="C1238" s="15"/>
      <c r="E1238" s="8"/>
      <c r="G1238" s="8"/>
      <c r="J1238" s="8"/>
    </row>
    <row r="1239">
      <c r="C1239" s="15"/>
      <c r="E1239" s="8"/>
      <c r="G1239" s="8"/>
      <c r="J1239" s="8"/>
    </row>
    <row r="1240">
      <c r="C1240" s="15"/>
      <c r="E1240" s="8"/>
      <c r="G1240" s="8"/>
      <c r="J1240" s="8"/>
    </row>
    <row r="1241">
      <c r="C1241" s="15"/>
      <c r="E1241" s="8"/>
      <c r="G1241" s="8"/>
      <c r="J1241" s="8"/>
    </row>
    <row r="1242">
      <c r="C1242" s="15"/>
      <c r="E1242" s="8"/>
      <c r="G1242" s="8"/>
      <c r="J1242" s="8"/>
    </row>
    <row r="1243">
      <c r="C1243" s="15"/>
      <c r="E1243" s="8"/>
      <c r="G1243" s="8"/>
      <c r="J1243" s="8"/>
    </row>
    <row r="1244">
      <c r="C1244" s="15"/>
      <c r="E1244" s="8"/>
      <c r="G1244" s="8"/>
      <c r="J1244" s="8"/>
    </row>
    <row r="1245">
      <c r="C1245" s="15"/>
      <c r="E1245" s="8"/>
      <c r="G1245" s="8"/>
      <c r="J1245" s="8"/>
    </row>
    <row r="1246">
      <c r="C1246" s="15"/>
      <c r="E1246" s="8"/>
      <c r="G1246" s="8"/>
      <c r="J1246" s="8"/>
    </row>
    <row r="1247">
      <c r="C1247" s="15"/>
      <c r="E1247" s="8"/>
      <c r="G1247" s="8"/>
      <c r="J1247" s="8"/>
    </row>
    <row r="1248">
      <c r="C1248" s="15"/>
      <c r="E1248" s="8"/>
      <c r="G1248" s="8"/>
      <c r="J1248" s="8"/>
    </row>
    <row r="1249">
      <c r="C1249" s="15"/>
      <c r="E1249" s="8"/>
      <c r="G1249" s="8"/>
      <c r="J1249" s="8"/>
    </row>
    <row r="1250">
      <c r="C1250" s="15"/>
      <c r="E1250" s="8"/>
      <c r="G1250" s="8"/>
      <c r="J1250" s="8"/>
    </row>
    <row r="1251">
      <c r="C1251" s="15"/>
      <c r="E1251" s="8"/>
      <c r="G1251" s="8"/>
      <c r="J1251" s="8"/>
    </row>
    <row r="1252">
      <c r="C1252" s="15"/>
      <c r="E1252" s="8"/>
      <c r="G1252" s="8"/>
      <c r="J1252" s="8"/>
    </row>
    <row r="1253">
      <c r="C1253" s="15"/>
      <c r="E1253" s="8"/>
      <c r="G1253" s="8"/>
      <c r="J1253" s="8"/>
    </row>
    <row r="1254">
      <c r="C1254" s="15"/>
      <c r="E1254" s="8"/>
      <c r="G1254" s="8"/>
      <c r="J1254" s="8"/>
    </row>
    <row r="1255">
      <c r="C1255" s="15"/>
      <c r="E1255" s="8"/>
      <c r="G1255" s="8"/>
      <c r="J1255" s="8"/>
    </row>
    <row r="1256">
      <c r="C1256" s="15"/>
      <c r="E1256" s="8"/>
      <c r="G1256" s="8"/>
      <c r="J1256" s="8"/>
    </row>
    <row r="1257">
      <c r="C1257" s="15"/>
      <c r="E1257" s="8"/>
      <c r="G1257" s="8"/>
      <c r="J1257" s="8"/>
    </row>
    <row r="1258">
      <c r="C1258" s="15"/>
      <c r="E1258" s="8"/>
      <c r="G1258" s="8"/>
      <c r="J1258" s="8"/>
    </row>
    <row r="1259">
      <c r="C1259" s="15"/>
      <c r="E1259" s="8"/>
      <c r="G1259" s="8"/>
      <c r="J1259" s="8"/>
    </row>
    <row r="1260">
      <c r="C1260" s="15"/>
      <c r="E1260" s="8"/>
      <c r="G1260" s="8"/>
      <c r="J1260" s="8"/>
    </row>
    <row r="1261">
      <c r="C1261" s="15"/>
      <c r="E1261" s="8"/>
      <c r="G1261" s="8"/>
      <c r="J1261" s="8"/>
    </row>
    <row r="1262">
      <c r="C1262" s="15"/>
      <c r="E1262" s="8"/>
      <c r="G1262" s="8"/>
      <c r="J1262" s="8"/>
    </row>
    <row r="1263">
      <c r="C1263" s="15"/>
      <c r="E1263" s="8"/>
      <c r="G1263" s="8"/>
      <c r="J1263" s="8"/>
    </row>
    <row r="1264">
      <c r="C1264" s="15"/>
      <c r="E1264" s="8"/>
      <c r="G1264" s="8"/>
      <c r="J1264" s="8"/>
    </row>
    <row r="1265">
      <c r="C1265" s="15"/>
      <c r="E1265" s="8"/>
      <c r="G1265" s="8"/>
      <c r="J1265" s="8"/>
    </row>
    <row r="1266">
      <c r="C1266" s="15"/>
      <c r="E1266" s="8"/>
      <c r="G1266" s="8"/>
      <c r="J1266" s="8"/>
    </row>
    <row r="1267">
      <c r="C1267" s="15"/>
      <c r="E1267" s="8"/>
      <c r="G1267" s="8"/>
      <c r="J1267" s="8"/>
    </row>
    <row r="1268">
      <c r="C1268" s="15"/>
      <c r="E1268" s="8"/>
      <c r="G1268" s="8"/>
      <c r="J1268" s="8"/>
    </row>
    <row r="1269">
      <c r="C1269" s="15"/>
      <c r="E1269" s="8"/>
      <c r="G1269" s="8"/>
      <c r="J1269" s="8"/>
    </row>
    <row r="1270">
      <c r="C1270" s="15"/>
      <c r="E1270" s="8"/>
      <c r="G1270" s="8"/>
      <c r="J1270" s="8"/>
    </row>
    <row r="1271">
      <c r="C1271" s="15"/>
      <c r="E1271" s="8"/>
      <c r="G1271" s="8"/>
      <c r="J1271" s="8"/>
    </row>
    <row r="1272">
      <c r="C1272" s="15"/>
      <c r="E1272" s="8"/>
      <c r="G1272" s="8"/>
      <c r="J1272" s="8"/>
    </row>
    <row r="1273">
      <c r="C1273" s="15"/>
      <c r="E1273" s="8"/>
      <c r="G1273" s="8"/>
      <c r="J1273" s="8"/>
    </row>
    <row r="1274">
      <c r="C1274" s="15"/>
      <c r="E1274" s="8"/>
      <c r="G1274" s="8"/>
      <c r="J1274" s="8"/>
    </row>
    <row r="1275">
      <c r="C1275" s="15"/>
      <c r="E1275" s="8"/>
      <c r="G1275" s="8"/>
      <c r="J1275" s="8"/>
    </row>
    <row r="1276">
      <c r="C1276" s="15"/>
      <c r="E1276" s="8"/>
      <c r="G1276" s="8"/>
      <c r="J1276" s="8"/>
    </row>
    <row r="1277">
      <c r="C1277" s="15"/>
      <c r="E1277" s="8"/>
      <c r="G1277" s="8"/>
      <c r="J1277" s="8"/>
    </row>
    <row r="1278">
      <c r="C1278" s="15"/>
      <c r="E1278" s="8"/>
      <c r="G1278" s="8"/>
      <c r="J1278" s="8"/>
    </row>
    <row r="1279">
      <c r="C1279" s="15"/>
      <c r="E1279" s="8"/>
      <c r="G1279" s="8"/>
      <c r="J1279" s="8"/>
    </row>
    <row r="1280">
      <c r="C1280" s="15"/>
      <c r="E1280" s="8"/>
      <c r="G1280" s="8"/>
      <c r="J1280" s="8"/>
    </row>
    <row r="1281">
      <c r="C1281" s="15"/>
      <c r="E1281" s="8"/>
      <c r="G1281" s="8"/>
      <c r="J1281" s="8"/>
    </row>
    <row r="1282">
      <c r="C1282" s="15"/>
      <c r="E1282" s="8"/>
      <c r="G1282" s="8"/>
      <c r="J1282" s="8"/>
    </row>
    <row r="1283">
      <c r="C1283" s="15"/>
      <c r="E1283" s="8"/>
      <c r="G1283" s="8"/>
      <c r="J1283" s="8"/>
    </row>
    <row r="1284">
      <c r="C1284" s="15"/>
      <c r="E1284" s="8"/>
      <c r="G1284" s="8"/>
      <c r="J1284" s="8"/>
    </row>
    <row r="1285">
      <c r="C1285" s="15"/>
      <c r="E1285" s="8"/>
      <c r="G1285" s="8"/>
      <c r="J1285" s="8"/>
    </row>
    <row r="1286">
      <c r="C1286" s="15"/>
      <c r="E1286" s="8"/>
      <c r="G1286" s="8"/>
      <c r="J1286" s="8"/>
    </row>
    <row r="1287">
      <c r="C1287" s="15"/>
      <c r="E1287" s="8"/>
      <c r="G1287" s="8"/>
      <c r="J1287" s="8"/>
    </row>
    <row r="1288">
      <c r="C1288" s="15"/>
      <c r="E1288" s="8"/>
      <c r="G1288" s="8"/>
      <c r="J1288" s="8"/>
    </row>
    <row r="1289">
      <c r="C1289" s="15"/>
      <c r="E1289" s="8"/>
      <c r="G1289" s="8"/>
      <c r="J1289" s="8"/>
    </row>
    <row r="1290">
      <c r="C1290" s="15"/>
      <c r="E1290" s="8"/>
      <c r="G1290" s="8"/>
      <c r="J1290" s="8"/>
    </row>
    <row r="1291">
      <c r="C1291" s="15"/>
      <c r="E1291" s="8"/>
      <c r="G1291" s="8"/>
      <c r="J1291" s="8"/>
    </row>
    <row r="1292">
      <c r="C1292" s="15"/>
      <c r="E1292" s="8"/>
      <c r="G1292" s="8"/>
      <c r="J1292" s="8"/>
    </row>
    <row r="1293">
      <c r="C1293" s="15"/>
      <c r="E1293" s="8"/>
      <c r="G1293" s="8"/>
      <c r="J1293" s="8"/>
    </row>
    <row r="1294">
      <c r="C1294" s="15"/>
      <c r="E1294" s="8"/>
      <c r="G1294" s="8"/>
      <c r="J1294" s="8"/>
    </row>
    <row r="1295">
      <c r="C1295" s="15"/>
      <c r="E1295" s="8"/>
      <c r="G1295" s="8"/>
      <c r="J1295" s="8"/>
    </row>
    <row r="1296">
      <c r="C1296" s="15"/>
      <c r="E1296" s="8"/>
      <c r="G1296" s="8"/>
      <c r="J1296" s="8"/>
    </row>
    <row r="1297">
      <c r="C1297" s="15"/>
      <c r="E1297" s="8"/>
      <c r="G1297" s="8"/>
      <c r="J1297" s="8"/>
    </row>
    <row r="1298">
      <c r="C1298" s="15"/>
      <c r="E1298" s="8"/>
      <c r="G1298" s="8"/>
      <c r="J1298" s="8"/>
    </row>
    <row r="1299">
      <c r="C1299" s="15"/>
      <c r="E1299" s="8"/>
      <c r="G1299" s="8"/>
      <c r="J1299" s="8"/>
    </row>
    <row r="1300">
      <c r="C1300" s="15"/>
      <c r="E1300" s="8"/>
      <c r="G1300" s="8"/>
      <c r="J1300" s="8"/>
    </row>
    <row r="1301">
      <c r="C1301" s="15"/>
      <c r="E1301" s="8"/>
      <c r="G1301" s="8"/>
      <c r="J1301" s="8"/>
    </row>
    <row r="1302">
      <c r="C1302" s="15"/>
      <c r="E1302" s="8"/>
      <c r="G1302" s="8"/>
      <c r="J1302" s="8"/>
    </row>
    <row r="1303">
      <c r="C1303" s="15"/>
      <c r="E1303" s="8"/>
      <c r="G1303" s="8"/>
      <c r="J1303" s="8"/>
    </row>
    <row r="1304">
      <c r="C1304" s="15"/>
      <c r="E1304" s="8"/>
      <c r="G1304" s="8"/>
      <c r="J1304" s="8"/>
    </row>
    <row r="1305">
      <c r="C1305" s="15"/>
      <c r="E1305" s="8"/>
      <c r="G1305" s="8"/>
      <c r="J1305" s="8"/>
    </row>
    <row r="1306">
      <c r="C1306" s="15"/>
      <c r="E1306" s="8"/>
      <c r="G1306" s="8"/>
      <c r="J1306" s="8"/>
    </row>
    <row r="1307">
      <c r="C1307" s="15"/>
      <c r="E1307" s="8"/>
      <c r="G1307" s="8"/>
      <c r="J1307" s="8"/>
    </row>
    <row r="1308">
      <c r="C1308" s="15"/>
      <c r="E1308" s="8"/>
      <c r="G1308" s="8"/>
      <c r="J1308" s="8"/>
    </row>
    <row r="1309">
      <c r="C1309" s="15"/>
      <c r="E1309" s="8"/>
      <c r="G1309" s="8"/>
      <c r="J1309" s="8"/>
    </row>
    <row r="1310">
      <c r="C1310" s="15"/>
      <c r="E1310" s="8"/>
      <c r="G1310" s="8"/>
      <c r="J1310" s="8"/>
    </row>
    <row r="1311">
      <c r="C1311" s="15"/>
      <c r="E1311" s="8"/>
      <c r="G1311" s="8"/>
      <c r="J1311" s="8"/>
    </row>
    <row r="1312">
      <c r="C1312" s="15"/>
      <c r="E1312" s="8"/>
      <c r="G1312" s="8"/>
      <c r="J1312" s="8"/>
    </row>
    <row r="1313">
      <c r="C1313" s="15"/>
      <c r="E1313" s="8"/>
      <c r="G1313" s="8"/>
      <c r="J1313" s="8"/>
    </row>
    <row r="1314">
      <c r="C1314" s="15"/>
      <c r="E1314" s="8"/>
      <c r="G1314" s="8"/>
      <c r="J1314" s="8"/>
    </row>
    <row r="1315">
      <c r="C1315" s="15"/>
      <c r="E1315" s="8"/>
      <c r="G1315" s="8"/>
      <c r="J1315" s="8"/>
    </row>
    <row r="1316">
      <c r="C1316" s="15"/>
      <c r="E1316" s="8"/>
      <c r="G1316" s="8"/>
      <c r="J1316" s="8"/>
    </row>
    <row r="1317">
      <c r="C1317" s="15"/>
      <c r="E1317" s="8"/>
      <c r="G1317" s="8"/>
      <c r="J1317" s="8"/>
    </row>
    <row r="1318">
      <c r="C1318" s="15"/>
      <c r="E1318" s="8"/>
      <c r="G1318" s="8"/>
      <c r="J1318" s="8"/>
    </row>
    <row r="1319">
      <c r="C1319" s="15"/>
      <c r="E1319" s="8"/>
      <c r="G1319" s="8"/>
      <c r="J1319" s="8"/>
    </row>
    <row r="1320">
      <c r="C1320" s="15"/>
      <c r="E1320" s="8"/>
      <c r="G1320" s="8"/>
      <c r="J1320" s="8"/>
    </row>
    <row r="1321">
      <c r="C1321" s="15"/>
      <c r="E1321" s="8"/>
      <c r="G1321" s="8"/>
      <c r="J1321" s="8"/>
    </row>
    <row r="1322">
      <c r="C1322" s="15"/>
      <c r="E1322" s="8"/>
      <c r="G1322" s="8"/>
      <c r="J1322" s="8"/>
    </row>
    <row r="1323">
      <c r="C1323" s="15"/>
      <c r="E1323" s="8"/>
      <c r="G1323" s="8"/>
      <c r="J1323" s="8"/>
    </row>
    <row r="1324">
      <c r="C1324" s="15"/>
      <c r="E1324" s="8"/>
      <c r="G1324" s="8"/>
      <c r="J1324" s="8"/>
    </row>
    <row r="1325">
      <c r="C1325" s="15"/>
      <c r="E1325" s="8"/>
      <c r="G1325" s="8"/>
      <c r="J1325" s="8"/>
    </row>
    <row r="1326">
      <c r="C1326" s="15"/>
      <c r="E1326" s="8"/>
      <c r="G1326" s="8"/>
      <c r="J1326" s="8"/>
    </row>
    <row r="1327">
      <c r="C1327" s="15"/>
      <c r="E1327" s="8"/>
      <c r="G1327" s="8"/>
      <c r="J1327" s="8"/>
    </row>
    <row r="1328">
      <c r="C1328" s="15"/>
      <c r="E1328" s="8"/>
      <c r="G1328" s="8"/>
      <c r="J1328" s="8"/>
    </row>
    <row r="1329">
      <c r="C1329" s="15"/>
      <c r="E1329" s="8"/>
      <c r="G1329" s="8"/>
      <c r="J1329" s="8"/>
    </row>
    <row r="1330">
      <c r="C1330" s="15"/>
      <c r="E1330" s="8"/>
      <c r="G1330" s="8"/>
      <c r="J1330" s="8"/>
    </row>
    <row r="1331">
      <c r="C1331" s="15"/>
      <c r="E1331" s="8"/>
      <c r="G1331" s="8"/>
      <c r="J1331" s="8"/>
    </row>
    <row r="1332">
      <c r="C1332" s="15"/>
      <c r="E1332" s="8"/>
      <c r="G1332" s="8"/>
      <c r="J1332" s="8"/>
    </row>
    <row r="1333">
      <c r="C1333" s="15"/>
      <c r="E1333" s="8"/>
      <c r="G1333" s="8"/>
      <c r="J1333" s="8"/>
    </row>
    <row r="1334">
      <c r="C1334" s="15"/>
      <c r="E1334" s="8"/>
      <c r="G1334" s="8"/>
      <c r="J1334" s="8"/>
    </row>
    <row r="1335">
      <c r="C1335" s="15"/>
      <c r="E1335" s="8"/>
      <c r="G1335" s="8"/>
      <c r="J1335" s="8"/>
    </row>
    <row r="1336">
      <c r="C1336" s="15"/>
      <c r="E1336" s="8"/>
      <c r="G1336" s="8"/>
      <c r="J1336" s="8"/>
    </row>
    <row r="1337">
      <c r="C1337" s="15"/>
      <c r="E1337" s="8"/>
      <c r="G1337" s="8"/>
      <c r="J1337" s="8"/>
    </row>
    <row r="1338">
      <c r="C1338" s="15"/>
      <c r="E1338" s="8"/>
      <c r="G1338" s="8"/>
      <c r="J1338" s="8"/>
    </row>
    <row r="1339">
      <c r="C1339" s="15"/>
      <c r="E1339" s="8"/>
      <c r="G1339" s="8"/>
      <c r="J1339" s="8"/>
    </row>
    <row r="1340">
      <c r="C1340" s="15"/>
      <c r="E1340" s="8"/>
      <c r="G1340" s="8"/>
      <c r="J1340" s="8"/>
    </row>
    <row r="1341">
      <c r="C1341" s="15"/>
      <c r="E1341" s="8"/>
      <c r="G1341" s="8"/>
      <c r="J1341" s="8"/>
    </row>
    <row r="1342">
      <c r="C1342" s="15"/>
      <c r="E1342" s="8"/>
      <c r="G1342" s="8"/>
      <c r="J1342" s="8"/>
    </row>
    <row r="1343">
      <c r="C1343" s="15"/>
      <c r="E1343" s="8"/>
      <c r="G1343" s="8"/>
      <c r="J1343" s="8"/>
    </row>
    <row r="1344">
      <c r="C1344" s="15"/>
      <c r="E1344" s="8"/>
      <c r="G1344" s="8"/>
      <c r="J1344" s="8"/>
    </row>
    <row r="1345">
      <c r="C1345" s="15"/>
      <c r="E1345" s="8"/>
      <c r="G1345" s="8"/>
      <c r="J1345" s="8"/>
    </row>
    <row r="1346">
      <c r="C1346" s="15"/>
      <c r="E1346" s="8"/>
      <c r="G1346" s="8"/>
      <c r="J1346" s="8"/>
    </row>
    <row r="1347">
      <c r="C1347" s="15"/>
      <c r="E1347" s="8"/>
      <c r="G1347" s="8"/>
      <c r="J1347" s="8"/>
    </row>
    <row r="1348">
      <c r="C1348" s="15"/>
      <c r="E1348" s="8"/>
      <c r="G1348" s="8"/>
      <c r="J1348" s="8"/>
    </row>
    <row r="1349">
      <c r="C1349" s="15"/>
      <c r="E1349" s="8"/>
      <c r="G1349" s="8"/>
      <c r="J1349" s="8"/>
    </row>
    <row r="1350">
      <c r="C1350" s="15"/>
      <c r="E1350" s="8"/>
      <c r="G1350" s="8"/>
      <c r="J1350" s="8"/>
    </row>
    <row r="1351">
      <c r="C1351" s="15"/>
      <c r="E1351" s="8"/>
      <c r="G1351" s="8"/>
      <c r="J1351" s="8"/>
    </row>
    <row r="1352">
      <c r="C1352" s="15"/>
      <c r="E1352" s="8"/>
      <c r="G1352" s="8"/>
      <c r="J1352" s="8"/>
    </row>
    <row r="1353">
      <c r="C1353" s="15"/>
      <c r="E1353" s="8"/>
      <c r="G1353" s="8"/>
      <c r="J1353" s="8"/>
    </row>
    <row r="1354">
      <c r="C1354" s="15"/>
      <c r="E1354" s="8"/>
      <c r="G1354" s="8"/>
      <c r="J1354" s="8"/>
    </row>
    <row r="1355">
      <c r="C1355" s="15"/>
      <c r="E1355" s="8"/>
      <c r="G1355" s="8"/>
      <c r="J1355" s="8"/>
    </row>
    <row r="1356">
      <c r="C1356" s="15"/>
      <c r="E1356" s="8"/>
      <c r="G1356" s="8"/>
      <c r="J1356" s="8"/>
    </row>
    <row r="1357">
      <c r="C1357" s="15"/>
      <c r="E1357" s="8"/>
      <c r="G1357" s="8"/>
      <c r="J1357" s="8"/>
    </row>
    <row r="1358">
      <c r="C1358" s="15"/>
      <c r="E1358" s="8"/>
      <c r="G1358" s="8"/>
      <c r="J1358" s="8"/>
    </row>
    <row r="1359">
      <c r="C1359" s="15"/>
      <c r="E1359" s="8"/>
      <c r="G1359" s="8"/>
      <c r="J1359" s="8"/>
    </row>
    <row r="1360">
      <c r="C1360" s="15"/>
      <c r="E1360" s="8"/>
      <c r="G1360" s="8"/>
      <c r="J1360" s="8"/>
    </row>
    <row r="1361">
      <c r="C1361" s="15"/>
      <c r="E1361" s="8"/>
      <c r="G1361" s="8"/>
      <c r="J1361" s="8"/>
    </row>
    <row r="1362">
      <c r="C1362" s="15"/>
      <c r="E1362" s="8"/>
      <c r="G1362" s="8"/>
      <c r="J1362" s="8"/>
    </row>
    <row r="1363">
      <c r="C1363" s="15"/>
      <c r="E1363" s="8"/>
      <c r="G1363" s="8"/>
      <c r="J1363" s="8"/>
    </row>
    <row r="1364">
      <c r="C1364" s="15"/>
      <c r="E1364" s="8"/>
      <c r="G1364" s="8"/>
      <c r="J1364" s="8"/>
    </row>
    <row r="1365">
      <c r="C1365" s="15"/>
      <c r="E1365" s="8"/>
      <c r="G1365" s="8"/>
      <c r="J1365" s="8"/>
    </row>
    <row r="1366">
      <c r="C1366" s="15"/>
      <c r="E1366" s="8"/>
      <c r="G1366" s="8"/>
      <c r="J1366" s="8"/>
    </row>
    <row r="1367">
      <c r="C1367" s="15"/>
      <c r="E1367" s="8"/>
      <c r="G1367" s="8"/>
      <c r="J1367" s="8"/>
    </row>
    <row r="1368">
      <c r="C1368" s="15"/>
      <c r="E1368" s="8"/>
      <c r="G1368" s="8"/>
      <c r="J1368" s="8"/>
    </row>
    <row r="1369">
      <c r="C1369" s="15"/>
      <c r="E1369" s="8"/>
      <c r="G1369" s="8"/>
      <c r="J1369" s="8"/>
    </row>
    <row r="1370">
      <c r="C1370" s="15"/>
      <c r="E1370" s="8"/>
      <c r="G1370" s="8"/>
      <c r="J1370" s="8"/>
    </row>
    <row r="1371">
      <c r="C1371" s="15"/>
      <c r="E1371" s="8"/>
      <c r="G1371" s="8"/>
      <c r="J1371" s="8"/>
    </row>
    <row r="1372">
      <c r="C1372" s="15"/>
      <c r="E1372" s="8"/>
      <c r="G1372" s="8"/>
      <c r="J1372" s="8"/>
    </row>
    <row r="1373">
      <c r="C1373" s="15"/>
      <c r="E1373" s="8"/>
      <c r="G1373" s="8"/>
      <c r="J1373" s="8"/>
    </row>
    <row r="1374">
      <c r="C1374" s="15"/>
      <c r="E1374" s="8"/>
      <c r="G1374" s="8"/>
      <c r="J1374" s="8"/>
    </row>
    <row r="1375">
      <c r="C1375" s="15"/>
      <c r="E1375" s="8"/>
      <c r="G1375" s="8"/>
      <c r="J1375" s="8"/>
    </row>
    <row r="1376">
      <c r="C1376" s="15"/>
      <c r="E1376" s="8"/>
      <c r="G1376" s="8"/>
      <c r="J1376" s="8"/>
    </row>
    <row r="1377">
      <c r="C1377" s="15"/>
      <c r="E1377" s="8"/>
      <c r="G1377" s="8"/>
      <c r="J1377" s="8"/>
    </row>
    <row r="1378">
      <c r="C1378" s="15"/>
      <c r="E1378" s="8"/>
      <c r="G1378" s="8"/>
      <c r="J1378" s="8"/>
    </row>
    <row r="1379">
      <c r="C1379" s="15"/>
      <c r="E1379" s="8"/>
      <c r="G1379" s="8"/>
      <c r="J1379" s="8"/>
    </row>
    <row r="1380">
      <c r="C1380" s="15"/>
      <c r="E1380" s="8"/>
      <c r="G1380" s="8"/>
      <c r="J1380" s="8"/>
    </row>
    <row r="1381">
      <c r="C1381" s="15"/>
      <c r="E1381" s="8"/>
      <c r="G1381" s="8"/>
      <c r="J1381" s="8"/>
    </row>
    <row r="1382">
      <c r="C1382" s="15"/>
      <c r="E1382" s="8"/>
      <c r="G1382" s="8"/>
      <c r="J1382" s="8"/>
    </row>
    <row r="1383">
      <c r="C1383" s="15"/>
      <c r="E1383" s="8"/>
      <c r="G1383" s="8"/>
      <c r="J1383" s="8"/>
    </row>
    <row r="1384">
      <c r="C1384" s="15"/>
      <c r="E1384" s="8"/>
      <c r="G1384" s="8"/>
      <c r="J1384" s="8"/>
    </row>
    <row r="1385">
      <c r="C1385" s="15"/>
      <c r="E1385" s="8"/>
      <c r="G1385" s="8"/>
      <c r="J1385" s="8"/>
    </row>
    <row r="1386">
      <c r="C1386" s="15"/>
      <c r="E1386" s="8"/>
      <c r="G1386" s="8"/>
      <c r="J1386" s="8"/>
    </row>
    <row r="1387">
      <c r="C1387" s="15"/>
      <c r="E1387" s="8"/>
      <c r="G1387" s="8"/>
      <c r="J1387" s="8"/>
    </row>
    <row r="1388">
      <c r="C1388" s="15"/>
      <c r="E1388" s="8"/>
      <c r="G1388" s="8"/>
      <c r="J1388" s="8"/>
    </row>
    <row r="1389">
      <c r="C1389" s="15"/>
      <c r="E1389" s="8"/>
      <c r="G1389" s="8"/>
      <c r="J1389" s="8"/>
    </row>
    <row r="1390">
      <c r="C1390" s="15"/>
      <c r="E1390" s="8"/>
      <c r="G1390" s="8"/>
      <c r="J1390" s="8"/>
    </row>
    <row r="1391">
      <c r="C1391" s="15"/>
      <c r="E1391" s="8"/>
      <c r="G1391" s="8"/>
      <c r="J1391" s="8"/>
    </row>
    <row r="1392">
      <c r="C1392" s="15"/>
      <c r="E1392" s="8"/>
      <c r="G1392" s="8"/>
      <c r="J1392" s="8"/>
    </row>
    <row r="1393">
      <c r="C1393" s="15"/>
      <c r="E1393" s="8"/>
      <c r="G1393" s="8"/>
      <c r="J1393" s="8"/>
    </row>
    <row r="1394">
      <c r="C1394" s="15"/>
      <c r="E1394" s="8"/>
      <c r="G1394" s="8"/>
      <c r="J1394" s="8"/>
    </row>
    <row r="1395">
      <c r="C1395" s="15"/>
      <c r="E1395" s="8"/>
      <c r="G1395" s="8"/>
      <c r="J1395" s="8"/>
    </row>
    <row r="1396">
      <c r="C1396" s="15"/>
      <c r="E1396" s="8"/>
      <c r="G1396" s="8"/>
      <c r="J1396" s="8"/>
    </row>
    <row r="1397">
      <c r="C1397" s="15"/>
      <c r="E1397" s="8"/>
      <c r="G1397" s="8"/>
      <c r="J1397" s="8"/>
    </row>
    <row r="1398">
      <c r="C1398" s="15"/>
      <c r="E1398" s="8"/>
      <c r="G1398" s="8"/>
      <c r="J1398" s="8"/>
    </row>
    <row r="1399">
      <c r="C1399" s="15"/>
      <c r="E1399" s="8"/>
      <c r="G1399" s="8"/>
      <c r="J1399" s="8"/>
    </row>
    <row r="1400">
      <c r="C1400" s="15"/>
      <c r="E1400" s="8"/>
      <c r="G1400" s="8"/>
      <c r="J1400" s="8"/>
    </row>
    <row r="1401">
      <c r="C1401" s="15"/>
      <c r="E1401" s="8"/>
      <c r="G1401" s="8"/>
      <c r="J1401" s="8"/>
    </row>
    <row r="1402">
      <c r="C1402" s="15"/>
      <c r="E1402" s="8"/>
      <c r="G1402" s="8"/>
      <c r="J1402" s="8"/>
    </row>
    <row r="1403">
      <c r="C1403" s="15"/>
      <c r="E1403" s="8"/>
      <c r="G1403" s="8"/>
      <c r="J1403" s="8"/>
    </row>
    <row r="1404">
      <c r="C1404" s="15"/>
      <c r="E1404" s="8"/>
      <c r="G1404" s="8"/>
      <c r="J1404" s="8"/>
    </row>
    <row r="1405">
      <c r="C1405" s="15"/>
      <c r="E1405" s="8"/>
      <c r="G1405" s="8"/>
      <c r="J1405" s="8"/>
    </row>
    <row r="1406">
      <c r="C1406" s="15"/>
      <c r="E1406" s="8"/>
      <c r="G1406" s="8"/>
      <c r="J1406" s="8"/>
    </row>
    <row r="1407">
      <c r="C1407" s="15"/>
      <c r="E1407" s="8"/>
      <c r="G1407" s="8"/>
      <c r="J1407" s="8"/>
    </row>
    <row r="1408">
      <c r="C1408" s="15"/>
      <c r="E1408" s="8"/>
      <c r="G1408" s="8"/>
      <c r="J1408" s="8"/>
    </row>
    <row r="1409">
      <c r="C1409" s="15"/>
      <c r="E1409" s="8"/>
      <c r="G1409" s="8"/>
      <c r="J1409" s="8"/>
    </row>
    <row r="1410">
      <c r="C1410" s="15"/>
      <c r="E1410" s="8"/>
      <c r="G1410" s="8"/>
      <c r="J1410" s="8"/>
    </row>
    <row r="1411">
      <c r="C1411" s="15"/>
      <c r="E1411" s="8"/>
      <c r="G1411" s="8"/>
      <c r="J1411" s="8"/>
    </row>
    <row r="1412">
      <c r="C1412" s="15"/>
      <c r="E1412" s="8"/>
      <c r="G1412" s="8"/>
      <c r="J1412" s="8"/>
    </row>
    <row r="1413">
      <c r="C1413" s="15"/>
      <c r="E1413" s="8"/>
      <c r="G1413" s="8"/>
      <c r="J1413" s="8"/>
    </row>
    <row r="1414">
      <c r="C1414" s="15"/>
      <c r="E1414" s="8"/>
      <c r="G1414" s="8"/>
      <c r="J1414" s="8"/>
    </row>
    <row r="1415">
      <c r="C1415" s="15"/>
      <c r="E1415" s="8"/>
      <c r="G1415" s="8"/>
      <c r="J1415" s="8"/>
    </row>
    <row r="1416">
      <c r="C1416" s="15"/>
      <c r="E1416" s="8"/>
      <c r="G1416" s="8"/>
      <c r="J1416" s="8"/>
    </row>
    <row r="1417">
      <c r="C1417" s="15"/>
      <c r="E1417" s="8"/>
      <c r="G1417" s="8"/>
      <c r="J1417" s="8"/>
    </row>
    <row r="1418">
      <c r="C1418" s="15"/>
      <c r="E1418" s="8"/>
      <c r="G1418" s="8"/>
      <c r="J1418" s="8"/>
    </row>
    <row r="1419">
      <c r="C1419" s="15"/>
      <c r="E1419" s="8"/>
      <c r="G1419" s="8"/>
      <c r="J1419" s="8"/>
    </row>
    <row r="1420">
      <c r="C1420" s="15"/>
      <c r="E1420" s="8"/>
      <c r="G1420" s="8"/>
      <c r="J1420" s="8"/>
    </row>
    <row r="1421">
      <c r="C1421" s="15"/>
      <c r="E1421" s="8"/>
      <c r="G1421" s="8"/>
      <c r="J1421" s="8"/>
    </row>
    <row r="1422">
      <c r="C1422" s="15"/>
      <c r="E1422" s="8"/>
      <c r="G1422" s="8"/>
      <c r="J1422" s="8"/>
    </row>
    <row r="1423">
      <c r="C1423" s="15"/>
      <c r="E1423" s="8"/>
      <c r="G1423" s="8"/>
      <c r="J1423" s="8"/>
    </row>
    <row r="1424">
      <c r="C1424" s="15"/>
      <c r="E1424" s="8"/>
      <c r="G1424" s="8"/>
      <c r="J1424" s="8"/>
    </row>
    <row r="1425">
      <c r="C1425" s="15"/>
      <c r="E1425" s="8"/>
      <c r="G1425" s="8"/>
      <c r="J1425" s="8"/>
    </row>
    <row r="1426">
      <c r="C1426" s="15"/>
      <c r="E1426" s="8"/>
      <c r="G1426" s="8"/>
      <c r="J1426" s="8"/>
    </row>
    <row r="1427">
      <c r="C1427" s="15"/>
      <c r="E1427" s="8"/>
      <c r="G1427" s="8"/>
      <c r="J1427" s="8"/>
    </row>
    <row r="1428">
      <c r="C1428" s="15"/>
      <c r="E1428" s="8"/>
      <c r="G1428" s="8"/>
      <c r="J1428" s="8"/>
    </row>
    <row r="1429">
      <c r="C1429" s="15"/>
      <c r="E1429" s="8"/>
      <c r="G1429" s="8"/>
      <c r="J1429" s="8"/>
    </row>
    <row r="1430">
      <c r="C1430" s="15"/>
      <c r="E1430" s="8"/>
      <c r="G1430" s="8"/>
      <c r="J1430" s="8"/>
    </row>
    <row r="1431">
      <c r="C1431" s="15"/>
      <c r="E1431" s="8"/>
      <c r="G1431" s="8"/>
      <c r="J1431" s="8"/>
    </row>
    <row r="1432">
      <c r="C1432" s="15"/>
      <c r="E1432" s="8"/>
      <c r="G1432" s="8"/>
      <c r="J1432" s="8"/>
    </row>
    <row r="1433">
      <c r="C1433" s="15"/>
      <c r="E1433" s="8"/>
      <c r="G1433" s="8"/>
      <c r="J1433" s="8"/>
    </row>
    <row r="1434">
      <c r="C1434" s="15"/>
      <c r="E1434" s="8"/>
      <c r="G1434" s="8"/>
      <c r="J1434" s="8"/>
    </row>
    <row r="1435">
      <c r="C1435" s="15"/>
      <c r="E1435" s="8"/>
      <c r="G1435" s="8"/>
      <c r="J1435" s="8"/>
    </row>
    <row r="1436">
      <c r="C1436" s="15"/>
      <c r="E1436" s="8"/>
      <c r="G1436" s="8"/>
      <c r="J1436" s="8"/>
    </row>
    <row r="1437">
      <c r="C1437" s="15"/>
      <c r="E1437" s="8"/>
      <c r="G1437" s="8"/>
      <c r="J1437" s="8"/>
    </row>
    <row r="1438">
      <c r="C1438" s="15"/>
      <c r="E1438" s="8"/>
      <c r="G1438" s="8"/>
      <c r="J1438" s="8"/>
    </row>
    <row r="1439">
      <c r="C1439" s="15"/>
      <c r="E1439" s="8"/>
      <c r="G1439" s="8"/>
      <c r="J1439" s="8"/>
    </row>
    <row r="1440">
      <c r="C1440" s="15"/>
      <c r="E1440" s="8"/>
      <c r="G1440" s="8"/>
      <c r="J1440" s="8"/>
    </row>
    <row r="1441">
      <c r="C1441" s="15"/>
      <c r="E1441" s="8"/>
      <c r="G1441" s="8"/>
      <c r="J1441" s="8"/>
    </row>
    <row r="1442">
      <c r="C1442" s="15"/>
      <c r="E1442" s="8"/>
      <c r="G1442" s="8"/>
      <c r="J1442" s="8"/>
    </row>
    <row r="1443">
      <c r="C1443" s="15"/>
      <c r="E1443" s="8"/>
      <c r="G1443" s="8"/>
      <c r="J1443" s="8"/>
    </row>
    <row r="1444">
      <c r="C1444" s="15"/>
      <c r="E1444" s="8"/>
      <c r="G1444" s="8"/>
      <c r="J1444" s="8"/>
    </row>
    <row r="1445">
      <c r="C1445" s="15"/>
      <c r="E1445" s="8"/>
      <c r="G1445" s="8"/>
      <c r="J1445" s="8"/>
    </row>
    <row r="1446">
      <c r="C1446" s="15"/>
      <c r="E1446" s="8"/>
      <c r="G1446" s="8"/>
      <c r="J1446" s="8"/>
    </row>
    <row r="1447">
      <c r="C1447" s="15"/>
      <c r="E1447" s="8"/>
      <c r="G1447" s="8"/>
      <c r="J1447" s="8"/>
    </row>
    <row r="1448">
      <c r="C1448" s="15"/>
      <c r="E1448" s="8"/>
      <c r="G1448" s="8"/>
      <c r="J1448" s="8"/>
    </row>
    <row r="1449">
      <c r="C1449" s="15"/>
      <c r="E1449" s="8"/>
      <c r="G1449" s="8"/>
      <c r="J1449" s="8"/>
    </row>
    <row r="1450">
      <c r="C1450" s="15"/>
      <c r="E1450" s="8"/>
      <c r="G1450" s="8"/>
      <c r="J1450" s="8"/>
    </row>
    <row r="1451">
      <c r="C1451" s="15"/>
      <c r="E1451" s="8"/>
      <c r="G1451" s="8"/>
      <c r="J1451" s="8"/>
    </row>
    <row r="1452">
      <c r="C1452" s="15"/>
      <c r="E1452" s="8"/>
      <c r="G1452" s="8"/>
      <c r="J1452" s="8"/>
    </row>
    <row r="1453">
      <c r="C1453" s="15"/>
      <c r="E1453" s="8"/>
      <c r="G1453" s="8"/>
      <c r="J1453" s="8"/>
    </row>
    <row r="1454">
      <c r="C1454" s="15"/>
      <c r="E1454" s="8"/>
      <c r="G1454" s="8"/>
      <c r="J1454" s="8"/>
    </row>
    <row r="1455">
      <c r="C1455" s="15"/>
      <c r="E1455" s="8"/>
      <c r="G1455" s="8"/>
      <c r="J1455" s="8"/>
    </row>
    <row r="1456">
      <c r="C1456" s="15"/>
      <c r="E1456" s="8"/>
      <c r="G1456" s="8"/>
      <c r="J1456" s="8"/>
    </row>
    <row r="1457">
      <c r="C1457" s="15"/>
      <c r="E1457" s="8"/>
      <c r="G1457" s="8"/>
      <c r="J1457" s="8"/>
    </row>
    <row r="1458">
      <c r="C1458" s="15"/>
      <c r="E1458" s="8"/>
      <c r="G1458" s="8"/>
      <c r="J1458" s="8"/>
    </row>
    <row r="1459">
      <c r="C1459" s="15"/>
      <c r="E1459" s="8"/>
      <c r="G1459" s="8"/>
      <c r="J1459" s="8"/>
    </row>
    <row r="1460">
      <c r="C1460" s="15"/>
      <c r="E1460" s="8"/>
      <c r="G1460" s="8"/>
      <c r="J1460" s="8"/>
    </row>
    <row r="1461">
      <c r="C1461" s="15"/>
      <c r="E1461" s="8"/>
      <c r="G1461" s="8"/>
      <c r="J1461" s="8"/>
    </row>
    <row r="1462">
      <c r="C1462" s="15"/>
      <c r="E1462" s="8"/>
      <c r="G1462" s="8"/>
      <c r="J1462" s="8"/>
    </row>
    <row r="1463">
      <c r="C1463" s="15"/>
      <c r="E1463" s="8"/>
      <c r="G1463" s="8"/>
      <c r="J1463" s="8"/>
    </row>
    <row r="1464">
      <c r="C1464" s="15"/>
      <c r="E1464" s="8"/>
      <c r="G1464" s="8"/>
      <c r="J1464" s="8"/>
    </row>
    <row r="1465">
      <c r="C1465" s="15"/>
      <c r="E1465" s="8"/>
      <c r="G1465" s="8"/>
      <c r="J1465" s="8"/>
    </row>
    <row r="1466">
      <c r="C1466" s="15"/>
      <c r="E1466" s="8"/>
      <c r="G1466" s="8"/>
      <c r="J1466" s="8"/>
    </row>
    <row r="1467">
      <c r="C1467" s="15"/>
      <c r="E1467" s="8"/>
      <c r="G1467" s="8"/>
      <c r="J1467" s="8"/>
    </row>
    <row r="1468">
      <c r="C1468" s="15"/>
      <c r="E1468" s="8"/>
      <c r="G1468" s="8"/>
      <c r="J1468" s="8"/>
    </row>
    <row r="1469">
      <c r="C1469" s="15"/>
      <c r="E1469" s="8"/>
      <c r="G1469" s="8"/>
      <c r="J1469" s="8"/>
    </row>
    <row r="1470">
      <c r="C1470" s="15"/>
      <c r="E1470" s="8"/>
      <c r="G1470" s="8"/>
      <c r="J1470" s="8"/>
    </row>
    <row r="1471">
      <c r="C1471" s="15"/>
      <c r="E1471" s="8"/>
      <c r="G1471" s="8"/>
      <c r="J1471" s="8"/>
    </row>
    <row r="1472">
      <c r="C1472" s="15"/>
      <c r="E1472" s="8"/>
      <c r="G1472" s="8"/>
      <c r="J1472" s="8"/>
    </row>
    <row r="1473">
      <c r="C1473" s="15"/>
      <c r="E1473" s="8"/>
      <c r="G1473" s="8"/>
      <c r="J1473" s="8"/>
    </row>
    <row r="1474">
      <c r="C1474" s="15"/>
      <c r="E1474" s="8"/>
      <c r="G1474" s="8"/>
      <c r="J1474" s="8"/>
    </row>
    <row r="1475">
      <c r="C1475" s="15"/>
      <c r="E1475" s="8"/>
      <c r="G1475" s="8"/>
      <c r="J1475" s="8"/>
    </row>
    <row r="1476">
      <c r="C1476" s="15"/>
      <c r="E1476" s="8"/>
      <c r="G1476" s="8"/>
      <c r="J1476" s="8"/>
    </row>
    <row r="1477">
      <c r="C1477" s="15"/>
      <c r="E1477" s="8"/>
      <c r="G1477" s="8"/>
      <c r="J1477" s="8"/>
    </row>
    <row r="1478">
      <c r="C1478" s="15"/>
      <c r="E1478" s="8"/>
      <c r="G1478" s="8"/>
      <c r="J1478" s="8"/>
    </row>
    <row r="1479">
      <c r="C1479" s="15"/>
      <c r="E1479" s="8"/>
      <c r="G1479" s="8"/>
      <c r="J1479" s="8"/>
    </row>
    <row r="1480">
      <c r="C1480" s="15"/>
      <c r="E1480" s="8"/>
      <c r="G1480" s="8"/>
      <c r="J1480" s="8"/>
    </row>
    <row r="1481">
      <c r="C1481" s="15"/>
      <c r="E1481" s="8"/>
      <c r="G1481" s="8"/>
      <c r="J1481" s="8"/>
    </row>
    <row r="1482">
      <c r="C1482" s="15"/>
      <c r="E1482" s="8"/>
      <c r="G1482" s="8"/>
      <c r="J1482" s="8"/>
    </row>
    <row r="1483">
      <c r="C1483" s="15"/>
      <c r="E1483" s="8"/>
      <c r="G1483" s="8"/>
      <c r="J1483" s="8"/>
    </row>
    <row r="1484">
      <c r="C1484" s="15"/>
      <c r="E1484" s="8"/>
      <c r="G1484" s="8"/>
      <c r="J1484" s="8"/>
    </row>
    <row r="1485">
      <c r="C1485" s="15"/>
      <c r="E1485" s="8"/>
      <c r="G1485" s="8"/>
      <c r="J1485" s="8"/>
    </row>
    <row r="1486">
      <c r="C1486" s="15"/>
      <c r="E1486" s="8"/>
      <c r="G1486" s="8"/>
      <c r="J1486" s="8"/>
    </row>
    <row r="1487">
      <c r="C1487" s="15"/>
      <c r="E1487" s="8"/>
      <c r="G1487" s="8"/>
      <c r="J1487" s="8"/>
    </row>
    <row r="1488">
      <c r="C1488" s="15"/>
      <c r="E1488" s="8"/>
      <c r="G1488" s="8"/>
      <c r="J1488" s="8"/>
    </row>
    <row r="1489">
      <c r="C1489" s="15"/>
      <c r="E1489" s="8"/>
      <c r="G1489" s="8"/>
      <c r="J1489" s="8"/>
    </row>
    <row r="1490">
      <c r="C1490" s="15"/>
      <c r="E1490" s="8"/>
      <c r="G1490" s="8"/>
      <c r="J1490" s="8"/>
    </row>
    <row r="1491">
      <c r="C1491" s="15"/>
      <c r="E1491" s="8"/>
      <c r="G1491" s="8"/>
      <c r="J1491" s="8"/>
    </row>
    <row r="1492">
      <c r="C1492" s="15"/>
      <c r="E1492" s="8"/>
      <c r="G1492" s="8"/>
      <c r="J1492" s="8"/>
    </row>
    <row r="1493">
      <c r="C1493" s="15"/>
      <c r="E1493" s="8"/>
      <c r="G1493" s="8"/>
      <c r="J1493" s="8"/>
    </row>
    <row r="1494">
      <c r="C1494" s="15"/>
      <c r="E1494" s="8"/>
      <c r="G1494" s="8"/>
      <c r="J1494" s="8"/>
    </row>
    <row r="1495">
      <c r="C1495" s="15"/>
      <c r="E1495" s="8"/>
      <c r="G1495" s="8"/>
      <c r="J1495" s="8"/>
    </row>
    <row r="1496">
      <c r="C1496" s="15"/>
      <c r="E1496" s="8"/>
      <c r="G1496" s="8"/>
      <c r="J1496" s="8"/>
    </row>
    <row r="1497">
      <c r="C1497" s="15"/>
      <c r="E1497" s="8"/>
      <c r="G1497" s="8"/>
      <c r="J1497" s="8"/>
    </row>
    <row r="1498">
      <c r="C1498" s="15"/>
      <c r="E1498" s="8"/>
      <c r="G1498" s="8"/>
      <c r="J1498" s="8"/>
    </row>
    <row r="1499">
      <c r="C1499" s="15"/>
      <c r="E1499" s="8"/>
      <c r="G1499" s="8"/>
      <c r="J1499" s="8"/>
    </row>
    <row r="1500">
      <c r="C1500" s="15"/>
      <c r="E1500" s="8"/>
      <c r="G1500" s="8"/>
      <c r="J1500" s="8"/>
    </row>
    <row r="1501">
      <c r="C1501" s="15"/>
      <c r="E1501" s="8"/>
      <c r="G1501" s="8"/>
      <c r="J1501" s="8"/>
    </row>
    <row r="1502">
      <c r="C1502" s="15"/>
      <c r="E1502" s="8"/>
      <c r="G1502" s="8"/>
      <c r="J1502" s="8"/>
    </row>
    <row r="1503">
      <c r="C1503" s="15"/>
      <c r="E1503" s="8"/>
      <c r="G1503" s="8"/>
      <c r="J1503" s="8"/>
    </row>
    <row r="1504">
      <c r="C1504" s="15"/>
      <c r="E1504" s="8"/>
      <c r="G1504" s="8"/>
      <c r="J1504" s="8"/>
    </row>
    <row r="1505">
      <c r="C1505" s="15"/>
      <c r="E1505" s="8"/>
      <c r="G1505" s="8"/>
      <c r="J1505" s="8"/>
    </row>
    <row r="1506">
      <c r="C1506" s="15"/>
      <c r="E1506" s="8"/>
      <c r="G1506" s="8"/>
      <c r="J1506" s="8"/>
    </row>
    <row r="1507">
      <c r="C1507" s="15"/>
      <c r="E1507" s="8"/>
      <c r="G1507" s="8"/>
      <c r="J1507" s="8"/>
    </row>
    <row r="1508">
      <c r="C1508" s="15"/>
      <c r="E1508" s="8"/>
      <c r="G1508" s="8"/>
      <c r="J1508" s="8"/>
    </row>
    <row r="1509">
      <c r="C1509" s="15"/>
      <c r="E1509" s="8"/>
      <c r="G1509" s="8"/>
      <c r="J1509" s="8"/>
    </row>
    <row r="1510">
      <c r="C1510" s="15"/>
      <c r="E1510" s="8"/>
      <c r="G1510" s="8"/>
      <c r="J1510" s="8"/>
    </row>
    <row r="1511">
      <c r="C1511" s="15"/>
      <c r="E1511" s="8"/>
      <c r="G1511" s="8"/>
      <c r="J1511" s="8"/>
    </row>
    <row r="1512">
      <c r="C1512" s="15"/>
      <c r="E1512" s="8"/>
      <c r="G1512" s="8"/>
      <c r="J1512" s="8"/>
    </row>
    <row r="1513">
      <c r="C1513" s="15"/>
      <c r="E1513" s="8"/>
      <c r="G1513" s="8"/>
      <c r="J1513" s="8"/>
    </row>
    <row r="1514">
      <c r="C1514" s="15"/>
      <c r="E1514" s="8"/>
      <c r="G1514" s="8"/>
      <c r="J1514" s="8"/>
    </row>
    <row r="1515">
      <c r="C1515" s="15"/>
      <c r="E1515" s="8"/>
      <c r="G1515" s="8"/>
      <c r="J1515" s="8"/>
    </row>
    <row r="1516">
      <c r="C1516" s="15"/>
      <c r="E1516" s="8"/>
      <c r="G1516" s="8"/>
      <c r="J1516" s="8"/>
    </row>
    <row r="1517">
      <c r="C1517" s="15"/>
      <c r="E1517" s="8"/>
      <c r="G1517" s="8"/>
      <c r="J1517" s="8"/>
    </row>
    <row r="1518">
      <c r="C1518" s="15"/>
      <c r="E1518" s="8"/>
      <c r="G1518" s="8"/>
      <c r="J1518" s="8"/>
    </row>
    <row r="1519">
      <c r="C1519" s="15"/>
      <c r="E1519" s="8"/>
      <c r="G1519" s="8"/>
      <c r="J1519" s="8"/>
    </row>
    <row r="1520">
      <c r="C1520" s="15"/>
      <c r="E1520" s="8"/>
      <c r="G1520" s="8"/>
      <c r="J1520" s="8"/>
    </row>
    <row r="1521">
      <c r="C1521" s="15"/>
      <c r="E1521" s="8"/>
      <c r="G1521" s="8"/>
      <c r="J1521" s="8"/>
    </row>
    <row r="1522">
      <c r="C1522" s="15"/>
      <c r="E1522" s="8"/>
      <c r="G1522" s="8"/>
      <c r="J1522" s="8"/>
    </row>
    <row r="1523">
      <c r="C1523" s="15"/>
      <c r="E1523" s="8"/>
      <c r="G1523" s="8"/>
      <c r="J1523" s="8"/>
    </row>
    <row r="1524">
      <c r="C1524" s="15"/>
      <c r="E1524" s="8"/>
      <c r="G1524" s="8"/>
      <c r="J1524" s="8"/>
    </row>
    <row r="1525">
      <c r="C1525" s="15"/>
      <c r="E1525" s="8"/>
      <c r="G1525" s="8"/>
      <c r="J1525" s="8"/>
    </row>
    <row r="1526">
      <c r="C1526" s="15"/>
      <c r="E1526" s="8"/>
      <c r="G1526" s="8"/>
      <c r="J1526" s="8"/>
    </row>
    <row r="1527">
      <c r="C1527" s="15"/>
      <c r="E1527" s="8"/>
      <c r="G1527" s="8"/>
      <c r="J1527" s="8"/>
    </row>
    <row r="1528">
      <c r="C1528" s="15"/>
      <c r="E1528" s="8"/>
      <c r="G1528" s="8"/>
      <c r="J1528" s="8"/>
    </row>
    <row r="1529">
      <c r="C1529" s="15"/>
      <c r="E1529" s="8"/>
      <c r="G1529" s="8"/>
      <c r="J1529" s="8"/>
    </row>
    <row r="1530">
      <c r="C1530" s="15"/>
      <c r="E1530" s="8"/>
      <c r="G1530" s="8"/>
      <c r="J1530" s="8"/>
    </row>
    <row r="1531">
      <c r="C1531" s="15"/>
      <c r="E1531" s="8"/>
      <c r="G1531" s="8"/>
      <c r="J1531" s="8"/>
    </row>
    <row r="1532">
      <c r="C1532" s="15"/>
      <c r="E1532" s="8"/>
      <c r="G1532" s="8"/>
      <c r="J1532" s="8"/>
    </row>
    <row r="1533">
      <c r="C1533" s="15"/>
      <c r="E1533" s="8"/>
      <c r="G1533" s="8"/>
      <c r="J1533" s="8"/>
    </row>
    <row r="1534">
      <c r="C1534" s="15"/>
      <c r="E1534" s="8"/>
      <c r="G1534" s="8"/>
      <c r="J1534" s="8"/>
    </row>
    <row r="1535">
      <c r="C1535" s="15"/>
      <c r="E1535" s="8"/>
      <c r="G1535" s="8"/>
      <c r="J1535" s="8"/>
    </row>
    <row r="1536">
      <c r="C1536" s="15"/>
      <c r="E1536" s="8"/>
      <c r="G1536" s="8"/>
      <c r="J1536" s="8"/>
    </row>
    <row r="1537">
      <c r="C1537" s="15"/>
      <c r="E1537" s="8"/>
      <c r="G1537" s="8"/>
      <c r="J1537" s="8"/>
    </row>
    <row r="1538">
      <c r="C1538" s="15"/>
      <c r="E1538" s="8"/>
      <c r="G1538" s="8"/>
      <c r="J1538" s="8"/>
    </row>
    <row r="1539">
      <c r="C1539" s="15"/>
      <c r="E1539" s="8"/>
      <c r="G1539" s="8"/>
      <c r="J1539" s="8"/>
    </row>
    <row r="1540">
      <c r="C1540" s="15"/>
      <c r="E1540" s="8"/>
      <c r="G1540" s="8"/>
      <c r="J1540" s="8"/>
    </row>
    <row r="1541">
      <c r="C1541" s="15"/>
      <c r="E1541" s="8"/>
      <c r="G1541" s="8"/>
      <c r="J1541" s="8"/>
    </row>
    <row r="1542">
      <c r="C1542" s="15"/>
      <c r="E1542" s="8"/>
      <c r="G1542" s="8"/>
      <c r="J1542" s="8"/>
    </row>
    <row r="1543">
      <c r="C1543" s="15"/>
      <c r="E1543" s="8"/>
      <c r="G1543" s="8"/>
      <c r="J1543" s="8"/>
    </row>
    <row r="1544">
      <c r="C1544" s="15"/>
      <c r="E1544" s="8"/>
      <c r="G1544" s="8"/>
      <c r="J1544" s="8"/>
    </row>
    <row r="1545">
      <c r="C1545" s="15"/>
      <c r="E1545" s="8"/>
      <c r="G1545" s="8"/>
      <c r="J1545" s="8"/>
    </row>
    <row r="1546">
      <c r="C1546" s="15"/>
      <c r="E1546" s="8"/>
      <c r="G1546" s="8"/>
      <c r="J1546" s="8"/>
    </row>
    <row r="1547">
      <c r="C1547" s="15"/>
      <c r="E1547" s="8"/>
      <c r="G1547" s="8"/>
      <c r="J1547" s="8"/>
    </row>
    <row r="1548">
      <c r="C1548" s="15"/>
      <c r="E1548" s="8"/>
      <c r="G1548" s="8"/>
      <c r="J1548" s="8"/>
    </row>
    <row r="1549">
      <c r="C1549" s="15"/>
      <c r="E1549" s="8"/>
      <c r="G1549" s="8"/>
      <c r="J1549" s="8"/>
    </row>
    <row r="1550">
      <c r="C1550" s="15"/>
      <c r="E1550" s="8"/>
      <c r="G1550" s="8"/>
      <c r="J1550" s="8"/>
    </row>
    <row r="1551">
      <c r="C1551" s="15"/>
      <c r="E1551" s="8"/>
      <c r="G1551" s="8"/>
      <c r="J1551" s="8"/>
    </row>
    <row r="1552">
      <c r="C1552" s="15"/>
      <c r="E1552" s="8"/>
      <c r="G1552" s="8"/>
      <c r="J1552" s="8"/>
    </row>
    <row r="1553">
      <c r="C1553" s="15"/>
      <c r="E1553" s="8"/>
      <c r="G1553" s="8"/>
      <c r="J1553" s="8"/>
    </row>
    <row r="1554">
      <c r="C1554" s="15"/>
      <c r="E1554" s="8"/>
      <c r="G1554" s="8"/>
      <c r="J1554" s="8"/>
    </row>
    <row r="1555">
      <c r="C1555" s="15"/>
      <c r="E1555" s="8"/>
      <c r="G1555" s="8"/>
      <c r="J1555" s="8"/>
    </row>
    <row r="1556">
      <c r="C1556" s="15"/>
      <c r="E1556" s="8"/>
      <c r="G1556" s="8"/>
      <c r="J1556" s="8"/>
    </row>
    <row r="1557">
      <c r="C1557" s="15"/>
      <c r="E1557" s="8"/>
      <c r="G1557" s="8"/>
      <c r="J1557" s="8"/>
    </row>
    <row r="1558">
      <c r="C1558" s="15"/>
      <c r="E1558" s="8"/>
      <c r="G1558" s="8"/>
      <c r="J1558" s="8"/>
    </row>
    <row r="1559">
      <c r="C1559" s="15"/>
      <c r="E1559" s="8"/>
      <c r="G1559" s="8"/>
      <c r="J1559" s="8"/>
    </row>
    <row r="1560">
      <c r="C1560" s="15"/>
      <c r="E1560" s="8"/>
      <c r="G1560" s="8"/>
      <c r="J1560" s="8"/>
    </row>
    <row r="1561">
      <c r="C1561" s="15"/>
      <c r="E1561" s="8"/>
      <c r="G1561" s="8"/>
      <c r="J1561" s="8"/>
    </row>
    <row r="1562">
      <c r="C1562" s="15"/>
      <c r="E1562" s="8"/>
      <c r="G1562" s="8"/>
      <c r="J1562" s="8"/>
    </row>
    <row r="1563">
      <c r="C1563" s="15"/>
      <c r="E1563" s="8"/>
      <c r="G1563" s="8"/>
      <c r="J1563" s="8"/>
    </row>
    <row r="1564">
      <c r="C1564" s="15"/>
      <c r="E1564" s="8"/>
      <c r="G1564" s="8"/>
      <c r="J1564" s="8"/>
    </row>
    <row r="1565">
      <c r="C1565" s="15"/>
      <c r="E1565" s="8"/>
      <c r="G1565" s="8"/>
      <c r="J1565" s="8"/>
    </row>
    <row r="1566">
      <c r="C1566" s="15"/>
      <c r="E1566" s="8"/>
      <c r="G1566" s="8"/>
      <c r="J1566" s="8"/>
    </row>
    <row r="1567">
      <c r="C1567" s="15"/>
      <c r="E1567" s="8"/>
      <c r="G1567" s="8"/>
      <c r="J1567" s="8"/>
    </row>
    <row r="1568">
      <c r="C1568" s="15"/>
      <c r="E1568" s="8"/>
      <c r="G1568" s="8"/>
      <c r="J1568" s="8"/>
    </row>
    <row r="1569">
      <c r="C1569" s="15"/>
      <c r="E1569" s="8"/>
      <c r="G1569" s="8"/>
      <c r="J1569" s="8"/>
    </row>
    <row r="1570">
      <c r="C1570" s="15"/>
      <c r="E1570" s="8"/>
      <c r="G1570" s="8"/>
      <c r="J1570" s="8"/>
    </row>
    <row r="1571">
      <c r="C1571" s="15"/>
      <c r="E1571" s="8"/>
      <c r="G1571" s="8"/>
      <c r="J1571" s="8"/>
    </row>
    <row r="1572">
      <c r="C1572" s="15"/>
      <c r="E1572" s="8"/>
      <c r="G1572" s="8"/>
      <c r="J1572" s="8"/>
    </row>
    <row r="1573">
      <c r="C1573" s="15"/>
      <c r="E1573" s="8"/>
      <c r="G1573" s="8"/>
      <c r="J1573" s="8"/>
    </row>
    <row r="1574">
      <c r="C1574" s="15"/>
      <c r="E1574" s="8"/>
      <c r="G1574" s="8"/>
      <c r="J1574" s="8"/>
    </row>
    <row r="1575">
      <c r="C1575" s="15"/>
      <c r="E1575" s="8"/>
      <c r="G1575" s="8"/>
      <c r="J1575" s="8"/>
    </row>
    <row r="1576">
      <c r="C1576" s="15"/>
      <c r="E1576" s="8"/>
      <c r="G1576" s="8"/>
      <c r="J1576" s="8"/>
    </row>
    <row r="1577">
      <c r="C1577" s="15"/>
      <c r="E1577" s="8"/>
      <c r="G1577" s="8"/>
      <c r="J1577" s="8"/>
    </row>
    <row r="1578">
      <c r="C1578" s="15"/>
      <c r="E1578" s="8"/>
      <c r="G1578" s="8"/>
      <c r="J1578" s="8"/>
    </row>
    <row r="1579">
      <c r="C1579" s="15"/>
      <c r="E1579" s="8"/>
      <c r="G1579" s="8"/>
      <c r="J1579" s="8"/>
    </row>
    <row r="1580">
      <c r="C1580" s="15"/>
      <c r="E1580" s="8"/>
      <c r="G1580" s="8"/>
      <c r="J1580" s="8"/>
    </row>
    <row r="1581">
      <c r="C1581" s="15"/>
      <c r="E1581" s="8"/>
      <c r="G1581" s="8"/>
      <c r="J1581" s="8"/>
    </row>
    <row r="1582">
      <c r="C1582" s="15"/>
      <c r="E1582" s="8"/>
      <c r="G1582" s="8"/>
      <c r="J1582" s="8"/>
    </row>
    <row r="1583">
      <c r="C1583" s="15"/>
      <c r="E1583" s="8"/>
      <c r="G1583" s="8"/>
      <c r="J1583" s="8"/>
    </row>
    <row r="1584">
      <c r="C1584" s="15"/>
      <c r="E1584" s="8"/>
      <c r="G1584" s="8"/>
      <c r="J1584" s="8"/>
    </row>
    <row r="1585">
      <c r="C1585" s="15"/>
      <c r="E1585" s="8"/>
      <c r="G1585" s="8"/>
      <c r="J1585" s="8"/>
    </row>
    <row r="1586">
      <c r="C1586" s="15"/>
      <c r="E1586" s="8"/>
      <c r="G1586" s="8"/>
      <c r="J1586" s="8"/>
    </row>
    <row r="1587">
      <c r="C1587" s="15"/>
      <c r="E1587" s="8"/>
      <c r="G1587" s="8"/>
      <c r="J1587" s="8"/>
    </row>
    <row r="1588">
      <c r="C1588" s="15"/>
      <c r="E1588" s="8"/>
      <c r="G1588" s="8"/>
      <c r="J1588" s="8"/>
    </row>
    <row r="1589">
      <c r="C1589" s="15"/>
      <c r="E1589" s="8"/>
      <c r="G1589" s="8"/>
      <c r="J1589" s="8"/>
    </row>
    <row r="1590">
      <c r="C1590" s="15"/>
      <c r="E1590" s="8"/>
      <c r="G1590" s="8"/>
      <c r="J1590" s="8"/>
    </row>
    <row r="1591">
      <c r="C1591" s="15"/>
      <c r="E1591" s="8"/>
      <c r="G1591" s="8"/>
      <c r="J1591" s="8"/>
    </row>
    <row r="1592">
      <c r="C1592" s="15"/>
      <c r="E1592" s="8"/>
      <c r="G1592" s="8"/>
      <c r="J1592" s="8"/>
    </row>
    <row r="1593">
      <c r="C1593" s="15"/>
      <c r="E1593" s="8"/>
      <c r="G1593" s="8"/>
      <c r="J1593" s="8"/>
    </row>
    <row r="1594">
      <c r="C1594" s="15"/>
      <c r="E1594" s="8"/>
      <c r="G1594" s="8"/>
      <c r="J1594" s="8"/>
    </row>
    <row r="1595">
      <c r="C1595" s="15"/>
      <c r="E1595" s="8"/>
      <c r="G1595" s="8"/>
      <c r="J1595" s="8"/>
    </row>
    <row r="1596">
      <c r="C1596" s="15"/>
      <c r="E1596" s="8"/>
      <c r="G1596" s="8"/>
      <c r="J1596" s="8"/>
    </row>
    <row r="1597">
      <c r="C1597" s="15"/>
      <c r="E1597" s="8"/>
      <c r="G1597" s="8"/>
      <c r="J1597" s="8"/>
    </row>
    <row r="1598">
      <c r="C1598" s="15"/>
      <c r="E1598" s="8"/>
      <c r="G1598" s="8"/>
      <c r="J1598" s="8"/>
    </row>
    <row r="1599">
      <c r="C1599" s="15"/>
      <c r="E1599" s="8"/>
      <c r="G1599" s="8"/>
      <c r="J1599" s="8"/>
    </row>
    <row r="1600">
      <c r="C1600" s="15"/>
      <c r="E1600" s="8"/>
      <c r="G1600" s="8"/>
      <c r="J1600" s="8"/>
    </row>
    <row r="1601">
      <c r="C1601" s="15"/>
      <c r="E1601" s="8"/>
      <c r="G1601" s="8"/>
      <c r="J1601" s="8"/>
    </row>
    <row r="1602">
      <c r="C1602" s="15"/>
      <c r="E1602" s="8"/>
      <c r="G1602" s="8"/>
      <c r="J1602" s="8"/>
    </row>
    <row r="1603">
      <c r="C1603" s="15"/>
      <c r="E1603" s="8"/>
      <c r="G1603" s="8"/>
      <c r="J1603" s="8"/>
    </row>
    <row r="1604">
      <c r="C1604" s="15"/>
      <c r="E1604" s="8"/>
      <c r="G1604" s="8"/>
      <c r="J1604" s="8"/>
    </row>
    <row r="1605">
      <c r="C1605" s="15"/>
      <c r="E1605" s="8"/>
      <c r="G1605" s="8"/>
      <c r="J1605" s="8"/>
    </row>
    <row r="1606">
      <c r="C1606" s="15"/>
      <c r="E1606" s="8"/>
      <c r="G1606" s="8"/>
      <c r="J1606" s="8"/>
    </row>
    <row r="1607">
      <c r="C1607" s="15"/>
      <c r="E1607" s="8"/>
      <c r="G1607" s="8"/>
      <c r="J1607" s="8"/>
    </row>
    <row r="1608">
      <c r="C1608" s="15"/>
      <c r="E1608" s="8"/>
      <c r="G1608" s="8"/>
      <c r="J1608" s="8"/>
    </row>
    <row r="1609">
      <c r="C1609" s="15"/>
      <c r="E1609" s="8"/>
      <c r="G1609" s="8"/>
      <c r="J1609" s="8"/>
    </row>
    <row r="1610">
      <c r="C1610" s="15"/>
      <c r="E1610" s="8"/>
      <c r="G1610" s="8"/>
      <c r="J1610" s="8"/>
    </row>
    <row r="1611">
      <c r="C1611" s="15"/>
      <c r="E1611" s="8"/>
      <c r="G1611" s="8"/>
      <c r="J1611" s="8"/>
    </row>
    <row r="1612">
      <c r="C1612" s="15"/>
      <c r="E1612" s="8"/>
      <c r="G1612" s="8"/>
      <c r="J1612" s="8"/>
    </row>
    <row r="1613">
      <c r="C1613" s="15"/>
      <c r="E1613" s="8"/>
      <c r="G1613" s="8"/>
      <c r="J1613" s="8"/>
    </row>
    <row r="1614">
      <c r="C1614" s="15"/>
      <c r="E1614" s="8"/>
      <c r="G1614" s="8"/>
      <c r="J1614" s="8"/>
    </row>
    <row r="1615">
      <c r="C1615" s="15"/>
      <c r="E1615" s="8"/>
      <c r="G1615" s="8"/>
      <c r="J1615" s="8"/>
    </row>
    <row r="1616">
      <c r="C1616" s="15"/>
      <c r="E1616" s="8"/>
      <c r="G1616" s="8"/>
      <c r="J1616" s="8"/>
    </row>
    <row r="1617">
      <c r="C1617" s="15"/>
      <c r="E1617" s="8"/>
      <c r="G1617" s="8"/>
      <c r="J1617" s="8"/>
    </row>
    <row r="1618">
      <c r="C1618" s="15"/>
      <c r="E1618" s="8"/>
      <c r="G1618" s="8"/>
      <c r="J1618" s="8"/>
    </row>
    <row r="1619">
      <c r="C1619" s="15"/>
      <c r="E1619" s="8"/>
      <c r="G1619" s="8"/>
      <c r="J1619" s="8"/>
    </row>
    <row r="1620">
      <c r="C1620" s="15"/>
      <c r="E1620" s="8"/>
      <c r="G1620" s="8"/>
      <c r="J1620" s="8"/>
    </row>
    <row r="1621">
      <c r="C1621" s="15"/>
      <c r="E1621" s="8"/>
      <c r="G1621" s="8"/>
      <c r="J1621" s="8"/>
    </row>
    <row r="1622">
      <c r="C1622" s="15"/>
      <c r="E1622" s="8"/>
      <c r="G1622" s="8"/>
      <c r="J1622" s="8"/>
    </row>
    <row r="1623">
      <c r="C1623" s="15"/>
      <c r="E1623" s="8"/>
      <c r="G1623" s="8"/>
      <c r="J1623" s="8"/>
    </row>
    <row r="1624">
      <c r="C1624" s="15"/>
      <c r="E1624" s="8"/>
      <c r="G1624" s="8"/>
      <c r="J1624" s="8"/>
    </row>
    <row r="1625">
      <c r="C1625" s="15"/>
      <c r="E1625" s="8"/>
      <c r="G1625" s="8"/>
      <c r="J1625" s="8"/>
    </row>
    <row r="1626">
      <c r="C1626" s="15"/>
      <c r="E1626" s="8"/>
      <c r="G1626" s="8"/>
      <c r="J1626" s="8"/>
    </row>
    <row r="1627">
      <c r="C1627" s="15"/>
      <c r="E1627" s="8"/>
      <c r="G1627" s="8"/>
      <c r="J1627" s="8"/>
    </row>
    <row r="1628">
      <c r="C1628" s="15"/>
      <c r="E1628" s="8"/>
      <c r="G1628" s="8"/>
      <c r="J1628" s="8"/>
    </row>
    <row r="1629">
      <c r="C1629" s="15"/>
      <c r="E1629" s="8"/>
      <c r="G1629" s="8"/>
      <c r="J1629" s="8"/>
    </row>
    <row r="1630">
      <c r="C1630" s="15"/>
      <c r="E1630" s="8"/>
      <c r="G1630" s="8"/>
      <c r="J1630" s="8"/>
    </row>
    <row r="1631">
      <c r="C1631" s="15"/>
      <c r="E1631" s="8"/>
      <c r="G1631" s="8"/>
      <c r="J1631" s="8"/>
    </row>
    <row r="1632">
      <c r="C1632" s="15"/>
      <c r="E1632" s="8"/>
      <c r="G1632" s="8"/>
      <c r="J1632" s="8"/>
    </row>
    <row r="1633">
      <c r="C1633" s="15"/>
      <c r="E1633" s="8"/>
      <c r="G1633" s="8"/>
      <c r="J1633" s="8"/>
    </row>
    <row r="1634">
      <c r="C1634" s="15"/>
      <c r="E1634" s="8"/>
      <c r="G1634" s="8"/>
      <c r="J1634" s="8"/>
    </row>
    <row r="1635">
      <c r="C1635" s="15"/>
      <c r="E1635" s="8"/>
      <c r="G1635" s="8"/>
      <c r="J1635" s="8"/>
    </row>
    <row r="1636">
      <c r="C1636" s="15"/>
      <c r="E1636" s="8"/>
      <c r="G1636" s="8"/>
      <c r="J1636" s="8"/>
    </row>
    <row r="1637">
      <c r="C1637" s="15"/>
      <c r="E1637" s="8"/>
      <c r="G1637" s="8"/>
      <c r="J1637" s="8"/>
    </row>
    <row r="1638">
      <c r="C1638" s="15"/>
      <c r="E1638" s="8"/>
      <c r="G1638" s="8"/>
      <c r="J1638" s="8"/>
    </row>
    <row r="1639">
      <c r="C1639" s="15"/>
      <c r="E1639" s="8"/>
      <c r="G1639" s="8"/>
      <c r="J1639" s="8"/>
    </row>
    <row r="1640">
      <c r="C1640" s="15"/>
      <c r="E1640" s="8"/>
      <c r="G1640" s="8"/>
      <c r="J1640" s="8"/>
    </row>
    <row r="1641">
      <c r="C1641" s="15"/>
      <c r="E1641" s="8"/>
      <c r="G1641" s="8"/>
      <c r="J1641" s="8"/>
    </row>
    <row r="1642">
      <c r="C1642" s="15"/>
      <c r="E1642" s="8"/>
      <c r="G1642" s="8"/>
      <c r="J1642" s="8"/>
    </row>
    <row r="1643">
      <c r="C1643" s="15"/>
      <c r="E1643" s="8"/>
      <c r="G1643" s="8"/>
      <c r="J1643" s="8"/>
    </row>
    <row r="1644">
      <c r="C1644" s="15"/>
      <c r="E1644" s="8"/>
      <c r="G1644" s="8"/>
      <c r="J1644" s="8"/>
    </row>
    <row r="1645">
      <c r="C1645" s="15"/>
      <c r="E1645" s="8"/>
      <c r="G1645" s="8"/>
      <c r="J1645" s="8"/>
    </row>
    <row r="1646">
      <c r="C1646" s="15"/>
      <c r="E1646" s="8"/>
      <c r="G1646" s="8"/>
      <c r="J1646" s="8"/>
    </row>
    <row r="1647">
      <c r="C1647" s="15"/>
      <c r="E1647" s="8"/>
      <c r="G1647" s="8"/>
      <c r="J1647" s="8"/>
    </row>
    <row r="1648">
      <c r="C1648" s="15"/>
      <c r="E1648" s="8"/>
      <c r="G1648" s="8"/>
      <c r="J1648" s="8"/>
    </row>
    <row r="1649">
      <c r="C1649" s="15"/>
      <c r="E1649" s="8"/>
      <c r="G1649" s="8"/>
      <c r="J1649" s="8"/>
    </row>
    <row r="1650">
      <c r="C1650" s="15"/>
      <c r="E1650" s="8"/>
      <c r="G1650" s="8"/>
      <c r="J1650" s="8"/>
    </row>
    <row r="1651">
      <c r="C1651" s="15"/>
      <c r="E1651" s="8"/>
      <c r="G1651" s="8"/>
      <c r="J1651" s="8"/>
    </row>
    <row r="1652">
      <c r="C1652" s="15"/>
      <c r="E1652" s="8"/>
      <c r="G1652" s="8"/>
      <c r="J1652" s="8"/>
    </row>
    <row r="1653">
      <c r="C1653" s="15"/>
      <c r="E1653" s="8"/>
      <c r="G1653" s="8"/>
      <c r="J1653" s="8"/>
    </row>
    <row r="1654">
      <c r="C1654" s="15"/>
      <c r="E1654" s="8"/>
      <c r="G1654" s="8"/>
      <c r="J1654" s="8"/>
    </row>
    <row r="1655">
      <c r="C1655" s="15"/>
      <c r="E1655" s="8"/>
      <c r="G1655" s="8"/>
      <c r="J1655" s="8"/>
    </row>
    <row r="1656">
      <c r="C1656" s="15"/>
      <c r="E1656" s="8"/>
      <c r="G1656" s="8"/>
      <c r="J1656" s="8"/>
    </row>
    <row r="1657">
      <c r="C1657" s="15"/>
      <c r="E1657" s="8"/>
      <c r="G1657" s="8"/>
      <c r="J1657" s="8"/>
    </row>
    <row r="1658">
      <c r="C1658" s="15"/>
      <c r="E1658" s="8"/>
      <c r="G1658" s="8"/>
      <c r="J1658" s="8"/>
    </row>
    <row r="1659">
      <c r="C1659" s="15"/>
      <c r="E1659" s="8"/>
      <c r="G1659" s="8"/>
      <c r="J1659" s="8"/>
    </row>
    <row r="1660">
      <c r="C1660" s="15"/>
      <c r="E1660" s="8"/>
      <c r="G1660" s="8"/>
      <c r="J1660" s="8"/>
    </row>
    <row r="1661">
      <c r="C1661" s="15"/>
      <c r="E1661" s="8"/>
      <c r="G1661" s="8"/>
      <c r="J1661" s="8"/>
    </row>
    <row r="1662">
      <c r="C1662" s="15"/>
      <c r="E1662" s="8"/>
      <c r="G1662" s="8"/>
      <c r="J1662" s="8"/>
    </row>
    <row r="1663">
      <c r="C1663" s="15"/>
      <c r="E1663" s="8"/>
      <c r="G1663" s="8"/>
      <c r="J1663" s="8"/>
    </row>
    <row r="1664">
      <c r="C1664" s="15"/>
      <c r="E1664" s="8"/>
      <c r="G1664" s="8"/>
      <c r="J1664" s="8"/>
    </row>
    <row r="1665">
      <c r="C1665" s="15"/>
      <c r="E1665" s="8"/>
      <c r="G1665" s="8"/>
      <c r="J1665" s="8"/>
    </row>
    <row r="1666">
      <c r="C1666" s="15"/>
      <c r="E1666" s="8"/>
      <c r="G1666" s="8"/>
      <c r="J1666" s="8"/>
    </row>
    <row r="1667">
      <c r="C1667" s="15"/>
      <c r="E1667" s="8"/>
      <c r="G1667" s="8"/>
      <c r="J1667" s="8"/>
    </row>
    <row r="1668">
      <c r="C1668" s="15"/>
      <c r="E1668" s="8"/>
      <c r="G1668" s="8"/>
      <c r="J1668" s="8"/>
    </row>
    <row r="1669">
      <c r="C1669" s="15"/>
      <c r="E1669" s="8"/>
      <c r="G1669" s="8"/>
      <c r="J1669" s="8"/>
    </row>
    <row r="1670">
      <c r="C1670" s="15"/>
      <c r="E1670" s="8"/>
      <c r="G1670" s="8"/>
      <c r="J1670" s="8"/>
    </row>
    <row r="1671">
      <c r="C1671" s="15"/>
      <c r="E1671" s="8"/>
      <c r="G1671" s="8"/>
      <c r="J1671" s="8"/>
    </row>
    <row r="1672">
      <c r="C1672" s="15"/>
      <c r="E1672" s="8"/>
      <c r="G1672" s="8"/>
      <c r="J1672" s="8"/>
    </row>
    <row r="1673">
      <c r="C1673" s="15"/>
      <c r="E1673" s="8"/>
      <c r="G1673" s="8"/>
      <c r="J1673" s="8"/>
    </row>
    <row r="1674">
      <c r="C1674" s="15"/>
      <c r="E1674" s="8"/>
      <c r="G1674" s="8"/>
      <c r="J1674" s="8"/>
    </row>
    <row r="1675">
      <c r="C1675" s="15"/>
      <c r="E1675" s="8"/>
      <c r="G1675" s="8"/>
      <c r="J1675" s="8"/>
    </row>
    <row r="1676">
      <c r="C1676" s="15"/>
      <c r="E1676" s="8"/>
      <c r="G1676" s="8"/>
      <c r="J1676" s="8"/>
    </row>
    <row r="1677">
      <c r="C1677" s="15"/>
      <c r="E1677" s="8"/>
      <c r="G1677" s="8"/>
      <c r="J1677" s="8"/>
    </row>
    <row r="1678">
      <c r="C1678" s="15"/>
      <c r="E1678" s="8"/>
      <c r="G1678" s="8"/>
      <c r="J1678" s="8"/>
    </row>
    <row r="1679">
      <c r="C1679" s="15"/>
      <c r="E1679" s="8"/>
      <c r="G1679" s="8"/>
      <c r="J1679" s="8"/>
    </row>
    <row r="1680">
      <c r="C1680" s="15"/>
      <c r="E1680" s="8"/>
      <c r="G1680" s="8"/>
      <c r="J1680" s="8"/>
    </row>
    <row r="1681">
      <c r="C1681" s="15"/>
      <c r="E1681" s="8"/>
      <c r="G1681" s="8"/>
      <c r="J1681" s="8"/>
    </row>
    <row r="1682">
      <c r="C1682" s="15"/>
      <c r="E1682" s="8"/>
      <c r="G1682" s="8"/>
      <c r="J1682" s="8"/>
    </row>
    <row r="1683">
      <c r="C1683" s="15"/>
      <c r="E1683" s="8"/>
      <c r="G1683" s="8"/>
      <c r="J1683" s="8"/>
    </row>
    <row r="1684">
      <c r="C1684" s="15"/>
      <c r="E1684" s="8"/>
      <c r="G1684" s="8"/>
      <c r="J1684" s="8"/>
    </row>
    <row r="1685">
      <c r="C1685" s="15"/>
      <c r="E1685" s="8"/>
      <c r="G1685" s="8"/>
      <c r="J1685" s="8"/>
    </row>
    <row r="1686">
      <c r="C1686" s="15"/>
      <c r="E1686" s="8"/>
      <c r="G1686" s="8"/>
      <c r="J1686" s="8"/>
    </row>
    <row r="1687">
      <c r="C1687" s="15"/>
      <c r="E1687" s="8"/>
      <c r="G1687" s="8"/>
      <c r="J1687" s="8"/>
    </row>
    <row r="1688">
      <c r="C1688" s="15"/>
      <c r="E1688" s="8"/>
      <c r="G1688" s="8"/>
      <c r="J1688" s="8"/>
    </row>
    <row r="1689">
      <c r="C1689" s="15"/>
      <c r="E1689" s="8"/>
      <c r="G1689" s="8"/>
      <c r="J1689" s="8"/>
    </row>
    <row r="1690">
      <c r="C1690" s="15"/>
      <c r="E1690" s="8"/>
      <c r="G1690" s="8"/>
      <c r="J1690" s="8"/>
    </row>
    <row r="1691">
      <c r="C1691" s="15"/>
      <c r="E1691" s="8"/>
      <c r="G1691" s="8"/>
      <c r="J1691" s="8"/>
    </row>
    <row r="1692">
      <c r="C1692" s="15"/>
      <c r="E1692" s="8"/>
      <c r="G1692" s="8"/>
      <c r="J1692" s="8"/>
    </row>
    <row r="1693">
      <c r="C1693" s="15"/>
      <c r="E1693" s="8"/>
      <c r="G1693" s="8"/>
      <c r="J1693" s="8"/>
    </row>
    <row r="1694">
      <c r="C1694" s="15"/>
      <c r="E1694" s="8"/>
      <c r="G1694" s="8"/>
      <c r="J1694" s="8"/>
    </row>
    <row r="1695">
      <c r="C1695" s="15"/>
      <c r="E1695" s="8"/>
      <c r="G1695" s="8"/>
      <c r="J1695" s="8"/>
    </row>
    <row r="1696">
      <c r="C1696" s="15"/>
      <c r="E1696" s="8"/>
      <c r="G1696" s="8"/>
      <c r="J1696" s="8"/>
    </row>
    <row r="1697">
      <c r="C1697" s="15"/>
      <c r="E1697" s="8"/>
      <c r="G1697" s="8"/>
      <c r="J1697" s="8"/>
    </row>
    <row r="1698">
      <c r="C1698" s="15"/>
      <c r="E1698" s="8"/>
      <c r="G1698" s="8"/>
      <c r="J1698" s="8"/>
    </row>
    <row r="1699">
      <c r="C1699" s="15"/>
      <c r="E1699" s="8"/>
      <c r="G1699" s="8"/>
      <c r="J1699" s="8"/>
    </row>
    <row r="1700">
      <c r="C1700" s="15"/>
      <c r="E1700" s="8"/>
      <c r="G1700" s="8"/>
      <c r="J1700" s="8"/>
    </row>
    <row r="1701">
      <c r="C1701" s="15"/>
      <c r="E1701" s="8"/>
      <c r="G1701" s="8"/>
      <c r="J1701" s="8"/>
    </row>
    <row r="1702">
      <c r="C1702" s="15"/>
      <c r="E1702" s="8"/>
      <c r="G1702" s="8"/>
      <c r="J1702" s="8"/>
    </row>
    <row r="1703">
      <c r="C1703" s="15"/>
      <c r="E1703" s="8"/>
      <c r="G1703" s="8"/>
      <c r="J1703" s="8"/>
    </row>
    <row r="1704">
      <c r="C1704" s="15"/>
      <c r="E1704" s="8"/>
      <c r="G1704" s="8"/>
      <c r="J1704" s="8"/>
    </row>
    <row r="1705">
      <c r="C1705" s="15"/>
      <c r="E1705" s="8"/>
      <c r="G1705" s="8"/>
      <c r="J1705" s="8"/>
    </row>
    <row r="1706">
      <c r="C1706" s="15"/>
      <c r="E1706" s="8"/>
      <c r="G1706" s="8"/>
      <c r="J1706" s="8"/>
    </row>
    <row r="1707">
      <c r="C1707" s="15"/>
      <c r="E1707" s="8"/>
      <c r="G1707" s="8"/>
      <c r="J1707" s="8"/>
    </row>
    <row r="1708">
      <c r="C1708" s="15"/>
      <c r="E1708" s="8"/>
      <c r="G1708" s="8"/>
      <c r="J1708" s="8"/>
    </row>
    <row r="1709">
      <c r="C1709" s="15"/>
      <c r="E1709" s="8"/>
      <c r="G1709" s="8"/>
      <c r="J1709" s="8"/>
    </row>
    <row r="1710">
      <c r="C1710" s="15"/>
      <c r="E1710" s="8"/>
      <c r="G1710" s="8"/>
      <c r="J1710" s="8"/>
    </row>
    <row r="1711">
      <c r="C1711" s="15"/>
      <c r="E1711" s="8"/>
      <c r="G1711" s="8"/>
      <c r="J1711" s="8"/>
    </row>
    <row r="1712">
      <c r="C1712" s="15"/>
      <c r="E1712" s="8"/>
      <c r="G1712" s="8"/>
      <c r="J1712" s="8"/>
    </row>
    <row r="1713">
      <c r="C1713" s="15"/>
      <c r="E1713" s="8"/>
      <c r="G1713" s="8"/>
      <c r="J1713" s="8"/>
    </row>
    <row r="1714">
      <c r="C1714" s="15"/>
      <c r="E1714" s="8"/>
      <c r="G1714" s="8"/>
      <c r="J1714" s="8"/>
    </row>
    <row r="1715">
      <c r="C1715" s="15"/>
      <c r="E1715" s="8"/>
      <c r="G1715" s="8"/>
      <c r="J1715" s="8"/>
    </row>
    <row r="1716">
      <c r="C1716" s="15"/>
      <c r="E1716" s="8"/>
      <c r="G1716" s="8"/>
      <c r="J1716" s="8"/>
    </row>
    <row r="1717">
      <c r="C1717" s="15"/>
      <c r="E1717" s="8"/>
      <c r="G1717" s="8"/>
      <c r="J1717" s="8"/>
    </row>
    <row r="1718">
      <c r="C1718" s="15"/>
      <c r="E1718" s="8"/>
      <c r="G1718" s="8"/>
      <c r="J1718" s="8"/>
    </row>
    <row r="1719">
      <c r="C1719" s="15"/>
      <c r="E1719" s="8"/>
      <c r="G1719" s="8"/>
      <c r="J1719" s="8"/>
    </row>
    <row r="1720">
      <c r="C1720" s="15"/>
      <c r="E1720" s="8"/>
      <c r="G1720" s="8"/>
      <c r="J1720" s="8"/>
    </row>
    <row r="1721">
      <c r="C1721" s="15"/>
      <c r="E1721" s="8"/>
      <c r="G1721" s="8"/>
      <c r="J1721" s="8"/>
    </row>
    <row r="1722">
      <c r="C1722" s="15"/>
      <c r="E1722" s="8"/>
      <c r="G1722" s="8"/>
      <c r="J1722" s="8"/>
    </row>
    <row r="1723">
      <c r="C1723" s="15"/>
      <c r="E1723" s="8"/>
      <c r="G1723" s="8"/>
      <c r="J1723" s="8"/>
    </row>
    <row r="1724">
      <c r="C1724" s="15"/>
      <c r="E1724" s="8"/>
      <c r="G1724" s="8"/>
      <c r="J1724" s="8"/>
    </row>
    <row r="1725">
      <c r="C1725" s="15"/>
      <c r="E1725" s="8"/>
      <c r="G1725" s="8"/>
      <c r="J1725" s="8"/>
    </row>
    <row r="1726">
      <c r="C1726" s="15"/>
      <c r="E1726" s="8"/>
      <c r="G1726" s="8"/>
      <c r="J1726" s="8"/>
    </row>
    <row r="1727">
      <c r="C1727" s="15"/>
      <c r="E1727" s="8"/>
      <c r="G1727" s="8"/>
      <c r="J1727" s="8"/>
    </row>
    <row r="1728">
      <c r="C1728" s="15"/>
      <c r="E1728" s="8"/>
      <c r="G1728" s="8"/>
      <c r="J1728" s="8"/>
    </row>
    <row r="1729">
      <c r="C1729" s="15"/>
      <c r="E1729" s="8"/>
      <c r="G1729" s="8"/>
      <c r="J1729" s="8"/>
    </row>
    <row r="1730">
      <c r="C1730" s="15"/>
      <c r="E1730" s="8"/>
      <c r="G1730" s="8"/>
      <c r="J1730" s="8"/>
    </row>
    <row r="1731">
      <c r="C1731" s="15"/>
      <c r="E1731" s="8"/>
      <c r="G1731" s="8"/>
      <c r="J1731" s="8"/>
    </row>
    <row r="1732">
      <c r="C1732" s="15"/>
      <c r="E1732" s="8"/>
      <c r="G1732" s="8"/>
      <c r="J1732" s="8"/>
    </row>
    <row r="1733">
      <c r="C1733" s="15"/>
      <c r="E1733" s="8"/>
      <c r="G1733" s="8"/>
      <c r="J1733" s="8"/>
    </row>
    <row r="1734">
      <c r="C1734" s="15"/>
      <c r="E1734" s="8"/>
      <c r="G1734" s="8"/>
      <c r="J1734" s="8"/>
    </row>
    <row r="1735">
      <c r="C1735" s="15"/>
      <c r="E1735" s="8"/>
      <c r="G1735" s="8"/>
      <c r="J1735" s="8"/>
    </row>
    <row r="1736">
      <c r="C1736" s="15"/>
      <c r="E1736" s="8"/>
      <c r="G1736" s="8"/>
      <c r="J1736" s="8"/>
    </row>
    <row r="1737">
      <c r="C1737" s="15"/>
      <c r="E1737" s="8"/>
      <c r="G1737" s="8"/>
      <c r="J1737" s="8"/>
    </row>
    <row r="1738">
      <c r="C1738" s="15"/>
      <c r="E1738" s="8"/>
      <c r="G1738" s="8"/>
      <c r="J1738" s="8"/>
    </row>
    <row r="1739">
      <c r="C1739" s="15"/>
      <c r="E1739" s="8"/>
      <c r="G1739" s="8"/>
      <c r="J1739" s="8"/>
    </row>
    <row r="1740">
      <c r="C1740" s="15"/>
      <c r="E1740" s="8"/>
      <c r="G1740" s="8"/>
      <c r="J1740" s="8"/>
    </row>
    <row r="1741">
      <c r="C1741" s="15"/>
      <c r="E1741" s="8"/>
      <c r="G1741" s="8"/>
      <c r="J1741" s="8"/>
    </row>
    <row r="1742">
      <c r="C1742" s="15"/>
      <c r="E1742" s="8"/>
      <c r="G1742" s="8"/>
      <c r="J1742" s="8"/>
    </row>
    <row r="1743">
      <c r="C1743" s="15"/>
      <c r="E1743" s="8"/>
      <c r="G1743" s="8"/>
      <c r="J1743" s="8"/>
    </row>
    <row r="1744">
      <c r="C1744" s="15"/>
      <c r="E1744" s="8"/>
      <c r="G1744" s="8"/>
      <c r="J1744" s="8"/>
    </row>
    <row r="1745">
      <c r="C1745" s="15"/>
      <c r="E1745" s="8"/>
      <c r="G1745" s="8"/>
      <c r="J1745" s="8"/>
    </row>
    <row r="1746">
      <c r="C1746" s="15"/>
      <c r="E1746" s="8"/>
      <c r="G1746" s="8"/>
      <c r="J1746" s="8"/>
    </row>
    <row r="1747">
      <c r="C1747" s="15"/>
      <c r="E1747" s="8"/>
      <c r="G1747" s="8"/>
      <c r="J1747" s="8"/>
    </row>
    <row r="1748">
      <c r="C1748" s="15"/>
      <c r="E1748" s="8"/>
      <c r="G1748" s="8"/>
      <c r="J1748" s="8"/>
    </row>
    <row r="1749">
      <c r="C1749" s="15"/>
      <c r="E1749" s="8"/>
      <c r="G1749" s="8"/>
      <c r="J1749" s="8"/>
    </row>
    <row r="1750">
      <c r="C1750" s="15"/>
      <c r="E1750" s="8"/>
      <c r="G1750" s="8"/>
      <c r="J1750" s="8"/>
    </row>
    <row r="1751">
      <c r="C1751" s="15"/>
      <c r="E1751" s="8"/>
      <c r="G1751" s="8"/>
      <c r="J1751" s="8"/>
    </row>
    <row r="1752">
      <c r="C1752" s="15"/>
      <c r="E1752" s="8"/>
      <c r="G1752" s="8"/>
      <c r="J1752" s="8"/>
    </row>
    <row r="1753">
      <c r="C1753" s="15"/>
      <c r="E1753" s="8"/>
      <c r="G1753" s="8"/>
      <c r="J1753" s="8"/>
    </row>
    <row r="1754">
      <c r="C1754" s="15"/>
      <c r="E1754" s="8"/>
      <c r="G1754" s="8"/>
      <c r="J1754" s="8"/>
    </row>
    <row r="1755">
      <c r="C1755" s="15"/>
      <c r="E1755" s="8"/>
      <c r="G1755" s="8"/>
      <c r="J1755" s="8"/>
    </row>
    <row r="1756">
      <c r="C1756" s="15"/>
      <c r="E1756" s="8"/>
      <c r="G1756" s="8"/>
      <c r="J1756" s="8"/>
    </row>
    <row r="1757">
      <c r="C1757" s="15"/>
      <c r="E1757" s="8"/>
      <c r="G1757" s="8"/>
      <c r="J1757" s="8"/>
    </row>
    <row r="1758">
      <c r="C1758" s="15"/>
      <c r="E1758" s="8"/>
      <c r="G1758" s="8"/>
      <c r="J1758" s="8"/>
    </row>
    <row r="1759">
      <c r="C1759" s="15"/>
      <c r="E1759" s="8"/>
      <c r="G1759" s="8"/>
      <c r="J1759" s="8"/>
    </row>
    <row r="1760">
      <c r="C1760" s="15"/>
      <c r="E1760" s="8"/>
      <c r="G1760" s="8"/>
      <c r="J1760" s="8"/>
    </row>
    <row r="1761">
      <c r="C1761" s="15"/>
      <c r="E1761" s="8"/>
      <c r="G1761" s="8"/>
      <c r="J1761" s="8"/>
    </row>
    <row r="1762">
      <c r="C1762" s="15"/>
      <c r="E1762" s="8"/>
      <c r="G1762" s="8"/>
      <c r="J1762" s="8"/>
    </row>
    <row r="1763">
      <c r="C1763" s="15"/>
      <c r="E1763" s="8"/>
      <c r="G1763" s="8"/>
      <c r="J1763" s="8"/>
    </row>
    <row r="1764">
      <c r="C1764" s="15"/>
      <c r="E1764" s="8"/>
      <c r="G1764" s="8"/>
      <c r="J1764" s="8"/>
    </row>
    <row r="1765">
      <c r="C1765" s="15"/>
      <c r="E1765" s="8"/>
      <c r="G1765" s="8"/>
      <c r="J1765" s="8"/>
    </row>
    <row r="1766">
      <c r="C1766" s="15"/>
      <c r="E1766" s="8"/>
      <c r="G1766" s="8"/>
      <c r="J1766" s="8"/>
    </row>
    <row r="1767">
      <c r="C1767" s="15"/>
      <c r="E1767" s="8"/>
      <c r="G1767" s="8"/>
      <c r="J1767" s="8"/>
    </row>
    <row r="1768">
      <c r="C1768" s="15"/>
      <c r="E1768" s="8"/>
      <c r="G1768" s="8"/>
      <c r="J1768" s="8"/>
    </row>
    <row r="1769">
      <c r="C1769" s="15"/>
      <c r="E1769" s="8"/>
      <c r="G1769" s="8"/>
      <c r="J1769" s="8"/>
    </row>
    <row r="1770">
      <c r="C1770" s="15"/>
      <c r="E1770" s="8"/>
      <c r="G1770" s="8"/>
      <c r="J1770" s="8"/>
    </row>
    <row r="1771">
      <c r="C1771" s="15"/>
      <c r="E1771" s="8"/>
      <c r="G1771" s="8"/>
      <c r="J1771" s="8"/>
    </row>
    <row r="1772">
      <c r="C1772" s="15"/>
      <c r="E1772" s="8"/>
      <c r="G1772" s="8"/>
      <c r="J1772" s="8"/>
    </row>
    <row r="1773">
      <c r="C1773" s="15"/>
      <c r="E1773" s="8"/>
      <c r="G1773" s="8"/>
      <c r="J1773" s="8"/>
    </row>
    <row r="1774">
      <c r="C1774" s="15"/>
      <c r="E1774" s="8"/>
      <c r="G1774" s="8"/>
      <c r="J1774" s="8"/>
    </row>
    <row r="1775">
      <c r="C1775" s="15"/>
      <c r="E1775" s="8"/>
      <c r="G1775" s="8"/>
      <c r="J1775" s="8"/>
    </row>
    <row r="1776">
      <c r="C1776" s="15"/>
      <c r="E1776" s="8"/>
      <c r="G1776" s="8"/>
      <c r="J1776" s="8"/>
    </row>
    <row r="1777">
      <c r="C1777" s="15"/>
      <c r="E1777" s="8"/>
      <c r="G1777" s="8"/>
      <c r="J1777" s="8"/>
    </row>
    <row r="1778">
      <c r="C1778" s="15"/>
      <c r="E1778" s="8"/>
      <c r="G1778" s="8"/>
      <c r="J1778" s="8"/>
    </row>
    <row r="1779">
      <c r="C1779" s="15"/>
      <c r="E1779" s="8"/>
      <c r="G1779" s="8"/>
      <c r="J1779" s="8"/>
    </row>
    <row r="1780">
      <c r="C1780" s="15"/>
      <c r="E1780" s="8"/>
      <c r="G1780" s="8"/>
      <c r="J1780" s="8"/>
    </row>
    <row r="1781">
      <c r="C1781" s="15"/>
      <c r="E1781" s="8"/>
      <c r="G1781" s="8"/>
      <c r="J1781" s="8"/>
    </row>
    <row r="1782">
      <c r="C1782" s="15"/>
      <c r="E1782" s="8"/>
      <c r="G1782" s="8"/>
      <c r="J1782" s="8"/>
    </row>
    <row r="1783">
      <c r="C1783" s="15"/>
      <c r="E1783" s="8"/>
      <c r="G1783" s="8"/>
      <c r="J1783" s="8"/>
    </row>
    <row r="1784">
      <c r="C1784" s="15"/>
      <c r="E1784" s="8"/>
      <c r="G1784" s="8"/>
      <c r="J1784" s="8"/>
    </row>
    <row r="1785">
      <c r="C1785" s="15"/>
      <c r="E1785" s="8"/>
      <c r="G1785" s="8"/>
      <c r="J1785" s="8"/>
    </row>
    <row r="1786">
      <c r="C1786" s="15"/>
      <c r="E1786" s="8"/>
      <c r="G1786" s="8"/>
      <c r="J1786" s="8"/>
    </row>
    <row r="1787">
      <c r="C1787" s="15"/>
      <c r="E1787" s="8"/>
      <c r="G1787" s="8"/>
      <c r="J1787" s="8"/>
    </row>
    <row r="1788">
      <c r="C1788" s="15"/>
      <c r="E1788" s="8"/>
      <c r="G1788" s="8"/>
      <c r="J1788" s="8"/>
    </row>
    <row r="1789">
      <c r="C1789" s="15"/>
      <c r="E1789" s="8"/>
      <c r="G1789" s="8"/>
      <c r="J1789" s="8"/>
    </row>
    <row r="1790">
      <c r="C1790" s="15"/>
      <c r="E1790" s="8"/>
      <c r="G1790" s="8"/>
      <c r="J1790" s="8"/>
    </row>
    <row r="1791">
      <c r="C1791" s="15"/>
      <c r="E1791" s="8"/>
      <c r="G1791" s="8"/>
      <c r="J1791" s="8"/>
    </row>
    <row r="1792">
      <c r="C1792" s="15"/>
      <c r="E1792" s="8"/>
      <c r="G1792" s="8"/>
      <c r="J1792" s="8"/>
    </row>
    <row r="1793">
      <c r="C1793" s="15"/>
      <c r="E1793" s="8"/>
      <c r="G1793" s="8"/>
      <c r="J1793" s="8"/>
    </row>
    <row r="1794">
      <c r="C1794" s="15"/>
      <c r="E1794" s="8"/>
      <c r="G1794" s="8"/>
      <c r="J1794" s="8"/>
    </row>
    <row r="1795">
      <c r="C1795" s="15"/>
      <c r="E1795" s="8"/>
      <c r="G1795" s="8"/>
      <c r="J1795" s="8"/>
    </row>
    <row r="1796">
      <c r="C1796" s="15"/>
      <c r="E1796" s="8"/>
      <c r="G1796" s="8"/>
      <c r="J1796" s="8"/>
    </row>
    <row r="1797">
      <c r="C1797" s="15"/>
      <c r="E1797" s="8"/>
      <c r="G1797" s="8"/>
      <c r="J1797" s="8"/>
    </row>
    <row r="1798">
      <c r="C1798" s="15"/>
      <c r="E1798" s="8"/>
      <c r="G1798" s="8"/>
      <c r="J1798" s="8"/>
    </row>
    <row r="1799">
      <c r="C1799" s="15"/>
      <c r="E1799" s="8"/>
      <c r="G1799" s="8"/>
      <c r="J1799" s="8"/>
    </row>
    <row r="1800">
      <c r="C1800" s="15"/>
      <c r="E1800" s="8"/>
      <c r="G1800" s="8"/>
      <c r="J1800" s="8"/>
    </row>
    <row r="1801">
      <c r="C1801" s="15"/>
      <c r="E1801" s="8"/>
      <c r="G1801" s="8"/>
      <c r="J1801" s="8"/>
    </row>
    <row r="1802">
      <c r="C1802" s="15"/>
      <c r="E1802" s="8"/>
      <c r="G1802" s="8"/>
      <c r="J1802" s="8"/>
    </row>
    <row r="1803">
      <c r="C1803" s="15"/>
      <c r="E1803" s="8"/>
      <c r="G1803" s="8"/>
      <c r="J1803" s="8"/>
    </row>
    <row r="1804">
      <c r="C1804" s="15"/>
      <c r="E1804" s="8"/>
      <c r="G1804" s="8"/>
      <c r="J1804" s="8"/>
    </row>
    <row r="1805">
      <c r="C1805" s="15"/>
      <c r="E1805" s="8"/>
      <c r="G1805" s="8"/>
      <c r="J1805" s="8"/>
    </row>
    <row r="1806">
      <c r="C1806" s="15"/>
      <c r="E1806" s="8"/>
      <c r="G1806" s="8"/>
      <c r="J1806" s="8"/>
    </row>
    <row r="1807">
      <c r="C1807" s="15"/>
      <c r="E1807" s="8"/>
      <c r="G1807" s="8"/>
      <c r="J1807" s="8"/>
    </row>
    <row r="1808">
      <c r="C1808" s="15"/>
      <c r="E1808" s="8"/>
      <c r="G1808" s="8"/>
      <c r="J1808" s="8"/>
    </row>
    <row r="1809">
      <c r="C1809" s="15"/>
      <c r="E1809" s="8"/>
      <c r="G1809" s="8"/>
      <c r="J1809" s="8"/>
    </row>
    <row r="1810">
      <c r="C1810" s="15"/>
      <c r="E1810" s="8"/>
      <c r="G1810" s="8"/>
      <c r="J1810" s="8"/>
    </row>
    <row r="1811">
      <c r="C1811" s="15"/>
      <c r="E1811" s="8"/>
      <c r="G1811" s="8"/>
      <c r="J1811" s="8"/>
    </row>
    <row r="1812">
      <c r="C1812" s="15"/>
      <c r="E1812" s="8"/>
      <c r="G1812" s="8"/>
      <c r="J1812" s="8"/>
    </row>
    <row r="1813">
      <c r="C1813" s="15"/>
      <c r="E1813" s="8"/>
      <c r="G1813" s="8"/>
      <c r="J1813" s="8"/>
    </row>
    <row r="1814">
      <c r="C1814" s="15"/>
      <c r="E1814" s="8"/>
      <c r="G1814" s="8"/>
      <c r="J1814" s="8"/>
    </row>
    <row r="1815">
      <c r="C1815" s="15"/>
      <c r="E1815" s="8"/>
      <c r="G1815" s="8"/>
      <c r="J1815" s="8"/>
    </row>
    <row r="1816">
      <c r="C1816" s="15"/>
      <c r="E1816" s="8"/>
      <c r="G1816" s="8"/>
      <c r="J1816" s="8"/>
    </row>
    <row r="1817">
      <c r="C1817" s="15"/>
      <c r="E1817" s="8"/>
      <c r="G1817" s="8"/>
      <c r="J1817" s="8"/>
    </row>
    <row r="1818">
      <c r="C1818" s="15"/>
      <c r="E1818" s="8"/>
      <c r="G1818" s="8"/>
      <c r="J1818" s="8"/>
    </row>
    <row r="1819">
      <c r="C1819" s="15"/>
      <c r="E1819" s="8"/>
      <c r="G1819" s="8"/>
      <c r="J1819" s="8"/>
    </row>
    <row r="1820">
      <c r="C1820" s="15"/>
      <c r="E1820" s="8"/>
      <c r="G1820" s="8"/>
      <c r="J1820" s="8"/>
    </row>
    <row r="1821">
      <c r="C1821" s="15"/>
      <c r="E1821" s="8"/>
      <c r="G1821" s="8"/>
      <c r="J1821" s="8"/>
    </row>
    <row r="1822">
      <c r="C1822" s="15"/>
      <c r="E1822" s="8"/>
      <c r="G1822" s="8"/>
      <c r="J1822" s="8"/>
    </row>
    <row r="1823">
      <c r="C1823" s="15"/>
      <c r="E1823" s="8"/>
      <c r="G1823" s="8"/>
      <c r="J1823" s="8"/>
    </row>
    <row r="1824">
      <c r="C1824" s="15"/>
      <c r="E1824" s="8"/>
      <c r="G1824" s="8"/>
      <c r="J1824" s="8"/>
    </row>
    <row r="1825">
      <c r="C1825" s="15"/>
      <c r="E1825" s="8"/>
      <c r="G1825" s="8"/>
      <c r="J1825" s="8"/>
    </row>
    <row r="1826">
      <c r="C1826" s="15"/>
      <c r="E1826" s="8"/>
      <c r="G1826" s="8"/>
      <c r="J1826" s="8"/>
    </row>
    <row r="1827">
      <c r="C1827" s="15"/>
      <c r="E1827" s="8"/>
      <c r="G1827" s="8"/>
      <c r="J1827" s="8"/>
    </row>
    <row r="1828">
      <c r="C1828" s="15"/>
      <c r="E1828" s="8"/>
      <c r="G1828" s="8"/>
      <c r="J1828" s="8"/>
    </row>
    <row r="1829">
      <c r="C1829" s="15"/>
      <c r="E1829" s="8"/>
      <c r="G1829" s="8"/>
      <c r="J1829" s="8"/>
    </row>
    <row r="1830">
      <c r="C1830" s="15"/>
      <c r="E1830" s="8"/>
      <c r="G1830" s="8"/>
      <c r="J1830" s="8"/>
    </row>
    <row r="1831">
      <c r="C1831" s="15"/>
      <c r="E1831" s="8"/>
      <c r="G1831" s="8"/>
      <c r="J1831" s="8"/>
    </row>
    <row r="1832">
      <c r="C1832" s="15"/>
      <c r="E1832" s="8"/>
      <c r="G1832" s="8"/>
      <c r="J1832" s="8"/>
    </row>
    <row r="1833">
      <c r="C1833" s="15"/>
      <c r="E1833" s="8"/>
      <c r="G1833" s="8"/>
      <c r="J1833" s="8"/>
    </row>
    <row r="1834">
      <c r="C1834" s="15"/>
      <c r="E1834" s="8"/>
      <c r="G1834" s="8"/>
      <c r="J1834" s="8"/>
    </row>
    <row r="1835">
      <c r="C1835" s="15"/>
      <c r="E1835" s="8"/>
      <c r="G1835" s="8"/>
      <c r="J1835" s="8"/>
    </row>
    <row r="1836">
      <c r="C1836" s="15"/>
      <c r="E1836" s="8"/>
      <c r="G1836" s="8"/>
      <c r="J1836" s="8"/>
    </row>
    <row r="1837">
      <c r="C1837" s="15"/>
      <c r="E1837" s="8"/>
      <c r="G1837" s="8"/>
      <c r="J1837" s="8"/>
    </row>
    <row r="1838">
      <c r="C1838" s="15"/>
      <c r="E1838" s="8"/>
      <c r="G1838" s="8"/>
      <c r="J1838" s="8"/>
    </row>
    <row r="1839">
      <c r="C1839" s="15"/>
      <c r="E1839" s="8"/>
      <c r="G1839" s="8"/>
      <c r="J1839" s="8"/>
    </row>
    <row r="1840">
      <c r="C1840" s="15"/>
      <c r="E1840" s="8"/>
      <c r="G1840" s="8"/>
      <c r="J1840" s="8"/>
    </row>
    <row r="1841">
      <c r="C1841" s="15"/>
      <c r="E1841" s="8"/>
      <c r="G1841" s="8"/>
      <c r="J1841" s="8"/>
    </row>
    <row r="1842">
      <c r="C1842" s="15"/>
      <c r="E1842" s="8"/>
      <c r="G1842" s="8"/>
      <c r="J1842" s="8"/>
    </row>
    <row r="1843">
      <c r="C1843" s="15"/>
      <c r="E1843" s="8"/>
      <c r="G1843" s="8"/>
      <c r="J1843" s="8"/>
    </row>
    <row r="1844">
      <c r="C1844" s="15"/>
      <c r="E1844" s="8"/>
      <c r="G1844" s="8"/>
      <c r="J1844" s="8"/>
    </row>
    <row r="1845">
      <c r="C1845" s="15"/>
      <c r="E1845" s="8"/>
      <c r="G1845" s="8"/>
      <c r="J1845" s="8"/>
    </row>
    <row r="1846">
      <c r="C1846" s="15"/>
      <c r="E1846" s="8"/>
      <c r="G1846" s="8"/>
      <c r="J1846" s="8"/>
    </row>
    <row r="1847">
      <c r="C1847" s="15"/>
      <c r="E1847" s="8"/>
      <c r="G1847" s="8"/>
      <c r="J1847" s="8"/>
    </row>
    <row r="1848">
      <c r="C1848" s="15"/>
      <c r="E1848" s="8"/>
      <c r="G1848" s="8"/>
      <c r="J1848" s="8"/>
    </row>
    <row r="1849">
      <c r="C1849" s="15"/>
      <c r="E1849" s="8"/>
      <c r="G1849" s="8"/>
      <c r="J1849" s="8"/>
    </row>
    <row r="1850">
      <c r="C1850" s="15"/>
      <c r="E1850" s="8"/>
      <c r="G1850" s="8"/>
      <c r="J1850" s="8"/>
    </row>
    <row r="1851">
      <c r="C1851" s="15"/>
      <c r="E1851" s="8"/>
      <c r="G1851" s="8"/>
      <c r="J1851" s="8"/>
    </row>
    <row r="1852">
      <c r="C1852" s="15"/>
      <c r="E1852" s="8"/>
      <c r="G1852" s="8"/>
      <c r="J1852" s="8"/>
    </row>
    <row r="1853">
      <c r="C1853" s="15"/>
      <c r="E1853" s="8"/>
      <c r="G1853" s="8"/>
      <c r="J1853" s="8"/>
    </row>
    <row r="1854">
      <c r="C1854" s="15"/>
      <c r="E1854" s="8"/>
      <c r="G1854" s="8"/>
      <c r="J1854" s="8"/>
    </row>
    <row r="1855">
      <c r="C1855" s="15"/>
      <c r="E1855" s="8"/>
      <c r="G1855" s="8"/>
      <c r="J1855" s="8"/>
    </row>
    <row r="1856">
      <c r="C1856" s="15"/>
      <c r="E1856" s="8"/>
      <c r="G1856" s="8"/>
      <c r="J1856" s="8"/>
    </row>
    <row r="1857">
      <c r="C1857" s="15"/>
      <c r="E1857" s="8"/>
      <c r="G1857" s="8"/>
      <c r="J1857" s="8"/>
    </row>
    <row r="1858">
      <c r="C1858" s="15"/>
      <c r="E1858" s="8"/>
      <c r="G1858" s="8"/>
      <c r="J1858" s="8"/>
    </row>
    <row r="1859">
      <c r="C1859" s="15"/>
      <c r="E1859" s="8"/>
      <c r="G1859" s="8"/>
      <c r="J1859" s="8"/>
    </row>
    <row r="1860">
      <c r="C1860" s="15"/>
      <c r="E1860" s="8"/>
      <c r="G1860" s="8"/>
      <c r="J1860" s="8"/>
    </row>
    <row r="1861">
      <c r="C1861" s="15"/>
      <c r="E1861" s="8"/>
      <c r="G1861" s="8"/>
      <c r="J1861" s="8"/>
    </row>
    <row r="1862">
      <c r="C1862" s="15"/>
      <c r="E1862" s="8"/>
      <c r="G1862" s="8"/>
      <c r="J1862" s="8"/>
    </row>
    <row r="1863">
      <c r="C1863" s="15"/>
      <c r="E1863" s="8"/>
      <c r="G1863" s="8"/>
      <c r="J1863" s="8"/>
    </row>
    <row r="1864">
      <c r="C1864" s="15"/>
      <c r="E1864" s="8"/>
      <c r="G1864" s="8"/>
      <c r="J1864" s="8"/>
    </row>
    <row r="1865">
      <c r="C1865" s="15"/>
      <c r="E1865" s="8"/>
      <c r="G1865" s="8"/>
      <c r="J1865" s="8"/>
    </row>
    <row r="1866">
      <c r="C1866" s="15"/>
      <c r="E1866" s="8"/>
      <c r="G1866" s="8"/>
      <c r="J1866" s="8"/>
    </row>
    <row r="1867">
      <c r="C1867" s="15"/>
      <c r="E1867" s="8"/>
      <c r="G1867" s="8"/>
      <c r="J1867" s="8"/>
    </row>
    <row r="1868">
      <c r="C1868" s="15"/>
      <c r="E1868" s="8"/>
      <c r="G1868" s="8"/>
      <c r="J1868" s="8"/>
    </row>
    <row r="1869">
      <c r="C1869" s="15"/>
      <c r="E1869" s="8"/>
      <c r="G1869" s="8"/>
      <c r="J1869" s="8"/>
    </row>
    <row r="1870">
      <c r="C1870" s="15"/>
      <c r="E1870" s="8"/>
      <c r="G1870" s="8"/>
      <c r="J1870" s="8"/>
    </row>
    <row r="1871">
      <c r="C1871" s="15"/>
      <c r="E1871" s="8"/>
      <c r="G1871" s="8"/>
      <c r="J1871" s="8"/>
    </row>
    <row r="1872">
      <c r="C1872" s="15"/>
      <c r="E1872" s="8"/>
      <c r="G1872" s="8"/>
      <c r="J1872" s="8"/>
    </row>
    <row r="1873">
      <c r="C1873" s="15"/>
      <c r="E1873" s="8"/>
      <c r="G1873" s="8"/>
      <c r="J1873" s="8"/>
    </row>
    <row r="1874">
      <c r="C1874" s="15"/>
      <c r="E1874" s="8"/>
      <c r="G1874" s="8"/>
      <c r="J1874" s="8"/>
    </row>
    <row r="1875">
      <c r="C1875" s="15"/>
      <c r="E1875" s="8"/>
      <c r="G1875" s="8"/>
      <c r="J1875" s="8"/>
    </row>
    <row r="1876">
      <c r="C1876" s="15"/>
      <c r="E1876" s="8"/>
      <c r="G1876" s="8"/>
      <c r="J1876" s="8"/>
    </row>
    <row r="1877">
      <c r="C1877" s="15"/>
      <c r="E1877" s="8"/>
      <c r="G1877" s="8"/>
      <c r="J1877" s="8"/>
    </row>
    <row r="1878">
      <c r="C1878" s="15"/>
      <c r="E1878" s="8"/>
      <c r="G1878" s="8"/>
      <c r="J1878" s="8"/>
    </row>
    <row r="1879">
      <c r="C1879" s="15"/>
      <c r="E1879" s="8"/>
      <c r="G1879" s="8"/>
      <c r="J1879" s="8"/>
    </row>
    <row r="1880">
      <c r="C1880" s="15"/>
      <c r="E1880" s="8"/>
      <c r="G1880" s="8"/>
      <c r="J1880" s="8"/>
    </row>
    <row r="1881">
      <c r="C1881" s="15"/>
      <c r="E1881" s="8"/>
      <c r="G1881" s="8"/>
      <c r="J1881" s="8"/>
    </row>
    <row r="1882">
      <c r="C1882" s="15"/>
      <c r="E1882" s="8"/>
      <c r="G1882" s="8"/>
      <c r="J1882" s="8"/>
    </row>
    <row r="1883">
      <c r="C1883" s="15"/>
      <c r="E1883" s="8"/>
      <c r="G1883" s="8"/>
      <c r="J1883" s="8"/>
    </row>
    <row r="1884">
      <c r="C1884" s="15"/>
      <c r="E1884" s="8"/>
      <c r="G1884" s="8"/>
      <c r="J1884" s="8"/>
    </row>
    <row r="1885">
      <c r="C1885" s="15"/>
      <c r="E1885" s="8"/>
      <c r="G1885" s="8"/>
      <c r="J1885" s="8"/>
    </row>
    <row r="1886">
      <c r="C1886" s="15"/>
      <c r="E1886" s="8"/>
      <c r="G1886" s="8"/>
      <c r="J1886" s="8"/>
    </row>
    <row r="1887">
      <c r="C1887" s="15"/>
      <c r="E1887" s="8"/>
      <c r="G1887" s="8"/>
      <c r="J1887" s="8"/>
    </row>
    <row r="1888">
      <c r="C1888" s="15"/>
      <c r="E1888" s="8"/>
      <c r="G1888" s="8"/>
      <c r="J1888" s="8"/>
    </row>
    <row r="1889">
      <c r="C1889" s="15"/>
      <c r="E1889" s="8"/>
      <c r="G1889" s="8"/>
      <c r="J1889" s="8"/>
    </row>
    <row r="1890">
      <c r="C1890" s="15"/>
      <c r="E1890" s="8"/>
      <c r="G1890" s="8"/>
      <c r="J1890" s="8"/>
    </row>
    <row r="1891">
      <c r="C1891" s="15"/>
      <c r="E1891" s="8"/>
      <c r="G1891" s="8"/>
      <c r="J1891" s="8"/>
    </row>
    <row r="1892">
      <c r="C1892" s="15"/>
      <c r="E1892" s="8"/>
      <c r="G1892" s="8"/>
      <c r="J1892" s="8"/>
    </row>
    <row r="1893">
      <c r="C1893" s="15"/>
      <c r="E1893" s="8"/>
      <c r="G1893" s="8"/>
      <c r="J1893" s="8"/>
    </row>
    <row r="1894">
      <c r="C1894" s="15"/>
      <c r="E1894" s="8"/>
      <c r="G1894" s="8"/>
      <c r="J1894" s="8"/>
    </row>
    <row r="1895">
      <c r="C1895" s="15"/>
      <c r="E1895" s="8"/>
      <c r="G1895" s="8"/>
      <c r="J1895" s="8"/>
    </row>
    <row r="1896">
      <c r="C1896" s="15"/>
      <c r="E1896" s="8"/>
      <c r="G1896" s="8"/>
      <c r="J1896" s="8"/>
    </row>
    <row r="1897">
      <c r="C1897" s="15"/>
      <c r="E1897" s="8"/>
      <c r="G1897" s="8"/>
      <c r="J1897" s="8"/>
    </row>
    <row r="1898">
      <c r="C1898" s="15"/>
      <c r="E1898" s="8"/>
      <c r="G1898" s="8"/>
      <c r="J1898" s="8"/>
    </row>
    <row r="1899">
      <c r="C1899" s="15"/>
      <c r="E1899" s="8"/>
      <c r="G1899" s="8"/>
      <c r="J1899" s="8"/>
    </row>
    <row r="1900">
      <c r="C1900" s="15"/>
      <c r="E1900" s="8"/>
      <c r="G1900" s="8"/>
      <c r="J1900" s="8"/>
    </row>
    <row r="1901">
      <c r="C1901" s="15"/>
      <c r="E1901" s="8"/>
      <c r="G1901" s="8"/>
      <c r="J1901" s="8"/>
    </row>
    <row r="1902">
      <c r="C1902" s="15"/>
      <c r="E1902" s="8"/>
      <c r="G1902" s="8"/>
      <c r="J1902" s="8"/>
    </row>
    <row r="1903">
      <c r="C1903" s="15"/>
      <c r="E1903" s="8"/>
      <c r="G1903" s="8"/>
      <c r="J1903" s="8"/>
    </row>
    <row r="1904">
      <c r="C1904" s="15"/>
      <c r="E1904" s="8"/>
      <c r="G1904" s="8"/>
      <c r="J1904" s="8"/>
    </row>
    <row r="1905">
      <c r="C1905" s="15"/>
      <c r="E1905" s="8"/>
      <c r="G1905" s="8"/>
      <c r="J1905" s="8"/>
    </row>
    <row r="1906">
      <c r="C1906" s="15"/>
      <c r="E1906" s="8"/>
      <c r="G1906" s="8"/>
      <c r="J1906" s="8"/>
    </row>
    <row r="1907">
      <c r="C1907" s="15"/>
      <c r="E1907" s="8"/>
      <c r="G1907" s="8"/>
      <c r="J1907" s="8"/>
    </row>
    <row r="1908">
      <c r="C1908" s="15"/>
      <c r="E1908" s="8"/>
      <c r="G1908" s="8"/>
      <c r="J1908" s="8"/>
    </row>
    <row r="1909">
      <c r="C1909" s="15"/>
      <c r="E1909" s="8"/>
      <c r="G1909" s="8"/>
      <c r="J1909" s="8"/>
    </row>
    <row r="1910">
      <c r="C1910" s="15"/>
      <c r="E1910" s="8"/>
      <c r="G1910" s="8"/>
      <c r="J1910" s="8"/>
    </row>
    <row r="1911">
      <c r="C1911" s="15"/>
      <c r="E1911" s="8"/>
      <c r="G1911" s="8"/>
      <c r="J1911" s="8"/>
    </row>
    <row r="1912">
      <c r="C1912" s="15"/>
      <c r="E1912" s="8"/>
      <c r="G1912" s="8"/>
      <c r="J1912" s="8"/>
    </row>
    <row r="1913">
      <c r="C1913" s="15"/>
      <c r="E1913" s="8"/>
      <c r="G1913" s="8"/>
      <c r="J1913" s="8"/>
    </row>
    <row r="1914">
      <c r="C1914" s="15"/>
      <c r="E1914" s="8"/>
      <c r="G1914" s="8"/>
      <c r="J1914" s="8"/>
    </row>
    <row r="1915">
      <c r="C1915" s="15"/>
      <c r="E1915" s="8"/>
      <c r="G1915" s="8"/>
      <c r="J1915" s="8"/>
    </row>
    <row r="1916">
      <c r="C1916" s="15"/>
      <c r="E1916" s="8"/>
      <c r="G1916" s="8"/>
      <c r="J1916" s="8"/>
    </row>
    <row r="1917">
      <c r="C1917" s="15"/>
      <c r="E1917" s="8"/>
      <c r="G1917" s="8"/>
      <c r="J1917" s="8"/>
    </row>
    <row r="1918">
      <c r="C1918" s="15"/>
      <c r="E1918" s="8"/>
      <c r="G1918" s="8"/>
      <c r="J1918" s="8"/>
    </row>
    <row r="1919">
      <c r="C1919" s="15"/>
      <c r="E1919" s="8"/>
      <c r="G1919" s="8"/>
      <c r="J1919" s="8"/>
    </row>
    <row r="1920">
      <c r="C1920" s="15"/>
      <c r="E1920" s="8"/>
      <c r="G1920" s="8"/>
      <c r="J1920" s="8"/>
    </row>
    <row r="1921">
      <c r="C1921" s="15"/>
      <c r="E1921" s="8"/>
      <c r="G1921" s="8"/>
      <c r="J1921" s="8"/>
    </row>
    <row r="1922">
      <c r="C1922" s="15"/>
      <c r="E1922" s="8"/>
      <c r="G1922" s="8"/>
      <c r="J1922" s="8"/>
    </row>
    <row r="1923">
      <c r="C1923" s="15"/>
      <c r="E1923" s="8"/>
      <c r="G1923" s="8"/>
      <c r="J1923" s="8"/>
    </row>
    <row r="1924">
      <c r="C1924" s="15"/>
      <c r="E1924" s="8"/>
      <c r="G1924" s="8"/>
      <c r="J1924" s="8"/>
    </row>
    <row r="1925">
      <c r="C1925" s="15"/>
      <c r="E1925" s="8"/>
      <c r="G1925" s="8"/>
      <c r="J1925" s="8"/>
    </row>
    <row r="1926">
      <c r="C1926" s="15"/>
      <c r="E1926" s="8"/>
      <c r="G1926" s="8"/>
      <c r="J1926" s="8"/>
    </row>
    <row r="1927">
      <c r="C1927" s="15"/>
      <c r="E1927" s="8"/>
      <c r="G1927" s="8"/>
      <c r="J1927" s="8"/>
    </row>
    <row r="1928">
      <c r="C1928" s="15"/>
      <c r="E1928" s="8"/>
      <c r="G1928" s="8"/>
      <c r="J1928" s="8"/>
    </row>
    <row r="1929">
      <c r="C1929" s="15"/>
      <c r="E1929" s="8"/>
      <c r="G1929" s="8"/>
      <c r="J1929" s="8"/>
    </row>
    <row r="1930">
      <c r="C1930" s="15"/>
      <c r="E1930" s="8"/>
      <c r="G1930" s="8"/>
      <c r="J1930" s="8"/>
    </row>
    <row r="1931">
      <c r="C1931" s="15"/>
      <c r="E1931" s="8"/>
      <c r="G1931" s="8"/>
      <c r="J1931" s="8"/>
    </row>
    <row r="1932">
      <c r="C1932" s="15"/>
      <c r="E1932" s="8"/>
      <c r="G1932" s="8"/>
      <c r="J1932" s="8"/>
    </row>
    <row r="1933">
      <c r="C1933" s="15"/>
      <c r="E1933" s="8"/>
      <c r="G1933" s="8"/>
      <c r="J1933" s="8"/>
    </row>
    <row r="1934">
      <c r="C1934" s="15"/>
      <c r="E1934" s="8"/>
      <c r="G1934" s="8"/>
      <c r="J1934" s="8"/>
    </row>
    <row r="1935">
      <c r="C1935" s="15"/>
      <c r="E1935" s="8"/>
      <c r="G1935" s="8"/>
      <c r="J1935" s="8"/>
    </row>
    <row r="1936">
      <c r="C1936" s="15"/>
      <c r="E1936" s="8"/>
      <c r="G1936" s="8"/>
      <c r="J1936" s="8"/>
    </row>
    <row r="1937">
      <c r="C1937" s="15"/>
      <c r="E1937" s="8"/>
      <c r="G1937" s="8"/>
      <c r="J1937" s="8"/>
    </row>
    <row r="1938">
      <c r="C1938" s="15"/>
      <c r="E1938" s="8"/>
      <c r="G1938" s="8"/>
      <c r="J1938" s="8"/>
    </row>
    <row r="1939">
      <c r="C1939" s="15"/>
      <c r="E1939" s="8"/>
      <c r="G1939" s="8"/>
      <c r="J1939" s="8"/>
    </row>
    <row r="1940">
      <c r="C1940" s="15"/>
      <c r="E1940" s="8"/>
      <c r="G1940" s="8"/>
      <c r="J1940" s="8"/>
    </row>
    <row r="1941">
      <c r="C1941" s="15"/>
      <c r="E1941" s="8"/>
      <c r="G1941" s="8"/>
      <c r="J1941" s="8"/>
    </row>
    <row r="1942">
      <c r="C1942" s="15"/>
      <c r="E1942" s="8"/>
      <c r="G1942" s="8"/>
      <c r="J1942" s="8"/>
    </row>
    <row r="1943">
      <c r="C1943" s="15"/>
      <c r="E1943" s="8"/>
      <c r="G1943" s="8"/>
      <c r="J1943" s="8"/>
    </row>
    <row r="1944">
      <c r="C1944" s="15"/>
      <c r="E1944" s="8"/>
      <c r="G1944" s="8"/>
      <c r="J1944" s="8"/>
    </row>
    <row r="1945">
      <c r="C1945" s="15"/>
      <c r="E1945" s="8"/>
      <c r="G1945" s="8"/>
      <c r="J1945" s="8"/>
    </row>
    <row r="1946">
      <c r="C1946" s="15"/>
      <c r="E1946" s="8"/>
      <c r="G1946" s="8"/>
      <c r="J1946" s="8"/>
    </row>
    <row r="1947">
      <c r="C1947" s="15"/>
      <c r="E1947" s="8"/>
      <c r="G1947" s="8"/>
      <c r="J1947" s="8"/>
    </row>
    <row r="1948">
      <c r="C1948" s="15"/>
      <c r="E1948" s="8"/>
      <c r="G1948" s="8"/>
      <c r="J1948" s="8"/>
    </row>
    <row r="1949">
      <c r="C1949" s="15"/>
      <c r="E1949" s="8"/>
      <c r="G1949" s="8"/>
      <c r="J1949" s="8"/>
    </row>
    <row r="1950">
      <c r="C1950" s="15"/>
      <c r="E1950" s="8"/>
      <c r="G1950" s="8"/>
      <c r="J1950" s="8"/>
    </row>
    <row r="1951">
      <c r="C1951" s="15"/>
      <c r="E1951" s="8"/>
      <c r="G1951" s="8"/>
      <c r="J1951" s="8"/>
    </row>
    <row r="1952">
      <c r="C1952" s="15"/>
      <c r="E1952" s="8"/>
      <c r="G1952" s="8"/>
      <c r="J1952" s="8"/>
    </row>
    <row r="1953">
      <c r="C1953" s="15"/>
      <c r="E1953" s="8"/>
      <c r="G1953" s="8"/>
      <c r="J1953" s="8"/>
    </row>
    <row r="1954">
      <c r="C1954" s="15"/>
      <c r="E1954" s="8"/>
      <c r="G1954" s="8"/>
      <c r="J1954" s="8"/>
    </row>
    <row r="1955">
      <c r="C1955" s="15"/>
      <c r="E1955" s="8"/>
      <c r="G1955" s="8"/>
      <c r="J1955" s="8"/>
    </row>
    <row r="1956">
      <c r="C1956" s="15"/>
      <c r="E1956" s="8"/>
      <c r="G1956" s="8"/>
      <c r="J1956" s="8"/>
    </row>
    <row r="1957">
      <c r="C1957" s="15"/>
      <c r="E1957" s="8"/>
      <c r="G1957" s="8"/>
      <c r="J1957" s="8"/>
    </row>
    <row r="1958">
      <c r="C1958" s="15"/>
      <c r="E1958" s="8"/>
      <c r="G1958" s="8"/>
      <c r="J1958" s="8"/>
    </row>
    <row r="1959">
      <c r="C1959" s="15"/>
      <c r="E1959" s="8"/>
      <c r="G1959" s="8"/>
      <c r="J1959" s="8"/>
    </row>
    <row r="1960">
      <c r="C1960" s="15"/>
      <c r="E1960" s="8"/>
      <c r="G1960" s="8"/>
      <c r="J1960" s="8"/>
    </row>
    <row r="1961">
      <c r="C1961" s="15"/>
      <c r="E1961" s="8"/>
      <c r="G1961" s="8"/>
      <c r="J1961" s="8"/>
    </row>
    <row r="1962">
      <c r="C1962" s="15"/>
      <c r="E1962" s="8"/>
      <c r="G1962" s="8"/>
      <c r="J1962" s="8"/>
    </row>
    <row r="1963">
      <c r="C1963" s="15"/>
      <c r="E1963" s="8"/>
      <c r="G1963" s="8"/>
      <c r="J1963" s="8"/>
    </row>
    <row r="1964">
      <c r="C1964" s="15"/>
      <c r="E1964" s="8"/>
      <c r="G1964" s="8"/>
      <c r="J1964" s="8"/>
    </row>
    <row r="1965">
      <c r="C1965" s="15"/>
      <c r="E1965" s="8"/>
      <c r="G1965" s="8"/>
      <c r="J1965" s="8"/>
    </row>
    <row r="1966">
      <c r="C1966" s="15"/>
      <c r="E1966" s="8"/>
      <c r="G1966" s="8"/>
      <c r="J1966" s="8"/>
    </row>
    <row r="1967">
      <c r="C1967" s="15"/>
      <c r="E1967" s="8"/>
      <c r="G1967" s="8"/>
      <c r="J1967" s="8"/>
    </row>
    <row r="1968">
      <c r="C1968" s="15"/>
      <c r="E1968" s="8"/>
      <c r="G1968" s="8"/>
      <c r="J1968" s="8"/>
    </row>
    <row r="1969">
      <c r="C1969" s="15"/>
      <c r="E1969" s="8"/>
      <c r="G1969" s="8"/>
      <c r="J1969" s="8"/>
    </row>
    <row r="1970">
      <c r="C1970" s="15"/>
      <c r="E1970" s="8"/>
      <c r="G1970" s="8"/>
      <c r="J1970" s="8"/>
    </row>
    <row r="1971">
      <c r="C1971" s="15"/>
      <c r="E1971" s="8"/>
      <c r="G1971" s="8"/>
      <c r="J1971" s="8"/>
    </row>
    <row r="1972">
      <c r="C1972" s="15"/>
      <c r="E1972" s="8"/>
      <c r="G1972" s="8"/>
      <c r="J1972" s="8"/>
    </row>
    <row r="1973">
      <c r="C1973" s="15"/>
      <c r="E1973" s="8"/>
      <c r="G1973" s="8"/>
      <c r="J1973" s="8"/>
    </row>
    <row r="1974">
      <c r="C1974" s="15"/>
      <c r="E1974" s="8"/>
      <c r="G1974" s="8"/>
      <c r="J1974" s="8"/>
    </row>
    <row r="1975">
      <c r="C1975" s="15"/>
      <c r="E1975" s="8"/>
      <c r="G1975" s="8"/>
      <c r="J1975" s="8"/>
    </row>
    <row r="1976">
      <c r="C1976" s="15"/>
      <c r="E1976" s="8"/>
      <c r="G1976" s="8"/>
      <c r="J1976" s="8"/>
    </row>
    <row r="1977">
      <c r="C1977" s="15"/>
      <c r="E1977" s="8"/>
      <c r="G1977" s="8"/>
      <c r="J1977" s="8"/>
    </row>
    <row r="1978">
      <c r="C1978" s="15"/>
      <c r="E1978" s="8"/>
      <c r="G1978" s="8"/>
      <c r="J1978" s="8"/>
    </row>
    <row r="1979">
      <c r="C1979" s="15"/>
      <c r="E1979" s="8"/>
      <c r="G1979" s="8"/>
      <c r="J1979" s="8"/>
    </row>
    <row r="1980">
      <c r="C1980" s="15"/>
      <c r="E1980" s="8"/>
      <c r="G1980" s="8"/>
      <c r="J1980" s="8"/>
    </row>
    <row r="1981">
      <c r="C1981" s="15"/>
      <c r="E1981" s="8"/>
      <c r="G1981" s="8"/>
      <c r="J1981" s="8"/>
    </row>
    <row r="1982">
      <c r="C1982" s="15"/>
      <c r="E1982" s="8"/>
      <c r="G1982" s="8"/>
      <c r="J1982" s="8"/>
    </row>
    <row r="1983">
      <c r="C1983" s="15"/>
      <c r="E1983" s="8"/>
      <c r="G1983" s="8"/>
      <c r="J1983" s="8"/>
    </row>
    <row r="1984">
      <c r="C1984" s="15"/>
      <c r="E1984" s="8"/>
      <c r="G1984" s="8"/>
      <c r="J1984" s="8"/>
    </row>
    <row r="1985">
      <c r="C1985" s="15"/>
      <c r="E1985" s="8"/>
      <c r="G1985" s="8"/>
      <c r="J1985" s="8"/>
    </row>
    <row r="1986">
      <c r="C1986" s="15"/>
      <c r="E1986" s="8"/>
      <c r="G1986" s="8"/>
      <c r="J1986" s="8"/>
    </row>
    <row r="1987">
      <c r="C1987" s="15"/>
      <c r="E1987" s="8"/>
      <c r="G1987" s="8"/>
      <c r="J1987" s="8"/>
    </row>
    <row r="1988">
      <c r="C1988" s="15"/>
      <c r="E1988" s="8"/>
      <c r="G1988" s="8"/>
      <c r="J1988" s="8"/>
    </row>
    <row r="1989">
      <c r="C1989" s="15"/>
      <c r="E1989" s="8"/>
      <c r="G1989" s="8"/>
      <c r="J1989" s="8"/>
    </row>
    <row r="1990">
      <c r="C1990" s="15"/>
      <c r="E1990" s="8"/>
      <c r="G1990" s="8"/>
      <c r="J1990" s="8"/>
    </row>
    <row r="1991">
      <c r="C1991" s="15"/>
      <c r="E1991" s="8"/>
      <c r="G1991" s="8"/>
      <c r="J1991" s="8"/>
    </row>
    <row r="1992">
      <c r="C1992" s="15"/>
      <c r="E1992" s="8"/>
      <c r="G1992" s="8"/>
      <c r="J1992" s="8"/>
    </row>
    <row r="1993">
      <c r="C1993" s="15"/>
      <c r="E1993" s="8"/>
      <c r="G1993" s="8"/>
      <c r="J1993" s="8"/>
    </row>
    <row r="1994">
      <c r="C1994" s="15"/>
      <c r="E1994" s="8"/>
      <c r="G1994" s="8"/>
      <c r="J1994" s="8"/>
    </row>
    <row r="1995">
      <c r="C1995" s="15"/>
      <c r="E1995" s="8"/>
      <c r="G1995" s="8"/>
      <c r="J1995" s="8"/>
    </row>
    <row r="1996">
      <c r="C1996" s="15"/>
      <c r="E1996" s="8"/>
      <c r="G1996" s="8"/>
      <c r="J1996" s="8"/>
    </row>
    <row r="1997">
      <c r="C1997" s="15"/>
      <c r="E1997" s="8"/>
      <c r="G1997" s="8"/>
      <c r="J1997" s="8"/>
    </row>
    <row r="1998">
      <c r="C1998" s="15"/>
      <c r="E1998" s="8"/>
      <c r="G1998" s="8"/>
      <c r="J1998" s="8"/>
    </row>
    <row r="1999">
      <c r="C1999" s="15"/>
      <c r="E1999" s="8"/>
      <c r="G1999" s="8"/>
      <c r="J1999" s="8"/>
    </row>
    <row r="2000">
      <c r="C2000" s="15"/>
      <c r="E2000" s="8"/>
      <c r="G2000" s="8"/>
      <c r="J2000" s="8"/>
    </row>
    <row r="2001">
      <c r="C2001" s="15"/>
      <c r="E2001" s="8"/>
      <c r="G2001" s="8"/>
      <c r="J2001" s="8"/>
    </row>
    <row r="2002">
      <c r="C2002" s="15"/>
      <c r="E2002" s="8"/>
      <c r="G2002" s="8"/>
      <c r="J2002" s="8"/>
    </row>
    <row r="2003">
      <c r="C2003" s="15"/>
      <c r="E2003" s="8"/>
      <c r="G2003" s="8"/>
      <c r="J2003" s="8"/>
    </row>
    <row r="2004">
      <c r="C2004" s="15"/>
      <c r="E2004" s="8"/>
      <c r="G2004" s="8"/>
      <c r="J2004" s="8"/>
    </row>
    <row r="2005">
      <c r="C2005" s="15"/>
      <c r="E2005" s="8"/>
      <c r="G2005" s="8"/>
      <c r="J2005" s="8"/>
    </row>
    <row r="2006">
      <c r="C2006" s="15"/>
      <c r="E2006" s="8"/>
      <c r="G2006" s="8"/>
      <c r="J2006" s="8"/>
    </row>
    <row r="2007">
      <c r="C2007" s="15"/>
      <c r="E2007" s="8"/>
      <c r="G2007" s="8"/>
      <c r="J2007" s="8"/>
    </row>
    <row r="2008">
      <c r="C2008" s="15"/>
      <c r="E2008" s="8"/>
      <c r="G2008" s="8"/>
      <c r="J2008" s="8"/>
    </row>
    <row r="2009">
      <c r="C2009" s="15"/>
      <c r="E2009" s="8"/>
      <c r="G2009" s="8"/>
      <c r="J2009" s="8"/>
    </row>
    <row r="2010">
      <c r="C2010" s="15"/>
      <c r="E2010" s="8"/>
      <c r="G2010" s="8"/>
      <c r="J2010" s="8"/>
    </row>
    <row r="2011">
      <c r="C2011" s="15"/>
      <c r="E2011" s="8"/>
      <c r="G2011" s="8"/>
      <c r="J2011" s="8"/>
    </row>
    <row r="2012">
      <c r="C2012" s="15"/>
      <c r="E2012" s="8"/>
      <c r="G2012" s="8"/>
      <c r="J2012" s="8"/>
    </row>
    <row r="2013">
      <c r="C2013" s="15"/>
      <c r="E2013" s="8"/>
      <c r="G2013" s="8"/>
      <c r="J2013" s="8"/>
    </row>
    <row r="2014">
      <c r="C2014" s="15"/>
      <c r="E2014" s="8"/>
      <c r="G2014" s="8"/>
      <c r="J2014" s="8"/>
    </row>
    <row r="2015">
      <c r="C2015" s="15"/>
      <c r="E2015" s="8"/>
      <c r="G2015" s="8"/>
      <c r="J2015" s="8"/>
    </row>
    <row r="2016">
      <c r="C2016" s="15"/>
      <c r="E2016" s="8"/>
      <c r="G2016" s="8"/>
      <c r="J2016" s="8"/>
    </row>
    <row r="2017">
      <c r="C2017" s="15"/>
      <c r="E2017" s="8"/>
      <c r="G2017" s="8"/>
      <c r="J2017" s="8"/>
    </row>
    <row r="2018">
      <c r="C2018" s="15"/>
      <c r="E2018" s="8"/>
      <c r="G2018" s="8"/>
      <c r="J2018" s="8"/>
    </row>
    <row r="2019">
      <c r="C2019" s="15"/>
      <c r="E2019" s="8"/>
      <c r="G2019" s="8"/>
      <c r="J2019" s="8"/>
    </row>
    <row r="2020">
      <c r="C2020" s="15"/>
      <c r="E2020" s="8"/>
      <c r="G2020" s="8"/>
      <c r="J2020" s="8"/>
    </row>
    <row r="2021">
      <c r="C2021" s="15"/>
      <c r="E2021" s="8"/>
      <c r="G2021" s="8"/>
      <c r="J2021" s="8"/>
    </row>
    <row r="2022">
      <c r="C2022" s="15"/>
      <c r="E2022" s="8"/>
      <c r="G2022" s="8"/>
      <c r="J2022" s="8"/>
    </row>
    <row r="2023">
      <c r="C2023" s="15"/>
      <c r="E2023" s="8"/>
      <c r="G2023" s="8"/>
      <c r="J2023" s="8"/>
    </row>
    <row r="2024">
      <c r="C2024" s="15"/>
      <c r="E2024" s="8"/>
      <c r="G2024" s="8"/>
      <c r="J2024" s="8"/>
    </row>
    <row r="2025">
      <c r="C2025" s="15"/>
      <c r="E2025" s="8"/>
      <c r="G2025" s="8"/>
      <c r="J2025" s="8"/>
    </row>
    <row r="2026">
      <c r="C2026" s="15"/>
      <c r="E2026" s="8"/>
      <c r="G2026" s="8"/>
      <c r="J2026" s="8"/>
    </row>
    <row r="2027">
      <c r="C2027" s="15"/>
      <c r="E2027" s="8"/>
      <c r="G2027" s="8"/>
      <c r="J2027" s="8"/>
    </row>
    <row r="2028">
      <c r="C2028" s="15"/>
      <c r="E2028" s="8"/>
      <c r="G2028" s="8"/>
      <c r="J2028" s="8"/>
    </row>
    <row r="2029">
      <c r="C2029" s="15"/>
      <c r="E2029" s="8"/>
      <c r="G2029" s="8"/>
      <c r="J2029" s="8"/>
    </row>
    <row r="2030">
      <c r="C2030" s="15"/>
      <c r="E2030" s="8"/>
      <c r="G2030" s="8"/>
      <c r="J2030" s="8"/>
    </row>
    <row r="2031">
      <c r="C2031" s="15"/>
      <c r="E2031" s="8"/>
      <c r="G2031" s="8"/>
      <c r="J2031" s="8"/>
    </row>
    <row r="2032">
      <c r="C2032" s="15"/>
      <c r="E2032" s="8"/>
      <c r="G2032" s="8"/>
      <c r="J2032" s="8"/>
    </row>
    <row r="2033">
      <c r="C2033" s="15"/>
      <c r="E2033" s="8"/>
      <c r="G2033" s="8"/>
      <c r="J2033" s="8"/>
    </row>
    <row r="2034">
      <c r="C2034" s="15"/>
      <c r="E2034" s="8"/>
      <c r="G2034" s="8"/>
      <c r="J2034" s="8"/>
    </row>
    <row r="2035">
      <c r="C2035" s="15"/>
      <c r="E2035" s="8"/>
      <c r="G2035" s="8"/>
      <c r="J2035" s="8"/>
    </row>
    <row r="2036">
      <c r="C2036" s="15"/>
      <c r="E2036" s="8"/>
      <c r="G2036" s="8"/>
      <c r="J2036" s="8"/>
    </row>
    <row r="2037">
      <c r="C2037" s="15"/>
      <c r="E2037" s="8"/>
      <c r="G2037" s="8"/>
      <c r="J2037" s="8"/>
    </row>
    <row r="2038">
      <c r="C2038" s="15"/>
      <c r="E2038" s="8"/>
      <c r="G2038" s="8"/>
      <c r="J2038" s="8"/>
    </row>
    <row r="2039">
      <c r="C2039" s="15"/>
      <c r="E2039" s="8"/>
      <c r="G2039" s="8"/>
      <c r="J2039" s="8"/>
    </row>
    <row r="2040">
      <c r="C2040" s="15"/>
      <c r="E2040" s="8"/>
      <c r="G2040" s="8"/>
      <c r="J2040" s="8"/>
    </row>
    <row r="2041">
      <c r="C2041" s="15"/>
      <c r="E2041" s="8"/>
      <c r="G2041" s="8"/>
      <c r="J2041" s="8"/>
    </row>
    <row r="2042">
      <c r="C2042" s="15"/>
      <c r="E2042" s="8"/>
      <c r="G2042" s="8"/>
      <c r="J2042" s="8"/>
    </row>
    <row r="2043">
      <c r="C2043" s="15"/>
      <c r="E2043" s="8"/>
      <c r="G2043" s="8"/>
      <c r="J2043" s="8"/>
    </row>
    <row r="2044">
      <c r="C2044" s="15"/>
      <c r="E2044" s="8"/>
      <c r="G2044" s="8"/>
      <c r="J2044" s="8"/>
    </row>
    <row r="2045">
      <c r="C2045" s="15"/>
      <c r="E2045" s="8"/>
      <c r="G2045" s="8"/>
      <c r="J2045" s="8"/>
    </row>
    <row r="2046">
      <c r="C2046" s="15"/>
      <c r="E2046" s="8"/>
      <c r="G2046" s="8"/>
      <c r="J2046" s="8"/>
    </row>
    <row r="2047">
      <c r="C2047" s="15"/>
      <c r="E2047" s="8"/>
      <c r="G2047" s="8"/>
      <c r="J2047" s="8"/>
    </row>
    <row r="2048">
      <c r="C2048" s="15"/>
      <c r="E2048" s="8"/>
      <c r="G2048" s="8"/>
      <c r="J2048" s="8"/>
    </row>
    <row r="2049">
      <c r="C2049" s="15"/>
      <c r="E2049" s="8"/>
      <c r="G2049" s="8"/>
      <c r="J2049" s="8"/>
    </row>
    <row r="2050">
      <c r="C2050" s="15"/>
      <c r="E2050" s="8"/>
      <c r="G2050" s="8"/>
      <c r="J2050" s="8"/>
    </row>
    <row r="2051">
      <c r="C2051" s="15"/>
      <c r="E2051" s="8"/>
      <c r="G2051" s="8"/>
      <c r="J2051" s="8"/>
    </row>
    <row r="2052">
      <c r="C2052" s="15"/>
      <c r="E2052" s="8"/>
      <c r="G2052" s="8"/>
      <c r="J2052" s="8"/>
    </row>
    <row r="2053">
      <c r="C2053" s="15"/>
      <c r="E2053" s="8"/>
      <c r="G2053" s="8"/>
      <c r="J2053" s="8"/>
    </row>
    <row r="2054">
      <c r="C2054" s="15"/>
      <c r="E2054" s="8"/>
      <c r="G2054" s="8"/>
      <c r="J2054" s="8"/>
    </row>
    <row r="2055">
      <c r="C2055" s="15"/>
      <c r="E2055" s="8"/>
      <c r="G2055" s="8"/>
      <c r="J2055" s="8"/>
    </row>
    <row r="2056">
      <c r="C2056" s="15"/>
      <c r="E2056" s="8"/>
      <c r="G2056" s="8"/>
      <c r="J2056" s="8"/>
    </row>
    <row r="2057">
      <c r="C2057" s="15"/>
      <c r="E2057" s="8"/>
      <c r="G2057" s="8"/>
      <c r="J2057" s="8"/>
    </row>
    <row r="2058">
      <c r="C2058" s="15"/>
      <c r="E2058" s="8"/>
      <c r="G2058" s="8"/>
      <c r="J2058" s="8"/>
    </row>
    <row r="2059">
      <c r="C2059" s="15"/>
      <c r="E2059" s="8"/>
      <c r="G2059" s="8"/>
      <c r="J2059" s="8"/>
    </row>
    <row r="2060">
      <c r="C2060" s="15"/>
      <c r="E2060" s="8"/>
      <c r="G2060" s="8"/>
      <c r="J2060" s="8"/>
    </row>
    <row r="2061">
      <c r="C2061" s="15"/>
      <c r="E2061" s="8"/>
      <c r="G2061" s="8"/>
      <c r="J2061" s="8"/>
    </row>
    <row r="2062">
      <c r="C2062" s="15"/>
      <c r="E2062" s="8"/>
      <c r="G2062" s="8"/>
      <c r="J2062" s="8"/>
    </row>
    <row r="2063">
      <c r="C2063" s="15"/>
      <c r="E2063" s="8"/>
      <c r="G2063" s="8"/>
      <c r="J2063" s="8"/>
    </row>
    <row r="2064">
      <c r="C2064" s="15"/>
      <c r="E2064" s="8"/>
      <c r="G2064" s="8"/>
      <c r="J2064" s="8"/>
    </row>
    <row r="2065">
      <c r="C2065" s="15"/>
      <c r="E2065" s="8"/>
      <c r="G2065" s="8"/>
      <c r="J2065" s="8"/>
    </row>
    <row r="2066">
      <c r="C2066" s="15"/>
      <c r="E2066" s="8"/>
      <c r="G2066" s="8"/>
      <c r="J2066" s="8"/>
    </row>
    <row r="2067">
      <c r="C2067" s="15"/>
      <c r="E2067" s="8"/>
      <c r="G2067" s="8"/>
      <c r="J2067" s="8"/>
    </row>
    <row r="2068">
      <c r="C2068" s="15"/>
      <c r="E2068" s="8"/>
      <c r="G2068" s="8"/>
      <c r="J2068" s="8"/>
    </row>
    <row r="2069">
      <c r="C2069" s="15"/>
      <c r="E2069" s="8"/>
      <c r="G2069" s="8"/>
      <c r="J2069" s="8"/>
    </row>
    <row r="2070">
      <c r="C2070" s="15"/>
      <c r="E2070" s="8"/>
      <c r="G2070" s="8"/>
      <c r="J2070" s="8"/>
    </row>
    <row r="2071">
      <c r="C2071" s="15"/>
      <c r="E2071" s="8"/>
      <c r="G2071" s="8"/>
      <c r="J2071" s="8"/>
    </row>
    <row r="2072">
      <c r="C2072" s="15"/>
      <c r="E2072" s="8"/>
      <c r="G2072" s="8"/>
      <c r="J2072" s="8"/>
    </row>
    <row r="2073">
      <c r="C2073" s="15"/>
      <c r="E2073" s="8"/>
      <c r="G2073" s="8"/>
      <c r="J2073" s="8"/>
    </row>
    <row r="2074">
      <c r="C2074" s="15"/>
      <c r="E2074" s="8"/>
      <c r="G2074" s="8"/>
      <c r="J2074" s="8"/>
    </row>
    <row r="2075">
      <c r="C2075" s="15"/>
      <c r="E2075" s="8"/>
      <c r="G2075" s="8"/>
      <c r="J2075" s="8"/>
    </row>
    <row r="2076">
      <c r="C2076" s="15"/>
      <c r="E2076" s="8"/>
      <c r="G2076" s="8"/>
      <c r="J2076" s="8"/>
    </row>
    <row r="2077">
      <c r="C2077" s="15"/>
      <c r="E2077" s="8"/>
      <c r="G2077" s="8"/>
      <c r="J2077" s="8"/>
    </row>
    <row r="2078">
      <c r="C2078" s="15"/>
      <c r="E2078" s="8"/>
      <c r="G2078" s="8"/>
      <c r="J2078" s="8"/>
    </row>
    <row r="2079">
      <c r="C2079" s="15"/>
      <c r="E2079" s="8"/>
      <c r="G2079" s="8"/>
      <c r="J2079" s="8"/>
    </row>
    <row r="2080">
      <c r="C2080" s="15"/>
      <c r="E2080" s="8"/>
      <c r="G2080" s="8"/>
      <c r="J2080" s="8"/>
    </row>
    <row r="2081">
      <c r="C2081" s="15"/>
      <c r="E2081" s="8"/>
      <c r="G2081" s="8"/>
      <c r="J2081" s="8"/>
    </row>
    <row r="2082">
      <c r="C2082" s="15"/>
      <c r="E2082" s="8"/>
      <c r="G2082" s="8"/>
      <c r="J2082" s="8"/>
    </row>
    <row r="2083">
      <c r="C2083" s="15"/>
      <c r="E2083" s="8"/>
      <c r="G2083" s="8"/>
      <c r="J2083" s="8"/>
    </row>
    <row r="2084">
      <c r="C2084" s="15"/>
      <c r="E2084" s="8"/>
      <c r="G2084" s="8"/>
      <c r="J2084" s="8"/>
    </row>
    <row r="2085">
      <c r="C2085" s="15"/>
      <c r="E2085" s="8"/>
      <c r="G2085" s="8"/>
      <c r="J2085" s="8"/>
    </row>
    <row r="2086">
      <c r="C2086" s="15"/>
      <c r="E2086" s="8"/>
      <c r="G2086" s="8"/>
      <c r="J2086" s="8"/>
    </row>
    <row r="2087">
      <c r="C2087" s="15"/>
      <c r="E2087" s="8"/>
      <c r="G2087" s="8"/>
      <c r="J2087" s="8"/>
    </row>
    <row r="2088">
      <c r="C2088" s="15"/>
      <c r="E2088" s="8"/>
      <c r="G2088" s="8"/>
      <c r="J2088" s="8"/>
    </row>
    <row r="2089">
      <c r="C2089" s="15"/>
      <c r="E2089" s="8"/>
      <c r="G2089" s="8"/>
      <c r="J2089" s="8"/>
    </row>
    <row r="2090">
      <c r="C2090" s="15"/>
      <c r="E2090" s="8"/>
      <c r="G2090" s="8"/>
      <c r="J2090" s="8"/>
    </row>
    <row r="2091">
      <c r="C2091" s="15"/>
      <c r="E2091" s="8"/>
      <c r="G2091" s="8"/>
      <c r="J2091" s="8"/>
    </row>
    <row r="2092">
      <c r="C2092" s="15"/>
      <c r="E2092" s="8"/>
      <c r="G2092" s="8"/>
      <c r="J2092" s="8"/>
    </row>
    <row r="2093">
      <c r="C2093" s="15"/>
      <c r="E2093" s="8"/>
      <c r="G2093" s="8"/>
      <c r="J2093" s="8"/>
    </row>
    <row r="2094">
      <c r="C2094" s="15"/>
      <c r="E2094" s="8"/>
      <c r="G2094" s="8"/>
      <c r="J2094" s="8"/>
    </row>
    <row r="2095">
      <c r="C2095" s="15"/>
      <c r="E2095" s="8"/>
      <c r="G2095" s="8"/>
      <c r="J2095" s="8"/>
    </row>
    <row r="2096">
      <c r="C2096" s="15"/>
      <c r="E2096" s="8"/>
      <c r="G2096" s="8"/>
      <c r="J2096" s="8"/>
    </row>
    <row r="2097">
      <c r="C2097" s="15"/>
      <c r="E2097" s="8"/>
      <c r="G2097" s="8"/>
      <c r="J2097" s="8"/>
    </row>
    <row r="2098">
      <c r="C2098" s="15"/>
      <c r="E2098" s="8"/>
      <c r="G2098" s="8"/>
      <c r="J2098" s="8"/>
    </row>
    <row r="2099">
      <c r="C2099" s="15"/>
      <c r="E2099" s="8"/>
      <c r="G2099" s="8"/>
      <c r="J2099" s="8"/>
    </row>
    <row r="2100">
      <c r="C2100" s="15"/>
      <c r="E2100" s="8"/>
      <c r="G2100" s="8"/>
      <c r="J2100" s="8"/>
    </row>
    <row r="2101">
      <c r="C2101" s="15"/>
      <c r="E2101" s="8"/>
      <c r="G2101" s="8"/>
      <c r="J2101" s="8"/>
    </row>
    <row r="2102">
      <c r="C2102" s="15"/>
      <c r="E2102" s="8"/>
      <c r="G2102" s="8"/>
      <c r="J2102" s="8"/>
    </row>
    <row r="2103">
      <c r="C2103" s="15"/>
      <c r="E2103" s="8"/>
      <c r="G2103" s="8"/>
      <c r="J2103" s="8"/>
    </row>
    <row r="2104">
      <c r="C2104" s="15"/>
      <c r="E2104" s="8"/>
      <c r="G2104" s="8"/>
      <c r="J2104" s="8"/>
    </row>
    <row r="2105">
      <c r="C2105" s="15"/>
      <c r="E2105" s="8"/>
      <c r="G2105" s="8"/>
      <c r="J2105" s="8"/>
    </row>
    <row r="2106">
      <c r="C2106" s="15"/>
      <c r="E2106" s="8"/>
      <c r="G2106" s="8"/>
      <c r="J2106" s="8"/>
    </row>
    <row r="2107">
      <c r="C2107" s="15"/>
      <c r="E2107" s="8"/>
      <c r="G2107" s="8"/>
      <c r="J2107" s="8"/>
    </row>
    <row r="2108">
      <c r="C2108" s="15"/>
      <c r="E2108" s="8"/>
      <c r="G2108" s="8"/>
      <c r="J2108" s="8"/>
    </row>
    <row r="2109">
      <c r="C2109" s="15"/>
      <c r="E2109" s="8"/>
      <c r="G2109" s="8"/>
      <c r="J2109" s="8"/>
    </row>
    <row r="2110">
      <c r="C2110" s="15"/>
      <c r="E2110" s="8"/>
      <c r="G2110" s="8"/>
      <c r="J2110" s="8"/>
    </row>
    <row r="2111">
      <c r="C2111" s="15"/>
      <c r="E2111" s="8"/>
      <c r="G2111" s="8"/>
      <c r="J2111" s="8"/>
    </row>
    <row r="2112">
      <c r="C2112" s="15"/>
      <c r="E2112" s="8"/>
      <c r="G2112" s="8"/>
      <c r="J2112" s="8"/>
    </row>
    <row r="2113">
      <c r="C2113" s="15"/>
      <c r="E2113" s="8"/>
      <c r="G2113" s="8"/>
      <c r="J2113" s="8"/>
    </row>
    <row r="2114">
      <c r="C2114" s="15"/>
      <c r="E2114" s="8"/>
      <c r="G2114" s="8"/>
      <c r="J2114" s="8"/>
    </row>
    <row r="2115">
      <c r="C2115" s="15"/>
      <c r="E2115" s="8"/>
      <c r="G2115" s="8"/>
      <c r="J2115" s="8"/>
    </row>
    <row r="2116">
      <c r="C2116" s="15"/>
      <c r="E2116" s="8"/>
      <c r="G2116" s="8"/>
      <c r="J2116" s="8"/>
    </row>
    <row r="2117">
      <c r="C2117" s="15"/>
      <c r="E2117" s="8"/>
      <c r="G2117" s="8"/>
      <c r="J2117" s="8"/>
    </row>
    <row r="2118">
      <c r="C2118" s="15"/>
      <c r="E2118" s="8"/>
      <c r="G2118" s="8"/>
      <c r="J2118" s="8"/>
    </row>
    <row r="2119">
      <c r="C2119" s="15"/>
      <c r="E2119" s="8"/>
      <c r="G2119" s="8"/>
      <c r="J2119" s="8"/>
    </row>
    <row r="2120">
      <c r="C2120" s="15"/>
      <c r="E2120" s="8"/>
      <c r="G2120" s="8"/>
      <c r="J2120" s="8"/>
    </row>
    <row r="2121">
      <c r="C2121" s="15"/>
      <c r="E2121" s="8"/>
      <c r="G2121" s="8"/>
      <c r="J2121" s="8"/>
    </row>
    <row r="2122">
      <c r="C2122" s="15"/>
      <c r="E2122" s="8"/>
      <c r="G2122" s="8"/>
      <c r="J2122" s="8"/>
    </row>
    <row r="2123">
      <c r="C2123" s="15"/>
      <c r="E2123" s="8"/>
      <c r="G2123" s="8"/>
      <c r="J2123" s="8"/>
    </row>
    <row r="2124">
      <c r="C2124" s="15"/>
      <c r="E2124" s="8"/>
      <c r="G2124" s="8"/>
      <c r="J2124" s="8"/>
    </row>
    <row r="2125">
      <c r="C2125" s="15"/>
      <c r="E2125" s="8"/>
      <c r="G2125" s="8"/>
      <c r="J2125" s="8"/>
    </row>
    <row r="2126">
      <c r="C2126" s="15"/>
      <c r="E2126" s="8"/>
      <c r="G2126" s="8"/>
      <c r="J2126" s="8"/>
    </row>
    <row r="2127">
      <c r="C2127" s="15"/>
      <c r="E2127" s="8"/>
      <c r="G2127" s="8"/>
      <c r="J2127" s="8"/>
    </row>
    <row r="2128">
      <c r="C2128" s="15"/>
      <c r="E2128" s="8"/>
      <c r="G2128" s="8"/>
      <c r="J2128" s="8"/>
    </row>
    <row r="2129">
      <c r="C2129" s="15"/>
      <c r="E2129" s="8"/>
      <c r="G2129" s="8"/>
      <c r="J2129" s="8"/>
    </row>
    <row r="2130">
      <c r="C2130" s="15"/>
      <c r="E2130" s="8"/>
      <c r="G2130" s="8"/>
      <c r="J2130" s="8"/>
    </row>
    <row r="2131">
      <c r="C2131" s="15"/>
      <c r="E2131" s="8"/>
      <c r="G2131" s="8"/>
      <c r="J2131" s="8"/>
    </row>
    <row r="2132">
      <c r="C2132" s="15"/>
      <c r="E2132" s="8"/>
      <c r="G2132" s="8"/>
      <c r="J2132" s="8"/>
    </row>
    <row r="2133">
      <c r="C2133" s="15"/>
      <c r="E2133" s="8"/>
      <c r="G2133" s="8"/>
      <c r="J2133" s="8"/>
    </row>
    <row r="2134">
      <c r="C2134" s="15"/>
      <c r="E2134" s="8"/>
      <c r="G2134" s="8"/>
      <c r="J2134" s="8"/>
    </row>
    <row r="2135">
      <c r="C2135" s="15"/>
      <c r="E2135" s="8"/>
      <c r="G2135" s="8"/>
      <c r="J2135" s="8"/>
    </row>
    <row r="2136">
      <c r="C2136" s="15"/>
      <c r="E2136" s="8"/>
      <c r="G2136" s="8"/>
      <c r="J2136" s="8"/>
    </row>
    <row r="2137">
      <c r="C2137" s="15"/>
      <c r="E2137" s="8"/>
      <c r="G2137" s="8"/>
      <c r="J2137" s="8"/>
    </row>
    <row r="2138">
      <c r="C2138" s="15"/>
      <c r="E2138" s="8"/>
      <c r="G2138" s="8"/>
      <c r="J2138" s="8"/>
    </row>
    <row r="2139">
      <c r="C2139" s="15"/>
      <c r="E2139" s="8"/>
      <c r="G2139" s="8"/>
      <c r="J2139" s="8"/>
    </row>
    <row r="2140">
      <c r="C2140" s="15"/>
      <c r="E2140" s="8"/>
      <c r="G2140" s="8"/>
      <c r="J2140" s="8"/>
    </row>
    <row r="2141">
      <c r="C2141" s="15"/>
      <c r="E2141" s="8"/>
      <c r="G2141" s="8"/>
      <c r="J2141" s="8"/>
    </row>
    <row r="2142">
      <c r="C2142" s="15"/>
      <c r="E2142" s="8"/>
      <c r="G2142" s="8"/>
      <c r="J2142" s="8"/>
    </row>
    <row r="2143">
      <c r="C2143" s="15"/>
      <c r="E2143" s="8"/>
      <c r="G2143" s="8"/>
      <c r="J2143" s="8"/>
    </row>
    <row r="2144">
      <c r="C2144" s="15"/>
      <c r="E2144" s="8"/>
      <c r="G2144" s="8"/>
      <c r="J2144" s="8"/>
    </row>
    <row r="2145">
      <c r="C2145" s="15"/>
      <c r="E2145" s="8"/>
      <c r="G2145" s="8"/>
      <c r="J2145" s="8"/>
    </row>
    <row r="2146">
      <c r="C2146" s="15"/>
      <c r="E2146" s="8"/>
      <c r="G2146" s="8"/>
      <c r="J2146" s="8"/>
    </row>
    <row r="2147">
      <c r="C2147" s="15"/>
      <c r="E2147" s="8"/>
      <c r="G2147" s="8"/>
      <c r="J2147" s="8"/>
    </row>
    <row r="2148">
      <c r="C2148" s="15"/>
      <c r="E2148" s="8"/>
      <c r="G2148" s="8"/>
      <c r="J2148" s="8"/>
    </row>
    <row r="2149">
      <c r="C2149" s="15"/>
      <c r="E2149" s="8"/>
      <c r="G2149" s="8"/>
      <c r="J2149" s="8"/>
    </row>
    <row r="2150">
      <c r="C2150" s="15"/>
      <c r="E2150" s="8"/>
      <c r="G2150" s="8"/>
      <c r="J2150" s="8"/>
    </row>
    <row r="2151">
      <c r="C2151" s="15"/>
      <c r="E2151" s="8"/>
      <c r="G2151" s="8"/>
      <c r="J2151" s="8"/>
    </row>
    <row r="2152">
      <c r="C2152" s="15"/>
      <c r="E2152" s="8"/>
      <c r="G2152" s="8"/>
      <c r="J2152" s="8"/>
    </row>
    <row r="2153">
      <c r="C2153" s="15"/>
      <c r="E2153" s="8"/>
      <c r="G2153" s="8"/>
      <c r="J2153" s="8"/>
    </row>
    <row r="2154">
      <c r="C2154" s="15"/>
      <c r="E2154" s="8"/>
      <c r="G2154" s="8"/>
      <c r="J2154" s="8"/>
    </row>
    <row r="2155">
      <c r="C2155" s="15"/>
      <c r="E2155" s="8"/>
      <c r="G2155" s="8"/>
      <c r="J2155" s="8"/>
    </row>
    <row r="2156">
      <c r="C2156" s="15"/>
      <c r="E2156" s="8"/>
      <c r="G2156" s="8"/>
      <c r="J2156" s="8"/>
    </row>
    <row r="2157">
      <c r="C2157" s="15"/>
      <c r="E2157" s="8"/>
      <c r="G2157" s="8"/>
      <c r="J2157" s="8"/>
    </row>
    <row r="2158">
      <c r="C2158" s="15"/>
      <c r="E2158" s="8"/>
      <c r="G2158" s="8"/>
      <c r="J2158" s="8"/>
    </row>
    <row r="2159">
      <c r="C2159" s="15"/>
      <c r="E2159" s="8"/>
      <c r="G2159" s="8"/>
      <c r="J2159" s="8"/>
    </row>
    <row r="2160">
      <c r="C2160" s="15"/>
      <c r="E2160" s="8"/>
      <c r="G2160" s="8"/>
      <c r="J2160" s="8"/>
    </row>
    <row r="2161">
      <c r="C2161" s="15"/>
      <c r="E2161" s="8"/>
      <c r="G2161" s="8"/>
      <c r="J2161" s="8"/>
    </row>
    <row r="2162">
      <c r="C2162" s="15"/>
      <c r="E2162" s="8"/>
      <c r="G2162" s="8"/>
      <c r="J2162" s="8"/>
    </row>
    <row r="2163">
      <c r="C2163" s="15"/>
      <c r="E2163" s="8"/>
      <c r="G2163" s="8"/>
      <c r="J2163" s="8"/>
    </row>
    <row r="2164">
      <c r="C2164" s="15"/>
      <c r="E2164" s="8"/>
      <c r="G2164" s="8"/>
      <c r="J2164" s="8"/>
    </row>
    <row r="2165">
      <c r="C2165" s="15"/>
      <c r="E2165" s="8"/>
      <c r="G2165" s="8"/>
      <c r="J2165" s="8"/>
    </row>
    <row r="2166">
      <c r="C2166" s="15"/>
      <c r="E2166" s="8"/>
      <c r="G2166" s="8"/>
      <c r="J2166" s="8"/>
    </row>
    <row r="2167">
      <c r="C2167" s="15"/>
      <c r="E2167" s="8"/>
      <c r="G2167" s="8"/>
      <c r="J2167" s="8"/>
    </row>
    <row r="2168">
      <c r="C2168" s="15"/>
      <c r="E2168" s="8"/>
      <c r="G2168" s="8"/>
      <c r="J2168" s="8"/>
    </row>
    <row r="2169">
      <c r="C2169" s="15"/>
      <c r="E2169" s="8"/>
      <c r="G2169" s="8"/>
      <c r="J2169" s="8"/>
    </row>
    <row r="2170">
      <c r="C2170" s="15"/>
      <c r="E2170" s="8"/>
      <c r="G2170" s="8"/>
      <c r="J2170" s="8"/>
    </row>
    <row r="2171">
      <c r="C2171" s="15"/>
      <c r="E2171" s="8"/>
      <c r="G2171" s="8"/>
      <c r="J2171" s="8"/>
    </row>
    <row r="2172">
      <c r="C2172" s="15"/>
      <c r="E2172" s="8"/>
      <c r="G2172" s="8"/>
      <c r="J2172" s="8"/>
    </row>
    <row r="2173">
      <c r="C2173" s="15"/>
      <c r="E2173" s="8"/>
      <c r="G2173" s="8"/>
      <c r="J2173" s="8"/>
    </row>
    <row r="2174">
      <c r="C2174" s="15"/>
      <c r="E2174" s="8"/>
      <c r="G2174" s="8"/>
      <c r="J2174" s="8"/>
    </row>
    <row r="2175">
      <c r="C2175" s="15"/>
      <c r="E2175" s="8"/>
      <c r="G2175" s="8"/>
      <c r="J2175" s="8"/>
    </row>
    <row r="2176">
      <c r="C2176" s="15"/>
      <c r="E2176" s="8"/>
      <c r="G2176" s="8"/>
      <c r="J2176" s="8"/>
    </row>
    <row r="2177">
      <c r="C2177" s="15"/>
      <c r="E2177" s="8"/>
      <c r="G2177" s="8"/>
      <c r="J2177" s="8"/>
    </row>
    <row r="2178">
      <c r="C2178" s="15"/>
      <c r="E2178" s="8"/>
      <c r="G2178" s="8"/>
      <c r="J2178" s="8"/>
    </row>
    <row r="2179">
      <c r="C2179" s="15"/>
      <c r="E2179" s="8"/>
      <c r="G2179" s="8"/>
      <c r="J2179" s="8"/>
    </row>
    <row r="2180">
      <c r="C2180" s="15"/>
      <c r="E2180" s="8"/>
      <c r="G2180" s="8"/>
      <c r="J2180" s="8"/>
    </row>
    <row r="2181">
      <c r="C2181" s="15"/>
      <c r="E2181" s="8"/>
      <c r="G2181" s="8"/>
      <c r="J2181" s="8"/>
    </row>
    <row r="2182">
      <c r="C2182" s="15"/>
      <c r="E2182" s="8"/>
      <c r="G2182" s="8"/>
      <c r="J2182" s="8"/>
    </row>
    <row r="2183">
      <c r="C2183" s="15"/>
      <c r="E2183" s="8"/>
      <c r="G2183" s="8"/>
      <c r="J2183" s="8"/>
    </row>
    <row r="2184">
      <c r="C2184" s="15"/>
      <c r="E2184" s="8"/>
      <c r="G2184" s="8"/>
      <c r="J2184" s="8"/>
    </row>
    <row r="2185">
      <c r="C2185" s="15"/>
      <c r="E2185" s="8"/>
      <c r="G2185" s="8"/>
      <c r="J2185" s="8"/>
    </row>
    <row r="2186">
      <c r="C2186" s="15"/>
      <c r="E2186" s="8"/>
      <c r="G2186" s="8"/>
      <c r="J2186" s="8"/>
    </row>
    <row r="2187">
      <c r="C2187" s="15"/>
      <c r="E2187" s="8"/>
      <c r="G2187" s="8"/>
      <c r="J2187" s="8"/>
    </row>
    <row r="2188">
      <c r="C2188" s="15"/>
      <c r="E2188" s="8"/>
      <c r="G2188" s="8"/>
      <c r="J2188" s="8"/>
    </row>
    <row r="2189">
      <c r="C2189" s="15"/>
      <c r="E2189" s="8"/>
      <c r="G2189" s="8"/>
      <c r="J2189" s="8"/>
    </row>
    <row r="2190">
      <c r="C2190" s="15"/>
      <c r="E2190" s="8"/>
      <c r="G2190" s="8"/>
      <c r="J2190" s="8"/>
    </row>
    <row r="2191">
      <c r="C2191" s="15"/>
      <c r="E2191" s="8"/>
      <c r="G2191" s="8"/>
      <c r="J2191" s="8"/>
    </row>
    <row r="2192">
      <c r="C2192" s="15"/>
      <c r="E2192" s="8"/>
      <c r="G2192" s="8"/>
      <c r="J2192" s="8"/>
    </row>
    <row r="2193">
      <c r="C2193" s="15"/>
      <c r="E2193" s="8"/>
      <c r="G2193" s="8"/>
      <c r="J2193" s="8"/>
    </row>
    <row r="2194">
      <c r="C2194" s="15"/>
      <c r="E2194" s="8"/>
      <c r="G2194" s="8"/>
      <c r="J2194" s="8"/>
    </row>
    <row r="2195">
      <c r="C2195" s="15"/>
      <c r="E2195" s="8"/>
      <c r="G2195" s="8"/>
      <c r="J2195" s="8"/>
    </row>
    <row r="2196">
      <c r="C2196" s="15"/>
      <c r="E2196" s="8"/>
      <c r="G2196" s="8"/>
      <c r="J2196" s="8"/>
    </row>
    <row r="2197">
      <c r="C2197" s="15"/>
      <c r="E2197" s="8"/>
      <c r="G2197" s="8"/>
      <c r="J2197" s="8"/>
    </row>
    <row r="2198">
      <c r="C2198" s="15"/>
      <c r="E2198" s="8"/>
      <c r="G2198" s="8"/>
      <c r="J2198" s="8"/>
    </row>
    <row r="2199">
      <c r="C2199" s="15"/>
      <c r="E2199" s="8"/>
      <c r="G2199" s="8"/>
      <c r="J2199" s="8"/>
    </row>
    <row r="2200">
      <c r="C2200" s="15"/>
      <c r="E2200" s="8"/>
      <c r="G2200" s="8"/>
      <c r="J2200" s="8"/>
    </row>
    <row r="2201">
      <c r="C2201" s="15"/>
      <c r="E2201" s="8"/>
      <c r="G2201" s="8"/>
      <c r="J2201" s="8"/>
    </row>
    <row r="2202">
      <c r="C2202" s="15"/>
      <c r="E2202" s="8"/>
      <c r="G2202" s="8"/>
      <c r="J2202" s="8"/>
    </row>
    <row r="2203">
      <c r="C2203" s="15"/>
      <c r="E2203" s="8"/>
      <c r="G2203" s="8"/>
      <c r="J2203" s="8"/>
    </row>
    <row r="2204">
      <c r="C2204" s="15"/>
      <c r="E2204" s="8"/>
      <c r="G2204" s="8"/>
      <c r="J2204" s="8"/>
    </row>
    <row r="2205">
      <c r="C2205" s="15"/>
      <c r="E2205" s="8"/>
      <c r="G2205" s="8"/>
      <c r="J2205" s="8"/>
    </row>
    <row r="2206">
      <c r="C2206" s="15"/>
      <c r="E2206" s="8"/>
      <c r="G2206" s="8"/>
      <c r="J2206" s="8"/>
    </row>
    <row r="2207">
      <c r="C2207" s="15"/>
      <c r="E2207" s="8"/>
      <c r="G2207" s="8"/>
      <c r="J2207" s="8"/>
    </row>
    <row r="2208">
      <c r="C2208" s="15"/>
      <c r="E2208" s="8"/>
      <c r="G2208" s="8"/>
      <c r="J2208" s="8"/>
    </row>
    <row r="2209">
      <c r="C2209" s="15"/>
      <c r="E2209" s="8"/>
      <c r="G2209" s="8"/>
      <c r="J2209" s="8"/>
    </row>
    <row r="2210">
      <c r="C2210" s="15"/>
      <c r="E2210" s="8"/>
      <c r="G2210" s="8"/>
      <c r="J2210" s="8"/>
    </row>
    <row r="2211">
      <c r="C2211" s="15"/>
      <c r="E2211" s="8"/>
      <c r="G2211" s="8"/>
      <c r="J2211" s="8"/>
    </row>
    <row r="2212">
      <c r="C2212" s="15"/>
      <c r="E2212" s="8"/>
      <c r="G2212" s="8"/>
      <c r="J2212" s="8"/>
    </row>
    <row r="2213">
      <c r="C2213" s="15"/>
      <c r="E2213" s="8"/>
      <c r="G2213" s="8"/>
      <c r="J2213" s="8"/>
    </row>
    <row r="2214">
      <c r="C2214" s="15"/>
      <c r="E2214" s="8"/>
      <c r="G2214" s="8"/>
      <c r="J2214" s="8"/>
    </row>
    <row r="2215">
      <c r="C2215" s="15"/>
      <c r="E2215" s="8"/>
      <c r="G2215" s="8"/>
      <c r="J2215" s="8"/>
    </row>
    <row r="2216">
      <c r="C2216" s="15"/>
      <c r="E2216" s="8"/>
      <c r="G2216" s="8"/>
      <c r="J2216" s="8"/>
    </row>
    <row r="2217">
      <c r="C2217" s="15"/>
      <c r="E2217" s="8"/>
      <c r="G2217" s="8"/>
      <c r="J2217" s="8"/>
    </row>
    <row r="2218">
      <c r="C2218" s="15"/>
      <c r="E2218" s="8"/>
      <c r="G2218" s="8"/>
      <c r="J2218" s="8"/>
    </row>
    <row r="2219">
      <c r="C2219" s="15"/>
      <c r="E2219" s="8"/>
      <c r="G2219" s="8"/>
      <c r="J2219" s="8"/>
    </row>
    <row r="2220">
      <c r="C2220" s="15"/>
      <c r="E2220" s="8"/>
      <c r="G2220" s="8"/>
      <c r="J2220" s="8"/>
    </row>
    <row r="2221">
      <c r="C2221" s="15"/>
      <c r="E2221" s="8"/>
      <c r="G2221" s="8"/>
      <c r="J2221" s="8"/>
    </row>
    <row r="2222">
      <c r="C2222" s="15"/>
      <c r="E2222" s="8"/>
      <c r="G2222" s="8"/>
      <c r="J2222" s="8"/>
    </row>
    <row r="2223">
      <c r="C2223" s="15"/>
      <c r="E2223" s="8"/>
      <c r="G2223" s="8"/>
      <c r="J2223" s="8"/>
    </row>
    <row r="2224">
      <c r="C2224" s="15"/>
      <c r="E2224" s="8"/>
      <c r="G2224" s="8"/>
      <c r="J2224" s="8"/>
    </row>
    <row r="2225">
      <c r="C2225" s="15"/>
      <c r="E2225" s="8"/>
      <c r="G2225" s="8"/>
      <c r="J2225" s="8"/>
    </row>
    <row r="2226">
      <c r="C2226" s="15"/>
      <c r="E2226" s="8"/>
      <c r="G2226" s="8"/>
      <c r="J2226" s="8"/>
    </row>
    <row r="2227">
      <c r="C2227" s="15"/>
      <c r="E2227" s="8"/>
      <c r="G2227" s="8"/>
      <c r="J2227" s="8"/>
    </row>
    <row r="2228">
      <c r="C2228" s="15"/>
      <c r="E2228" s="8"/>
      <c r="G2228" s="8"/>
      <c r="J2228" s="8"/>
    </row>
    <row r="2229">
      <c r="C2229" s="15"/>
      <c r="E2229" s="8"/>
      <c r="G2229" s="8"/>
      <c r="J2229" s="8"/>
    </row>
    <row r="2230">
      <c r="C2230" s="15"/>
      <c r="E2230" s="8"/>
      <c r="G2230" s="8"/>
      <c r="J2230" s="8"/>
    </row>
    <row r="2231">
      <c r="C2231" s="15"/>
      <c r="E2231" s="8"/>
      <c r="G2231" s="8"/>
      <c r="J2231" s="8"/>
    </row>
    <row r="2232">
      <c r="C2232" s="15"/>
      <c r="E2232" s="8"/>
      <c r="G2232" s="8"/>
      <c r="J2232" s="8"/>
    </row>
    <row r="2233">
      <c r="C2233" s="15"/>
      <c r="E2233" s="8"/>
      <c r="G2233" s="8"/>
      <c r="J2233" s="8"/>
    </row>
    <row r="2234">
      <c r="C2234" s="15"/>
      <c r="E2234" s="8"/>
      <c r="G2234" s="8"/>
      <c r="J2234" s="8"/>
    </row>
    <row r="2235">
      <c r="C2235" s="15"/>
      <c r="E2235" s="8"/>
      <c r="G2235" s="8"/>
      <c r="J2235" s="8"/>
    </row>
    <row r="2236">
      <c r="C2236" s="15"/>
      <c r="E2236" s="8"/>
      <c r="G2236" s="8"/>
      <c r="J2236" s="8"/>
    </row>
    <row r="2237">
      <c r="C2237" s="15"/>
      <c r="E2237" s="8"/>
      <c r="G2237" s="8"/>
      <c r="J2237" s="8"/>
    </row>
    <row r="2238">
      <c r="C2238" s="15"/>
      <c r="E2238" s="8"/>
      <c r="G2238" s="8"/>
      <c r="J2238" s="8"/>
    </row>
    <row r="2239">
      <c r="C2239" s="15"/>
      <c r="E2239" s="8"/>
      <c r="G2239" s="8"/>
      <c r="J2239" s="8"/>
    </row>
    <row r="2240">
      <c r="C2240" s="15"/>
      <c r="E2240" s="8"/>
      <c r="G2240" s="8"/>
      <c r="J2240" s="8"/>
    </row>
    <row r="2241">
      <c r="C2241" s="15"/>
      <c r="E2241" s="8"/>
      <c r="G2241" s="8"/>
      <c r="J2241" s="8"/>
    </row>
    <row r="2242">
      <c r="C2242" s="15"/>
      <c r="E2242" s="8"/>
      <c r="G2242" s="8"/>
      <c r="J2242" s="8"/>
    </row>
    <row r="2243">
      <c r="C2243" s="15"/>
      <c r="E2243" s="8"/>
      <c r="G2243" s="8"/>
      <c r="J2243" s="8"/>
    </row>
    <row r="2244">
      <c r="C2244" s="15"/>
      <c r="E2244" s="8"/>
      <c r="G2244" s="8"/>
      <c r="J2244" s="8"/>
    </row>
    <row r="2245">
      <c r="C2245" s="15"/>
      <c r="E2245" s="8"/>
      <c r="G2245" s="8"/>
      <c r="J2245" s="8"/>
    </row>
    <row r="2246">
      <c r="C2246" s="15"/>
      <c r="E2246" s="8"/>
      <c r="G2246" s="8"/>
      <c r="J2246" s="8"/>
    </row>
    <row r="2247">
      <c r="C2247" s="15"/>
      <c r="E2247" s="8"/>
      <c r="G2247" s="8"/>
      <c r="J2247" s="8"/>
    </row>
    <row r="2248">
      <c r="C2248" s="15"/>
      <c r="E2248" s="8"/>
      <c r="G2248" s="8"/>
      <c r="J2248" s="8"/>
    </row>
    <row r="2249">
      <c r="C2249" s="15"/>
      <c r="E2249" s="8"/>
      <c r="G2249" s="8"/>
      <c r="J2249" s="8"/>
    </row>
    <row r="2250">
      <c r="C2250" s="15"/>
      <c r="E2250" s="8"/>
      <c r="G2250" s="8"/>
      <c r="J2250" s="8"/>
    </row>
    <row r="2251">
      <c r="C2251" s="15"/>
      <c r="E2251" s="8"/>
      <c r="G2251" s="8"/>
      <c r="J2251" s="8"/>
    </row>
    <row r="2252">
      <c r="C2252" s="15"/>
      <c r="E2252" s="8"/>
      <c r="G2252" s="8"/>
      <c r="J2252" s="8"/>
    </row>
    <row r="2253">
      <c r="C2253" s="15"/>
      <c r="E2253" s="8"/>
      <c r="G2253" s="8"/>
      <c r="J2253" s="8"/>
    </row>
    <row r="2254">
      <c r="C2254" s="15"/>
      <c r="E2254" s="8"/>
      <c r="G2254" s="8"/>
      <c r="J2254" s="8"/>
    </row>
    <row r="2255">
      <c r="C2255" s="15"/>
      <c r="E2255" s="8"/>
      <c r="G2255" s="8"/>
      <c r="J2255" s="8"/>
    </row>
    <row r="2256">
      <c r="C2256" s="15"/>
      <c r="E2256" s="8"/>
      <c r="G2256" s="8"/>
      <c r="J2256" s="8"/>
    </row>
    <row r="2257">
      <c r="C2257" s="15"/>
      <c r="E2257" s="8"/>
      <c r="G2257" s="8"/>
      <c r="J2257" s="8"/>
    </row>
    <row r="2258">
      <c r="C2258" s="15"/>
      <c r="E2258" s="8"/>
      <c r="G2258" s="8"/>
      <c r="J2258" s="8"/>
    </row>
    <row r="2259">
      <c r="C2259" s="15"/>
      <c r="E2259" s="8"/>
      <c r="G2259" s="8"/>
      <c r="J2259" s="8"/>
    </row>
    <row r="2260">
      <c r="C2260" s="15"/>
      <c r="E2260" s="8"/>
      <c r="G2260" s="8"/>
      <c r="J2260" s="8"/>
    </row>
    <row r="2261">
      <c r="C2261" s="15"/>
      <c r="E2261" s="8"/>
      <c r="G2261" s="8"/>
      <c r="J2261" s="8"/>
    </row>
    <row r="2262">
      <c r="C2262" s="15"/>
      <c r="E2262" s="8"/>
      <c r="G2262" s="8"/>
      <c r="J2262" s="8"/>
    </row>
    <row r="2263">
      <c r="C2263" s="15"/>
      <c r="E2263" s="8"/>
      <c r="G2263" s="8"/>
      <c r="J2263" s="8"/>
    </row>
    <row r="2264">
      <c r="C2264" s="15"/>
      <c r="E2264" s="8"/>
      <c r="G2264" s="8"/>
      <c r="J2264" s="8"/>
    </row>
    <row r="2265">
      <c r="C2265" s="15"/>
      <c r="E2265" s="8"/>
      <c r="G2265" s="8"/>
      <c r="J2265" s="8"/>
    </row>
    <row r="2266">
      <c r="C2266" s="15"/>
      <c r="E2266" s="8"/>
      <c r="G2266" s="8"/>
      <c r="J2266" s="8"/>
    </row>
    <row r="2267">
      <c r="C2267" s="15"/>
      <c r="E2267" s="8"/>
      <c r="G2267" s="8"/>
      <c r="J2267" s="8"/>
    </row>
    <row r="2268">
      <c r="C2268" s="15"/>
      <c r="E2268" s="8"/>
      <c r="G2268" s="8"/>
      <c r="J2268" s="8"/>
    </row>
    <row r="2269">
      <c r="C2269" s="15"/>
      <c r="E2269" s="8"/>
      <c r="G2269" s="8"/>
      <c r="J2269" s="8"/>
    </row>
    <row r="2270">
      <c r="C2270" s="15"/>
      <c r="E2270" s="8"/>
      <c r="G2270" s="8"/>
      <c r="J2270" s="8"/>
    </row>
    <row r="2271">
      <c r="C2271" s="15"/>
      <c r="E2271" s="8"/>
      <c r="G2271" s="8"/>
      <c r="J2271" s="8"/>
    </row>
    <row r="2272">
      <c r="C2272" s="15"/>
      <c r="E2272" s="8"/>
      <c r="G2272" s="8"/>
      <c r="J2272" s="8"/>
    </row>
    <row r="2273">
      <c r="C2273" s="15"/>
      <c r="E2273" s="8"/>
      <c r="G2273" s="8"/>
      <c r="J2273" s="8"/>
    </row>
    <row r="2274">
      <c r="C2274" s="15"/>
      <c r="E2274" s="8"/>
      <c r="G2274" s="8"/>
      <c r="J2274" s="8"/>
    </row>
    <row r="2275">
      <c r="C2275" s="15"/>
      <c r="E2275" s="8"/>
      <c r="G2275" s="8"/>
      <c r="J2275" s="8"/>
    </row>
    <row r="2276">
      <c r="C2276" s="15"/>
      <c r="E2276" s="8"/>
      <c r="G2276" s="8"/>
      <c r="J2276" s="8"/>
    </row>
    <row r="2277">
      <c r="C2277" s="15"/>
      <c r="E2277" s="8"/>
      <c r="G2277" s="8"/>
      <c r="J2277" s="8"/>
    </row>
    <row r="2278">
      <c r="C2278" s="15"/>
      <c r="E2278" s="8"/>
      <c r="G2278" s="8"/>
      <c r="J2278" s="8"/>
    </row>
    <row r="2279">
      <c r="C2279" s="15"/>
      <c r="E2279" s="8"/>
      <c r="G2279" s="8"/>
      <c r="J2279" s="8"/>
    </row>
    <row r="2280">
      <c r="C2280" s="15"/>
      <c r="E2280" s="8"/>
      <c r="G2280" s="8"/>
      <c r="J2280" s="8"/>
    </row>
    <row r="2281">
      <c r="C2281" s="15"/>
      <c r="E2281" s="8"/>
      <c r="G2281" s="8"/>
      <c r="J2281" s="8"/>
    </row>
    <row r="2282">
      <c r="C2282" s="15"/>
      <c r="E2282" s="8"/>
      <c r="G2282" s="8"/>
      <c r="J2282" s="8"/>
    </row>
    <row r="2283">
      <c r="C2283" s="15"/>
      <c r="E2283" s="8"/>
      <c r="G2283" s="8"/>
      <c r="J2283" s="8"/>
    </row>
    <row r="2284">
      <c r="C2284" s="15"/>
      <c r="E2284" s="8"/>
      <c r="G2284" s="8"/>
      <c r="J2284" s="8"/>
    </row>
    <row r="2285">
      <c r="C2285" s="15"/>
      <c r="E2285" s="8"/>
      <c r="G2285" s="8"/>
      <c r="J2285" s="8"/>
    </row>
    <row r="2286">
      <c r="C2286" s="15"/>
      <c r="E2286" s="8"/>
      <c r="G2286" s="8"/>
      <c r="J2286" s="8"/>
    </row>
    <row r="2287">
      <c r="C2287" s="15"/>
      <c r="E2287" s="8"/>
      <c r="G2287" s="8"/>
      <c r="J2287" s="8"/>
    </row>
    <row r="2288">
      <c r="C2288" s="15"/>
      <c r="E2288" s="8"/>
      <c r="G2288" s="8"/>
      <c r="J2288" s="8"/>
    </row>
    <row r="2289">
      <c r="C2289" s="15"/>
      <c r="E2289" s="8"/>
      <c r="G2289" s="8"/>
      <c r="J2289" s="8"/>
    </row>
    <row r="2290">
      <c r="C2290" s="15"/>
      <c r="E2290" s="8"/>
      <c r="G2290" s="8"/>
      <c r="J2290" s="8"/>
    </row>
    <row r="2291">
      <c r="C2291" s="15"/>
      <c r="E2291" s="8"/>
      <c r="G2291" s="8"/>
      <c r="J2291" s="8"/>
    </row>
    <row r="2292">
      <c r="C2292" s="15"/>
      <c r="E2292" s="8"/>
      <c r="G2292" s="8"/>
      <c r="J2292" s="8"/>
    </row>
    <row r="2293">
      <c r="C2293" s="15"/>
      <c r="E2293" s="8"/>
      <c r="G2293" s="8"/>
      <c r="J2293" s="8"/>
    </row>
    <row r="2294">
      <c r="C2294" s="15"/>
      <c r="E2294" s="8"/>
      <c r="G2294" s="8"/>
      <c r="J2294" s="8"/>
    </row>
    <row r="2295">
      <c r="C2295" s="15"/>
      <c r="E2295" s="8"/>
      <c r="G2295" s="8"/>
      <c r="J2295" s="8"/>
    </row>
    <row r="2296">
      <c r="C2296" s="15"/>
      <c r="E2296" s="8"/>
      <c r="G2296" s="8"/>
      <c r="J2296" s="8"/>
    </row>
    <row r="2297">
      <c r="C2297" s="15"/>
      <c r="E2297" s="8"/>
      <c r="G2297" s="8"/>
      <c r="J2297" s="8"/>
    </row>
    <row r="2298">
      <c r="C2298" s="15"/>
      <c r="E2298" s="8"/>
      <c r="G2298" s="8"/>
      <c r="J2298" s="8"/>
    </row>
    <row r="2299">
      <c r="C2299" s="15"/>
      <c r="E2299" s="8"/>
      <c r="G2299" s="8"/>
      <c r="J2299" s="8"/>
    </row>
    <row r="2300">
      <c r="C2300" s="15"/>
      <c r="E2300" s="8"/>
      <c r="G2300" s="8"/>
      <c r="J2300" s="8"/>
    </row>
    <row r="2301">
      <c r="C2301" s="15"/>
      <c r="E2301" s="8"/>
      <c r="G2301" s="8"/>
      <c r="J2301" s="8"/>
    </row>
    <row r="2302">
      <c r="C2302" s="15"/>
      <c r="E2302" s="8"/>
      <c r="G2302" s="8"/>
      <c r="J2302" s="8"/>
    </row>
    <row r="2303">
      <c r="C2303" s="15"/>
      <c r="E2303" s="8"/>
      <c r="G2303" s="8"/>
      <c r="J2303" s="8"/>
    </row>
    <row r="2304">
      <c r="C2304" s="15"/>
      <c r="E2304" s="8"/>
      <c r="G2304" s="8"/>
      <c r="J2304" s="8"/>
    </row>
    <row r="2305">
      <c r="C2305" s="15"/>
      <c r="E2305" s="8"/>
      <c r="G2305" s="8"/>
      <c r="J2305" s="8"/>
    </row>
    <row r="2306">
      <c r="C2306" s="15"/>
      <c r="E2306" s="8"/>
      <c r="G2306" s="8"/>
      <c r="J2306" s="8"/>
    </row>
    <row r="2307">
      <c r="C2307" s="15"/>
      <c r="E2307" s="8"/>
      <c r="G2307" s="8"/>
      <c r="J2307" s="8"/>
    </row>
    <row r="2308">
      <c r="C2308" s="15"/>
      <c r="E2308" s="8"/>
      <c r="G2308" s="8"/>
      <c r="J2308" s="8"/>
    </row>
    <row r="2309">
      <c r="C2309" s="15"/>
      <c r="E2309" s="8"/>
      <c r="G2309" s="8"/>
      <c r="J2309" s="8"/>
    </row>
    <row r="2310">
      <c r="C2310" s="15"/>
      <c r="E2310" s="8"/>
      <c r="G2310" s="8"/>
      <c r="J2310" s="8"/>
    </row>
    <row r="2311">
      <c r="C2311" s="15"/>
      <c r="E2311" s="8"/>
      <c r="G2311" s="8"/>
      <c r="J2311" s="8"/>
    </row>
    <row r="2312">
      <c r="C2312" s="15"/>
      <c r="E2312" s="8"/>
      <c r="G2312" s="8"/>
      <c r="J2312" s="8"/>
    </row>
    <row r="2313">
      <c r="C2313" s="15"/>
      <c r="E2313" s="8"/>
      <c r="G2313" s="8"/>
      <c r="J2313" s="8"/>
    </row>
    <row r="2314">
      <c r="C2314" s="15"/>
      <c r="E2314" s="8"/>
      <c r="G2314" s="8"/>
      <c r="J2314" s="8"/>
    </row>
    <row r="2315">
      <c r="C2315" s="15"/>
      <c r="E2315" s="8"/>
      <c r="G2315" s="8"/>
      <c r="J2315" s="8"/>
    </row>
    <row r="2316">
      <c r="C2316" s="15"/>
      <c r="E2316" s="8"/>
      <c r="G2316" s="8"/>
      <c r="J2316" s="8"/>
    </row>
    <row r="2317">
      <c r="C2317" s="15"/>
      <c r="E2317" s="8"/>
      <c r="G2317" s="8"/>
      <c r="J2317" s="8"/>
    </row>
    <row r="2318">
      <c r="C2318" s="15"/>
      <c r="E2318" s="8"/>
      <c r="G2318" s="8"/>
      <c r="J2318" s="8"/>
    </row>
    <row r="2319">
      <c r="C2319" s="15"/>
      <c r="E2319" s="8"/>
      <c r="G2319" s="8"/>
      <c r="J2319" s="8"/>
    </row>
    <row r="2320">
      <c r="C2320" s="15"/>
      <c r="E2320" s="8"/>
      <c r="G2320" s="8"/>
      <c r="J2320" s="8"/>
    </row>
    <row r="2321">
      <c r="C2321" s="15"/>
      <c r="E2321" s="8"/>
      <c r="G2321" s="8"/>
      <c r="J2321" s="8"/>
    </row>
    <row r="2322">
      <c r="C2322" s="15"/>
      <c r="E2322" s="8"/>
      <c r="G2322" s="8"/>
      <c r="J2322" s="8"/>
    </row>
    <row r="2323">
      <c r="C2323" s="15"/>
      <c r="E2323" s="8"/>
      <c r="G2323" s="8"/>
      <c r="J2323" s="8"/>
    </row>
    <row r="2324">
      <c r="C2324" s="15"/>
      <c r="E2324" s="8"/>
      <c r="G2324" s="8"/>
      <c r="J2324" s="8"/>
    </row>
    <row r="2325">
      <c r="C2325" s="15"/>
      <c r="E2325" s="8"/>
      <c r="G2325" s="8"/>
      <c r="J2325" s="8"/>
    </row>
    <row r="2326">
      <c r="C2326" s="15"/>
      <c r="E2326" s="8"/>
      <c r="G2326" s="8"/>
      <c r="J2326" s="8"/>
    </row>
    <row r="2327">
      <c r="C2327" s="15"/>
      <c r="E2327" s="8"/>
      <c r="G2327" s="8"/>
      <c r="J2327" s="8"/>
    </row>
    <row r="2328">
      <c r="C2328" s="15"/>
      <c r="E2328" s="8"/>
      <c r="G2328" s="8"/>
      <c r="J2328" s="8"/>
    </row>
    <row r="2329">
      <c r="C2329" s="15"/>
      <c r="E2329" s="8"/>
      <c r="G2329" s="8"/>
      <c r="J2329" s="8"/>
    </row>
    <row r="2330">
      <c r="C2330" s="15"/>
      <c r="E2330" s="8"/>
      <c r="G2330" s="8"/>
      <c r="J2330" s="8"/>
    </row>
    <row r="2331">
      <c r="C2331" s="15"/>
      <c r="E2331" s="8"/>
      <c r="G2331" s="8"/>
      <c r="J2331" s="8"/>
    </row>
    <row r="2332">
      <c r="C2332" s="15"/>
      <c r="E2332" s="8"/>
      <c r="G2332" s="8"/>
      <c r="J2332" s="8"/>
    </row>
    <row r="2333">
      <c r="C2333" s="15"/>
      <c r="E2333" s="8"/>
      <c r="G2333" s="8"/>
      <c r="J2333" s="8"/>
    </row>
    <row r="2334">
      <c r="C2334" s="15"/>
      <c r="E2334" s="8"/>
      <c r="G2334" s="8"/>
      <c r="J2334" s="8"/>
    </row>
    <row r="2335">
      <c r="C2335" s="15"/>
      <c r="E2335" s="8"/>
      <c r="G2335" s="8"/>
      <c r="J2335" s="8"/>
    </row>
    <row r="2336">
      <c r="C2336" s="15"/>
      <c r="E2336" s="8"/>
      <c r="G2336" s="8"/>
      <c r="J2336" s="8"/>
    </row>
    <row r="2337">
      <c r="C2337" s="15"/>
      <c r="E2337" s="8"/>
      <c r="G2337" s="8"/>
      <c r="J2337" s="8"/>
    </row>
    <row r="2338">
      <c r="C2338" s="15"/>
      <c r="E2338" s="8"/>
      <c r="G2338" s="8"/>
      <c r="J2338" s="8"/>
    </row>
    <row r="2339">
      <c r="C2339" s="15"/>
      <c r="E2339" s="8"/>
      <c r="G2339" s="8"/>
      <c r="J2339" s="8"/>
    </row>
    <row r="2340">
      <c r="C2340" s="15"/>
      <c r="E2340" s="8"/>
      <c r="G2340" s="8"/>
      <c r="J2340" s="8"/>
    </row>
    <row r="2341">
      <c r="C2341" s="15"/>
      <c r="E2341" s="8"/>
      <c r="G2341" s="8"/>
      <c r="J2341" s="8"/>
    </row>
    <row r="2342">
      <c r="C2342" s="15"/>
      <c r="E2342" s="8"/>
      <c r="G2342" s="8"/>
      <c r="J2342" s="8"/>
    </row>
    <row r="2343">
      <c r="C2343" s="15"/>
      <c r="E2343" s="8"/>
      <c r="G2343" s="8"/>
      <c r="J2343" s="8"/>
    </row>
    <row r="2344">
      <c r="C2344" s="15"/>
      <c r="E2344" s="8"/>
      <c r="G2344" s="8"/>
      <c r="J2344" s="8"/>
    </row>
    <row r="2345">
      <c r="C2345" s="15"/>
      <c r="E2345" s="8"/>
      <c r="G2345" s="8"/>
      <c r="J2345" s="8"/>
    </row>
    <row r="2346">
      <c r="C2346" s="15"/>
      <c r="E2346" s="8"/>
      <c r="G2346" s="8"/>
      <c r="J2346" s="8"/>
    </row>
    <row r="2347">
      <c r="C2347" s="15"/>
      <c r="E2347" s="8"/>
      <c r="G2347" s="8"/>
      <c r="J2347" s="8"/>
    </row>
    <row r="2348">
      <c r="C2348" s="15"/>
      <c r="E2348" s="8"/>
      <c r="G2348" s="8"/>
      <c r="J2348" s="8"/>
    </row>
    <row r="2349">
      <c r="C2349" s="15"/>
      <c r="E2349" s="8"/>
      <c r="G2349" s="8"/>
      <c r="J2349" s="8"/>
    </row>
    <row r="2350">
      <c r="C2350" s="15"/>
      <c r="E2350" s="8"/>
      <c r="G2350" s="8"/>
      <c r="J2350" s="8"/>
    </row>
    <row r="2351">
      <c r="C2351" s="15"/>
      <c r="E2351" s="8"/>
      <c r="G2351" s="8"/>
      <c r="J2351" s="8"/>
    </row>
    <row r="2352">
      <c r="C2352" s="15"/>
      <c r="E2352" s="8"/>
      <c r="G2352" s="8"/>
      <c r="J2352" s="8"/>
    </row>
    <row r="2353">
      <c r="C2353" s="15"/>
      <c r="E2353" s="8"/>
      <c r="G2353" s="8"/>
      <c r="J2353" s="8"/>
    </row>
    <row r="2354">
      <c r="C2354" s="15"/>
      <c r="E2354" s="8"/>
      <c r="G2354" s="8"/>
      <c r="J2354" s="8"/>
    </row>
    <row r="2355">
      <c r="C2355" s="15"/>
      <c r="E2355" s="8"/>
      <c r="G2355" s="8"/>
      <c r="J2355" s="8"/>
    </row>
    <row r="2356">
      <c r="C2356" s="15"/>
      <c r="E2356" s="8"/>
      <c r="G2356" s="8"/>
      <c r="J2356" s="8"/>
    </row>
    <row r="2357">
      <c r="C2357" s="15"/>
      <c r="E2357" s="8"/>
      <c r="G2357" s="8"/>
      <c r="J2357" s="8"/>
    </row>
    <row r="2358">
      <c r="C2358" s="15"/>
      <c r="E2358" s="8"/>
      <c r="G2358" s="8"/>
      <c r="J2358" s="8"/>
    </row>
    <row r="2359">
      <c r="C2359" s="15"/>
      <c r="E2359" s="8"/>
      <c r="G2359" s="8"/>
      <c r="J2359" s="8"/>
    </row>
    <row r="2360">
      <c r="C2360" s="15"/>
      <c r="E2360" s="8"/>
      <c r="G2360" s="8"/>
      <c r="J2360" s="8"/>
    </row>
    <row r="2361">
      <c r="C2361" s="15"/>
      <c r="E2361" s="8"/>
      <c r="G2361" s="8"/>
      <c r="J2361" s="8"/>
    </row>
    <row r="2362">
      <c r="C2362" s="15"/>
      <c r="E2362" s="8"/>
      <c r="G2362" s="8"/>
      <c r="J2362" s="8"/>
    </row>
    <row r="2363">
      <c r="C2363" s="15"/>
      <c r="E2363" s="8"/>
      <c r="G2363" s="8"/>
      <c r="J2363" s="8"/>
    </row>
    <row r="2364">
      <c r="C2364" s="15"/>
      <c r="E2364" s="8"/>
      <c r="G2364" s="8"/>
      <c r="J2364" s="8"/>
    </row>
    <row r="2365">
      <c r="C2365" s="15"/>
      <c r="E2365" s="8"/>
      <c r="G2365" s="8"/>
      <c r="J2365" s="8"/>
    </row>
    <row r="2366">
      <c r="C2366" s="15"/>
      <c r="E2366" s="8"/>
      <c r="G2366" s="8"/>
      <c r="J2366" s="8"/>
    </row>
    <row r="2367">
      <c r="C2367" s="15"/>
      <c r="E2367" s="8"/>
      <c r="G2367" s="8"/>
      <c r="J2367" s="8"/>
    </row>
    <row r="2368">
      <c r="C2368" s="15"/>
      <c r="E2368" s="8"/>
      <c r="G2368" s="8"/>
      <c r="J2368" s="8"/>
    </row>
    <row r="2369">
      <c r="C2369" s="15"/>
      <c r="E2369" s="8"/>
      <c r="G2369" s="8"/>
      <c r="J2369" s="8"/>
    </row>
    <row r="2370">
      <c r="C2370" s="15"/>
      <c r="E2370" s="8"/>
      <c r="G2370" s="8"/>
      <c r="J2370" s="8"/>
    </row>
    <row r="2371">
      <c r="C2371" s="15"/>
      <c r="E2371" s="8"/>
      <c r="G2371" s="8"/>
      <c r="J2371" s="8"/>
    </row>
    <row r="2372">
      <c r="C2372" s="15"/>
      <c r="E2372" s="8"/>
      <c r="G2372" s="8"/>
      <c r="J2372" s="8"/>
    </row>
    <row r="2373">
      <c r="C2373" s="15"/>
      <c r="E2373" s="8"/>
      <c r="G2373" s="8"/>
      <c r="J2373" s="8"/>
    </row>
    <row r="2374">
      <c r="C2374" s="15"/>
      <c r="E2374" s="8"/>
      <c r="G2374" s="8"/>
      <c r="J2374" s="8"/>
    </row>
    <row r="2375">
      <c r="C2375" s="15"/>
      <c r="E2375" s="8"/>
      <c r="G2375" s="8"/>
      <c r="J2375" s="8"/>
    </row>
    <row r="2376">
      <c r="C2376" s="15"/>
      <c r="E2376" s="8"/>
      <c r="G2376" s="8"/>
      <c r="J2376" s="8"/>
    </row>
    <row r="2377">
      <c r="C2377" s="15"/>
      <c r="E2377" s="8"/>
      <c r="G2377" s="8"/>
      <c r="J2377" s="8"/>
    </row>
    <row r="2378">
      <c r="C2378" s="15"/>
      <c r="E2378" s="8"/>
      <c r="G2378" s="8"/>
      <c r="J2378" s="8"/>
    </row>
    <row r="2379">
      <c r="C2379" s="15"/>
      <c r="E2379" s="8"/>
      <c r="G2379" s="8"/>
      <c r="J2379" s="8"/>
    </row>
    <row r="2380">
      <c r="C2380" s="15"/>
      <c r="E2380" s="8"/>
      <c r="G2380" s="8"/>
      <c r="J2380" s="8"/>
    </row>
    <row r="2381">
      <c r="C2381" s="15"/>
      <c r="E2381" s="8"/>
      <c r="G2381" s="8"/>
      <c r="J2381" s="8"/>
    </row>
    <row r="2382">
      <c r="C2382" s="15"/>
      <c r="E2382" s="8"/>
      <c r="G2382" s="8"/>
      <c r="J2382" s="8"/>
    </row>
    <row r="2383">
      <c r="C2383" s="15"/>
      <c r="E2383" s="8"/>
      <c r="G2383" s="8"/>
      <c r="J2383" s="8"/>
    </row>
    <row r="2384">
      <c r="C2384" s="15"/>
      <c r="E2384" s="8"/>
      <c r="G2384" s="8"/>
      <c r="J2384" s="8"/>
    </row>
    <row r="2385">
      <c r="C2385" s="15"/>
      <c r="E2385" s="8"/>
      <c r="G2385" s="8"/>
      <c r="J2385" s="8"/>
    </row>
    <row r="2386">
      <c r="C2386" s="15"/>
      <c r="E2386" s="8"/>
      <c r="G2386" s="8"/>
      <c r="J2386" s="8"/>
    </row>
    <row r="2387">
      <c r="C2387" s="15"/>
      <c r="E2387" s="8"/>
      <c r="G2387" s="8"/>
      <c r="J2387" s="8"/>
    </row>
    <row r="2388">
      <c r="C2388" s="15"/>
      <c r="E2388" s="8"/>
      <c r="G2388" s="8"/>
      <c r="J2388" s="8"/>
    </row>
    <row r="2389">
      <c r="C2389" s="15"/>
      <c r="E2389" s="8"/>
      <c r="G2389" s="8"/>
      <c r="J2389" s="8"/>
    </row>
    <row r="2390">
      <c r="C2390" s="15"/>
      <c r="E2390" s="8"/>
      <c r="G2390" s="8"/>
      <c r="J2390" s="8"/>
    </row>
    <row r="2391">
      <c r="C2391" s="15"/>
      <c r="E2391" s="8"/>
      <c r="G2391" s="8"/>
      <c r="J2391" s="8"/>
    </row>
    <row r="2392">
      <c r="C2392" s="15"/>
      <c r="E2392" s="8"/>
      <c r="G2392" s="8"/>
      <c r="J2392" s="8"/>
    </row>
    <row r="2393">
      <c r="C2393" s="15"/>
      <c r="E2393" s="8"/>
      <c r="G2393" s="8"/>
      <c r="J2393" s="8"/>
    </row>
    <row r="2394">
      <c r="C2394" s="15"/>
      <c r="E2394" s="8"/>
      <c r="G2394" s="8"/>
      <c r="J2394" s="8"/>
    </row>
    <row r="2395">
      <c r="C2395" s="15"/>
      <c r="E2395" s="8"/>
      <c r="G2395" s="8"/>
      <c r="J2395" s="8"/>
    </row>
    <row r="2396">
      <c r="C2396" s="15"/>
      <c r="E2396" s="8"/>
      <c r="G2396" s="8"/>
      <c r="J2396" s="8"/>
    </row>
    <row r="2397">
      <c r="C2397" s="15"/>
      <c r="E2397" s="8"/>
      <c r="G2397" s="8"/>
      <c r="J2397" s="8"/>
    </row>
    <row r="2398">
      <c r="C2398" s="15"/>
      <c r="E2398" s="8"/>
      <c r="G2398" s="8"/>
      <c r="J2398" s="8"/>
    </row>
    <row r="2399">
      <c r="C2399" s="15"/>
      <c r="E2399" s="8"/>
      <c r="G2399" s="8"/>
      <c r="J2399" s="8"/>
    </row>
    <row r="2400">
      <c r="C2400" s="15"/>
      <c r="E2400" s="8"/>
      <c r="G2400" s="8"/>
      <c r="J2400" s="8"/>
    </row>
    <row r="2401">
      <c r="C2401" s="15"/>
      <c r="E2401" s="8"/>
      <c r="G2401" s="8"/>
      <c r="J2401" s="8"/>
    </row>
    <row r="2402">
      <c r="C2402" s="15"/>
      <c r="E2402" s="8"/>
      <c r="G2402" s="8"/>
      <c r="J2402" s="8"/>
    </row>
    <row r="2403">
      <c r="C2403" s="15"/>
      <c r="E2403" s="8"/>
      <c r="G2403" s="8"/>
      <c r="J2403" s="8"/>
    </row>
    <row r="2404">
      <c r="C2404" s="15"/>
      <c r="E2404" s="8"/>
      <c r="G2404" s="8"/>
      <c r="J2404" s="8"/>
    </row>
    <row r="2405">
      <c r="C2405" s="15"/>
      <c r="E2405" s="8"/>
      <c r="G2405" s="8"/>
      <c r="J2405" s="8"/>
    </row>
    <row r="2406">
      <c r="C2406" s="15"/>
      <c r="E2406" s="8"/>
      <c r="G2406" s="8"/>
      <c r="J2406" s="8"/>
    </row>
    <row r="2407">
      <c r="C2407" s="15"/>
      <c r="E2407" s="8"/>
      <c r="G2407" s="8"/>
      <c r="J2407" s="8"/>
    </row>
    <row r="2408">
      <c r="C2408" s="15"/>
      <c r="E2408" s="8"/>
      <c r="G2408" s="8"/>
      <c r="J2408" s="8"/>
    </row>
    <row r="2409">
      <c r="C2409" s="15"/>
      <c r="E2409" s="8"/>
      <c r="G2409" s="8"/>
      <c r="J2409" s="8"/>
    </row>
    <row r="2410">
      <c r="C2410" s="15"/>
      <c r="E2410" s="8"/>
      <c r="G2410" s="8"/>
      <c r="J2410" s="8"/>
    </row>
    <row r="2411">
      <c r="C2411" s="15"/>
      <c r="E2411" s="8"/>
      <c r="G2411" s="8"/>
      <c r="J2411" s="8"/>
    </row>
    <row r="2412">
      <c r="C2412" s="15"/>
      <c r="E2412" s="8"/>
      <c r="G2412" s="8"/>
      <c r="J2412" s="8"/>
    </row>
    <row r="2413">
      <c r="C2413" s="15"/>
      <c r="E2413" s="8"/>
      <c r="G2413" s="8"/>
      <c r="J2413" s="8"/>
    </row>
    <row r="2414">
      <c r="C2414" s="15"/>
      <c r="E2414" s="8"/>
      <c r="G2414" s="8"/>
      <c r="J2414" s="8"/>
    </row>
    <row r="2415">
      <c r="C2415" s="15"/>
      <c r="E2415" s="8"/>
      <c r="G2415" s="8"/>
      <c r="J2415" s="8"/>
    </row>
    <row r="2416">
      <c r="C2416" s="15"/>
      <c r="E2416" s="8"/>
      <c r="G2416" s="8"/>
      <c r="J2416" s="8"/>
    </row>
    <row r="2417">
      <c r="C2417" s="15"/>
      <c r="E2417" s="8"/>
      <c r="G2417" s="8"/>
      <c r="J2417" s="8"/>
    </row>
    <row r="2418">
      <c r="C2418" s="15"/>
      <c r="E2418" s="8"/>
      <c r="G2418" s="8"/>
      <c r="J2418" s="8"/>
    </row>
    <row r="2419">
      <c r="C2419" s="15"/>
      <c r="E2419" s="8"/>
      <c r="G2419" s="8"/>
      <c r="J2419" s="8"/>
    </row>
    <row r="2420">
      <c r="C2420" s="15"/>
      <c r="E2420" s="8"/>
      <c r="G2420" s="8"/>
      <c r="J2420" s="8"/>
    </row>
    <row r="2421">
      <c r="C2421" s="15"/>
      <c r="E2421" s="8"/>
      <c r="G2421" s="8"/>
      <c r="J2421" s="8"/>
    </row>
    <row r="2422">
      <c r="C2422" s="15"/>
      <c r="E2422" s="8"/>
      <c r="G2422" s="8"/>
      <c r="J2422" s="8"/>
    </row>
    <row r="2423">
      <c r="C2423" s="15"/>
      <c r="E2423" s="8"/>
      <c r="G2423" s="8"/>
      <c r="J2423" s="8"/>
    </row>
    <row r="2424">
      <c r="C2424" s="15"/>
      <c r="E2424" s="8"/>
      <c r="G2424" s="8"/>
      <c r="J2424" s="8"/>
    </row>
    <row r="2425">
      <c r="C2425" s="15"/>
      <c r="E2425" s="8"/>
      <c r="G2425" s="8"/>
      <c r="J2425" s="8"/>
    </row>
    <row r="2426">
      <c r="C2426" s="15"/>
      <c r="E2426" s="8"/>
      <c r="G2426" s="8"/>
      <c r="J2426" s="8"/>
    </row>
    <row r="2427">
      <c r="C2427" s="15"/>
      <c r="E2427" s="8"/>
      <c r="G2427" s="8"/>
      <c r="J2427" s="8"/>
    </row>
    <row r="2428">
      <c r="C2428" s="15"/>
      <c r="E2428" s="8"/>
      <c r="G2428" s="8"/>
      <c r="J2428" s="8"/>
    </row>
    <row r="2429">
      <c r="C2429" s="15"/>
      <c r="E2429" s="8"/>
      <c r="G2429" s="8"/>
      <c r="J2429" s="8"/>
    </row>
    <row r="2430">
      <c r="C2430" s="15"/>
      <c r="E2430" s="8"/>
      <c r="G2430" s="8"/>
      <c r="J2430" s="8"/>
    </row>
    <row r="2431">
      <c r="C2431" s="15"/>
      <c r="E2431" s="8"/>
      <c r="G2431" s="8"/>
      <c r="J2431" s="8"/>
    </row>
    <row r="2432">
      <c r="C2432" s="15"/>
      <c r="E2432" s="8"/>
      <c r="G2432" s="8"/>
      <c r="J2432" s="8"/>
    </row>
    <row r="2433">
      <c r="C2433" s="15"/>
      <c r="E2433" s="8"/>
      <c r="G2433" s="8"/>
      <c r="J2433" s="8"/>
    </row>
    <row r="2434">
      <c r="C2434" s="15"/>
      <c r="E2434" s="8"/>
      <c r="G2434" s="8"/>
      <c r="J2434" s="8"/>
    </row>
    <row r="2435">
      <c r="C2435" s="15"/>
      <c r="E2435" s="8"/>
      <c r="G2435" s="8"/>
      <c r="J2435" s="8"/>
    </row>
    <row r="2436">
      <c r="C2436" s="15"/>
      <c r="E2436" s="8"/>
      <c r="G2436" s="8"/>
      <c r="J2436" s="8"/>
    </row>
    <row r="2437">
      <c r="C2437" s="15"/>
      <c r="E2437" s="8"/>
      <c r="G2437" s="8"/>
      <c r="J2437" s="8"/>
    </row>
    <row r="2438">
      <c r="C2438" s="15"/>
      <c r="E2438" s="8"/>
      <c r="G2438" s="8"/>
      <c r="J2438" s="8"/>
    </row>
    <row r="2439">
      <c r="C2439" s="15"/>
      <c r="E2439" s="8"/>
      <c r="G2439" s="8"/>
      <c r="J2439" s="8"/>
    </row>
    <row r="2440">
      <c r="C2440" s="15"/>
      <c r="E2440" s="8"/>
      <c r="G2440" s="8"/>
      <c r="J2440" s="8"/>
    </row>
    <row r="2441">
      <c r="C2441" s="15"/>
      <c r="E2441" s="8"/>
      <c r="G2441" s="8"/>
      <c r="J2441" s="8"/>
    </row>
    <row r="2442">
      <c r="C2442" s="15"/>
      <c r="E2442" s="8"/>
      <c r="G2442" s="8"/>
      <c r="J2442" s="8"/>
    </row>
    <row r="2443">
      <c r="C2443" s="15"/>
      <c r="E2443" s="8"/>
      <c r="G2443" s="8"/>
      <c r="J2443" s="8"/>
    </row>
    <row r="2444">
      <c r="C2444" s="15"/>
      <c r="E2444" s="8"/>
      <c r="G2444" s="8"/>
      <c r="J2444" s="8"/>
    </row>
    <row r="2445">
      <c r="C2445" s="15"/>
      <c r="E2445" s="8"/>
      <c r="G2445" s="8"/>
      <c r="J2445" s="8"/>
    </row>
    <row r="2446">
      <c r="C2446" s="15"/>
      <c r="E2446" s="8"/>
      <c r="G2446" s="8"/>
      <c r="J2446" s="8"/>
    </row>
    <row r="2447">
      <c r="C2447" s="15"/>
      <c r="E2447" s="8"/>
      <c r="G2447" s="8"/>
      <c r="J2447" s="8"/>
    </row>
    <row r="2448">
      <c r="C2448" s="15"/>
      <c r="E2448" s="8"/>
      <c r="G2448" s="8"/>
      <c r="J2448" s="8"/>
    </row>
    <row r="2449">
      <c r="C2449" s="15"/>
      <c r="E2449" s="8"/>
      <c r="G2449" s="8"/>
      <c r="J2449" s="8"/>
    </row>
    <row r="2450">
      <c r="C2450" s="15"/>
      <c r="E2450" s="8"/>
      <c r="G2450" s="8"/>
      <c r="J2450" s="8"/>
    </row>
    <row r="2451">
      <c r="C2451" s="15"/>
      <c r="E2451" s="8"/>
      <c r="G2451" s="8"/>
      <c r="J2451" s="8"/>
    </row>
    <row r="2452">
      <c r="C2452" s="15"/>
      <c r="E2452" s="8"/>
      <c r="G2452" s="8"/>
      <c r="J2452" s="8"/>
    </row>
    <row r="2453">
      <c r="C2453" s="15"/>
      <c r="E2453" s="8"/>
      <c r="G2453" s="8"/>
      <c r="J2453" s="8"/>
    </row>
    <row r="2454">
      <c r="C2454" s="15"/>
      <c r="E2454" s="8"/>
      <c r="G2454" s="8"/>
      <c r="J2454" s="8"/>
    </row>
    <row r="2455">
      <c r="C2455" s="15"/>
      <c r="E2455" s="8"/>
      <c r="G2455" s="8"/>
      <c r="J2455" s="8"/>
    </row>
    <row r="2456">
      <c r="C2456" s="15"/>
      <c r="E2456" s="8"/>
      <c r="G2456" s="8"/>
      <c r="J2456" s="8"/>
    </row>
    <row r="2457">
      <c r="C2457" s="15"/>
      <c r="E2457" s="8"/>
      <c r="G2457" s="8"/>
      <c r="J2457" s="8"/>
    </row>
    <row r="2458">
      <c r="C2458" s="15"/>
      <c r="E2458" s="8"/>
      <c r="G2458" s="8"/>
      <c r="J2458" s="8"/>
    </row>
    <row r="2459">
      <c r="C2459" s="15"/>
      <c r="E2459" s="8"/>
      <c r="G2459" s="8"/>
      <c r="J2459" s="8"/>
    </row>
    <row r="2460">
      <c r="C2460" s="15"/>
      <c r="E2460" s="8"/>
      <c r="G2460" s="8"/>
      <c r="J2460" s="8"/>
    </row>
    <row r="2461">
      <c r="C2461" s="15"/>
      <c r="E2461" s="8"/>
      <c r="G2461" s="8"/>
      <c r="J2461" s="8"/>
    </row>
    <row r="2462">
      <c r="C2462" s="15"/>
      <c r="E2462" s="8"/>
      <c r="G2462" s="8"/>
      <c r="J2462" s="8"/>
    </row>
    <row r="2463">
      <c r="C2463" s="15"/>
      <c r="E2463" s="8"/>
      <c r="G2463" s="8"/>
      <c r="J2463" s="8"/>
    </row>
    <row r="2464">
      <c r="C2464" s="15"/>
      <c r="E2464" s="8"/>
      <c r="G2464" s="8"/>
      <c r="J2464" s="8"/>
    </row>
    <row r="2465">
      <c r="C2465" s="15"/>
      <c r="E2465" s="8"/>
      <c r="G2465" s="8"/>
      <c r="J2465" s="8"/>
    </row>
    <row r="2466">
      <c r="C2466" s="15"/>
      <c r="E2466" s="8"/>
      <c r="G2466" s="8"/>
      <c r="J2466" s="8"/>
    </row>
    <row r="2467">
      <c r="C2467" s="15"/>
      <c r="E2467" s="8"/>
      <c r="G2467" s="8"/>
      <c r="J2467" s="8"/>
    </row>
    <row r="2468">
      <c r="C2468" s="15"/>
      <c r="E2468" s="8"/>
      <c r="G2468" s="8"/>
      <c r="J2468" s="8"/>
    </row>
    <row r="2469">
      <c r="C2469" s="15"/>
      <c r="E2469" s="8"/>
      <c r="G2469" s="8"/>
      <c r="J2469" s="8"/>
    </row>
    <row r="2470">
      <c r="C2470" s="15"/>
      <c r="E2470" s="8"/>
      <c r="G2470" s="8"/>
      <c r="J2470" s="8"/>
    </row>
    <row r="2471">
      <c r="C2471" s="15"/>
      <c r="E2471" s="8"/>
      <c r="G2471" s="8"/>
      <c r="J2471" s="8"/>
    </row>
    <row r="2472">
      <c r="C2472" s="15"/>
      <c r="E2472" s="8"/>
      <c r="G2472" s="8"/>
      <c r="J2472" s="8"/>
    </row>
    <row r="2473">
      <c r="C2473" s="15"/>
      <c r="E2473" s="8"/>
      <c r="G2473" s="8"/>
      <c r="J2473" s="8"/>
    </row>
    <row r="2474">
      <c r="C2474" s="15"/>
      <c r="E2474" s="8"/>
      <c r="G2474" s="8"/>
      <c r="J2474" s="8"/>
    </row>
    <row r="2475">
      <c r="C2475" s="15"/>
      <c r="E2475" s="8"/>
      <c r="G2475" s="8"/>
      <c r="J2475" s="8"/>
    </row>
    <row r="2476">
      <c r="C2476" s="15"/>
      <c r="E2476" s="8"/>
      <c r="G2476" s="8"/>
      <c r="J2476" s="8"/>
    </row>
    <row r="2477">
      <c r="C2477" s="15"/>
      <c r="E2477" s="8"/>
      <c r="G2477" s="8"/>
      <c r="J2477" s="8"/>
    </row>
    <row r="2478">
      <c r="C2478" s="15"/>
      <c r="E2478" s="8"/>
      <c r="G2478" s="8"/>
      <c r="J2478" s="8"/>
    </row>
    <row r="2479">
      <c r="C2479" s="15"/>
      <c r="E2479" s="8"/>
      <c r="G2479" s="8"/>
      <c r="J2479" s="8"/>
    </row>
    <row r="2480">
      <c r="C2480" s="15"/>
      <c r="E2480" s="8"/>
      <c r="G2480" s="8"/>
      <c r="J2480" s="8"/>
    </row>
    <row r="2481">
      <c r="C2481" s="15"/>
      <c r="E2481" s="8"/>
      <c r="G2481" s="8"/>
      <c r="J2481" s="8"/>
    </row>
    <row r="2482">
      <c r="C2482" s="15"/>
      <c r="E2482" s="8"/>
      <c r="G2482" s="8"/>
      <c r="J2482" s="8"/>
    </row>
    <row r="2483">
      <c r="C2483" s="15"/>
      <c r="E2483" s="8"/>
      <c r="G2483" s="8"/>
      <c r="J2483" s="8"/>
    </row>
    <row r="2484">
      <c r="C2484" s="15"/>
      <c r="E2484" s="8"/>
      <c r="G2484" s="8"/>
      <c r="J2484" s="8"/>
    </row>
    <row r="2485">
      <c r="C2485" s="15"/>
      <c r="E2485" s="8"/>
      <c r="G2485" s="8"/>
      <c r="J2485" s="8"/>
    </row>
    <row r="2486">
      <c r="C2486" s="15"/>
      <c r="E2486" s="8"/>
      <c r="G2486" s="8"/>
      <c r="J2486" s="8"/>
    </row>
    <row r="2487">
      <c r="C2487" s="15"/>
      <c r="E2487" s="8"/>
      <c r="G2487" s="8"/>
      <c r="J2487" s="8"/>
    </row>
    <row r="2488">
      <c r="C2488" s="15"/>
      <c r="E2488" s="8"/>
      <c r="G2488" s="8"/>
      <c r="J2488" s="8"/>
    </row>
    <row r="2489">
      <c r="C2489" s="15"/>
      <c r="E2489" s="8"/>
      <c r="G2489" s="8"/>
      <c r="J2489" s="8"/>
    </row>
    <row r="2490">
      <c r="C2490" s="15"/>
      <c r="E2490" s="8"/>
      <c r="G2490" s="8"/>
      <c r="J2490" s="8"/>
    </row>
    <row r="2491">
      <c r="C2491" s="15"/>
      <c r="E2491" s="8"/>
      <c r="G2491" s="8"/>
      <c r="J2491" s="8"/>
    </row>
    <row r="2492">
      <c r="C2492" s="15"/>
      <c r="E2492" s="8"/>
      <c r="G2492" s="8"/>
      <c r="J2492" s="8"/>
    </row>
    <row r="2493">
      <c r="C2493" s="15"/>
      <c r="E2493" s="8"/>
      <c r="G2493" s="8"/>
      <c r="J2493" s="8"/>
    </row>
    <row r="2494">
      <c r="C2494" s="15"/>
      <c r="E2494" s="8"/>
      <c r="G2494" s="8"/>
      <c r="J2494" s="8"/>
    </row>
    <row r="2495">
      <c r="C2495" s="15"/>
      <c r="E2495" s="8"/>
      <c r="G2495" s="8"/>
      <c r="J2495" s="8"/>
    </row>
    <row r="2496">
      <c r="C2496" s="15"/>
      <c r="E2496" s="8"/>
      <c r="G2496" s="8"/>
      <c r="J2496" s="8"/>
    </row>
    <row r="2497">
      <c r="C2497" s="15"/>
      <c r="E2497" s="8"/>
      <c r="G2497" s="8"/>
      <c r="J2497" s="8"/>
    </row>
    <row r="2498">
      <c r="C2498" s="15"/>
      <c r="E2498" s="8"/>
      <c r="G2498" s="8"/>
      <c r="J2498" s="8"/>
    </row>
    <row r="2499">
      <c r="C2499" s="15"/>
      <c r="E2499" s="8"/>
      <c r="G2499" s="8"/>
      <c r="J2499" s="8"/>
    </row>
    <row r="2500">
      <c r="C2500" s="15"/>
      <c r="E2500" s="8"/>
      <c r="G2500" s="8"/>
      <c r="J2500" s="8"/>
    </row>
    <row r="2501">
      <c r="C2501" s="15"/>
      <c r="E2501" s="8"/>
      <c r="G2501" s="8"/>
      <c r="J2501" s="8"/>
    </row>
    <row r="2502">
      <c r="C2502" s="15"/>
      <c r="E2502" s="8"/>
      <c r="G2502" s="8"/>
      <c r="J2502" s="8"/>
    </row>
    <row r="2503">
      <c r="C2503" s="15"/>
      <c r="E2503" s="8"/>
      <c r="G2503" s="8"/>
      <c r="J2503" s="8"/>
    </row>
    <row r="2504">
      <c r="C2504" s="15"/>
      <c r="E2504" s="8"/>
      <c r="G2504" s="8"/>
      <c r="J2504" s="8"/>
    </row>
    <row r="2505">
      <c r="C2505" s="15"/>
      <c r="E2505" s="8"/>
      <c r="G2505" s="8"/>
      <c r="J2505" s="8"/>
    </row>
    <row r="2506">
      <c r="C2506" s="15"/>
      <c r="E2506" s="8"/>
      <c r="G2506" s="8"/>
      <c r="J2506" s="8"/>
    </row>
    <row r="2507">
      <c r="C2507" s="15"/>
      <c r="E2507" s="8"/>
      <c r="G2507" s="8"/>
      <c r="J2507" s="8"/>
    </row>
    <row r="2508">
      <c r="C2508" s="15"/>
      <c r="E2508" s="8"/>
      <c r="G2508" s="8"/>
      <c r="J2508" s="8"/>
    </row>
    <row r="2509">
      <c r="C2509" s="15"/>
      <c r="E2509" s="8"/>
      <c r="G2509" s="8"/>
      <c r="J2509" s="8"/>
    </row>
    <row r="2510">
      <c r="C2510" s="15"/>
      <c r="E2510" s="8"/>
      <c r="G2510" s="8"/>
      <c r="J2510" s="8"/>
    </row>
    <row r="2511">
      <c r="C2511" s="15"/>
      <c r="E2511" s="8"/>
      <c r="G2511" s="8"/>
      <c r="J2511" s="8"/>
    </row>
    <row r="2512">
      <c r="C2512" s="15"/>
      <c r="E2512" s="8"/>
      <c r="G2512" s="8"/>
      <c r="J2512" s="8"/>
    </row>
    <row r="2513">
      <c r="C2513" s="15"/>
      <c r="E2513" s="8"/>
      <c r="G2513" s="8"/>
      <c r="J2513" s="8"/>
    </row>
    <row r="2514">
      <c r="C2514" s="15"/>
      <c r="E2514" s="8"/>
      <c r="G2514" s="8"/>
      <c r="J2514" s="8"/>
    </row>
    <row r="2515">
      <c r="C2515" s="15"/>
      <c r="E2515" s="8"/>
      <c r="G2515" s="8"/>
      <c r="J2515" s="8"/>
    </row>
    <row r="2516">
      <c r="C2516" s="15"/>
      <c r="E2516" s="8"/>
      <c r="G2516" s="8"/>
      <c r="J2516" s="8"/>
    </row>
    <row r="2517">
      <c r="C2517" s="15"/>
      <c r="E2517" s="8"/>
      <c r="G2517" s="8"/>
      <c r="J2517" s="8"/>
    </row>
    <row r="2518">
      <c r="C2518" s="15"/>
      <c r="E2518" s="8"/>
      <c r="G2518" s="8"/>
      <c r="J2518" s="8"/>
    </row>
    <row r="2519">
      <c r="C2519" s="15"/>
      <c r="E2519" s="8"/>
      <c r="G2519" s="8"/>
      <c r="J2519" s="8"/>
    </row>
    <row r="2520">
      <c r="C2520" s="15"/>
      <c r="E2520" s="8"/>
      <c r="G2520" s="8"/>
      <c r="J2520" s="8"/>
    </row>
    <row r="2521">
      <c r="C2521" s="15"/>
      <c r="E2521" s="8"/>
      <c r="G2521" s="8"/>
      <c r="J2521" s="8"/>
    </row>
    <row r="2522">
      <c r="C2522" s="15"/>
      <c r="E2522" s="8"/>
      <c r="G2522" s="8"/>
      <c r="J2522" s="8"/>
    </row>
    <row r="2523">
      <c r="C2523" s="15"/>
      <c r="E2523" s="8"/>
      <c r="G2523" s="8"/>
      <c r="J2523" s="8"/>
    </row>
    <row r="2524">
      <c r="C2524" s="15"/>
      <c r="E2524" s="8"/>
      <c r="G2524" s="8"/>
      <c r="J2524" s="8"/>
    </row>
    <row r="2525">
      <c r="C2525" s="15"/>
      <c r="E2525" s="8"/>
      <c r="G2525" s="8"/>
      <c r="J2525" s="8"/>
    </row>
    <row r="2526">
      <c r="C2526" s="15"/>
      <c r="E2526" s="8"/>
      <c r="G2526" s="8"/>
      <c r="J2526" s="8"/>
    </row>
    <row r="2527">
      <c r="C2527" s="15"/>
      <c r="E2527" s="8"/>
      <c r="G2527" s="8"/>
      <c r="J2527" s="8"/>
    </row>
    <row r="2528">
      <c r="C2528" s="15"/>
      <c r="E2528" s="8"/>
      <c r="G2528" s="8"/>
      <c r="J2528" s="8"/>
    </row>
    <row r="2529">
      <c r="C2529" s="15"/>
      <c r="E2529" s="8"/>
      <c r="G2529" s="8"/>
      <c r="J2529" s="8"/>
    </row>
    <row r="2530">
      <c r="C2530" s="15"/>
      <c r="E2530" s="8"/>
      <c r="G2530" s="8"/>
      <c r="J2530" s="8"/>
    </row>
    <row r="2531">
      <c r="C2531" s="15"/>
      <c r="E2531" s="8"/>
      <c r="G2531" s="8"/>
      <c r="J2531" s="8"/>
    </row>
    <row r="2532">
      <c r="C2532" s="15"/>
      <c r="E2532" s="8"/>
      <c r="G2532" s="8"/>
      <c r="J2532" s="8"/>
    </row>
    <row r="2533">
      <c r="C2533" s="15"/>
      <c r="E2533" s="8"/>
      <c r="G2533" s="8"/>
      <c r="J2533" s="8"/>
    </row>
    <row r="2534">
      <c r="C2534" s="15"/>
      <c r="E2534" s="8"/>
      <c r="G2534" s="8"/>
      <c r="J2534" s="8"/>
    </row>
    <row r="2535">
      <c r="C2535" s="15"/>
      <c r="E2535" s="8"/>
      <c r="G2535" s="8"/>
      <c r="J2535" s="8"/>
    </row>
    <row r="2536">
      <c r="C2536" s="15"/>
      <c r="E2536" s="8"/>
      <c r="G2536" s="8"/>
      <c r="J2536" s="8"/>
    </row>
    <row r="2537">
      <c r="C2537" s="15"/>
      <c r="E2537" s="8"/>
      <c r="G2537" s="8"/>
      <c r="J2537" s="8"/>
    </row>
    <row r="2538">
      <c r="C2538" s="15"/>
      <c r="E2538" s="8"/>
      <c r="G2538" s="8"/>
      <c r="J2538" s="8"/>
    </row>
    <row r="2539">
      <c r="C2539" s="15"/>
      <c r="E2539" s="8"/>
      <c r="G2539" s="8"/>
      <c r="J2539" s="8"/>
    </row>
    <row r="2540">
      <c r="C2540" s="15"/>
      <c r="E2540" s="8"/>
      <c r="G2540" s="8"/>
      <c r="J2540" s="8"/>
    </row>
    <row r="2541">
      <c r="C2541" s="15"/>
      <c r="E2541" s="8"/>
      <c r="G2541" s="8"/>
      <c r="J2541" s="8"/>
    </row>
    <row r="2542">
      <c r="C2542" s="15"/>
      <c r="E2542" s="8"/>
      <c r="G2542" s="8"/>
      <c r="J2542" s="8"/>
    </row>
    <row r="2543">
      <c r="C2543" s="15"/>
      <c r="E2543" s="8"/>
      <c r="G2543" s="8"/>
      <c r="J2543" s="8"/>
    </row>
    <row r="2544">
      <c r="C2544" s="15"/>
      <c r="E2544" s="8"/>
      <c r="G2544" s="8"/>
      <c r="J2544" s="8"/>
    </row>
    <row r="2545">
      <c r="C2545" s="15"/>
      <c r="E2545" s="8"/>
      <c r="G2545" s="8"/>
      <c r="J2545" s="8"/>
    </row>
    <row r="2546">
      <c r="C2546" s="15"/>
      <c r="E2546" s="8"/>
      <c r="G2546" s="8"/>
      <c r="J2546" s="8"/>
    </row>
    <row r="2547">
      <c r="C2547" s="15"/>
      <c r="E2547" s="8"/>
      <c r="G2547" s="8"/>
      <c r="J2547" s="8"/>
    </row>
    <row r="2548">
      <c r="C2548" s="15"/>
      <c r="E2548" s="8"/>
      <c r="G2548" s="8"/>
      <c r="J2548" s="8"/>
    </row>
    <row r="2549">
      <c r="C2549" s="15"/>
      <c r="E2549" s="8"/>
      <c r="G2549" s="8"/>
      <c r="J2549" s="8"/>
    </row>
    <row r="2550">
      <c r="C2550" s="15"/>
      <c r="E2550" s="8"/>
      <c r="G2550" s="8"/>
      <c r="J2550" s="8"/>
    </row>
    <row r="2551">
      <c r="C2551" s="15"/>
      <c r="E2551" s="8"/>
      <c r="G2551" s="8"/>
      <c r="J2551" s="8"/>
    </row>
    <row r="2552">
      <c r="C2552" s="15"/>
      <c r="E2552" s="8"/>
      <c r="G2552" s="8"/>
      <c r="J2552" s="8"/>
    </row>
    <row r="2553">
      <c r="C2553" s="15"/>
      <c r="E2553" s="8"/>
      <c r="G2553" s="8"/>
      <c r="J2553" s="8"/>
    </row>
    <row r="2554">
      <c r="C2554" s="15"/>
      <c r="E2554" s="8"/>
      <c r="G2554" s="8"/>
      <c r="J2554" s="8"/>
    </row>
    <row r="2555">
      <c r="C2555" s="15"/>
      <c r="E2555" s="8"/>
      <c r="G2555" s="8"/>
      <c r="J2555" s="8"/>
    </row>
    <row r="2556">
      <c r="C2556" s="15"/>
      <c r="E2556" s="8"/>
      <c r="G2556" s="8"/>
      <c r="J2556" s="8"/>
    </row>
    <row r="2557">
      <c r="C2557" s="15"/>
      <c r="E2557" s="8"/>
      <c r="G2557" s="8"/>
      <c r="J2557" s="8"/>
    </row>
    <row r="2558">
      <c r="C2558" s="15"/>
      <c r="E2558" s="8"/>
      <c r="G2558" s="8"/>
      <c r="J2558" s="8"/>
    </row>
    <row r="2559">
      <c r="C2559" s="15"/>
      <c r="E2559" s="8"/>
      <c r="G2559" s="8"/>
      <c r="J2559" s="8"/>
    </row>
    <row r="2560">
      <c r="C2560" s="15"/>
      <c r="E2560" s="8"/>
      <c r="G2560" s="8"/>
      <c r="J2560" s="8"/>
    </row>
    <row r="2561">
      <c r="C2561" s="15"/>
      <c r="E2561" s="8"/>
      <c r="G2561" s="8"/>
      <c r="J2561" s="8"/>
    </row>
    <row r="2562">
      <c r="C2562" s="15"/>
      <c r="E2562" s="8"/>
      <c r="G2562" s="8"/>
      <c r="J2562" s="8"/>
    </row>
    <row r="2563">
      <c r="C2563" s="15"/>
      <c r="E2563" s="8"/>
      <c r="G2563" s="8"/>
      <c r="J2563" s="8"/>
    </row>
    <row r="2564">
      <c r="C2564" s="15"/>
      <c r="E2564" s="8"/>
      <c r="G2564" s="8"/>
      <c r="J2564" s="8"/>
    </row>
    <row r="2565">
      <c r="C2565" s="15"/>
      <c r="E2565" s="8"/>
      <c r="G2565" s="8"/>
      <c r="J2565" s="8"/>
    </row>
    <row r="2566">
      <c r="C2566" s="15"/>
      <c r="E2566" s="8"/>
      <c r="G2566" s="8"/>
      <c r="J2566" s="8"/>
    </row>
    <row r="2567">
      <c r="C2567" s="15"/>
      <c r="E2567" s="8"/>
      <c r="G2567" s="8"/>
      <c r="J2567" s="8"/>
    </row>
    <row r="2568">
      <c r="C2568" s="15"/>
      <c r="E2568" s="8"/>
      <c r="G2568" s="8"/>
      <c r="J2568" s="8"/>
    </row>
    <row r="2569">
      <c r="C2569" s="15"/>
      <c r="E2569" s="8"/>
      <c r="G2569" s="8"/>
      <c r="J2569" s="8"/>
    </row>
    <row r="2570">
      <c r="C2570" s="15"/>
      <c r="E2570" s="8"/>
      <c r="G2570" s="8"/>
      <c r="J2570" s="8"/>
    </row>
    <row r="2571">
      <c r="C2571" s="15"/>
      <c r="E2571" s="8"/>
      <c r="G2571" s="8"/>
      <c r="J2571" s="8"/>
    </row>
    <row r="2572">
      <c r="C2572" s="15"/>
      <c r="E2572" s="8"/>
      <c r="G2572" s="8"/>
      <c r="J2572" s="8"/>
    </row>
    <row r="2573">
      <c r="C2573" s="15"/>
      <c r="E2573" s="8"/>
      <c r="G2573" s="8"/>
      <c r="J2573" s="8"/>
    </row>
    <row r="2574">
      <c r="C2574" s="15"/>
      <c r="E2574" s="8"/>
      <c r="G2574" s="8"/>
      <c r="J2574" s="8"/>
    </row>
    <row r="2575">
      <c r="C2575" s="15"/>
      <c r="E2575" s="8"/>
      <c r="G2575" s="8"/>
      <c r="J2575" s="8"/>
    </row>
    <row r="2576">
      <c r="C2576" s="15"/>
      <c r="E2576" s="8"/>
      <c r="G2576" s="8"/>
      <c r="J2576" s="8"/>
    </row>
    <row r="2577">
      <c r="C2577" s="15"/>
      <c r="E2577" s="8"/>
      <c r="G2577" s="8"/>
      <c r="J2577" s="8"/>
    </row>
    <row r="2578">
      <c r="C2578" s="15"/>
      <c r="E2578" s="8"/>
      <c r="G2578" s="8"/>
      <c r="J2578" s="8"/>
    </row>
    <row r="2579">
      <c r="C2579" s="15"/>
      <c r="E2579" s="8"/>
      <c r="G2579" s="8"/>
      <c r="J2579" s="8"/>
    </row>
    <row r="2580">
      <c r="C2580" s="15"/>
      <c r="E2580" s="8"/>
      <c r="G2580" s="8"/>
      <c r="J2580" s="8"/>
    </row>
    <row r="2581">
      <c r="C2581" s="15"/>
      <c r="E2581" s="8"/>
      <c r="G2581" s="8"/>
      <c r="J2581" s="8"/>
    </row>
    <row r="2582">
      <c r="C2582" s="15"/>
      <c r="E2582" s="8"/>
      <c r="G2582" s="8"/>
      <c r="J2582" s="8"/>
    </row>
    <row r="2583">
      <c r="C2583" s="15"/>
      <c r="E2583" s="8"/>
      <c r="G2583" s="8"/>
      <c r="J2583" s="8"/>
    </row>
    <row r="2584">
      <c r="C2584" s="15"/>
      <c r="E2584" s="8"/>
      <c r="G2584" s="8"/>
      <c r="J2584" s="8"/>
    </row>
    <row r="2585">
      <c r="C2585" s="15"/>
      <c r="E2585" s="8"/>
      <c r="G2585" s="8"/>
      <c r="J2585" s="8"/>
    </row>
    <row r="2586">
      <c r="C2586" s="15"/>
      <c r="E2586" s="8"/>
      <c r="G2586" s="8"/>
      <c r="J2586" s="8"/>
    </row>
    <row r="2587">
      <c r="C2587" s="15"/>
      <c r="E2587" s="8"/>
      <c r="G2587" s="8"/>
      <c r="J2587" s="8"/>
    </row>
    <row r="2588">
      <c r="C2588" s="15"/>
      <c r="E2588" s="8"/>
      <c r="G2588" s="8"/>
      <c r="J2588" s="8"/>
    </row>
    <row r="2589">
      <c r="C2589" s="15"/>
      <c r="E2589" s="8"/>
      <c r="G2589" s="8"/>
      <c r="J2589" s="8"/>
    </row>
    <row r="2590">
      <c r="C2590" s="15"/>
      <c r="E2590" s="8"/>
      <c r="G2590" s="8"/>
      <c r="J2590" s="8"/>
    </row>
    <row r="2591">
      <c r="C2591" s="15"/>
      <c r="E2591" s="8"/>
      <c r="G2591" s="8"/>
      <c r="J2591" s="8"/>
    </row>
    <row r="2592">
      <c r="C2592" s="15"/>
      <c r="E2592" s="8"/>
      <c r="G2592" s="8"/>
      <c r="J2592" s="8"/>
    </row>
    <row r="2593">
      <c r="C2593" s="15"/>
      <c r="E2593" s="8"/>
      <c r="G2593" s="8"/>
      <c r="J2593" s="8"/>
    </row>
    <row r="2594">
      <c r="C2594" s="15"/>
      <c r="E2594" s="8"/>
      <c r="G2594" s="8"/>
      <c r="J2594" s="8"/>
    </row>
    <row r="2595">
      <c r="C2595" s="15"/>
      <c r="E2595" s="8"/>
      <c r="G2595" s="8"/>
      <c r="J2595" s="8"/>
    </row>
    <row r="2596">
      <c r="C2596" s="15"/>
      <c r="E2596" s="8"/>
      <c r="G2596" s="8"/>
      <c r="J2596" s="8"/>
    </row>
    <row r="2597">
      <c r="C2597" s="15"/>
      <c r="E2597" s="8"/>
      <c r="G2597" s="8"/>
      <c r="J2597" s="8"/>
    </row>
    <row r="2598">
      <c r="C2598" s="15"/>
      <c r="E2598" s="8"/>
      <c r="G2598" s="8"/>
      <c r="J2598" s="8"/>
    </row>
    <row r="2599">
      <c r="C2599" s="15"/>
      <c r="E2599" s="8"/>
      <c r="G2599" s="8"/>
      <c r="J2599" s="8"/>
    </row>
    <row r="2600">
      <c r="C2600" s="15"/>
      <c r="E2600" s="8"/>
      <c r="G2600" s="8"/>
      <c r="J2600" s="8"/>
    </row>
    <row r="2601">
      <c r="C2601" s="15"/>
      <c r="E2601" s="8"/>
      <c r="G2601" s="8"/>
      <c r="J2601" s="8"/>
    </row>
    <row r="2602">
      <c r="C2602" s="15"/>
      <c r="E2602" s="8"/>
      <c r="G2602" s="8"/>
      <c r="J2602" s="8"/>
    </row>
    <row r="2603">
      <c r="C2603" s="15"/>
      <c r="E2603" s="8"/>
      <c r="G2603" s="8"/>
      <c r="J2603" s="8"/>
    </row>
    <row r="2604">
      <c r="C2604" s="15"/>
      <c r="E2604" s="8"/>
      <c r="G2604" s="8"/>
      <c r="J2604" s="8"/>
    </row>
    <row r="2605">
      <c r="C2605" s="15"/>
      <c r="E2605" s="8"/>
      <c r="G2605" s="8"/>
      <c r="J2605" s="8"/>
    </row>
    <row r="2606">
      <c r="C2606" s="15"/>
      <c r="E2606" s="8"/>
      <c r="G2606" s="8"/>
      <c r="J2606" s="8"/>
    </row>
    <row r="2607">
      <c r="C2607" s="15"/>
      <c r="E2607" s="8"/>
      <c r="G2607" s="8"/>
      <c r="J2607" s="8"/>
    </row>
    <row r="2608">
      <c r="C2608" s="15"/>
      <c r="E2608" s="8"/>
      <c r="G2608" s="8"/>
      <c r="J2608" s="8"/>
    </row>
    <row r="2609">
      <c r="C2609" s="15"/>
      <c r="E2609" s="8"/>
      <c r="G2609" s="8"/>
      <c r="J2609" s="8"/>
    </row>
    <row r="2610">
      <c r="C2610" s="15"/>
      <c r="E2610" s="8"/>
      <c r="G2610" s="8"/>
      <c r="J2610" s="8"/>
    </row>
    <row r="2611">
      <c r="C2611" s="15"/>
      <c r="E2611" s="8"/>
      <c r="G2611" s="8"/>
      <c r="J2611" s="8"/>
    </row>
    <row r="2612">
      <c r="C2612" s="15"/>
      <c r="E2612" s="8"/>
      <c r="G2612" s="8"/>
      <c r="J2612" s="8"/>
    </row>
    <row r="2613">
      <c r="C2613" s="15"/>
      <c r="E2613" s="8"/>
      <c r="G2613" s="8"/>
      <c r="J2613" s="8"/>
    </row>
    <row r="2614">
      <c r="C2614" s="15"/>
      <c r="E2614" s="8"/>
      <c r="G2614" s="8"/>
      <c r="J2614" s="8"/>
    </row>
    <row r="2615">
      <c r="C2615" s="15"/>
      <c r="E2615" s="8"/>
      <c r="G2615" s="8"/>
      <c r="J2615" s="8"/>
    </row>
    <row r="2616">
      <c r="C2616" s="15"/>
      <c r="E2616" s="8"/>
      <c r="G2616" s="8"/>
      <c r="J2616" s="8"/>
    </row>
    <row r="2617">
      <c r="C2617" s="15"/>
      <c r="E2617" s="8"/>
      <c r="G2617" s="8"/>
      <c r="J2617" s="8"/>
    </row>
    <row r="2618">
      <c r="C2618" s="15"/>
      <c r="E2618" s="8"/>
      <c r="G2618" s="8"/>
      <c r="J2618" s="8"/>
    </row>
    <row r="2619">
      <c r="C2619" s="15"/>
      <c r="E2619" s="8"/>
      <c r="G2619" s="8"/>
      <c r="J2619" s="8"/>
    </row>
    <row r="2620">
      <c r="C2620" s="15"/>
      <c r="E2620" s="8"/>
      <c r="G2620" s="8"/>
      <c r="J2620" s="8"/>
    </row>
    <row r="2621">
      <c r="C2621" s="15"/>
      <c r="E2621" s="8"/>
      <c r="G2621" s="8"/>
      <c r="J2621" s="8"/>
    </row>
    <row r="2622">
      <c r="C2622" s="15"/>
      <c r="E2622" s="8"/>
      <c r="G2622" s="8"/>
      <c r="J2622" s="8"/>
    </row>
    <row r="2623">
      <c r="C2623" s="15"/>
      <c r="E2623" s="8"/>
      <c r="G2623" s="8"/>
      <c r="J2623" s="8"/>
    </row>
    <row r="2624">
      <c r="C2624" s="15"/>
      <c r="E2624" s="8"/>
      <c r="G2624" s="8"/>
      <c r="J2624" s="8"/>
    </row>
    <row r="2625">
      <c r="C2625" s="15"/>
      <c r="E2625" s="8"/>
      <c r="G2625" s="8"/>
      <c r="J2625" s="8"/>
    </row>
    <row r="2626">
      <c r="C2626" s="15"/>
      <c r="E2626" s="8"/>
      <c r="G2626" s="8"/>
      <c r="J2626" s="8"/>
    </row>
    <row r="2627">
      <c r="C2627" s="15"/>
      <c r="E2627" s="8"/>
      <c r="G2627" s="8"/>
      <c r="J2627" s="8"/>
    </row>
    <row r="2628">
      <c r="C2628" s="15"/>
      <c r="E2628" s="8"/>
      <c r="G2628" s="8"/>
      <c r="J2628" s="8"/>
    </row>
    <row r="2629">
      <c r="C2629" s="15"/>
      <c r="E2629" s="8"/>
      <c r="G2629" s="8"/>
      <c r="J2629" s="8"/>
    </row>
    <row r="2630">
      <c r="C2630" s="15"/>
      <c r="E2630" s="8"/>
      <c r="G2630" s="8"/>
      <c r="J2630" s="8"/>
    </row>
    <row r="2631">
      <c r="C2631" s="15"/>
      <c r="E2631" s="8"/>
      <c r="G2631" s="8"/>
      <c r="J2631" s="8"/>
    </row>
    <row r="2632">
      <c r="C2632" s="15"/>
      <c r="E2632" s="8"/>
      <c r="G2632" s="8"/>
      <c r="J2632" s="8"/>
    </row>
    <row r="2633">
      <c r="C2633" s="15"/>
      <c r="E2633" s="8"/>
      <c r="G2633" s="8"/>
      <c r="J2633" s="8"/>
    </row>
    <row r="2634">
      <c r="C2634" s="15"/>
      <c r="E2634" s="8"/>
      <c r="G2634" s="8"/>
      <c r="J2634" s="8"/>
    </row>
    <row r="2635">
      <c r="C2635" s="15"/>
      <c r="E2635" s="8"/>
      <c r="G2635" s="8"/>
      <c r="J2635" s="8"/>
    </row>
    <row r="2636">
      <c r="C2636" s="15"/>
      <c r="E2636" s="8"/>
      <c r="G2636" s="8"/>
      <c r="J2636" s="8"/>
    </row>
    <row r="2637">
      <c r="C2637" s="15"/>
      <c r="E2637" s="8"/>
      <c r="G2637" s="8"/>
      <c r="J2637" s="8"/>
    </row>
    <row r="2638">
      <c r="C2638" s="15"/>
      <c r="E2638" s="8"/>
      <c r="G2638" s="8"/>
      <c r="J2638" s="8"/>
    </row>
    <row r="2639">
      <c r="C2639" s="15"/>
      <c r="E2639" s="8"/>
      <c r="G2639" s="8"/>
      <c r="J2639" s="8"/>
    </row>
    <row r="2640">
      <c r="C2640" s="15"/>
      <c r="E2640" s="8"/>
      <c r="G2640" s="8"/>
      <c r="J2640" s="8"/>
    </row>
    <row r="2641">
      <c r="C2641" s="15"/>
      <c r="E2641" s="8"/>
      <c r="G2641" s="8"/>
      <c r="J2641" s="8"/>
    </row>
    <row r="2642">
      <c r="C2642" s="15"/>
      <c r="E2642" s="8"/>
      <c r="G2642" s="8"/>
      <c r="J2642" s="8"/>
    </row>
    <row r="2643">
      <c r="C2643" s="15"/>
      <c r="E2643" s="8"/>
      <c r="G2643" s="8"/>
      <c r="J2643" s="8"/>
    </row>
    <row r="2644">
      <c r="C2644" s="15"/>
      <c r="E2644" s="8"/>
      <c r="G2644" s="8"/>
      <c r="J2644" s="8"/>
    </row>
    <row r="2645">
      <c r="C2645" s="15"/>
      <c r="E2645" s="8"/>
      <c r="G2645" s="8"/>
      <c r="J2645" s="8"/>
    </row>
    <row r="2646">
      <c r="C2646" s="15"/>
      <c r="E2646" s="8"/>
      <c r="G2646" s="8"/>
      <c r="J2646" s="8"/>
    </row>
    <row r="2647">
      <c r="C2647" s="15"/>
      <c r="E2647" s="8"/>
      <c r="G2647" s="8"/>
      <c r="J2647" s="8"/>
    </row>
    <row r="2648">
      <c r="C2648" s="15"/>
      <c r="E2648" s="8"/>
      <c r="G2648" s="8"/>
      <c r="J2648" s="8"/>
    </row>
    <row r="2649">
      <c r="C2649" s="15"/>
      <c r="E2649" s="8"/>
      <c r="G2649" s="8"/>
      <c r="J2649" s="8"/>
    </row>
    <row r="2650">
      <c r="C2650" s="15"/>
      <c r="E2650" s="8"/>
      <c r="G2650" s="8"/>
      <c r="J2650" s="8"/>
    </row>
    <row r="2651">
      <c r="C2651" s="15"/>
      <c r="E2651" s="8"/>
      <c r="G2651" s="8"/>
      <c r="J2651" s="8"/>
    </row>
    <row r="2652">
      <c r="C2652" s="15"/>
      <c r="E2652" s="8"/>
      <c r="G2652" s="8"/>
      <c r="J2652" s="8"/>
    </row>
    <row r="2653">
      <c r="C2653" s="15"/>
      <c r="E2653" s="8"/>
      <c r="G2653" s="8"/>
      <c r="J2653" s="8"/>
    </row>
    <row r="2654">
      <c r="C2654" s="15"/>
      <c r="E2654" s="8"/>
      <c r="G2654" s="8"/>
      <c r="J2654" s="8"/>
    </row>
    <row r="2655">
      <c r="C2655" s="15"/>
      <c r="E2655" s="8"/>
      <c r="G2655" s="8"/>
      <c r="J2655" s="8"/>
    </row>
    <row r="2656">
      <c r="C2656" s="15"/>
      <c r="E2656" s="8"/>
      <c r="G2656" s="8"/>
      <c r="J2656" s="8"/>
    </row>
    <row r="2657">
      <c r="C2657" s="15"/>
      <c r="E2657" s="8"/>
      <c r="G2657" s="8"/>
      <c r="J2657" s="8"/>
    </row>
    <row r="2658">
      <c r="C2658" s="15"/>
      <c r="E2658" s="8"/>
      <c r="G2658" s="8"/>
      <c r="J2658" s="8"/>
    </row>
    <row r="2659">
      <c r="C2659" s="15"/>
      <c r="E2659" s="8"/>
      <c r="G2659" s="8"/>
      <c r="J2659" s="8"/>
    </row>
    <row r="2660">
      <c r="C2660" s="15"/>
      <c r="E2660" s="8"/>
      <c r="G2660" s="8"/>
      <c r="J2660" s="8"/>
    </row>
    <row r="2661">
      <c r="C2661" s="15"/>
      <c r="E2661" s="8"/>
      <c r="G2661" s="8"/>
      <c r="J2661" s="8"/>
    </row>
    <row r="2662">
      <c r="C2662" s="15"/>
      <c r="E2662" s="8"/>
      <c r="G2662" s="8"/>
      <c r="J2662" s="8"/>
    </row>
    <row r="2663">
      <c r="C2663" s="15"/>
      <c r="E2663" s="8"/>
      <c r="G2663" s="8"/>
      <c r="J2663" s="8"/>
    </row>
    <row r="2664">
      <c r="C2664" s="15"/>
      <c r="E2664" s="8"/>
      <c r="G2664" s="8"/>
      <c r="J2664" s="8"/>
    </row>
    <row r="2665">
      <c r="C2665" s="15"/>
      <c r="E2665" s="8"/>
      <c r="G2665" s="8"/>
      <c r="J2665" s="8"/>
    </row>
    <row r="2666">
      <c r="C2666" s="15"/>
      <c r="E2666" s="8"/>
      <c r="G2666" s="8"/>
      <c r="J2666" s="8"/>
    </row>
    <row r="2667">
      <c r="C2667" s="15"/>
      <c r="E2667" s="8"/>
      <c r="G2667" s="8"/>
      <c r="J2667" s="8"/>
    </row>
    <row r="2668">
      <c r="C2668" s="15"/>
      <c r="E2668" s="8"/>
      <c r="G2668" s="8"/>
      <c r="J2668" s="8"/>
    </row>
    <row r="2669">
      <c r="C2669" s="15"/>
      <c r="E2669" s="8"/>
      <c r="G2669" s="8"/>
      <c r="J2669" s="8"/>
    </row>
    <row r="2670">
      <c r="C2670" s="15"/>
      <c r="E2670" s="8"/>
      <c r="G2670" s="8"/>
      <c r="J2670" s="8"/>
    </row>
    <row r="2671">
      <c r="C2671" s="15"/>
      <c r="E2671" s="8"/>
      <c r="G2671" s="8"/>
      <c r="J2671" s="8"/>
    </row>
    <row r="2672">
      <c r="C2672" s="15"/>
      <c r="E2672" s="8"/>
      <c r="G2672" s="8"/>
      <c r="J2672" s="8"/>
    </row>
    <row r="2673">
      <c r="C2673" s="15"/>
      <c r="E2673" s="8"/>
      <c r="G2673" s="8"/>
      <c r="J2673" s="8"/>
    </row>
    <row r="2674">
      <c r="C2674" s="15"/>
      <c r="E2674" s="8"/>
      <c r="G2674" s="8"/>
      <c r="J2674" s="8"/>
    </row>
    <row r="2675">
      <c r="C2675" s="15"/>
      <c r="E2675" s="8"/>
      <c r="G2675" s="8"/>
      <c r="J2675" s="8"/>
    </row>
    <row r="2676">
      <c r="C2676" s="15"/>
      <c r="E2676" s="8"/>
      <c r="G2676" s="8"/>
      <c r="J2676" s="8"/>
    </row>
    <row r="2677">
      <c r="C2677" s="15"/>
      <c r="E2677" s="8"/>
      <c r="G2677" s="8"/>
      <c r="J2677" s="8"/>
    </row>
    <row r="2678">
      <c r="C2678" s="15"/>
      <c r="E2678" s="8"/>
      <c r="G2678" s="8"/>
      <c r="J2678" s="8"/>
    </row>
    <row r="2679">
      <c r="C2679" s="15"/>
      <c r="E2679" s="8"/>
      <c r="G2679" s="8"/>
      <c r="J2679" s="8"/>
    </row>
    <row r="2680">
      <c r="C2680" s="15"/>
      <c r="E2680" s="8"/>
      <c r="G2680" s="8"/>
      <c r="J2680" s="8"/>
    </row>
    <row r="2681">
      <c r="C2681" s="15"/>
      <c r="E2681" s="8"/>
      <c r="G2681" s="8"/>
      <c r="J2681" s="8"/>
    </row>
    <row r="2682">
      <c r="C2682" s="15"/>
      <c r="E2682" s="8"/>
      <c r="G2682" s="8"/>
      <c r="J2682" s="8"/>
    </row>
    <row r="2683">
      <c r="C2683" s="15"/>
      <c r="E2683" s="8"/>
      <c r="G2683" s="8"/>
      <c r="J2683" s="8"/>
    </row>
    <row r="2684">
      <c r="C2684" s="15"/>
      <c r="E2684" s="8"/>
      <c r="G2684" s="8"/>
      <c r="J2684" s="8"/>
    </row>
    <row r="2685">
      <c r="C2685" s="15"/>
      <c r="E2685" s="8"/>
      <c r="G2685" s="8"/>
      <c r="J2685" s="8"/>
    </row>
    <row r="2686">
      <c r="C2686" s="15"/>
      <c r="E2686" s="8"/>
      <c r="G2686" s="8"/>
      <c r="J2686" s="8"/>
    </row>
    <row r="2687">
      <c r="C2687" s="15"/>
      <c r="E2687" s="8"/>
      <c r="G2687" s="8"/>
      <c r="J2687" s="8"/>
    </row>
    <row r="2688">
      <c r="C2688" s="15"/>
      <c r="E2688" s="8"/>
      <c r="G2688" s="8"/>
      <c r="J2688" s="8"/>
    </row>
    <row r="2689">
      <c r="C2689" s="15"/>
      <c r="E2689" s="8"/>
      <c r="G2689" s="8"/>
      <c r="J2689" s="8"/>
    </row>
    <row r="2690">
      <c r="C2690" s="15"/>
      <c r="E2690" s="8"/>
      <c r="G2690" s="8"/>
      <c r="J2690" s="8"/>
    </row>
    <row r="2691">
      <c r="C2691" s="15"/>
      <c r="E2691" s="8"/>
      <c r="G2691" s="8"/>
      <c r="J2691" s="8"/>
    </row>
    <row r="2692">
      <c r="C2692" s="15"/>
      <c r="E2692" s="8"/>
      <c r="G2692" s="8"/>
      <c r="J2692" s="8"/>
    </row>
    <row r="2693">
      <c r="C2693" s="15"/>
      <c r="E2693" s="8"/>
      <c r="G2693" s="8"/>
      <c r="J2693" s="8"/>
    </row>
    <row r="2694">
      <c r="C2694" s="15"/>
      <c r="E2694" s="8"/>
      <c r="G2694" s="8"/>
      <c r="J2694" s="8"/>
    </row>
    <row r="2695">
      <c r="C2695" s="15"/>
      <c r="E2695" s="8"/>
      <c r="G2695" s="8"/>
      <c r="J2695" s="8"/>
    </row>
    <row r="2696">
      <c r="C2696" s="15"/>
      <c r="E2696" s="8"/>
      <c r="G2696" s="8"/>
      <c r="J2696" s="8"/>
    </row>
    <row r="2697">
      <c r="C2697" s="15"/>
      <c r="E2697" s="8"/>
      <c r="G2697" s="8"/>
      <c r="J2697" s="8"/>
    </row>
    <row r="2698">
      <c r="C2698" s="15"/>
      <c r="E2698" s="8"/>
      <c r="G2698" s="8"/>
      <c r="J2698" s="8"/>
    </row>
    <row r="2699">
      <c r="C2699" s="15"/>
      <c r="E2699" s="8"/>
      <c r="G2699" s="8"/>
      <c r="J2699" s="8"/>
    </row>
    <row r="2700">
      <c r="C2700" s="15"/>
      <c r="E2700" s="8"/>
      <c r="G2700" s="8"/>
      <c r="J2700" s="8"/>
    </row>
    <row r="2701">
      <c r="C2701" s="15"/>
      <c r="E2701" s="8"/>
      <c r="G2701" s="8"/>
      <c r="J2701" s="8"/>
    </row>
    <row r="2702">
      <c r="C2702" s="15"/>
      <c r="E2702" s="8"/>
      <c r="G2702" s="8"/>
      <c r="J2702" s="8"/>
    </row>
    <row r="2703">
      <c r="C2703" s="15"/>
      <c r="E2703" s="8"/>
      <c r="G2703" s="8"/>
      <c r="J2703" s="8"/>
    </row>
    <row r="2704">
      <c r="C2704" s="15"/>
      <c r="E2704" s="8"/>
      <c r="G2704" s="8"/>
      <c r="J2704" s="8"/>
    </row>
    <row r="2705">
      <c r="C2705" s="15"/>
      <c r="E2705" s="8"/>
      <c r="G2705" s="8"/>
      <c r="J2705" s="8"/>
    </row>
    <row r="2706">
      <c r="C2706" s="15"/>
      <c r="E2706" s="8"/>
      <c r="G2706" s="8"/>
      <c r="J2706" s="8"/>
    </row>
    <row r="2707">
      <c r="C2707" s="15"/>
      <c r="E2707" s="8"/>
      <c r="G2707" s="8"/>
      <c r="J2707" s="8"/>
    </row>
    <row r="2708">
      <c r="C2708" s="15"/>
      <c r="E2708" s="8"/>
      <c r="G2708" s="8"/>
      <c r="J2708" s="8"/>
    </row>
    <row r="2709">
      <c r="C2709" s="15"/>
      <c r="E2709" s="8"/>
      <c r="G2709" s="8"/>
      <c r="J2709" s="8"/>
    </row>
    <row r="2710">
      <c r="C2710" s="15"/>
      <c r="E2710" s="8"/>
      <c r="G2710" s="8"/>
      <c r="J2710" s="8"/>
    </row>
    <row r="2711">
      <c r="C2711" s="15"/>
      <c r="E2711" s="8"/>
      <c r="G2711" s="8"/>
      <c r="J2711" s="8"/>
    </row>
    <row r="2712">
      <c r="C2712" s="15"/>
      <c r="E2712" s="8"/>
      <c r="G2712" s="8"/>
      <c r="J2712" s="8"/>
    </row>
    <row r="2713">
      <c r="C2713" s="15"/>
      <c r="E2713" s="8"/>
      <c r="G2713" s="8"/>
      <c r="J2713" s="8"/>
    </row>
    <row r="2714">
      <c r="C2714" s="15"/>
      <c r="E2714" s="8"/>
      <c r="G2714" s="8"/>
      <c r="J2714" s="8"/>
    </row>
    <row r="2715">
      <c r="C2715" s="15"/>
      <c r="E2715" s="8"/>
      <c r="G2715" s="8"/>
      <c r="J2715" s="8"/>
    </row>
    <row r="2716">
      <c r="C2716" s="15"/>
      <c r="E2716" s="8"/>
      <c r="G2716" s="8"/>
      <c r="J2716" s="8"/>
    </row>
    <row r="2717">
      <c r="C2717" s="15"/>
      <c r="E2717" s="8"/>
      <c r="G2717" s="8"/>
      <c r="J2717" s="8"/>
    </row>
    <row r="2718">
      <c r="C2718" s="15"/>
      <c r="E2718" s="8"/>
      <c r="G2718" s="8"/>
      <c r="J2718" s="8"/>
    </row>
    <row r="2719">
      <c r="C2719" s="15"/>
      <c r="E2719" s="8"/>
      <c r="G2719" s="8"/>
      <c r="J2719" s="8"/>
    </row>
    <row r="2720">
      <c r="C2720" s="15"/>
      <c r="E2720" s="8"/>
      <c r="G2720" s="8"/>
      <c r="J2720" s="8"/>
    </row>
    <row r="2721">
      <c r="C2721" s="15"/>
      <c r="E2721" s="8"/>
      <c r="G2721" s="8"/>
      <c r="J2721" s="8"/>
    </row>
    <row r="2722">
      <c r="C2722" s="15"/>
      <c r="E2722" s="8"/>
      <c r="G2722" s="8"/>
      <c r="J2722" s="8"/>
    </row>
    <row r="2723">
      <c r="C2723" s="15"/>
      <c r="E2723" s="8"/>
      <c r="G2723" s="8"/>
      <c r="J2723" s="8"/>
    </row>
    <row r="2724">
      <c r="C2724" s="15"/>
      <c r="E2724" s="8"/>
      <c r="G2724" s="8"/>
      <c r="J2724" s="8"/>
    </row>
    <row r="2725">
      <c r="C2725" s="15"/>
      <c r="E2725" s="8"/>
      <c r="G2725" s="8"/>
      <c r="J2725" s="8"/>
    </row>
    <row r="2726">
      <c r="C2726" s="15"/>
      <c r="E2726" s="8"/>
      <c r="G2726" s="8"/>
      <c r="J2726" s="8"/>
    </row>
    <row r="2727">
      <c r="C2727" s="15"/>
      <c r="E2727" s="8"/>
      <c r="G2727" s="8"/>
      <c r="J2727" s="8"/>
    </row>
    <row r="2728">
      <c r="C2728" s="15"/>
      <c r="E2728" s="8"/>
      <c r="G2728" s="8"/>
      <c r="J2728" s="8"/>
    </row>
    <row r="2729">
      <c r="C2729" s="15"/>
      <c r="E2729" s="8"/>
      <c r="G2729" s="8"/>
      <c r="J2729" s="8"/>
    </row>
    <row r="2730">
      <c r="C2730" s="15"/>
      <c r="E2730" s="8"/>
      <c r="G2730" s="8"/>
      <c r="J2730" s="8"/>
    </row>
    <row r="2731">
      <c r="C2731" s="15"/>
      <c r="E2731" s="8"/>
      <c r="G2731" s="8"/>
      <c r="J2731" s="8"/>
    </row>
    <row r="2732">
      <c r="C2732" s="15"/>
      <c r="E2732" s="8"/>
      <c r="G2732" s="8"/>
      <c r="J2732" s="8"/>
    </row>
    <row r="2733">
      <c r="C2733" s="15"/>
      <c r="E2733" s="8"/>
      <c r="G2733" s="8"/>
      <c r="J2733" s="8"/>
    </row>
    <row r="2734">
      <c r="C2734" s="15"/>
      <c r="E2734" s="8"/>
      <c r="G2734" s="8"/>
      <c r="J2734" s="8"/>
    </row>
    <row r="2735">
      <c r="C2735" s="15"/>
      <c r="E2735" s="8"/>
      <c r="G2735" s="8"/>
      <c r="J2735" s="8"/>
    </row>
    <row r="2736">
      <c r="C2736" s="15"/>
      <c r="E2736" s="8"/>
      <c r="G2736" s="8"/>
      <c r="J2736" s="8"/>
    </row>
    <row r="2737">
      <c r="C2737" s="15"/>
      <c r="E2737" s="8"/>
      <c r="G2737" s="8"/>
      <c r="J2737" s="8"/>
    </row>
    <row r="2738">
      <c r="C2738" s="15"/>
      <c r="E2738" s="8"/>
      <c r="G2738" s="8"/>
      <c r="J2738" s="8"/>
    </row>
    <row r="2739">
      <c r="C2739" s="15"/>
      <c r="E2739" s="8"/>
      <c r="G2739" s="8"/>
      <c r="J2739" s="8"/>
    </row>
    <row r="2740">
      <c r="C2740" s="15"/>
      <c r="E2740" s="8"/>
      <c r="G2740" s="8"/>
      <c r="J2740" s="8"/>
    </row>
    <row r="2741">
      <c r="C2741" s="15"/>
      <c r="E2741" s="8"/>
      <c r="G2741" s="8"/>
      <c r="J2741" s="8"/>
    </row>
    <row r="2742">
      <c r="C2742" s="15"/>
      <c r="E2742" s="8"/>
      <c r="G2742" s="8"/>
      <c r="J2742" s="8"/>
    </row>
    <row r="2743">
      <c r="C2743" s="15"/>
      <c r="E2743" s="8"/>
      <c r="G2743" s="8"/>
      <c r="J2743" s="8"/>
    </row>
    <row r="2744">
      <c r="C2744" s="15"/>
      <c r="E2744" s="8"/>
      <c r="G2744" s="8"/>
      <c r="J2744" s="8"/>
    </row>
    <row r="2745">
      <c r="C2745" s="15"/>
      <c r="E2745" s="8"/>
      <c r="G2745" s="8"/>
      <c r="J2745" s="8"/>
    </row>
    <row r="2746">
      <c r="C2746" s="15"/>
      <c r="E2746" s="8"/>
      <c r="G2746" s="8"/>
      <c r="J2746" s="8"/>
    </row>
    <row r="2747">
      <c r="C2747" s="15"/>
      <c r="E2747" s="8"/>
      <c r="G2747" s="8"/>
      <c r="J2747" s="8"/>
    </row>
    <row r="2748">
      <c r="C2748" s="15"/>
      <c r="E2748" s="8"/>
      <c r="G2748" s="8"/>
      <c r="J2748" s="8"/>
    </row>
    <row r="2749">
      <c r="C2749" s="15"/>
      <c r="E2749" s="8"/>
      <c r="G2749" s="8"/>
      <c r="J2749" s="8"/>
    </row>
    <row r="2750">
      <c r="C2750" s="15"/>
      <c r="E2750" s="8"/>
      <c r="G2750" s="8"/>
      <c r="J2750" s="8"/>
    </row>
    <row r="2751">
      <c r="C2751" s="15"/>
      <c r="E2751" s="8"/>
      <c r="G2751" s="8"/>
      <c r="J2751" s="8"/>
    </row>
    <row r="2752">
      <c r="C2752" s="15"/>
      <c r="E2752" s="8"/>
      <c r="G2752" s="8"/>
      <c r="J2752" s="8"/>
    </row>
    <row r="2753">
      <c r="C2753" s="15"/>
      <c r="E2753" s="8"/>
      <c r="G2753" s="8"/>
      <c r="J2753" s="8"/>
    </row>
    <row r="2754">
      <c r="C2754" s="15"/>
      <c r="E2754" s="8"/>
      <c r="G2754" s="8"/>
      <c r="J2754" s="8"/>
    </row>
    <row r="2755">
      <c r="C2755" s="15"/>
      <c r="E2755" s="8"/>
      <c r="G2755" s="8"/>
      <c r="J2755" s="8"/>
    </row>
    <row r="2756">
      <c r="C2756" s="15"/>
      <c r="E2756" s="8"/>
      <c r="G2756" s="8"/>
      <c r="J2756" s="8"/>
    </row>
    <row r="2757">
      <c r="C2757" s="15"/>
      <c r="E2757" s="8"/>
      <c r="G2757" s="8"/>
      <c r="J2757" s="8"/>
    </row>
    <row r="2758">
      <c r="C2758" s="15"/>
      <c r="E2758" s="8"/>
      <c r="G2758" s="8"/>
      <c r="J2758" s="8"/>
    </row>
    <row r="2759">
      <c r="C2759" s="15"/>
      <c r="E2759" s="8"/>
      <c r="G2759" s="8"/>
      <c r="J2759" s="8"/>
    </row>
    <row r="2760">
      <c r="C2760" s="15"/>
      <c r="E2760" s="8"/>
      <c r="G2760" s="8"/>
      <c r="J2760" s="8"/>
    </row>
    <row r="2761">
      <c r="C2761" s="15"/>
      <c r="E2761" s="8"/>
      <c r="G2761" s="8"/>
      <c r="J2761" s="8"/>
    </row>
    <row r="2762">
      <c r="C2762" s="15"/>
      <c r="E2762" s="8"/>
      <c r="G2762" s="8"/>
      <c r="J2762" s="8"/>
    </row>
    <row r="2763">
      <c r="C2763" s="15"/>
      <c r="E2763" s="8"/>
      <c r="G2763" s="8"/>
      <c r="J2763" s="8"/>
    </row>
    <row r="2764">
      <c r="C2764" s="15"/>
      <c r="E2764" s="8"/>
      <c r="G2764" s="8"/>
      <c r="J2764" s="8"/>
    </row>
    <row r="2765">
      <c r="C2765" s="15"/>
      <c r="E2765" s="8"/>
      <c r="G2765" s="8"/>
      <c r="J2765" s="8"/>
    </row>
    <row r="2766">
      <c r="C2766" s="15"/>
      <c r="E2766" s="8"/>
      <c r="G2766" s="8"/>
      <c r="J2766" s="8"/>
    </row>
    <row r="2767">
      <c r="C2767" s="15"/>
      <c r="E2767" s="8"/>
      <c r="G2767" s="8"/>
      <c r="J2767" s="8"/>
    </row>
    <row r="2768">
      <c r="C2768" s="15"/>
      <c r="E2768" s="8"/>
      <c r="G2768" s="8"/>
      <c r="J2768" s="8"/>
    </row>
    <row r="2769">
      <c r="C2769" s="15"/>
      <c r="E2769" s="8"/>
      <c r="G2769" s="8"/>
      <c r="J2769" s="8"/>
    </row>
    <row r="2770">
      <c r="C2770" s="15"/>
      <c r="E2770" s="8"/>
      <c r="G2770" s="8"/>
      <c r="J2770" s="8"/>
    </row>
    <row r="2771">
      <c r="C2771" s="15"/>
      <c r="E2771" s="8"/>
      <c r="G2771" s="8"/>
      <c r="J2771" s="8"/>
    </row>
    <row r="2772">
      <c r="C2772" s="15"/>
      <c r="E2772" s="8"/>
      <c r="G2772" s="8"/>
      <c r="J2772" s="8"/>
    </row>
    <row r="2773">
      <c r="C2773" s="15"/>
      <c r="E2773" s="8"/>
      <c r="G2773" s="8"/>
      <c r="J2773" s="8"/>
    </row>
    <row r="2774">
      <c r="C2774" s="15"/>
      <c r="E2774" s="8"/>
      <c r="G2774" s="8"/>
      <c r="J2774" s="8"/>
    </row>
    <row r="2775">
      <c r="C2775" s="15"/>
      <c r="E2775" s="8"/>
      <c r="G2775" s="8"/>
      <c r="J2775" s="8"/>
    </row>
    <row r="2776">
      <c r="C2776" s="15"/>
      <c r="E2776" s="8"/>
      <c r="G2776" s="8"/>
      <c r="J2776" s="8"/>
    </row>
    <row r="2777">
      <c r="C2777" s="15"/>
      <c r="E2777" s="8"/>
      <c r="G2777" s="8"/>
      <c r="J2777" s="8"/>
    </row>
    <row r="2778">
      <c r="C2778" s="15"/>
      <c r="E2778" s="8"/>
      <c r="G2778" s="8"/>
      <c r="J2778" s="8"/>
    </row>
    <row r="2779">
      <c r="C2779" s="15"/>
      <c r="E2779" s="8"/>
      <c r="G2779" s="8"/>
      <c r="J2779" s="8"/>
    </row>
    <row r="2780">
      <c r="C2780" s="15"/>
      <c r="E2780" s="8"/>
      <c r="G2780" s="8"/>
      <c r="J2780" s="8"/>
    </row>
    <row r="2781">
      <c r="C2781" s="15"/>
      <c r="E2781" s="8"/>
      <c r="G2781" s="8"/>
      <c r="J2781" s="8"/>
    </row>
    <row r="2782">
      <c r="C2782" s="15"/>
      <c r="E2782" s="8"/>
      <c r="G2782" s="8"/>
      <c r="J2782" s="8"/>
    </row>
    <row r="2783">
      <c r="C2783" s="15"/>
      <c r="E2783" s="8"/>
      <c r="G2783" s="8"/>
      <c r="J2783" s="8"/>
    </row>
    <row r="2784">
      <c r="C2784" s="15"/>
      <c r="E2784" s="8"/>
      <c r="G2784" s="8"/>
      <c r="J2784" s="8"/>
    </row>
    <row r="2785">
      <c r="C2785" s="15"/>
      <c r="E2785" s="8"/>
      <c r="G2785" s="8"/>
      <c r="J2785" s="8"/>
    </row>
    <row r="2786">
      <c r="C2786" s="15"/>
      <c r="E2786" s="8"/>
      <c r="G2786" s="8"/>
      <c r="J2786" s="8"/>
    </row>
    <row r="2787">
      <c r="C2787" s="15"/>
      <c r="E2787" s="8"/>
      <c r="G2787" s="8"/>
      <c r="J2787" s="8"/>
    </row>
    <row r="2788">
      <c r="C2788" s="15"/>
      <c r="E2788" s="8"/>
      <c r="G2788" s="8"/>
      <c r="J2788" s="8"/>
    </row>
    <row r="2789">
      <c r="C2789" s="15"/>
      <c r="E2789" s="8"/>
      <c r="G2789" s="8"/>
      <c r="J2789" s="8"/>
    </row>
    <row r="2790">
      <c r="C2790" s="15"/>
      <c r="E2790" s="8"/>
      <c r="G2790" s="8"/>
      <c r="J2790" s="8"/>
    </row>
    <row r="2791">
      <c r="C2791" s="15"/>
      <c r="E2791" s="8"/>
      <c r="G2791" s="8"/>
      <c r="J2791" s="8"/>
    </row>
    <row r="2792">
      <c r="C2792" s="15"/>
      <c r="E2792" s="8"/>
      <c r="G2792" s="8"/>
      <c r="J2792" s="8"/>
    </row>
    <row r="2793">
      <c r="C2793" s="15"/>
      <c r="E2793" s="8"/>
      <c r="G2793" s="8"/>
      <c r="J2793" s="8"/>
    </row>
    <row r="2794">
      <c r="C2794" s="15"/>
      <c r="E2794" s="8"/>
      <c r="G2794" s="8"/>
      <c r="J2794" s="8"/>
    </row>
    <row r="2795">
      <c r="C2795" s="15"/>
      <c r="E2795" s="8"/>
      <c r="G2795" s="8"/>
      <c r="J2795" s="8"/>
    </row>
    <row r="2796">
      <c r="C2796" s="15"/>
      <c r="E2796" s="8"/>
      <c r="G2796" s="8"/>
      <c r="J2796" s="8"/>
    </row>
    <row r="2797">
      <c r="C2797" s="15"/>
      <c r="E2797" s="8"/>
      <c r="G2797" s="8"/>
      <c r="J2797" s="8"/>
    </row>
    <row r="2798">
      <c r="C2798" s="15"/>
      <c r="E2798" s="8"/>
      <c r="G2798" s="8"/>
      <c r="J2798" s="8"/>
    </row>
    <row r="2799">
      <c r="C2799" s="15"/>
      <c r="E2799" s="8"/>
      <c r="G2799" s="8"/>
      <c r="J2799" s="8"/>
    </row>
    <row r="2800">
      <c r="C2800" s="15"/>
      <c r="E2800" s="8"/>
      <c r="G2800" s="8"/>
      <c r="J2800" s="8"/>
    </row>
    <row r="2801">
      <c r="C2801" s="15"/>
      <c r="E2801" s="8"/>
      <c r="G2801" s="8"/>
      <c r="J2801" s="8"/>
    </row>
    <row r="2802">
      <c r="C2802" s="15"/>
      <c r="E2802" s="8"/>
      <c r="G2802" s="8"/>
      <c r="J2802" s="8"/>
    </row>
    <row r="2803">
      <c r="C2803" s="15"/>
      <c r="E2803" s="8"/>
      <c r="G2803" s="8"/>
      <c r="J2803" s="8"/>
    </row>
    <row r="2804">
      <c r="C2804" s="15"/>
      <c r="E2804" s="8"/>
      <c r="G2804" s="8"/>
      <c r="J2804" s="8"/>
    </row>
    <row r="2805">
      <c r="C2805" s="15"/>
      <c r="E2805" s="8"/>
      <c r="G2805" s="8"/>
      <c r="J2805" s="8"/>
    </row>
    <row r="2806">
      <c r="C2806" s="15"/>
      <c r="E2806" s="8"/>
      <c r="G2806" s="8"/>
      <c r="J2806" s="8"/>
    </row>
    <row r="2807">
      <c r="C2807" s="15"/>
      <c r="E2807" s="8"/>
      <c r="G2807" s="8"/>
      <c r="J2807" s="8"/>
    </row>
    <row r="2808">
      <c r="C2808" s="15"/>
      <c r="E2808" s="8"/>
      <c r="G2808" s="8"/>
      <c r="J2808" s="8"/>
    </row>
    <row r="2809">
      <c r="C2809" s="15"/>
      <c r="E2809" s="8"/>
      <c r="G2809" s="8"/>
      <c r="J2809" s="8"/>
    </row>
    <row r="2810">
      <c r="C2810" s="15"/>
      <c r="E2810" s="8"/>
      <c r="G2810" s="8"/>
      <c r="J2810" s="8"/>
    </row>
    <row r="2811">
      <c r="C2811" s="15"/>
      <c r="E2811" s="8"/>
      <c r="G2811" s="8"/>
      <c r="J2811" s="8"/>
    </row>
    <row r="2812">
      <c r="C2812" s="15"/>
      <c r="E2812" s="8"/>
      <c r="G2812" s="8"/>
      <c r="J2812" s="8"/>
    </row>
    <row r="2813">
      <c r="C2813" s="15"/>
      <c r="E2813" s="8"/>
      <c r="G2813" s="8"/>
      <c r="J2813" s="8"/>
    </row>
    <row r="2814">
      <c r="C2814" s="15"/>
      <c r="E2814" s="8"/>
      <c r="G2814" s="8"/>
      <c r="J2814" s="8"/>
    </row>
    <row r="2815">
      <c r="C2815" s="15"/>
      <c r="E2815" s="8"/>
      <c r="G2815" s="8"/>
      <c r="J2815" s="8"/>
    </row>
    <row r="2816">
      <c r="C2816" s="15"/>
      <c r="E2816" s="8"/>
      <c r="G2816" s="8"/>
      <c r="J2816" s="8"/>
    </row>
    <row r="2817">
      <c r="C2817" s="15"/>
      <c r="E2817" s="8"/>
      <c r="G2817" s="8"/>
      <c r="J2817" s="8"/>
    </row>
    <row r="2818">
      <c r="C2818" s="15"/>
      <c r="E2818" s="8"/>
      <c r="G2818" s="8"/>
      <c r="J2818" s="8"/>
    </row>
    <row r="2819">
      <c r="C2819" s="15"/>
      <c r="E2819" s="8"/>
      <c r="G2819" s="8"/>
      <c r="J2819" s="8"/>
    </row>
    <row r="2820">
      <c r="C2820" s="15"/>
      <c r="E2820" s="8"/>
      <c r="G2820" s="8"/>
      <c r="J2820" s="8"/>
    </row>
    <row r="2821">
      <c r="C2821" s="15"/>
      <c r="E2821" s="8"/>
      <c r="G2821" s="8"/>
      <c r="J2821" s="8"/>
    </row>
    <row r="2822">
      <c r="C2822" s="15"/>
      <c r="E2822" s="8"/>
      <c r="G2822" s="8"/>
      <c r="J2822" s="8"/>
    </row>
    <row r="2823">
      <c r="C2823" s="15"/>
      <c r="E2823" s="8"/>
      <c r="G2823" s="8"/>
      <c r="J2823" s="8"/>
    </row>
    <row r="2824">
      <c r="C2824" s="15"/>
      <c r="E2824" s="8"/>
      <c r="G2824" s="8"/>
      <c r="J2824" s="8"/>
    </row>
    <row r="2825">
      <c r="C2825" s="15"/>
      <c r="E2825" s="8"/>
      <c r="G2825" s="8"/>
      <c r="J2825" s="8"/>
    </row>
    <row r="2826">
      <c r="C2826" s="15"/>
      <c r="E2826" s="8"/>
      <c r="G2826" s="8"/>
      <c r="J2826" s="8"/>
    </row>
    <row r="2827">
      <c r="C2827" s="15"/>
      <c r="E2827" s="8"/>
      <c r="G2827" s="8"/>
      <c r="J2827" s="8"/>
    </row>
    <row r="2828">
      <c r="C2828" s="15"/>
      <c r="E2828" s="8"/>
      <c r="G2828" s="8"/>
      <c r="J2828" s="8"/>
    </row>
    <row r="2829">
      <c r="C2829" s="15"/>
      <c r="E2829" s="8"/>
      <c r="G2829" s="8"/>
      <c r="J2829" s="8"/>
    </row>
    <row r="2830">
      <c r="C2830" s="15"/>
      <c r="E2830" s="8"/>
      <c r="G2830" s="8"/>
      <c r="J2830" s="8"/>
    </row>
    <row r="2831">
      <c r="C2831" s="15"/>
      <c r="E2831" s="8"/>
      <c r="G2831" s="8"/>
      <c r="J2831" s="8"/>
    </row>
    <row r="2832">
      <c r="C2832" s="15"/>
      <c r="E2832" s="8"/>
      <c r="G2832" s="8"/>
      <c r="J2832" s="8"/>
    </row>
    <row r="2833">
      <c r="C2833" s="15"/>
      <c r="E2833" s="8"/>
      <c r="G2833" s="8"/>
      <c r="J2833" s="8"/>
    </row>
    <row r="2834">
      <c r="C2834" s="15"/>
      <c r="E2834" s="8"/>
      <c r="G2834" s="8"/>
      <c r="J2834" s="8"/>
    </row>
    <row r="2835">
      <c r="C2835" s="15"/>
      <c r="E2835" s="8"/>
      <c r="G2835" s="8"/>
      <c r="J2835" s="8"/>
    </row>
    <row r="2836">
      <c r="C2836" s="15"/>
      <c r="E2836" s="8"/>
      <c r="G2836" s="8"/>
      <c r="J2836" s="8"/>
    </row>
    <row r="2837">
      <c r="C2837" s="15"/>
      <c r="E2837" s="8"/>
      <c r="G2837" s="8"/>
      <c r="J2837" s="8"/>
    </row>
    <row r="2838">
      <c r="C2838" s="15"/>
      <c r="E2838" s="8"/>
      <c r="G2838" s="8"/>
      <c r="J2838" s="8"/>
    </row>
    <row r="2839">
      <c r="C2839" s="15"/>
      <c r="E2839" s="8"/>
      <c r="G2839" s="8"/>
      <c r="J2839" s="8"/>
    </row>
    <row r="2840">
      <c r="C2840" s="15"/>
      <c r="E2840" s="8"/>
      <c r="G2840" s="8"/>
      <c r="J2840" s="8"/>
    </row>
    <row r="2841">
      <c r="C2841" s="15"/>
      <c r="E2841" s="8"/>
      <c r="G2841" s="8"/>
      <c r="J2841" s="8"/>
    </row>
    <row r="2842">
      <c r="C2842" s="15"/>
      <c r="E2842" s="8"/>
      <c r="G2842" s="8"/>
      <c r="J2842" s="8"/>
    </row>
    <row r="2843">
      <c r="C2843" s="15"/>
      <c r="E2843" s="8"/>
      <c r="G2843" s="8"/>
      <c r="J2843" s="8"/>
    </row>
    <row r="2844">
      <c r="C2844" s="15"/>
      <c r="E2844" s="8"/>
      <c r="G2844" s="8"/>
      <c r="J2844" s="8"/>
    </row>
    <row r="2845">
      <c r="C2845" s="15"/>
      <c r="E2845" s="8"/>
      <c r="G2845" s="8"/>
      <c r="J2845" s="8"/>
    </row>
    <row r="2846">
      <c r="C2846" s="15"/>
      <c r="E2846" s="8"/>
      <c r="G2846" s="8"/>
      <c r="J2846" s="8"/>
    </row>
    <row r="2847">
      <c r="C2847" s="15"/>
      <c r="E2847" s="8"/>
      <c r="G2847" s="8"/>
      <c r="J2847" s="8"/>
    </row>
    <row r="2848">
      <c r="C2848" s="15"/>
      <c r="E2848" s="8"/>
      <c r="G2848" s="8"/>
      <c r="J2848" s="8"/>
    </row>
    <row r="2849">
      <c r="C2849" s="15"/>
      <c r="E2849" s="8"/>
      <c r="G2849" s="8"/>
      <c r="J2849" s="8"/>
    </row>
    <row r="2850">
      <c r="C2850" s="15"/>
      <c r="E2850" s="8"/>
      <c r="G2850" s="8"/>
      <c r="J2850" s="8"/>
    </row>
    <row r="2851">
      <c r="C2851" s="15"/>
      <c r="E2851" s="8"/>
      <c r="G2851" s="8"/>
      <c r="J2851" s="8"/>
    </row>
    <row r="2852">
      <c r="C2852" s="15"/>
      <c r="E2852" s="8"/>
      <c r="G2852" s="8"/>
      <c r="J2852" s="8"/>
    </row>
    <row r="2853">
      <c r="C2853" s="15"/>
      <c r="E2853" s="8"/>
      <c r="G2853" s="8"/>
      <c r="J2853" s="8"/>
    </row>
    <row r="2854">
      <c r="C2854" s="15"/>
      <c r="E2854" s="8"/>
      <c r="G2854" s="8"/>
      <c r="J2854" s="8"/>
    </row>
    <row r="2855">
      <c r="C2855" s="15"/>
      <c r="E2855" s="8"/>
      <c r="G2855" s="8"/>
      <c r="J2855" s="8"/>
    </row>
    <row r="2856">
      <c r="C2856" s="15"/>
      <c r="E2856" s="8"/>
      <c r="G2856" s="8"/>
      <c r="J2856" s="8"/>
    </row>
    <row r="2857">
      <c r="C2857" s="15"/>
      <c r="E2857" s="8"/>
      <c r="G2857" s="8"/>
      <c r="J2857" s="8"/>
    </row>
    <row r="2858">
      <c r="C2858" s="15"/>
      <c r="E2858" s="8"/>
      <c r="G2858" s="8"/>
      <c r="J2858" s="8"/>
    </row>
    <row r="2859">
      <c r="C2859" s="15"/>
      <c r="E2859" s="8"/>
      <c r="G2859" s="8"/>
      <c r="J2859" s="8"/>
    </row>
    <row r="2860">
      <c r="C2860" s="15"/>
      <c r="E2860" s="8"/>
      <c r="G2860" s="8"/>
      <c r="J2860" s="8"/>
    </row>
    <row r="2861">
      <c r="C2861" s="15"/>
      <c r="E2861" s="8"/>
      <c r="G2861" s="8"/>
      <c r="J2861" s="8"/>
    </row>
    <row r="2862">
      <c r="C2862" s="15"/>
      <c r="E2862" s="8"/>
      <c r="G2862" s="8"/>
      <c r="J2862" s="8"/>
    </row>
    <row r="2863">
      <c r="C2863" s="15"/>
      <c r="E2863" s="8"/>
      <c r="G2863" s="8"/>
      <c r="J2863" s="8"/>
    </row>
    <row r="2864">
      <c r="C2864" s="15"/>
      <c r="E2864" s="8"/>
      <c r="G2864" s="8"/>
      <c r="J2864" s="8"/>
    </row>
    <row r="2865">
      <c r="C2865" s="15"/>
      <c r="E2865" s="8"/>
      <c r="G2865" s="8"/>
      <c r="J2865" s="8"/>
    </row>
    <row r="2866">
      <c r="C2866" s="15"/>
      <c r="E2866" s="8"/>
      <c r="G2866" s="8"/>
      <c r="J2866" s="8"/>
    </row>
    <row r="2867">
      <c r="C2867" s="15"/>
      <c r="E2867" s="8"/>
      <c r="G2867" s="8"/>
      <c r="J2867" s="8"/>
    </row>
    <row r="2868">
      <c r="C2868" s="15"/>
      <c r="E2868" s="8"/>
      <c r="G2868" s="8"/>
      <c r="J2868" s="8"/>
    </row>
    <row r="2869">
      <c r="C2869" s="15"/>
      <c r="E2869" s="8"/>
      <c r="G2869" s="8"/>
      <c r="J2869" s="8"/>
    </row>
    <row r="2870">
      <c r="C2870" s="15"/>
      <c r="E2870" s="8"/>
      <c r="G2870" s="8"/>
      <c r="J2870" s="8"/>
    </row>
    <row r="2871">
      <c r="C2871" s="15"/>
      <c r="E2871" s="8"/>
      <c r="G2871" s="8"/>
      <c r="J2871" s="8"/>
    </row>
    <row r="2872">
      <c r="C2872" s="15"/>
      <c r="E2872" s="8"/>
      <c r="G2872" s="8"/>
      <c r="J2872" s="8"/>
    </row>
    <row r="2873">
      <c r="C2873" s="15"/>
      <c r="E2873" s="8"/>
      <c r="G2873" s="8"/>
      <c r="J2873" s="8"/>
    </row>
    <row r="2874">
      <c r="C2874" s="15"/>
      <c r="E2874" s="8"/>
      <c r="G2874" s="8"/>
      <c r="J2874" s="8"/>
    </row>
    <row r="2875">
      <c r="C2875" s="15"/>
      <c r="E2875" s="8"/>
      <c r="G2875" s="8"/>
      <c r="J2875" s="8"/>
    </row>
    <row r="2876">
      <c r="C2876" s="15"/>
      <c r="E2876" s="8"/>
      <c r="G2876" s="8"/>
      <c r="J2876" s="8"/>
    </row>
    <row r="2877">
      <c r="C2877" s="15"/>
      <c r="E2877" s="8"/>
      <c r="G2877" s="8"/>
      <c r="J2877" s="8"/>
    </row>
    <row r="2878">
      <c r="C2878" s="15"/>
      <c r="E2878" s="8"/>
      <c r="G2878" s="8"/>
      <c r="J2878" s="8"/>
    </row>
    <row r="2879">
      <c r="C2879" s="15"/>
      <c r="E2879" s="8"/>
      <c r="G2879" s="8"/>
      <c r="J2879" s="8"/>
    </row>
    <row r="2880">
      <c r="C2880" s="15"/>
      <c r="E2880" s="8"/>
      <c r="G2880" s="8"/>
      <c r="J2880" s="8"/>
    </row>
    <row r="2881">
      <c r="C2881" s="15"/>
      <c r="E2881" s="8"/>
      <c r="G2881" s="8"/>
      <c r="J2881" s="8"/>
    </row>
    <row r="2882">
      <c r="C2882" s="15"/>
      <c r="E2882" s="8"/>
      <c r="G2882" s="8"/>
      <c r="J2882" s="8"/>
    </row>
    <row r="2883">
      <c r="C2883" s="15"/>
      <c r="E2883" s="8"/>
      <c r="G2883" s="8"/>
      <c r="J2883" s="8"/>
    </row>
    <row r="2884">
      <c r="C2884" s="15"/>
      <c r="E2884" s="8"/>
      <c r="G2884" s="8"/>
      <c r="J2884" s="8"/>
    </row>
    <row r="2885">
      <c r="C2885" s="15"/>
      <c r="E2885" s="8"/>
      <c r="G2885" s="8"/>
      <c r="J2885" s="8"/>
    </row>
    <row r="2886">
      <c r="C2886" s="15"/>
      <c r="E2886" s="8"/>
      <c r="G2886" s="8"/>
      <c r="J2886" s="8"/>
    </row>
    <row r="2887">
      <c r="C2887" s="15"/>
      <c r="E2887" s="8"/>
      <c r="G2887" s="8"/>
      <c r="J2887" s="8"/>
    </row>
    <row r="2888">
      <c r="C2888" s="15"/>
      <c r="E2888" s="8"/>
      <c r="G2888" s="8"/>
      <c r="J2888" s="8"/>
    </row>
    <row r="2889">
      <c r="C2889" s="15"/>
      <c r="E2889" s="8"/>
      <c r="G2889" s="8"/>
      <c r="J2889" s="8"/>
    </row>
    <row r="2890">
      <c r="C2890" s="15"/>
      <c r="E2890" s="8"/>
      <c r="G2890" s="8"/>
      <c r="J2890" s="8"/>
    </row>
    <row r="2891">
      <c r="C2891" s="15"/>
      <c r="E2891" s="8"/>
      <c r="G2891" s="8"/>
      <c r="J2891" s="8"/>
    </row>
    <row r="2892">
      <c r="C2892" s="15"/>
      <c r="E2892" s="8"/>
      <c r="G2892" s="8"/>
      <c r="J2892" s="8"/>
    </row>
    <row r="2893">
      <c r="C2893" s="15"/>
      <c r="E2893" s="8"/>
      <c r="G2893" s="8"/>
      <c r="J2893" s="8"/>
    </row>
    <row r="2894">
      <c r="C2894" s="15"/>
      <c r="E2894" s="8"/>
      <c r="G2894" s="8"/>
      <c r="J2894" s="8"/>
    </row>
    <row r="2895">
      <c r="C2895" s="15"/>
      <c r="E2895" s="8"/>
      <c r="G2895" s="8"/>
      <c r="J2895" s="8"/>
    </row>
    <row r="2896">
      <c r="C2896" s="15"/>
      <c r="E2896" s="8"/>
      <c r="G2896" s="8"/>
      <c r="J2896" s="8"/>
    </row>
    <row r="2897">
      <c r="C2897" s="15"/>
      <c r="E2897" s="8"/>
      <c r="G2897" s="8"/>
      <c r="J2897" s="8"/>
    </row>
    <row r="2898">
      <c r="C2898" s="15"/>
      <c r="E2898" s="8"/>
      <c r="G2898" s="8"/>
      <c r="J2898" s="8"/>
    </row>
    <row r="2899">
      <c r="C2899" s="15"/>
      <c r="E2899" s="8"/>
      <c r="G2899" s="8"/>
      <c r="J2899" s="8"/>
    </row>
    <row r="2900">
      <c r="C2900" s="15"/>
      <c r="E2900" s="8"/>
      <c r="G2900" s="8"/>
      <c r="J2900" s="8"/>
    </row>
    <row r="2901">
      <c r="C2901" s="15"/>
      <c r="E2901" s="8"/>
      <c r="G2901" s="8"/>
      <c r="J2901" s="8"/>
    </row>
    <row r="2902">
      <c r="C2902" s="15"/>
      <c r="E2902" s="8"/>
      <c r="G2902" s="8"/>
      <c r="J2902" s="8"/>
    </row>
    <row r="2903">
      <c r="C2903" s="15"/>
      <c r="E2903" s="8"/>
      <c r="G2903" s="8"/>
      <c r="J2903" s="8"/>
    </row>
    <row r="2904">
      <c r="C2904" s="15"/>
      <c r="E2904" s="8"/>
      <c r="G2904" s="8"/>
      <c r="J2904" s="8"/>
    </row>
    <row r="2905">
      <c r="C2905" s="15"/>
      <c r="E2905" s="8"/>
      <c r="G2905" s="8"/>
      <c r="J2905" s="8"/>
    </row>
    <row r="2906">
      <c r="C2906" s="15"/>
      <c r="E2906" s="8"/>
      <c r="G2906" s="8"/>
      <c r="J2906" s="8"/>
    </row>
    <row r="2907">
      <c r="C2907" s="15"/>
      <c r="E2907" s="8"/>
      <c r="G2907" s="8"/>
      <c r="J2907" s="8"/>
    </row>
    <row r="2908">
      <c r="C2908" s="15"/>
      <c r="E2908" s="8"/>
      <c r="G2908" s="8"/>
      <c r="J2908" s="8"/>
    </row>
    <row r="2909">
      <c r="C2909" s="15"/>
      <c r="E2909" s="8"/>
      <c r="G2909" s="8"/>
      <c r="J2909" s="8"/>
    </row>
    <row r="2910">
      <c r="C2910" s="15"/>
      <c r="E2910" s="8"/>
      <c r="G2910" s="8"/>
      <c r="J2910" s="8"/>
    </row>
    <row r="2911">
      <c r="C2911" s="15"/>
      <c r="E2911" s="8"/>
      <c r="G2911" s="8"/>
      <c r="J2911" s="8"/>
    </row>
    <row r="2912">
      <c r="C2912" s="15"/>
      <c r="E2912" s="8"/>
      <c r="G2912" s="8"/>
      <c r="J2912" s="8"/>
    </row>
    <row r="2913">
      <c r="C2913" s="15"/>
      <c r="E2913" s="8"/>
      <c r="G2913" s="8"/>
      <c r="J2913" s="8"/>
    </row>
    <row r="2914">
      <c r="C2914" s="15"/>
      <c r="E2914" s="8"/>
      <c r="G2914" s="8"/>
      <c r="J2914" s="8"/>
    </row>
    <row r="2915">
      <c r="C2915" s="15"/>
      <c r="E2915" s="8"/>
      <c r="G2915" s="8"/>
      <c r="J2915" s="8"/>
    </row>
    <row r="2916">
      <c r="C2916" s="15"/>
      <c r="E2916" s="8"/>
      <c r="G2916" s="8"/>
      <c r="J2916" s="8"/>
    </row>
    <row r="2917">
      <c r="C2917" s="15"/>
      <c r="E2917" s="8"/>
      <c r="G2917" s="8"/>
      <c r="J2917" s="8"/>
    </row>
    <row r="2918">
      <c r="C2918" s="15"/>
      <c r="E2918" s="8"/>
      <c r="G2918" s="8"/>
      <c r="J2918" s="8"/>
    </row>
    <row r="2919">
      <c r="C2919" s="15"/>
      <c r="E2919" s="8"/>
      <c r="G2919" s="8"/>
      <c r="J2919" s="8"/>
    </row>
    <row r="2920">
      <c r="C2920" s="15"/>
      <c r="E2920" s="8"/>
      <c r="G2920" s="8"/>
      <c r="J2920" s="8"/>
    </row>
    <row r="2921">
      <c r="C2921" s="15"/>
      <c r="E2921" s="8"/>
      <c r="G2921" s="8"/>
      <c r="J2921" s="8"/>
    </row>
    <row r="2922">
      <c r="C2922" s="15"/>
      <c r="E2922" s="8"/>
      <c r="G2922" s="8"/>
      <c r="J2922" s="8"/>
    </row>
    <row r="2923">
      <c r="C2923" s="15"/>
      <c r="E2923" s="8"/>
      <c r="G2923" s="8"/>
      <c r="J2923" s="8"/>
    </row>
    <row r="2924">
      <c r="C2924" s="15"/>
      <c r="E2924" s="8"/>
      <c r="G2924" s="8"/>
      <c r="J2924" s="8"/>
    </row>
    <row r="2925">
      <c r="C2925" s="15"/>
      <c r="E2925" s="8"/>
      <c r="G2925" s="8"/>
      <c r="J2925" s="8"/>
    </row>
    <row r="2926">
      <c r="C2926" s="15"/>
      <c r="E2926" s="8"/>
      <c r="G2926" s="8"/>
      <c r="J2926" s="8"/>
    </row>
    <row r="2927">
      <c r="C2927" s="15"/>
      <c r="E2927" s="8"/>
      <c r="G2927" s="8"/>
      <c r="J2927" s="8"/>
    </row>
    <row r="2928">
      <c r="C2928" s="15"/>
      <c r="E2928" s="8"/>
      <c r="G2928" s="8"/>
      <c r="J2928" s="8"/>
    </row>
    <row r="2929">
      <c r="C2929" s="15"/>
      <c r="E2929" s="8"/>
      <c r="G2929" s="8"/>
      <c r="J2929" s="8"/>
    </row>
    <row r="2930">
      <c r="C2930" s="15"/>
      <c r="E2930" s="8"/>
      <c r="G2930" s="8"/>
      <c r="J2930" s="8"/>
    </row>
    <row r="2931">
      <c r="C2931" s="15"/>
      <c r="E2931" s="8"/>
      <c r="G2931" s="8"/>
      <c r="J2931" s="8"/>
    </row>
    <row r="2932">
      <c r="C2932" s="15"/>
      <c r="E2932" s="8"/>
      <c r="G2932" s="8"/>
      <c r="J2932" s="8"/>
    </row>
    <row r="2933">
      <c r="C2933" s="15"/>
      <c r="E2933" s="8"/>
      <c r="G2933" s="8"/>
      <c r="J2933" s="8"/>
    </row>
    <row r="2934">
      <c r="C2934" s="15"/>
      <c r="E2934" s="8"/>
      <c r="G2934" s="8"/>
      <c r="J2934" s="8"/>
    </row>
    <row r="2935">
      <c r="C2935" s="15"/>
      <c r="E2935" s="8"/>
      <c r="G2935" s="8"/>
      <c r="J2935" s="8"/>
    </row>
    <row r="2936">
      <c r="C2936" s="15"/>
      <c r="E2936" s="8"/>
      <c r="G2936" s="8"/>
      <c r="J2936" s="8"/>
    </row>
    <row r="2937">
      <c r="C2937" s="15"/>
      <c r="E2937" s="8"/>
      <c r="G2937" s="8"/>
      <c r="J2937" s="8"/>
    </row>
    <row r="2938">
      <c r="C2938" s="15"/>
      <c r="E2938" s="8"/>
      <c r="G2938" s="8"/>
      <c r="J2938" s="8"/>
    </row>
    <row r="2939">
      <c r="C2939" s="15"/>
      <c r="E2939" s="8"/>
      <c r="G2939" s="8"/>
      <c r="J2939" s="8"/>
    </row>
    <row r="2940">
      <c r="C2940" s="15"/>
      <c r="E2940" s="8"/>
      <c r="G2940" s="8"/>
      <c r="J2940" s="8"/>
    </row>
    <row r="2941">
      <c r="C2941" s="15"/>
      <c r="E2941" s="8"/>
      <c r="G2941" s="8"/>
      <c r="J2941" s="8"/>
    </row>
    <row r="2942">
      <c r="C2942" s="15"/>
      <c r="E2942" s="8"/>
      <c r="G2942" s="8"/>
      <c r="J2942" s="8"/>
    </row>
    <row r="2943">
      <c r="C2943" s="15"/>
      <c r="E2943" s="8"/>
      <c r="G2943" s="8"/>
      <c r="J2943" s="8"/>
    </row>
    <row r="2944">
      <c r="C2944" s="15"/>
      <c r="E2944" s="8"/>
      <c r="G2944" s="8"/>
      <c r="J2944" s="8"/>
    </row>
    <row r="2945">
      <c r="C2945" s="15"/>
      <c r="E2945" s="8"/>
      <c r="G2945" s="8"/>
      <c r="J2945" s="8"/>
    </row>
    <row r="2946">
      <c r="C2946" s="15"/>
      <c r="E2946" s="8"/>
      <c r="G2946" s="8"/>
      <c r="J2946" s="8"/>
    </row>
    <row r="2947">
      <c r="C2947" s="15"/>
      <c r="E2947" s="8"/>
      <c r="G2947" s="8"/>
      <c r="J2947" s="8"/>
    </row>
    <row r="2948">
      <c r="C2948" s="15"/>
      <c r="E2948" s="8"/>
      <c r="G2948" s="8"/>
      <c r="J2948" s="8"/>
    </row>
    <row r="2949">
      <c r="C2949" s="15"/>
      <c r="E2949" s="8"/>
      <c r="G2949" s="8"/>
      <c r="J2949" s="8"/>
    </row>
    <row r="2950">
      <c r="C2950" s="15"/>
      <c r="E2950" s="8"/>
      <c r="G2950" s="8"/>
      <c r="J2950" s="8"/>
    </row>
    <row r="2951">
      <c r="C2951" s="15"/>
      <c r="E2951" s="8"/>
      <c r="G2951" s="8"/>
      <c r="J2951" s="8"/>
    </row>
    <row r="2952">
      <c r="C2952" s="15"/>
      <c r="E2952" s="8"/>
      <c r="G2952" s="8"/>
      <c r="J2952" s="8"/>
    </row>
    <row r="2953">
      <c r="C2953" s="15"/>
      <c r="E2953" s="8"/>
      <c r="G2953" s="8"/>
      <c r="J2953" s="8"/>
    </row>
    <row r="2954">
      <c r="C2954" s="15"/>
      <c r="E2954" s="8"/>
      <c r="G2954" s="8"/>
      <c r="J2954" s="8"/>
    </row>
    <row r="2955">
      <c r="C2955" s="15"/>
      <c r="E2955" s="8"/>
      <c r="G2955" s="8"/>
      <c r="J2955" s="8"/>
    </row>
    <row r="2956">
      <c r="C2956" s="15"/>
      <c r="E2956" s="8"/>
      <c r="G2956" s="8"/>
      <c r="J2956" s="8"/>
    </row>
    <row r="2957">
      <c r="C2957" s="15"/>
      <c r="E2957" s="8"/>
      <c r="G2957" s="8"/>
      <c r="J2957" s="8"/>
    </row>
    <row r="2958">
      <c r="C2958" s="15"/>
      <c r="E2958" s="8"/>
      <c r="G2958" s="8"/>
      <c r="J2958" s="8"/>
    </row>
    <row r="2959">
      <c r="C2959" s="15"/>
      <c r="E2959" s="8"/>
      <c r="G2959" s="8"/>
      <c r="J2959" s="8"/>
    </row>
    <row r="2960">
      <c r="C2960" s="15"/>
      <c r="E2960" s="8"/>
      <c r="G2960" s="8"/>
      <c r="J2960" s="8"/>
    </row>
    <row r="2961">
      <c r="C2961" s="15"/>
      <c r="E2961" s="8"/>
      <c r="G2961" s="8"/>
      <c r="J2961" s="8"/>
    </row>
    <row r="2962">
      <c r="C2962" s="15"/>
      <c r="E2962" s="8"/>
      <c r="G2962" s="8"/>
      <c r="J2962" s="8"/>
    </row>
    <row r="2963">
      <c r="C2963" s="15"/>
      <c r="E2963" s="8"/>
      <c r="G2963" s="8"/>
      <c r="J2963" s="8"/>
    </row>
    <row r="2964">
      <c r="C2964" s="15"/>
      <c r="E2964" s="8"/>
      <c r="G2964" s="8"/>
      <c r="J2964" s="8"/>
    </row>
    <row r="2965">
      <c r="C2965" s="15"/>
      <c r="E2965" s="8"/>
      <c r="G2965" s="8"/>
      <c r="J2965" s="8"/>
    </row>
    <row r="2966">
      <c r="C2966" s="15"/>
      <c r="E2966" s="8"/>
      <c r="G2966" s="8"/>
      <c r="J2966" s="8"/>
    </row>
    <row r="2967">
      <c r="C2967" s="15"/>
      <c r="E2967" s="8"/>
      <c r="G2967" s="8"/>
      <c r="J2967" s="8"/>
    </row>
    <row r="2968">
      <c r="C2968" s="15"/>
      <c r="E2968" s="8"/>
      <c r="G2968" s="8"/>
      <c r="J2968" s="8"/>
    </row>
    <row r="2969">
      <c r="C2969" s="15"/>
      <c r="E2969" s="8"/>
      <c r="G2969" s="8"/>
      <c r="J2969" s="8"/>
    </row>
    <row r="2970">
      <c r="C2970" s="15"/>
      <c r="E2970" s="8"/>
      <c r="G2970" s="8"/>
      <c r="J2970" s="8"/>
    </row>
    <row r="2971">
      <c r="C2971" s="15"/>
      <c r="E2971" s="8"/>
      <c r="G2971" s="8"/>
      <c r="J2971" s="8"/>
    </row>
    <row r="2972">
      <c r="C2972" s="15"/>
      <c r="E2972" s="8"/>
      <c r="G2972" s="8"/>
      <c r="J2972" s="8"/>
    </row>
    <row r="2973">
      <c r="C2973" s="15"/>
      <c r="E2973" s="8"/>
      <c r="G2973" s="8"/>
      <c r="J2973" s="8"/>
    </row>
    <row r="2974">
      <c r="C2974" s="15"/>
      <c r="E2974" s="8"/>
      <c r="G2974" s="8"/>
      <c r="J2974" s="8"/>
    </row>
    <row r="2975">
      <c r="C2975" s="15"/>
      <c r="E2975" s="8"/>
      <c r="G2975" s="8"/>
      <c r="J2975" s="8"/>
    </row>
    <row r="2976">
      <c r="C2976" s="15"/>
      <c r="E2976" s="8"/>
      <c r="G2976" s="8"/>
      <c r="J2976" s="8"/>
    </row>
    <row r="2977">
      <c r="C2977" s="15"/>
      <c r="E2977" s="8"/>
      <c r="G2977" s="8"/>
      <c r="J2977" s="8"/>
    </row>
    <row r="2978">
      <c r="C2978" s="15"/>
      <c r="E2978" s="8"/>
      <c r="G2978" s="8"/>
      <c r="J2978" s="8"/>
    </row>
    <row r="2979">
      <c r="C2979" s="15"/>
      <c r="E2979" s="8"/>
      <c r="G2979" s="8"/>
      <c r="J2979" s="8"/>
    </row>
    <row r="2980">
      <c r="C2980" s="15"/>
      <c r="E2980" s="8"/>
      <c r="G2980" s="8"/>
      <c r="J2980" s="8"/>
    </row>
    <row r="2981">
      <c r="C2981" s="15"/>
      <c r="E2981" s="8"/>
      <c r="G2981" s="8"/>
      <c r="J2981" s="8"/>
    </row>
    <row r="2982">
      <c r="C2982" s="15"/>
      <c r="E2982" s="8"/>
      <c r="G2982" s="8"/>
      <c r="J2982" s="8"/>
    </row>
    <row r="2983">
      <c r="C2983" s="15"/>
      <c r="E2983" s="8"/>
      <c r="G2983" s="8"/>
      <c r="J2983" s="8"/>
    </row>
    <row r="2984">
      <c r="C2984" s="15"/>
      <c r="E2984" s="8"/>
      <c r="G2984" s="8"/>
      <c r="J2984" s="8"/>
    </row>
    <row r="2985">
      <c r="C2985" s="15"/>
      <c r="E2985" s="8"/>
      <c r="G2985" s="8"/>
      <c r="J2985" s="8"/>
    </row>
    <row r="2986">
      <c r="C2986" s="15"/>
      <c r="E2986" s="8"/>
      <c r="G2986" s="8"/>
      <c r="J2986" s="8"/>
    </row>
    <row r="2987">
      <c r="C2987" s="15"/>
      <c r="E2987" s="8"/>
      <c r="G2987" s="8"/>
      <c r="J2987" s="8"/>
    </row>
    <row r="2988">
      <c r="C2988" s="15"/>
      <c r="E2988" s="8"/>
      <c r="G2988" s="8"/>
      <c r="J2988" s="8"/>
    </row>
    <row r="2989">
      <c r="C2989" s="15"/>
      <c r="E2989" s="8"/>
      <c r="G2989" s="8"/>
      <c r="J2989" s="8"/>
    </row>
    <row r="2990">
      <c r="C2990" s="15"/>
      <c r="E2990" s="8"/>
      <c r="G2990" s="8"/>
      <c r="J2990" s="8"/>
    </row>
    <row r="2991">
      <c r="C2991" s="15"/>
      <c r="E2991" s="8"/>
      <c r="G2991" s="8"/>
      <c r="J2991" s="8"/>
    </row>
    <row r="2992">
      <c r="C2992" s="15"/>
      <c r="E2992" s="8"/>
      <c r="G2992" s="8"/>
      <c r="J2992" s="8"/>
    </row>
    <row r="2993">
      <c r="C2993" s="15"/>
      <c r="E2993" s="8"/>
      <c r="G2993" s="8"/>
      <c r="J2993" s="8"/>
    </row>
    <row r="2994">
      <c r="C2994" s="15"/>
      <c r="E2994" s="8"/>
      <c r="G2994" s="8"/>
      <c r="J2994" s="8"/>
    </row>
    <row r="2995">
      <c r="C2995" s="15"/>
      <c r="E2995" s="8"/>
      <c r="G2995" s="8"/>
      <c r="J2995" s="8"/>
    </row>
    <row r="2996">
      <c r="C2996" s="15"/>
      <c r="E2996" s="8"/>
      <c r="G2996" s="8"/>
      <c r="J2996" s="8"/>
    </row>
    <row r="2997">
      <c r="C2997" s="15"/>
      <c r="E2997" s="8"/>
      <c r="G2997" s="8"/>
      <c r="J2997" s="8"/>
    </row>
    <row r="2998">
      <c r="C2998" s="15"/>
      <c r="E2998" s="8"/>
      <c r="G2998" s="8"/>
      <c r="J2998" s="8"/>
    </row>
    <row r="2999">
      <c r="C2999" s="15"/>
      <c r="E2999" s="8"/>
      <c r="G2999" s="8"/>
      <c r="J2999" s="8"/>
    </row>
    <row r="3000">
      <c r="C3000" s="15"/>
      <c r="E3000" s="8"/>
      <c r="G3000" s="8"/>
      <c r="J3000" s="8"/>
    </row>
    <row r="3001">
      <c r="C3001" s="15"/>
      <c r="E3001" s="8"/>
      <c r="G3001" s="8"/>
      <c r="J3001" s="8"/>
    </row>
    <row r="3002">
      <c r="C3002" s="15"/>
      <c r="E3002" s="8"/>
      <c r="G3002" s="8"/>
      <c r="J3002" s="8"/>
    </row>
    <row r="3003">
      <c r="C3003" s="15"/>
      <c r="E3003" s="8"/>
      <c r="G3003" s="8"/>
      <c r="J3003" s="8"/>
    </row>
    <row r="3004">
      <c r="C3004" s="15"/>
      <c r="E3004" s="8"/>
      <c r="G3004" s="8"/>
      <c r="J3004" s="8"/>
    </row>
    <row r="3005">
      <c r="C3005" s="15"/>
      <c r="E3005" s="8"/>
      <c r="G3005" s="8"/>
      <c r="J3005" s="8"/>
    </row>
    <row r="3006">
      <c r="C3006" s="15"/>
      <c r="E3006" s="8"/>
      <c r="G3006" s="8"/>
      <c r="J3006" s="8"/>
    </row>
    <row r="3007">
      <c r="C3007" s="15"/>
      <c r="E3007" s="8"/>
      <c r="G3007" s="8"/>
      <c r="J3007" s="8"/>
    </row>
    <row r="3008">
      <c r="C3008" s="15"/>
      <c r="E3008" s="8"/>
      <c r="G3008" s="8"/>
      <c r="J3008" s="8"/>
    </row>
    <row r="3009">
      <c r="C3009" s="15"/>
      <c r="E3009" s="8"/>
      <c r="G3009" s="8"/>
      <c r="J3009" s="8"/>
    </row>
    <row r="3010">
      <c r="C3010" s="15"/>
      <c r="E3010" s="8"/>
      <c r="G3010" s="8"/>
      <c r="J3010" s="8"/>
    </row>
    <row r="3011">
      <c r="C3011" s="15"/>
      <c r="E3011" s="8"/>
      <c r="G3011" s="8"/>
      <c r="J3011" s="8"/>
    </row>
    <row r="3012">
      <c r="C3012" s="15"/>
      <c r="E3012" s="8"/>
      <c r="G3012" s="8"/>
      <c r="J3012" s="8"/>
    </row>
    <row r="3013">
      <c r="C3013" s="15"/>
      <c r="E3013" s="8"/>
      <c r="G3013" s="8"/>
      <c r="J3013" s="8"/>
    </row>
    <row r="3014">
      <c r="C3014" s="15"/>
      <c r="E3014" s="8"/>
      <c r="G3014" s="8"/>
      <c r="J3014" s="8"/>
    </row>
    <row r="3015">
      <c r="C3015" s="15"/>
      <c r="E3015" s="8"/>
      <c r="G3015" s="8"/>
      <c r="J3015" s="8"/>
    </row>
    <row r="3016">
      <c r="C3016" s="15"/>
      <c r="E3016" s="8"/>
      <c r="G3016" s="8"/>
      <c r="J3016" s="8"/>
    </row>
    <row r="3017">
      <c r="C3017" s="15"/>
      <c r="E3017" s="8"/>
      <c r="G3017" s="8"/>
      <c r="J3017" s="8"/>
    </row>
    <row r="3018">
      <c r="C3018" s="15"/>
      <c r="E3018" s="8"/>
      <c r="G3018" s="8"/>
      <c r="J3018" s="8"/>
    </row>
    <row r="3019">
      <c r="C3019" s="15"/>
      <c r="E3019" s="8"/>
      <c r="G3019" s="8"/>
      <c r="J3019" s="8"/>
    </row>
    <row r="3020">
      <c r="C3020" s="15"/>
      <c r="E3020" s="8"/>
      <c r="G3020" s="8"/>
      <c r="J3020" s="8"/>
    </row>
    <row r="3021">
      <c r="C3021" s="15"/>
      <c r="E3021" s="8"/>
      <c r="G3021" s="8"/>
      <c r="J3021" s="8"/>
    </row>
    <row r="3022">
      <c r="C3022" s="15"/>
      <c r="E3022" s="8"/>
      <c r="G3022" s="8"/>
      <c r="J3022" s="8"/>
    </row>
    <row r="3023">
      <c r="C3023" s="15"/>
      <c r="E3023" s="8"/>
      <c r="G3023" s="8"/>
      <c r="J3023" s="8"/>
    </row>
    <row r="3024">
      <c r="C3024" s="15"/>
      <c r="E3024" s="8"/>
      <c r="G3024" s="8"/>
      <c r="J3024" s="8"/>
    </row>
    <row r="3025">
      <c r="C3025" s="15"/>
      <c r="E3025" s="8"/>
      <c r="G3025" s="8"/>
      <c r="J3025" s="8"/>
    </row>
    <row r="3026">
      <c r="C3026" s="15"/>
      <c r="E3026" s="8"/>
      <c r="G3026" s="8"/>
      <c r="J3026" s="8"/>
    </row>
    <row r="3027">
      <c r="C3027" s="15"/>
      <c r="E3027" s="8"/>
      <c r="G3027" s="8"/>
      <c r="J3027" s="8"/>
    </row>
    <row r="3028">
      <c r="C3028" s="15"/>
      <c r="E3028" s="8"/>
      <c r="G3028" s="8"/>
      <c r="J3028" s="8"/>
    </row>
    <row r="3029">
      <c r="C3029" s="15"/>
      <c r="E3029" s="8"/>
      <c r="G3029" s="8"/>
      <c r="J3029" s="8"/>
    </row>
    <row r="3030">
      <c r="C3030" s="15"/>
      <c r="E3030" s="8"/>
      <c r="G3030" s="8"/>
      <c r="J3030" s="8"/>
    </row>
    <row r="3031">
      <c r="C3031" s="15"/>
      <c r="E3031" s="8"/>
      <c r="G3031" s="8"/>
      <c r="J3031" s="8"/>
    </row>
    <row r="3032">
      <c r="C3032" s="15"/>
      <c r="E3032" s="8"/>
      <c r="G3032" s="8"/>
      <c r="J3032" s="8"/>
    </row>
    <row r="3033">
      <c r="C3033" s="15"/>
      <c r="E3033" s="8"/>
      <c r="G3033" s="8"/>
      <c r="J3033" s="8"/>
    </row>
    <row r="3034">
      <c r="C3034" s="15"/>
      <c r="E3034" s="8"/>
      <c r="G3034" s="8"/>
      <c r="J3034" s="8"/>
    </row>
    <row r="3035">
      <c r="C3035" s="15"/>
      <c r="E3035" s="8"/>
      <c r="G3035" s="8"/>
      <c r="J3035" s="8"/>
    </row>
    <row r="3036">
      <c r="C3036" s="15"/>
      <c r="E3036" s="8"/>
      <c r="G3036" s="8"/>
      <c r="J3036" s="8"/>
    </row>
    <row r="3037">
      <c r="C3037" s="15"/>
      <c r="E3037" s="8"/>
      <c r="G3037" s="8"/>
      <c r="J3037" s="8"/>
    </row>
    <row r="3038">
      <c r="C3038" s="15"/>
      <c r="E3038" s="8"/>
      <c r="G3038" s="8"/>
      <c r="J3038" s="8"/>
    </row>
    <row r="3039">
      <c r="C3039" s="15"/>
      <c r="E3039" s="8"/>
      <c r="G3039" s="8"/>
      <c r="J3039" s="8"/>
    </row>
    <row r="3040">
      <c r="C3040" s="15"/>
      <c r="E3040" s="8"/>
      <c r="G3040" s="8"/>
      <c r="J3040" s="8"/>
    </row>
    <row r="3041">
      <c r="C3041" s="15"/>
      <c r="E3041" s="8"/>
      <c r="G3041" s="8"/>
      <c r="J3041" s="8"/>
    </row>
    <row r="3042">
      <c r="C3042" s="15"/>
      <c r="E3042" s="8"/>
      <c r="G3042" s="8"/>
      <c r="J3042" s="8"/>
    </row>
    <row r="3043">
      <c r="C3043" s="15"/>
      <c r="E3043" s="8"/>
      <c r="G3043" s="8"/>
      <c r="J3043" s="8"/>
    </row>
    <row r="3044">
      <c r="C3044" s="15"/>
      <c r="E3044" s="8"/>
      <c r="G3044" s="8"/>
      <c r="J3044" s="8"/>
    </row>
    <row r="3045">
      <c r="C3045" s="15"/>
      <c r="E3045" s="8"/>
      <c r="G3045" s="8"/>
      <c r="J3045" s="8"/>
    </row>
    <row r="3046">
      <c r="C3046" s="15"/>
      <c r="E3046" s="8"/>
      <c r="G3046" s="8"/>
      <c r="J3046" s="8"/>
    </row>
    <row r="3047">
      <c r="C3047" s="15"/>
      <c r="E3047" s="8"/>
      <c r="G3047" s="8"/>
      <c r="J3047" s="8"/>
    </row>
    <row r="3048">
      <c r="C3048" s="15"/>
      <c r="E3048" s="8"/>
      <c r="G3048" s="8"/>
      <c r="J3048" s="8"/>
    </row>
    <row r="3049">
      <c r="C3049" s="15"/>
      <c r="E3049" s="8"/>
      <c r="G3049" s="8"/>
      <c r="J3049" s="8"/>
    </row>
    <row r="3050">
      <c r="C3050" s="15"/>
      <c r="E3050" s="8"/>
      <c r="G3050" s="8"/>
      <c r="J3050" s="8"/>
    </row>
    <row r="3051">
      <c r="C3051" s="15"/>
      <c r="E3051" s="8"/>
      <c r="G3051" s="8"/>
      <c r="J3051" s="8"/>
    </row>
    <row r="3052">
      <c r="C3052" s="15"/>
      <c r="E3052" s="8"/>
      <c r="G3052" s="8"/>
      <c r="J3052" s="8"/>
    </row>
    <row r="3053">
      <c r="C3053" s="15"/>
      <c r="E3053" s="8"/>
      <c r="G3053" s="8"/>
      <c r="J3053" s="8"/>
    </row>
    <row r="3054">
      <c r="C3054" s="15"/>
      <c r="E3054" s="8"/>
      <c r="G3054" s="8"/>
      <c r="J3054" s="8"/>
    </row>
    <row r="3055">
      <c r="C3055" s="15"/>
      <c r="E3055" s="8"/>
      <c r="G3055" s="8"/>
      <c r="J3055" s="8"/>
    </row>
    <row r="3056">
      <c r="C3056" s="15"/>
      <c r="E3056" s="8"/>
      <c r="G3056" s="8"/>
      <c r="J3056" s="8"/>
    </row>
    <row r="3057">
      <c r="C3057" s="15"/>
      <c r="E3057" s="8"/>
      <c r="G3057" s="8"/>
      <c r="J3057" s="8"/>
    </row>
    <row r="3058">
      <c r="C3058" s="15"/>
      <c r="E3058" s="8"/>
      <c r="G3058" s="8"/>
      <c r="J3058" s="8"/>
    </row>
    <row r="3059">
      <c r="C3059" s="15"/>
      <c r="E3059" s="8"/>
      <c r="G3059" s="8"/>
      <c r="J3059" s="8"/>
    </row>
    <row r="3060">
      <c r="C3060" s="15"/>
      <c r="E3060" s="8"/>
      <c r="G3060" s="8"/>
      <c r="J3060" s="8"/>
    </row>
    <row r="3061">
      <c r="C3061" s="15"/>
      <c r="E3061" s="8"/>
      <c r="G3061" s="8"/>
      <c r="J3061" s="8"/>
    </row>
    <row r="3062">
      <c r="C3062" s="15"/>
      <c r="E3062" s="8"/>
      <c r="G3062" s="8"/>
      <c r="J3062" s="8"/>
    </row>
    <row r="3063">
      <c r="C3063" s="15"/>
      <c r="E3063" s="8"/>
      <c r="G3063" s="8"/>
      <c r="J3063" s="8"/>
    </row>
    <row r="3064">
      <c r="C3064" s="15"/>
      <c r="E3064" s="8"/>
      <c r="G3064" s="8"/>
      <c r="J3064" s="8"/>
    </row>
    <row r="3065">
      <c r="C3065" s="15"/>
      <c r="E3065" s="8"/>
      <c r="G3065" s="8"/>
      <c r="J3065" s="8"/>
    </row>
    <row r="3066">
      <c r="C3066" s="15"/>
      <c r="E3066" s="8"/>
      <c r="G3066" s="8"/>
      <c r="J3066" s="8"/>
    </row>
    <row r="3067">
      <c r="C3067" s="15"/>
      <c r="E3067" s="8"/>
      <c r="G3067" s="8"/>
      <c r="J3067" s="8"/>
    </row>
    <row r="3068">
      <c r="C3068" s="15"/>
      <c r="E3068" s="8"/>
      <c r="G3068" s="8"/>
      <c r="J3068" s="8"/>
    </row>
    <row r="3069">
      <c r="C3069" s="15"/>
      <c r="E3069" s="8"/>
      <c r="G3069" s="8"/>
      <c r="J3069" s="8"/>
    </row>
    <row r="3070">
      <c r="C3070" s="15"/>
      <c r="E3070" s="8"/>
      <c r="G3070" s="8"/>
      <c r="J3070" s="8"/>
    </row>
    <row r="3071">
      <c r="C3071" s="15"/>
      <c r="E3071" s="8"/>
      <c r="G3071" s="8"/>
      <c r="J3071" s="8"/>
    </row>
    <row r="3072">
      <c r="C3072" s="15"/>
      <c r="E3072" s="8"/>
      <c r="G3072" s="8"/>
      <c r="J3072" s="8"/>
    </row>
    <row r="3073">
      <c r="C3073" s="15"/>
      <c r="E3073" s="8"/>
      <c r="G3073" s="8"/>
      <c r="J3073" s="8"/>
    </row>
    <row r="3074">
      <c r="C3074" s="15"/>
      <c r="E3074" s="8"/>
      <c r="G3074" s="8"/>
      <c r="J3074" s="8"/>
    </row>
    <row r="3075">
      <c r="C3075" s="15"/>
      <c r="E3075" s="8"/>
      <c r="G3075" s="8"/>
      <c r="J3075" s="8"/>
    </row>
    <row r="3076">
      <c r="C3076" s="15"/>
      <c r="E3076" s="8"/>
      <c r="G3076" s="8"/>
      <c r="J3076" s="8"/>
    </row>
    <row r="3077">
      <c r="C3077" s="15"/>
      <c r="E3077" s="8"/>
      <c r="G3077" s="8"/>
      <c r="J3077" s="8"/>
    </row>
    <row r="3078">
      <c r="C3078" s="15"/>
      <c r="E3078" s="8"/>
      <c r="G3078" s="8"/>
      <c r="J3078" s="8"/>
    </row>
    <row r="3079">
      <c r="C3079" s="15"/>
      <c r="E3079" s="8"/>
      <c r="G3079" s="8"/>
      <c r="J3079" s="8"/>
    </row>
    <row r="3080">
      <c r="C3080" s="15"/>
      <c r="E3080" s="8"/>
      <c r="G3080" s="8"/>
      <c r="J3080" s="8"/>
    </row>
    <row r="3081">
      <c r="C3081" s="15"/>
      <c r="E3081" s="8"/>
      <c r="G3081" s="8"/>
      <c r="J3081" s="8"/>
    </row>
    <row r="3082">
      <c r="C3082" s="15"/>
      <c r="E3082" s="8"/>
      <c r="G3082" s="8"/>
      <c r="J3082" s="8"/>
    </row>
    <row r="3083">
      <c r="C3083" s="15"/>
      <c r="E3083" s="8"/>
      <c r="G3083" s="8"/>
      <c r="J3083" s="8"/>
    </row>
    <row r="3084">
      <c r="C3084" s="15"/>
      <c r="E3084" s="8"/>
      <c r="G3084" s="8"/>
      <c r="J3084" s="8"/>
    </row>
    <row r="3085">
      <c r="C3085" s="15"/>
      <c r="E3085" s="8"/>
      <c r="G3085" s="8"/>
      <c r="J3085" s="8"/>
    </row>
    <row r="3086">
      <c r="C3086" s="15"/>
      <c r="E3086" s="8"/>
      <c r="G3086" s="8"/>
      <c r="J3086" s="8"/>
    </row>
    <row r="3087">
      <c r="C3087" s="15"/>
      <c r="E3087" s="8"/>
      <c r="G3087" s="8"/>
      <c r="J3087" s="8"/>
    </row>
    <row r="3088">
      <c r="C3088" s="15"/>
      <c r="E3088" s="8"/>
      <c r="G3088" s="8"/>
      <c r="J3088" s="8"/>
    </row>
    <row r="3089">
      <c r="C3089" s="15"/>
      <c r="E3089" s="8"/>
      <c r="G3089" s="8"/>
      <c r="J3089" s="8"/>
    </row>
    <row r="3090">
      <c r="C3090" s="15"/>
      <c r="E3090" s="8"/>
      <c r="G3090" s="8"/>
      <c r="J3090" s="8"/>
    </row>
    <row r="3091">
      <c r="C3091" s="15"/>
      <c r="E3091" s="8"/>
      <c r="G3091" s="8"/>
      <c r="J3091" s="8"/>
    </row>
    <row r="3092">
      <c r="C3092" s="15"/>
      <c r="E3092" s="8"/>
      <c r="G3092" s="8"/>
      <c r="J3092" s="8"/>
    </row>
    <row r="3093">
      <c r="C3093" s="15"/>
      <c r="E3093" s="8"/>
      <c r="G3093" s="8"/>
      <c r="J3093" s="8"/>
    </row>
    <row r="3094">
      <c r="C3094" s="15"/>
      <c r="E3094" s="8"/>
      <c r="G3094" s="8"/>
      <c r="J3094" s="8"/>
    </row>
    <row r="3095">
      <c r="C3095" s="15"/>
      <c r="E3095" s="8"/>
      <c r="G3095" s="8"/>
      <c r="J3095" s="8"/>
    </row>
    <row r="3096">
      <c r="C3096" s="15"/>
      <c r="E3096" s="8"/>
      <c r="G3096" s="8"/>
      <c r="J3096" s="8"/>
    </row>
    <row r="3097">
      <c r="C3097" s="15"/>
      <c r="E3097" s="8"/>
      <c r="G3097" s="8"/>
      <c r="J3097" s="8"/>
    </row>
    <row r="3098">
      <c r="C3098" s="15"/>
      <c r="E3098" s="8"/>
      <c r="G3098" s="8"/>
      <c r="J3098" s="8"/>
    </row>
    <row r="3099">
      <c r="C3099" s="15"/>
      <c r="E3099" s="8"/>
      <c r="G3099" s="8"/>
      <c r="J3099" s="8"/>
    </row>
    <row r="3100">
      <c r="C3100" s="15"/>
      <c r="E3100" s="8"/>
      <c r="G3100" s="8"/>
      <c r="J3100" s="8"/>
    </row>
    <row r="3101">
      <c r="C3101" s="15"/>
      <c r="E3101" s="8"/>
      <c r="G3101" s="8"/>
      <c r="J3101" s="8"/>
    </row>
    <row r="3102">
      <c r="C3102" s="15"/>
      <c r="E3102" s="8"/>
      <c r="G3102" s="8"/>
      <c r="J3102" s="8"/>
    </row>
    <row r="3103">
      <c r="C3103" s="15"/>
      <c r="E3103" s="8"/>
      <c r="G3103" s="8"/>
      <c r="J3103" s="8"/>
    </row>
    <row r="3104">
      <c r="C3104" s="15"/>
      <c r="E3104" s="8"/>
      <c r="G3104" s="8"/>
      <c r="J3104" s="8"/>
    </row>
    <row r="3105">
      <c r="C3105" s="15"/>
      <c r="E3105" s="8"/>
      <c r="G3105" s="8"/>
      <c r="J3105" s="8"/>
    </row>
    <row r="3106">
      <c r="C3106" s="15"/>
      <c r="E3106" s="8"/>
      <c r="G3106" s="8"/>
      <c r="J3106" s="8"/>
    </row>
    <row r="3107">
      <c r="C3107" s="15"/>
      <c r="E3107" s="8"/>
      <c r="G3107" s="8"/>
      <c r="J3107" s="8"/>
    </row>
    <row r="3108">
      <c r="C3108" s="15"/>
      <c r="E3108" s="8"/>
      <c r="G3108" s="8"/>
      <c r="J3108" s="8"/>
    </row>
    <row r="3109">
      <c r="C3109" s="15"/>
      <c r="E3109" s="8"/>
      <c r="G3109" s="8"/>
      <c r="J3109" s="8"/>
    </row>
    <row r="3110">
      <c r="C3110" s="15"/>
      <c r="E3110" s="8"/>
      <c r="G3110" s="8"/>
      <c r="J3110" s="8"/>
    </row>
    <row r="3111">
      <c r="C3111" s="15"/>
      <c r="E3111" s="8"/>
      <c r="G3111" s="8"/>
      <c r="J3111" s="8"/>
    </row>
    <row r="3112">
      <c r="C3112" s="15"/>
      <c r="E3112" s="8"/>
      <c r="G3112" s="8"/>
      <c r="J3112" s="8"/>
    </row>
    <row r="3113">
      <c r="C3113" s="15"/>
      <c r="E3113" s="8"/>
      <c r="G3113" s="8"/>
      <c r="J3113" s="8"/>
    </row>
    <row r="3114">
      <c r="C3114" s="15"/>
      <c r="E3114" s="8"/>
      <c r="G3114" s="8"/>
      <c r="J3114" s="8"/>
    </row>
    <row r="3115">
      <c r="C3115" s="15"/>
      <c r="E3115" s="8"/>
      <c r="G3115" s="8"/>
      <c r="J3115" s="8"/>
    </row>
    <row r="3116">
      <c r="C3116" s="15"/>
      <c r="E3116" s="8"/>
      <c r="G3116" s="8"/>
      <c r="J3116" s="8"/>
    </row>
    <row r="3117">
      <c r="C3117" s="15"/>
      <c r="E3117" s="8"/>
      <c r="G3117" s="8"/>
      <c r="J3117" s="8"/>
    </row>
    <row r="3118">
      <c r="C3118" s="15"/>
      <c r="E3118" s="8"/>
      <c r="G3118" s="8"/>
      <c r="J3118" s="8"/>
    </row>
    <row r="3119">
      <c r="C3119" s="15"/>
      <c r="E3119" s="8"/>
      <c r="G3119" s="8"/>
      <c r="J3119" s="8"/>
    </row>
    <row r="3120">
      <c r="C3120" s="15"/>
      <c r="E3120" s="8"/>
      <c r="G3120" s="8"/>
      <c r="J3120" s="8"/>
    </row>
    <row r="3121">
      <c r="C3121" s="15"/>
      <c r="E3121" s="8"/>
      <c r="G3121" s="8"/>
      <c r="J3121" s="8"/>
    </row>
    <row r="3122">
      <c r="C3122" s="15"/>
      <c r="E3122" s="8"/>
      <c r="G3122" s="8"/>
      <c r="J3122" s="8"/>
    </row>
    <row r="3123">
      <c r="C3123" s="15"/>
      <c r="E3123" s="8"/>
      <c r="G3123" s="8"/>
      <c r="J3123" s="8"/>
    </row>
    <row r="3124">
      <c r="C3124" s="15"/>
      <c r="E3124" s="8"/>
      <c r="G3124" s="8"/>
      <c r="J3124" s="8"/>
    </row>
    <row r="3125">
      <c r="C3125" s="15"/>
      <c r="E3125" s="8"/>
      <c r="G3125" s="8"/>
      <c r="J3125" s="8"/>
    </row>
    <row r="3126">
      <c r="C3126" s="15"/>
      <c r="E3126" s="8"/>
      <c r="G3126" s="8"/>
      <c r="J3126" s="8"/>
    </row>
    <row r="3127">
      <c r="C3127" s="15"/>
      <c r="E3127" s="8"/>
      <c r="G3127" s="8"/>
      <c r="J3127" s="8"/>
    </row>
    <row r="3128">
      <c r="C3128" s="15"/>
      <c r="E3128" s="8"/>
      <c r="G3128" s="8"/>
      <c r="J3128" s="8"/>
    </row>
    <row r="3129">
      <c r="C3129" s="15"/>
      <c r="E3129" s="8"/>
      <c r="G3129" s="8"/>
      <c r="J3129" s="8"/>
    </row>
    <row r="3130">
      <c r="C3130" s="15"/>
      <c r="E3130" s="8"/>
      <c r="G3130" s="8"/>
      <c r="J3130" s="8"/>
    </row>
    <row r="3131">
      <c r="C3131" s="15"/>
      <c r="E3131" s="8"/>
      <c r="G3131" s="8"/>
      <c r="J3131" s="8"/>
    </row>
    <row r="3132">
      <c r="C3132" s="15"/>
      <c r="E3132" s="8"/>
      <c r="G3132" s="8"/>
      <c r="J3132" s="8"/>
    </row>
    <row r="3133">
      <c r="C3133" s="15"/>
      <c r="E3133" s="8"/>
      <c r="G3133" s="8"/>
      <c r="J3133" s="8"/>
    </row>
    <row r="3134">
      <c r="C3134" s="15"/>
      <c r="E3134" s="8"/>
      <c r="G3134" s="8"/>
      <c r="J3134" s="8"/>
    </row>
    <row r="3135">
      <c r="C3135" s="15"/>
      <c r="E3135" s="8"/>
      <c r="G3135" s="8"/>
      <c r="J3135" s="8"/>
    </row>
    <row r="3136">
      <c r="C3136" s="15"/>
      <c r="E3136" s="8"/>
      <c r="G3136" s="8"/>
      <c r="J3136" s="8"/>
    </row>
    <row r="3137">
      <c r="C3137" s="15"/>
      <c r="E3137" s="8"/>
      <c r="G3137" s="8"/>
      <c r="J3137" s="8"/>
    </row>
    <row r="3138">
      <c r="C3138" s="15"/>
      <c r="E3138" s="8"/>
      <c r="G3138" s="8"/>
      <c r="J3138" s="8"/>
    </row>
    <row r="3139">
      <c r="C3139" s="15"/>
      <c r="E3139" s="8"/>
      <c r="G3139" s="8"/>
      <c r="J3139" s="8"/>
    </row>
    <row r="3140">
      <c r="C3140" s="15"/>
      <c r="E3140" s="8"/>
      <c r="G3140" s="8"/>
      <c r="J3140" s="8"/>
    </row>
    <row r="3141">
      <c r="C3141" s="15"/>
      <c r="E3141" s="8"/>
      <c r="G3141" s="8"/>
      <c r="J3141" s="8"/>
    </row>
    <row r="3142">
      <c r="C3142" s="15"/>
      <c r="E3142" s="8"/>
      <c r="G3142" s="8"/>
      <c r="J3142" s="8"/>
    </row>
    <row r="3143">
      <c r="C3143" s="15"/>
      <c r="E3143" s="8"/>
      <c r="G3143" s="8"/>
      <c r="J3143" s="8"/>
    </row>
    <row r="3144">
      <c r="C3144" s="15"/>
      <c r="E3144" s="8"/>
      <c r="G3144" s="8"/>
      <c r="J3144" s="8"/>
    </row>
    <row r="3145">
      <c r="C3145" s="15"/>
      <c r="E3145" s="8"/>
      <c r="G3145" s="8"/>
      <c r="J3145" s="8"/>
    </row>
    <row r="3146">
      <c r="C3146" s="15"/>
      <c r="E3146" s="8"/>
      <c r="G3146" s="8"/>
      <c r="J3146" s="8"/>
    </row>
    <row r="3147">
      <c r="C3147" s="15"/>
      <c r="E3147" s="8"/>
      <c r="G3147" s="8"/>
      <c r="J3147" s="8"/>
    </row>
    <row r="3148">
      <c r="C3148" s="15"/>
      <c r="E3148" s="8"/>
      <c r="G3148" s="8"/>
      <c r="J3148" s="8"/>
    </row>
    <row r="3149">
      <c r="C3149" s="15"/>
      <c r="E3149" s="8"/>
      <c r="G3149" s="8"/>
      <c r="J3149" s="8"/>
    </row>
    <row r="3150">
      <c r="C3150" s="15"/>
      <c r="E3150" s="8"/>
      <c r="G3150" s="8"/>
      <c r="J3150" s="8"/>
    </row>
    <row r="3151">
      <c r="C3151" s="15"/>
      <c r="E3151" s="8"/>
      <c r="G3151" s="8"/>
      <c r="J3151" s="8"/>
    </row>
    <row r="3152">
      <c r="C3152" s="15"/>
      <c r="E3152" s="8"/>
      <c r="G3152" s="8"/>
      <c r="J3152" s="8"/>
    </row>
    <row r="3153">
      <c r="C3153" s="15"/>
      <c r="E3153" s="8"/>
      <c r="G3153" s="8"/>
      <c r="J3153" s="8"/>
    </row>
    <row r="3154">
      <c r="C3154" s="15"/>
      <c r="E3154" s="8"/>
      <c r="G3154" s="8"/>
      <c r="J3154" s="8"/>
    </row>
    <row r="3155">
      <c r="C3155" s="15"/>
      <c r="E3155" s="8"/>
      <c r="G3155" s="8"/>
      <c r="J3155" s="8"/>
    </row>
    <row r="3156">
      <c r="C3156" s="15"/>
      <c r="E3156" s="8"/>
      <c r="G3156" s="8"/>
      <c r="J3156" s="8"/>
    </row>
    <row r="3157">
      <c r="C3157" s="15"/>
      <c r="E3157" s="8"/>
      <c r="G3157" s="8"/>
      <c r="J3157" s="8"/>
    </row>
    <row r="3158">
      <c r="C3158" s="15"/>
      <c r="E3158" s="8"/>
      <c r="G3158" s="8"/>
      <c r="J3158" s="8"/>
    </row>
    <row r="3159">
      <c r="C3159" s="15"/>
      <c r="E3159" s="8"/>
      <c r="G3159" s="8"/>
      <c r="J3159" s="8"/>
    </row>
    <row r="3160">
      <c r="C3160" s="15"/>
      <c r="E3160" s="8"/>
      <c r="G3160" s="8"/>
      <c r="J3160" s="8"/>
    </row>
    <row r="3161">
      <c r="C3161" s="15"/>
      <c r="E3161" s="8"/>
      <c r="G3161" s="8"/>
      <c r="J3161" s="8"/>
    </row>
    <row r="3162">
      <c r="C3162" s="15"/>
      <c r="E3162" s="8"/>
      <c r="G3162" s="8"/>
      <c r="J3162" s="8"/>
    </row>
    <row r="3163">
      <c r="C3163" s="15"/>
      <c r="E3163" s="8"/>
      <c r="G3163" s="8"/>
      <c r="J3163" s="8"/>
    </row>
    <row r="3164">
      <c r="C3164" s="15"/>
      <c r="E3164" s="8"/>
      <c r="G3164" s="8"/>
      <c r="J3164" s="8"/>
    </row>
    <row r="3165">
      <c r="C3165" s="15"/>
      <c r="E3165" s="8"/>
      <c r="G3165" s="8"/>
      <c r="J3165" s="8"/>
    </row>
    <row r="3166">
      <c r="C3166" s="15"/>
      <c r="E3166" s="8"/>
      <c r="G3166" s="8"/>
      <c r="J3166" s="8"/>
    </row>
    <row r="3167">
      <c r="C3167" s="15"/>
      <c r="E3167" s="8"/>
      <c r="G3167" s="8"/>
      <c r="J3167" s="8"/>
    </row>
    <row r="3168">
      <c r="C3168" s="15"/>
      <c r="E3168" s="8"/>
      <c r="G3168" s="8"/>
      <c r="J3168" s="8"/>
    </row>
    <row r="3169">
      <c r="C3169" s="15"/>
      <c r="E3169" s="8"/>
      <c r="G3169" s="8"/>
      <c r="J3169" s="8"/>
    </row>
    <row r="3170">
      <c r="C3170" s="15"/>
      <c r="E3170" s="8"/>
      <c r="G3170" s="8"/>
      <c r="J3170" s="8"/>
    </row>
    <row r="3171">
      <c r="C3171" s="15"/>
      <c r="E3171" s="8"/>
      <c r="G3171" s="8"/>
      <c r="J3171" s="8"/>
    </row>
    <row r="3172">
      <c r="C3172" s="15"/>
      <c r="E3172" s="8"/>
      <c r="G3172" s="8"/>
      <c r="J3172" s="8"/>
    </row>
    <row r="3173">
      <c r="C3173" s="15"/>
      <c r="E3173" s="8"/>
      <c r="G3173" s="8"/>
      <c r="J3173" s="8"/>
    </row>
    <row r="3174">
      <c r="C3174" s="15"/>
      <c r="E3174" s="8"/>
      <c r="G3174" s="8"/>
      <c r="J3174" s="8"/>
    </row>
    <row r="3175">
      <c r="C3175" s="15"/>
      <c r="E3175" s="8"/>
      <c r="G3175" s="8"/>
      <c r="J3175" s="8"/>
    </row>
    <row r="3176">
      <c r="C3176" s="15"/>
      <c r="E3176" s="8"/>
      <c r="G3176" s="8"/>
      <c r="J3176" s="8"/>
    </row>
    <row r="3177">
      <c r="C3177" s="15"/>
      <c r="E3177" s="8"/>
      <c r="G3177" s="8"/>
      <c r="J3177" s="8"/>
    </row>
    <row r="3178">
      <c r="C3178" s="15"/>
      <c r="E3178" s="8"/>
      <c r="G3178" s="8"/>
      <c r="J3178" s="8"/>
    </row>
    <row r="3179">
      <c r="C3179" s="15"/>
      <c r="E3179" s="8"/>
      <c r="G3179" s="8"/>
      <c r="J3179" s="8"/>
    </row>
    <row r="3180">
      <c r="C3180" s="15"/>
      <c r="E3180" s="8"/>
      <c r="G3180" s="8"/>
      <c r="J3180" s="8"/>
    </row>
    <row r="3181">
      <c r="C3181" s="15"/>
      <c r="E3181" s="8"/>
      <c r="G3181" s="8"/>
      <c r="J3181" s="8"/>
    </row>
    <row r="3182">
      <c r="C3182" s="15"/>
      <c r="E3182" s="8"/>
      <c r="G3182" s="8"/>
      <c r="J3182" s="8"/>
    </row>
    <row r="3183">
      <c r="C3183" s="15"/>
      <c r="E3183" s="8"/>
      <c r="G3183" s="8"/>
      <c r="J3183" s="8"/>
    </row>
    <row r="3184">
      <c r="C3184" s="15"/>
      <c r="E3184" s="8"/>
      <c r="G3184" s="8"/>
      <c r="J3184" s="8"/>
    </row>
    <row r="3185">
      <c r="C3185" s="15"/>
      <c r="E3185" s="8"/>
      <c r="G3185" s="8"/>
      <c r="J3185" s="8"/>
    </row>
    <row r="3186">
      <c r="C3186" s="15"/>
      <c r="E3186" s="8"/>
      <c r="G3186" s="8"/>
      <c r="J3186" s="8"/>
    </row>
    <row r="3187">
      <c r="C3187" s="15"/>
      <c r="E3187" s="8"/>
      <c r="G3187" s="8"/>
      <c r="J3187" s="8"/>
    </row>
    <row r="3188">
      <c r="C3188" s="15"/>
      <c r="E3188" s="8"/>
      <c r="G3188" s="8"/>
      <c r="J3188" s="8"/>
    </row>
    <row r="3189">
      <c r="C3189" s="15"/>
      <c r="E3189" s="8"/>
      <c r="G3189" s="8"/>
      <c r="J3189" s="8"/>
    </row>
    <row r="3190">
      <c r="C3190" s="15"/>
      <c r="E3190" s="8"/>
      <c r="G3190" s="8"/>
      <c r="J3190" s="8"/>
    </row>
    <row r="3191">
      <c r="C3191" s="15"/>
      <c r="E3191" s="8"/>
      <c r="G3191" s="8"/>
      <c r="J3191" s="8"/>
    </row>
    <row r="3192">
      <c r="C3192" s="15"/>
      <c r="E3192" s="8"/>
      <c r="G3192" s="8"/>
      <c r="J3192" s="8"/>
    </row>
    <row r="3193">
      <c r="C3193" s="15"/>
      <c r="E3193" s="8"/>
      <c r="G3193" s="8"/>
      <c r="J3193" s="8"/>
    </row>
    <row r="3194">
      <c r="C3194" s="15"/>
      <c r="E3194" s="8"/>
      <c r="G3194" s="8"/>
      <c r="J3194" s="8"/>
    </row>
    <row r="3195">
      <c r="C3195" s="15"/>
      <c r="E3195" s="8"/>
      <c r="G3195" s="8"/>
      <c r="J3195" s="8"/>
    </row>
    <row r="3196">
      <c r="C3196" s="15"/>
      <c r="E3196" s="8"/>
      <c r="G3196" s="8"/>
      <c r="J3196" s="8"/>
    </row>
    <row r="3197">
      <c r="C3197" s="15"/>
      <c r="E3197" s="8"/>
      <c r="G3197" s="8"/>
      <c r="J3197" s="8"/>
    </row>
    <row r="3198">
      <c r="C3198" s="15"/>
      <c r="E3198" s="8"/>
      <c r="G3198" s="8"/>
      <c r="J3198" s="8"/>
    </row>
    <row r="3199">
      <c r="C3199" s="15"/>
      <c r="E3199" s="8"/>
      <c r="G3199" s="8"/>
      <c r="J3199" s="8"/>
    </row>
    <row r="3200">
      <c r="C3200" s="15"/>
      <c r="E3200" s="8"/>
      <c r="G3200" s="8"/>
      <c r="J3200" s="8"/>
    </row>
    <row r="3201">
      <c r="C3201" s="15"/>
      <c r="E3201" s="8"/>
      <c r="G3201" s="8"/>
      <c r="J3201" s="8"/>
    </row>
    <row r="3202">
      <c r="C3202" s="15"/>
      <c r="E3202" s="8"/>
      <c r="G3202" s="8"/>
      <c r="J3202" s="8"/>
    </row>
    <row r="3203">
      <c r="C3203" s="15"/>
      <c r="E3203" s="8"/>
      <c r="G3203" s="8"/>
      <c r="J3203" s="8"/>
    </row>
    <row r="3204">
      <c r="C3204" s="15"/>
      <c r="E3204" s="8"/>
      <c r="G3204" s="8"/>
      <c r="J3204" s="8"/>
    </row>
    <row r="3205">
      <c r="C3205" s="15"/>
      <c r="E3205" s="8"/>
      <c r="G3205" s="8"/>
      <c r="J3205" s="8"/>
    </row>
    <row r="3206">
      <c r="C3206" s="15"/>
      <c r="E3206" s="8"/>
      <c r="G3206" s="8"/>
      <c r="J3206" s="8"/>
    </row>
    <row r="3207">
      <c r="C3207" s="15"/>
      <c r="E3207" s="8"/>
      <c r="G3207" s="8"/>
      <c r="J3207" s="8"/>
    </row>
    <row r="3208">
      <c r="C3208" s="15"/>
      <c r="E3208" s="8"/>
      <c r="G3208" s="8"/>
      <c r="J3208" s="8"/>
    </row>
    <row r="3209">
      <c r="C3209" s="15"/>
      <c r="E3209" s="8"/>
      <c r="G3209" s="8"/>
      <c r="J3209" s="8"/>
    </row>
    <row r="3210">
      <c r="C3210" s="15"/>
      <c r="E3210" s="8"/>
      <c r="G3210" s="8"/>
      <c r="J3210" s="8"/>
    </row>
    <row r="3211">
      <c r="C3211" s="15"/>
      <c r="E3211" s="8"/>
      <c r="G3211" s="8"/>
      <c r="J3211" s="8"/>
    </row>
    <row r="3212">
      <c r="C3212" s="15"/>
      <c r="E3212" s="8"/>
      <c r="G3212" s="8"/>
      <c r="J3212" s="8"/>
    </row>
    <row r="3213">
      <c r="C3213" s="15"/>
      <c r="E3213" s="8"/>
      <c r="G3213" s="8"/>
      <c r="J3213" s="8"/>
    </row>
    <row r="3214">
      <c r="C3214" s="15"/>
      <c r="E3214" s="8"/>
      <c r="G3214" s="8"/>
      <c r="J3214" s="8"/>
    </row>
    <row r="3215">
      <c r="C3215" s="15"/>
      <c r="E3215" s="8"/>
      <c r="G3215" s="8"/>
      <c r="J3215" s="8"/>
    </row>
    <row r="3216">
      <c r="C3216" s="15"/>
      <c r="E3216" s="8"/>
      <c r="G3216" s="8"/>
      <c r="J3216" s="8"/>
    </row>
    <row r="3217">
      <c r="C3217" s="15"/>
      <c r="E3217" s="8"/>
      <c r="G3217" s="8"/>
      <c r="J3217" s="8"/>
    </row>
    <row r="3218">
      <c r="C3218" s="15"/>
      <c r="E3218" s="8"/>
      <c r="G3218" s="8"/>
      <c r="J3218" s="8"/>
    </row>
    <row r="3219">
      <c r="C3219" s="15"/>
      <c r="E3219" s="8"/>
      <c r="G3219" s="8"/>
      <c r="J3219" s="8"/>
    </row>
    <row r="3220">
      <c r="C3220" s="15"/>
      <c r="E3220" s="8"/>
      <c r="G3220" s="8"/>
      <c r="J3220" s="8"/>
    </row>
    <row r="3221">
      <c r="C3221" s="15"/>
      <c r="E3221" s="8"/>
      <c r="G3221" s="8"/>
      <c r="J3221" s="8"/>
    </row>
    <row r="3222">
      <c r="C3222" s="15"/>
      <c r="E3222" s="8"/>
      <c r="G3222" s="8"/>
      <c r="J3222" s="8"/>
    </row>
    <row r="3223">
      <c r="C3223" s="15"/>
      <c r="E3223" s="8"/>
      <c r="G3223" s="8"/>
      <c r="J3223" s="8"/>
    </row>
    <row r="3224">
      <c r="C3224" s="15"/>
      <c r="E3224" s="8"/>
      <c r="G3224" s="8"/>
      <c r="J3224" s="8"/>
    </row>
    <row r="3225">
      <c r="C3225" s="15"/>
      <c r="E3225" s="8"/>
      <c r="G3225" s="8"/>
      <c r="J3225" s="8"/>
    </row>
    <row r="3226">
      <c r="C3226" s="15"/>
      <c r="E3226" s="8"/>
      <c r="G3226" s="8"/>
      <c r="J3226" s="8"/>
    </row>
    <row r="3227">
      <c r="C3227" s="15"/>
      <c r="E3227" s="8"/>
      <c r="G3227" s="8"/>
      <c r="J3227" s="8"/>
    </row>
    <row r="3228">
      <c r="C3228" s="15"/>
      <c r="E3228" s="8"/>
      <c r="G3228" s="8"/>
      <c r="J3228" s="8"/>
    </row>
    <row r="3229">
      <c r="C3229" s="15"/>
      <c r="E3229" s="8"/>
      <c r="G3229" s="8"/>
      <c r="J3229" s="8"/>
    </row>
    <row r="3230">
      <c r="C3230" s="15"/>
      <c r="E3230" s="8"/>
      <c r="G3230" s="8"/>
      <c r="J3230" s="8"/>
    </row>
    <row r="3231">
      <c r="C3231" s="15"/>
      <c r="E3231" s="8"/>
      <c r="G3231" s="8"/>
      <c r="J3231" s="8"/>
    </row>
    <row r="3232">
      <c r="C3232" s="15"/>
      <c r="E3232" s="8"/>
      <c r="G3232" s="8"/>
      <c r="J3232" s="8"/>
    </row>
    <row r="3233">
      <c r="C3233" s="15"/>
      <c r="E3233" s="8"/>
      <c r="G3233" s="8"/>
      <c r="J3233" s="8"/>
    </row>
    <row r="3234">
      <c r="C3234" s="15"/>
      <c r="E3234" s="8"/>
      <c r="G3234" s="8"/>
      <c r="J3234" s="8"/>
    </row>
    <row r="3235">
      <c r="C3235" s="15"/>
      <c r="E3235" s="8"/>
      <c r="G3235" s="8"/>
      <c r="J3235" s="8"/>
    </row>
    <row r="3236">
      <c r="C3236" s="15"/>
      <c r="E3236" s="8"/>
      <c r="G3236" s="8"/>
      <c r="J3236" s="8"/>
    </row>
    <row r="3237">
      <c r="C3237" s="15"/>
      <c r="E3237" s="8"/>
      <c r="G3237" s="8"/>
      <c r="J3237" s="8"/>
    </row>
    <row r="3238">
      <c r="C3238" s="15"/>
      <c r="E3238" s="8"/>
      <c r="G3238" s="8"/>
      <c r="J3238" s="8"/>
    </row>
    <row r="3239">
      <c r="C3239" s="15"/>
      <c r="E3239" s="8"/>
      <c r="G3239" s="8"/>
      <c r="J3239" s="8"/>
    </row>
    <row r="3240">
      <c r="C3240" s="15"/>
      <c r="E3240" s="8"/>
      <c r="G3240" s="8"/>
      <c r="J3240" s="8"/>
    </row>
    <row r="3241">
      <c r="C3241" s="15"/>
      <c r="E3241" s="8"/>
      <c r="G3241" s="8"/>
      <c r="J3241" s="8"/>
    </row>
    <row r="3242">
      <c r="C3242" s="15"/>
      <c r="E3242" s="8"/>
      <c r="G3242" s="8"/>
      <c r="J3242" s="8"/>
    </row>
    <row r="3243">
      <c r="C3243" s="15"/>
      <c r="E3243" s="8"/>
      <c r="G3243" s="8"/>
      <c r="J3243" s="8"/>
    </row>
    <row r="3244">
      <c r="C3244" s="15"/>
      <c r="E3244" s="8"/>
      <c r="G3244" s="8"/>
      <c r="J3244" s="8"/>
    </row>
    <row r="3245">
      <c r="C3245" s="15"/>
      <c r="E3245" s="8"/>
      <c r="G3245" s="8"/>
      <c r="J3245" s="8"/>
    </row>
    <row r="3246">
      <c r="C3246" s="15"/>
      <c r="E3246" s="8"/>
      <c r="G3246" s="8"/>
      <c r="J3246" s="8"/>
    </row>
    <row r="3247">
      <c r="C3247" s="15"/>
      <c r="E3247" s="8"/>
      <c r="G3247" s="8"/>
      <c r="J3247" s="8"/>
    </row>
    <row r="3248">
      <c r="C3248" s="15"/>
      <c r="E3248" s="8"/>
      <c r="G3248" s="8"/>
      <c r="J3248" s="8"/>
    </row>
    <row r="3249">
      <c r="C3249" s="15"/>
      <c r="E3249" s="8"/>
      <c r="G3249" s="8"/>
      <c r="J3249" s="8"/>
    </row>
    <row r="3250">
      <c r="C3250" s="15"/>
      <c r="E3250" s="8"/>
      <c r="G3250" s="8"/>
      <c r="J3250" s="8"/>
    </row>
    <row r="3251">
      <c r="C3251" s="15"/>
      <c r="E3251" s="8"/>
      <c r="G3251" s="8"/>
      <c r="J3251" s="8"/>
    </row>
    <row r="3252">
      <c r="C3252" s="15"/>
      <c r="E3252" s="8"/>
      <c r="G3252" s="8"/>
      <c r="J3252" s="8"/>
    </row>
    <row r="3253">
      <c r="C3253" s="15"/>
      <c r="E3253" s="8"/>
      <c r="G3253" s="8"/>
      <c r="J3253" s="8"/>
    </row>
    <row r="3254">
      <c r="C3254" s="15"/>
      <c r="E3254" s="8"/>
      <c r="G3254" s="8"/>
      <c r="J3254" s="8"/>
    </row>
    <row r="3255">
      <c r="C3255" s="15"/>
      <c r="E3255" s="8"/>
      <c r="G3255" s="8"/>
      <c r="J3255" s="8"/>
    </row>
    <row r="3256">
      <c r="C3256" s="15"/>
      <c r="E3256" s="8"/>
      <c r="G3256" s="8"/>
      <c r="J3256" s="8"/>
    </row>
    <row r="3257">
      <c r="C3257" s="15"/>
      <c r="E3257" s="8"/>
      <c r="G3257" s="8"/>
      <c r="J3257" s="8"/>
    </row>
    <row r="3258">
      <c r="C3258" s="15"/>
      <c r="E3258" s="8"/>
      <c r="G3258" s="8"/>
      <c r="J3258" s="8"/>
    </row>
    <row r="3259">
      <c r="C3259" s="15"/>
      <c r="E3259" s="8"/>
      <c r="G3259" s="8"/>
      <c r="J3259" s="8"/>
    </row>
    <row r="3260">
      <c r="C3260" s="15"/>
      <c r="E3260" s="8"/>
      <c r="G3260" s="8"/>
      <c r="J3260" s="8"/>
    </row>
    <row r="3261">
      <c r="C3261" s="15"/>
      <c r="E3261" s="8"/>
      <c r="G3261" s="8"/>
      <c r="J3261" s="8"/>
    </row>
    <row r="3262">
      <c r="C3262" s="15"/>
      <c r="E3262" s="8"/>
      <c r="G3262" s="8"/>
      <c r="J3262" s="8"/>
    </row>
    <row r="3263">
      <c r="C3263" s="15"/>
      <c r="E3263" s="8"/>
      <c r="G3263" s="8"/>
      <c r="J3263" s="8"/>
    </row>
    <row r="3264">
      <c r="C3264" s="15"/>
      <c r="E3264" s="8"/>
      <c r="G3264" s="8"/>
      <c r="J3264" s="8"/>
    </row>
    <row r="3265">
      <c r="C3265" s="15"/>
      <c r="E3265" s="8"/>
      <c r="G3265" s="8"/>
      <c r="J3265" s="8"/>
    </row>
    <row r="3266">
      <c r="C3266" s="15"/>
      <c r="E3266" s="8"/>
      <c r="G3266" s="8"/>
      <c r="J3266" s="8"/>
    </row>
    <row r="3267">
      <c r="C3267" s="15"/>
      <c r="E3267" s="8"/>
      <c r="G3267" s="8"/>
      <c r="J3267" s="8"/>
    </row>
    <row r="3268">
      <c r="C3268" s="15"/>
      <c r="E3268" s="8"/>
      <c r="G3268" s="8"/>
      <c r="J3268" s="8"/>
    </row>
    <row r="3269">
      <c r="C3269" s="15"/>
      <c r="E3269" s="8"/>
      <c r="G3269" s="8"/>
      <c r="J3269" s="8"/>
    </row>
    <row r="3270">
      <c r="C3270" s="15"/>
      <c r="E3270" s="8"/>
      <c r="G3270" s="8"/>
      <c r="J3270" s="8"/>
    </row>
    <row r="3271">
      <c r="C3271" s="15"/>
      <c r="E3271" s="8"/>
      <c r="G3271" s="8"/>
      <c r="J3271" s="8"/>
    </row>
    <row r="3272">
      <c r="C3272" s="15"/>
      <c r="E3272" s="8"/>
      <c r="G3272" s="8"/>
      <c r="J3272" s="8"/>
    </row>
    <row r="3273">
      <c r="C3273" s="15"/>
      <c r="E3273" s="8"/>
      <c r="G3273" s="8"/>
      <c r="J3273" s="8"/>
    </row>
    <row r="3274">
      <c r="C3274" s="15"/>
      <c r="E3274" s="8"/>
      <c r="G3274" s="8"/>
      <c r="J3274" s="8"/>
    </row>
    <row r="3275">
      <c r="C3275" s="15"/>
      <c r="E3275" s="8"/>
      <c r="G3275" s="8"/>
      <c r="J3275" s="8"/>
    </row>
    <row r="3276">
      <c r="C3276" s="15"/>
      <c r="E3276" s="8"/>
      <c r="G3276" s="8"/>
      <c r="J3276" s="8"/>
    </row>
    <row r="3277">
      <c r="C3277" s="15"/>
      <c r="E3277" s="8"/>
      <c r="G3277" s="8"/>
      <c r="J3277" s="8"/>
    </row>
    <row r="3278">
      <c r="C3278" s="15"/>
      <c r="E3278" s="8"/>
      <c r="G3278" s="8"/>
      <c r="J3278" s="8"/>
    </row>
    <row r="3279">
      <c r="C3279" s="15"/>
      <c r="E3279" s="8"/>
      <c r="G3279" s="8"/>
      <c r="J3279" s="8"/>
    </row>
    <row r="3280">
      <c r="C3280" s="15"/>
      <c r="E3280" s="8"/>
      <c r="G3280" s="8"/>
      <c r="J3280" s="8"/>
    </row>
    <row r="3281">
      <c r="C3281" s="15"/>
      <c r="E3281" s="8"/>
      <c r="G3281" s="8"/>
      <c r="J3281" s="8"/>
    </row>
    <row r="3282">
      <c r="C3282" s="15"/>
      <c r="E3282" s="8"/>
      <c r="G3282" s="8"/>
      <c r="J3282" s="8"/>
    </row>
    <row r="3283">
      <c r="C3283" s="15"/>
      <c r="E3283" s="8"/>
      <c r="G3283" s="8"/>
      <c r="J3283" s="8"/>
    </row>
    <row r="3284">
      <c r="C3284" s="15"/>
      <c r="E3284" s="8"/>
      <c r="G3284" s="8"/>
      <c r="J3284" s="8"/>
    </row>
    <row r="3285">
      <c r="C3285" s="15"/>
      <c r="E3285" s="8"/>
      <c r="G3285" s="8"/>
      <c r="J3285" s="8"/>
    </row>
    <row r="3286">
      <c r="C3286" s="15"/>
      <c r="E3286" s="8"/>
      <c r="G3286" s="8"/>
      <c r="J3286" s="8"/>
    </row>
    <row r="3287">
      <c r="C3287" s="15"/>
      <c r="E3287" s="8"/>
      <c r="G3287" s="8"/>
      <c r="J3287" s="8"/>
    </row>
    <row r="3288">
      <c r="C3288" s="15"/>
      <c r="E3288" s="8"/>
      <c r="G3288" s="8"/>
      <c r="J3288" s="8"/>
    </row>
    <row r="3289">
      <c r="C3289" s="15"/>
      <c r="E3289" s="8"/>
      <c r="G3289" s="8"/>
      <c r="J3289" s="8"/>
    </row>
    <row r="3290">
      <c r="C3290" s="15"/>
      <c r="E3290" s="8"/>
      <c r="G3290" s="8"/>
      <c r="J3290" s="8"/>
    </row>
    <row r="3291">
      <c r="C3291" s="15"/>
      <c r="E3291" s="8"/>
      <c r="G3291" s="8"/>
      <c r="J3291" s="8"/>
    </row>
    <row r="3292">
      <c r="C3292" s="15"/>
      <c r="E3292" s="8"/>
      <c r="G3292" s="8"/>
      <c r="J3292" s="8"/>
    </row>
    <row r="3293">
      <c r="C3293" s="15"/>
      <c r="E3293" s="8"/>
      <c r="G3293" s="8"/>
      <c r="J3293" s="8"/>
    </row>
    <row r="3294">
      <c r="C3294" s="15"/>
      <c r="E3294" s="8"/>
      <c r="G3294" s="8"/>
      <c r="J3294" s="8"/>
    </row>
    <row r="3295">
      <c r="C3295" s="15"/>
      <c r="E3295" s="8"/>
      <c r="G3295" s="8"/>
      <c r="J3295" s="8"/>
    </row>
    <row r="3296">
      <c r="C3296" s="15"/>
      <c r="E3296" s="8"/>
      <c r="G3296" s="8"/>
      <c r="J3296" s="8"/>
    </row>
    <row r="3297">
      <c r="C3297" s="15"/>
      <c r="E3297" s="8"/>
      <c r="G3297" s="8"/>
      <c r="J3297" s="8"/>
    </row>
    <row r="3298">
      <c r="C3298" s="15"/>
      <c r="E3298" s="8"/>
      <c r="G3298" s="8"/>
      <c r="J3298" s="8"/>
    </row>
    <row r="3299">
      <c r="C3299" s="15"/>
      <c r="E3299" s="8"/>
      <c r="G3299" s="8"/>
      <c r="J3299" s="8"/>
    </row>
    <row r="3300">
      <c r="C3300" s="15"/>
      <c r="E3300" s="8"/>
      <c r="G3300" s="8"/>
      <c r="J3300" s="8"/>
    </row>
    <row r="3301">
      <c r="C3301" s="15"/>
      <c r="E3301" s="8"/>
      <c r="G3301" s="8"/>
      <c r="J3301" s="8"/>
    </row>
    <row r="3302">
      <c r="C3302" s="15"/>
      <c r="E3302" s="8"/>
      <c r="G3302" s="8"/>
      <c r="J3302" s="8"/>
    </row>
    <row r="3303">
      <c r="C3303" s="15"/>
      <c r="E3303" s="8"/>
      <c r="G3303" s="8"/>
      <c r="J3303" s="8"/>
    </row>
    <row r="3304">
      <c r="C3304" s="15"/>
      <c r="E3304" s="8"/>
      <c r="G3304" s="8"/>
      <c r="J3304" s="8"/>
    </row>
    <row r="3305">
      <c r="C3305" s="15"/>
      <c r="E3305" s="8"/>
      <c r="G3305" s="8"/>
      <c r="J3305" s="8"/>
    </row>
    <row r="3306">
      <c r="C3306" s="15"/>
      <c r="E3306" s="8"/>
      <c r="G3306" s="8"/>
      <c r="J3306" s="8"/>
    </row>
    <row r="3307">
      <c r="C3307" s="15"/>
      <c r="E3307" s="8"/>
      <c r="G3307" s="8"/>
      <c r="J3307" s="8"/>
    </row>
    <row r="3308">
      <c r="C3308" s="15"/>
      <c r="E3308" s="8"/>
      <c r="G3308" s="8"/>
      <c r="J3308" s="8"/>
    </row>
    <row r="3309">
      <c r="C3309" s="15"/>
      <c r="E3309" s="8"/>
      <c r="G3309" s="8"/>
      <c r="J3309" s="8"/>
    </row>
    <row r="3310">
      <c r="C3310" s="15"/>
      <c r="E3310" s="8"/>
      <c r="G3310" s="8"/>
      <c r="J3310" s="8"/>
    </row>
    <row r="3311">
      <c r="C3311" s="15"/>
      <c r="E3311" s="8"/>
      <c r="G3311" s="8"/>
      <c r="J3311" s="8"/>
    </row>
    <row r="3312">
      <c r="C3312" s="15"/>
      <c r="E3312" s="8"/>
      <c r="G3312" s="8"/>
      <c r="J3312" s="8"/>
    </row>
    <row r="3313">
      <c r="C3313" s="15"/>
      <c r="E3313" s="8"/>
      <c r="G3313" s="8"/>
      <c r="J3313" s="8"/>
    </row>
    <row r="3314">
      <c r="C3314" s="15"/>
      <c r="E3314" s="8"/>
      <c r="G3314" s="8"/>
      <c r="J3314" s="8"/>
    </row>
    <row r="3315">
      <c r="C3315" s="15"/>
      <c r="E3315" s="8"/>
      <c r="G3315" s="8"/>
      <c r="J3315" s="8"/>
    </row>
    <row r="3316">
      <c r="C3316" s="15"/>
      <c r="E3316" s="8"/>
      <c r="G3316" s="8"/>
      <c r="J3316" s="8"/>
    </row>
    <row r="3317">
      <c r="C3317" s="15"/>
      <c r="E3317" s="8"/>
      <c r="G3317" s="8"/>
      <c r="J3317" s="8"/>
    </row>
    <row r="3318">
      <c r="C3318" s="15"/>
      <c r="E3318" s="8"/>
      <c r="G3318" s="8"/>
      <c r="J3318" s="8"/>
    </row>
    <row r="3319">
      <c r="C3319" s="15"/>
      <c r="E3319" s="8"/>
      <c r="G3319" s="8"/>
      <c r="J3319" s="8"/>
    </row>
    <row r="3320">
      <c r="C3320" s="15"/>
      <c r="E3320" s="8"/>
      <c r="G3320" s="8"/>
      <c r="J3320" s="8"/>
    </row>
    <row r="3321">
      <c r="C3321" s="15"/>
      <c r="E3321" s="8"/>
      <c r="G3321" s="8"/>
      <c r="J3321" s="8"/>
    </row>
    <row r="3322">
      <c r="C3322" s="15"/>
      <c r="E3322" s="8"/>
      <c r="G3322" s="8"/>
      <c r="J3322" s="8"/>
    </row>
    <row r="3323">
      <c r="C3323" s="15"/>
      <c r="E3323" s="8"/>
      <c r="G3323" s="8"/>
      <c r="J3323" s="8"/>
    </row>
    <row r="3324">
      <c r="C3324" s="15"/>
      <c r="E3324" s="8"/>
      <c r="G3324" s="8"/>
      <c r="J3324" s="8"/>
    </row>
    <row r="3325">
      <c r="C3325" s="15"/>
      <c r="E3325" s="8"/>
      <c r="G3325" s="8"/>
      <c r="J3325" s="8"/>
    </row>
    <row r="3326">
      <c r="C3326" s="15"/>
      <c r="E3326" s="8"/>
      <c r="G3326" s="8"/>
      <c r="J3326" s="8"/>
    </row>
    <row r="3327">
      <c r="C3327" s="15"/>
      <c r="E3327" s="8"/>
      <c r="G3327" s="8"/>
      <c r="J3327" s="8"/>
    </row>
    <row r="3328">
      <c r="C3328" s="15"/>
      <c r="E3328" s="8"/>
      <c r="G3328" s="8"/>
      <c r="J3328" s="8"/>
    </row>
    <row r="3329">
      <c r="C3329" s="15"/>
      <c r="E3329" s="8"/>
      <c r="G3329" s="8"/>
      <c r="J3329" s="8"/>
    </row>
    <row r="3330">
      <c r="C3330" s="15"/>
      <c r="E3330" s="8"/>
      <c r="G3330" s="8"/>
      <c r="J3330" s="8"/>
    </row>
    <row r="3331">
      <c r="C3331" s="15"/>
      <c r="E3331" s="8"/>
      <c r="G3331" s="8"/>
      <c r="J3331" s="8"/>
    </row>
    <row r="3332">
      <c r="C3332" s="15"/>
      <c r="E3332" s="8"/>
      <c r="G3332" s="8"/>
      <c r="J3332" s="8"/>
    </row>
    <row r="3333">
      <c r="C3333" s="15"/>
      <c r="E3333" s="8"/>
      <c r="G3333" s="8"/>
      <c r="J3333" s="8"/>
    </row>
    <row r="3334">
      <c r="C3334" s="15"/>
      <c r="E3334" s="8"/>
      <c r="G3334" s="8"/>
      <c r="J3334" s="8"/>
    </row>
    <row r="3335">
      <c r="C3335" s="15"/>
      <c r="E3335" s="8"/>
      <c r="G3335" s="8"/>
      <c r="J3335" s="8"/>
    </row>
    <row r="3336">
      <c r="C3336" s="15"/>
      <c r="E3336" s="8"/>
      <c r="G3336" s="8"/>
      <c r="J3336" s="8"/>
    </row>
    <row r="3337">
      <c r="C3337" s="15"/>
      <c r="E3337" s="8"/>
      <c r="G3337" s="8"/>
      <c r="J3337" s="8"/>
    </row>
    <row r="3338">
      <c r="C3338" s="15"/>
      <c r="E3338" s="8"/>
      <c r="G3338" s="8"/>
      <c r="J3338" s="8"/>
    </row>
    <row r="3339">
      <c r="C3339" s="15"/>
      <c r="E3339" s="8"/>
      <c r="G3339" s="8"/>
      <c r="J3339" s="8"/>
    </row>
    <row r="3340">
      <c r="C3340" s="15"/>
      <c r="E3340" s="8"/>
      <c r="G3340" s="8"/>
      <c r="J3340" s="8"/>
    </row>
    <row r="3341">
      <c r="C3341" s="15"/>
      <c r="E3341" s="8"/>
      <c r="G3341" s="8"/>
      <c r="J3341" s="8"/>
    </row>
    <row r="3342">
      <c r="C3342" s="15"/>
      <c r="E3342" s="8"/>
      <c r="G3342" s="8"/>
      <c r="J3342" s="8"/>
    </row>
    <row r="3343">
      <c r="C3343" s="15"/>
      <c r="E3343" s="8"/>
      <c r="G3343" s="8"/>
      <c r="J3343" s="8"/>
    </row>
    <row r="3344">
      <c r="C3344" s="15"/>
      <c r="E3344" s="8"/>
      <c r="G3344" s="8"/>
      <c r="J3344" s="8"/>
    </row>
    <row r="3345">
      <c r="C3345" s="15"/>
      <c r="E3345" s="8"/>
      <c r="G3345" s="8"/>
      <c r="J3345" s="8"/>
    </row>
    <row r="3346">
      <c r="C3346" s="15"/>
      <c r="E3346" s="8"/>
      <c r="G3346" s="8"/>
      <c r="J3346" s="8"/>
    </row>
    <row r="3347">
      <c r="C3347" s="15"/>
      <c r="E3347" s="8"/>
      <c r="G3347" s="8"/>
      <c r="J3347" s="8"/>
    </row>
    <row r="3348">
      <c r="C3348" s="15"/>
      <c r="E3348" s="8"/>
      <c r="G3348" s="8"/>
      <c r="J3348" s="8"/>
    </row>
    <row r="3349">
      <c r="C3349" s="15"/>
      <c r="E3349" s="8"/>
      <c r="G3349" s="8"/>
      <c r="J3349" s="8"/>
    </row>
    <row r="3350">
      <c r="C3350" s="15"/>
      <c r="E3350" s="8"/>
      <c r="G3350" s="8"/>
      <c r="J3350" s="8"/>
    </row>
    <row r="3351">
      <c r="C3351" s="15"/>
      <c r="E3351" s="8"/>
      <c r="G3351" s="8"/>
      <c r="J3351" s="8"/>
    </row>
    <row r="3352">
      <c r="C3352" s="15"/>
      <c r="E3352" s="8"/>
      <c r="G3352" s="8"/>
      <c r="J3352" s="8"/>
    </row>
    <row r="3353">
      <c r="C3353" s="15"/>
      <c r="E3353" s="8"/>
      <c r="G3353" s="8"/>
      <c r="J3353" s="8"/>
    </row>
    <row r="3354">
      <c r="C3354" s="15"/>
      <c r="E3354" s="8"/>
      <c r="G3354" s="8"/>
      <c r="J3354" s="8"/>
    </row>
    <row r="3355">
      <c r="C3355" s="15"/>
      <c r="E3355" s="8"/>
      <c r="G3355" s="8"/>
      <c r="J3355" s="8"/>
    </row>
    <row r="3356">
      <c r="C3356" s="15"/>
      <c r="E3356" s="8"/>
      <c r="G3356" s="8"/>
      <c r="J3356" s="8"/>
    </row>
    <row r="3357">
      <c r="C3357" s="15"/>
      <c r="E3357" s="8"/>
      <c r="G3357" s="8"/>
      <c r="J3357" s="8"/>
    </row>
    <row r="3358">
      <c r="C3358" s="15"/>
      <c r="E3358" s="8"/>
      <c r="G3358" s="8"/>
      <c r="J3358" s="8"/>
    </row>
    <row r="3359">
      <c r="C3359" s="15"/>
      <c r="E3359" s="8"/>
      <c r="G3359" s="8"/>
      <c r="J3359" s="8"/>
    </row>
    <row r="3360">
      <c r="C3360" s="15"/>
      <c r="E3360" s="8"/>
      <c r="G3360" s="8"/>
      <c r="J3360" s="8"/>
    </row>
    <row r="3361">
      <c r="C3361" s="15"/>
      <c r="E3361" s="8"/>
      <c r="G3361" s="8"/>
      <c r="J3361" s="8"/>
    </row>
    <row r="3362">
      <c r="C3362" s="15"/>
      <c r="E3362" s="8"/>
      <c r="G3362" s="8"/>
      <c r="J3362" s="8"/>
    </row>
    <row r="3363">
      <c r="C3363" s="15"/>
      <c r="E3363" s="8"/>
      <c r="G3363" s="8"/>
      <c r="J3363" s="8"/>
    </row>
    <row r="3364">
      <c r="C3364" s="15"/>
      <c r="E3364" s="8"/>
      <c r="G3364" s="8"/>
      <c r="J3364" s="8"/>
    </row>
    <row r="3365">
      <c r="C3365" s="15"/>
      <c r="E3365" s="8"/>
      <c r="G3365" s="8"/>
      <c r="J3365" s="8"/>
    </row>
    <row r="3366">
      <c r="C3366" s="15"/>
      <c r="E3366" s="8"/>
      <c r="G3366" s="8"/>
      <c r="J3366" s="8"/>
    </row>
    <row r="3367">
      <c r="C3367" s="15"/>
      <c r="E3367" s="8"/>
      <c r="G3367" s="8"/>
      <c r="J3367" s="8"/>
    </row>
    <row r="3368">
      <c r="C3368" s="15"/>
      <c r="E3368" s="8"/>
      <c r="G3368" s="8"/>
      <c r="J3368" s="8"/>
    </row>
    <row r="3369">
      <c r="C3369" s="15"/>
      <c r="E3369" s="8"/>
      <c r="G3369" s="8"/>
      <c r="J3369" s="8"/>
    </row>
    <row r="3370">
      <c r="C3370" s="15"/>
      <c r="E3370" s="8"/>
      <c r="G3370" s="8"/>
      <c r="J3370" s="8"/>
    </row>
    <row r="3371">
      <c r="C3371" s="15"/>
      <c r="E3371" s="8"/>
      <c r="G3371" s="8"/>
      <c r="J3371" s="8"/>
    </row>
    <row r="3372">
      <c r="C3372" s="15"/>
      <c r="E3372" s="8"/>
      <c r="G3372" s="8"/>
      <c r="J3372" s="8"/>
    </row>
    <row r="3373">
      <c r="C3373" s="15"/>
      <c r="E3373" s="8"/>
      <c r="G3373" s="8"/>
      <c r="J3373" s="8"/>
    </row>
    <row r="3374">
      <c r="C3374" s="15"/>
      <c r="E3374" s="8"/>
      <c r="G3374" s="8"/>
      <c r="J3374" s="8"/>
    </row>
    <row r="3375">
      <c r="C3375" s="15"/>
      <c r="E3375" s="8"/>
      <c r="G3375" s="8"/>
      <c r="J3375" s="8"/>
    </row>
    <row r="3376">
      <c r="C3376" s="15"/>
      <c r="E3376" s="8"/>
      <c r="G3376" s="8"/>
      <c r="J3376" s="8"/>
    </row>
    <row r="3377">
      <c r="C3377" s="15"/>
      <c r="E3377" s="8"/>
      <c r="G3377" s="8"/>
      <c r="J3377" s="8"/>
    </row>
    <row r="3378">
      <c r="C3378" s="15"/>
      <c r="E3378" s="8"/>
      <c r="G3378" s="8"/>
      <c r="J3378" s="8"/>
    </row>
    <row r="3379">
      <c r="C3379" s="15"/>
      <c r="E3379" s="8"/>
      <c r="G3379" s="8"/>
      <c r="J3379" s="8"/>
    </row>
    <row r="3380">
      <c r="C3380" s="15"/>
      <c r="E3380" s="8"/>
      <c r="G3380" s="8"/>
      <c r="J3380" s="8"/>
    </row>
    <row r="3381">
      <c r="C3381" s="15"/>
      <c r="E3381" s="8"/>
      <c r="G3381" s="8"/>
      <c r="J3381" s="8"/>
    </row>
    <row r="3382">
      <c r="C3382" s="15"/>
      <c r="E3382" s="8"/>
      <c r="G3382" s="8"/>
      <c r="J3382" s="8"/>
    </row>
    <row r="3383">
      <c r="C3383" s="15"/>
      <c r="E3383" s="8"/>
      <c r="G3383" s="8"/>
      <c r="J3383" s="8"/>
    </row>
    <row r="3384">
      <c r="C3384" s="15"/>
      <c r="E3384" s="8"/>
      <c r="G3384" s="8"/>
      <c r="J3384" s="8"/>
    </row>
    <row r="3385">
      <c r="C3385" s="15"/>
      <c r="E3385" s="8"/>
      <c r="G3385" s="8"/>
      <c r="J3385" s="8"/>
    </row>
    <row r="3386">
      <c r="C3386" s="15"/>
      <c r="E3386" s="8"/>
      <c r="G3386" s="8"/>
      <c r="J3386" s="8"/>
    </row>
    <row r="3387">
      <c r="C3387" s="15"/>
      <c r="E3387" s="8"/>
      <c r="G3387" s="8"/>
      <c r="J3387" s="8"/>
    </row>
    <row r="3388">
      <c r="C3388" s="15"/>
      <c r="E3388" s="8"/>
      <c r="G3388" s="8"/>
      <c r="J3388" s="8"/>
    </row>
    <row r="3389">
      <c r="C3389" s="15"/>
      <c r="E3389" s="8"/>
      <c r="G3389" s="8"/>
      <c r="J3389" s="8"/>
    </row>
    <row r="3390">
      <c r="C3390" s="15"/>
      <c r="E3390" s="8"/>
      <c r="G3390" s="8"/>
      <c r="J3390" s="8"/>
    </row>
    <row r="3391">
      <c r="C3391" s="15"/>
      <c r="E3391" s="8"/>
      <c r="G3391" s="8"/>
      <c r="J3391" s="8"/>
    </row>
    <row r="3392">
      <c r="C3392" s="15"/>
      <c r="E3392" s="8"/>
      <c r="G3392" s="8"/>
      <c r="J3392" s="8"/>
    </row>
    <row r="3393">
      <c r="C3393" s="15"/>
      <c r="E3393" s="8"/>
      <c r="G3393" s="8"/>
      <c r="J3393" s="8"/>
    </row>
    <row r="3394">
      <c r="C3394" s="15"/>
      <c r="E3394" s="8"/>
      <c r="G3394" s="8"/>
      <c r="J3394" s="8"/>
    </row>
    <row r="3395">
      <c r="C3395" s="15"/>
      <c r="E3395" s="8"/>
      <c r="G3395" s="8"/>
      <c r="J3395" s="8"/>
    </row>
    <row r="3396">
      <c r="C3396" s="15"/>
      <c r="E3396" s="8"/>
      <c r="G3396" s="8"/>
      <c r="J3396" s="8"/>
    </row>
    <row r="3397">
      <c r="C3397" s="15"/>
      <c r="E3397" s="8"/>
      <c r="G3397" s="8"/>
      <c r="J3397" s="8"/>
    </row>
    <row r="3398">
      <c r="C3398" s="15"/>
      <c r="E3398" s="8"/>
      <c r="G3398" s="8"/>
      <c r="J3398" s="8"/>
    </row>
    <row r="3399">
      <c r="C3399" s="15"/>
      <c r="E3399" s="8"/>
      <c r="G3399" s="8"/>
      <c r="J3399" s="8"/>
    </row>
    <row r="3400">
      <c r="C3400" s="15"/>
      <c r="E3400" s="8"/>
      <c r="G3400" s="8"/>
      <c r="J3400" s="8"/>
    </row>
    <row r="3401">
      <c r="C3401" s="15"/>
      <c r="E3401" s="8"/>
      <c r="G3401" s="8"/>
      <c r="J3401" s="8"/>
    </row>
    <row r="3402">
      <c r="C3402" s="15"/>
      <c r="E3402" s="8"/>
      <c r="G3402" s="8"/>
      <c r="J3402" s="8"/>
    </row>
    <row r="3403">
      <c r="C3403" s="15"/>
      <c r="E3403" s="8"/>
      <c r="G3403" s="8"/>
      <c r="J3403" s="8"/>
    </row>
    <row r="3404">
      <c r="C3404" s="15"/>
      <c r="E3404" s="8"/>
      <c r="G3404" s="8"/>
      <c r="J3404" s="8"/>
    </row>
    <row r="3405">
      <c r="C3405" s="15"/>
      <c r="E3405" s="8"/>
      <c r="G3405" s="8"/>
      <c r="J3405" s="8"/>
    </row>
    <row r="3406">
      <c r="C3406" s="15"/>
      <c r="E3406" s="8"/>
      <c r="G3406" s="8"/>
      <c r="J3406" s="8"/>
    </row>
    <row r="3407">
      <c r="C3407" s="15"/>
      <c r="E3407" s="8"/>
      <c r="G3407" s="8"/>
      <c r="J3407" s="8"/>
    </row>
    <row r="3408">
      <c r="C3408" s="15"/>
      <c r="E3408" s="8"/>
      <c r="G3408" s="8"/>
      <c r="J3408" s="8"/>
    </row>
    <row r="3409">
      <c r="C3409" s="15"/>
      <c r="E3409" s="8"/>
      <c r="G3409" s="8"/>
      <c r="J3409" s="8"/>
    </row>
    <row r="3410">
      <c r="C3410" s="15"/>
      <c r="E3410" s="8"/>
      <c r="G3410" s="8"/>
      <c r="J3410" s="8"/>
    </row>
    <row r="3411">
      <c r="C3411" s="15"/>
      <c r="E3411" s="8"/>
      <c r="G3411" s="8"/>
      <c r="J3411" s="8"/>
    </row>
    <row r="3412">
      <c r="C3412" s="15"/>
      <c r="E3412" s="8"/>
      <c r="G3412" s="8"/>
      <c r="J3412" s="8"/>
    </row>
    <row r="3413">
      <c r="C3413" s="15"/>
      <c r="E3413" s="8"/>
      <c r="G3413" s="8"/>
      <c r="J3413" s="8"/>
    </row>
    <row r="3414">
      <c r="C3414" s="15"/>
      <c r="E3414" s="8"/>
      <c r="G3414" s="8"/>
      <c r="J3414" s="8"/>
    </row>
    <row r="3415">
      <c r="C3415" s="15"/>
      <c r="E3415" s="8"/>
      <c r="G3415" s="8"/>
      <c r="J3415" s="8"/>
    </row>
    <row r="3416">
      <c r="C3416" s="15"/>
      <c r="E3416" s="8"/>
      <c r="G3416" s="8"/>
      <c r="J3416" s="8"/>
    </row>
    <row r="3417">
      <c r="C3417" s="15"/>
      <c r="E3417" s="8"/>
      <c r="G3417" s="8"/>
      <c r="J3417" s="8"/>
    </row>
    <row r="3418">
      <c r="C3418" s="15"/>
      <c r="E3418" s="8"/>
      <c r="G3418" s="8"/>
      <c r="J3418" s="8"/>
    </row>
    <row r="3419">
      <c r="C3419" s="15"/>
      <c r="E3419" s="8"/>
      <c r="G3419" s="8"/>
      <c r="J3419" s="8"/>
    </row>
    <row r="3420">
      <c r="C3420" s="15"/>
      <c r="E3420" s="8"/>
      <c r="G3420" s="8"/>
      <c r="J3420" s="8"/>
    </row>
    <row r="3421">
      <c r="C3421" s="15"/>
      <c r="E3421" s="8"/>
      <c r="G3421" s="8"/>
      <c r="J3421" s="8"/>
    </row>
    <row r="3422">
      <c r="C3422" s="15"/>
      <c r="E3422" s="8"/>
      <c r="G3422" s="8"/>
      <c r="J3422" s="8"/>
    </row>
    <row r="3423">
      <c r="C3423" s="15"/>
      <c r="E3423" s="8"/>
      <c r="G3423" s="8"/>
      <c r="J3423" s="8"/>
    </row>
    <row r="3424">
      <c r="C3424" s="15"/>
      <c r="E3424" s="8"/>
      <c r="G3424" s="8"/>
      <c r="J3424" s="8"/>
    </row>
    <row r="3425">
      <c r="C3425" s="15"/>
      <c r="E3425" s="8"/>
      <c r="G3425" s="8"/>
      <c r="J3425" s="8"/>
    </row>
    <row r="3426">
      <c r="C3426" s="15"/>
      <c r="E3426" s="8"/>
      <c r="G3426" s="8"/>
      <c r="J3426" s="8"/>
    </row>
    <row r="3427">
      <c r="C3427" s="15"/>
      <c r="E3427" s="8"/>
      <c r="G3427" s="8"/>
      <c r="J3427" s="8"/>
    </row>
    <row r="3428">
      <c r="C3428" s="15"/>
      <c r="E3428" s="8"/>
      <c r="G3428" s="8"/>
      <c r="J3428" s="8"/>
    </row>
    <row r="3429">
      <c r="C3429" s="15"/>
      <c r="E3429" s="8"/>
      <c r="G3429" s="8"/>
      <c r="J3429" s="8"/>
    </row>
    <row r="3430">
      <c r="C3430" s="15"/>
      <c r="E3430" s="8"/>
      <c r="G3430" s="8"/>
      <c r="J3430" s="8"/>
    </row>
    <row r="3431">
      <c r="C3431" s="15"/>
      <c r="E3431" s="8"/>
      <c r="G3431" s="8"/>
      <c r="J3431" s="8"/>
    </row>
    <row r="3432">
      <c r="C3432" s="15"/>
      <c r="E3432" s="8"/>
      <c r="G3432" s="8"/>
      <c r="J3432" s="8"/>
    </row>
    <row r="3433">
      <c r="C3433" s="15"/>
      <c r="E3433" s="8"/>
      <c r="G3433" s="8"/>
      <c r="J3433" s="8"/>
    </row>
    <row r="3434">
      <c r="C3434" s="15"/>
      <c r="E3434" s="8"/>
      <c r="G3434" s="8"/>
      <c r="J3434" s="8"/>
    </row>
    <row r="3435">
      <c r="C3435" s="15"/>
      <c r="E3435" s="8"/>
      <c r="G3435" s="8"/>
      <c r="J3435" s="8"/>
    </row>
    <row r="3436">
      <c r="C3436" s="15"/>
      <c r="E3436" s="8"/>
      <c r="G3436" s="8"/>
      <c r="J3436" s="8"/>
    </row>
    <row r="3437">
      <c r="C3437" s="15"/>
      <c r="E3437" s="8"/>
      <c r="G3437" s="8"/>
      <c r="J3437" s="8"/>
    </row>
    <row r="3438">
      <c r="C3438" s="15"/>
      <c r="E3438" s="8"/>
      <c r="G3438" s="8"/>
      <c r="J3438" s="8"/>
    </row>
    <row r="3439">
      <c r="C3439" s="15"/>
      <c r="E3439" s="8"/>
      <c r="G3439" s="8"/>
      <c r="J3439" s="8"/>
    </row>
    <row r="3440">
      <c r="C3440" s="15"/>
      <c r="E3440" s="8"/>
      <c r="G3440" s="8"/>
      <c r="J3440" s="8"/>
    </row>
    <row r="3441">
      <c r="C3441" s="15"/>
      <c r="E3441" s="8"/>
      <c r="G3441" s="8"/>
      <c r="J3441" s="8"/>
    </row>
    <row r="3442">
      <c r="C3442" s="15"/>
      <c r="E3442" s="8"/>
      <c r="G3442" s="8"/>
      <c r="J3442" s="8"/>
    </row>
    <row r="3443">
      <c r="C3443" s="15"/>
      <c r="E3443" s="8"/>
      <c r="G3443" s="8"/>
      <c r="J3443" s="8"/>
    </row>
    <row r="3444">
      <c r="C3444" s="15"/>
      <c r="E3444" s="8"/>
      <c r="G3444" s="8"/>
      <c r="J3444" s="8"/>
    </row>
    <row r="3445">
      <c r="C3445" s="15"/>
      <c r="E3445" s="8"/>
      <c r="G3445" s="8"/>
      <c r="J3445" s="8"/>
    </row>
    <row r="3446">
      <c r="C3446" s="15"/>
      <c r="E3446" s="8"/>
      <c r="G3446" s="8"/>
      <c r="J3446" s="8"/>
    </row>
    <row r="3447">
      <c r="C3447" s="15"/>
      <c r="E3447" s="8"/>
      <c r="G3447" s="8"/>
      <c r="J3447" s="8"/>
    </row>
    <row r="3448">
      <c r="C3448" s="15"/>
      <c r="E3448" s="8"/>
      <c r="G3448" s="8"/>
      <c r="J3448" s="8"/>
    </row>
    <row r="3449">
      <c r="C3449" s="15"/>
      <c r="E3449" s="8"/>
      <c r="G3449" s="8"/>
      <c r="J3449" s="8"/>
    </row>
    <row r="3450">
      <c r="C3450" s="15"/>
      <c r="E3450" s="8"/>
      <c r="G3450" s="8"/>
      <c r="J3450" s="8"/>
    </row>
    <row r="3451">
      <c r="C3451" s="15"/>
      <c r="E3451" s="8"/>
      <c r="G3451" s="8"/>
      <c r="J3451" s="8"/>
    </row>
    <row r="3452">
      <c r="C3452" s="15"/>
      <c r="E3452" s="8"/>
      <c r="G3452" s="8"/>
      <c r="J3452" s="8"/>
    </row>
    <row r="3453">
      <c r="C3453" s="15"/>
      <c r="E3453" s="8"/>
      <c r="G3453" s="8"/>
      <c r="J3453" s="8"/>
    </row>
    <row r="3454">
      <c r="C3454" s="15"/>
      <c r="E3454" s="8"/>
      <c r="G3454" s="8"/>
      <c r="J3454" s="8"/>
    </row>
    <row r="3455">
      <c r="C3455" s="15"/>
      <c r="E3455" s="8"/>
      <c r="G3455" s="8"/>
      <c r="J3455" s="8"/>
    </row>
    <row r="3456">
      <c r="C3456" s="15"/>
      <c r="E3456" s="8"/>
      <c r="G3456" s="8"/>
      <c r="J3456" s="8"/>
    </row>
    <row r="3457">
      <c r="C3457" s="15"/>
      <c r="E3457" s="8"/>
      <c r="G3457" s="8"/>
      <c r="J3457" s="8"/>
    </row>
    <row r="3458">
      <c r="C3458" s="15"/>
      <c r="E3458" s="8"/>
      <c r="G3458" s="8"/>
      <c r="J3458" s="8"/>
    </row>
    <row r="3459">
      <c r="C3459" s="15"/>
      <c r="E3459" s="8"/>
      <c r="G3459" s="8"/>
      <c r="J3459" s="8"/>
    </row>
    <row r="3460">
      <c r="C3460" s="15"/>
      <c r="E3460" s="8"/>
      <c r="G3460" s="8"/>
      <c r="J3460" s="8"/>
    </row>
    <row r="3461">
      <c r="C3461" s="15"/>
      <c r="E3461" s="8"/>
      <c r="G3461" s="8"/>
      <c r="J3461" s="8"/>
    </row>
    <row r="3462">
      <c r="C3462" s="15"/>
      <c r="E3462" s="8"/>
      <c r="G3462" s="8"/>
      <c r="J3462" s="8"/>
    </row>
    <row r="3463">
      <c r="C3463" s="15"/>
      <c r="E3463" s="8"/>
      <c r="G3463" s="8"/>
      <c r="J3463" s="8"/>
    </row>
    <row r="3464">
      <c r="C3464" s="15"/>
      <c r="E3464" s="8"/>
      <c r="G3464" s="8"/>
      <c r="J3464" s="8"/>
    </row>
    <row r="3465">
      <c r="C3465" s="15"/>
      <c r="E3465" s="8"/>
      <c r="G3465" s="8"/>
      <c r="J3465" s="8"/>
    </row>
    <row r="3466">
      <c r="C3466" s="15"/>
      <c r="E3466" s="8"/>
      <c r="G3466" s="8"/>
      <c r="J3466" s="8"/>
    </row>
    <row r="3467">
      <c r="C3467" s="15"/>
      <c r="E3467" s="8"/>
      <c r="G3467" s="8"/>
      <c r="J3467" s="8"/>
    </row>
    <row r="3468">
      <c r="C3468" s="15"/>
      <c r="E3468" s="8"/>
      <c r="G3468" s="8"/>
      <c r="J3468" s="8"/>
    </row>
    <row r="3469">
      <c r="C3469" s="15"/>
      <c r="E3469" s="8"/>
      <c r="G3469" s="8"/>
      <c r="J3469" s="8"/>
    </row>
    <row r="3470">
      <c r="C3470" s="15"/>
      <c r="E3470" s="8"/>
      <c r="G3470" s="8"/>
      <c r="J3470" s="8"/>
    </row>
    <row r="3471">
      <c r="C3471" s="15"/>
      <c r="E3471" s="8"/>
      <c r="G3471" s="8"/>
      <c r="J3471" s="8"/>
    </row>
    <row r="3472">
      <c r="C3472" s="15"/>
      <c r="E3472" s="8"/>
      <c r="G3472" s="8"/>
      <c r="J3472" s="8"/>
    </row>
    <row r="3473">
      <c r="C3473" s="15"/>
      <c r="E3473" s="8"/>
      <c r="G3473" s="8"/>
      <c r="J3473" s="8"/>
    </row>
    <row r="3474">
      <c r="C3474" s="15"/>
      <c r="E3474" s="8"/>
      <c r="G3474" s="8"/>
      <c r="J3474" s="8"/>
    </row>
    <row r="3475">
      <c r="C3475" s="15"/>
      <c r="E3475" s="8"/>
      <c r="G3475" s="8"/>
      <c r="J3475" s="8"/>
    </row>
    <row r="3476">
      <c r="C3476" s="15"/>
      <c r="E3476" s="8"/>
      <c r="G3476" s="8"/>
      <c r="J3476" s="8"/>
    </row>
    <row r="3477">
      <c r="C3477" s="15"/>
      <c r="E3477" s="8"/>
      <c r="G3477" s="8"/>
      <c r="J3477" s="8"/>
    </row>
    <row r="3478">
      <c r="C3478" s="15"/>
      <c r="E3478" s="8"/>
      <c r="G3478" s="8"/>
      <c r="J3478" s="8"/>
    </row>
    <row r="3479">
      <c r="C3479" s="15"/>
      <c r="E3479" s="8"/>
      <c r="G3479" s="8"/>
      <c r="J3479" s="8"/>
    </row>
    <row r="3480">
      <c r="C3480" s="15"/>
      <c r="E3480" s="8"/>
      <c r="G3480" s="8"/>
      <c r="J3480" s="8"/>
    </row>
    <row r="3481">
      <c r="C3481" s="15"/>
      <c r="E3481" s="8"/>
      <c r="G3481" s="8"/>
      <c r="J3481" s="8"/>
    </row>
    <row r="3482">
      <c r="C3482" s="15"/>
      <c r="E3482" s="8"/>
      <c r="G3482" s="8"/>
      <c r="J3482" s="8"/>
    </row>
    <row r="3483">
      <c r="C3483" s="15"/>
      <c r="E3483" s="8"/>
      <c r="G3483" s="8"/>
      <c r="J3483" s="8"/>
    </row>
    <row r="3484">
      <c r="C3484" s="15"/>
      <c r="E3484" s="8"/>
      <c r="G3484" s="8"/>
      <c r="J3484" s="8"/>
    </row>
    <row r="3485">
      <c r="C3485" s="15"/>
      <c r="E3485" s="8"/>
      <c r="G3485" s="8"/>
      <c r="J3485" s="8"/>
    </row>
    <row r="3486">
      <c r="C3486" s="15"/>
      <c r="E3486" s="8"/>
      <c r="G3486" s="8"/>
      <c r="J3486" s="8"/>
    </row>
    <row r="3487">
      <c r="C3487" s="15"/>
      <c r="E3487" s="8"/>
      <c r="G3487" s="8"/>
      <c r="J3487" s="8"/>
    </row>
    <row r="3488">
      <c r="C3488" s="15"/>
      <c r="E3488" s="8"/>
      <c r="G3488" s="8"/>
      <c r="J3488" s="8"/>
    </row>
    <row r="3489">
      <c r="C3489" s="15"/>
      <c r="E3489" s="8"/>
      <c r="G3489" s="8"/>
      <c r="J3489" s="8"/>
    </row>
    <row r="3490">
      <c r="C3490" s="15"/>
      <c r="E3490" s="8"/>
      <c r="G3490" s="8"/>
      <c r="J3490" s="8"/>
    </row>
    <row r="3491">
      <c r="C3491" s="15"/>
      <c r="E3491" s="8"/>
      <c r="G3491" s="8"/>
      <c r="J3491" s="8"/>
    </row>
    <row r="3492">
      <c r="C3492" s="15"/>
      <c r="E3492" s="8"/>
      <c r="G3492" s="8"/>
      <c r="J3492" s="8"/>
    </row>
    <row r="3493">
      <c r="C3493" s="15"/>
      <c r="E3493" s="8"/>
      <c r="G3493" s="8"/>
      <c r="J3493" s="8"/>
    </row>
    <row r="3494">
      <c r="C3494" s="15"/>
      <c r="E3494" s="8"/>
      <c r="G3494" s="8"/>
      <c r="J3494" s="8"/>
    </row>
    <row r="3495">
      <c r="C3495" s="15"/>
      <c r="E3495" s="8"/>
      <c r="G3495" s="8"/>
      <c r="J3495" s="8"/>
    </row>
    <row r="3496">
      <c r="C3496" s="15"/>
      <c r="E3496" s="8"/>
      <c r="G3496" s="8"/>
      <c r="J3496" s="8"/>
    </row>
    <row r="3497">
      <c r="C3497" s="15"/>
      <c r="E3497" s="8"/>
      <c r="G3497" s="8"/>
      <c r="J3497" s="8"/>
    </row>
    <row r="3498">
      <c r="C3498" s="15"/>
      <c r="E3498" s="8"/>
      <c r="G3498" s="8"/>
      <c r="J3498" s="8"/>
    </row>
    <row r="3499">
      <c r="C3499" s="15"/>
      <c r="E3499" s="8"/>
      <c r="G3499" s="8"/>
      <c r="J3499" s="8"/>
    </row>
    <row r="3500">
      <c r="C3500" s="15"/>
      <c r="E3500" s="8"/>
      <c r="G3500" s="8"/>
      <c r="J3500" s="8"/>
    </row>
    <row r="3501">
      <c r="C3501" s="15"/>
      <c r="E3501" s="8"/>
      <c r="G3501" s="8"/>
      <c r="J3501" s="8"/>
    </row>
    <row r="3502">
      <c r="C3502" s="15"/>
      <c r="E3502" s="8"/>
      <c r="G3502" s="8"/>
      <c r="J3502" s="8"/>
    </row>
    <row r="3503">
      <c r="C3503" s="15"/>
      <c r="E3503" s="8"/>
      <c r="G3503" s="8"/>
      <c r="J3503" s="8"/>
    </row>
    <row r="3504">
      <c r="C3504" s="15"/>
      <c r="E3504" s="8"/>
      <c r="G3504" s="8"/>
      <c r="J3504" s="8"/>
    </row>
    <row r="3505">
      <c r="C3505" s="15"/>
      <c r="E3505" s="8"/>
      <c r="G3505" s="8"/>
      <c r="J3505" s="8"/>
    </row>
    <row r="3506">
      <c r="C3506" s="15"/>
      <c r="E3506" s="8"/>
      <c r="G3506" s="8"/>
      <c r="J3506" s="8"/>
    </row>
    <row r="3507">
      <c r="C3507" s="15"/>
      <c r="E3507" s="8"/>
      <c r="G3507" s="8"/>
      <c r="J3507" s="8"/>
    </row>
    <row r="3508">
      <c r="C3508" s="15"/>
      <c r="E3508" s="8"/>
      <c r="G3508" s="8"/>
      <c r="J3508" s="8"/>
    </row>
    <row r="3509">
      <c r="C3509" s="15"/>
      <c r="E3509" s="8"/>
      <c r="G3509" s="8"/>
      <c r="J3509" s="8"/>
    </row>
    <row r="3510">
      <c r="C3510" s="15"/>
      <c r="E3510" s="8"/>
      <c r="G3510" s="8"/>
      <c r="J3510" s="8"/>
    </row>
    <row r="3511">
      <c r="C3511" s="15"/>
      <c r="E3511" s="8"/>
      <c r="G3511" s="8"/>
      <c r="J3511" s="8"/>
    </row>
    <row r="3512">
      <c r="C3512" s="15"/>
      <c r="E3512" s="8"/>
      <c r="G3512" s="8"/>
      <c r="J3512" s="8"/>
    </row>
    <row r="3513">
      <c r="C3513" s="15"/>
      <c r="E3513" s="8"/>
      <c r="G3513" s="8"/>
      <c r="J3513" s="8"/>
    </row>
    <row r="3514">
      <c r="C3514" s="15"/>
      <c r="E3514" s="8"/>
      <c r="G3514" s="8"/>
      <c r="J3514" s="8"/>
    </row>
    <row r="3515">
      <c r="C3515" s="15"/>
      <c r="E3515" s="8"/>
      <c r="G3515" s="8"/>
      <c r="J3515" s="8"/>
    </row>
    <row r="3516">
      <c r="C3516" s="15"/>
      <c r="E3516" s="8"/>
      <c r="G3516" s="8"/>
      <c r="J3516" s="8"/>
    </row>
    <row r="3517">
      <c r="C3517" s="15"/>
      <c r="E3517" s="8"/>
      <c r="G3517" s="8"/>
      <c r="J3517" s="8"/>
    </row>
    <row r="3518">
      <c r="C3518" s="15"/>
      <c r="E3518" s="8"/>
      <c r="G3518" s="8"/>
      <c r="J3518" s="8"/>
    </row>
    <row r="3519">
      <c r="C3519" s="15"/>
      <c r="E3519" s="8"/>
      <c r="G3519" s="8"/>
      <c r="J3519" s="8"/>
    </row>
    <row r="3520">
      <c r="C3520" s="15"/>
      <c r="E3520" s="8"/>
      <c r="G3520" s="8"/>
      <c r="J3520" s="8"/>
    </row>
    <row r="3521">
      <c r="C3521" s="15"/>
      <c r="E3521" s="8"/>
      <c r="G3521" s="8"/>
      <c r="J3521" s="8"/>
    </row>
    <row r="3522">
      <c r="C3522" s="15"/>
      <c r="E3522" s="8"/>
      <c r="G3522" s="8"/>
      <c r="J3522" s="8"/>
    </row>
    <row r="3523">
      <c r="C3523" s="15"/>
      <c r="E3523" s="8"/>
      <c r="G3523" s="8"/>
      <c r="J3523" s="8"/>
    </row>
    <row r="3524">
      <c r="C3524" s="15"/>
      <c r="E3524" s="8"/>
      <c r="G3524" s="8"/>
      <c r="J3524" s="8"/>
    </row>
    <row r="3525">
      <c r="C3525" s="15"/>
      <c r="E3525" s="8"/>
      <c r="G3525" s="8"/>
      <c r="J3525" s="8"/>
    </row>
    <row r="3526">
      <c r="C3526" s="15"/>
      <c r="E3526" s="8"/>
      <c r="G3526" s="8"/>
      <c r="J3526" s="8"/>
    </row>
    <row r="3527">
      <c r="C3527" s="15"/>
      <c r="E3527" s="8"/>
      <c r="G3527" s="8"/>
      <c r="J3527" s="8"/>
    </row>
    <row r="3528">
      <c r="C3528" s="15"/>
      <c r="E3528" s="8"/>
      <c r="G3528" s="8"/>
      <c r="J3528" s="8"/>
    </row>
    <row r="3529">
      <c r="C3529" s="15"/>
      <c r="E3529" s="8"/>
      <c r="G3529" s="8"/>
      <c r="J3529" s="8"/>
    </row>
    <row r="3530">
      <c r="C3530" s="15"/>
      <c r="E3530" s="8"/>
      <c r="G3530" s="8"/>
      <c r="J3530" s="8"/>
    </row>
    <row r="3531">
      <c r="C3531" s="15"/>
      <c r="E3531" s="8"/>
      <c r="G3531" s="8"/>
      <c r="J3531" s="8"/>
    </row>
    <row r="3532">
      <c r="C3532" s="15"/>
      <c r="E3532" s="8"/>
      <c r="G3532" s="8"/>
      <c r="J3532" s="8"/>
    </row>
    <row r="3533">
      <c r="C3533" s="15"/>
      <c r="E3533" s="8"/>
      <c r="G3533" s="8"/>
      <c r="J3533" s="8"/>
    </row>
    <row r="3534">
      <c r="C3534" s="15"/>
      <c r="E3534" s="8"/>
      <c r="G3534" s="8"/>
      <c r="J3534" s="8"/>
    </row>
    <row r="3535">
      <c r="C3535" s="15"/>
      <c r="E3535" s="8"/>
      <c r="G3535" s="8"/>
      <c r="J3535" s="8"/>
    </row>
    <row r="3536">
      <c r="C3536" s="15"/>
      <c r="E3536" s="8"/>
      <c r="G3536" s="8"/>
      <c r="J3536" s="8"/>
    </row>
    <row r="3537">
      <c r="C3537" s="15"/>
      <c r="E3537" s="8"/>
      <c r="G3537" s="8"/>
      <c r="J3537" s="8"/>
    </row>
    <row r="3538">
      <c r="C3538" s="15"/>
      <c r="E3538" s="8"/>
      <c r="G3538" s="8"/>
      <c r="J3538" s="8"/>
    </row>
    <row r="3539">
      <c r="C3539" s="15"/>
      <c r="E3539" s="8"/>
      <c r="G3539" s="8"/>
      <c r="J3539" s="8"/>
    </row>
    <row r="3540">
      <c r="C3540" s="15"/>
      <c r="E3540" s="8"/>
      <c r="G3540" s="8"/>
      <c r="J3540" s="8"/>
    </row>
    <row r="3541">
      <c r="C3541" s="15"/>
      <c r="E3541" s="8"/>
      <c r="G3541" s="8"/>
      <c r="J3541" s="8"/>
    </row>
    <row r="3542">
      <c r="C3542" s="15"/>
      <c r="E3542" s="8"/>
      <c r="G3542" s="8"/>
      <c r="J3542" s="8"/>
    </row>
    <row r="3543">
      <c r="C3543" s="15"/>
      <c r="E3543" s="8"/>
      <c r="G3543" s="8"/>
      <c r="J3543" s="8"/>
    </row>
    <row r="3544">
      <c r="C3544" s="15"/>
      <c r="E3544" s="8"/>
      <c r="G3544" s="8"/>
      <c r="J3544" s="8"/>
    </row>
    <row r="3545">
      <c r="C3545" s="15"/>
      <c r="E3545" s="8"/>
      <c r="G3545" s="8"/>
      <c r="J3545" s="8"/>
    </row>
    <row r="3546">
      <c r="C3546" s="15"/>
      <c r="E3546" s="8"/>
      <c r="G3546" s="8"/>
      <c r="J3546" s="8"/>
    </row>
    <row r="3547">
      <c r="C3547" s="15"/>
      <c r="E3547" s="8"/>
      <c r="G3547" s="8"/>
      <c r="J3547" s="8"/>
    </row>
    <row r="3548">
      <c r="C3548" s="15"/>
      <c r="E3548" s="8"/>
      <c r="G3548" s="8"/>
      <c r="J3548" s="8"/>
    </row>
    <row r="3549">
      <c r="C3549" s="15"/>
      <c r="E3549" s="8"/>
      <c r="G3549" s="8"/>
      <c r="J3549" s="8"/>
    </row>
    <row r="3550">
      <c r="C3550" s="15"/>
      <c r="E3550" s="8"/>
      <c r="G3550" s="8"/>
      <c r="J3550" s="8"/>
    </row>
    <row r="3551">
      <c r="C3551" s="15"/>
      <c r="E3551" s="8"/>
      <c r="G3551" s="8"/>
      <c r="J3551" s="8"/>
    </row>
    <row r="3552">
      <c r="C3552" s="15"/>
      <c r="E3552" s="8"/>
      <c r="G3552" s="8"/>
      <c r="J3552" s="8"/>
    </row>
    <row r="3553">
      <c r="C3553" s="15"/>
      <c r="E3553" s="8"/>
      <c r="G3553" s="8"/>
      <c r="J3553" s="8"/>
    </row>
    <row r="3554">
      <c r="C3554" s="15"/>
      <c r="E3554" s="8"/>
      <c r="G3554" s="8"/>
      <c r="J3554" s="8"/>
    </row>
    <row r="3555">
      <c r="C3555" s="15"/>
      <c r="E3555" s="8"/>
      <c r="G3555" s="8"/>
      <c r="J3555" s="8"/>
    </row>
    <row r="3556">
      <c r="C3556" s="15"/>
      <c r="E3556" s="8"/>
      <c r="G3556" s="8"/>
      <c r="J3556" s="8"/>
    </row>
    <row r="3557">
      <c r="C3557" s="15"/>
      <c r="E3557" s="8"/>
      <c r="G3557" s="8"/>
      <c r="J3557" s="8"/>
    </row>
    <row r="3558">
      <c r="C3558" s="15"/>
      <c r="E3558" s="8"/>
      <c r="G3558" s="8"/>
      <c r="J3558" s="8"/>
    </row>
    <row r="3559">
      <c r="C3559" s="15"/>
      <c r="E3559" s="8"/>
      <c r="G3559" s="8"/>
      <c r="J3559" s="8"/>
    </row>
    <row r="3560">
      <c r="C3560" s="15"/>
      <c r="E3560" s="8"/>
      <c r="G3560" s="8"/>
      <c r="J3560" s="8"/>
    </row>
    <row r="3561">
      <c r="C3561" s="15"/>
      <c r="E3561" s="8"/>
      <c r="G3561" s="8"/>
      <c r="J3561" s="8"/>
    </row>
    <row r="3562">
      <c r="C3562" s="15"/>
      <c r="E3562" s="8"/>
      <c r="G3562" s="8"/>
      <c r="J3562" s="8"/>
    </row>
    <row r="3563">
      <c r="C3563" s="15"/>
      <c r="E3563" s="8"/>
      <c r="G3563" s="8"/>
      <c r="J3563" s="8"/>
    </row>
    <row r="3564">
      <c r="C3564" s="15"/>
      <c r="E3564" s="8"/>
      <c r="G3564" s="8"/>
      <c r="J3564" s="8"/>
    </row>
    <row r="3565">
      <c r="C3565" s="15"/>
      <c r="E3565" s="8"/>
      <c r="G3565" s="8"/>
      <c r="J3565" s="8"/>
    </row>
    <row r="3566">
      <c r="C3566" s="15"/>
      <c r="E3566" s="8"/>
      <c r="G3566" s="8"/>
      <c r="J3566" s="8"/>
    </row>
    <row r="3567">
      <c r="C3567" s="15"/>
      <c r="E3567" s="8"/>
      <c r="G3567" s="8"/>
      <c r="J3567" s="8"/>
    </row>
    <row r="3568">
      <c r="C3568" s="15"/>
      <c r="E3568" s="8"/>
      <c r="G3568" s="8"/>
      <c r="J3568" s="8"/>
    </row>
    <row r="3569">
      <c r="C3569" s="15"/>
      <c r="E3569" s="8"/>
      <c r="G3569" s="8"/>
      <c r="J3569" s="8"/>
    </row>
    <row r="3570">
      <c r="C3570" s="15"/>
      <c r="E3570" s="8"/>
      <c r="G3570" s="8"/>
      <c r="J3570" s="8"/>
    </row>
    <row r="3571">
      <c r="C3571" s="15"/>
      <c r="E3571" s="8"/>
      <c r="G3571" s="8"/>
      <c r="J3571" s="8"/>
    </row>
    <row r="3572">
      <c r="C3572" s="15"/>
      <c r="E3572" s="8"/>
      <c r="G3572" s="8"/>
      <c r="J3572" s="8"/>
    </row>
    <row r="3573">
      <c r="C3573" s="15"/>
      <c r="E3573" s="8"/>
      <c r="G3573" s="8"/>
      <c r="J3573" s="8"/>
    </row>
    <row r="3574">
      <c r="C3574" s="15"/>
      <c r="E3574" s="8"/>
      <c r="G3574" s="8"/>
      <c r="J3574" s="8"/>
    </row>
    <row r="3575">
      <c r="C3575" s="15"/>
      <c r="E3575" s="8"/>
      <c r="G3575" s="8"/>
      <c r="J3575" s="8"/>
    </row>
    <row r="3576">
      <c r="C3576" s="15"/>
      <c r="E3576" s="8"/>
      <c r="G3576" s="8"/>
      <c r="J3576" s="8"/>
    </row>
    <row r="3577">
      <c r="C3577" s="15"/>
      <c r="E3577" s="8"/>
      <c r="G3577" s="8"/>
      <c r="J3577" s="8"/>
    </row>
    <row r="3578">
      <c r="C3578" s="15"/>
      <c r="E3578" s="8"/>
      <c r="G3578" s="8"/>
      <c r="J3578" s="8"/>
    </row>
    <row r="3579">
      <c r="C3579" s="15"/>
      <c r="E3579" s="8"/>
      <c r="G3579" s="8"/>
      <c r="J3579" s="8"/>
    </row>
    <row r="3580">
      <c r="C3580" s="15"/>
      <c r="E3580" s="8"/>
      <c r="G3580" s="8"/>
      <c r="J3580" s="8"/>
    </row>
    <row r="3581">
      <c r="C3581" s="15"/>
      <c r="E3581" s="8"/>
      <c r="G3581" s="8"/>
      <c r="J3581" s="8"/>
    </row>
    <row r="3582">
      <c r="C3582" s="15"/>
      <c r="E3582" s="8"/>
      <c r="G3582" s="8"/>
      <c r="J3582" s="8"/>
    </row>
    <row r="3583">
      <c r="C3583" s="15"/>
      <c r="E3583" s="8"/>
      <c r="G3583" s="8"/>
      <c r="J3583" s="8"/>
    </row>
    <row r="3584">
      <c r="C3584" s="15"/>
      <c r="E3584" s="8"/>
      <c r="G3584" s="8"/>
      <c r="J3584" s="8"/>
    </row>
    <row r="3585">
      <c r="C3585" s="15"/>
      <c r="E3585" s="8"/>
      <c r="G3585" s="8"/>
      <c r="J3585" s="8"/>
    </row>
    <row r="3586">
      <c r="C3586" s="15"/>
      <c r="E3586" s="8"/>
      <c r="G3586" s="8"/>
      <c r="J3586" s="8"/>
    </row>
    <row r="3587">
      <c r="C3587" s="15"/>
      <c r="E3587" s="8"/>
      <c r="G3587" s="8"/>
      <c r="J3587" s="8"/>
    </row>
    <row r="3588">
      <c r="C3588" s="15"/>
      <c r="E3588" s="8"/>
      <c r="G3588" s="8"/>
      <c r="J3588" s="8"/>
    </row>
    <row r="3589">
      <c r="C3589" s="15"/>
      <c r="E3589" s="8"/>
      <c r="G3589" s="8"/>
      <c r="J3589" s="8"/>
    </row>
    <row r="3590">
      <c r="C3590" s="15"/>
      <c r="E3590" s="8"/>
      <c r="G3590" s="8"/>
      <c r="J3590" s="8"/>
    </row>
    <row r="3591">
      <c r="C3591" s="15"/>
      <c r="E3591" s="8"/>
      <c r="G3591" s="8"/>
      <c r="J3591" s="8"/>
    </row>
    <row r="3592">
      <c r="C3592" s="15"/>
      <c r="E3592" s="8"/>
      <c r="G3592" s="8"/>
      <c r="J3592" s="8"/>
    </row>
    <row r="3593">
      <c r="C3593" s="15"/>
      <c r="E3593" s="8"/>
      <c r="G3593" s="8"/>
      <c r="J3593" s="8"/>
    </row>
    <row r="3594">
      <c r="C3594" s="15"/>
      <c r="E3594" s="8"/>
      <c r="G3594" s="8"/>
      <c r="J3594" s="8"/>
    </row>
    <row r="3595">
      <c r="C3595" s="15"/>
      <c r="E3595" s="8"/>
      <c r="G3595" s="8"/>
      <c r="J3595" s="8"/>
    </row>
    <row r="3596">
      <c r="C3596" s="15"/>
      <c r="E3596" s="8"/>
      <c r="G3596" s="8"/>
      <c r="J3596" s="8"/>
    </row>
    <row r="3597">
      <c r="C3597" s="15"/>
      <c r="E3597" s="8"/>
      <c r="G3597" s="8"/>
      <c r="J3597" s="8"/>
    </row>
    <row r="3598">
      <c r="C3598" s="15"/>
      <c r="E3598" s="8"/>
      <c r="G3598" s="8"/>
      <c r="J3598" s="8"/>
    </row>
    <row r="3599">
      <c r="C3599" s="15"/>
      <c r="E3599" s="8"/>
      <c r="G3599" s="8"/>
      <c r="J3599" s="8"/>
    </row>
    <row r="3600">
      <c r="C3600" s="15"/>
      <c r="E3600" s="8"/>
      <c r="G3600" s="8"/>
      <c r="J3600" s="8"/>
    </row>
    <row r="3601">
      <c r="C3601" s="15"/>
      <c r="E3601" s="8"/>
      <c r="G3601" s="8"/>
      <c r="J3601" s="8"/>
    </row>
    <row r="3602">
      <c r="C3602" s="15"/>
      <c r="E3602" s="8"/>
      <c r="G3602" s="8"/>
      <c r="J3602" s="8"/>
    </row>
    <row r="3603">
      <c r="C3603" s="15"/>
      <c r="E3603" s="8"/>
      <c r="G3603" s="8"/>
      <c r="J3603" s="8"/>
    </row>
    <row r="3604">
      <c r="C3604" s="15"/>
      <c r="E3604" s="8"/>
      <c r="G3604" s="8"/>
      <c r="J3604" s="8"/>
    </row>
    <row r="3605">
      <c r="C3605" s="15"/>
      <c r="E3605" s="8"/>
      <c r="G3605" s="8"/>
      <c r="J3605" s="8"/>
    </row>
    <row r="3606">
      <c r="C3606" s="15"/>
      <c r="E3606" s="8"/>
      <c r="G3606" s="8"/>
      <c r="J3606" s="8"/>
    </row>
    <row r="3607">
      <c r="C3607" s="15"/>
      <c r="E3607" s="8"/>
      <c r="G3607" s="8"/>
      <c r="J3607" s="8"/>
    </row>
    <row r="3608">
      <c r="C3608" s="15"/>
      <c r="E3608" s="8"/>
      <c r="G3608" s="8"/>
      <c r="J3608" s="8"/>
    </row>
    <row r="3609">
      <c r="C3609" s="15"/>
      <c r="E3609" s="8"/>
      <c r="G3609" s="8"/>
      <c r="J3609" s="8"/>
    </row>
    <row r="3610">
      <c r="C3610" s="15"/>
      <c r="E3610" s="8"/>
      <c r="G3610" s="8"/>
      <c r="J3610" s="8"/>
    </row>
    <row r="3611">
      <c r="C3611" s="15"/>
      <c r="E3611" s="8"/>
      <c r="G3611" s="8"/>
      <c r="J3611" s="8"/>
    </row>
    <row r="3612">
      <c r="C3612" s="15"/>
      <c r="E3612" s="8"/>
      <c r="G3612" s="8"/>
      <c r="J3612" s="8"/>
    </row>
    <row r="3613">
      <c r="C3613" s="15"/>
      <c r="E3613" s="8"/>
      <c r="G3613" s="8"/>
      <c r="J3613" s="8"/>
    </row>
    <row r="3614">
      <c r="C3614" s="15"/>
      <c r="E3614" s="8"/>
      <c r="G3614" s="8"/>
      <c r="J3614" s="8"/>
    </row>
    <row r="3615">
      <c r="C3615" s="15"/>
      <c r="E3615" s="8"/>
      <c r="G3615" s="8"/>
      <c r="J3615" s="8"/>
    </row>
    <row r="3616">
      <c r="C3616" s="15"/>
      <c r="E3616" s="8"/>
      <c r="G3616" s="8"/>
      <c r="J3616" s="8"/>
    </row>
    <row r="3617">
      <c r="C3617" s="15"/>
      <c r="E3617" s="8"/>
      <c r="G3617" s="8"/>
      <c r="J3617" s="8"/>
    </row>
    <row r="3618">
      <c r="C3618" s="15"/>
      <c r="E3618" s="8"/>
      <c r="G3618" s="8"/>
      <c r="J3618" s="8"/>
    </row>
    <row r="3619">
      <c r="C3619" s="15"/>
      <c r="E3619" s="8"/>
      <c r="G3619" s="8"/>
      <c r="J3619" s="8"/>
    </row>
    <row r="3620">
      <c r="C3620" s="15"/>
      <c r="E3620" s="8"/>
      <c r="G3620" s="8"/>
      <c r="J3620" s="8"/>
    </row>
    <row r="3621">
      <c r="C3621" s="15"/>
      <c r="E3621" s="8"/>
      <c r="G3621" s="8"/>
      <c r="J3621" s="8"/>
    </row>
    <row r="3622">
      <c r="C3622" s="15"/>
      <c r="E3622" s="8"/>
      <c r="G3622" s="8"/>
      <c r="J3622" s="8"/>
    </row>
    <row r="3623">
      <c r="C3623" s="15"/>
      <c r="E3623" s="8"/>
      <c r="G3623" s="8"/>
      <c r="J3623" s="8"/>
    </row>
    <row r="3624">
      <c r="C3624" s="15"/>
      <c r="E3624" s="8"/>
      <c r="G3624" s="8"/>
      <c r="J3624" s="8"/>
    </row>
    <row r="3625">
      <c r="C3625" s="15"/>
      <c r="E3625" s="8"/>
      <c r="G3625" s="8"/>
      <c r="J3625" s="8"/>
    </row>
    <row r="3626">
      <c r="C3626" s="15"/>
      <c r="E3626" s="8"/>
      <c r="G3626" s="8"/>
      <c r="J3626" s="8"/>
    </row>
    <row r="3627">
      <c r="C3627" s="15"/>
      <c r="E3627" s="8"/>
      <c r="G3627" s="8"/>
      <c r="J3627" s="8"/>
    </row>
    <row r="3628">
      <c r="C3628" s="15"/>
      <c r="E3628" s="8"/>
      <c r="G3628" s="8"/>
      <c r="J3628" s="8"/>
    </row>
    <row r="3629">
      <c r="C3629" s="15"/>
      <c r="E3629" s="8"/>
      <c r="G3629" s="8"/>
      <c r="J3629" s="8"/>
    </row>
    <row r="3630">
      <c r="C3630" s="15"/>
      <c r="E3630" s="8"/>
      <c r="G3630" s="8"/>
      <c r="J3630" s="8"/>
    </row>
    <row r="3631">
      <c r="C3631" s="15"/>
      <c r="E3631" s="8"/>
      <c r="G3631" s="8"/>
      <c r="J3631" s="8"/>
    </row>
    <row r="3632">
      <c r="C3632" s="15"/>
      <c r="E3632" s="8"/>
      <c r="G3632" s="8"/>
      <c r="J3632" s="8"/>
    </row>
    <row r="3633">
      <c r="C3633" s="15"/>
      <c r="E3633" s="8"/>
      <c r="G3633" s="8"/>
      <c r="J3633" s="8"/>
    </row>
    <row r="3634">
      <c r="C3634" s="15"/>
      <c r="E3634" s="8"/>
      <c r="G3634" s="8"/>
      <c r="J3634" s="8"/>
    </row>
    <row r="3635">
      <c r="C3635" s="15"/>
      <c r="E3635" s="8"/>
      <c r="G3635" s="8"/>
      <c r="J3635" s="8"/>
    </row>
    <row r="3636">
      <c r="C3636" s="15"/>
      <c r="E3636" s="8"/>
      <c r="G3636" s="8"/>
      <c r="J3636" s="8"/>
    </row>
    <row r="3637">
      <c r="C3637" s="15"/>
      <c r="E3637" s="8"/>
      <c r="G3637" s="8"/>
      <c r="J3637" s="8"/>
    </row>
    <row r="3638">
      <c r="C3638" s="15"/>
      <c r="E3638" s="8"/>
      <c r="G3638" s="8"/>
      <c r="J3638" s="8"/>
    </row>
    <row r="3639">
      <c r="C3639" s="15"/>
      <c r="E3639" s="8"/>
      <c r="G3639" s="8"/>
      <c r="J3639" s="8"/>
    </row>
    <row r="3640">
      <c r="C3640" s="15"/>
      <c r="E3640" s="8"/>
      <c r="G3640" s="8"/>
      <c r="J3640" s="8"/>
    </row>
    <row r="3641">
      <c r="C3641" s="15"/>
      <c r="E3641" s="8"/>
      <c r="G3641" s="8"/>
      <c r="J3641" s="8"/>
    </row>
    <row r="3642">
      <c r="C3642" s="15"/>
      <c r="E3642" s="8"/>
      <c r="G3642" s="8"/>
      <c r="J3642" s="8"/>
    </row>
    <row r="3643">
      <c r="C3643" s="15"/>
      <c r="E3643" s="8"/>
      <c r="G3643" s="8"/>
      <c r="J3643" s="8"/>
    </row>
    <row r="3644">
      <c r="C3644" s="15"/>
      <c r="E3644" s="8"/>
      <c r="G3644" s="8"/>
      <c r="J3644" s="8"/>
    </row>
    <row r="3645">
      <c r="C3645" s="15"/>
      <c r="E3645" s="8"/>
      <c r="G3645" s="8"/>
      <c r="J3645" s="8"/>
    </row>
    <row r="3646">
      <c r="C3646" s="15"/>
      <c r="E3646" s="8"/>
      <c r="G3646" s="8"/>
      <c r="J3646" s="8"/>
    </row>
    <row r="3647">
      <c r="C3647" s="15"/>
      <c r="E3647" s="8"/>
      <c r="G3647" s="8"/>
      <c r="J3647" s="8"/>
    </row>
    <row r="3648">
      <c r="C3648" s="15"/>
      <c r="E3648" s="8"/>
      <c r="G3648" s="8"/>
      <c r="J3648" s="8"/>
    </row>
    <row r="3649">
      <c r="C3649" s="15"/>
      <c r="E3649" s="8"/>
      <c r="G3649" s="8"/>
      <c r="J3649" s="8"/>
    </row>
    <row r="3650">
      <c r="C3650" s="15"/>
      <c r="E3650" s="8"/>
      <c r="G3650" s="8"/>
      <c r="J3650" s="8"/>
    </row>
    <row r="3651">
      <c r="C3651" s="15"/>
      <c r="E3651" s="8"/>
      <c r="G3651" s="8"/>
      <c r="J3651" s="8"/>
    </row>
    <row r="3652">
      <c r="C3652" s="15"/>
      <c r="E3652" s="8"/>
      <c r="G3652" s="8"/>
      <c r="J3652" s="8"/>
    </row>
    <row r="3653">
      <c r="C3653" s="15"/>
      <c r="E3653" s="8"/>
      <c r="G3653" s="8"/>
      <c r="J3653" s="8"/>
    </row>
    <row r="3654">
      <c r="C3654" s="15"/>
      <c r="E3654" s="8"/>
      <c r="G3654" s="8"/>
      <c r="J3654" s="8"/>
    </row>
    <row r="3655">
      <c r="C3655" s="15"/>
      <c r="E3655" s="8"/>
      <c r="G3655" s="8"/>
      <c r="J3655" s="8"/>
    </row>
    <row r="3656">
      <c r="C3656" s="15"/>
      <c r="E3656" s="8"/>
      <c r="G3656" s="8"/>
      <c r="J3656" s="8"/>
    </row>
    <row r="3657">
      <c r="C3657" s="15"/>
      <c r="E3657" s="8"/>
      <c r="G3657" s="8"/>
      <c r="J3657" s="8"/>
    </row>
    <row r="3658">
      <c r="C3658" s="15"/>
      <c r="E3658" s="8"/>
      <c r="G3658" s="8"/>
      <c r="J3658" s="8"/>
    </row>
    <row r="3659">
      <c r="C3659" s="15"/>
      <c r="E3659" s="8"/>
      <c r="G3659" s="8"/>
      <c r="J3659" s="8"/>
    </row>
    <row r="3660">
      <c r="C3660" s="15"/>
      <c r="E3660" s="8"/>
      <c r="G3660" s="8"/>
      <c r="J3660" s="8"/>
    </row>
    <row r="3661">
      <c r="C3661" s="15"/>
      <c r="E3661" s="8"/>
      <c r="G3661" s="8"/>
      <c r="J3661" s="8"/>
    </row>
    <row r="3662">
      <c r="C3662" s="15"/>
      <c r="E3662" s="8"/>
      <c r="G3662" s="8"/>
      <c r="J3662" s="8"/>
    </row>
    <row r="3663">
      <c r="C3663" s="15"/>
      <c r="E3663" s="8"/>
      <c r="G3663" s="8"/>
      <c r="J3663" s="8"/>
    </row>
    <row r="3664">
      <c r="C3664" s="15"/>
      <c r="E3664" s="8"/>
      <c r="G3664" s="8"/>
      <c r="J3664" s="8"/>
    </row>
    <row r="3665">
      <c r="C3665" s="15"/>
      <c r="E3665" s="8"/>
      <c r="G3665" s="8"/>
      <c r="J3665" s="8"/>
    </row>
    <row r="3666">
      <c r="C3666" s="15"/>
      <c r="E3666" s="8"/>
      <c r="G3666" s="8"/>
      <c r="J3666" s="8"/>
    </row>
    <row r="3667">
      <c r="C3667" s="15"/>
      <c r="E3667" s="8"/>
      <c r="G3667" s="8"/>
      <c r="J3667" s="8"/>
    </row>
    <row r="3668">
      <c r="C3668" s="15"/>
      <c r="E3668" s="8"/>
      <c r="G3668" s="8"/>
      <c r="J3668" s="8"/>
    </row>
    <row r="3669">
      <c r="C3669" s="15"/>
      <c r="E3669" s="8"/>
      <c r="G3669" s="8"/>
      <c r="J3669" s="8"/>
    </row>
    <row r="3670">
      <c r="C3670" s="15"/>
      <c r="E3670" s="8"/>
      <c r="G3670" s="8"/>
      <c r="J3670" s="8"/>
    </row>
    <row r="3671">
      <c r="C3671" s="15"/>
      <c r="E3671" s="8"/>
      <c r="G3671" s="8"/>
      <c r="J3671" s="8"/>
    </row>
    <row r="3672">
      <c r="C3672" s="15"/>
      <c r="E3672" s="8"/>
      <c r="G3672" s="8"/>
      <c r="J3672" s="8"/>
    </row>
    <row r="3673">
      <c r="C3673" s="15"/>
      <c r="E3673" s="8"/>
      <c r="G3673" s="8"/>
      <c r="J3673" s="8"/>
    </row>
    <row r="3674">
      <c r="C3674" s="15"/>
      <c r="E3674" s="8"/>
      <c r="G3674" s="8"/>
      <c r="J3674" s="8"/>
    </row>
    <row r="3675">
      <c r="C3675" s="15"/>
      <c r="E3675" s="8"/>
      <c r="G3675" s="8"/>
      <c r="J3675" s="8"/>
    </row>
    <row r="3676">
      <c r="C3676" s="15"/>
      <c r="E3676" s="8"/>
      <c r="G3676" s="8"/>
      <c r="J3676" s="8"/>
    </row>
    <row r="3677">
      <c r="C3677" s="15"/>
      <c r="E3677" s="8"/>
      <c r="G3677" s="8"/>
      <c r="J3677" s="8"/>
    </row>
    <row r="3678">
      <c r="C3678" s="15"/>
      <c r="E3678" s="8"/>
      <c r="G3678" s="8"/>
      <c r="J3678" s="8"/>
    </row>
    <row r="3679">
      <c r="C3679" s="15"/>
      <c r="E3679" s="8"/>
      <c r="G3679" s="8"/>
      <c r="J3679" s="8"/>
    </row>
    <row r="3680">
      <c r="C3680" s="15"/>
      <c r="E3680" s="8"/>
      <c r="G3680" s="8"/>
      <c r="J3680" s="8"/>
    </row>
    <row r="3681">
      <c r="C3681" s="15"/>
      <c r="E3681" s="8"/>
      <c r="G3681" s="8"/>
      <c r="J3681" s="8"/>
    </row>
    <row r="3682">
      <c r="C3682" s="15"/>
      <c r="E3682" s="8"/>
      <c r="G3682" s="8"/>
      <c r="J3682" s="8"/>
    </row>
    <row r="3683">
      <c r="C3683" s="15"/>
      <c r="E3683" s="8"/>
      <c r="G3683" s="8"/>
      <c r="J3683" s="8"/>
    </row>
    <row r="3684">
      <c r="C3684" s="15"/>
      <c r="E3684" s="8"/>
      <c r="G3684" s="8"/>
      <c r="J3684" s="8"/>
    </row>
    <row r="3685">
      <c r="C3685" s="15"/>
      <c r="E3685" s="8"/>
      <c r="G3685" s="8"/>
      <c r="J3685" s="8"/>
    </row>
    <row r="3686">
      <c r="C3686" s="15"/>
      <c r="E3686" s="8"/>
      <c r="G3686" s="8"/>
      <c r="J3686" s="8"/>
    </row>
    <row r="3687">
      <c r="C3687" s="15"/>
      <c r="E3687" s="8"/>
      <c r="G3687" s="8"/>
      <c r="J3687" s="8"/>
    </row>
    <row r="3688">
      <c r="C3688" s="15"/>
      <c r="E3688" s="8"/>
      <c r="G3688" s="8"/>
      <c r="J3688" s="8"/>
    </row>
    <row r="3689">
      <c r="C3689" s="15"/>
      <c r="E3689" s="8"/>
      <c r="G3689" s="8"/>
      <c r="J3689" s="8"/>
    </row>
    <row r="3690">
      <c r="C3690" s="15"/>
      <c r="E3690" s="8"/>
      <c r="G3690" s="8"/>
      <c r="J3690" s="8"/>
    </row>
    <row r="3691">
      <c r="C3691" s="15"/>
      <c r="E3691" s="8"/>
      <c r="G3691" s="8"/>
      <c r="J3691" s="8"/>
    </row>
    <row r="3692">
      <c r="C3692" s="15"/>
      <c r="E3692" s="8"/>
      <c r="G3692" s="8"/>
      <c r="J3692" s="8"/>
    </row>
    <row r="3693">
      <c r="C3693" s="15"/>
      <c r="E3693" s="8"/>
      <c r="G3693" s="8"/>
      <c r="J3693" s="8"/>
    </row>
    <row r="3694">
      <c r="C3694" s="15"/>
      <c r="E3694" s="8"/>
      <c r="G3694" s="8"/>
      <c r="J3694" s="8"/>
    </row>
    <row r="3695">
      <c r="C3695" s="15"/>
      <c r="E3695" s="8"/>
      <c r="G3695" s="8"/>
      <c r="J3695" s="8"/>
    </row>
    <row r="3696">
      <c r="C3696" s="15"/>
      <c r="E3696" s="8"/>
      <c r="G3696" s="8"/>
      <c r="J3696" s="8"/>
    </row>
    <row r="3697">
      <c r="C3697" s="15"/>
      <c r="E3697" s="8"/>
      <c r="G3697" s="8"/>
      <c r="J3697" s="8"/>
    </row>
    <row r="3698">
      <c r="C3698" s="15"/>
      <c r="E3698" s="8"/>
      <c r="G3698" s="8"/>
      <c r="J3698" s="8"/>
    </row>
    <row r="3699">
      <c r="C3699" s="15"/>
      <c r="E3699" s="8"/>
      <c r="G3699" s="8"/>
      <c r="J3699" s="8"/>
    </row>
    <row r="3700">
      <c r="C3700" s="15"/>
      <c r="E3700" s="8"/>
      <c r="G3700" s="8"/>
      <c r="J3700" s="8"/>
    </row>
    <row r="3701">
      <c r="C3701" s="15"/>
      <c r="E3701" s="8"/>
      <c r="G3701" s="8"/>
      <c r="J3701" s="8"/>
    </row>
    <row r="3702">
      <c r="C3702" s="15"/>
      <c r="E3702" s="8"/>
      <c r="G3702" s="8"/>
      <c r="J3702" s="8"/>
    </row>
    <row r="3703">
      <c r="C3703" s="15"/>
      <c r="E3703" s="8"/>
      <c r="G3703" s="8"/>
      <c r="J3703" s="8"/>
    </row>
    <row r="3704">
      <c r="C3704" s="15"/>
      <c r="E3704" s="8"/>
      <c r="G3704" s="8"/>
      <c r="J3704" s="8"/>
    </row>
    <row r="3705">
      <c r="C3705" s="15"/>
      <c r="E3705" s="8"/>
      <c r="G3705" s="8"/>
      <c r="J3705" s="8"/>
    </row>
    <row r="3706">
      <c r="C3706" s="15"/>
      <c r="E3706" s="8"/>
      <c r="G3706" s="8"/>
      <c r="J3706" s="8"/>
    </row>
    <row r="3707">
      <c r="C3707" s="15"/>
      <c r="E3707" s="8"/>
      <c r="G3707" s="8"/>
      <c r="J3707" s="8"/>
    </row>
    <row r="3708">
      <c r="C3708" s="15"/>
      <c r="E3708" s="8"/>
      <c r="G3708" s="8"/>
      <c r="J3708" s="8"/>
    </row>
    <row r="3709">
      <c r="C3709" s="15"/>
      <c r="E3709" s="8"/>
      <c r="G3709" s="8"/>
      <c r="J3709" s="8"/>
    </row>
    <row r="3710">
      <c r="C3710" s="15"/>
      <c r="E3710" s="8"/>
      <c r="G3710" s="8"/>
      <c r="J3710" s="8"/>
    </row>
    <row r="3711">
      <c r="C3711" s="15"/>
      <c r="E3711" s="8"/>
      <c r="G3711" s="8"/>
      <c r="J3711" s="8"/>
    </row>
    <row r="3712">
      <c r="C3712" s="15"/>
      <c r="E3712" s="8"/>
      <c r="G3712" s="8"/>
      <c r="J3712" s="8"/>
    </row>
    <row r="3713">
      <c r="C3713" s="15"/>
      <c r="E3713" s="8"/>
      <c r="G3713" s="8"/>
      <c r="J3713" s="8"/>
    </row>
    <row r="3714">
      <c r="C3714" s="15"/>
      <c r="E3714" s="8"/>
      <c r="G3714" s="8"/>
      <c r="J3714" s="8"/>
    </row>
    <row r="3715">
      <c r="C3715" s="15"/>
      <c r="E3715" s="8"/>
      <c r="G3715" s="8"/>
      <c r="J3715" s="8"/>
    </row>
    <row r="3716">
      <c r="C3716" s="15"/>
      <c r="E3716" s="8"/>
      <c r="G3716" s="8"/>
      <c r="J3716" s="8"/>
    </row>
    <row r="3717">
      <c r="C3717" s="15"/>
      <c r="E3717" s="8"/>
      <c r="G3717" s="8"/>
      <c r="J3717" s="8"/>
    </row>
    <row r="3718">
      <c r="C3718" s="15"/>
      <c r="E3718" s="8"/>
      <c r="G3718" s="8"/>
      <c r="J3718" s="8"/>
    </row>
    <row r="3719">
      <c r="C3719" s="15"/>
      <c r="E3719" s="8"/>
      <c r="G3719" s="8"/>
      <c r="J3719" s="8"/>
    </row>
    <row r="3720">
      <c r="C3720" s="15"/>
      <c r="E3720" s="8"/>
      <c r="G3720" s="8"/>
      <c r="J3720" s="8"/>
    </row>
    <row r="3721">
      <c r="C3721" s="15"/>
      <c r="E3721" s="8"/>
      <c r="G3721" s="8"/>
      <c r="J3721" s="8"/>
    </row>
    <row r="3722">
      <c r="C3722" s="15"/>
      <c r="E3722" s="8"/>
      <c r="G3722" s="8"/>
      <c r="J3722" s="8"/>
    </row>
    <row r="3723">
      <c r="C3723" s="15"/>
      <c r="E3723" s="8"/>
      <c r="G3723" s="8"/>
      <c r="J3723" s="8"/>
    </row>
    <row r="3724">
      <c r="C3724" s="15"/>
      <c r="E3724" s="8"/>
      <c r="G3724" s="8"/>
      <c r="J3724" s="8"/>
    </row>
    <row r="3725">
      <c r="C3725" s="15"/>
      <c r="E3725" s="8"/>
      <c r="G3725" s="8"/>
      <c r="J3725" s="8"/>
    </row>
    <row r="3726">
      <c r="C3726" s="15"/>
      <c r="E3726" s="8"/>
      <c r="G3726" s="8"/>
      <c r="J3726" s="8"/>
    </row>
    <row r="3727">
      <c r="C3727" s="15"/>
      <c r="E3727" s="8"/>
      <c r="G3727" s="8"/>
      <c r="J3727" s="8"/>
    </row>
    <row r="3728">
      <c r="C3728" s="15"/>
      <c r="E3728" s="8"/>
      <c r="G3728" s="8"/>
      <c r="J3728" s="8"/>
    </row>
    <row r="3729">
      <c r="C3729" s="15"/>
      <c r="E3729" s="8"/>
      <c r="G3729" s="8"/>
      <c r="J3729" s="8"/>
    </row>
    <row r="3730">
      <c r="C3730" s="15"/>
      <c r="E3730" s="8"/>
      <c r="G3730" s="8"/>
      <c r="J3730" s="8"/>
    </row>
    <row r="3731">
      <c r="C3731" s="15"/>
      <c r="E3731" s="8"/>
      <c r="G3731" s="8"/>
      <c r="J3731" s="8"/>
    </row>
    <row r="3732">
      <c r="C3732" s="15"/>
      <c r="E3732" s="8"/>
      <c r="G3732" s="8"/>
      <c r="J3732" s="8"/>
    </row>
    <row r="3733">
      <c r="C3733" s="15"/>
      <c r="E3733" s="8"/>
      <c r="G3733" s="8"/>
      <c r="J3733" s="8"/>
    </row>
    <row r="3734">
      <c r="C3734" s="15"/>
      <c r="E3734" s="8"/>
      <c r="G3734" s="8"/>
      <c r="J3734" s="8"/>
    </row>
    <row r="3735">
      <c r="C3735" s="15"/>
      <c r="E3735" s="8"/>
      <c r="G3735" s="8"/>
      <c r="J3735" s="8"/>
    </row>
    <row r="3736">
      <c r="C3736" s="15"/>
      <c r="E3736" s="8"/>
      <c r="G3736" s="8"/>
      <c r="J3736" s="8"/>
    </row>
    <row r="3737">
      <c r="C3737" s="15"/>
      <c r="E3737" s="8"/>
      <c r="G3737" s="8"/>
      <c r="J3737" s="8"/>
    </row>
    <row r="3738">
      <c r="C3738" s="15"/>
      <c r="E3738" s="8"/>
      <c r="G3738" s="8"/>
      <c r="J3738" s="8"/>
    </row>
    <row r="3739">
      <c r="C3739" s="15"/>
      <c r="E3739" s="8"/>
      <c r="G3739" s="8"/>
      <c r="J3739" s="8"/>
    </row>
    <row r="3740">
      <c r="C3740" s="15"/>
      <c r="E3740" s="8"/>
      <c r="G3740" s="8"/>
      <c r="J3740" s="8"/>
    </row>
    <row r="3741">
      <c r="C3741" s="15"/>
      <c r="E3741" s="8"/>
      <c r="G3741" s="8"/>
      <c r="J3741" s="8"/>
    </row>
    <row r="3742">
      <c r="C3742" s="15"/>
      <c r="E3742" s="8"/>
      <c r="G3742" s="8"/>
      <c r="J3742" s="8"/>
    </row>
    <row r="3743">
      <c r="C3743" s="15"/>
      <c r="E3743" s="8"/>
      <c r="G3743" s="8"/>
      <c r="J3743" s="8"/>
    </row>
    <row r="3744">
      <c r="C3744" s="15"/>
      <c r="E3744" s="8"/>
      <c r="G3744" s="8"/>
      <c r="J3744" s="8"/>
    </row>
    <row r="3745">
      <c r="C3745" s="15"/>
      <c r="E3745" s="8"/>
      <c r="G3745" s="8"/>
      <c r="J3745" s="8"/>
    </row>
    <row r="3746">
      <c r="C3746" s="15"/>
      <c r="E3746" s="8"/>
      <c r="G3746" s="8"/>
      <c r="J3746" s="8"/>
    </row>
    <row r="3747">
      <c r="C3747" s="15"/>
      <c r="E3747" s="8"/>
      <c r="G3747" s="8"/>
      <c r="J3747" s="8"/>
    </row>
    <row r="3748">
      <c r="C3748" s="15"/>
      <c r="E3748" s="8"/>
      <c r="G3748" s="8"/>
      <c r="J3748" s="8"/>
    </row>
    <row r="3749">
      <c r="C3749" s="15"/>
      <c r="E3749" s="8"/>
      <c r="G3749" s="8"/>
      <c r="J3749" s="8"/>
    </row>
    <row r="3750">
      <c r="C3750" s="15"/>
      <c r="E3750" s="8"/>
      <c r="G3750" s="8"/>
      <c r="J3750" s="8"/>
    </row>
    <row r="3751">
      <c r="C3751" s="15"/>
      <c r="E3751" s="8"/>
      <c r="G3751" s="8"/>
      <c r="J3751" s="8"/>
    </row>
    <row r="3752">
      <c r="C3752" s="15"/>
      <c r="E3752" s="8"/>
      <c r="G3752" s="8"/>
      <c r="J3752" s="8"/>
    </row>
    <row r="3753">
      <c r="C3753" s="15"/>
      <c r="E3753" s="8"/>
      <c r="G3753" s="8"/>
      <c r="J3753" s="8"/>
    </row>
    <row r="3754">
      <c r="C3754" s="15"/>
      <c r="E3754" s="8"/>
      <c r="G3754" s="8"/>
      <c r="J3754" s="8"/>
    </row>
    <row r="3755">
      <c r="C3755" s="15"/>
      <c r="E3755" s="8"/>
      <c r="G3755" s="8"/>
      <c r="J3755" s="8"/>
    </row>
    <row r="3756">
      <c r="C3756" s="15"/>
      <c r="E3756" s="8"/>
      <c r="G3756" s="8"/>
      <c r="J3756" s="8"/>
    </row>
    <row r="3757">
      <c r="C3757" s="15"/>
      <c r="E3757" s="8"/>
      <c r="G3757" s="8"/>
      <c r="J3757" s="8"/>
    </row>
    <row r="3758">
      <c r="C3758" s="15"/>
      <c r="E3758" s="8"/>
      <c r="G3758" s="8"/>
      <c r="J3758" s="8"/>
    </row>
    <row r="3759">
      <c r="C3759" s="15"/>
      <c r="E3759" s="8"/>
      <c r="G3759" s="8"/>
      <c r="J3759" s="8"/>
    </row>
    <row r="3760">
      <c r="C3760" s="15"/>
      <c r="E3760" s="8"/>
      <c r="G3760" s="8"/>
      <c r="J3760" s="8"/>
    </row>
    <row r="3761">
      <c r="C3761" s="15"/>
      <c r="E3761" s="8"/>
      <c r="G3761" s="8"/>
      <c r="J3761" s="8"/>
    </row>
    <row r="3762">
      <c r="C3762" s="15"/>
      <c r="E3762" s="8"/>
      <c r="G3762" s="8"/>
      <c r="J3762" s="8"/>
    </row>
    <row r="3763">
      <c r="C3763" s="15"/>
      <c r="E3763" s="8"/>
      <c r="G3763" s="8"/>
      <c r="J3763" s="8"/>
    </row>
    <row r="3764">
      <c r="C3764" s="15"/>
      <c r="E3764" s="8"/>
      <c r="G3764" s="8"/>
      <c r="J3764" s="8"/>
    </row>
    <row r="3765">
      <c r="C3765" s="15"/>
      <c r="E3765" s="8"/>
      <c r="G3765" s="8"/>
      <c r="J3765" s="8"/>
    </row>
    <row r="3766">
      <c r="C3766" s="15"/>
      <c r="E3766" s="8"/>
      <c r="G3766" s="8"/>
      <c r="J3766" s="8"/>
    </row>
    <row r="3767">
      <c r="C3767" s="15"/>
      <c r="E3767" s="8"/>
      <c r="G3767" s="8"/>
      <c r="J3767" s="8"/>
    </row>
    <row r="3768">
      <c r="C3768" s="15"/>
      <c r="E3768" s="8"/>
      <c r="G3768" s="8"/>
      <c r="J3768" s="8"/>
    </row>
    <row r="3769">
      <c r="C3769" s="15"/>
      <c r="E3769" s="8"/>
      <c r="G3769" s="8"/>
      <c r="J3769" s="8"/>
    </row>
    <row r="3770">
      <c r="C3770" s="15"/>
      <c r="E3770" s="8"/>
      <c r="G3770" s="8"/>
      <c r="J3770" s="8"/>
    </row>
    <row r="3771">
      <c r="C3771" s="15"/>
      <c r="E3771" s="8"/>
      <c r="G3771" s="8"/>
      <c r="J3771" s="8"/>
    </row>
    <row r="3772">
      <c r="C3772" s="15"/>
      <c r="E3772" s="8"/>
      <c r="G3772" s="8"/>
      <c r="J3772" s="8"/>
    </row>
    <row r="3773">
      <c r="C3773" s="15"/>
      <c r="E3773" s="8"/>
      <c r="G3773" s="8"/>
      <c r="J3773" s="8"/>
    </row>
    <row r="3774">
      <c r="C3774" s="15"/>
      <c r="E3774" s="8"/>
      <c r="G3774" s="8"/>
      <c r="J3774" s="8"/>
    </row>
    <row r="3775">
      <c r="C3775" s="15"/>
      <c r="E3775" s="8"/>
      <c r="G3775" s="8"/>
      <c r="J3775" s="8"/>
    </row>
    <row r="3776">
      <c r="C3776" s="15"/>
      <c r="E3776" s="8"/>
      <c r="G3776" s="8"/>
      <c r="J3776" s="8"/>
    </row>
    <row r="3777">
      <c r="C3777" s="15"/>
      <c r="E3777" s="8"/>
      <c r="G3777" s="8"/>
      <c r="J3777" s="8"/>
    </row>
    <row r="3778">
      <c r="C3778" s="15"/>
      <c r="E3778" s="8"/>
      <c r="G3778" s="8"/>
      <c r="J3778" s="8"/>
    </row>
    <row r="3779">
      <c r="C3779" s="15"/>
      <c r="E3779" s="8"/>
      <c r="G3779" s="8"/>
      <c r="J3779" s="8"/>
    </row>
    <row r="3780">
      <c r="C3780" s="15"/>
      <c r="E3780" s="8"/>
      <c r="G3780" s="8"/>
      <c r="J3780" s="8"/>
    </row>
    <row r="3781">
      <c r="C3781" s="15"/>
      <c r="E3781" s="8"/>
      <c r="G3781" s="8"/>
      <c r="J3781" s="8"/>
    </row>
    <row r="3782">
      <c r="C3782" s="15"/>
      <c r="E3782" s="8"/>
      <c r="G3782" s="8"/>
      <c r="J3782" s="8"/>
    </row>
    <row r="3783">
      <c r="C3783" s="15"/>
      <c r="E3783" s="8"/>
      <c r="G3783" s="8"/>
      <c r="J3783" s="8"/>
    </row>
    <row r="3784">
      <c r="C3784" s="15"/>
      <c r="E3784" s="8"/>
      <c r="G3784" s="8"/>
      <c r="J3784" s="8"/>
    </row>
    <row r="3785">
      <c r="C3785" s="15"/>
      <c r="E3785" s="8"/>
      <c r="G3785" s="8"/>
      <c r="J3785" s="8"/>
    </row>
    <row r="3786">
      <c r="C3786" s="15"/>
      <c r="E3786" s="8"/>
      <c r="G3786" s="8"/>
      <c r="J3786" s="8"/>
    </row>
    <row r="3787">
      <c r="C3787" s="15"/>
      <c r="E3787" s="8"/>
      <c r="G3787" s="8"/>
      <c r="J3787" s="8"/>
    </row>
    <row r="3788">
      <c r="C3788" s="15"/>
      <c r="E3788" s="8"/>
      <c r="G3788" s="8"/>
      <c r="J3788" s="8"/>
    </row>
    <row r="3789">
      <c r="C3789" s="15"/>
      <c r="E3789" s="8"/>
      <c r="G3789" s="8"/>
      <c r="J3789" s="8"/>
    </row>
    <row r="3790">
      <c r="C3790" s="15"/>
      <c r="E3790" s="8"/>
      <c r="G3790" s="8"/>
      <c r="J3790" s="8"/>
    </row>
    <row r="3791">
      <c r="C3791" s="15"/>
      <c r="E3791" s="8"/>
      <c r="G3791" s="8"/>
      <c r="J3791" s="8"/>
    </row>
    <row r="3792">
      <c r="C3792" s="15"/>
      <c r="E3792" s="8"/>
      <c r="G3792" s="8"/>
      <c r="J3792" s="8"/>
    </row>
    <row r="3793">
      <c r="C3793" s="15"/>
      <c r="E3793" s="8"/>
      <c r="G3793" s="8"/>
      <c r="J3793" s="8"/>
    </row>
    <row r="3794">
      <c r="C3794" s="15"/>
      <c r="E3794" s="8"/>
      <c r="G3794" s="8"/>
      <c r="J3794" s="8"/>
    </row>
    <row r="3795">
      <c r="C3795" s="15"/>
      <c r="E3795" s="8"/>
      <c r="G3795" s="8"/>
      <c r="J3795" s="8"/>
    </row>
    <row r="3796">
      <c r="C3796" s="15"/>
      <c r="E3796" s="8"/>
      <c r="G3796" s="8"/>
      <c r="J3796" s="8"/>
    </row>
    <row r="3797">
      <c r="C3797" s="15"/>
      <c r="E3797" s="8"/>
      <c r="G3797" s="8"/>
      <c r="J3797" s="8"/>
    </row>
    <row r="3798">
      <c r="C3798" s="15"/>
      <c r="E3798" s="8"/>
      <c r="G3798" s="8"/>
      <c r="J3798" s="8"/>
    </row>
    <row r="3799">
      <c r="C3799" s="15"/>
      <c r="E3799" s="8"/>
      <c r="G3799" s="8"/>
      <c r="J3799" s="8"/>
    </row>
    <row r="3800">
      <c r="C3800" s="15"/>
      <c r="E3800" s="8"/>
      <c r="G3800" s="8"/>
      <c r="J3800" s="8"/>
    </row>
    <row r="3801">
      <c r="C3801" s="15"/>
      <c r="E3801" s="8"/>
      <c r="G3801" s="8"/>
      <c r="J3801" s="8"/>
    </row>
    <row r="3802">
      <c r="C3802" s="15"/>
      <c r="E3802" s="8"/>
      <c r="G3802" s="8"/>
      <c r="J3802" s="8"/>
    </row>
    <row r="3803">
      <c r="C3803" s="15"/>
      <c r="E3803" s="8"/>
      <c r="G3803" s="8"/>
      <c r="J3803" s="8"/>
    </row>
    <row r="3804">
      <c r="C3804" s="15"/>
      <c r="E3804" s="8"/>
      <c r="G3804" s="8"/>
      <c r="J3804" s="8"/>
    </row>
    <row r="3805">
      <c r="C3805" s="15"/>
      <c r="E3805" s="8"/>
      <c r="G3805" s="8"/>
      <c r="J3805" s="8"/>
    </row>
    <row r="3806">
      <c r="C3806" s="15"/>
      <c r="E3806" s="8"/>
      <c r="G3806" s="8"/>
      <c r="J3806" s="8"/>
    </row>
    <row r="3807">
      <c r="C3807" s="15"/>
      <c r="E3807" s="8"/>
      <c r="G3807" s="8"/>
      <c r="J3807" s="8"/>
    </row>
    <row r="3808">
      <c r="C3808" s="15"/>
      <c r="E3808" s="8"/>
      <c r="G3808" s="8"/>
      <c r="J3808" s="8"/>
    </row>
    <row r="3809">
      <c r="C3809" s="15"/>
      <c r="E3809" s="8"/>
      <c r="G3809" s="8"/>
      <c r="J3809" s="8"/>
    </row>
    <row r="3810">
      <c r="C3810" s="15"/>
      <c r="E3810" s="8"/>
      <c r="G3810" s="8"/>
      <c r="J3810" s="8"/>
    </row>
    <row r="3811">
      <c r="C3811" s="15"/>
      <c r="E3811" s="8"/>
      <c r="G3811" s="8"/>
      <c r="J3811" s="8"/>
    </row>
    <row r="3812">
      <c r="C3812" s="15"/>
      <c r="E3812" s="8"/>
      <c r="G3812" s="8"/>
      <c r="J3812" s="8"/>
    </row>
    <row r="3813">
      <c r="C3813" s="15"/>
      <c r="E3813" s="8"/>
      <c r="G3813" s="8"/>
      <c r="J3813" s="8"/>
    </row>
    <row r="3814">
      <c r="C3814" s="15"/>
      <c r="E3814" s="8"/>
      <c r="G3814" s="8"/>
      <c r="J3814" s="8"/>
    </row>
    <row r="3815">
      <c r="C3815" s="15"/>
      <c r="E3815" s="8"/>
      <c r="G3815" s="8"/>
      <c r="J3815" s="8"/>
    </row>
    <row r="3816">
      <c r="C3816" s="15"/>
      <c r="E3816" s="8"/>
      <c r="G3816" s="8"/>
      <c r="J3816" s="8"/>
    </row>
    <row r="3817">
      <c r="C3817" s="15"/>
      <c r="E3817" s="8"/>
      <c r="G3817" s="8"/>
      <c r="J3817" s="8"/>
    </row>
    <row r="3818">
      <c r="C3818" s="15"/>
      <c r="E3818" s="8"/>
      <c r="G3818" s="8"/>
      <c r="J3818" s="8"/>
    </row>
    <row r="3819">
      <c r="C3819" s="15"/>
      <c r="E3819" s="8"/>
      <c r="G3819" s="8"/>
      <c r="J3819" s="8"/>
    </row>
    <row r="3820">
      <c r="C3820" s="15"/>
      <c r="E3820" s="8"/>
      <c r="G3820" s="8"/>
      <c r="J3820" s="8"/>
    </row>
    <row r="3821">
      <c r="C3821" s="15"/>
      <c r="E3821" s="8"/>
      <c r="G3821" s="8"/>
      <c r="J3821" s="8"/>
    </row>
    <row r="3822">
      <c r="C3822" s="15"/>
      <c r="E3822" s="8"/>
      <c r="G3822" s="8"/>
      <c r="J3822" s="8"/>
    </row>
    <row r="3823">
      <c r="C3823" s="15"/>
      <c r="E3823" s="8"/>
      <c r="G3823" s="8"/>
      <c r="J3823" s="8"/>
    </row>
    <row r="3824">
      <c r="C3824" s="15"/>
      <c r="E3824" s="8"/>
      <c r="G3824" s="8"/>
      <c r="J3824" s="8"/>
    </row>
    <row r="3825">
      <c r="C3825" s="15"/>
      <c r="E3825" s="8"/>
      <c r="G3825" s="8"/>
      <c r="J3825" s="8"/>
    </row>
    <row r="3826">
      <c r="C3826" s="15"/>
      <c r="E3826" s="8"/>
      <c r="G3826" s="8"/>
      <c r="J3826" s="8"/>
    </row>
    <row r="3827">
      <c r="C3827" s="15"/>
      <c r="E3827" s="8"/>
      <c r="G3827" s="8"/>
      <c r="J3827" s="8"/>
    </row>
    <row r="3828">
      <c r="C3828" s="15"/>
      <c r="E3828" s="8"/>
      <c r="G3828" s="8"/>
      <c r="J3828" s="8"/>
    </row>
    <row r="3829">
      <c r="C3829" s="15"/>
      <c r="E3829" s="8"/>
      <c r="G3829" s="8"/>
      <c r="J3829" s="8"/>
    </row>
    <row r="3830">
      <c r="C3830" s="15"/>
      <c r="E3830" s="8"/>
      <c r="G3830" s="8"/>
      <c r="J3830" s="8"/>
    </row>
    <row r="3831">
      <c r="C3831" s="15"/>
      <c r="E3831" s="8"/>
      <c r="G3831" s="8"/>
      <c r="J3831" s="8"/>
    </row>
    <row r="3832">
      <c r="C3832" s="15"/>
      <c r="E3832" s="8"/>
      <c r="G3832" s="8"/>
      <c r="J3832" s="8"/>
    </row>
    <row r="3833">
      <c r="C3833" s="15"/>
      <c r="E3833" s="8"/>
      <c r="G3833" s="8"/>
      <c r="J3833" s="8"/>
    </row>
    <row r="3834">
      <c r="C3834" s="15"/>
      <c r="E3834" s="8"/>
      <c r="G3834" s="8"/>
      <c r="J3834" s="8"/>
    </row>
    <row r="3835">
      <c r="C3835" s="15"/>
      <c r="E3835" s="8"/>
      <c r="G3835" s="8"/>
      <c r="J3835" s="8"/>
    </row>
    <row r="3836">
      <c r="C3836" s="15"/>
      <c r="E3836" s="8"/>
      <c r="G3836" s="8"/>
      <c r="J3836" s="8"/>
    </row>
    <row r="3837">
      <c r="C3837" s="15"/>
      <c r="E3837" s="8"/>
      <c r="G3837" s="8"/>
      <c r="J3837" s="8"/>
    </row>
    <row r="3838">
      <c r="C3838" s="15"/>
      <c r="E3838" s="8"/>
      <c r="G3838" s="8"/>
      <c r="J3838" s="8"/>
    </row>
    <row r="3839">
      <c r="C3839" s="15"/>
      <c r="E3839" s="8"/>
      <c r="G3839" s="8"/>
      <c r="J3839" s="8"/>
    </row>
    <row r="3840">
      <c r="C3840" s="15"/>
      <c r="E3840" s="8"/>
      <c r="G3840" s="8"/>
      <c r="J3840" s="8"/>
    </row>
    <row r="3841">
      <c r="C3841" s="15"/>
      <c r="E3841" s="8"/>
      <c r="G3841" s="8"/>
      <c r="J3841" s="8"/>
    </row>
    <row r="3842">
      <c r="C3842" s="15"/>
      <c r="E3842" s="8"/>
      <c r="G3842" s="8"/>
      <c r="J3842" s="8"/>
    </row>
    <row r="3843">
      <c r="C3843" s="15"/>
      <c r="E3843" s="8"/>
      <c r="G3843" s="8"/>
      <c r="J3843" s="8"/>
    </row>
    <row r="3844">
      <c r="C3844" s="15"/>
      <c r="E3844" s="8"/>
      <c r="G3844" s="8"/>
      <c r="J3844" s="8"/>
    </row>
    <row r="3845">
      <c r="C3845" s="15"/>
      <c r="E3845" s="8"/>
      <c r="G3845" s="8"/>
      <c r="J3845" s="8"/>
    </row>
    <row r="3846">
      <c r="C3846" s="15"/>
      <c r="E3846" s="8"/>
      <c r="G3846" s="8"/>
      <c r="J3846" s="8"/>
    </row>
    <row r="3847">
      <c r="C3847" s="15"/>
      <c r="E3847" s="8"/>
      <c r="G3847" s="8"/>
      <c r="J3847" s="8"/>
    </row>
    <row r="3848">
      <c r="C3848" s="15"/>
      <c r="E3848" s="8"/>
      <c r="G3848" s="8"/>
      <c r="J3848" s="8"/>
    </row>
    <row r="3849">
      <c r="C3849" s="15"/>
      <c r="E3849" s="8"/>
      <c r="G3849" s="8"/>
      <c r="J3849" s="8"/>
    </row>
    <row r="3850">
      <c r="C3850" s="15"/>
      <c r="E3850" s="8"/>
      <c r="G3850" s="8"/>
      <c r="J3850" s="8"/>
    </row>
    <row r="3851">
      <c r="C3851" s="15"/>
      <c r="E3851" s="8"/>
      <c r="G3851" s="8"/>
      <c r="J3851" s="8"/>
    </row>
    <row r="3852">
      <c r="C3852" s="15"/>
      <c r="E3852" s="8"/>
      <c r="G3852" s="8"/>
      <c r="J3852" s="8"/>
    </row>
    <row r="3853">
      <c r="C3853" s="15"/>
      <c r="E3853" s="8"/>
      <c r="G3853" s="8"/>
      <c r="J3853" s="8"/>
    </row>
    <row r="3854">
      <c r="C3854" s="15"/>
      <c r="E3854" s="8"/>
      <c r="G3854" s="8"/>
      <c r="J3854" s="8"/>
    </row>
    <row r="3855">
      <c r="C3855" s="15"/>
      <c r="E3855" s="8"/>
      <c r="G3855" s="8"/>
      <c r="J3855" s="8"/>
    </row>
    <row r="3856">
      <c r="C3856" s="15"/>
      <c r="E3856" s="8"/>
      <c r="G3856" s="8"/>
      <c r="J3856" s="8"/>
    </row>
    <row r="3857">
      <c r="C3857" s="15"/>
      <c r="E3857" s="8"/>
      <c r="G3857" s="8"/>
      <c r="J3857" s="8"/>
    </row>
    <row r="3858">
      <c r="C3858" s="15"/>
      <c r="E3858" s="8"/>
      <c r="G3858" s="8"/>
      <c r="J3858" s="8"/>
    </row>
    <row r="3859">
      <c r="C3859" s="15"/>
      <c r="E3859" s="8"/>
      <c r="G3859" s="8"/>
      <c r="J3859" s="8"/>
    </row>
    <row r="3860">
      <c r="C3860" s="15"/>
      <c r="E3860" s="8"/>
      <c r="G3860" s="8"/>
      <c r="J3860" s="8"/>
    </row>
    <row r="3861">
      <c r="C3861" s="15"/>
      <c r="E3861" s="8"/>
      <c r="G3861" s="8"/>
      <c r="J3861" s="8"/>
    </row>
    <row r="3862">
      <c r="C3862" s="15"/>
      <c r="E3862" s="8"/>
      <c r="G3862" s="8"/>
      <c r="J3862" s="8"/>
    </row>
    <row r="3863">
      <c r="C3863" s="15"/>
      <c r="E3863" s="8"/>
      <c r="G3863" s="8"/>
      <c r="J3863" s="8"/>
    </row>
    <row r="3864">
      <c r="C3864" s="15"/>
      <c r="E3864" s="8"/>
      <c r="G3864" s="8"/>
      <c r="J3864" s="8"/>
    </row>
    <row r="3865">
      <c r="C3865" s="15"/>
      <c r="E3865" s="8"/>
      <c r="G3865" s="8"/>
      <c r="J3865" s="8"/>
    </row>
    <row r="3866">
      <c r="C3866" s="15"/>
      <c r="E3866" s="8"/>
      <c r="G3866" s="8"/>
      <c r="J3866" s="8"/>
    </row>
    <row r="3867">
      <c r="C3867" s="15"/>
      <c r="E3867" s="8"/>
      <c r="G3867" s="8"/>
      <c r="J3867" s="8"/>
    </row>
    <row r="3868">
      <c r="C3868" s="15"/>
      <c r="E3868" s="8"/>
      <c r="G3868" s="8"/>
      <c r="J3868" s="8"/>
    </row>
    <row r="3869">
      <c r="C3869" s="15"/>
      <c r="E3869" s="8"/>
      <c r="G3869" s="8"/>
      <c r="J3869" s="8"/>
    </row>
    <row r="3870">
      <c r="C3870" s="15"/>
      <c r="E3870" s="8"/>
      <c r="G3870" s="8"/>
      <c r="J3870" s="8"/>
    </row>
    <row r="3871">
      <c r="C3871" s="15"/>
      <c r="E3871" s="8"/>
      <c r="G3871" s="8"/>
      <c r="J3871" s="8"/>
    </row>
    <row r="3872">
      <c r="C3872" s="15"/>
      <c r="E3872" s="8"/>
      <c r="G3872" s="8"/>
      <c r="J3872" s="8"/>
    </row>
    <row r="3873">
      <c r="C3873" s="15"/>
      <c r="E3873" s="8"/>
      <c r="G3873" s="8"/>
      <c r="J3873" s="8"/>
    </row>
    <row r="3874">
      <c r="C3874" s="15"/>
      <c r="E3874" s="8"/>
      <c r="G3874" s="8"/>
      <c r="J3874" s="8"/>
    </row>
    <row r="3875">
      <c r="C3875" s="15"/>
      <c r="E3875" s="8"/>
      <c r="G3875" s="8"/>
      <c r="J3875" s="8"/>
    </row>
    <row r="3876">
      <c r="C3876" s="15"/>
      <c r="E3876" s="8"/>
      <c r="G3876" s="8"/>
      <c r="J3876" s="8"/>
    </row>
    <row r="3877">
      <c r="C3877" s="15"/>
      <c r="E3877" s="8"/>
      <c r="G3877" s="8"/>
      <c r="J3877" s="8"/>
    </row>
    <row r="3878">
      <c r="C3878" s="15"/>
      <c r="E3878" s="8"/>
      <c r="G3878" s="8"/>
      <c r="J3878" s="8"/>
    </row>
    <row r="3879">
      <c r="C3879" s="15"/>
      <c r="E3879" s="8"/>
      <c r="G3879" s="8"/>
      <c r="J3879" s="8"/>
    </row>
    <row r="3880">
      <c r="C3880" s="15"/>
      <c r="E3880" s="8"/>
      <c r="G3880" s="8"/>
      <c r="J3880" s="8"/>
    </row>
    <row r="3881">
      <c r="C3881" s="15"/>
      <c r="E3881" s="8"/>
      <c r="G3881" s="8"/>
      <c r="J3881" s="8"/>
    </row>
    <row r="3882">
      <c r="C3882" s="15"/>
      <c r="E3882" s="8"/>
      <c r="G3882" s="8"/>
      <c r="J3882" s="8"/>
    </row>
    <row r="3883">
      <c r="C3883" s="15"/>
      <c r="E3883" s="8"/>
      <c r="G3883" s="8"/>
      <c r="J3883" s="8"/>
    </row>
    <row r="3884">
      <c r="C3884" s="15"/>
      <c r="E3884" s="8"/>
      <c r="G3884" s="8"/>
      <c r="J3884" s="8"/>
    </row>
    <row r="3885">
      <c r="C3885" s="15"/>
      <c r="E3885" s="8"/>
      <c r="G3885" s="8"/>
      <c r="J3885" s="8"/>
    </row>
    <row r="3886">
      <c r="C3886" s="15"/>
      <c r="E3886" s="8"/>
      <c r="G3886" s="8"/>
      <c r="J3886" s="8"/>
    </row>
    <row r="3887">
      <c r="C3887" s="15"/>
      <c r="E3887" s="8"/>
      <c r="G3887" s="8"/>
      <c r="J3887" s="8"/>
    </row>
    <row r="3888">
      <c r="C3888" s="15"/>
      <c r="E3888" s="8"/>
      <c r="G3888" s="8"/>
      <c r="J3888" s="8"/>
    </row>
    <row r="3889">
      <c r="C3889" s="15"/>
      <c r="E3889" s="8"/>
      <c r="G3889" s="8"/>
      <c r="J3889" s="8"/>
    </row>
    <row r="3890">
      <c r="C3890" s="15"/>
      <c r="E3890" s="8"/>
      <c r="G3890" s="8"/>
      <c r="J3890" s="8"/>
    </row>
    <row r="3891">
      <c r="C3891" s="15"/>
      <c r="E3891" s="8"/>
      <c r="G3891" s="8"/>
      <c r="J3891" s="8"/>
    </row>
    <row r="3892">
      <c r="C3892" s="15"/>
      <c r="E3892" s="8"/>
      <c r="G3892" s="8"/>
      <c r="J3892" s="8"/>
    </row>
    <row r="3893">
      <c r="C3893" s="15"/>
      <c r="E3893" s="8"/>
      <c r="G3893" s="8"/>
      <c r="J3893" s="8"/>
    </row>
    <row r="3894">
      <c r="C3894" s="15"/>
      <c r="E3894" s="8"/>
      <c r="G3894" s="8"/>
      <c r="J3894" s="8"/>
    </row>
    <row r="3895">
      <c r="C3895" s="15"/>
      <c r="E3895" s="8"/>
      <c r="G3895" s="8"/>
      <c r="J3895" s="8"/>
    </row>
    <row r="3896">
      <c r="C3896" s="15"/>
      <c r="E3896" s="8"/>
      <c r="G3896" s="8"/>
      <c r="J3896" s="8"/>
    </row>
    <row r="3897">
      <c r="C3897" s="15"/>
      <c r="E3897" s="8"/>
      <c r="G3897" s="8"/>
      <c r="J3897" s="8"/>
    </row>
    <row r="3898">
      <c r="C3898" s="15"/>
      <c r="E3898" s="8"/>
      <c r="G3898" s="8"/>
      <c r="J3898" s="8"/>
    </row>
    <row r="3899">
      <c r="C3899" s="15"/>
      <c r="E3899" s="8"/>
      <c r="G3899" s="8"/>
      <c r="J3899" s="8"/>
    </row>
    <row r="3900">
      <c r="C3900" s="15"/>
      <c r="E3900" s="8"/>
      <c r="G3900" s="8"/>
      <c r="J3900" s="8"/>
    </row>
    <row r="3901">
      <c r="C3901" s="15"/>
      <c r="E3901" s="8"/>
      <c r="G3901" s="8"/>
      <c r="J3901" s="8"/>
    </row>
    <row r="3902">
      <c r="C3902" s="15"/>
      <c r="E3902" s="8"/>
      <c r="G3902" s="8"/>
      <c r="J3902" s="8"/>
    </row>
    <row r="3903">
      <c r="C3903" s="15"/>
      <c r="E3903" s="8"/>
      <c r="G3903" s="8"/>
      <c r="J3903" s="8"/>
    </row>
    <row r="3904">
      <c r="C3904" s="15"/>
      <c r="E3904" s="8"/>
      <c r="G3904" s="8"/>
      <c r="J3904" s="8"/>
    </row>
    <row r="3905">
      <c r="C3905" s="15"/>
      <c r="E3905" s="8"/>
      <c r="G3905" s="8"/>
      <c r="J3905" s="8"/>
    </row>
    <row r="3906">
      <c r="C3906" s="15"/>
      <c r="E3906" s="8"/>
      <c r="G3906" s="8"/>
      <c r="J3906" s="8"/>
    </row>
    <row r="3907">
      <c r="C3907" s="15"/>
      <c r="E3907" s="8"/>
      <c r="G3907" s="8"/>
      <c r="J3907" s="8"/>
    </row>
    <row r="3908">
      <c r="C3908" s="15"/>
      <c r="E3908" s="8"/>
      <c r="G3908" s="8"/>
      <c r="J3908" s="8"/>
    </row>
    <row r="3909">
      <c r="C3909" s="15"/>
      <c r="E3909" s="8"/>
      <c r="G3909" s="8"/>
      <c r="J3909" s="8"/>
    </row>
    <row r="3910">
      <c r="C3910" s="15"/>
      <c r="E3910" s="8"/>
      <c r="G3910" s="8"/>
      <c r="J3910" s="8"/>
    </row>
    <row r="3911">
      <c r="C3911" s="15"/>
      <c r="E3911" s="8"/>
      <c r="G3911" s="8"/>
      <c r="J3911" s="8"/>
    </row>
    <row r="3912">
      <c r="C3912" s="15"/>
      <c r="E3912" s="8"/>
      <c r="G3912" s="8"/>
      <c r="J3912" s="8"/>
    </row>
    <row r="3913">
      <c r="C3913" s="15"/>
      <c r="E3913" s="8"/>
      <c r="G3913" s="8"/>
      <c r="J3913" s="8"/>
    </row>
    <row r="3914">
      <c r="C3914" s="15"/>
      <c r="E3914" s="8"/>
      <c r="G3914" s="8"/>
      <c r="J3914" s="8"/>
    </row>
    <row r="3915">
      <c r="C3915" s="15"/>
      <c r="E3915" s="8"/>
      <c r="G3915" s="8"/>
      <c r="J3915" s="8"/>
    </row>
    <row r="3916">
      <c r="C3916" s="15"/>
      <c r="E3916" s="8"/>
      <c r="G3916" s="8"/>
      <c r="J3916" s="8"/>
    </row>
    <row r="3917">
      <c r="C3917" s="15"/>
      <c r="E3917" s="8"/>
      <c r="G3917" s="8"/>
      <c r="J3917" s="8"/>
    </row>
    <row r="3918">
      <c r="C3918" s="15"/>
      <c r="E3918" s="8"/>
      <c r="G3918" s="8"/>
      <c r="J3918" s="8"/>
    </row>
    <row r="3919">
      <c r="C3919" s="15"/>
      <c r="E3919" s="8"/>
      <c r="G3919" s="8"/>
      <c r="J3919" s="8"/>
    </row>
    <row r="3920">
      <c r="C3920" s="15"/>
      <c r="E3920" s="8"/>
      <c r="G3920" s="8"/>
      <c r="J3920" s="8"/>
    </row>
    <row r="3921">
      <c r="C3921" s="15"/>
      <c r="E3921" s="8"/>
      <c r="G3921" s="8"/>
      <c r="J3921" s="8"/>
    </row>
    <row r="3922">
      <c r="C3922" s="15"/>
      <c r="E3922" s="8"/>
      <c r="G3922" s="8"/>
      <c r="J3922" s="8"/>
    </row>
    <row r="3923">
      <c r="C3923" s="15"/>
      <c r="E3923" s="8"/>
      <c r="G3923" s="8"/>
      <c r="J3923" s="8"/>
    </row>
    <row r="3924">
      <c r="C3924" s="15"/>
      <c r="E3924" s="8"/>
      <c r="G3924" s="8"/>
      <c r="J3924" s="8"/>
    </row>
    <row r="3925">
      <c r="C3925" s="15"/>
      <c r="E3925" s="8"/>
      <c r="G3925" s="8"/>
      <c r="J3925" s="8"/>
    </row>
    <row r="3926">
      <c r="C3926" s="15"/>
      <c r="E3926" s="8"/>
      <c r="G3926" s="8"/>
      <c r="J3926" s="8"/>
    </row>
    <row r="3927">
      <c r="C3927" s="15"/>
      <c r="E3927" s="8"/>
      <c r="G3927" s="8"/>
      <c r="J3927" s="8"/>
    </row>
    <row r="3928">
      <c r="C3928" s="15"/>
      <c r="E3928" s="8"/>
      <c r="G3928" s="8"/>
      <c r="J3928" s="8"/>
    </row>
    <row r="3929">
      <c r="C3929" s="15"/>
      <c r="E3929" s="8"/>
      <c r="G3929" s="8"/>
      <c r="J3929" s="8"/>
    </row>
    <row r="3930">
      <c r="C3930" s="15"/>
      <c r="E3930" s="8"/>
      <c r="G3930" s="8"/>
      <c r="J3930" s="8"/>
    </row>
    <row r="3931">
      <c r="C3931" s="15"/>
      <c r="E3931" s="8"/>
      <c r="G3931" s="8"/>
      <c r="J3931" s="8"/>
    </row>
    <row r="3932">
      <c r="C3932" s="15"/>
      <c r="E3932" s="8"/>
      <c r="G3932" s="8"/>
      <c r="J3932" s="8"/>
    </row>
    <row r="3933">
      <c r="C3933" s="15"/>
      <c r="E3933" s="8"/>
      <c r="G3933" s="8"/>
      <c r="J3933" s="8"/>
    </row>
    <row r="3934">
      <c r="C3934" s="15"/>
      <c r="E3934" s="8"/>
      <c r="G3934" s="8"/>
      <c r="J3934" s="8"/>
    </row>
    <row r="3935">
      <c r="C3935" s="15"/>
      <c r="E3935" s="8"/>
      <c r="G3935" s="8"/>
      <c r="J3935" s="8"/>
    </row>
    <row r="3936">
      <c r="C3936" s="15"/>
      <c r="E3936" s="8"/>
      <c r="G3936" s="8"/>
      <c r="J3936" s="8"/>
    </row>
    <row r="3937">
      <c r="C3937" s="15"/>
      <c r="E3937" s="8"/>
      <c r="G3937" s="8"/>
      <c r="J3937" s="8"/>
    </row>
    <row r="3938">
      <c r="C3938" s="15"/>
      <c r="E3938" s="8"/>
      <c r="G3938" s="8"/>
      <c r="J3938" s="8"/>
    </row>
    <row r="3939">
      <c r="C3939" s="15"/>
      <c r="E3939" s="8"/>
      <c r="G3939" s="8"/>
      <c r="J3939" s="8"/>
    </row>
    <row r="3940">
      <c r="C3940" s="15"/>
      <c r="E3940" s="8"/>
      <c r="G3940" s="8"/>
      <c r="J3940" s="8"/>
    </row>
    <row r="3941">
      <c r="C3941" s="15"/>
      <c r="E3941" s="8"/>
      <c r="G3941" s="8"/>
      <c r="J3941" s="8"/>
    </row>
    <row r="3942">
      <c r="C3942" s="15"/>
      <c r="E3942" s="8"/>
      <c r="G3942" s="8"/>
      <c r="J3942" s="8"/>
    </row>
    <row r="3943">
      <c r="C3943" s="15"/>
      <c r="E3943" s="8"/>
      <c r="G3943" s="8"/>
      <c r="J3943" s="8"/>
    </row>
    <row r="3944">
      <c r="C3944" s="15"/>
      <c r="E3944" s="8"/>
      <c r="G3944" s="8"/>
      <c r="J3944" s="8"/>
    </row>
    <row r="3945">
      <c r="C3945" s="15"/>
      <c r="E3945" s="8"/>
      <c r="G3945" s="8"/>
      <c r="J3945" s="8"/>
    </row>
    <row r="3946">
      <c r="C3946" s="15"/>
      <c r="E3946" s="8"/>
      <c r="G3946" s="8"/>
      <c r="J3946" s="8"/>
    </row>
    <row r="3947">
      <c r="C3947" s="15"/>
      <c r="E3947" s="8"/>
      <c r="G3947" s="8"/>
      <c r="J3947" s="8"/>
    </row>
    <row r="3948">
      <c r="C3948" s="15"/>
      <c r="E3948" s="8"/>
      <c r="G3948" s="8"/>
      <c r="J3948" s="8"/>
    </row>
    <row r="3949">
      <c r="C3949" s="15"/>
      <c r="E3949" s="8"/>
      <c r="G3949" s="8"/>
      <c r="J3949" s="8"/>
    </row>
    <row r="3950">
      <c r="C3950" s="15"/>
      <c r="E3950" s="8"/>
      <c r="G3950" s="8"/>
      <c r="J3950" s="8"/>
    </row>
    <row r="3951">
      <c r="C3951" s="15"/>
      <c r="E3951" s="8"/>
      <c r="G3951" s="8"/>
      <c r="J3951" s="8"/>
    </row>
    <row r="3952">
      <c r="C3952" s="15"/>
      <c r="E3952" s="8"/>
      <c r="G3952" s="8"/>
      <c r="J3952" s="8"/>
    </row>
    <row r="3953">
      <c r="C3953" s="15"/>
      <c r="E3953" s="8"/>
      <c r="G3953" s="8"/>
      <c r="J3953" s="8"/>
    </row>
    <row r="3954">
      <c r="C3954" s="15"/>
      <c r="E3954" s="8"/>
      <c r="G3954" s="8"/>
      <c r="J3954" s="8"/>
    </row>
    <row r="3955">
      <c r="C3955" s="15"/>
      <c r="E3955" s="8"/>
      <c r="G3955" s="8"/>
      <c r="J3955" s="8"/>
    </row>
    <row r="3956">
      <c r="C3956" s="15"/>
      <c r="E3956" s="8"/>
      <c r="G3956" s="8"/>
      <c r="J3956" s="8"/>
    </row>
    <row r="3957">
      <c r="C3957" s="15"/>
      <c r="E3957" s="8"/>
      <c r="G3957" s="8"/>
      <c r="J3957" s="8"/>
    </row>
    <row r="3958">
      <c r="C3958" s="15"/>
      <c r="E3958" s="8"/>
      <c r="G3958" s="8"/>
      <c r="J3958" s="8"/>
    </row>
    <row r="3959">
      <c r="C3959" s="15"/>
      <c r="E3959" s="8"/>
      <c r="G3959" s="8"/>
      <c r="J3959" s="8"/>
    </row>
    <row r="3960">
      <c r="C3960" s="15"/>
      <c r="E3960" s="8"/>
      <c r="G3960" s="8"/>
      <c r="J3960" s="8"/>
    </row>
    <row r="3961">
      <c r="C3961" s="15"/>
      <c r="E3961" s="8"/>
      <c r="G3961" s="8"/>
      <c r="J3961" s="8"/>
    </row>
    <row r="3962">
      <c r="C3962" s="15"/>
      <c r="E3962" s="8"/>
      <c r="G3962" s="8"/>
      <c r="J3962" s="8"/>
    </row>
    <row r="3963">
      <c r="C3963" s="15"/>
      <c r="E3963" s="8"/>
      <c r="G3963" s="8"/>
      <c r="J3963" s="8"/>
    </row>
    <row r="3964">
      <c r="C3964" s="15"/>
      <c r="E3964" s="8"/>
      <c r="G3964" s="8"/>
      <c r="J3964" s="8"/>
    </row>
    <row r="3965">
      <c r="C3965" s="15"/>
      <c r="E3965" s="8"/>
      <c r="G3965" s="8"/>
      <c r="J3965" s="8"/>
    </row>
    <row r="3966">
      <c r="C3966" s="15"/>
      <c r="E3966" s="8"/>
      <c r="G3966" s="8"/>
      <c r="J3966" s="8"/>
    </row>
    <row r="3967">
      <c r="C3967" s="15"/>
      <c r="E3967" s="8"/>
      <c r="G3967" s="8"/>
      <c r="J3967" s="8"/>
    </row>
    <row r="3968">
      <c r="C3968" s="15"/>
      <c r="E3968" s="8"/>
      <c r="G3968" s="8"/>
      <c r="J3968" s="8"/>
    </row>
    <row r="3969">
      <c r="C3969" s="15"/>
      <c r="E3969" s="8"/>
      <c r="G3969" s="8"/>
      <c r="J3969" s="8"/>
    </row>
    <row r="3970">
      <c r="C3970" s="15"/>
      <c r="E3970" s="8"/>
      <c r="G3970" s="8"/>
      <c r="J3970" s="8"/>
    </row>
    <row r="3971">
      <c r="C3971" s="15"/>
      <c r="E3971" s="8"/>
      <c r="G3971" s="8"/>
      <c r="J3971" s="8"/>
    </row>
    <row r="3972">
      <c r="C3972" s="15"/>
      <c r="E3972" s="8"/>
      <c r="G3972" s="8"/>
      <c r="J3972" s="8"/>
    </row>
    <row r="3973">
      <c r="C3973" s="15"/>
      <c r="E3973" s="8"/>
      <c r="G3973" s="8"/>
      <c r="J3973" s="8"/>
    </row>
    <row r="3974">
      <c r="C3974" s="15"/>
      <c r="E3974" s="8"/>
      <c r="G3974" s="8"/>
      <c r="J3974" s="8"/>
    </row>
    <row r="3975">
      <c r="C3975" s="15"/>
      <c r="E3975" s="8"/>
      <c r="G3975" s="8"/>
      <c r="J3975" s="8"/>
    </row>
    <row r="3976">
      <c r="C3976" s="15"/>
      <c r="E3976" s="8"/>
      <c r="G3976" s="8"/>
      <c r="J3976" s="8"/>
    </row>
    <row r="3977">
      <c r="C3977" s="15"/>
      <c r="E3977" s="8"/>
      <c r="G3977" s="8"/>
      <c r="J3977" s="8"/>
    </row>
    <row r="3978">
      <c r="C3978" s="15"/>
      <c r="E3978" s="8"/>
      <c r="G3978" s="8"/>
      <c r="J3978" s="8"/>
    </row>
    <row r="3979">
      <c r="C3979" s="15"/>
      <c r="E3979" s="8"/>
      <c r="G3979" s="8"/>
      <c r="J3979" s="8"/>
    </row>
    <row r="3980">
      <c r="C3980" s="15"/>
      <c r="E3980" s="8"/>
      <c r="G3980" s="8"/>
      <c r="J3980" s="8"/>
    </row>
    <row r="3981">
      <c r="C3981" s="15"/>
      <c r="E3981" s="8"/>
      <c r="G3981" s="8"/>
      <c r="J3981" s="8"/>
    </row>
    <row r="3982">
      <c r="C3982" s="15"/>
      <c r="E3982" s="8"/>
      <c r="G3982" s="8"/>
      <c r="J3982" s="8"/>
    </row>
    <row r="3983">
      <c r="C3983" s="15"/>
      <c r="E3983" s="8"/>
      <c r="G3983" s="8"/>
      <c r="J3983" s="8"/>
    </row>
    <row r="3984">
      <c r="C3984" s="15"/>
      <c r="E3984" s="8"/>
      <c r="G3984" s="8"/>
      <c r="J3984" s="8"/>
    </row>
    <row r="3985">
      <c r="C3985" s="15"/>
      <c r="E3985" s="8"/>
      <c r="G3985" s="8"/>
      <c r="J3985" s="8"/>
    </row>
    <row r="3986">
      <c r="C3986" s="15"/>
      <c r="E3986" s="8"/>
      <c r="G3986" s="8"/>
      <c r="J3986" s="8"/>
    </row>
    <row r="3987">
      <c r="C3987" s="15"/>
      <c r="E3987" s="8"/>
      <c r="G3987" s="8"/>
      <c r="J3987" s="8"/>
    </row>
    <row r="3988">
      <c r="C3988" s="15"/>
      <c r="E3988" s="8"/>
      <c r="G3988" s="8"/>
      <c r="J3988" s="8"/>
    </row>
    <row r="3989">
      <c r="C3989" s="15"/>
      <c r="E3989" s="8"/>
      <c r="G3989" s="8"/>
      <c r="J3989" s="8"/>
    </row>
    <row r="3990">
      <c r="C3990" s="15"/>
      <c r="E3990" s="8"/>
      <c r="G3990" s="8"/>
      <c r="J3990" s="8"/>
    </row>
    <row r="3991">
      <c r="C3991" s="15"/>
      <c r="E3991" s="8"/>
      <c r="G3991" s="8"/>
      <c r="J3991" s="8"/>
    </row>
    <row r="3992">
      <c r="C3992" s="15"/>
      <c r="E3992" s="8"/>
      <c r="G3992" s="8"/>
      <c r="J3992" s="8"/>
    </row>
    <row r="3993">
      <c r="C3993" s="15"/>
      <c r="E3993" s="8"/>
      <c r="G3993" s="8"/>
      <c r="J3993" s="8"/>
    </row>
    <row r="3994">
      <c r="C3994" s="15"/>
      <c r="E3994" s="8"/>
      <c r="G3994" s="8"/>
      <c r="J3994" s="8"/>
    </row>
    <row r="3995">
      <c r="C3995" s="15"/>
      <c r="E3995" s="8"/>
      <c r="G3995" s="8"/>
      <c r="J3995" s="8"/>
    </row>
    <row r="3996">
      <c r="C3996" s="15"/>
      <c r="E3996" s="8"/>
      <c r="G3996" s="8"/>
      <c r="J3996" s="8"/>
    </row>
    <row r="3997">
      <c r="C3997" s="15"/>
      <c r="E3997" s="8"/>
      <c r="G3997" s="8"/>
      <c r="J3997" s="8"/>
    </row>
    <row r="3998">
      <c r="C3998" s="15"/>
      <c r="E3998" s="8"/>
      <c r="G3998" s="8"/>
      <c r="J3998" s="8"/>
    </row>
    <row r="3999">
      <c r="C3999" s="15"/>
      <c r="E3999" s="8"/>
      <c r="G3999" s="8"/>
      <c r="J3999" s="8"/>
    </row>
    <row r="4000">
      <c r="C4000" s="15"/>
      <c r="E4000" s="8"/>
      <c r="G4000" s="8"/>
      <c r="J4000" s="8"/>
    </row>
    <row r="4001">
      <c r="C4001" s="15"/>
      <c r="E4001" s="8"/>
      <c r="G4001" s="8"/>
      <c r="J4001" s="8"/>
    </row>
    <row r="4002">
      <c r="C4002" s="15"/>
      <c r="E4002" s="8"/>
      <c r="G4002" s="8"/>
      <c r="J4002" s="8"/>
    </row>
    <row r="4003">
      <c r="C4003" s="15"/>
      <c r="E4003" s="8"/>
      <c r="G4003" s="8"/>
      <c r="J4003" s="8"/>
    </row>
    <row r="4004">
      <c r="C4004" s="15"/>
      <c r="E4004" s="8"/>
      <c r="G4004" s="8"/>
      <c r="J4004" s="8"/>
    </row>
    <row r="4005">
      <c r="C4005" s="15"/>
      <c r="E4005" s="8"/>
      <c r="G4005" s="8"/>
      <c r="J4005" s="8"/>
    </row>
    <row r="4006">
      <c r="C4006" s="15"/>
      <c r="E4006" s="8"/>
      <c r="G4006" s="8"/>
      <c r="J4006" s="8"/>
    </row>
    <row r="4007">
      <c r="C4007" s="15"/>
      <c r="E4007" s="8"/>
      <c r="G4007" s="8"/>
      <c r="J4007" s="8"/>
    </row>
    <row r="4008">
      <c r="C4008" s="15"/>
      <c r="E4008" s="8"/>
      <c r="G4008" s="8"/>
      <c r="J4008" s="8"/>
    </row>
    <row r="4009">
      <c r="C4009" s="15"/>
      <c r="E4009" s="8"/>
      <c r="G4009" s="8"/>
      <c r="J4009" s="8"/>
    </row>
    <row r="4010">
      <c r="C4010" s="15"/>
      <c r="E4010" s="8"/>
      <c r="G4010" s="8"/>
      <c r="J4010" s="8"/>
    </row>
    <row r="4011">
      <c r="C4011" s="15"/>
      <c r="E4011" s="8"/>
      <c r="G4011" s="8"/>
      <c r="J4011" s="8"/>
    </row>
    <row r="4012">
      <c r="C4012" s="15"/>
      <c r="E4012" s="8"/>
      <c r="G4012" s="8"/>
      <c r="J4012" s="8"/>
    </row>
    <row r="4013">
      <c r="C4013" s="15"/>
      <c r="E4013" s="8"/>
      <c r="G4013" s="8"/>
      <c r="J4013" s="8"/>
    </row>
    <row r="4014">
      <c r="C4014" s="15"/>
      <c r="E4014" s="8"/>
      <c r="G4014" s="8"/>
      <c r="J4014" s="8"/>
    </row>
    <row r="4015">
      <c r="C4015" s="15"/>
      <c r="E4015" s="8"/>
      <c r="G4015" s="8"/>
      <c r="J4015" s="8"/>
    </row>
    <row r="4016">
      <c r="C4016" s="15"/>
      <c r="E4016" s="8"/>
      <c r="G4016" s="8"/>
      <c r="J4016" s="8"/>
    </row>
    <row r="4017">
      <c r="C4017" s="15"/>
      <c r="E4017" s="8"/>
      <c r="G4017" s="8"/>
      <c r="J4017" s="8"/>
    </row>
    <row r="4018">
      <c r="C4018" s="15"/>
      <c r="E4018" s="8"/>
      <c r="G4018" s="8"/>
      <c r="J4018" s="8"/>
    </row>
    <row r="4019">
      <c r="C4019" s="15"/>
      <c r="E4019" s="8"/>
      <c r="G4019" s="8"/>
      <c r="J4019" s="8"/>
    </row>
    <row r="4020">
      <c r="C4020" s="15"/>
      <c r="E4020" s="8"/>
      <c r="G4020" s="8"/>
      <c r="J4020" s="8"/>
    </row>
    <row r="4021">
      <c r="C4021" s="15"/>
      <c r="E4021" s="8"/>
      <c r="G4021" s="8"/>
      <c r="J4021" s="8"/>
    </row>
    <row r="4022">
      <c r="C4022" s="15"/>
      <c r="E4022" s="8"/>
      <c r="G4022" s="8"/>
      <c r="J4022" s="8"/>
    </row>
    <row r="4023">
      <c r="C4023" s="15"/>
      <c r="E4023" s="8"/>
      <c r="G4023" s="8"/>
      <c r="J4023" s="8"/>
    </row>
    <row r="4024">
      <c r="C4024" s="15"/>
      <c r="E4024" s="8"/>
      <c r="G4024" s="8"/>
      <c r="J4024" s="8"/>
    </row>
    <row r="4025">
      <c r="C4025" s="15"/>
      <c r="E4025" s="8"/>
      <c r="G4025" s="8"/>
      <c r="J4025" s="8"/>
    </row>
    <row r="4026">
      <c r="C4026" s="15"/>
      <c r="E4026" s="8"/>
      <c r="G4026" s="8"/>
      <c r="J4026" s="8"/>
    </row>
    <row r="4027">
      <c r="C4027" s="15"/>
      <c r="E4027" s="8"/>
      <c r="G4027" s="8"/>
      <c r="J4027" s="8"/>
    </row>
    <row r="4028">
      <c r="C4028" s="15"/>
      <c r="E4028" s="8"/>
      <c r="G4028" s="8"/>
      <c r="J4028" s="8"/>
    </row>
    <row r="4029">
      <c r="C4029" s="15"/>
      <c r="E4029" s="8"/>
      <c r="G4029" s="8"/>
      <c r="J4029" s="8"/>
    </row>
    <row r="4030">
      <c r="C4030" s="15"/>
      <c r="E4030" s="8"/>
      <c r="G4030" s="8"/>
      <c r="J4030" s="8"/>
    </row>
    <row r="4031">
      <c r="C4031" s="15"/>
      <c r="E4031" s="8"/>
      <c r="G4031" s="8"/>
      <c r="J4031" s="8"/>
    </row>
    <row r="4032">
      <c r="C4032" s="15"/>
      <c r="E4032" s="8"/>
      <c r="G4032" s="8"/>
      <c r="J4032" s="8"/>
    </row>
    <row r="4033">
      <c r="C4033" s="15"/>
      <c r="E4033" s="8"/>
      <c r="G4033" s="8"/>
      <c r="J4033" s="8"/>
    </row>
    <row r="4034">
      <c r="C4034" s="15"/>
      <c r="E4034" s="8"/>
      <c r="G4034" s="8"/>
      <c r="J4034" s="8"/>
    </row>
    <row r="4035">
      <c r="C4035" s="15"/>
      <c r="E4035" s="8"/>
      <c r="G4035" s="8"/>
      <c r="J4035" s="8"/>
    </row>
    <row r="4036">
      <c r="C4036" s="15"/>
      <c r="E4036" s="8"/>
      <c r="G4036" s="8"/>
      <c r="J4036" s="8"/>
    </row>
    <row r="4037">
      <c r="C4037" s="15"/>
      <c r="E4037" s="8"/>
      <c r="G4037" s="8"/>
      <c r="J4037" s="8"/>
    </row>
    <row r="4038">
      <c r="C4038" s="15"/>
      <c r="E4038" s="8"/>
      <c r="G4038" s="8"/>
      <c r="J4038" s="8"/>
    </row>
    <row r="4039">
      <c r="C4039" s="15"/>
      <c r="E4039" s="8"/>
      <c r="G4039" s="8"/>
      <c r="J4039" s="8"/>
    </row>
    <row r="4040">
      <c r="C4040" s="15"/>
      <c r="E4040" s="8"/>
      <c r="G4040" s="8"/>
      <c r="J4040" s="8"/>
    </row>
    <row r="4041">
      <c r="C4041" s="15"/>
      <c r="E4041" s="8"/>
      <c r="G4041" s="8"/>
      <c r="J4041" s="8"/>
    </row>
    <row r="4042">
      <c r="C4042" s="15"/>
      <c r="E4042" s="8"/>
      <c r="G4042" s="8"/>
      <c r="J4042" s="8"/>
    </row>
    <row r="4043">
      <c r="C4043" s="15"/>
      <c r="E4043" s="8"/>
      <c r="G4043" s="8"/>
      <c r="J4043" s="8"/>
    </row>
    <row r="4044">
      <c r="C4044" s="15"/>
      <c r="E4044" s="8"/>
      <c r="G4044" s="8"/>
      <c r="J4044" s="8"/>
    </row>
    <row r="4045">
      <c r="C4045" s="15"/>
      <c r="E4045" s="8"/>
      <c r="G4045" s="8"/>
      <c r="J4045" s="8"/>
    </row>
    <row r="4046">
      <c r="C4046" s="15"/>
      <c r="E4046" s="8"/>
      <c r="G4046" s="8"/>
      <c r="J4046" s="8"/>
    </row>
    <row r="4047">
      <c r="C4047" s="15"/>
      <c r="E4047" s="8"/>
      <c r="G4047" s="8"/>
      <c r="J4047" s="8"/>
    </row>
    <row r="4048">
      <c r="C4048" s="15"/>
      <c r="E4048" s="8"/>
      <c r="G4048" s="8"/>
      <c r="J4048" s="8"/>
    </row>
    <row r="4049">
      <c r="C4049" s="15"/>
      <c r="E4049" s="8"/>
      <c r="G4049" s="8"/>
      <c r="J4049" s="8"/>
    </row>
    <row r="4050">
      <c r="C4050" s="15"/>
      <c r="E4050" s="8"/>
      <c r="G4050" s="8"/>
      <c r="J4050" s="8"/>
    </row>
    <row r="4051">
      <c r="C4051" s="15"/>
      <c r="E4051" s="8"/>
      <c r="G4051" s="8"/>
      <c r="J4051" s="8"/>
    </row>
    <row r="4052">
      <c r="C4052" s="15"/>
      <c r="E4052" s="8"/>
      <c r="G4052" s="8"/>
      <c r="J4052" s="8"/>
    </row>
    <row r="4053">
      <c r="C4053" s="15"/>
      <c r="E4053" s="8"/>
      <c r="G4053" s="8"/>
      <c r="J4053" s="8"/>
    </row>
    <row r="4054">
      <c r="C4054" s="15"/>
      <c r="E4054" s="8"/>
      <c r="G4054" s="8"/>
      <c r="J4054" s="8"/>
    </row>
    <row r="4055">
      <c r="C4055" s="15"/>
      <c r="E4055" s="8"/>
      <c r="G4055" s="8"/>
      <c r="J4055" s="8"/>
    </row>
    <row r="4056">
      <c r="C4056" s="15"/>
      <c r="E4056" s="8"/>
      <c r="G4056" s="8"/>
      <c r="J4056" s="8"/>
    </row>
    <row r="4057">
      <c r="C4057" s="15"/>
      <c r="E4057" s="8"/>
      <c r="G4057" s="8"/>
      <c r="J4057" s="8"/>
    </row>
    <row r="4058">
      <c r="C4058" s="15"/>
      <c r="E4058" s="8"/>
      <c r="G4058" s="8"/>
      <c r="J4058" s="8"/>
    </row>
    <row r="4059">
      <c r="C4059" s="15"/>
      <c r="E4059" s="8"/>
      <c r="G4059" s="8"/>
      <c r="J4059" s="8"/>
    </row>
    <row r="4060">
      <c r="C4060" s="15"/>
      <c r="E4060" s="8"/>
      <c r="G4060" s="8"/>
      <c r="J4060" s="8"/>
    </row>
    <row r="4061">
      <c r="C4061" s="15"/>
      <c r="E4061" s="8"/>
      <c r="G4061" s="8"/>
      <c r="J4061" s="8"/>
    </row>
    <row r="4062">
      <c r="C4062" s="15"/>
      <c r="E4062" s="8"/>
      <c r="G4062" s="8"/>
      <c r="J4062" s="8"/>
    </row>
    <row r="4063">
      <c r="C4063" s="15"/>
      <c r="E4063" s="8"/>
      <c r="G4063" s="8"/>
      <c r="J4063" s="8"/>
    </row>
    <row r="4064">
      <c r="C4064" s="15"/>
      <c r="E4064" s="8"/>
      <c r="G4064" s="8"/>
      <c r="J4064" s="8"/>
    </row>
    <row r="4065">
      <c r="C4065" s="15"/>
      <c r="E4065" s="8"/>
      <c r="G4065" s="8"/>
      <c r="J4065" s="8"/>
    </row>
    <row r="4066">
      <c r="C4066" s="15"/>
      <c r="E4066" s="8"/>
      <c r="G4066" s="8"/>
      <c r="J4066" s="8"/>
    </row>
    <row r="4067">
      <c r="C4067" s="15"/>
      <c r="E4067" s="8"/>
      <c r="G4067" s="8"/>
      <c r="J4067" s="8"/>
    </row>
    <row r="4068">
      <c r="C4068" s="15"/>
      <c r="E4068" s="8"/>
      <c r="G4068" s="8"/>
      <c r="J4068" s="8"/>
    </row>
    <row r="4069">
      <c r="C4069" s="15"/>
      <c r="E4069" s="8"/>
      <c r="G4069" s="8"/>
      <c r="J4069" s="8"/>
    </row>
    <row r="4070">
      <c r="C4070" s="15"/>
      <c r="E4070" s="8"/>
      <c r="G4070" s="8"/>
      <c r="J4070" s="8"/>
    </row>
    <row r="4071">
      <c r="C4071" s="15"/>
      <c r="E4071" s="8"/>
      <c r="G4071" s="8"/>
      <c r="J4071" s="8"/>
    </row>
    <row r="4072">
      <c r="C4072" s="15"/>
      <c r="E4072" s="8"/>
      <c r="G4072" s="8"/>
      <c r="J4072" s="8"/>
    </row>
    <row r="4073">
      <c r="C4073" s="15"/>
      <c r="E4073" s="8"/>
      <c r="G4073" s="8"/>
      <c r="J4073" s="8"/>
    </row>
    <row r="4074">
      <c r="C4074" s="15"/>
      <c r="E4074" s="8"/>
      <c r="G4074" s="8"/>
      <c r="J4074" s="8"/>
    </row>
    <row r="4075">
      <c r="C4075" s="15"/>
      <c r="E4075" s="8"/>
      <c r="G4075" s="8"/>
      <c r="J4075" s="8"/>
    </row>
    <row r="4076">
      <c r="C4076" s="15"/>
      <c r="E4076" s="8"/>
      <c r="G4076" s="8"/>
      <c r="J4076" s="8"/>
    </row>
    <row r="4077">
      <c r="C4077" s="15"/>
      <c r="E4077" s="8"/>
      <c r="G4077" s="8"/>
      <c r="J4077" s="8"/>
    </row>
    <row r="4078">
      <c r="C4078" s="15"/>
      <c r="E4078" s="8"/>
      <c r="G4078" s="8"/>
      <c r="J4078" s="8"/>
    </row>
    <row r="4079">
      <c r="C4079" s="15"/>
      <c r="E4079" s="8"/>
      <c r="G4079" s="8"/>
      <c r="J4079" s="8"/>
    </row>
    <row r="4080">
      <c r="C4080" s="15"/>
      <c r="E4080" s="8"/>
      <c r="G4080" s="8"/>
      <c r="J4080" s="8"/>
    </row>
    <row r="4081">
      <c r="C4081" s="15"/>
      <c r="E4081" s="8"/>
      <c r="G4081" s="8"/>
      <c r="J4081" s="8"/>
    </row>
    <row r="4082">
      <c r="C4082" s="15"/>
      <c r="E4082" s="8"/>
      <c r="G4082" s="8"/>
      <c r="J4082" s="8"/>
    </row>
    <row r="4083">
      <c r="C4083" s="15"/>
      <c r="E4083" s="8"/>
      <c r="G4083" s="8"/>
      <c r="J4083" s="8"/>
    </row>
    <row r="4084">
      <c r="C4084" s="15"/>
      <c r="E4084" s="8"/>
      <c r="G4084" s="8"/>
      <c r="J4084" s="8"/>
    </row>
    <row r="4085">
      <c r="C4085" s="15"/>
      <c r="E4085" s="8"/>
      <c r="G4085" s="8"/>
      <c r="J4085" s="8"/>
    </row>
    <row r="4086">
      <c r="C4086" s="15"/>
      <c r="E4086" s="8"/>
      <c r="G4086" s="8"/>
      <c r="J4086" s="8"/>
    </row>
    <row r="4087">
      <c r="C4087" s="15"/>
      <c r="E4087" s="8"/>
      <c r="G4087" s="8"/>
      <c r="J4087" s="8"/>
    </row>
    <row r="4088">
      <c r="C4088" s="15"/>
      <c r="E4088" s="8"/>
      <c r="G4088" s="8"/>
      <c r="J4088" s="8"/>
    </row>
    <row r="4089">
      <c r="C4089" s="15"/>
      <c r="E4089" s="8"/>
      <c r="G4089" s="8"/>
      <c r="J4089" s="8"/>
    </row>
    <row r="4090">
      <c r="C4090" s="15"/>
      <c r="E4090" s="8"/>
      <c r="G4090" s="8"/>
      <c r="J4090" s="8"/>
    </row>
    <row r="4091">
      <c r="C4091" s="15"/>
      <c r="E4091" s="8"/>
      <c r="G4091" s="8"/>
      <c r="J4091" s="8"/>
    </row>
    <row r="4092">
      <c r="C4092" s="15"/>
      <c r="E4092" s="8"/>
      <c r="G4092" s="8"/>
      <c r="J4092" s="8"/>
    </row>
    <row r="4093">
      <c r="C4093" s="15"/>
      <c r="E4093" s="8"/>
      <c r="G4093" s="8"/>
      <c r="J4093" s="8"/>
    </row>
    <row r="4094">
      <c r="C4094" s="15"/>
      <c r="E4094" s="8"/>
      <c r="G4094" s="8"/>
      <c r="J4094" s="8"/>
    </row>
    <row r="4095">
      <c r="C4095" s="15"/>
      <c r="E4095" s="8"/>
      <c r="G4095" s="8"/>
      <c r="J4095" s="8"/>
    </row>
    <row r="4096">
      <c r="C4096" s="15"/>
      <c r="E4096" s="8"/>
      <c r="G4096" s="8"/>
      <c r="J4096" s="8"/>
    </row>
    <row r="4097">
      <c r="C4097" s="15"/>
      <c r="E4097" s="8"/>
      <c r="G4097" s="8"/>
      <c r="J4097" s="8"/>
    </row>
    <row r="4098">
      <c r="C4098" s="15"/>
      <c r="E4098" s="8"/>
      <c r="G4098" s="8"/>
      <c r="J4098" s="8"/>
    </row>
    <row r="4099">
      <c r="C4099" s="15"/>
      <c r="E4099" s="8"/>
      <c r="G4099" s="8"/>
      <c r="J4099" s="8"/>
    </row>
    <row r="4100">
      <c r="C4100" s="15"/>
      <c r="E4100" s="8"/>
      <c r="G4100" s="8"/>
      <c r="J4100" s="8"/>
    </row>
    <row r="4101">
      <c r="C4101" s="15"/>
      <c r="E4101" s="8"/>
      <c r="G4101" s="8"/>
      <c r="J4101" s="8"/>
    </row>
    <row r="4102">
      <c r="C4102" s="15"/>
      <c r="E4102" s="8"/>
      <c r="G4102" s="8"/>
      <c r="J4102" s="8"/>
    </row>
    <row r="4103">
      <c r="C4103" s="15"/>
      <c r="E4103" s="8"/>
      <c r="G4103" s="8"/>
      <c r="J4103" s="8"/>
    </row>
    <row r="4104">
      <c r="C4104" s="15"/>
      <c r="E4104" s="8"/>
      <c r="G4104" s="8"/>
      <c r="J4104" s="8"/>
    </row>
    <row r="4105">
      <c r="C4105" s="15"/>
      <c r="E4105" s="8"/>
      <c r="G4105" s="8"/>
      <c r="J4105" s="8"/>
    </row>
    <row r="4106">
      <c r="C4106" s="15"/>
      <c r="E4106" s="8"/>
      <c r="G4106" s="8"/>
      <c r="J4106" s="8"/>
    </row>
    <row r="4107">
      <c r="C4107" s="15"/>
      <c r="E4107" s="8"/>
      <c r="G4107" s="8"/>
      <c r="J4107" s="8"/>
    </row>
    <row r="4108">
      <c r="C4108" s="15"/>
      <c r="E4108" s="8"/>
      <c r="G4108" s="8"/>
      <c r="J4108" s="8"/>
    </row>
    <row r="4109">
      <c r="C4109" s="15"/>
      <c r="E4109" s="8"/>
      <c r="G4109" s="8"/>
      <c r="J4109" s="8"/>
    </row>
    <row r="4110">
      <c r="C4110" s="15"/>
      <c r="E4110" s="8"/>
      <c r="G4110" s="8"/>
      <c r="J4110" s="8"/>
    </row>
    <row r="4111">
      <c r="C4111" s="15"/>
      <c r="E4111" s="8"/>
      <c r="G4111" s="8"/>
      <c r="J4111" s="8"/>
    </row>
    <row r="4112">
      <c r="C4112" s="15"/>
      <c r="E4112" s="8"/>
      <c r="G4112" s="8"/>
      <c r="J4112" s="8"/>
    </row>
    <row r="4113">
      <c r="C4113" s="15"/>
      <c r="E4113" s="8"/>
      <c r="G4113" s="8"/>
      <c r="J4113" s="8"/>
    </row>
    <row r="4114">
      <c r="C4114" s="15"/>
      <c r="E4114" s="8"/>
      <c r="G4114" s="8"/>
      <c r="J4114" s="8"/>
    </row>
    <row r="4115">
      <c r="C4115" s="15"/>
      <c r="E4115" s="8"/>
      <c r="G4115" s="8"/>
      <c r="J4115" s="8"/>
    </row>
    <row r="4116">
      <c r="C4116" s="15"/>
      <c r="E4116" s="8"/>
      <c r="G4116" s="8"/>
      <c r="J4116" s="8"/>
    </row>
    <row r="4117">
      <c r="C4117" s="15"/>
      <c r="E4117" s="8"/>
      <c r="G4117" s="8"/>
      <c r="J4117" s="8"/>
    </row>
    <row r="4118">
      <c r="C4118" s="15"/>
      <c r="E4118" s="8"/>
      <c r="G4118" s="8"/>
      <c r="J4118" s="8"/>
    </row>
    <row r="4119">
      <c r="C4119" s="15"/>
      <c r="E4119" s="8"/>
      <c r="G4119" s="8"/>
      <c r="J4119" s="8"/>
    </row>
    <row r="4120">
      <c r="C4120" s="15"/>
      <c r="E4120" s="8"/>
      <c r="G4120" s="8"/>
      <c r="J4120" s="8"/>
    </row>
    <row r="4121">
      <c r="C4121" s="15"/>
      <c r="E4121" s="8"/>
      <c r="G4121" s="8"/>
      <c r="J4121" s="8"/>
    </row>
    <row r="4122">
      <c r="C4122" s="15"/>
      <c r="E4122" s="8"/>
      <c r="G4122" s="8"/>
      <c r="J4122" s="8"/>
    </row>
    <row r="4123">
      <c r="C4123" s="15"/>
      <c r="E4123" s="8"/>
      <c r="G4123" s="8"/>
      <c r="J4123" s="8"/>
    </row>
    <row r="4124">
      <c r="C4124" s="15"/>
      <c r="E4124" s="8"/>
      <c r="G4124" s="8"/>
      <c r="J4124" s="8"/>
    </row>
    <row r="4125">
      <c r="C4125" s="15"/>
      <c r="E4125" s="8"/>
      <c r="G4125" s="8"/>
      <c r="J4125" s="8"/>
    </row>
    <row r="4126">
      <c r="C4126" s="15"/>
      <c r="E4126" s="8"/>
      <c r="G4126" s="8"/>
      <c r="J4126" s="8"/>
    </row>
    <row r="4127">
      <c r="C4127" s="15"/>
      <c r="E4127" s="8"/>
      <c r="G4127" s="8"/>
      <c r="J4127" s="8"/>
    </row>
    <row r="4128">
      <c r="C4128" s="15"/>
      <c r="E4128" s="8"/>
      <c r="G4128" s="8"/>
      <c r="J4128" s="8"/>
    </row>
    <row r="4129">
      <c r="C4129" s="15"/>
      <c r="E4129" s="8"/>
      <c r="G4129" s="8"/>
      <c r="J4129" s="8"/>
    </row>
    <row r="4130">
      <c r="C4130" s="15"/>
      <c r="E4130" s="8"/>
      <c r="G4130" s="8"/>
      <c r="J4130" s="8"/>
    </row>
    <row r="4131">
      <c r="C4131" s="15"/>
      <c r="E4131" s="8"/>
      <c r="G4131" s="8"/>
      <c r="J4131" s="8"/>
    </row>
    <row r="4132">
      <c r="C4132" s="15"/>
      <c r="E4132" s="8"/>
      <c r="G4132" s="8"/>
      <c r="J4132" s="8"/>
    </row>
    <row r="4133">
      <c r="C4133" s="15"/>
      <c r="E4133" s="8"/>
      <c r="G4133" s="8"/>
      <c r="J4133" s="8"/>
    </row>
    <row r="4134">
      <c r="C4134" s="15"/>
      <c r="E4134" s="8"/>
      <c r="G4134" s="8"/>
      <c r="J4134" s="8"/>
    </row>
    <row r="4135">
      <c r="C4135" s="15"/>
      <c r="E4135" s="8"/>
      <c r="G4135" s="8"/>
      <c r="J4135" s="8"/>
    </row>
    <row r="4136">
      <c r="C4136" s="15"/>
      <c r="E4136" s="8"/>
      <c r="G4136" s="8"/>
      <c r="J4136" s="8"/>
    </row>
    <row r="4137">
      <c r="C4137" s="15"/>
      <c r="E4137" s="8"/>
      <c r="G4137" s="8"/>
      <c r="J4137" s="8"/>
    </row>
    <row r="4138">
      <c r="C4138" s="15"/>
      <c r="E4138" s="8"/>
      <c r="G4138" s="8"/>
      <c r="J4138" s="8"/>
    </row>
    <row r="4139">
      <c r="C4139" s="15"/>
      <c r="E4139" s="8"/>
      <c r="G4139" s="8"/>
      <c r="J4139" s="8"/>
    </row>
    <row r="4140">
      <c r="C4140" s="15"/>
      <c r="E4140" s="8"/>
      <c r="G4140" s="8"/>
      <c r="J4140" s="8"/>
    </row>
    <row r="4141">
      <c r="C4141" s="15"/>
      <c r="E4141" s="8"/>
      <c r="G4141" s="8"/>
      <c r="J4141" s="8"/>
    </row>
    <row r="4142">
      <c r="C4142" s="15"/>
      <c r="E4142" s="8"/>
      <c r="G4142" s="8"/>
      <c r="J4142" s="8"/>
    </row>
    <row r="4143">
      <c r="C4143" s="15"/>
      <c r="E4143" s="8"/>
      <c r="G4143" s="8"/>
      <c r="J4143" s="8"/>
    </row>
    <row r="4144">
      <c r="C4144" s="15"/>
      <c r="E4144" s="8"/>
      <c r="G4144" s="8"/>
      <c r="J4144" s="8"/>
    </row>
    <row r="4145">
      <c r="C4145" s="15"/>
      <c r="E4145" s="8"/>
      <c r="G4145" s="8"/>
      <c r="J4145" s="8"/>
    </row>
    <row r="4146">
      <c r="C4146" s="15"/>
      <c r="E4146" s="8"/>
      <c r="G4146" s="8"/>
      <c r="J4146" s="8"/>
    </row>
    <row r="4147">
      <c r="C4147" s="15"/>
      <c r="E4147" s="8"/>
      <c r="G4147" s="8"/>
      <c r="J4147" s="8"/>
    </row>
    <row r="4148">
      <c r="C4148" s="15"/>
      <c r="E4148" s="8"/>
      <c r="G4148" s="8"/>
      <c r="J4148" s="8"/>
    </row>
    <row r="4149">
      <c r="C4149" s="15"/>
      <c r="E4149" s="8"/>
      <c r="G4149" s="8"/>
      <c r="J4149" s="8"/>
    </row>
    <row r="4150">
      <c r="C4150" s="15"/>
      <c r="E4150" s="8"/>
      <c r="G4150" s="8"/>
      <c r="J4150" s="8"/>
    </row>
    <row r="4151">
      <c r="C4151" s="15"/>
      <c r="E4151" s="8"/>
      <c r="G4151" s="8"/>
      <c r="J4151" s="8"/>
    </row>
    <row r="4152">
      <c r="C4152" s="15"/>
      <c r="E4152" s="8"/>
      <c r="G4152" s="8"/>
      <c r="J4152" s="8"/>
    </row>
    <row r="4153">
      <c r="C4153" s="15"/>
      <c r="E4153" s="8"/>
      <c r="G4153" s="8"/>
      <c r="J4153" s="8"/>
    </row>
    <row r="4154">
      <c r="C4154" s="15"/>
      <c r="E4154" s="8"/>
      <c r="G4154" s="8"/>
      <c r="J4154" s="8"/>
    </row>
    <row r="4155">
      <c r="C4155" s="15"/>
      <c r="E4155" s="8"/>
      <c r="G4155" s="8"/>
      <c r="J4155" s="8"/>
    </row>
    <row r="4156">
      <c r="C4156" s="15"/>
      <c r="E4156" s="8"/>
      <c r="G4156" s="8"/>
      <c r="J4156" s="8"/>
    </row>
    <row r="4157">
      <c r="C4157" s="15"/>
      <c r="E4157" s="8"/>
      <c r="G4157" s="8"/>
      <c r="J4157" s="8"/>
    </row>
    <row r="4158">
      <c r="C4158" s="15"/>
      <c r="E4158" s="8"/>
      <c r="G4158" s="8"/>
      <c r="J4158" s="8"/>
    </row>
    <row r="4159">
      <c r="C4159" s="15"/>
      <c r="E4159" s="8"/>
      <c r="G4159" s="8"/>
      <c r="J4159" s="8"/>
    </row>
    <row r="4160">
      <c r="C4160" s="15"/>
      <c r="E4160" s="8"/>
      <c r="G4160" s="8"/>
      <c r="J4160" s="8"/>
    </row>
    <row r="4161">
      <c r="C4161" s="15"/>
      <c r="E4161" s="8"/>
      <c r="G4161" s="8"/>
      <c r="J4161" s="8"/>
    </row>
    <row r="4162">
      <c r="C4162" s="15"/>
      <c r="E4162" s="8"/>
      <c r="G4162" s="8"/>
      <c r="J4162" s="8"/>
    </row>
    <row r="4163">
      <c r="C4163" s="15"/>
      <c r="E4163" s="8"/>
      <c r="G4163" s="8"/>
      <c r="J4163" s="8"/>
    </row>
    <row r="4164">
      <c r="C4164" s="15"/>
      <c r="E4164" s="8"/>
      <c r="G4164" s="8"/>
      <c r="J4164" s="8"/>
    </row>
    <row r="4165">
      <c r="C4165" s="15"/>
      <c r="E4165" s="8"/>
      <c r="G4165" s="8"/>
      <c r="J4165" s="8"/>
    </row>
    <row r="4166">
      <c r="C4166" s="15"/>
      <c r="E4166" s="8"/>
      <c r="G4166" s="8"/>
      <c r="J4166" s="8"/>
    </row>
    <row r="4167">
      <c r="C4167" s="15"/>
      <c r="E4167" s="8"/>
      <c r="G4167" s="8"/>
      <c r="J4167" s="8"/>
    </row>
    <row r="4168">
      <c r="C4168" s="15"/>
      <c r="E4168" s="8"/>
      <c r="G4168" s="8"/>
      <c r="J4168" s="8"/>
    </row>
    <row r="4169">
      <c r="C4169" s="15"/>
      <c r="E4169" s="8"/>
      <c r="G4169" s="8"/>
      <c r="J4169" s="8"/>
    </row>
    <row r="4170">
      <c r="C4170" s="15"/>
      <c r="E4170" s="8"/>
      <c r="G4170" s="8"/>
      <c r="J4170" s="8"/>
    </row>
    <row r="4171">
      <c r="C4171" s="15"/>
      <c r="E4171" s="8"/>
      <c r="G4171" s="8"/>
      <c r="J4171" s="8"/>
    </row>
    <row r="4172">
      <c r="C4172" s="15"/>
      <c r="E4172" s="8"/>
      <c r="G4172" s="8"/>
      <c r="J4172" s="8"/>
    </row>
    <row r="4173">
      <c r="C4173" s="15"/>
      <c r="E4173" s="8"/>
      <c r="G4173" s="8"/>
      <c r="J4173" s="8"/>
    </row>
    <row r="4174">
      <c r="C4174" s="15"/>
      <c r="E4174" s="8"/>
      <c r="G4174" s="8"/>
      <c r="J4174" s="8"/>
    </row>
    <row r="4175">
      <c r="C4175" s="15"/>
      <c r="E4175" s="8"/>
      <c r="G4175" s="8"/>
      <c r="J4175" s="8"/>
    </row>
    <row r="4176">
      <c r="C4176" s="15"/>
      <c r="E4176" s="8"/>
      <c r="G4176" s="8"/>
      <c r="J4176" s="8"/>
    </row>
    <row r="4177">
      <c r="C4177" s="15"/>
      <c r="E4177" s="8"/>
      <c r="G4177" s="8"/>
      <c r="J4177" s="8"/>
    </row>
    <row r="4178">
      <c r="C4178" s="15"/>
      <c r="E4178" s="8"/>
      <c r="G4178" s="8"/>
      <c r="J4178" s="8"/>
    </row>
    <row r="4179">
      <c r="C4179" s="15"/>
      <c r="E4179" s="8"/>
      <c r="G4179" s="8"/>
      <c r="J4179" s="8"/>
    </row>
    <row r="4180">
      <c r="C4180" s="15"/>
      <c r="E4180" s="8"/>
      <c r="G4180" s="8"/>
      <c r="J4180" s="8"/>
    </row>
    <row r="4181">
      <c r="C4181" s="15"/>
      <c r="E4181" s="8"/>
      <c r="G4181" s="8"/>
      <c r="J4181" s="8"/>
    </row>
    <row r="4182">
      <c r="C4182" s="15"/>
      <c r="E4182" s="8"/>
      <c r="G4182" s="8"/>
      <c r="J4182" s="8"/>
    </row>
    <row r="4183">
      <c r="C4183" s="15"/>
      <c r="E4183" s="8"/>
      <c r="G4183" s="8"/>
      <c r="J4183" s="8"/>
    </row>
    <row r="4184">
      <c r="C4184" s="15"/>
      <c r="E4184" s="8"/>
      <c r="G4184" s="8"/>
      <c r="J4184" s="8"/>
    </row>
    <row r="4185">
      <c r="C4185" s="15"/>
      <c r="E4185" s="8"/>
      <c r="G4185" s="8"/>
      <c r="J4185" s="8"/>
    </row>
    <row r="4186">
      <c r="C4186" s="15"/>
      <c r="E4186" s="8"/>
      <c r="G4186" s="8"/>
      <c r="J4186" s="8"/>
    </row>
    <row r="4187">
      <c r="C4187" s="15"/>
      <c r="E4187" s="8"/>
      <c r="G4187" s="8"/>
      <c r="J4187" s="8"/>
    </row>
    <row r="4188">
      <c r="C4188" s="15"/>
      <c r="E4188" s="8"/>
      <c r="G4188" s="8"/>
      <c r="J4188" s="8"/>
    </row>
    <row r="4189">
      <c r="C4189" s="15"/>
      <c r="E4189" s="8"/>
      <c r="G4189" s="8"/>
      <c r="J4189" s="8"/>
    </row>
    <row r="4190">
      <c r="C4190" s="15"/>
      <c r="E4190" s="8"/>
      <c r="G4190" s="8"/>
      <c r="J4190" s="8"/>
    </row>
    <row r="4191">
      <c r="C4191" s="15"/>
      <c r="E4191" s="8"/>
      <c r="G4191" s="8"/>
      <c r="J4191" s="8"/>
    </row>
    <row r="4192">
      <c r="C4192" s="15"/>
      <c r="E4192" s="8"/>
      <c r="G4192" s="8"/>
      <c r="J4192" s="8"/>
    </row>
    <row r="4193">
      <c r="C4193" s="15"/>
      <c r="E4193" s="8"/>
      <c r="G4193" s="8"/>
      <c r="J4193" s="8"/>
    </row>
    <row r="4194">
      <c r="C4194" s="15"/>
      <c r="E4194" s="8"/>
      <c r="G4194" s="8"/>
      <c r="J4194" s="8"/>
    </row>
    <row r="4195">
      <c r="C4195" s="15"/>
      <c r="E4195" s="8"/>
      <c r="G4195" s="8"/>
      <c r="J4195" s="8"/>
    </row>
    <row r="4196">
      <c r="C4196" s="15"/>
      <c r="E4196" s="8"/>
      <c r="G4196" s="8"/>
      <c r="J4196" s="8"/>
    </row>
    <row r="4197">
      <c r="C4197" s="15"/>
      <c r="E4197" s="8"/>
      <c r="G4197" s="8"/>
      <c r="J4197" s="8"/>
    </row>
    <row r="4198">
      <c r="C4198" s="15"/>
      <c r="E4198" s="8"/>
      <c r="G4198" s="8"/>
      <c r="J4198" s="8"/>
    </row>
    <row r="4199">
      <c r="C4199" s="15"/>
      <c r="E4199" s="8"/>
      <c r="G4199" s="8"/>
      <c r="J4199" s="8"/>
    </row>
    <row r="4200">
      <c r="C4200" s="15"/>
      <c r="E4200" s="8"/>
      <c r="G4200" s="8"/>
      <c r="J4200" s="8"/>
    </row>
    <row r="4201">
      <c r="C4201" s="15"/>
      <c r="E4201" s="8"/>
      <c r="G4201" s="8"/>
      <c r="J4201" s="8"/>
    </row>
    <row r="4202">
      <c r="C4202" s="15"/>
      <c r="E4202" s="8"/>
      <c r="G4202" s="8"/>
      <c r="J4202" s="8"/>
    </row>
    <row r="4203">
      <c r="C4203" s="15"/>
      <c r="E4203" s="8"/>
      <c r="G4203" s="8"/>
      <c r="J4203" s="8"/>
    </row>
    <row r="4204">
      <c r="C4204" s="15"/>
      <c r="E4204" s="8"/>
      <c r="G4204" s="8"/>
      <c r="J4204" s="8"/>
    </row>
    <row r="4205">
      <c r="C4205" s="15"/>
      <c r="E4205" s="8"/>
      <c r="G4205" s="8"/>
      <c r="J4205" s="8"/>
    </row>
    <row r="4206">
      <c r="C4206" s="15"/>
      <c r="E4206" s="8"/>
      <c r="G4206" s="8"/>
      <c r="J4206" s="8"/>
    </row>
    <row r="4207">
      <c r="C4207" s="15"/>
      <c r="E4207" s="8"/>
      <c r="G4207" s="8"/>
      <c r="J4207" s="8"/>
    </row>
    <row r="4208">
      <c r="C4208" s="15"/>
      <c r="E4208" s="8"/>
      <c r="G4208" s="8"/>
      <c r="J4208" s="8"/>
    </row>
    <row r="4209">
      <c r="C4209" s="15"/>
      <c r="E4209" s="8"/>
      <c r="G4209" s="8"/>
      <c r="J4209" s="8"/>
    </row>
    <row r="4210">
      <c r="C4210" s="15"/>
      <c r="E4210" s="8"/>
      <c r="G4210" s="8"/>
      <c r="J4210" s="8"/>
    </row>
    <row r="4211">
      <c r="C4211" s="15"/>
      <c r="E4211" s="8"/>
      <c r="G4211" s="8"/>
      <c r="J4211" s="8"/>
    </row>
    <row r="4212">
      <c r="C4212" s="15"/>
      <c r="E4212" s="8"/>
      <c r="G4212" s="8"/>
      <c r="J4212" s="8"/>
    </row>
    <row r="4213">
      <c r="C4213" s="15"/>
      <c r="E4213" s="8"/>
      <c r="G4213" s="8"/>
      <c r="J4213" s="8"/>
    </row>
    <row r="4214">
      <c r="C4214" s="15"/>
      <c r="E4214" s="8"/>
      <c r="G4214" s="8"/>
      <c r="J4214" s="8"/>
    </row>
    <row r="4215">
      <c r="C4215" s="15"/>
      <c r="E4215" s="8"/>
      <c r="G4215" s="8"/>
      <c r="J4215" s="8"/>
    </row>
    <row r="4216">
      <c r="C4216" s="15"/>
      <c r="E4216" s="8"/>
      <c r="G4216" s="8"/>
      <c r="J4216" s="8"/>
    </row>
    <row r="4217">
      <c r="C4217" s="15"/>
      <c r="E4217" s="8"/>
      <c r="G4217" s="8"/>
      <c r="J4217" s="8"/>
    </row>
    <row r="4218">
      <c r="C4218" s="15"/>
      <c r="E4218" s="8"/>
      <c r="G4218" s="8"/>
      <c r="J4218" s="8"/>
    </row>
    <row r="4219">
      <c r="C4219" s="15"/>
      <c r="E4219" s="8"/>
      <c r="G4219" s="8"/>
      <c r="J4219" s="8"/>
    </row>
    <row r="4220">
      <c r="C4220" s="15"/>
      <c r="E4220" s="8"/>
      <c r="G4220" s="8"/>
      <c r="J4220" s="8"/>
    </row>
    <row r="4221">
      <c r="C4221" s="15"/>
      <c r="E4221" s="8"/>
      <c r="G4221" s="8"/>
      <c r="J4221" s="8"/>
    </row>
    <row r="4222">
      <c r="C4222" s="15"/>
      <c r="E4222" s="8"/>
      <c r="G4222" s="8"/>
      <c r="J4222" s="8"/>
    </row>
    <row r="4223">
      <c r="C4223" s="15"/>
      <c r="E4223" s="8"/>
      <c r="G4223" s="8"/>
      <c r="J4223" s="8"/>
    </row>
    <row r="4224">
      <c r="C4224" s="15"/>
      <c r="E4224" s="8"/>
      <c r="G4224" s="8"/>
      <c r="J4224" s="8"/>
    </row>
    <row r="4225">
      <c r="C4225" s="15"/>
      <c r="E4225" s="8"/>
      <c r="G4225" s="8"/>
      <c r="J4225" s="8"/>
    </row>
    <row r="4226">
      <c r="C4226" s="15"/>
      <c r="E4226" s="8"/>
      <c r="G4226" s="8"/>
      <c r="J4226" s="8"/>
    </row>
    <row r="4227">
      <c r="C4227" s="15"/>
      <c r="E4227" s="8"/>
      <c r="G4227" s="8"/>
      <c r="J4227" s="8"/>
    </row>
    <row r="4228">
      <c r="C4228" s="15"/>
      <c r="E4228" s="8"/>
      <c r="G4228" s="8"/>
      <c r="J4228" s="8"/>
    </row>
    <row r="4229">
      <c r="C4229" s="15"/>
      <c r="E4229" s="8"/>
      <c r="G4229" s="8"/>
      <c r="J4229" s="8"/>
    </row>
    <row r="4230">
      <c r="C4230" s="15"/>
      <c r="E4230" s="8"/>
      <c r="G4230" s="8"/>
      <c r="J4230" s="8"/>
    </row>
    <row r="4231">
      <c r="C4231" s="15"/>
      <c r="E4231" s="8"/>
      <c r="G4231" s="8"/>
      <c r="J4231" s="8"/>
    </row>
    <row r="4232">
      <c r="C4232" s="15"/>
      <c r="E4232" s="8"/>
      <c r="G4232" s="8"/>
      <c r="J4232" s="8"/>
    </row>
    <row r="4233">
      <c r="C4233" s="15"/>
      <c r="E4233" s="8"/>
      <c r="G4233" s="8"/>
      <c r="J4233" s="8"/>
    </row>
    <row r="4234">
      <c r="C4234" s="15"/>
      <c r="E4234" s="8"/>
      <c r="G4234" s="8"/>
      <c r="J4234" s="8"/>
    </row>
    <row r="4235">
      <c r="C4235" s="15"/>
      <c r="E4235" s="8"/>
      <c r="G4235" s="8"/>
      <c r="J4235" s="8"/>
    </row>
    <row r="4236">
      <c r="C4236" s="15"/>
      <c r="E4236" s="8"/>
      <c r="G4236" s="8"/>
      <c r="J4236" s="8"/>
    </row>
    <row r="4237">
      <c r="C4237" s="15"/>
      <c r="E4237" s="8"/>
      <c r="G4237" s="8"/>
      <c r="J4237" s="8"/>
    </row>
    <row r="4238">
      <c r="C4238" s="15"/>
      <c r="E4238" s="8"/>
      <c r="G4238" s="8"/>
      <c r="J4238" s="8"/>
    </row>
    <row r="4239">
      <c r="C4239" s="15"/>
      <c r="E4239" s="8"/>
      <c r="G4239" s="8"/>
      <c r="J4239" s="8"/>
    </row>
    <row r="4240">
      <c r="C4240" s="15"/>
      <c r="E4240" s="8"/>
      <c r="G4240" s="8"/>
      <c r="J4240" s="8"/>
    </row>
    <row r="4241">
      <c r="C4241" s="15"/>
      <c r="E4241" s="8"/>
      <c r="G4241" s="8"/>
      <c r="J4241" s="8"/>
    </row>
    <row r="4242">
      <c r="C4242" s="15"/>
      <c r="E4242" s="8"/>
      <c r="G4242" s="8"/>
      <c r="J4242" s="8"/>
    </row>
    <row r="4243">
      <c r="C4243" s="15"/>
      <c r="E4243" s="8"/>
      <c r="G4243" s="8"/>
      <c r="J4243" s="8"/>
    </row>
    <row r="4244">
      <c r="C4244" s="15"/>
      <c r="E4244" s="8"/>
      <c r="G4244" s="8"/>
      <c r="J4244" s="8"/>
    </row>
    <row r="4245">
      <c r="C4245" s="15"/>
      <c r="E4245" s="8"/>
      <c r="G4245" s="8"/>
      <c r="J4245" s="8"/>
    </row>
    <row r="4246">
      <c r="C4246" s="15"/>
      <c r="E4246" s="8"/>
      <c r="G4246" s="8"/>
      <c r="J4246" s="8"/>
    </row>
    <row r="4247">
      <c r="C4247" s="15"/>
      <c r="E4247" s="8"/>
      <c r="G4247" s="8"/>
      <c r="J4247" s="8"/>
    </row>
    <row r="4248">
      <c r="C4248" s="15"/>
      <c r="E4248" s="8"/>
      <c r="G4248" s="8"/>
      <c r="J4248" s="8"/>
    </row>
    <row r="4249">
      <c r="C4249" s="15"/>
      <c r="E4249" s="8"/>
      <c r="G4249" s="8"/>
      <c r="J4249" s="8"/>
    </row>
    <row r="4250">
      <c r="C4250" s="15"/>
      <c r="E4250" s="8"/>
      <c r="G4250" s="8"/>
      <c r="J4250" s="8"/>
    </row>
    <row r="4251">
      <c r="C4251" s="15"/>
      <c r="E4251" s="8"/>
      <c r="G4251" s="8"/>
      <c r="J4251" s="8"/>
    </row>
    <row r="4252">
      <c r="C4252" s="15"/>
      <c r="E4252" s="8"/>
      <c r="G4252" s="8"/>
      <c r="J4252" s="8"/>
    </row>
    <row r="4253">
      <c r="C4253" s="15"/>
      <c r="E4253" s="8"/>
      <c r="G4253" s="8"/>
      <c r="J4253" s="8"/>
    </row>
    <row r="4254">
      <c r="C4254" s="15"/>
      <c r="E4254" s="8"/>
      <c r="G4254" s="8"/>
      <c r="J4254" s="8"/>
    </row>
    <row r="4255">
      <c r="C4255" s="15"/>
      <c r="E4255" s="8"/>
      <c r="G4255" s="8"/>
      <c r="J4255" s="8"/>
    </row>
    <row r="4256">
      <c r="C4256" s="15"/>
      <c r="E4256" s="8"/>
      <c r="G4256" s="8"/>
      <c r="J4256" s="8"/>
    </row>
    <row r="4257">
      <c r="C4257" s="15"/>
      <c r="E4257" s="8"/>
      <c r="G4257" s="8"/>
      <c r="J4257" s="8"/>
    </row>
    <row r="4258">
      <c r="C4258" s="15"/>
      <c r="E4258" s="8"/>
      <c r="G4258" s="8"/>
      <c r="J4258" s="8"/>
    </row>
    <row r="4259">
      <c r="C4259" s="15"/>
      <c r="E4259" s="8"/>
      <c r="G4259" s="8"/>
      <c r="J4259" s="8"/>
    </row>
    <row r="4260">
      <c r="C4260" s="15"/>
      <c r="E4260" s="8"/>
      <c r="G4260" s="8"/>
      <c r="J4260" s="8"/>
    </row>
    <row r="4261">
      <c r="C4261" s="15"/>
      <c r="E4261" s="8"/>
      <c r="G4261" s="8"/>
      <c r="J4261" s="8"/>
    </row>
    <row r="4262">
      <c r="C4262" s="15"/>
      <c r="E4262" s="8"/>
      <c r="G4262" s="8"/>
      <c r="J4262" s="8"/>
    </row>
    <row r="4263">
      <c r="C4263" s="15"/>
      <c r="E4263" s="8"/>
      <c r="G4263" s="8"/>
      <c r="J4263" s="8"/>
    </row>
    <row r="4264">
      <c r="C4264" s="15"/>
      <c r="E4264" s="8"/>
      <c r="G4264" s="8"/>
      <c r="J4264" s="8"/>
    </row>
    <row r="4265">
      <c r="C4265" s="15"/>
      <c r="E4265" s="8"/>
      <c r="G4265" s="8"/>
      <c r="J4265" s="8"/>
    </row>
    <row r="4266">
      <c r="C4266" s="15"/>
      <c r="E4266" s="8"/>
      <c r="G4266" s="8"/>
      <c r="J4266" s="8"/>
    </row>
    <row r="4267">
      <c r="C4267" s="15"/>
      <c r="E4267" s="8"/>
      <c r="G4267" s="8"/>
      <c r="J4267" s="8"/>
    </row>
    <row r="4268">
      <c r="C4268" s="15"/>
      <c r="E4268" s="8"/>
      <c r="G4268" s="8"/>
      <c r="J4268" s="8"/>
    </row>
    <row r="4269">
      <c r="C4269" s="15"/>
      <c r="E4269" s="8"/>
      <c r="G4269" s="8"/>
      <c r="J4269" s="8"/>
    </row>
    <row r="4270">
      <c r="C4270" s="15"/>
      <c r="E4270" s="8"/>
      <c r="G4270" s="8"/>
      <c r="J4270" s="8"/>
    </row>
    <row r="4271">
      <c r="C4271" s="15"/>
      <c r="E4271" s="8"/>
      <c r="G4271" s="8"/>
      <c r="J4271" s="8"/>
    </row>
    <row r="4272">
      <c r="C4272" s="15"/>
      <c r="E4272" s="8"/>
      <c r="G4272" s="8"/>
      <c r="J4272" s="8"/>
    </row>
    <row r="4273">
      <c r="C4273" s="15"/>
      <c r="E4273" s="8"/>
      <c r="G4273" s="8"/>
      <c r="J4273" s="8"/>
    </row>
    <row r="4274">
      <c r="C4274" s="15"/>
      <c r="E4274" s="8"/>
      <c r="G4274" s="8"/>
      <c r="J4274" s="8"/>
    </row>
    <row r="4275">
      <c r="C4275" s="15"/>
      <c r="E4275" s="8"/>
      <c r="G4275" s="8"/>
      <c r="J4275" s="8"/>
    </row>
    <row r="4276">
      <c r="C4276" s="15"/>
      <c r="E4276" s="8"/>
      <c r="G4276" s="8"/>
      <c r="J4276" s="8"/>
    </row>
    <row r="4277">
      <c r="C4277" s="15"/>
      <c r="E4277" s="8"/>
      <c r="G4277" s="8"/>
      <c r="J4277" s="8"/>
    </row>
    <row r="4278">
      <c r="C4278" s="15"/>
      <c r="E4278" s="8"/>
      <c r="G4278" s="8"/>
      <c r="J4278" s="8"/>
    </row>
    <row r="4279">
      <c r="C4279" s="15"/>
      <c r="E4279" s="8"/>
      <c r="G4279" s="8"/>
      <c r="J4279" s="8"/>
    </row>
    <row r="4280">
      <c r="C4280" s="15"/>
      <c r="E4280" s="8"/>
      <c r="G4280" s="8"/>
      <c r="J4280" s="8"/>
    </row>
    <row r="4281">
      <c r="C4281" s="15"/>
      <c r="E4281" s="8"/>
      <c r="G4281" s="8"/>
      <c r="J4281" s="8"/>
    </row>
    <row r="4282">
      <c r="C4282" s="15"/>
      <c r="E4282" s="8"/>
      <c r="G4282" s="8"/>
      <c r="J4282" s="8"/>
    </row>
    <row r="4283">
      <c r="C4283" s="15"/>
      <c r="E4283" s="8"/>
      <c r="G4283" s="8"/>
      <c r="J4283" s="8"/>
    </row>
    <row r="4284">
      <c r="C4284" s="15"/>
      <c r="E4284" s="8"/>
      <c r="G4284" s="8"/>
      <c r="J4284" s="8"/>
    </row>
    <row r="4285">
      <c r="C4285" s="15"/>
      <c r="E4285" s="8"/>
      <c r="G4285" s="8"/>
      <c r="J4285" s="8"/>
    </row>
    <row r="4286">
      <c r="C4286" s="15"/>
      <c r="E4286" s="8"/>
      <c r="G4286" s="8"/>
      <c r="J4286" s="8"/>
    </row>
    <row r="4287">
      <c r="C4287" s="15"/>
      <c r="E4287" s="8"/>
      <c r="G4287" s="8"/>
      <c r="J4287" s="8"/>
    </row>
    <row r="4288">
      <c r="C4288" s="15"/>
      <c r="E4288" s="8"/>
      <c r="G4288" s="8"/>
      <c r="J4288" s="8"/>
    </row>
    <row r="4289">
      <c r="C4289" s="15"/>
      <c r="E4289" s="8"/>
      <c r="G4289" s="8"/>
      <c r="J4289" s="8"/>
    </row>
    <row r="4290">
      <c r="C4290" s="15"/>
      <c r="E4290" s="8"/>
      <c r="G4290" s="8"/>
      <c r="J4290" s="8"/>
    </row>
    <row r="4291">
      <c r="C4291" s="15"/>
      <c r="E4291" s="8"/>
      <c r="G4291" s="8"/>
      <c r="J4291" s="8"/>
    </row>
    <row r="4292">
      <c r="C4292" s="15"/>
      <c r="E4292" s="8"/>
      <c r="G4292" s="8"/>
      <c r="J4292" s="8"/>
    </row>
    <row r="4293">
      <c r="C4293" s="15"/>
      <c r="E4293" s="8"/>
      <c r="G4293" s="8"/>
      <c r="J4293" s="8"/>
    </row>
    <row r="4294">
      <c r="C4294" s="15"/>
      <c r="E4294" s="8"/>
      <c r="G4294" s="8"/>
      <c r="J4294" s="8"/>
    </row>
    <row r="4295">
      <c r="C4295" s="15"/>
      <c r="E4295" s="8"/>
      <c r="G4295" s="8"/>
      <c r="J4295" s="8"/>
    </row>
    <row r="4296">
      <c r="C4296" s="15"/>
      <c r="E4296" s="8"/>
      <c r="G4296" s="8"/>
      <c r="J4296" s="8"/>
    </row>
    <row r="4297">
      <c r="C4297" s="15"/>
      <c r="E4297" s="8"/>
      <c r="G4297" s="8"/>
      <c r="J4297" s="8"/>
    </row>
    <row r="4298">
      <c r="C4298" s="15"/>
      <c r="E4298" s="8"/>
      <c r="G4298" s="8"/>
      <c r="J4298" s="8"/>
    </row>
    <row r="4299">
      <c r="C4299" s="15"/>
      <c r="E4299" s="8"/>
      <c r="G4299" s="8"/>
      <c r="J4299" s="8"/>
    </row>
    <row r="4300">
      <c r="C4300" s="15"/>
      <c r="E4300" s="8"/>
      <c r="G4300" s="8"/>
      <c r="J4300" s="8"/>
    </row>
    <row r="4301">
      <c r="C4301" s="15"/>
      <c r="E4301" s="8"/>
      <c r="G4301" s="8"/>
      <c r="J4301" s="8"/>
    </row>
    <row r="4302">
      <c r="C4302" s="15"/>
      <c r="E4302" s="8"/>
      <c r="G4302" s="8"/>
      <c r="J4302" s="8"/>
    </row>
    <row r="4303">
      <c r="C4303" s="15"/>
      <c r="E4303" s="8"/>
      <c r="G4303" s="8"/>
      <c r="J4303" s="8"/>
    </row>
    <row r="4304">
      <c r="C4304" s="15"/>
      <c r="E4304" s="8"/>
      <c r="G4304" s="8"/>
      <c r="J4304" s="8"/>
    </row>
    <row r="4305">
      <c r="C4305" s="15"/>
      <c r="E4305" s="8"/>
      <c r="G4305" s="8"/>
      <c r="J4305" s="8"/>
    </row>
    <row r="4306">
      <c r="C4306" s="15"/>
      <c r="E4306" s="8"/>
      <c r="G4306" s="8"/>
      <c r="J4306" s="8"/>
    </row>
    <row r="4307">
      <c r="C4307" s="15"/>
      <c r="E4307" s="8"/>
      <c r="G4307" s="8"/>
      <c r="J4307" s="8"/>
    </row>
    <row r="4308">
      <c r="C4308" s="15"/>
      <c r="E4308" s="8"/>
      <c r="G4308" s="8"/>
      <c r="J4308" s="8"/>
    </row>
    <row r="4309">
      <c r="C4309" s="15"/>
      <c r="E4309" s="8"/>
      <c r="G4309" s="8"/>
      <c r="J4309" s="8"/>
    </row>
    <row r="4310">
      <c r="C4310" s="15"/>
      <c r="E4310" s="8"/>
      <c r="G4310" s="8"/>
      <c r="J4310" s="8"/>
    </row>
    <row r="4311">
      <c r="C4311" s="15"/>
      <c r="E4311" s="8"/>
      <c r="G4311" s="8"/>
      <c r="J4311" s="8"/>
    </row>
    <row r="4312">
      <c r="C4312" s="15"/>
      <c r="E4312" s="8"/>
      <c r="G4312" s="8"/>
      <c r="J4312" s="8"/>
    </row>
    <row r="4313">
      <c r="C4313" s="15"/>
      <c r="E4313" s="8"/>
      <c r="G4313" s="8"/>
      <c r="J4313" s="8"/>
    </row>
    <row r="4314">
      <c r="C4314" s="15"/>
      <c r="E4314" s="8"/>
      <c r="G4314" s="8"/>
      <c r="J4314" s="8"/>
    </row>
    <row r="4315">
      <c r="C4315" s="15"/>
      <c r="E4315" s="8"/>
      <c r="G4315" s="8"/>
      <c r="J4315" s="8"/>
    </row>
    <row r="4316">
      <c r="C4316" s="15"/>
      <c r="E4316" s="8"/>
      <c r="G4316" s="8"/>
      <c r="J4316" s="8"/>
    </row>
    <row r="4317">
      <c r="C4317" s="15"/>
      <c r="E4317" s="8"/>
      <c r="G4317" s="8"/>
      <c r="J4317" s="8"/>
    </row>
    <row r="4318">
      <c r="C4318" s="15"/>
      <c r="E4318" s="8"/>
      <c r="G4318" s="8"/>
      <c r="J4318" s="8"/>
    </row>
    <row r="4319">
      <c r="C4319" s="15"/>
      <c r="E4319" s="8"/>
      <c r="G4319" s="8"/>
      <c r="J4319" s="8"/>
    </row>
    <row r="4320">
      <c r="C4320" s="15"/>
      <c r="E4320" s="8"/>
      <c r="G4320" s="8"/>
      <c r="J4320" s="8"/>
    </row>
    <row r="4321">
      <c r="C4321" s="15"/>
      <c r="E4321" s="8"/>
      <c r="G4321" s="8"/>
      <c r="J4321" s="8"/>
    </row>
    <row r="4322">
      <c r="C4322" s="15"/>
      <c r="E4322" s="8"/>
      <c r="G4322" s="8"/>
      <c r="J4322" s="8"/>
    </row>
    <row r="4323">
      <c r="C4323" s="15"/>
      <c r="E4323" s="8"/>
      <c r="G4323" s="8"/>
      <c r="J4323" s="8"/>
    </row>
    <row r="4324">
      <c r="C4324" s="15"/>
      <c r="E4324" s="8"/>
      <c r="G4324" s="8"/>
      <c r="J4324" s="8"/>
    </row>
    <row r="4325">
      <c r="C4325" s="15"/>
      <c r="E4325" s="8"/>
      <c r="G4325" s="8"/>
      <c r="J4325" s="8"/>
    </row>
    <row r="4326">
      <c r="C4326" s="15"/>
      <c r="E4326" s="8"/>
      <c r="G4326" s="8"/>
      <c r="J4326" s="8"/>
    </row>
    <row r="4327">
      <c r="C4327" s="15"/>
      <c r="E4327" s="8"/>
      <c r="G4327" s="8"/>
      <c r="J4327" s="8"/>
    </row>
    <row r="4328">
      <c r="C4328" s="15"/>
      <c r="E4328" s="8"/>
      <c r="G4328" s="8"/>
      <c r="J4328" s="8"/>
    </row>
    <row r="4329">
      <c r="C4329" s="15"/>
      <c r="E4329" s="8"/>
      <c r="G4329" s="8"/>
      <c r="J4329" s="8"/>
    </row>
    <row r="4330">
      <c r="C4330" s="15"/>
      <c r="E4330" s="8"/>
      <c r="G4330" s="8"/>
      <c r="J4330" s="8"/>
    </row>
    <row r="4331">
      <c r="C4331" s="15"/>
      <c r="E4331" s="8"/>
      <c r="G4331" s="8"/>
      <c r="J4331" s="8"/>
    </row>
    <row r="4332">
      <c r="C4332" s="15"/>
      <c r="E4332" s="8"/>
      <c r="G4332" s="8"/>
      <c r="J4332" s="8"/>
    </row>
    <row r="4333">
      <c r="C4333" s="15"/>
      <c r="E4333" s="8"/>
      <c r="G4333" s="8"/>
      <c r="J4333" s="8"/>
    </row>
    <row r="4334">
      <c r="C4334" s="15"/>
      <c r="E4334" s="8"/>
      <c r="G4334" s="8"/>
      <c r="J4334" s="8"/>
    </row>
    <row r="4335">
      <c r="C4335" s="15"/>
      <c r="E4335" s="8"/>
      <c r="G4335" s="8"/>
      <c r="J4335" s="8"/>
    </row>
    <row r="4336">
      <c r="C4336" s="15"/>
      <c r="E4336" s="8"/>
      <c r="G4336" s="8"/>
      <c r="J4336" s="8"/>
    </row>
    <row r="4337">
      <c r="C4337" s="15"/>
      <c r="E4337" s="8"/>
      <c r="G4337" s="8"/>
      <c r="J4337" s="8"/>
    </row>
    <row r="4338">
      <c r="C4338" s="15"/>
      <c r="E4338" s="8"/>
      <c r="G4338" s="8"/>
      <c r="J4338" s="8"/>
    </row>
    <row r="4339">
      <c r="C4339" s="15"/>
      <c r="E4339" s="8"/>
      <c r="G4339" s="8"/>
      <c r="J4339" s="8"/>
    </row>
    <row r="4340">
      <c r="C4340" s="15"/>
      <c r="E4340" s="8"/>
      <c r="G4340" s="8"/>
      <c r="J4340" s="8"/>
    </row>
    <row r="4341">
      <c r="C4341" s="15"/>
      <c r="E4341" s="8"/>
      <c r="G4341" s="8"/>
      <c r="J4341" s="8"/>
    </row>
    <row r="4342">
      <c r="C4342" s="15"/>
      <c r="E4342" s="8"/>
      <c r="G4342" s="8"/>
      <c r="J4342" s="8"/>
    </row>
    <row r="4343">
      <c r="C4343" s="15"/>
      <c r="E4343" s="8"/>
      <c r="G4343" s="8"/>
      <c r="J4343" s="8"/>
    </row>
    <row r="4344">
      <c r="C4344" s="15"/>
      <c r="E4344" s="8"/>
      <c r="G4344" s="8"/>
      <c r="J4344" s="8"/>
    </row>
    <row r="4345">
      <c r="C4345" s="15"/>
      <c r="E4345" s="8"/>
      <c r="G4345" s="8"/>
      <c r="J4345" s="8"/>
    </row>
    <row r="4346">
      <c r="C4346" s="15"/>
      <c r="E4346" s="8"/>
      <c r="G4346" s="8"/>
      <c r="J4346" s="8"/>
    </row>
    <row r="4347">
      <c r="C4347" s="15"/>
      <c r="E4347" s="8"/>
      <c r="G4347" s="8"/>
      <c r="J4347" s="8"/>
    </row>
    <row r="4348">
      <c r="C4348" s="15"/>
      <c r="E4348" s="8"/>
      <c r="G4348" s="8"/>
      <c r="J4348" s="8"/>
    </row>
    <row r="4349">
      <c r="C4349" s="15"/>
      <c r="E4349" s="8"/>
      <c r="G4349" s="8"/>
      <c r="J4349" s="8"/>
    </row>
    <row r="4350">
      <c r="C4350" s="15"/>
      <c r="E4350" s="8"/>
      <c r="G4350" s="8"/>
      <c r="J4350" s="8"/>
    </row>
    <row r="4351">
      <c r="C4351" s="15"/>
      <c r="E4351" s="8"/>
      <c r="G4351" s="8"/>
      <c r="J4351" s="8"/>
    </row>
    <row r="4352">
      <c r="C4352" s="15"/>
      <c r="E4352" s="8"/>
      <c r="G4352" s="8"/>
      <c r="J4352" s="8"/>
    </row>
    <row r="4353">
      <c r="C4353" s="15"/>
      <c r="E4353" s="8"/>
      <c r="G4353" s="8"/>
      <c r="J4353" s="8"/>
    </row>
    <row r="4354">
      <c r="C4354" s="15"/>
      <c r="E4354" s="8"/>
      <c r="G4354" s="8"/>
      <c r="J4354" s="8"/>
    </row>
    <row r="4355">
      <c r="C4355" s="15"/>
      <c r="E4355" s="8"/>
      <c r="G4355" s="8"/>
      <c r="J4355" s="8"/>
    </row>
    <row r="4356">
      <c r="C4356" s="15"/>
      <c r="E4356" s="8"/>
      <c r="G4356" s="8"/>
      <c r="J4356" s="8"/>
    </row>
    <row r="4357">
      <c r="C4357" s="15"/>
      <c r="E4357" s="8"/>
      <c r="G4357" s="8"/>
      <c r="J4357" s="8"/>
    </row>
    <row r="4358">
      <c r="C4358" s="15"/>
      <c r="E4358" s="8"/>
      <c r="G4358" s="8"/>
      <c r="J4358" s="8"/>
    </row>
    <row r="4359">
      <c r="C4359" s="15"/>
      <c r="E4359" s="8"/>
      <c r="G4359" s="8"/>
      <c r="J4359" s="8"/>
    </row>
    <row r="4360">
      <c r="C4360" s="15"/>
      <c r="E4360" s="8"/>
      <c r="G4360" s="8"/>
      <c r="J4360" s="8"/>
    </row>
    <row r="4361">
      <c r="C4361" s="15"/>
      <c r="E4361" s="8"/>
      <c r="G4361" s="8"/>
      <c r="J4361" s="8"/>
    </row>
    <row r="4362">
      <c r="C4362" s="15"/>
      <c r="E4362" s="8"/>
      <c r="G4362" s="8"/>
      <c r="J4362" s="8"/>
    </row>
    <row r="4363">
      <c r="C4363" s="15"/>
      <c r="E4363" s="8"/>
      <c r="G4363" s="8"/>
      <c r="J4363" s="8"/>
    </row>
    <row r="4364">
      <c r="C4364" s="15"/>
      <c r="E4364" s="8"/>
      <c r="G4364" s="8"/>
      <c r="J4364" s="8"/>
    </row>
    <row r="4365">
      <c r="C4365" s="15"/>
      <c r="E4365" s="8"/>
      <c r="G4365" s="8"/>
      <c r="J4365" s="8"/>
    </row>
    <row r="4366">
      <c r="C4366" s="15"/>
      <c r="E4366" s="8"/>
      <c r="G4366" s="8"/>
      <c r="J4366" s="8"/>
    </row>
    <row r="4367">
      <c r="C4367" s="15"/>
      <c r="E4367" s="8"/>
      <c r="G4367" s="8"/>
      <c r="J4367" s="8"/>
    </row>
    <row r="4368">
      <c r="C4368" s="15"/>
      <c r="E4368" s="8"/>
      <c r="G4368" s="8"/>
      <c r="J4368" s="8"/>
    </row>
    <row r="4369">
      <c r="C4369" s="15"/>
      <c r="E4369" s="8"/>
      <c r="G4369" s="8"/>
      <c r="J4369" s="8"/>
    </row>
    <row r="4370">
      <c r="C4370" s="15"/>
      <c r="E4370" s="8"/>
      <c r="G4370" s="8"/>
      <c r="J4370" s="8"/>
    </row>
    <row r="4371">
      <c r="C4371" s="15"/>
      <c r="E4371" s="8"/>
      <c r="G4371" s="8"/>
      <c r="J4371" s="8"/>
    </row>
    <row r="4372">
      <c r="C4372" s="15"/>
      <c r="E4372" s="8"/>
      <c r="G4372" s="8"/>
      <c r="J4372" s="8"/>
    </row>
    <row r="4373">
      <c r="C4373" s="15"/>
      <c r="E4373" s="8"/>
      <c r="G4373" s="8"/>
      <c r="J4373" s="8"/>
    </row>
    <row r="4374">
      <c r="C4374" s="15"/>
      <c r="E4374" s="8"/>
      <c r="G4374" s="8"/>
      <c r="J4374" s="8"/>
    </row>
    <row r="4375">
      <c r="C4375" s="15"/>
      <c r="E4375" s="8"/>
      <c r="G4375" s="8"/>
      <c r="J4375" s="8"/>
    </row>
    <row r="4376">
      <c r="C4376" s="15"/>
      <c r="E4376" s="8"/>
      <c r="G4376" s="8"/>
      <c r="J4376" s="8"/>
    </row>
    <row r="4377">
      <c r="C4377" s="15"/>
      <c r="E4377" s="8"/>
      <c r="G4377" s="8"/>
      <c r="J4377" s="8"/>
    </row>
    <row r="4378">
      <c r="C4378" s="15"/>
      <c r="E4378" s="8"/>
      <c r="G4378" s="8"/>
      <c r="J4378" s="8"/>
    </row>
    <row r="4379">
      <c r="C4379" s="15"/>
      <c r="E4379" s="8"/>
      <c r="G4379" s="8"/>
      <c r="J4379" s="8"/>
    </row>
    <row r="4380">
      <c r="C4380" s="15"/>
      <c r="E4380" s="8"/>
      <c r="G4380" s="8"/>
      <c r="J4380" s="8"/>
    </row>
    <row r="4381">
      <c r="C4381" s="15"/>
      <c r="E4381" s="8"/>
      <c r="G4381" s="8"/>
      <c r="J4381" s="8"/>
    </row>
    <row r="4382">
      <c r="C4382" s="15"/>
      <c r="E4382" s="8"/>
      <c r="G4382" s="8"/>
      <c r="J4382" s="8"/>
    </row>
    <row r="4383">
      <c r="C4383" s="15"/>
      <c r="E4383" s="8"/>
      <c r="G4383" s="8"/>
      <c r="J4383" s="8"/>
    </row>
    <row r="4384">
      <c r="C4384" s="15"/>
      <c r="E4384" s="8"/>
      <c r="G4384" s="8"/>
      <c r="J4384" s="8"/>
    </row>
    <row r="4385">
      <c r="C4385" s="15"/>
      <c r="E4385" s="8"/>
      <c r="G4385" s="8"/>
      <c r="J4385" s="8"/>
    </row>
    <row r="4386">
      <c r="C4386" s="15"/>
      <c r="E4386" s="8"/>
      <c r="G4386" s="8"/>
      <c r="J4386" s="8"/>
    </row>
    <row r="4387">
      <c r="C4387" s="15"/>
      <c r="E4387" s="8"/>
      <c r="G4387" s="8"/>
      <c r="J4387" s="8"/>
    </row>
    <row r="4388">
      <c r="C4388" s="15"/>
      <c r="E4388" s="8"/>
      <c r="G4388" s="8"/>
      <c r="J4388" s="8"/>
    </row>
    <row r="4389">
      <c r="C4389" s="15"/>
      <c r="E4389" s="8"/>
      <c r="G4389" s="8"/>
      <c r="J4389" s="8"/>
    </row>
    <row r="4390">
      <c r="C4390" s="15"/>
      <c r="E4390" s="8"/>
      <c r="G4390" s="8"/>
      <c r="J4390" s="8"/>
    </row>
    <row r="4391">
      <c r="C4391" s="15"/>
      <c r="E4391" s="8"/>
      <c r="G4391" s="8"/>
      <c r="J4391" s="8"/>
    </row>
    <row r="4392">
      <c r="C4392" s="15"/>
      <c r="E4392" s="8"/>
      <c r="G4392" s="8"/>
      <c r="J4392" s="8"/>
    </row>
    <row r="4393">
      <c r="C4393" s="15"/>
      <c r="E4393" s="8"/>
      <c r="G4393" s="8"/>
      <c r="J4393" s="8"/>
    </row>
    <row r="4394">
      <c r="C4394" s="15"/>
      <c r="E4394" s="8"/>
      <c r="G4394" s="8"/>
      <c r="J4394" s="8"/>
    </row>
    <row r="4395">
      <c r="C4395" s="15"/>
      <c r="E4395" s="8"/>
      <c r="G4395" s="8"/>
      <c r="J4395" s="8"/>
    </row>
    <row r="4396">
      <c r="C4396" s="15"/>
      <c r="E4396" s="8"/>
      <c r="G4396" s="8"/>
      <c r="J4396" s="8"/>
    </row>
    <row r="4397">
      <c r="C4397" s="15"/>
      <c r="E4397" s="8"/>
      <c r="G4397" s="8"/>
      <c r="J4397" s="8"/>
    </row>
    <row r="4398">
      <c r="C4398" s="15"/>
      <c r="E4398" s="8"/>
      <c r="G4398" s="8"/>
      <c r="J4398" s="8"/>
    </row>
    <row r="4399">
      <c r="C4399" s="15"/>
      <c r="E4399" s="8"/>
      <c r="G4399" s="8"/>
      <c r="J4399" s="8"/>
    </row>
    <row r="4400">
      <c r="C4400" s="15"/>
      <c r="E4400" s="8"/>
      <c r="G4400" s="8"/>
      <c r="J4400" s="8"/>
    </row>
    <row r="4401">
      <c r="C4401" s="15"/>
      <c r="E4401" s="8"/>
      <c r="G4401" s="8"/>
      <c r="J4401" s="8"/>
    </row>
    <row r="4402">
      <c r="C4402" s="15"/>
      <c r="E4402" s="8"/>
      <c r="G4402" s="8"/>
      <c r="J4402" s="8"/>
    </row>
    <row r="4403">
      <c r="C4403" s="15"/>
      <c r="E4403" s="8"/>
      <c r="G4403" s="8"/>
      <c r="J4403" s="8"/>
    </row>
    <row r="4404">
      <c r="C4404" s="15"/>
      <c r="E4404" s="8"/>
      <c r="G4404" s="8"/>
      <c r="J4404" s="8"/>
    </row>
    <row r="4405">
      <c r="C4405" s="15"/>
      <c r="E4405" s="8"/>
      <c r="G4405" s="8"/>
      <c r="J4405" s="8"/>
    </row>
    <row r="4406">
      <c r="C4406" s="15"/>
      <c r="E4406" s="8"/>
      <c r="G4406" s="8"/>
      <c r="J4406" s="8"/>
    </row>
    <row r="4407">
      <c r="C4407" s="15"/>
      <c r="E4407" s="8"/>
      <c r="G4407" s="8"/>
      <c r="J4407" s="8"/>
    </row>
    <row r="4408">
      <c r="C4408" s="15"/>
      <c r="E4408" s="8"/>
      <c r="G4408" s="8"/>
      <c r="J4408" s="8"/>
    </row>
    <row r="4409">
      <c r="C4409" s="15"/>
      <c r="E4409" s="8"/>
      <c r="G4409" s="8"/>
      <c r="J4409" s="8"/>
    </row>
    <row r="4410">
      <c r="C4410" s="15"/>
      <c r="E4410" s="8"/>
      <c r="G4410" s="8"/>
      <c r="J4410" s="8"/>
    </row>
    <row r="4411">
      <c r="C4411" s="15"/>
      <c r="E4411" s="8"/>
      <c r="G4411" s="8"/>
      <c r="J4411" s="8"/>
    </row>
    <row r="4412">
      <c r="C4412" s="15"/>
      <c r="E4412" s="8"/>
      <c r="G4412" s="8"/>
      <c r="J4412" s="8"/>
    </row>
    <row r="4413">
      <c r="C4413" s="15"/>
      <c r="E4413" s="8"/>
      <c r="G4413" s="8"/>
      <c r="J4413" s="8"/>
    </row>
    <row r="4414">
      <c r="C4414" s="15"/>
      <c r="E4414" s="8"/>
      <c r="G4414" s="8"/>
      <c r="J4414" s="8"/>
    </row>
    <row r="4415">
      <c r="C4415" s="15"/>
      <c r="E4415" s="8"/>
      <c r="G4415" s="8"/>
      <c r="J4415" s="8"/>
    </row>
    <row r="4416">
      <c r="C4416" s="15"/>
      <c r="E4416" s="8"/>
      <c r="G4416" s="8"/>
      <c r="J4416" s="8"/>
    </row>
    <row r="4417">
      <c r="C4417" s="15"/>
      <c r="E4417" s="8"/>
      <c r="G4417" s="8"/>
      <c r="J4417" s="8"/>
    </row>
    <row r="4418">
      <c r="C4418" s="15"/>
      <c r="E4418" s="8"/>
      <c r="G4418" s="8"/>
      <c r="J4418" s="8"/>
    </row>
    <row r="4419">
      <c r="C4419" s="15"/>
      <c r="E4419" s="8"/>
      <c r="G4419" s="8"/>
      <c r="J4419" s="8"/>
    </row>
    <row r="4420">
      <c r="C4420" s="15"/>
      <c r="E4420" s="8"/>
      <c r="G4420" s="8"/>
      <c r="J4420" s="8"/>
    </row>
    <row r="4421">
      <c r="C4421" s="15"/>
      <c r="E4421" s="8"/>
      <c r="G4421" s="8"/>
      <c r="J4421" s="8"/>
    </row>
    <row r="4422">
      <c r="C4422" s="15"/>
      <c r="E4422" s="8"/>
      <c r="G4422" s="8"/>
      <c r="J4422" s="8"/>
    </row>
    <row r="4423">
      <c r="C4423" s="15"/>
      <c r="E4423" s="8"/>
      <c r="G4423" s="8"/>
      <c r="J4423" s="8"/>
    </row>
    <row r="4424">
      <c r="C4424" s="15"/>
      <c r="E4424" s="8"/>
      <c r="G4424" s="8"/>
      <c r="J4424" s="8"/>
    </row>
    <row r="4425">
      <c r="C4425" s="15"/>
      <c r="E4425" s="8"/>
      <c r="G4425" s="8"/>
      <c r="J4425" s="8"/>
    </row>
    <row r="4426">
      <c r="C4426" s="15"/>
      <c r="E4426" s="8"/>
      <c r="G4426" s="8"/>
      <c r="J4426" s="8"/>
    </row>
    <row r="4427">
      <c r="C4427" s="15"/>
      <c r="E4427" s="8"/>
      <c r="G4427" s="8"/>
      <c r="J4427" s="8"/>
    </row>
    <row r="4428">
      <c r="C4428" s="15"/>
      <c r="E4428" s="8"/>
      <c r="G4428" s="8"/>
      <c r="J4428" s="8"/>
    </row>
    <row r="4429">
      <c r="C4429" s="15"/>
      <c r="E4429" s="8"/>
      <c r="G4429" s="8"/>
      <c r="J4429" s="8"/>
    </row>
    <row r="4430">
      <c r="C4430" s="15"/>
      <c r="E4430" s="8"/>
      <c r="G4430" s="8"/>
      <c r="J4430" s="8"/>
    </row>
    <row r="4431">
      <c r="C4431" s="15"/>
      <c r="E4431" s="8"/>
      <c r="G4431" s="8"/>
      <c r="J4431" s="8"/>
    </row>
    <row r="4432">
      <c r="C4432" s="15"/>
      <c r="E4432" s="8"/>
      <c r="G4432" s="8"/>
      <c r="J4432" s="8"/>
    </row>
    <row r="4433">
      <c r="C4433" s="15"/>
      <c r="E4433" s="8"/>
      <c r="G4433" s="8"/>
      <c r="J4433" s="8"/>
    </row>
    <row r="4434">
      <c r="C4434" s="15"/>
      <c r="E4434" s="8"/>
      <c r="G4434" s="8"/>
      <c r="J4434" s="8"/>
    </row>
    <row r="4435">
      <c r="C4435" s="15"/>
      <c r="E4435" s="8"/>
      <c r="G4435" s="8"/>
      <c r="J4435" s="8"/>
    </row>
    <row r="4436">
      <c r="C4436" s="15"/>
      <c r="E4436" s="8"/>
      <c r="G4436" s="8"/>
      <c r="J4436" s="8"/>
    </row>
    <row r="4437">
      <c r="C4437" s="15"/>
      <c r="E4437" s="8"/>
      <c r="G4437" s="8"/>
      <c r="J4437" s="8"/>
    </row>
    <row r="4438">
      <c r="C4438" s="15"/>
      <c r="E4438" s="8"/>
      <c r="G4438" s="8"/>
      <c r="J4438" s="8"/>
    </row>
    <row r="4439">
      <c r="C4439" s="15"/>
      <c r="E4439" s="8"/>
      <c r="G4439" s="8"/>
      <c r="J4439" s="8"/>
    </row>
    <row r="4440">
      <c r="C4440" s="15"/>
      <c r="E4440" s="8"/>
      <c r="G4440" s="8"/>
      <c r="J4440" s="8"/>
    </row>
    <row r="4441">
      <c r="C4441" s="15"/>
      <c r="E4441" s="8"/>
      <c r="G4441" s="8"/>
      <c r="J4441" s="8"/>
    </row>
    <row r="4442">
      <c r="C4442" s="15"/>
      <c r="E4442" s="8"/>
      <c r="G4442" s="8"/>
      <c r="J4442" s="8"/>
    </row>
    <row r="4443">
      <c r="C4443" s="15"/>
      <c r="E4443" s="8"/>
      <c r="G4443" s="8"/>
      <c r="J4443" s="8"/>
    </row>
    <row r="4444">
      <c r="C4444" s="15"/>
      <c r="E4444" s="8"/>
      <c r="G4444" s="8"/>
      <c r="J4444" s="8"/>
    </row>
    <row r="4445">
      <c r="C4445" s="15"/>
      <c r="E4445" s="8"/>
      <c r="G4445" s="8"/>
      <c r="J4445" s="8"/>
    </row>
    <row r="4446">
      <c r="C4446" s="15"/>
      <c r="E4446" s="8"/>
      <c r="G4446" s="8"/>
      <c r="J4446" s="8"/>
    </row>
    <row r="4447">
      <c r="C4447" s="15"/>
      <c r="E4447" s="8"/>
      <c r="G4447" s="8"/>
      <c r="J4447" s="8"/>
    </row>
    <row r="4448">
      <c r="C4448" s="15"/>
      <c r="E4448" s="8"/>
      <c r="G4448" s="8"/>
      <c r="J4448" s="8"/>
    </row>
    <row r="4449">
      <c r="C4449" s="15"/>
      <c r="E4449" s="8"/>
      <c r="G4449" s="8"/>
      <c r="J4449" s="8"/>
    </row>
    <row r="4450">
      <c r="C4450" s="15"/>
      <c r="E4450" s="8"/>
      <c r="G4450" s="8"/>
      <c r="J4450" s="8"/>
    </row>
    <row r="4451">
      <c r="C4451" s="15"/>
      <c r="E4451" s="8"/>
      <c r="G4451" s="8"/>
      <c r="J4451" s="8"/>
    </row>
    <row r="4452">
      <c r="C4452" s="15"/>
      <c r="E4452" s="8"/>
      <c r="G4452" s="8"/>
      <c r="J4452" s="8"/>
    </row>
    <row r="4453">
      <c r="C4453" s="15"/>
      <c r="E4453" s="8"/>
      <c r="G4453" s="8"/>
      <c r="J4453" s="8"/>
    </row>
    <row r="4454">
      <c r="C4454" s="15"/>
      <c r="E4454" s="8"/>
      <c r="G4454" s="8"/>
      <c r="J4454" s="8"/>
    </row>
    <row r="4455">
      <c r="C4455" s="15"/>
      <c r="E4455" s="8"/>
      <c r="G4455" s="8"/>
      <c r="J4455" s="8"/>
    </row>
    <row r="4456">
      <c r="C4456" s="15"/>
      <c r="E4456" s="8"/>
      <c r="G4456" s="8"/>
      <c r="J4456" s="8"/>
    </row>
    <row r="4457">
      <c r="C4457" s="15"/>
      <c r="E4457" s="8"/>
      <c r="G4457" s="8"/>
      <c r="J4457" s="8"/>
    </row>
    <row r="4458">
      <c r="C4458" s="15"/>
      <c r="E4458" s="8"/>
      <c r="G4458" s="8"/>
      <c r="J4458" s="8"/>
    </row>
    <row r="4459">
      <c r="C4459" s="15"/>
      <c r="E4459" s="8"/>
      <c r="G4459" s="8"/>
      <c r="J4459" s="8"/>
    </row>
    <row r="4460">
      <c r="C4460" s="15"/>
      <c r="E4460" s="8"/>
      <c r="G4460" s="8"/>
      <c r="J4460" s="8"/>
    </row>
    <row r="4461">
      <c r="C4461" s="15"/>
      <c r="E4461" s="8"/>
      <c r="G4461" s="8"/>
      <c r="J4461" s="8"/>
    </row>
    <row r="4462">
      <c r="C4462" s="15"/>
      <c r="E4462" s="8"/>
      <c r="G4462" s="8"/>
      <c r="J4462" s="8"/>
    </row>
    <row r="4463">
      <c r="C4463" s="15"/>
      <c r="E4463" s="8"/>
      <c r="G4463" s="8"/>
      <c r="J4463" s="8"/>
    </row>
    <row r="4464">
      <c r="C4464" s="15"/>
      <c r="E4464" s="8"/>
      <c r="G4464" s="8"/>
      <c r="J4464" s="8"/>
    </row>
    <row r="4465">
      <c r="C4465" s="15"/>
      <c r="E4465" s="8"/>
      <c r="G4465" s="8"/>
      <c r="J4465" s="8"/>
    </row>
    <row r="4466">
      <c r="C4466" s="15"/>
      <c r="E4466" s="8"/>
      <c r="G4466" s="8"/>
      <c r="J4466" s="8"/>
    </row>
    <row r="4467">
      <c r="C4467" s="15"/>
      <c r="E4467" s="8"/>
      <c r="G4467" s="8"/>
      <c r="J4467" s="8"/>
    </row>
    <row r="4468">
      <c r="C4468" s="15"/>
      <c r="E4468" s="8"/>
      <c r="G4468" s="8"/>
      <c r="J4468" s="8"/>
    </row>
    <row r="4469">
      <c r="C4469" s="15"/>
      <c r="E4469" s="8"/>
      <c r="G4469" s="8"/>
      <c r="J4469" s="8"/>
    </row>
    <row r="4470">
      <c r="C4470" s="15"/>
      <c r="E4470" s="8"/>
      <c r="G4470" s="8"/>
      <c r="J4470" s="8"/>
    </row>
    <row r="4471">
      <c r="C4471" s="15"/>
      <c r="E4471" s="8"/>
      <c r="G4471" s="8"/>
      <c r="J4471" s="8"/>
    </row>
    <row r="4472">
      <c r="C4472" s="15"/>
      <c r="E4472" s="8"/>
      <c r="G4472" s="8"/>
      <c r="J4472" s="8"/>
    </row>
    <row r="4473">
      <c r="C4473" s="15"/>
      <c r="E4473" s="8"/>
      <c r="G4473" s="8"/>
      <c r="J4473" s="8"/>
    </row>
    <row r="4474">
      <c r="C4474" s="15"/>
      <c r="E4474" s="8"/>
      <c r="G4474" s="8"/>
      <c r="J4474" s="8"/>
    </row>
    <row r="4475">
      <c r="C4475" s="15"/>
      <c r="E4475" s="8"/>
      <c r="G4475" s="8"/>
      <c r="J4475" s="8"/>
    </row>
    <row r="4476">
      <c r="C4476" s="15"/>
      <c r="E4476" s="8"/>
      <c r="G4476" s="8"/>
      <c r="J4476" s="8"/>
    </row>
    <row r="4477">
      <c r="C4477" s="15"/>
      <c r="E4477" s="8"/>
      <c r="G4477" s="8"/>
      <c r="J4477" s="8"/>
    </row>
    <row r="4478">
      <c r="C4478" s="15"/>
      <c r="E4478" s="8"/>
      <c r="G4478" s="8"/>
      <c r="J4478" s="8"/>
    </row>
    <row r="4479">
      <c r="C4479" s="15"/>
      <c r="E4479" s="8"/>
      <c r="G4479" s="8"/>
      <c r="J4479" s="8"/>
    </row>
    <row r="4480">
      <c r="C4480" s="15"/>
      <c r="E4480" s="8"/>
      <c r="G4480" s="8"/>
      <c r="J4480" s="8"/>
    </row>
    <row r="4481">
      <c r="C4481" s="15"/>
      <c r="E4481" s="8"/>
      <c r="G4481" s="8"/>
      <c r="J4481" s="8"/>
    </row>
    <row r="4482">
      <c r="C4482" s="15"/>
      <c r="E4482" s="8"/>
      <c r="G4482" s="8"/>
      <c r="J4482" s="8"/>
    </row>
    <row r="4483">
      <c r="C4483" s="15"/>
      <c r="E4483" s="8"/>
      <c r="G4483" s="8"/>
      <c r="J4483" s="8"/>
    </row>
    <row r="4484">
      <c r="C4484" s="15"/>
      <c r="E4484" s="8"/>
      <c r="G4484" s="8"/>
      <c r="J4484" s="8"/>
    </row>
    <row r="4485">
      <c r="C4485" s="15"/>
      <c r="E4485" s="8"/>
      <c r="G4485" s="8"/>
      <c r="J4485" s="8"/>
    </row>
    <row r="4486">
      <c r="C4486" s="15"/>
      <c r="E4486" s="8"/>
      <c r="G4486" s="8"/>
      <c r="J4486" s="8"/>
    </row>
    <row r="4487">
      <c r="C4487" s="15"/>
      <c r="E4487" s="8"/>
      <c r="G4487" s="8"/>
      <c r="J4487" s="8"/>
    </row>
    <row r="4488">
      <c r="C4488" s="15"/>
      <c r="E4488" s="8"/>
      <c r="G4488" s="8"/>
      <c r="J4488" s="8"/>
    </row>
    <row r="4489">
      <c r="C4489" s="15"/>
      <c r="E4489" s="8"/>
      <c r="G4489" s="8"/>
      <c r="J4489" s="8"/>
    </row>
    <row r="4490">
      <c r="C4490" s="15"/>
      <c r="E4490" s="8"/>
      <c r="G4490" s="8"/>
      <c r="J4490" s="8"/>
    </row>
    <row r="4491">
      <c r="C4491" s="15"/>
      <c r="E4491" s="8"/>
      <c r="G4491" s="8"/>
      <c r="J4491" s="8"/>
    </row>
    <row r="4492">
      <c r="C4492" s="15"/>
      <c r="E4492" s="8"/>
      <c r="G4492" s="8"/>
      <c r="J4492" s="8"/>
    </row>
    <row r="4493">
      <c r="C4493" s="15"/>
      <c r="E4493" s="8"/>
      <c r="G4493" s="8"/>
      <c r="J4493" s="8"/>
    </row>
    <row r="4494">
      <c r="C4494" s="15"/>
      <c r="E4494" s="8"/>
      <c r="G4494" s="8"/>
      <c r="J4494" s="8"/>
    </row>
    <row r="4495">
      <c r="C4495" s="15"/>
      <c r="E4495" s="8"/>
      <c r="G4495" s="8"/>
      <c r="J4495" s="8"/>
    </row>
    <row r="4496">
      <c r="C4496" s="15"/>
      <c r="E4496" s="8"/>
      <c r="G4496" s="8"/>
      <c r="J4496" s="8"/>
    </row>
    <row r="4497">
      <c r="C4497" s="15"/>
      <c r="E4497" s="8"/>
      <c r="G4497" s="8"/>
      <c r="J4497" s="8"/>
    </row>
    <row r="4498">
      <c r="C4498" s="15"/>
      <c r="E4498" s="8"/>
      <c r="G4498" s="8"/>
      <c r="J4498" s="8"/>
    </row>
    <row r="4499">
      <c r="C4499" s="15"/>
      <c r="E4499" s="8"/>
      <c r="G4499" s="8"/>
      <c r="J4499" s="8"/>
    </row>
    <row r="4500">
      <c r="C4500" s="15"/>
      <c r="E4500" s="8"/>
      <c r="G4500" s="8"/>
      <c r="J4500" s="8"/>
    </row>
    <row r="4501">
      <c r="C4501" s="15"/>
      <c r="E4501" s="8"/>
      <c r="G4501" s="8"/>
      <c r="J4501" s="8"/>
    </row>
    <row r="4502">
      <c r="C4502" s="15"/>
      <c r="E4502" s="8"/>
      <c r="G4502" s="8"/>
      <c r="J4502" s="8"/>
    </row>
    <row r="4503">
      <c r="C4503" s="15"/>
      <c r="E4503" s="8"/>
      <c r="G4503" s="8"/>
      <c r="J4503" s="8"/>
    </row>
    <row r="4504">
      <c r="C4504" s="15"/>
      <c r="E4504" s="8"/>
      <c r="G4504" s="8"/>
      <c r="J4504" s="8"/>
    </row>
    <row r="4505">
      <c r="C4505" s="15"/>
      <c r="E4505" s="8"/>
      <c r="G4505" s="8"/>
      <c r="J4505" s="8"/>
    </row>
    <row r="4506">
      <c r="C4506" s="15"/>
      <c r="E4506" s="8"/>
      <c r="G4506" s="8"/>
      <c r="J4506" s="8"/>
    </row>
    <row r="4507">
      <c r="C4507" s="15"/>
      <c r="E4507" s="8"/>
      <c r="G4507" s="8"/>
      <c r="J4507" s="8"/>
    </row>
    <row r="4508">
      <c r="C4508" s="15"/>
      <c r="E4508" s="8"/>
      <c r="G4508" s="8"/>
      <c r="J4508" s="8"/>
    </row>
    <row r="4509">
      <c r="C4509" s="15"/>
      <c r="E4509" s="8"/>
      <c r="G4509" s="8"/>
      <c r="J4509" s="8"/>
    </row>
    <row r="4510">
      <c r="C4510" s="15"/>
      <c r="E4510" s="8"/>
      <c r="G4510" s="8"/>
      <c r="J4510" s="8"/>
    </row>
    <row r="4511">
      <c r="C4511" s="15"/>
      <c r="E4511" s="8"/>
      <c r="G4511" s="8"/>
      <c r="J4511" s="8"/>
    </row>
    <row r="4512">
      <c r="C4512" s="15"/>
      <c r="E4512" s="8"/>
      <c r="G4512" s="8"/>
      <c r="J4512" s="8"/>
    </row>
    <row r="4513">
      <c r="C4513" s="15"/>
      <c r="E4513" s="8"/>
      <c r="G4513" s="8"/>
      <c r="J4513" s="8"/>
    </row>
    <row r="4514">
      <c r="C4514" s="15"/>
      <c r="E4514" s="8"/>
      <c r="G4514" s="8"/>
      <c r="J4514" s="8"/>
    </row>
    <row r="4515">
      <c r="C4515" s="15"/>
      <c r="E4515" s="8"/>
      <c r="G4515" s="8"/>
      <c r="J4515" s="8"/>
    </row>
    <row r="4516">
      <c r="C4516" s="15"/>
      <c r="E4516" s="8"/>
      <c r="G4516" s="8"/>
      <c r="J4516" s="8"/>
    </row>
    <row r="4517">
      <c r="C4517" s="15"/>
      <c r="E4517" s="8"/>
      <c r="G4517" s="8"/>
      <c r="J4517" s="8"/>
    </row>
    <row r="4518">
      <c r="C4518" s="15"/>
      <c r="E4518" s="8"/>
      <c r="G4518" s="8"/>
      <c r="J4518" s="8"/>
    </row>
    <row r="4519">
      <c r="C4519" s="15"/>
      <c r="E4519" s="8"/>
      <c r="G4519" s="8"/>
      <c r="J4519" s="8"/>
    </row>
    <row r="4520">
      <c r="C4520" s="15"/>
      <c r="E4520" s="8"/>
      <c r="G4520" s="8"/>
      <c r="J4520" s="8"/>
    </row>
    <row r="4521">
      <c r="C4521" s="15"/>
      <c r="E4521" s="8"/>
      <c r="G4521" s="8"/>
      <c r="J4521" s="8"/>
    </row>
    <row r="4522">
      <c r="C4522" s="15"/>
      <c r="E4522" s="8"/>
      <c r="G4522" s="8"/>
      <c r="J4522" s="8"/>
    </row>
    <row r="4523">
      <c r="C4523" s="15"/>
      <c r="E4523" s="8"/>
      <c r="G4523" s="8"/>
      <c r="J4523" s="8"/>
    </row>
    <row r="4524">
      <c r="C4524" s="15"/>
      <c r="E4524" s="8"/>
      <c r="G4524" s="8"/>
      <c r="J4524" s="8"/>
    </row>
    <row r="4525">
      <c r="C4525" s="15"/>
      <c r="E4525" s="8"/>
      <c r="G4525" s="8"/>
      <c r="J4525" s="8"/>
    </row>
    <row r="4526">
      <c r="C4526" s="15"/>
      <c r="E4526" s="8"/>
      <c r="G4526" s="8"/>
      <c r="J4526" s="8"/>
    </row>
    <row r="4527">
      <c r="C4527" s="15"/>
      <c r="E4527" s="8"/>
      <c r="G4527" s="8"/>
      <c r="J4527" s="8"/>
    </row>
    <row r="4528">
      <c r="C4528" s="15"/>
      <c r="E4528" s="8"/>
      <c r="G4528" s="8"/>
      <c r="J4528" s="8"/>
    </row>
    <row r="4529">
      <c r="C4529" s="15"/>
      <c r="E4529" s="8"/>
      <c r="G4529" s="8"/>
      <c r="J4529" s="8"/>
    </row>
    <row r="4530">
      <c r="C4530" s="15"/>
      <c r="E4530" s="8"/>
      <c r="G4530" s="8"/>
      <c r="J4530" s="8"/>
    </row>
    <row r="4531">
      <c r="C4531" s="15"/>
      <c r="E4531" s="8"/>
      <c r="G4531" s="8"/>
      <c r="J4531" s="8"/>
    </row>
    <row r="4532">
      <c r="C4532" s="15"/>
      <c r="E4532" s="8"/>
      <c r="G4532" s="8"/>
      <c r="J4532" s="8"/>
    </row>
    <row r="4533">
      <c r="C4533" s="15"/>
      <c r="E4533" s="8"/>
      <c r="G4533" s="8"/>
      <c r="J4533" s="8"/>
    </row>
    <row r="4534">
      <c r="C4534" s="15"/>
      <c r="E4534" s="8"/>
      <c r="G4534" s="8"/>
      <c r="J4534" s="8"/>
    </row>
    <row r="4535">
      <c r="C4535" s="15"/>
      <c r="E4535" s="8"/>
      <c r="G4535" s="8"/>
      <c r="J4535" s="8"/>
    </row>
    <row r="4536">
      <c r="C4536" s="15"/>
      <c r="E4536" s="8"/>
      <c r="G4536" s="8"/>
      <c r="J4536" s="8"/>
    </row>
    <row r="4537">
      <c r="C4537" s="15"/>
      <c r="E4537" s="8"/>
      <c r="G4537" s="8"/>
      <c r="J4537" s="8"/>
    </row>
    <row r="4538">
      <c r="C4538" s="15"/>
      <c r="E4538" s="8"/>
      <c r="G4538" s="8"/>
      <c r="J4538" s="8"/>
    </row>
    <row r="4539">
      <c r="C4539" s="15"/>
      <c r="E4539" s="8"/>
      <c r="G4539" s="8"/>
      <c r="J4539" s="8"/>
    </row>
    <row r="4540">
      <c r="C4540" s="15"/>
      <c r="E4540" s="8"/>
      <c r="G4540" s="8"/>
      <c r="J4540" s="8"/>
    </row>
    <row r="4541">
      <c r="C4541" s="15"/>
      <c r="E4541" s="8"/>
      <c r="G4541" s="8"/>
      <c r="J4541" s="8"/>
    </row>
    <row r="4542">
      <c r="C4542" s="15"/>
      <c r="E4542" s="8"/>
      <c r="G4542" s="8"/>
      <c r="J4542" s="8"/>
    </row>
    <row r="4543">
      <c r="C4543" s="15"/>
      <c r="E4543" s="8"/>
      <c r="G4543" s="8"/>
      <c r="J4543" s="8"/>
    </row>
    <row r="4544">
      <c r="C4544" s="15"/>
      <c r="E4544" s="8"/>
      <c r="G4544" s="8"/>
      <c r="J4544" s="8"/>
    </row>
    <row r="4545">
      <c r="C4545" s="15"/>
      <c r="E4545" s="8"/>
      <c r="G4545" s="8"/>
      <c r="J4545" s="8"/>
    </row>
    <row r="4546">
      <c r="C4546" s="15"/>
      <c r="E4546" s="8"/>
      <c r="G4546" s="8"/>
      <c r="J4546" s="8"/>
    </row>
    <row r="4547">
      <c r="C4547" s="15"/>
      <c r="E4547" s="8"/>
      <c r="G4547" s="8"/>
      <c r="J4547" s="8"/>
    </row>
    <row r="4548">
      <c r="C4548" s="15"/>
      <c r="E4548" s="8"/>
      <c r="G4548" s="8"/>
      <c r="J4548" s="8"/>
    </row>
    <row r="4549">
      <c r="C4549" s="15"/>
      <c r="E4549" s="8"/>
      <c r="G4549" s="8"/>
      <c r="J4549" s="8"/>
    </row>
    <row r="4550">
      <c r="C4550" s="15"/>
      <c r="E4550" s="8"/>
      <c r="G4550" s="8"/>
      <c r="J4550" s="8"/>
    </row>
    <row r="4551">
      <c r="C4551" s="15"/>
      <c r="E4551" s="8"/>
      <c r="G4551" s="8"/>
      <c r="J4551" s="8"/>
    </row>
    <row r="4552">
      <c r="C4552" s="15"/>
      <c r="E4552" s="8"/>
      <c r="G4552" s="8"/>
      <c r="J4552" s="8"/>
    </row>
    <row r="4553">
      <c r="C4553" s="15"/>
      <c r="E4553" s="8"/>
      <c r="G4553" s="8"/>
      <c r="J4553" s="8"/>
    </row>
    <row r="4554">
      <c r="C4554" s="15"/>
      <c r="E4554" s="8"/>
      <c r="G4554" s="8"/>
      <c r="J4554" s="8"/>
    </row>
    <row r="4555">
      <c r="C4555" s="15"/>
      <c r="E4555" s="8"/>
      <c r="G4555" s="8"/>
      <c r="J4555" s="8"/>
    </row>
    <row r="4556">
      <c r="C4556" s="15"/>
      <c r="E4556" s="8"/>
      <c r="G4556" s="8"/>
      <c r="J4556" s="8"/>
    </row>
    <row r="4557">
      <c r="C4557" s="15"/>
      <c r="E4557" s="8"/>
      <c r="G4557" s="8"/>
      <c r="J4557" s="8"/>
    </row>
    <row r="4558">
      <c r="C4558" s="15"/>
      <c r="E4558" s="8"/>
      <c r="G4558" s="8"/>
      <c r="J4558" s="8"/>
    </row>
    <row r="4559">
      <c r="C4559" s="15"/>
      <c r="E4559" s="8"/>
      <c r="G4559" s="8"/>
      <c r="J4559" s="8"/>
    </row>
    <row r="4560">
      <c r="C4560" s="15"/>
      <c r="E4560" s="8"/>
      <c r="G4560" s="8"/>
      <c r="J4560" s="8"/>
    </row>
    <row r="4561">
      <c r="C4561" s="15"/>
      <c r="E4561" s="8"/>
      <c r="G4561" s="8"/>
      <c r="J4561" s="8"/>
    </row>
    <row r="4562">
      <c r="C4562" s="15"/>
      <c r="E4562" s="8"/>
      <c r="G4562" s="8"/>
      <c r="J4562" s="8"/>
    </row>
    <row r="4563">
      <c r="C4563" s="15"/>
      <c r="E4563" s="8"/>
      <c r="G4563" s="8"/>
      <c r="J4563" s="8"/>
    </row>
    <row r="4564">
      <c r="C4564" s="15"/>
      <c r="E4564" s="8"/>
      <c r="G4564" s="8"/>
      <c r="J4564" s="8"/>
    </row>
    <row r="4565">
      <c r="C4565" s="15"/>
      <c r="E4565" s="8"/>
      <c r="G4565" s="8"/>
      <c r="J4565" s="8"/>
    </row>
    <row r="4566">
      <c r="C4566" s="15"/>
      <c r="E4566" s="8"/>
      <c r="G4566" s="8"/>
      <c r="J4566" s="8"/>
    </row>
    <row r="4567">
      <c r="C4567" s="15"/>
      <c r="E4567" s="8"/>
      <c r="G4567" s="8"/>
      <c r="J4567" s="8"/>
    </row>
    <row r="4568">
      <c r="C4568" s="15"/>
      <c r="E4568" s="8"/>
      <c r="G4568" s="8"/>
      <c r="J4568" s="8"/>
    </row>
    <row r="4569">
      <c r="C4569" s="15"/>
      <c r="E4569" s="8"/>
      <c r="G4569" s="8"/>
      <c r="J4569" s="8"/>
    </row>
    <row r="4570">
      <c r="C4570" s="15"/>
      <c r="E4570" s="8"/>
      <c r="G4570" s="8"/>
      <c r="J4570" s="8"/>
    </row>
    <row r="4571">
      <c r="C4571" s="15"/>
      <c r="E4571" s="8"/>
      <c r="G4571" s="8"/>
      <c r="J4571" s="8"/>
    </row>
    <row r="4572">
      <c r="C4572" s="15"/>
      <c r="E4572" s="8"/>
      <c r="G4572" s="8"/>
      <c r="J4572" s="8"/>
    </row>
    <row r="4573">
      <c r="C4573" s="15"/>
      <c r="E4573" s="8"/>
      <c r="G4573" s="8"/>
      <c r="J4573" s="8"/>
    </row>
    <row r="4574">
      <c r="C4574" s="15"/>
      <c r="E4574" s="8"/>
      <c r="G4574" s="8"/>
      <c r="J4574" s="8"/>
    </row>
    <row r="4575">
      <c r="C4575" s="15"/>
      <c r="E4575" s="8"/>
      <c r="G4575" s="8"/>
      <c r="J4575" s="8"/>
    </row>
    <row r="4576">
      <c r="C4576" s="15"/>
      <c r="E4576" s="8"/>
      <c r="G4576" s="8"/>
      <c r="J4576" s="8"/>
    </row>
    <row r="4577">
      <c r="C4577" s="15"/>
      <c r="E4577" s="8"/>
      <c r="G4577" s="8"/>
      <c r="J4577" s="8"/>
    </row>
    <row r="4578">
      <c r="C4578" s="15"/>
      <c r="E4578" s="8"/>
      <c r="G4578" s="8"/>
      <c r="J4578" s="8"/>
    </row>
    <row r="4579">
      <c r="C4579" s="15"/>
      <c r="E4579" s="8"/>
      <c r="G4579" s="8"/>
      <c r="J4579" s="8"/>
    </row>
    <row r="4580">
      <c r="C4580" s="15"/>
      <c r="E4580" s="8"/>
      <c r="G4580" s="8"/>
      <c r="J4580" s="8"/>
    </row>
    <row r="4581">
      <c r="C4581" s="15"/>
      <c r="E4581" s="8"/>
      <c r="G4581" s="8"/>
      <c r="J4581" s="8"/>
    </row>
    <row r="4582">
      <c r="C4582" s="15"/>
      <c r="E4582" s="8"/>
      <c r="G4582" s="8"/>
      <c r="J4582" s="8"/>
    </row>
    <row r="4583">
      <c r="C4583" s="15"/>
      <c r="E4583" s="8"/>
      <c r="G4583" s="8"/>
      <c r="J4583" s="8"/>
    </row>
    <row r="4584">
      <c r="C4584" s="15"/>
      <c r="E4584" s="8"/>
      <c r="G4584" s="8"/>
      <c r="J4584" s="8"/>
    </row>
    <row r="4585">
      <c r="C4585" s="15"/>
      <c r="E4585" s="8"/>
      <c r="G4585" s="8"/>
      <c r="J4585" s="8"/>
    </row>
    <row r="4586">
      <c r="C4586" s="15"/>
      <c r="E4586" s="8"/>
      <c r="G4586" s="8"/>
      <c r="J4586" s="8"/>
    </row>
    <row r="4587">
      <c r="C4587" s="15"/>
      <c r="E4587" s="8"/>
      <c r="G4587" s="8"/>
      <c r="J4587" s="8"/>
    </row>
    <row r="4588">
      <c r="C4588" s="15"/>
      <c r="E4588" s="8"/>
      <c r="G4588" s="8"/>
      <c r="J4588" s="8"/>
    </row>
    <row r="4589">
      <c r="C4589" s="15"/>
      <c r="E4589" s="8"/>
      <c r="G4589" s="8"/>
      <c r="J4589" s="8"/>
    </row>
    <row r="4590">
      <c r="C4590" s="15"/>
      <c r="E4590" s="8"/>
      <c r="G4590" s="8"/>
      <c r="J4590" s="8"/>
    </row>
    <row r="4591">
      <c r="C4591" s="15"/>
      <c r="E4591" s="8"/>
      <c r="G4591" s="8"/>
      <c r="J4591" s="8"/>
    </row>
    <row r="4592">
      <c r="C4592" s="15"/>
      <c r="E4592" s="8"/>
      <c r="G4592" s="8"/>
      <c r="J4592" s="8"/>
    </row>
    <row r="4593">
      <c r="C4593" s="15"/>
      <c r="E4593" s="8"/>
      <c r="G4593" s="8"/>
      <c r="J4593" s="8"/>
    </row>
    <row r="4594">
      <c r="C4594" s="15"/>
      <c r="E4594" s="8"/>
      <c r="G4594" s="8"/>
      <c r="J4594" s="8"/>
    </row>
    <row r="4595">
      <c r="C4595" s="15"/>
      <c r="E4595" s="8"/>
      <c r="G4595" s="8"/>
      <c r="J4595" s="8"/>
    </row>
    <row r="4596">
      <c r="C4596" s="15"/>
      <c r="E4596" s="8"/>
      <c r="G4596" s="8"/>
      <c r="J4596" s="8"/>
    </row>
    <row r="4597">
      <c r="C4597" s="15"/>
      <c r="E4597" s="8"/>
      <c r="G4597" s="8"/>
      <c r="J4597" s="8"/>
    </row>
    <row r="4598">
      <c r="C4598" s="15"/>
      <c r="E4598" s="8"/>
      <c r="G4598" s="8"/>
      <c r="J4598" s="8"/>
    </row>
    <row r="4599">
      <c r="C4599" s="15"/>
      <c r="E4599" s="8"/>
      <c r="G4599" s="8"/>
      <c r="J4599" s="8"/>
    </row>
    <row r="4600">
      <c r="C4600" s="15"/>
      <c r="E4600" s="8"/>
      <c r="G4600" s="8"/>
      <c r="J4600" s="8"/>
    </row>
    <row r="4601">
      <c r="C4601" s="15"/>
      <c r="E4601" s="8"/>
      <c r="G4601" s="8"/>
      <c r="J4601" s="8"/>
    </row>
    <row r="4602">
      <c r="C4602" s="15"/>
      <c r="E4602" s="8"/>
      <c r="G4602" s="8"/>
      <c r="J4602" s="8"/>
    </row>
    <row r="4603">
      <c r="C4603" s="15"/>
      <c r="E4603" s="8"/>
      <c r="G4603" s="8"/>
      <c r="J4603" s="8"/>
    </row>
    <row r="4604">
      <c r="C4604" s="15"/>
      <c r="E4604" s="8"/>
      <c r="G4604" s="8"/>
      <c r="J4604" s="8"/>
    </row>
    <row r="4605">
      <c r="C4605" s="15"/>
      <c r="E4605" s="8"/>
      <c r="G4605" s="8"/>
      <c r="J4605" s="8"/>
    </row>
    <row r="4606">
      <c r="C4606" s="15"/>
      <c r="E4606" s="8"/>
      <c r="G4606" s="8"/>
      <c r="J4606" s="8"/>
    </row>
    <row r="4607">
      <c r="C4607" s="15"/>
      <c r="E4607" s="8"/>
      <c r="G4607" s="8"/>
      <c r="J4607" s="8"/>
    </row>
    <row r="4608">
      <c r="C4608" s="15"/>
      <c r="E4608" s="8"/>
      <c r="G4608" s="8"/>
      <c r="J4608" s="8"/>
    </row>
    <row r="4609">
      <c r="C4609" s="15"/>
      <c r="E4609" s="8"/>
      <c r="G4609" s="8"/>
      <c r="J4609" s="8"/>
    </row>
    <row r="4610">
      <c r="C4610" s="15"/>
      <c r="E4610" s="8"/>
      <c r="G4610" s="8"/>
      <c r="J4610" s="8"/>
    </row>
    <row r="4611">
      <c r="C4611" s="15"/>
      <c r="E4611" s="8"/>
      <c r="G4611" s="8"/>
      <c r="J4611" s="8"/>
    </row>
    <row r="4612">
      <c r="C4612" s="15"/>
      <c r="E4612" s="8"/>
      <c r="G4612" s="8"/>
      <c r="J4612" s="8"/>
    </row>
    <row r="4613">
      <c r="C4613" s="15"/>
      <c r="E4613" s="8"/>
      <c r="G4613" s="8"/>
      <c r="J4613" s="8"/>
    </row>
    <row r="4614">
      <c r="C4614" s="15"/>
      <c r="E4614" s="8"/>
      <c r="G4614" s="8"/>
      <c r="J4614" s="8"/>
    </row>
    <row r="4615">
      <c r="C4615" s="15"/>
      <c r="E4615" s="8"/>
      <c r="G4615" s="8"/>
      <c r="J4615" s="8"/>
    </row>
    <row r="4616">
      <c r="C4616" s="15"/>
      <c r="E4616" s="8"/>
      <c r="G4616" s="8"/>
      <c r="J4616" s="8"/>
    </row>
    <row r="4617">
      <c r="C4617" s="15"/>
      <c r="E4617" s="8"/>
      <c r="G4617" s="8"/>
      <c r="J4617" s="8"/>
    </row>
    <row r="4618">
      <c r="C4618" s="15"/>
      <c r="E4618" s="8"/>
      <c r="G4618" s="8"/>
      <c r="J4618" s="8"/>
    </row>
    <row r="4619">
      <c r="C4619" s="15"/>
      <c r="E4619" s="8"/>
      <c r="G4619" s="8"/>
      <c r="J4619" s="8"/>
    </row>
    <row r="4620">
      <c r="C4620" s="15"/>
      <c r="E4620" s="8"/>
      <c r="G4620" s="8"/>
      <c r="J4620" s="8"/>
    </row>
    <row r="4621">
      <c r="C4621" s="15"/>
      <c r="E4621" s="8"/>
      <c r="G4621" s="8"/>
      <c r="J4621" s="8"/>
    </row>
    <row r="4622">
      <c r="C4622" s="15"/>
      <c r="E4622" s="8"/>
      <c r="G4622" s="8"/>
      <c r="J4622" s="8"/>
    </row>
    <row r="4623">
      <c r="C4623" s="15"/>
      <c r="E4623" s="8"/>
      <c r="G4623" s="8"/>
      <c r="J4623" s="8"/>
    </row>
    <row r="4624">
      <c r="C4624" s="15"/>
      <c r="E4624" s="8"/>
      <c r="G4624" s="8"/>
      <c r="J4624" s="8"/>
    </row>
    <row r="4625">
      <c r="C4625" s="15"/>
      <c r="E4625" s="8"/>
      <c r="G4625" s="8"/>
      <c r="J4625" s="8"/>
    </row>
    <row r="4626">
      <c r="C4626" s="15"/>
      <c r="E4626" s="8"/>
      <c r="G4626" s="8"/>
      <c r="J4626" s="8"/>
    </row>
    <row r="4627">
      <c r="C4627" s="15"/>
      <c r="E4627" s="8"/>
      <c r="G4627" s="8"/>
      <c r="J4627" s="8"/>
    </row>
    <row r="4628">
      <c r="C4628" s="15"/>
      <c r="E4628" s="8"/>
      <c r="G4628" s="8"/>
      <c r="J4628" s="8"/>
    </row>
    <row r="4629">
      <c r="C4629" s="15"/>
      <c r="E4629" s="8"/>
      <c r="G4629" s="8"/>
      <c r="J4629" s="8"/>
    </row>
    <row r="4630">
      <c r="C4630" s="15"/>
      <c r="E4630" s="8"/>
      <c r="G4630" s="8"/>
      <c r="J4630" s="8"/>
    </row>
    <row r="4631">
      <c r="C4631" s="15"/>
      <c r="E4631" s="8"/>
      <c r="G4631" s="8"/>
      <c r="J4631" s="8"/>
    </row>
    <row r="4632">
      <c r="C4632" s="15"/>
      <c r="E4632" s="8"/>
      <c r="G4632" s="8"/>
      <c r="J4632" s="8"/>
    </row>
    <row r="4633">
      <c r="C4633" s="15"/>
      <c r="E4633" s="8"/>
      <c r="G4633" s="8"/>
      <c r="J4633" s="8"/>
    </row>
    <row r="4634">
      <c r="C4634" s="15"/>
      <c r="E4634" s="8"/>
      <c r="G4634" s="8"/>
      <c r="J4634" s="8"/>
    </row>
    <row r="4635">
      <c r="C4635" s="15"/>
      <c r="E4635" s="8"/>
      <c r="G4635" s="8"/>
      <c r="J4635" s="8"/>
    </row>
    <row r="4636">
      <c r="C4636" s="15"/>
      <c r="E4636" s="8"/>
      <c r="G4636" s="8"/>
      <c r="J4636" s="8"/>
    </row>
    <row r="4637">
      <c r="C4637" s="15"/>
      <c r="E4637" s="8"/>
      <c r="G4637" s="8"/>
      <c r="J4637" s="8"/>
    </row>
    <row r="4638">
      <c r="C4638" s="15"/>
      <c r="E4638" s="8"/>
      <c r="G4638" s="8"/>
      <c r="J4638" s="8"/>
    </row>
    <row r="4639">
      <c r="C4639" s="15"/>
      <c r="E4639" s="8"/>
      <c r="G4639" s="8"/>
      <c r="J4639" s="8"/>
    </row>
    <row r="4640">
      <c r="C4640" s="15"/>
      <c r="E4640" s="8"/>
      <c r="G4640" s="8"/>
      <c r="J4640" s="8"/>
    </row>
    <row r="4641">
      <c r="C4641" s="15"/>
      <c r="E4641" s="8"/>
      <c r="G4641" s="8"/>
      <c r="J4641" s="8"/>
    </row>
    <row r="4642">
      <c r="C4642" s="15"/>
      <c r="E4642" s="8"/>
      <c r="G4642" s="8"/>
      <c r="J4642" s="8"/>
    </row>
    <row r="4643">
      <c r="C4643" s="15"/>
      <c r="E4643" s="8"/>
      <c r="G4643" s="8"/>
      <c r="J4643" s="8"/>
    </row>
    <row r="4644">
      <c r="C4644" s="15"/>
      <c r="E4644" s="8"/>
      <c r="G4644" s="8"/>
      <c r="J4644" s="8"/>
    </row>
    <row r="4645">
      <c r="C4645" s="15"/>
      <c r="E4645" s="8"/>
      <c r="G4645" s="8"/>
      <c r="J4645" s="8"/>
    </row>
    <row r="4646">
      <c r="C4646" s="15"/>
      <c r="E4646" s="8"/>
      <c r="G4646" s="8"/>
      <c r="J4646" s="8"/>
    </row>
    <row r="4647">
      <c r="C4647" s="15"/>
      <c r="E4647" s="8"/>
      <c r="G4647" s="8"/>
      <c r="J4647" s="8"/>
    </row>
    <row r="4648">
      <c r="C4648" s="15"/>
      <c r="E4648" s="8"/>
      <c r="G4648" s="8"/>
      <c r="J4648" s="8"/>
    </row>
    <row r="4649">
      <c r="C4649" s="15"/>
      <c r="E4649" s="8"/>
      <c r="G4649" s="8"/>
      <c r="J4649" s="8"/>
    </row>
    <row r="4650">
      <c r="C4650" s="15"/>
      <c r="E4650" s="8"/>
      <c r="G4650" s="8"/>
      <c r="J4650" s="8"/>
    </row>
    <row r="4651">
      <c r="C4651" s="15"/>
      <c r="E4651" s="8"/>
      <c r="G4651" s="8"/>
      <c r="J4651" s="8"/>
    </row>
    <row r="4652">
      <c r="C4652" s="15"/>
      <c r="E4652" s="8"/>
      <c r="G4652" s="8"/>
      <c r="J4652" s="8"/>
    </row>
    <row r="4653">
      <c r="C4653" s="15"/>
      <c r="E4653" s="8"/>
      <c r="G4653" s="8"/>
      <c r="J4653" s="8"/>
    </row>
    <row r="4654">
      <c r="C4654" s="15"/>
      <c r="E4654" s="8"/>
      <c r="G4654" s="8"/>
      <c r="J4654" s="8"/>
    </row>
    <row r="4655">
      <c r="C4655" s="15"/>
      <c r="E4655" s="8"/>
      <c r="G4655" s="8"/>
      <c r="J4655" s="8"/>
    </row>
    <row r="4656">
      <c r="C4656" s="15"/>
      <c r="E4656" s="8"/>
      <c r="G4656" s="8"/>
      <c r="J4656" s="8"/>
    </row>
    <row r="4657">
      <c r="C4657" s="15"/>
      <c r="E4657" s="8"/>
      <c r="G4657" s="8"/>
      <c r="J4657" s="8"/>
    </row>
    <row r="4658">
      <c r="C4658" s="15"/>
      <c r="E4658" s="8"/>
      <c r="G4658" s="8"/>
      <c r="J4658" s="8"/>
    </row>
    <row r="4659">
      <c r="C4659" s="15"/>
      <c r="E4659" s="8"/>
      <c r="G4659" s="8"/>
      <c r="J4659" s="8"/>
    </row>
    <row r="4660">
      <c r="C4660" s="15"/>
      <c r="E4660" s="8"/>
      <c r="G4660" s="8"/>
      <c r="J4660" s="8"/>
    </row>
    <row r="4661">
      <c r="C4661" s="15"/>
      <c r="E4661" s="8"/>
      <c r="G4661" s="8"/>
      <c r="J4661" s="8"/>
    </row>
    <row r="4662">
      <c r="C4662" s="15"/>
      <c r="E4662" s="8"/>
      <c r="G4662" s="8"/>
      <c r="J4662" s="8"/>
    </row>
    <row r="4663">
      <c r="C4663" s="15"/>
      <c r="E4663" s="8"/>
      <c r="G4663" s="8"/>
      <c r="J4663" s="8"/>
    </row>
    <row r="4664">
      <c r="C4664" s="15"/>
      <c r="E4664" s="8"/>
      <c r="G4664" s="8"/>
      <c r="J4664" s="8"/>
    </row>
    <row r="4665">
      <c r="C4665" s="15"/>
      <c r="E4665" s="8"/>
      <c r="G4665" s="8"/>
      <c r="J4665" s="8"/>
    </row>
    <row r="4666">
      <c r="C4666" s="15"/>
      <c r="E4666" s="8"/>
      <c r="G4666" s="8"/>
      <c r="J4666" s="8"/>
    </row>
    <row r="4667">
      <c r="C4667" s="15"/>
      <c r="E4667" s="8"/>
      <c r="G4667" s="8"/>
      <c r="J4667" s="8"/>
    </row>
    <row r="4668">
      <c r="C4668" s="15"/>
      <c r="E4668" s="8"/>
      <c r="G4668" s="8"/>
      <c r="J4668" s="8"/>
    </row>
    <row r="4669">
      <c r="C4669" s="15"/>
      <c r="E4669" s="8"/>
      <c r="G4669" s="8"/>
      <c r="J4669" s="8"/>
    </row>
    <row r="4670">
      <c r="C4670" s="15"/>
      <c r="E4670" s="8"/>
      <c r="G4670" s="8"/>
      <c r="J4670" s="8"/>
    </row>
    <row r="4671">
      <c r="C4671" s="15"/>
      <c r="E4671" s="8"/>
      <c r="G4671" s="8"/>
      <c r="J4671" s="8"/>
    </row>
    <row r="4672">
      <c r="C4672" s="15"/>
      <c r="E4672" s="8"/>
      <c r="G4672" s="8"/>
      <c r="J4672" s="8"/>
    </row>
    <row r="4673">
      <c r="C4673" s="15"/>
      <c r="E4673" s="8"/>
      <c r="G4673" s="8"/>
      <c r="J4673" s="8"/>
    </row>
    <row r="4674">
      <c r="C4674" s="15"/>
      <c r="E4674" s="8"/>
      <c r="G4674" s="8"/>
      <c r="J4674" s="8"/>
    </row>
    <row r="4675">
      <c r="C4675" s="15"/>
      <c r="E4675" s="8"/>
      <c r="G4675" s="8"/>
      <c r="J4675" s="8"/>
    </row>
    <row r="4676">
      <c r="C4676" s="15"/>
      <c r="E4676" s="8"/>
      <c r="G4676" s="8"/>
      <c r="J4676" s="8"/>
    </row>
    <row r="4677">
      <c r="C4677" s="15"/>
      <c r="E4677" s="8"/>
      <c r="G4677" s="8"/>
      <c r="J4677" s="8"/>
    </row>
    <row r="4678">
      <c r="C4678" s="15"/>
      <c r="E4678" s="8"/>
      <c r="G4678" s="8"/>
      <c r="J4678" s="8"/>
    </row>
    <row r="4679">
      <c r="C4679" s="15"/>
      <c r="E4679" s="8"/>
      <c r="G4679" s="8"/>
      <c r="J4679" s="8"/>
    </row>
    <row r="4680">
      <c r="C4680" s="15"/>
      <c r="E4680" s="8"/>
      <c r="G4680" s="8"/>
      <c r="J4680" s="8"/>
    </row>
    <row r="4681">
      <c r="C4681" s="15"/>
      <c r="E4681" s="8"/>
      <c r="G4681" s="8"/>
      <c r="J4681" s="8"/>
    </row>
    <row r="4682">
      <c r="C4682" s="15"/>
      <c r="E4682" s="8"/>
      <c r="G4682" s="8"/>
      <c r="J4682" s="8"/>
    </row>
    <row r="4683">
      <c r="C4683" s="15"/>
      <c r="E4683" s="8"/>
      <c r="G4683" s="8"/>
      <c r="J4683" s="8"/>
    </row>
    <row r="4684">
      <c r="C4684" s="15"/>
      <c r="E4684" s="8"/>
      <c r="G4684" s="8"/>
      <c r="J4684" s="8"/>
    </row>
    <row r="4685">
      <c r="C4685" s="15"/>
      <c r="E4685" s="8"/>
      <c r="G4685" s="8"/>
      <c r="J4685" s="8"/>
    </row>
    <row r="4686">
      <c r="C4686" s="15"/>
      <c r="E4686" s="8"/>
      <c r="G4686" s="8"/>
      <c r="J4686" s="8"/>
    </row>
    <row r="4687">
      <c r="C4687" s="15"/>
      <c r="E4687" s="8"/>
      <c r="G4687" s="8"/>
      <c r="J4687" s="8"/>
    </row>
    <row r="4688">
      <c r="C4688" s="15"/>
      <c r="E4688" s="8"/>
      <c r="G4688" s="8"/>
      <c r="J4688" s="8"/>
    </row>
    <row r="4689">
      <c r="C4689" s="15"/>
      <c r="E4689" s="8"/>
      <c r="G4689" s="8"/>
      <c r="J4689" s="8"/>
    </row>
    <row r="4690">
      <c r="C4690" s="15"/>
      <c r="E4690" s="8"/>
      <c r="G4690" s="8"/>
      <c r="J4690" s="8"/>
    </row>
    <row r="4691">
      <c r="C4691" s="15"/>
      <c r="E4691" s="8"/>
      <c r="G4691" s="8"/>
      <c r="J4691" s="8"/>
    </row>
    <row r="4692">
      <c r="C4692" s="15"/>
      <c r="E4692" s="8"/>
      <c r="G4692" s="8"/>
      <c r="J4692" s="8"/>
    </row>
    <row r="4693">
      <c r="C4693" s="15"/>
      <c r="E4693" s="8"/>
      <c r="G4693" s="8"/>
      <c r="J4693" s="8"/>
    </row>
    <row r="4694">
      <c r="C4694" s="15"/>
      <c r="E4694" s="8"/>
      <c r="G4694" s="8"/>
      <c r="J4694" s="8"/>
    </row>
    <row r="4695">
      <c r="C4695" s="15"/>
      <c r="E4695" s="8"/>
      <c r="G4695" s="8"/>
      <c r="J4695" s="8"/>
    </row>
    <row r="4696">
      <c r="C4696" s="15"/>
      <c r="E4696" s="8"/>
      <c r="G4696" s="8"/>
      <c r="J4696" s="8"/>
    </row>
    <row r="4697">
      <c r="C4697" s="15"/>
      <c r="E4697" s="8"/>
      <c r="G4697" s="8"/>
      <c r="J4697" s="8"/>
    </row>
    <row r="4698">
      <c r="C4698" s="15"/>
      <c r="E4698" s="8"/>
      <c r="G4698" s="8"/>
      <c r="J4698" s="8"/>
    </row>
    <row r="4699">
      <c r="C4699" s="15"/>
      <c r="E4699" s="8"/>
      <c r="G4699" s="8"/>
      <c r="J4699" s="8"/>
    </row>
    <row r="4700">
      <c r="C4700" s="15"/>
      <c r="E4700" s="8"/>
      <c r="G4700" s="8"/>
      <c r="J4700" s="8"/>
    </row>
    <row r="4701">
      <c r="C4701" s="15"/>
      <c r="E4701" s="8"/>
      <c r="G4701" s="8"/>
      <c r="J4701" s="8"/>
    </row>
    <row r="4702">
      <c r="C4702" s="15"/>
      <c r="E4702" s="8"/>
      <c r="G4702" s="8"/>
      <c r="J4702" s="8"/>
    </row>
    <row r="4703">
      <c r="C4703" s="15"/>
      <c r="E4703" s="8"/>
      <c r="G4703" s="8"/>
      <c r="J4703" s="8"/>
    </row>
    <row r="4704">
      <c r="C4704" s="15"/>
      <c r="E4704" s="8"/>
      <c r="G4704" s="8"/>
      <c r="J4704" s="8"/>
    </row>
    <row r="4705">
      <c r="C4705" s="15"/>
      <c r="E4705" s="8"/>
      <c r="G4705" s="8"/>
      <c r="J4705" s="8"/>
    </row>
    <row r="4706">
      <c r="C4706" s="15"/>
      <c r="E4706" s="8"/>
      <c r="G4706" s="8"/>
      <c r="J4706" s="8"/>
    </row>
    <row r="4707">
      <c r="C4707" s="15"/>
      <c r="E4707" s="8"/>
      <c r="G4707" s="8"/>
      <c r="J4707" s="8"/>
    </row>
    <row r="4708">
      <c r="C4708" s="15"/>
      <c r="E4708" s="8"/>
      <c r="G4708" s="8"/>
      <c r="J4708" s="8"/>
    </row>
    <row r="4709">
      <c r="C4709" s="15"/>
      <c r="E4709" s="8"/>
      <c r="G4709" s="8"/>
      <c r="J4709" s="8"/>
    </row>
    <row r="4710">
      <c r="C4710" s="15"/>
      <c r="E4710" s="8"/>
      <c r="G4710" s="8"/>
      <c r="J4710" s="8"/>
    </row>
    <row r="4711">
      <c r="C4711" s="15"/>
      <c r="E4711" s="8"/>
      <c r="G4711" s="8"/>
      <c r="J4711" s="8"/>
    </row>
    <row r="4712">
      <c r="C4712" s="15"/>
      <c r="E4712" s="8"/>
      <c r="G4712" s="8"/>
      <c r="J4712" s="8"/>
    </row>
    <row r="4713">
      <c r="C4713" s="15"/>
      <c r="E4713" s="8"/>
      <c r="G4713" s="8"/>
      <c r="J4713" s="8"/>
    </row>
    <row r="4714">
      <c r="C4714" s="15"/>
      <c r="E4714" s="8"/>
      <c r="G4714" s="8"/>
      <c r="J4714" s="8"/>
    </row>
    <row r="4715">
      <c r="C4715" s="15"/>
      <c r="E4715" s="8"/>
      <c r="G4715" s="8"/>
      <c r="J4715" s="8"/>
    </row>
    <row r="4716">
      <c r="C4716" s="15"/>
      <c r="E4716" s="8"/>
      <c r="G4716" s="8"/>
      <c r="J4716" s="8"/>
    </row>
    <row r="4717">
      <c r="C4717" s="15"/>
      <c r="E4717" s="8"/>
      <c r="G4717" s="8"/>
      <c r="J4717" s="8"/>
    </row>
    <row r="4718">
      <c r="C4718" s="15"/>
      <c r="E4718" s="8"/>
      <c r="G4718" s="8"/>
      <c r="J4718" s="8"/>
    </row>
    <row r="4719">
      <c r="C4719" s="15"/>
      <c r="E4719" s="8"/>
      <c r="G4719" s="8"/>
      <c r="J4719" s="8"/>
    </row>
    <row r="4720">
      <c r="C4720" s="15"/>
      <c r="E4720" s="8"/>
      <c r="G4720" s="8"/>
      <c r="J4720" s="8"/>
    </row>
    <row r="4721">
      <c r="C4721" s="15"/>
      <c r="E4721" s="8"/>
      <c r="G4721" s="8"/>
      <c r="J4721" s="8"/>
    </row>
    <row r="4722">
      <c r="C4722" s="15"/>
      <c r="E4722" s="8"/>
      <c r="G4722" s="8"/>
      <c r="J4722" s="8"/>
    </row>
    <row r="4723">
      <c r="C4723" s="15"/>
      <c r="E4723" s="8"/>
      <c r="G4723" s="8"/>
      <c r="J4723" s="8"/>
    </row>
    <row r="4724">
      <c r="C4724" s="15"/>
      <c r="E4724" s="8"/>
      <c r="G4724" s="8"/>
      <c r="J4724" s="8"/>
    </row>
    <row r="4725">
      <c r="C4725" s="15"/>
      <c r="E4725" s="8"/>
      <c r="G4725" s="8"/>
      <c r="J4725" s="8"/>
    </row>
    <row r="4726">
      <c r="C4726" s="15"/>
      <c r="E4726" s="8"/>
      <c r="G4726" s="8"/>
      <c r="J4726" s="8"/>
    </row>
    <row r="4727">
      <c r="C4727" s="15"/>
      <c r="E4727" s="8"/>
      <c r="G4727" s="8"/>
      <c r="J4727" s="8"/>
    </row>
    <row r="4728">
      <c r="C4728" s="15"/>
      <c r="E4728" s="8"/>
      <c r="G4728" s="8"/>
      <c r="J4728" s="8"/>
    </row>
    <row r="4729">
      <c r="C4729" s="15"/>
      <c r="E4729" s="8"/>
      <c r="G4729" s="8"/>
      <c r="J4729" s="8"/>
    </row>
    <row r="4730">
      <c r="C4730" s="15"/>
      <c r="E4730" s="8"/>
      <c r="G4730" s="8"/>
      <c r="J4730" s="8"/>
    </row>
    <row r="4731">
      <c r="C4731" s="15"/>
      <c r="E4731" s="8"/>
      <c r="G4731" s="8"/>
      <c r="J4731" s="8"/>
    </row>
    <row r="4732">
      <c r="C4732" s="15"/>
      <c r="E4732" s="8"/>
      <c r="G4732" s="8"/>
      <c r="J4732" s="8"/>
    </row>
    <row r="4733">
      <c r="C4733" s="15"/>
      <c r="E4733" s="8"/>
      <c r="G4733" s="8"/>
      <c r="J4733" s="8"/>
    </row>
    <row r="4734">
      <c r="C4734" s="15"/>
      <c r="E4734" s="8"/>
      <c r="G4734" s="8"/>
      <c r="J4734" s="8"/>
    </row>
    <row r="4735">
      <c r="C4735" s="15"/>
      <c r="E4735" s="8"/>
      <c r="G4735" s="8"/>
      <c r="J4735" s="8"/>
    </row>
    <row r="4736">
      <c r="C4736" s="15"/>
      <c r="E4736" s="8"/>
      <c r="G4736" s="8"/>
      <c r="J4736" s="8"/>
    </row>
    <row r="4737">
      <c r="C4737" s="15"/>
      <c r="E4737" s="8"/>
      <c r="G4737" s="8"/>
      <c r="J4737" s="8"/>
    </row>
    <row r="4738">
      <c r="C4738" s="15"/>
      <c r="E4738" s="8"/>
      <c r="G4738" s="8"/>
      <c r="J4738" s="8"/>
    </row>
    <row r="4739">
      <c r="C4739" s="15"/>
      <c r="E4739" s="8"/>
      <c r="G4739" s="8"/>
      <c r="J4739" s="8"/>
    </row>
    <row r="4740">
      <c r="C4740" s="15"/>
      <c r="E4740" s="8"/>
      <c r="G4740" s="8"/>
      <c r="J4740" s="8"/>
    </row>
    <row r="4741">
      <c r="C4741" s="15"/>
      <c r="E4741" s="8"/>
      <c r="G4741" s="8"/>
      <c r="J4741" s="8"/>
    </row>
    <row r="4742">
      <c r="C4742" s="15"/>
      <c r="E4742" s="8"/>
      <c r="G4742" s="8"/>
      <c r="J4742" s="8"/>
    </row>
    <row r="4743">
      <c r="C4743" s="15"/>
      <c r="E4743" s="8"/>
      <c r="G4743" s="8"/>
      <c r="J4743" s="8"/>
    </row>
    <row r="4744">
      <c r="C4744" s="15"/>
      <c r="E4744" s="8"/>
      <c r="G4744" s="8"/>
      <c r="J4744" s="8"/>
    </row>
    <row r="4745">
      <c r="C4745" s="15"/>
      <c r="E4745" s="8"/>
      <c r="G4745" s="8"/>
      <c r="J4745" s="8"/>
    </row>
    <row r="4746">
      <c r="C4746" s="15"/>
      <c r="E4746" s="8"/>
      <c r="G4746" s="8"/>
      <c r="J4746" s="8"/>
    </row>
    <row r="4747">
      <c r="C4747" s="15"/>
      <c r="E4747" s="8"/>
      <c r="G4747" s="8"/>
      <c r="J4747" s="8"/>
    </row>
    <row r="4748">
      <c r="C4748" s="15"/>
      <c r="E4748" s="8"/>
      <c r="G4748" s="8"/>
      <c r="J4748" s="8"/>
    </row>
    <row r="4749">
      <c r="C4749" s="15"/>
      <c r="E4749" s="8"/>
      <c r="G4749" s="8"/>
      <c r="J4749" s="8"/>
    </row>
    <row r="4750">
      <c r="C4750" s="15"/>
      <c r="E4750" s="8"/>
      <c r="G4750" s="8"/>
      <c r="J4750" s="8"/>
    </row>
    <row r="4751">
      <c r="C4751" s="15"/>
      <c r="E4751" s="8"/>
      <c r="G4751" s="8"/>
      <c r="J4751" s="8"/>
    </row>
    <row r="4752">
      <c r="C4752" s="15"/>
      <c r="E4752" s="8"/>
      <c r="G4752" s="8"/>
      <c r="J4752" s="8"/>
    </row>
    <row r="4753">
      <c r="C4753" s="15"/>
      <c r="E4753" s="8"/>
      <c r="G4753" s="8"/>
      <c r="J4753" s="8"/>
    </row>
    <row r="4754">
      <c r="C4754" s="15"/>
      <c r="E4754" s="8"/>
      <c r="G4754" s="8"/>
      <c r="J4754" s="8"/>
    </row>
    <row r="4755">
      <c r="C4755" s="15"/>
      <c r="E4755" s="8"/>
      <c r="G4755" s="8"/>
      <c r="J4755" s="8"/>
    </row>
    <row r="4756">
      <c r="C4756" s="15"/>
      <c r="E4756" s="8"/>
      <c r="G4756" s="8"/>
      <c r="J4756" s="8"/>
    </row>
    <row r="4757">
      <c r="C4757" s="15"/>
      <c r="E4757" s="8"/>
      <c r="G4757" s="8"/>
      <c r="J4757" s="8"/>
    </row>
    <row r="4758">
      <c r="C4758" s="15"/>
      <c r="E4758" s="8"/>
      <c r="G4758" s="8"/>
      <c r="J4758" s="8"/>
    </row>
    <row r="4759">
      <c r="C4759" s="15"/>
      <c r="E4759" s="8"/>
      <c r="G4759" s="8"/>
      <c r="J4759" s="8"/>
    </row>
    <row r="4760">
      <c r="C4760" s="15"/>
      <c r="E4760" s="8"/>
      <c r="G4760" s="8"/>
      <c r="J4760" s="8"/>
    </row>
    <row r="4761">
      <c r="C4761" s="15"/>
      <c r="E4761" s="8"/>
      <c r="G4761" s="8"/>
      <c r="J4761" s="8"/>
    </row>
    <row r="4762">
      <c r="C4762" s="15"/>
      <c r="E4762" s="8"/>
      <c r="G4762" s="8"/>
      <c r="J4762" s="8"/>
    </row>
    <row r="4763">
      <c r="C4763" s="15"/>
      <c r="E4763" s="8"/>
      <c r="G4763" s="8"/>
      <c r="J4763" s="8"/>
    </row>
    <row r="4764">
      <c r="C4764" s="15"/>
      <c r="E4764" s="8"/>
      <c r="G4764" s="8"/>
      <c r="J4764" s="8"/>
    </row>
    <row r="4765">
      <c r="C4765" s="15"/>
      <c r="E4765" s="8"/>
      <c r="G4765" s="8"/>
      <c r="J4765" s="8"/>
    </row>
    <row r="4766">
      <c r="C4766" s="15"/>
      <c r="E4766" s="8"/>
      <c r="G4766" s="8"/>
      <c r="J4766" s="8"/>
    </row>
    <row r="4767">
      <c r="C4767" s="15"/>
      <c r="E4767" s="8"/>
      <c r="G4767" s="8"/>
      <c r="J4767" s="8"/>
    </row>
    <row r="4768">
      <c r="C4768" s="15"/>
      <c r="E4768" s="8"/>
      <c r="G4768" s="8"/>
      <c r="J4768" s="8"/>
    </row>
    <row r="4769">
      <c r="C4769" s="15"/>
      <c r="E4769" s="8"/>
      <c r="G4769" s="8"/>
      <c r="J4769" s="8"/>
    </row>
    <row r="4770">
      <c r="C4770" s="15"/>
      <c r="E4770" s="8"/>
      <c r="G4770" s="8"/>
      <c r="J4770" s="8"/>
    </row>
    <row r="4771">
      <c r="C4771" s="15"/>
      <c r="E4771" s="8"/>
      <c r="G4771" s="8"/>
      <c r="J4771" s="8"/>
    </row>
    <row r="4772">
      <c r="C4772" s="15"/>
      <c r="E4772" s="8"/>
      <c r="G4772" s="8"/>
      <c r="J4772" s="8"/>
    </row>
    <row r="4773">
      <c r="C4773" s="15"/>
      <c r="E4773" s="8"/>
      <c r="G4773" s="8"/>
      <c r="J4773" s="8"/>
    </row>
    <row r="4774">
      <c r="C4774" s="15"/>
      <c r="E4774" s="8"/>
      <c r="G4774" s="8"/>
      <c r="J4774" s="8"/>
    </row>
    <row r="4775">
      <c r="C4775" s="15"/>
      <c r="E4775" s="8"/>
      <c r="G4775" s="8"/>
      <c r="J4775" s="8"/>
    </row>
    <row r="4776">
      <c r="C4776" s="15"/>
      <c r="E4776" s="8"/>
      <c r="G4776" s="8"/>
      <c r="J4776" s="8"/>
    </row>
    <row r="4777">
      <c r="C4777" s="15"/>
      <c r="E4777" s="8"/>
      <c r="G4777" s="8"/>
      <c r="J4777" s="8"/>
    </row>
    <row r="4778">
      <c r="C4778" s="15"/>
      <c r="E4778" s="8"/>
      <c r="G4778" s="8"/>
      <c r="J4778" s="8"/>
    </row>
    <row r="4779">
      <c r="C4779" s="15"/>
      <c r="E4779" s="8"/>
      <c r="G4779" s="8"/>
      <c r="J4779" s="8"/>
    </row>
    <row r="4780">
      <c r="C4780" s="15"/>
      <c r="E4780" s="8"/>
      <c r="G4780" s="8"/>
      <c r="J4780" s="8"/>
    </row>
    <row r="4781">
      <c r="C4781" s="15"/>
      <c r="E4781" s="8"/>
      <c r="G4781" s="8"/>
      <c r="J4781" s="8"/>
    </row>
    <row r="4782">
      <c r="C4782" s="15"/>
      <c r="E4782" s="8"/>
      <c r="G4782" s="8"/>
      <c r="J4782" s="8"/>
    </row>
    <row r="4783">
      <c r="C4783" s="15"/>
      <c r="E4783" s="8"/>
      <c r="G4783" s="8"/>
      <c r="J4783" s="8"/>
    </row>
    <row r="4784">
      <c r="C4784" s="15"/>
      <c r="E4784" s="8"/>
      <c r="G4784" s="8"/>
      <c r="J4784" s="8"/>
    </row>
    <row r="4785">
      <c r="C4785" s="15"/>
      <c r="E4785" s="8"/>
      <c r="G4785" s="8"/>
      <c r="J4785" s="8"/>
    </row>
    <row r="4786">
      <c r="C4786" s="15"/>
      <c r="E4786" s="8"/>
      <c r="G4786" s="8"/>
      <c r="J4786" s="8"/>
    </row>
    <row r="4787">
      <c r="C4787" s="15"/>
      <c r="E4787" s="8"/>
      <c r="G4787" s="8"/>
      <c r="J4787" s="8"/>
    </row>
    <row r="4788">
      <c r="C4788" s="15"/>
      <c r="E4788" s="8"/>
      <c r="G4788" s="8"/>
      <c r="J4788" s="8"/>
    </row>
    <row r="4789">
      <c r="C4789" s="15"/>
      <c r="E4789" s="8"/>
      <c r="G4789" s="8"/>
      <c r="J4789" s="8"/>
    </row>
    <row r="4790">
      <c r="C4790" s="15"/>
      <c r="E4790" s="8"/>
      <c r="G4790" s="8"/>
      <c r="J4790" s="8"/>
    </row>
    <row r="4791">
      <c r="C4791" s="15"/>
      <c r="E4791" s="8"/>
      <c r="G4791" s="8"/>
      <c r="J4791" s="8"/>
    </row>
    <row r="4792">
      <c r="C4792" s="15"/>
      <c r="E4792" s="8"/>
      <c r="G4792" s="8"/>
      <c r="J4792" s="8"/>
    </row>
    <row r="4793">
      <c r="C4793" s="15"/>
      <c r="E4793" s="8"/>
      <c r="G4793" s="8"/>
      <c r="J4793" s="8"/>
    </row>
    <row r="4794">
      <c r="C4794" s="15"/>
      <c r="E4794" s="8"/>
      <c r="G4794" s="8"/>
      <c r="J4794" s="8"/>
    </row>
    <row r="4795">
      <c r="C4795" s="15"/>
      <c r="E4795" s="8"/>
      <c r="G4795" s="8"/>
      <c r="J4795" s="8"/>
    </row>
    <row r="4796">
      <c r="C4796" s="15"/>
      <c r="E4796" s="8"/>
      <c r="G4796" s="8"/>
      <c r="J4796" s="8"/>
    </row>
    <row r="4797">
      <c r="C4797" s="15"/>
      <c r="E4797" s="8"/>
      <c r="G4797" s="8"/>
      <c r="J4797" s="8"/>
    </row>
    <row r="4798">
      <c r="C4798" s="15"/>
      <c r="E4798" s="8"/>
      <c r="G4798" s="8"/>
      <c r="J4798" s="8"/>
    </row>
    <row r="4799">
      <c r="C4799" s="15"/>
      <c r="E4799" s="8"/>
      <c r="G4799" s="8"/>
      <c r="J4799" s="8"/>
    </row>
    <row r="4800">
      <c r="C4800" s="15"/>
      <c r="E4800" s="8"/>
      <c r="G4800" s="8"/>
      <c r="J4800" s="8"/>
    </row>
    <row r="4801">
      <c r="C4801" s="15"/>
      <c r="E4801" s="8"/>
      <c r="G4801" s="8"/>
      <c r="J4801" s="8"/>
    </row>
    <row r="4802">
      <c r="C4802" s="15"/>
      <c r="E4802" s="8"/>
      <c r="G4802" s="8"/>
      <c r="J4802" s="8"/>
    </row>
    <row r="4803">
      <c r="C4803" s="15"/>
      <c r="E4803" s="8"/>
      <c r="G4803" s="8"/>
      <c r="J4803" s="8"/>
    </row>
    <row r="4804">
      <c r="C4804" s="15"/>
      <c r="E4804" s="8"/>
      <c r="G4804" s="8"/>
      <c r="J4804" s="8"/>
    </row>
    <row r="4805">
      <c r="C4805" s="15"/>
      <c r="E4805" s="8"/>
      <c r="G4805" s="8"/>
      <c r="J4805" s="8"/>
    </row>
    <row r="4806">
      <c r="C4806" s="15"/>
      <c r="E4806" s="8"/>
      <c r="G4806" s="8"/>
      <c r="J4806" s="8"/>
    </row>
    <row r="4807">
      <c r="C4807" s="15"/>
      <c r="E4807" s="8"/>
      <c r="G4807" s="8"/>
      <c r="J4807" s="8"/>
    </row>
    <row r="4808">
      <c r="C4808" s="15"/>
      <c r="E4808" s="8"/>
      <c r="G4808" s="8"/>
      <c r="J4808" s="8"/>
    </row>
    <row r="4809">
      <c r="C4809" s="15"/>
      <c r="E4809" s="8"/>
      <c r="G4809" s="8"/>
      <c r="J4809" s="8"/>
    </row>
    <row r="4810">
      <c r="C4810" s="15"/>
      <c r="E4810" s="8"/>
      <c r="G4810" s="8"/>
      <c r="J4810" s="8"/>
    </row>
    <row r="4811">
      <c r="C4811" s="15"/>
      <c r="E4811" s="8"/>
      <c r="G4811" s="8"/>
      <c r="J4811" s="8"/>
    </row>
    <row r="4812">
      <c r="C4812" s="15"/>
      <c r="E4812" s="8"/>
      <c r="G4812" s="8"/>
      <c r="J4812" s="8"/>
    </row>
    <row r="4813">
      <c r="C4813" s="15"/>
      <c r="E4813" s="8"/>
      <c r="G4813" s="8"/>
      <c r="J4813" s="8"/>
    </row>
    <row r="4814">
      <c r="C4814" s="15"/>
      <c r="E4814" s="8"/>
      <c r="G4814" s="8"/>
      <c r="J4814" s="8"/>
    </row>
    <row r="4815">
      <c r="C4815" s="15"/>
      <c r="E4815" s="8"/>
      <c r="G4815" s="8"/>
      <c r="J4815" s="8"/>
    </row>
    <row r="4816">
      <c r="C4816" s="15"/>
      <c r="E4816" s="8"/>
      <c r="G4816" s="8"/>
      <c r="J4816" s="8"/>
    </row>
    <row r="4817">
      <c r="C4817" s="15"/>
      <c r="E4817" s="8"/>
      <c r="G4817" s="8"/>
      <c r="J4817" s="8"/>
    </row>
    <row r="4818">
      <c r="C4818" s="15"/>
      <c r="E4818" s="8"/>
      <c r="G4818" s="8"/>
      <c r="J4818" s="8"/>
    </row>
    <row r="4819">
      <c r="C4819" s="15"/>
      <c r="E4819" s="8"/>
      <c r="G4819" s="8"/>
      <c r="J4819" s="8"/>
    </row>
    <row r="4820">
      <c r="C4820" s="15"/>
      <c r="E4820" s="8"/>
      <c r="G4820" s="8"/>
      <c r="J4820" s="8"/>
    </row>
    <row r="4821">
      <c r="C4821" s="15"/>
      <c r="E4821" s="8"/>
      <c r="G4821" s="8"/>
      <c r="J4821" s="8"/>
    </row>
    <row r="4822">
      <c r="C4822" s="15"/>
      <c r="E4822" s="8"/>
      <c r="G4822" s="8"/>
      <c r="J4822" s="8"/>
    </row>
    <row r="4823">
      <c r="C4823" s="15"/>
      <c r="E4823" s="8"/>
      <c r="G4823" s="8"/>
      <c r="J4823" s="8"/>
    </row>
    <row r="4824">
      <c r="C4824" s="15"/>
      <c r="E4824" s="8"/>
      <c r="G4824" s="8"/>
      <c r="J4824" s="8"/>
    </row>
    <row r="4825">
      <c r="C4825" s="15"/>
      <c r="E4825" s="8"/>
      <c r="G4825" s="8"/>
      <c r="J4825" s="8"/>
    </row>
    <row r="4826">
      <c r="C4826" s="15"/>
      <c r="E4826" s="8"/>
      <c r="G4826" s="8"/>
      <c r="J4826" s="8"/>
    </row>
    <row r="4827">
      <c r="C4827" s="15"/>
      <c r="E4827" s="8"/>
      <c r="G4827" s="8"/>
      <c r="J4827" s="8"/>
    </row>
    <row r="4828">
      <c r="C4828" s="15"/>
      <c r="E4828" s="8"/>
      <c r="G4828" s="8"/>
      <c r="J4828" s="8"/>
    </row>
    <row r="4829">
      <c r="C4829" s="15"/>
      <c r="E4829" s="8"/>
      <c r="G4829" s="8"/>
      <c r="J4829" s="8"/>
    </row>
    <row r="4830">
      <c r="C4830" s="15"/>
      <c r="E4830" s="8"/>
      <c r="G4830" s="8"/>
      <c r="J4830" s="8"/>
    </row>
    <row r="4831">
      <c r="C4831" s="15"/>
      <c r="E4831" s="8"/>
      <c r="G4831" s="8"/>
      <c r="J4831" s="8"/>
    </row>
    <row r="4832">
      <c r="C4832" s="15"/>
      <c r="E4832" s="8"/>
      <c r="G4832" s="8"/>
      <c r="J4832" s="8"/>
    </row>
    <row r="4833">
      <c r="C4833" s="15"/>
      <c r="E4833" s="8"/>
      <c r="G4833" s="8"/>
      <c r="J4833" s="8"/>
    </row>
    <row r="4834">
      <c r="C4834" s="15"/>
      <c r="E4834" s="8"/>
      <c r="G4834" s="8"/>
      <c r="J4834" s="8"/>
    </row>
    <row r="4835">
      <c r="C4835" s="15"/>
      <c r="E4835" s="8"/>
      <c r="G4835" s="8"/>
      <c r="J4835" s="8"/>
    </row>
    <row r="4836">
      <c r="C4836" s="15"/>
      <c r="E4836" s="8"/>
      <c r="G4836" s="8"/>
      <c r="J4836" s="8"/>
    </row>
    <row r="4837">
      <c r="C4837" s="15"/>
      <c r="E4837" s="8"/>
      <c r="G4837" s="8"/>
      <c r="J4837" s="8"/>
    </row>
    <row r="4838">
      <c r="C4838" s="15"/>
      <c r="E4838" s="8"/>
      <c r="G4838" s="8"/>
      <c r="J4838" s="8"/>
    </row>
    <row r="4839">
      <c r="C4839" s="15"/>
      <c r="E4839" s="8"/>
      <c r="G4839" s="8"/>
      <c r="J4839" s="8"/>
    </row>
    <row r="4840">
      <c r="C4840" s="15"/>
      <c r="E4840" s="8"/>
      <c r="G4840" s="8"/>
      <c r="J4840" s="8"/>
    </row>
    <row r="4841">
      <c r="C4841" s="15"/>
      <c r="E4841" s="8"/>
      <c r="G4841" s="8"/>
      <c r="J4841" s="8"/>
    </row>
    <row r="4842">
      <c r="C4842" s="15"/>
      <c r="E4842" s="8"/>
      <c r="G4842" s="8"/>
      <c r="J4842" s="8"/>
    </row>
    <row r="4843">
      <c r="C4843" s="15"/>
      <c r="E4843" s="8"/>
      <c r="G4843" s="8"/>
      <c r="J4843" s="8"/>
    </row>
    <row r="4844">
      <c r="C4844" s="15"/>
      <c r="E4844" s="8"/>
      <c r="G4844" s="8"/>
      <c r="J4844" s="8"/>
    </row>
    <row r="4845">
      <c r="C4845" s="15"/>
      <c r="E4845" s="8"/>
      <c r="G4845" s="8"/>
      <c r="J4845" s="8"/>
    </row>
    <row r="4846">
      <c r="C4846" s="15"/>
      <c r="E4846" s="8"/>
      <c r="G4846" s="8"/>
      <c r="J4846" s="8"/>
    </row>
    <row r="4847">
      <c r="C4847" s="15"/>
      <c r="E4847" s="8"/>
      <c r="G4847" s="8"/>
      <c r="J4847" s="8"/>
    </row>
    <row r="4848">
      <c r="C4848" s="15"/>
      <c r="E4848" s="8"/>
      <c r="G4848" s="8"/>
      <c r="J4848" s="8"/>
    </row>
    <row r="4849">
      <c r="C4849" s="15"/>
      <c r="E4849" s="8"/>
      <c r="G4849" s="8"/>
      <c r="J4849" s="8"/>
    </row>
    <row r="4850">
      <c r="C4850" s="15"/>
      <c r="E4850" s="8"/>
      <c r="G4850" s="8"/>
      <c r="J4850" s="8"/>
    </row>
    <row r="4851">
      <c r="C4851" s="15"/>
      <c r="E4851" s="8"/>
      <c r="G4851" s="8"/>
      <c r="J4851" s="8"/>
    </row>
    <row r="4852">
      <c r="C4852" s="15"/>
      <c r="E4852" s="8"/>
      <c r="G4852" s="8"/>
      <c r="J4852" s="8"/>
    </row>
    <row r="4853">
      <c r="C4853" s="15"/>
      <c r="E4853" s="8"/>
      <c r="G4853" s="8"/>
      <c r="J4853" s="8"/>
    </row>
    <row r="4854">
      <c r="C4854" s="15"/>
      <c r="E4854" s="8"/>
      <c r="G4854" s="8"/>
      <c r="J4854" s="8"/>
    </row>
    <row r="4855">
      <c r="C4855" s="15"/>
      <c r="E4855" s="8"/>
      <c r="G4855" s="8"/>
      <c r="J4855" s="8"/>
    </row>
    <row r="4856">
      <c r="C4856" s="15"/>
      <c r="E4856" s="8"/>
      <c r="G4856" s="8"/>
      <c r="J4856" s="8"/>
    </row>
    <row r="4857">
      <c r="C4857" s="15"/>
      <c r="E4857" s="8"/>
      <c r="G4857" s="8"/>
      <c r="J4857" s="8"/>
    </row>
    <row r="4858">
      <c r="C4858" s="15"/>
      <c r="E4858" s="8"/>
      <c r="G4858" s="8"/>
      <c r="J4858" s="8"/>
    </row>
    <row r="4859">
      <c r="C4859" s="15"/>
      <c r="E4859" s="8"/>
      <c r="G4859" s="8"/>
      <c r="J4859" s="8"/>
    </row>
    <row r="4860">
      <c r="C4860" s="15"/>
      <c r="E4860" s="8"/>
      <c r="G4860" s="8"/>
      <c r="J4860" s="8"/>
    </row>
    <row r="4861">
      <c r="C4861" s="15"/>
      <c r="E4861" s="8"/>
      <c r="G4861" s="8"/>
      <c r="J4861" s="8"/>
    </row>
    <row r="4862">
      <c r="C4862" s="15"/>
      <c r="E4862" s="8"/>
      <c r="G4862" s="8"/>
      <c r="J4862" s="8"/>
    </row>
    <row r="4863">
      <c r="C4863" s="15"/>
      <c r="E4863" s="8"/>
      <c r="G4863" s="8"/>
      <c r="J4863" s="8"/>
    </row>
    <row r="4864">
      <c r="C4864" s="15"/>
      <c r="E4864" s="8"/>
      <c r="G4864" s="8"/>
      <c r="J4864" s="8"/>
    </row>
    <row r="4865">
      <c r="C4865" s="15"/>
      <c r="E4865" s="8"/>
      <c r="G4865" s="8"/>
      <c r="J4865" s="8"/>
    </row>
    <row r="4866">
      <c r="C4866" s="15"/>
      <c r="E4866" s="8"/>
      <c r="G4866" s="8"/>
      <c r="J4866" s="8"/>
    </row>
    <row r="4867">
      <c r="C4867" s="15"/>
      <c r="E4867" s="8"/>
      <c r="G4867" s="8"/>
      <c r="J4867" s="8"/>
    </row>
    <row r="4868">
      <c r="C4868" s="15"/>
      <c r="E4868" s="8"/>
      <c r="G4868" s="8"/>
      <c r="J4868" s="8"/>
    </row>
    <row r="4869">
      <c r="C4869" s="15"/>
      <c r="E4869" s="8"/>
      <c r="G4869" s="8"/>
      <c r="J4869" s="8"/>
    </row>
    <row r="4870">
      <c r="C4870" s="15"/>
      <c r="E4870" s="8"/>
      <c r="G4870" s="8"/>
      <c r="J4870" s="8"/>
    </row>
    <row r="4871">
      <c r="C4871" s="15"/>
      <c r="E4871" s="8"/>
      <c r="G4871" s="8"/>
      <c r="J4871" s="8"/>
    </row>
    <row r="4872">
      <c r="C4872" s="15"/>
      <c r="E4872" s="8"/>
      <c r="G4872" s="8"/>
      <c r="J4872" s="8"/>
    </row>
    <row r="4873">
      <c r="C4873" s="15"/>
      <c r="E4873" s="8"/>
      <c r="G4873" s="8"/>
      <c r="J4873" s="8"/>
    </row>
    <row r="4874">
      <c r="C4874" s="15"/>
      <c r="E4874" s="8"/>
      <c r="G4874" s="8"/>
      <c r="J4874" s="8"/>
    </row>
    <row r="4875">
      <c r="C4875" s="15"/>
      <c r="E4875" s="8"/>
      <c r="G4875" s="8"/>
      <c r="J4875" s="8"/>
    </row>
    <row r="4876">
      <c r="C4876" s="15"/>
      <c r="E4876" s="8"/>
      <c r="G4876" s="8"/>
      <c r="J4876" s="8"/>
    </row>
    <row r="4877">
      <c r="C4877" s="15"/>
      <c r="E4877" s="8"/>
      <c r="G4877" s="8"/>
      <c r="J4877" s="8"/>
    </row>
    <row r="4878">
      <c r="C4878" s="15"/>
      <c r="E4878" s="8"/>
      <c r="G4878" s="8"/>
      <c r="J4878" s="8"/>
    </row>
    <row r="4879">
      <c r="C4879" s="15"/>
      <c r="E4879" s="8"/>
      <c r="G4879" s="8"/>
      <c r="J4879" s="8"/>
    </row>
    <row r="4880">
      <c r="C4880" s="15"/>
      <c r="E4880" s="8"/>
      <c r="G4880" s="8"/>
      <c r="J4880" s="8"/>
    </row>
    <row r="4881">
      <c r="C4881" s="15"/>
      <c r="E4881" s="8"/>
      <c r="G4881" s="8"/>
      <c r="J4881" s="8"/>
    </row>
    <row r="4882">
      <c r="C4882" s="15"/>
      <c r="E4882" s="8"/>
      <c r="G4882" s="8"/>
      <c r="J4882" s="8"/>
    </row>
    <row r="4883">
      <c r="C4883" s="15"/>
      <c r="E4883" s="8"/>
      <c r="G4883" s="8"/>
      <c r="J4883" s="8"/>
    </row>
    <row r="4884">
      <c r="C4884" s="15"/>
      <c r="E4884" s="8"/>
      <c r="G4884" s="8"/>
      <c r="J4884" s="8"/>
    </row>
    <row r="4885">
      <c r="C4885" s="15"/>
      <c r="E4885" s="8"/>
      <c r="G4885" s="8"/>
      <c r="J4885" s="8"/>
    </row>
    <row r="4886">
      <c r="C4886" s="15"/>
      <c r="E4886" s="8"/>
      <c r="G4886" s="8"/>
      <c r="J4886" s="8"/>
    </row>
    <row r="4887">
      <c r="C4887" s="15"/>
      <c r="E4887" s="8"/>
      <c r="G4887" s="8"/>
      <c r="J4887" s="8"/>
    </row>
    <row r="4888">
      <c r="C4888" s="15"/>
      <c r="E4888" s="8"/>
      <c r="G4888" s="8"/>
      <c r="J4888" s="8"/>
    </row>
    <row r="4889">
      <c r="C4889" s="15"/>
      <c r="E4889" s="8"/>
      <c r="G4889" s="8"/>
      <c r="J4889" s="8"/>
    </row>
    <row r="4890">
      <c r="C4890" s="15"/>
      <c r="E4890" s="8"/>
      <c r="G4890" s="8"/>
      <c r="J4890" s="8"/>
    </row>
    <row r="4891">
      <c r="C4891" s="15"/>
      <c r="E4891" s="8"/>
      <c r="G4891" s="8"/>
      <c r="J4891" s="8"/>
    </row>
    <row r="4892">
      <c r="C4892" s="15"/>
      <c r="E4892" s="8"/>
      <c r="G4892" s="8"/>
      <c r="J4892" s="8"/>
    </row>
    <row r="4893">
      <c r="C4893" s="15"/>
      <c r="E4893" s="8"/>
      <c r="G4893" s="8"/>
      <c r="J4893" s="8"/>
    </row>
    <row r="4894">
      <c r="C4894" s="15"/>
      <c r="E4894" s="8"/>
      <c r="G4894" s="8"/>
      <c r="J4894" s="8"/>
    </row>
    <row r="4895">
      <c r="C4895" s="15"/>
      <c r="E4895" s="8"/>
      <c r="G4895" s="8"/>
      <c r="J4895" s="8"/>
    </row>
    <row r="4896">
      <c r="C4896" s="15"/>
      <c r="E4896" s="8"/>
      <c r="G4896" s="8"/>
      <c r="J4896" s="8"/>
    </row>
    <row r="4897">
      <c r="C4897" s="15"/>
      <c r="E4897" s="8"/>
      <c r="G4897" s="8"/>
      <c r="J4897" s="8"/>
    </row>
    <row r="4898">
      <c r="C4898" s="15"/>
      <c r="E4898" s="8"/>
      <c r="G4898" s="8"/>
      <c r="J4898" s="8"/>
    </row>
    <row r="4899">
      <c r="C4899" s="15"/>
      <c r="E4899" s="8"/>
      <c r="G4899" s="8"/>
      <c r="J4899" s="8"/>
    </row>
    <row r="4900">
      <c r="C4900" s="15"/>
      <c r="E4900" s="8"/>
      <c r="G4900" s="8"/>
      <c r="J4900" s="8"/>
    </row>
    <row r="4901">
      <c r="C4901" s="15"/>
      <c r="E4901" s="8"/>
      <c r="G4901" s="8"/>
      <c r="J4901" s="8"/>
    </row>
    <row r="4902">
      <c r="C4902" s="15"/>
      <c r="E4902" s="8"/>
      <c r="G4902" s="8"/>
      <c r="J4902" s="8"/>
    </row>
    <row r="4903">
      <c r="C4903" s="15"/>
      <c r="E4903" s="8"/>
      <c r="G4903" s="8"/>
      <c r="J4903" s="8"/>
    </row>
    <row r="4904">
      <c r="C4904" s="15"/>
      <c r="E4904" s="8"/>
      <c r="G4904" s="8"/>
      <c r="J4904" s="8"/>
    </row>
    <row r="4905">
      <c r="C4905" s="15"/>
      <c r="E4905" s="8"/>
      <c r="G4905" s="8"/>
      <c r="J4905" s="8"/>
    </row>
    <row r="4906">
      <c r="C4906" s="15"/>
      <c r="E4906" s="8"/>
      <c r="G4906" s="8"/>
      <c r="J4906" s="8"/>
    </row>
    <row r="4907">
      <c r="C4907" s="15"/>
      <c r="E4907" s="8"/>
      <c r="G4907" s="8"/>
      <c r="J4907" s="8"/>
    </row>
    <row r="4908">
      <c r="C4908" s="15"/>
      <c r="E4908" s="8"/>
      <c r="G4908" s="8"/>
      <c r="J4908" s="8"/>
    </row>
    <row r="4909">
      <c r="C4909" s="15"/>
      <c r="E4909" s="8"/>
      <c r="G4909" s="8"/>
      <c r="J4909" s="8"/>
    </row>
    <row r="4910">
      <c r="C4910" s="15"/>
      <c r="E4910" s="8"/>
      <c r="G4910" s="8"/>
      <c r="J4910" s="8"/>
    </row>
    <row r="4911">
      <c r="C4911" s="15"/>
      <c r="E4911" s="8"/>
      <c r="G4911" s="8"/>
      <c r="J4911" s="8"/>
    </row>
    <row r="4912">
      <c r="C4912" s="15"/>
      <c r="E4912" s="8"/>
      <c r="G4912" s="8"/>
      <c r="J4912" s="8"/>
    </row>
    <row r="4913">
      <c r="C4913" s="15"/>
      <c r="E4913" s="8"/>
      <c r="G4913" s="8"/>
      <c r="J4913" s="8"/>
    </row>
    <row r="4914">
      <c r="C4914" s="15"/>
      <c r="E4914" s="8"/>
      <c r="G4914" s="8"/>
      <c r="J4914" s="8"/>
    </row>
    <row r="4915">
      <c r="C4915" s="15"/>
      <c r="E4915" s="8"/>
      <c r="G4915" s="8"/>
      <c r="J4915" s="8"/>
    </row>
    <row r="4916">
      <c r="C4916" s="15"/>
      <c r="E4916" s="8"/>
      <c r="G4916" s="8"/>
      <c r="J4916" s="8"/>
    </row>
    <row r="4917">
      <c r="C4917" s="15"/>
      <c r="E4917" s="8"/>
      <c r="G4917" s="8"/>
      <c r="J4917" s="8"/>
    </row>
    <row r="4918">
      <c r="C4918" s="15"/>
      <c r="E4918" s="8"/>
      <c r="G4918" s="8"/>
      <c r="J4918" s="8"/>
    </row>
    <row r="4919">
      <c r="C4919" s="15"/>
      <c r="E4919" s="8"/>
      <c r="G4919" s="8"/>
      <c r="J4919" s="8"/>
    </row>
    <row r="4920">
      <c r="C4920" s="15"/>
      <c r="E4920" s="8"/>
      <c r="G4920" s="8"/>
      <c r="J4920" s="8"/>
    </row>
    <row r="4921">
      <c r="C4921" s="15"/>
      <c r="E4921" s="8"/>
      <c r="G4921" s="8"/>
      <c r="J4921" s="8"/>
    </row>
    <row r="4922">
      <c r="C4922" s="15"/>
      <c r="E4922" s="8"/>
      <c r="G4922" s="8"/>
      <c r="J4922" s="8"/>
    </row>
    <row r="4923">
      <c r="C4923" s="15"/>
      <c r="E4923" s="8"/>
      <c r="G4923" s="8"/>
      <c r="J4923" s="8"/>
    </row>
    <row r="4924">
      <c r="C4924" s="15"/>
      <c r="E4924" s="8"/>
      <c r="G4924" s="8"/>
      <c r="J4924" s="8"/>
    </row>
    <row r="4925">
      <c r="C4925" s="15"/>
      <c r="E4925" s="8"/>
      <c r="G4925" s="8"/>
      <c r="J4925" s="8"/>
    </row>
    <row r="4926">
      <c r="C4926" s="15"/>
      <c r="E4926" s="8"/>
      <c r="G4926" s="8"/>
      <c r="J4926" s="8"/>
    </row>
    <row r="4927">
      <c r="C4927" s="15"/>
      <c r="E4927" s="8"/>
      <c r="G4927" s="8"/>
      <c r="J4927" s="8"/>
    </row>
    <row r="4928">
      <c r="C4928" s="15"/>
      <c r="E4928" s="8"/>
      <c r="G4928" s="8"/>
      <c r="J4928" s="8"/>
    </row>
    <row r="4929">
      <c r="C4929" s="15"/>
      <c r="E4929" s="8"/>
      <c r="G4929" s="8"/>
      <c r="J4929" s="8"/>
    </row>
    <row r="4930">
      <c r="C4930" s="15"/>
      <c r="E4930" s="8"/>
      <c r="G4930" s="8"/>
      <c r="J4930" s="8"/>
    </row>
    <row r="4931">
      <c r="C4931" s="15"/>
      <c r="E4931" s="8"/>
      <c r="G4931" s="8"/>
      <c r="J4931" s="8"/>
    </row>
    <row r="4932">
      <c r="C4932" s="15"/>
      <c r="E4932" s="8"/>
      <c r="G4932" s="8"/>
      <c r="J4932" s="8"/>
    </row>
    <row r="4933">
      <c r="C4933" s="15"/>
      <c r="E4933" s="8"/>
      <c r="G4933" s="8"/>
      <c r="J4933" s="8"/>
    </row>
    <row r="4934">
      <c r="C4934" s="15"/>
      <c r="E4934" s="8"/>
      <c r="G4934" s="8"/>
      <c r="J4934" s="8"/>
    </row>
    <row r="4935">
      <c r="C4935" s="15"/>
      <c r="E4935" s="8"/>
      <c r="G4935" s="8"/>
      <c r="J4935" s="8"/>
    </row>
    <row r="4936">
      <c r="C4936" s="15"/>
      <c r="E4936" s="8"/>
      <c r="G4936" s="8"/>
      <c r="J4936" s="8"/>
    </row>
    <row r="4937">
      <c r="C4937" s="15"/>
      <c r="E4937" s="8"/>
      <c r="G4937" s="8"/>
      <c r="J4937" s="8"/>
    </row>
    <row r="4938">
      <c r="C4938" s="15"/>
      <c r="E4938" s="8"/>
      <c r="G4938" s="8"/>
      <c r="J4938" s="8"/>
    </row>
    <row r="4939">
      <c r="C4939" s="15"/>
      <c r="E4939" s="8"/>
      <c r="G4939" s="8"/>
      <c r="J4939" s="8"/>
    </row>
    <row r="4940">
      <c r="C4940" s="15"/>
      <c r="E4940" s="8"/>
      <c r="G4940" s="8"/>
      <c r="J4940" s="8"/>
    </row>
    <row r="4941">
      <c r="C4941" s="15"/>
      <c r="E4941" s="8"/>
      <c r="G4941" s="8"/>
      <c r="J4941" s="8"/>
    </row>
    <row r="4942">
      <c r="C4942" s="15"/>
      <c r="E4942" s="8"/>
      <c r="G4942" s="8"/>
      <c r="J4942" s="8"/>
    </row>
    <row r="4943">
      <c r="C4943" s="15"/>
      <c r="E4943" s="8"/>
      <c r="G4943" s="8"/>
      <c r="J4943" s="8"/>
    </row>
    <row r="4944">
      <c r="C4944" s="15"/>
      <c r="E4944" s="8"/>
      <c r="G4944" s="8"/>
      <c r="J4944" s="8"/>
    </row>
    <row r="4945">
      <c r="C4945" s="15"/>
      <c r="E4945" s="8"/>
      <c r="G4945" s="8"/>
      <c r="J4945" s="8"/>
    </row>
    <row r="4946">
      <c r="C4946" s="15"/>
      <c r="E4946" s="8"/>
      <c r="G4946" s="8"/>
      <c r="J4946" s="8"/>
    </row>
    <row r="4947">
      <c r="C4947" s="15"/>
      <c r="E4947" s="8"/>
      <c r="G4947" s="8"/>
      <c r="J4947" s="8"/>
    </row>
    <row r="4948">
      <c r="C4948" s="15"/>
      <c r="E4948" s="8"/>
      <c r="G4948" s="8"/>
      <c r="J4948" s="8"/>
    </row>
    <row r="4949">
      <c r="C4949" s="15"/>
      <c r="E4949" s="8"/>
      <c r="G4949" s="8"/>
      <c r="J4949" s="8"/>
    </row>
    <row r="4950">
      <c r="C4950" s="15"/>
      <c r="E4950" s="8"/>
      <c r="G4950" s="8"/>
      <c r="J4950" s="8"/>
    </row>
    <row r="4951">
      <c r="C4951" s="15"/>
      <c r="E4951" s="8"/>
      <c r="G4951" s="8"/>
      <c r="J4951" s="8"/>
    </row>
    <row r="4952">
      <c r="C4952" s="15"/>
      <c r="E4952" s="8"/>
      <c r="G4952" s="8"/>
      <c r="J4952" s="8"/>
    </row>
    <row r="4953">
      <c r="C4953" s="15"/>
      <c r="E4953" s="8"/>
      <c r="G4953" s="8"/>
      <c r="J4953" s="8"/>
    </row>
    <row r="4954">
      <c r="C4954" s="15"/>
      <c r="E4954" s="8"/>
      <c r="G4954" s="8"/>
      <c r="J4954" s="8"/>
    </row>
    <row r="4955">
      <c r="C4955" s="15"/>
      <c r="E4955" s="8"/>
      <c r="G4955" s="8"/>
      <c r="J4955" s="8"/>
    </row>
    <row r="4956">
      <c r="C4956" s="15"/>
      <c r="E4956" s="8"/>
      <c r="G4956" s="8"/>
      <c r="J4956" s="8"/>
    </row>
    <row r="4957">
      <c r="C4957" s="15"/>
      <c r="E4957" s="8"/>
      <c r="G4957" s="8"/>
      <c r="J4957" s="8"/>
    </row>
    <row r="4958">
      <c r="C4958" s="15"/>
      <c r="E4958" s="8"/>
      <c r="G4958" s="8"/>
      <c r="J4958" s="8"/>
    </row>
    <row r="4959">
      <c r="C4959" s="15"/>
      <c r="E4959" s="8"/>
      <c r="G4959" s="8"/>
      <c r="J4959" s="8"/>
    </row>
    <row r="4960">
      <c r="C4960" s="15"/>
      <c r="E4960" s="8"/>
      <c r="G4960" s="8"/>
      <c r="J4960" s="8"/>
    </row>
    <row r="4961">
      <c r="C4961" s="15"/>
      <c r="E4961" s="8"/>
      <c r="G4961" s="8"/>
      <c r="J4961" s="8"/>
    </row>
    <row r="4962">
      <c r="C4962" s="15"/>
      <c r="E4962" s="8"/>
      <c r="G4962" s="8"/>
      <c r="J4962" s="8"/>
    </row>
    <row r="4963">
      <c r="C4963" s="15"/>
      <c r="E4963" s="8"/>
      <c r="G4963" s="8"/>
      <c r="J4963" s="8"/>
    </row>
    <row r="4964">
      <c r="C4964" s="15"/>
      <c r="E4964" s="8"/>
      <c r="G4964" s="8"/>
      <c r="J4964" s="8"/>
    </row>
    <row r="4965">
      <c r="C4965" s="15"/>
      <c r="E4965" s="8"/>
      <c r="G4965" s="8"/>
      <c r="J4965" s="8"/>
    </row>
    <row r="4966">
      <c r="C4966" s="15"/>
      <c r="E4966" s="8"/>
      <c r="G4966" s="8"/>
      <c r="J4966" s="8"/>
    </row>
    <row r="4967">
      <c r="C4967" s="15"/>
      <c r="E4967" s="8"/>
      <c r="G4967" s="8"/>
      <c r="J4967" s="8"/>
    </row>
    <row r="4968">
      <c r="C4968" s="15"/>
      <c r="E4968" s="8"/>
      <c r="G4968" s="8"/>
      <c r="J4968" s="8"/>
    </row>
    <row r="4969">
      <c r="C4969" s="15"/>
      <c r="E4969" s="8"/>
      <c r="G4969" s="8"/>
      <c r="J4969" s="8"/>
    </row>
    <row r="4970">
      <c r="C4970" s="15"/>
      <c r="E4970" s="8"/>
      <c r="G4970" s="8"/>
      <c r="J4970" s="8"/>
    </row>
    <row r="4971">
      <c r="C4971" s="15"/>
      <c r="E4971" s="8"/>
      <c r="G4971" s="8"/>
      <c r="J4971" s="8"/>
    </row>
    <row r="4972">
      <c r="C4972" s="15"/>
      <c r="E4972" s="8"/>
      <c r="G4972" s="8"/>
      <c r="J4972" s="8"/>
    </row>
    <row r="4973">
      <c r="C4973" s="15"/>
      <c r="E4973" s="8"/>
      <c r="G4973" s="8"/>
      <c r="J4973" s="8"/>
    </row>
    <row r="4974">
      <c r="C4974" s="15"/>
      <c r="E4974" s="8"/>
      <c r="G4974" s="8"/>
      <c r="J4974" s="8"/>
    </row>
    <row r="4975">
      <c r="C4975" s="15"/>
      <c r="E4975" s="8"/>
      <c r="G4975" s="8"/>
      <c r="J4975" s="8"/>
    </row>
    <row r="4976">
      <c r="C4976" s="15"/>
      <c r="E4976" s="8"/>
      <c r="G4976" s="8"/>
      <c r="J4976" s="8"/>
    </row>
    <row r="4977">
      <c r="C4977" s="15"/>
      <c r="E4977" s="8"/>
      <c r="G4977" s="8"/>
      <c r="J4977" s="8"/>
    </row>
    <row r="4978">
      <c r="C4978" s="15"/>
      <c r="E4978" s="8"/>
      <c r="G4978" s="8"/>
      <c r="J4978" s="8"/>
    </row>
    <row r="4979">
      <c r="C4979" s="15"/>
      <c r="E4979" s="8"/>
      <c r="G4979" s="8"/>
      <c r="J4979" s="8"/>
    </row>
    <row r="4980">
      <c r="C4980" s="15"/>
      <c r="E4980" s="8"/>
      <c r="G4980" s="8"/>
      <c r="J4980" s="8"/>
    </row>
    <row r="4981">
      <c r="C4981" s="15"/>
      <c r="E4981" s="8"/>
      <c r="G4981" s="8"/>
      <c r="J4981" s="8"/>
    </row>
    <row r="4982">
      <c r="C4982" s="15"/>
      <c r="E4982" s="8"/>
      <c r="G4982" s="8"/>
      <c r="J4982" s="8"/>
    </row>
    <row r="4983">
      <c r="C4983" s="15"/>
      <c r="E4983" s="8"/>
      <c r="G4983" s="8"/>
      <c r="J4983" s="8"/>
    </row>
    <row r="4984">
      <c r="C4984" s="15"/>
      <c r="E4984" s="8"/>
      <c r="G4984" s="8"/>
      <c r="J4984" s="8"/>
    </row>
    <row r="4985">
      <c r="C4985" s="15"/>
      <c r="E4985" s="8"/>
      <c r="G4985" s="8"/>
      <c r="J4985" s="8"/>
    </row>
    <row r="4986">
      <c r="C4986" s="15"/>
      <c r="E4986" s="8"/>
      <c r="G4986" s="8"/>
      <c r="J4986" s="8"/>
    </row>
    <row r="4987">
      <c r="C4987" s="15"/>
      <c r="E4987" s="8"/>
      <c r="G4987" s="8"/>
      <c r="J4987" s="8"/>
    </row>
    <row r="4988">
      <c r="C4988" s="15"/>
      <c r="E4988" s="8"/>
      <c r="G4988" s="8"/>
      <c r="J4988" s="8"/>
    </row>
    <row r="4989">
      <c r="C4989" s="15"/>
      <c r="E4989" s="8"/>
      <c r="G4989" s="8"/>
      <c r="J4989" s="8"/>
    </row>
    <row r="4990">
      <c r="C4990" s="15"/>
      <c r="E4990" s="8"/>
      <c r="G4990" s="8"/>
      <c r="J4990" s="8"/>
    </row>
    <row r="4991">
      <c r="C4991" s="15"/>
      <c r="E4991" s="8"/>
      <c r="G4991" s="8"/>
      <c r="J4991" s="8"/>
    </row>
    <row r="4992">
      <c r="C4992" s="15"/>
      <c r="E4992" s="8"/>
      <c r="G4992" s="8"/>
      <c r="J4992" s="8"/>
    </row>
    <row r="4993">
      <c r="C4993" s="15"/>
      <c r="E4993" s="8"/>
      <c r="G4993" s="8"/>
      <c r="J4993" s="8"/>
    </row>
    <row r="4994">
      <c r="C4994" s="15"/>
      <c r="E4994" s="8"/>
      <c r="G4994" s="8"/>
      <c r="J4994" s="8"/>
    </row>
    <row r="4995">
      <c r="C4995" s="15"/>
      <c r="E4995" s="8"/>
      <c r="G4995" s="8"/>
      <c r="J4995" s="8"/>
    </row>
    <row r="4996">
      <c r="C4996" s="15"/>
      <c r="E4996" s="8"/>
      <c r="G4996" s="8"/>
      <c r="J4996" s="8"/>
    </row>
    <row r="4997">
      <c r="C4997" s="15"/>
      <c r="E4997" s="8"/>
      <c r="G4997" s="8"/>
      <c r="J4997" s="8"/>
    </row>
    <row r="4998">
      <c r="C4998" s="15"/>
      <c r="E4998" s="8"/>
      <c r="G4998" s="8"/>
      <c r="J4998" s="8"/>
    </row>
    <row r="4999">
      <c r="C4999" s="15"/>
      <c r="E4999" s="8"/>
      <c r="G4999" s="8"/>
      <c r="J4999" s="8"/>
    </row>
    <row r="5000">
      <c r="C5000" s="15"/>
      <c r="E5000" s="8"/>
      <c r="G5000" s="8"/>
      <c r="J5000" s="8"/>
    </row>
    <row r="5001">
      <c r="C5001" s="15"/>
      <c r="E5001" s="8"/>
      <c r="G5001" s="8"/>
      <c r="J5001" s="8"/>
    </row>
    <row r="5002">
      <c r="C5002" s="15"/>
      <c r="E5002" s="8"/>
      <c r="G5002" s="8"/>
      <c r="J5002" s="8"/>
    </row>
    <row r="5003">
      <c r="C5003" s="15"/>
      <c r="E5003" s="8"/>
      <c r="G5003" s="8"/>
      <c r="J5003" s="8"/>
    </row>
    <row r="5004">
      <c r="C5004" s="15"/>
      <c r="E5004" s="8"/>
      <c r="G5004" s="8"/>
      <c r="J5004" s="8"/>
    </row>
    <row r="5005">
      <c r="C5005" s="15"/>
      <c r="E5005" s="8"/>
      <c r="G5005" s="8"/>
      <c r="J5005" s="8"/>
    </row>
    <row r="5006">
      <c r="C5006" s="15"/>
      <c r="E5006" s="8"/>
      <c r="G5006" s="8"/>
      <c r="J5006" s="8"/>
    </row>
    <row r="5007">
      <c r="C5007" s="15"/>
      <c r="E5007" s="8"/>
      <c r="G5007" s="8"/>
      <c r="J5007" s="8"/>
    </row>
    <row r="5008">
      <c r="C5008" s="15"/>
      <c r="E5008" s="8"/>
      <c r="G5008" s="8"/>
      <c r="J5008" s="8"/>
    </row>
    <row r="5009">
      <c r="C5009" s="15"/>
      <c r="E5009" s="8"/>
      <c r="G5009" s="8"/>
      <c r="J5009" s="8"/>
    </row>
    <row r="5010">
      <c r="C5010" s="15"/>
      <c r="E5010" s="8"/>
      <c r="G5010" s="8"/>
      <c r="J5010" s="8"/>
    </row>
    <row r="5011">
      <c r="C5011" s="15"/>
      <c r="E5011" s="8"/>
      <c r="G5011" s="8"/>
      <c r="J5011" s="8"/>
    </row>
    <row r="5012">
      <c r="C5012" s="15"/>
      <c r="E5012" s="8"/>
      <c r="G5012" s="8"/>
      <c r="J5012" s="8"/>
    </row>
    <row r="5013">
      <c r="C5013" s="15"/>
      <c r="E5013" s="8"/>
      <c r="G5013" s="8"/>
      <c r="J5013" s="8"/>
    </row>
    <row r="5014">
      <c r="C5014" s="15"/>
      <c r="E5014" s="8"/>
      <c r="G5014" s="8"/>
      <c r="J5014" s="8"/>
    </row>
    <row r="5015">
      <c r="C5015" s="15"/>
      <c r="E5015" s="8"/>
      <c r="G5015" s="8"/>
      <c r="J5015" s="8"/>
    </row>
    <row r="5016">
      <c r="C5016" s="15"/>
      <c r="E5016" s="8"/>
      <c r="G5016" s="8"/>
      <c r="J5016" s="8"/>
    </row>
    <row r="5017">
      <c r="C5017" s="15"/>
      <c r="E5017" s="8"/>
      <c r="G5017" s="8"/>
      <c r="J5017" s="8"/>
    </row>
    <row r="5018">
      <c r="C5018" s="15"/>
      <c r="E5018" s="8"/>
      <c r="G5018" s="8"/>
      <c r="J5018" s="8"/>
    </row>
    <row r="5019">
      <c r="C5019" s="15"/>
      <c r="E5019" s="8"/>
      <c r="G5019" s="8"/>
      <c r="J5019" s="8"/>
    </row>
    <row r="5020">
      <c r="C5020" s="15"/>
      <c r="E5020" s="8"/>
      <c r="G5020" s="8"/>
      <c r="J5020" s="8"/>
    </row>
    <row r="5021">
      <c r="C5021" s="15"/>
      <c r="E5021" s="8"/>
      <c r="G5021" s="8"/>
      <c r="J5021" s="8"/>
    </row>
    <row r="5022">
      <c r="C5022" s="15"/>
      <c r="E5022" s="8"/>
      <c r="G5022" s="8"/>
      <c r="J5022" s="8"/>
    </row>
    <row r="5023">
      <c r="C5023" s="15"/>
      <c r="E5023" s="8"/>
      <c r="G5023" s="8"/>
      <c r="J5023" s="8"/>
    </row>
    <row r="5024">
      <c r="C5024" s="15"/>
      <c r="E5024" s="8"/>
      <c r="G5024" s="8"/>
      <c r="J5024" s="8"/>
    </row>
    <row r="5025">
      <c r="C5025" s="15"/>
      <c r="E5025" s="8"/>
      <c r="G5025" s="8"/>
      <c r="J5025" s="8"/>
    </row>
    <row r="5026">
      <c r="C5026" s="15"/>
      <c r="E5026" s="8"/>
      <c r="G5026" s="8"/>
      <c r="J5026" s="8"/>
    </row>
    <row r="5027">
      <c r="C5027" s="15"/>
      <c r="E5027" s="8"/>
      <c r="G5027" s="8"/>
      <c r="J5027" s="8"/>
    </row>
    <row r="5028">
      <c r="C5028" s="15"/>
      <c r="E5028" s="8"/>
      <c r="G5028" s="8"/>
      <c r="J5028" s="8"/>
    </row>
    <row r="5029">
      <c r="C5029" s="15"/>
      <c r="E5029" s="8"/>
      <c r="G5029" s="8"/>
      <c r="J5029" s="8"/>
    </row>
    <row r="5030">
      <c r="C5030" s="15"/>
      <c r="E5030" s="8"/>
      <c r="G5030" s="8"/>
      <c r="J5030" s="8"/>
    </row>
    <row r="5031">
      <c r="C5031" s="15"/>
      <c r="E5031" s="8"/>
      <c r="G5031" s="8"/>
      <c r="J5031" s="8"/>
    </row>
    <row r="5032">
      <c r="C5032" s="15"/>
      <c r="E5032" s="8"/>
      <c r="G5032" s="8"/>
      <c r="J5032" s="8"/>
    </row>
    <row r="5033">
      <c r="C5033" s="15"/>
      <c r="E5033" s="8"/>
      <c r="G5033" s="8"/>
      <c r="J5033" s="8"/>
    </row>
    <row r="5034">
      <c r="C5034" s="15"/>
      <c r="E5034" s="8"/>
      <c r="G5034" s="8"/>
      <c r="J5034" s="8"/>
    </row>
    <row r="5035">
      <c r="C5035" s="15"/>
      <c r="E5035" s="8"/>
      <c r="G5035" s="8"/>
      <c r="J5035" s="8"/>
    </row>
    <row r="5036">
      <c r="C5036" s="15"/>
      <c r="E5036" s="8"/>
      <c r="G5036" s="8"/>
      <c r="J5036" s="8"/>
    </row>
    <row r="5037">
      <c r="C5037" s="15"/>
      <c r="E5037" s="8"/>
      <c r="G5037" s="8"/>
      <c r="J5037" s="8"/>
    </row>
    <row r="5038">
      <c r="C5038" s="15"/>
      <c r="E5038" s="8"/>
      <c r="G5038" s="8"/>
      <c r="J5038" s="8"/>
    </row>
    <row r="5039">
      <c r="C5039" s="15"/>
      <c r="E5039" s="8"/>
      <c r="G5039" s="8"/>
      <c r="J5039" s="8"/>
    </row>
    <row r="5040">
      <c r="C5040" s="15"/>
      <c r="E5040" s="8"/>
      <c r="G5040" s="8"/>
      <c r="J5040" s="8"/>
    </row>
    <row r="5041">
      <c r="C5041" s="15"/>
      <c r="E5041" s="8"/>
      <c r="G5041" s="8"/>
      <c r="J5041" s="8"/>
    </row>
    <row r="5042">
      <c r="C5042" s="15"/>
      <c r="E5042" s="8"/>
      <c r="G5042" s="8"/>
      <c r="J5042" s="8"/>
    </row>
    <row r="5043">
      <c r="C5043" s="15"/>
      <c r="E5043" s="8"/>
      <c r="G5043" s="8"/>
      <c r="J5043" s="8"/>
    </row>
    <row r="5044">
      <c r="C5044" s="15"/>
      <c r="E5044" s="8"/>
      <c r="G5044" s="8"/>
      <c r="J5044" s="8"/>
    </row>
    <row r="5045">
      <c r="C5045" s="15"/>
      <c r="E5045" s="8"/>
      <c r="G5045" s="8"/>
      <c r="J5045" s="8"/>
    </row>
    <row r="5046">
      <c r="C5046" s="15"/>
      <c r="E5046" s="8"/>
      <c r="G5046" s="8"/>
      <c r="J5046" s="8"/>
    </row>
    <row r="5047">
      <c r="C5047" s="15"/>
      <c r="E5047" s="8"/>
      <c r="G5047" s="8"/>
      <c r="J5047" s="8"/>
    </row>
    <row r="5048">
      <c r="C5048" s="15"/>
      <c r="E5048" s="8"/>
      <c r="G5048" s="8"/>
      <c r="J5048" s="8"/>
    </row>
    <row r="5049">
      <c r="C5049" s="15"/>
      <c r="E5049" s="8"/>
      <c r="G5049" s="8"/>
      <c r="J5049" s="8"/>
    </row>
    <row r="5050">
      <c r="C5050" s="15"/>
      <c r="E5050" s="8"/>
      <c r="G5050" s="8"/>
      <c r="J5050" s="8"/>
    </row>
    <row r="5051">
      <c r="C5051" s="15"/>
      <c r="E5051" s="8"/>
      <c r="G5051" s="8"/>
      <c r="J5051" s="8"/>
    </row>
    <row r="5052">
      <c r="C5052" s="15"/>
      <c r="E5052" s="8"/>
      <c r="G5052" s="8"/>
      <c r="J5052" s="8"/>
    </row>
    <row r="5053">
      <c r="C5053" s="15"/>
      <c r="E5053" s="8"/>
      <c r="G5053" s="8"/>
      <c r="J5053" s="8"/>
    </row>
    <row r="5054">
      <c r="C5054" s="15"/>
      <c r="E5054" s="8"/>
      <c r="G5054" s="8"/>
      <c r="J5054" s="8"/>
    </row>
    <row r="5055">
      <c r="C5055" s="15"/>
      <c r="E5055" s="8"/>
      <c r="G5055" s="8"/>
      <c r="J5055" s="8"/>
    </row>
    <row r="5056">
      <c r="C5056" s="15"/>
      <c r="E5056" s="8"/>
      <c r="G5056" s="8"/>
      <c r="J5056" s="8"/>
    </row>
    <row r="5057">
      <c r="C5057" s="15"/>
      <c r="E5057" s="8"/>
      <c r="G5057" s="8"/>
      <c r="J5057" s="8"/>
    </row>
    <row r="5058">
      <c r="C5058" s="15"/>
      <c r="E5058" s="8"/>
      <c r="G5058" s="8"/>
      <c r="J5058" s="8"/>
    </row>
    <row r="5059">
      <c r="C5059" s="15"/>
      <c r="E5059" s="8"/>
      <c r="G5059" s="8"/>
      <c r="J5059" s="8"/>
    </row>
    <row r="5060">
      <c r="C5060" s="15"/>
      <c r="E5060" s="8"/>
      <c r="G5060" s="8"/>
      <c r="J5060" s="8"/>
    </row>
    <row r="5061">
      <c r="C5061" s="15"/>
      <c r="E5061" s="8"/>
      <c r="G5061" s="8"/>
      <c r="J5061" s="8"/>
    </row>
    <row r="5062">
      <c r="C5062" s="15"/>
      <c r="E5062" s="8"/>
      <c r="G5062" s="8"/>
      <c r="J5062" s="8"/>
    </row>
    <row r="5063">
      <c r="C5063" s="15"/>
      <c r="E5063" s="8"/>
      <c r="G5063" s="8"/>
      <c r="J5063" s="8"/>
    </row>
    <row r="5064">
      <c r="C5064" s="15"/>
      <c r="E5064" s="8"/>
      <c r="G5064" s="8"/>
      <c r="J5064" s="8"/>
    </row>
    <row r="5065">
      <c r="C5065" s="15"/>
      <c r="E5065" s="8"/>
      <c r="G5065" s="8"/>
      <c r="J5065" s="8"/>
    </row>
    <row r="5066">
      <c r="C5066" s="15"/>
      <c r="E5066" s="8"/>
      <c r="G5066" s="8"/>
      <c r="J5066" s="8"/>
    </row>
    <row r="5067">
      <c r="C5067" s="15"/>
      <c r="E5067" s="8"/>
      <c r="G5067" s="8"/>
      <c r="J5067" s="8"/>
    </row>
    <row r="5068">
      <c r="C5068" s="15"/>
      <c r="E5068" s="8"/>
      <c r="G5068" s="8"/>
      <c r="J5068" s="8"/>
    </row>
    <row r="5069">
      <c r="C5069" s="15"/>
      <c r="E5069" s="8"/>
      <c r="G5069" s="8"/>
      <c r="J5069" s="8"/>
    </row>
    <row r="5070">
      <c r="C5070" s="15"/>
      <c r="E5070" s="8"/>
      <c r="G5070" s="8"/>
      <c r="J5070" s="8"/>
    </row>
    <row r="5071">
      <c r="C5071" s="15"/>
      <c r="E5071" s="8"/>
      <c r="G5071" s="8"/>
      <c r="J5071" s="8"/>
    </row>
    <row r="5072">
      <c r="C5072" s="15"/>
      <c r="E5072" s="8"/>
      <c r="G5072" s="8"/>
      <c r="J5072" s="8"/>
    </row>
    <row r="5073">
      <c r="C5073" s="15"/>
      <c r="E5073" s="8"/>
      <c r="G5073" s="8"/>
      <c r="J5073" s="8"/>
    </row>
    <row r="5074">
      <c r="C5074" s="15"/>
      <c r="E5074" s="8"/>
      <c r="G5074" s="8"/>
      <c r="J5074" s="8"/>
    </row>
    <row r="5075">
      <c r="C5075" s="15"/>
      <c r="E5075" s="8"/>
      <c r="G5075" s="8"/>
      <c r="J5075" s="8"/>
    </row>
    <row r="5076">
      <c r="C5076" s="15"/>
      <c r="E5076" s="8"/>
      <c r="G5076" s="8"/>
      <c r="J5076" s="8"/>
    </row>
    <row r="5077">
      <c r="C5077" s="15"/>
      <c r="E5077" s="8"/>
      <c r="G5077" s="8"/>
      <c r="J5077" s="8"/>
    </row>
    <row r="5078">
      <c r="C5078" s="15"/>
      <c r="E5078" s="8"/>
      <c r="G5078" s="8"/>
      <c r="J5078" s="8"/>
    </row>
    <row r="5079">
      <c r="C5079" s="15"/>
      <c r="E5079" s="8"/>
      <c r="G5079" s="8"/>
      <c r="J5079" s="8"/>
    </row>
    <row r="5080">
      <c r="C5080" s="15"/>
      <c r="E5080" s="8"/>
      <c r="G5080" s="8"/>
      <c r="J5080" s="8"/>
    </row>
    <row r="5081">
      <c r="C5081" s="15"/>
      <c r="E5081" s="8"/>
      <c r="G5081" s="8"/>
      <c r="J5081" s="8"/>
    </row>
    <row r="5082">
      <c r="C5082" s="15"/>
      <c r="E5082" s="8"/>
      <c r="G5082" s="8"/>
      <c r="J5082" s="8"/>
    </row>
    <row r="5083">
      <c r="C5083" s="15"/>
      <c r="E5083" s="8"/>
      <c r="G5083" s="8"/>
      <c r="J5083" s="8"/>
    </row>
    <row r="5084">
      <c r="C5084" s="15"/>
      <c r="E5084" s="8"/>
      <c r="G5084" s="8"/>
      <c r="J5084" s="8"/>
    </row>
    <row r="5085">
      <c r="C5085" s="15"/>
      <c r="E5085" s="8"/>
      <c r="G5085" s="8"/>
      <c r="J5085" s="8"/>
    </row>
    <row r="5086">
      <c r="C5086" s="15"/>
      <c r="E5086" s="8"/>
      <c r="G5086" s="8"/>
      <c r="J5086" s="8"/>
    </row>
    <row r="5087">
      <c r="C5087" s="15"/>
      <c r="E5087" s="8"/>
      <c r="G5087" s="8"/>
      <c r="J5087" s="8"/>
    </row>
    <row r="5088">
      <c r="C5088" s="15"/>
      <c r="E5088" s="8"/>
      <c r="G5088" s="8"/>
      <c r="J5088" s="8"/>
    </row>
    <row r="5089">
      <c r="C5089" s="15"/>
      <c r="E5089" s="8"/>
      <c r="G5089" s="8"/>
      <c r="J5089" s="8"/>
    </row>
    <row r="5090">
      <c r="C5090" s="15"/>
      <c r="E5090" s="8"/>
      <c r="G5090" s="8"/>
      <c r="J5090" s="8"/>
    </row>
    <row r="5091">
      <c r="C5091" s="15"/>
      <c r="E5091" s="8"/>
      <c r="G5091" s="8"/>
      <c r="J5091" s="8"/>
    </row>
    <row r="5092">
      <c r="C5092" s="15"/>
      <c r="E5092" s="8"/>
      <c r="G5092" s="8"/>
      <c r="J5092" s="8"/>
    </row>
    <row r="5093">
      <c r="C5093" s="15"/>
      <c r="E5093" s="8"/>
      <c r="G5093" s="8"/>
      <c r="J5093" s="8"/>
    </row>
    <row r="5094">
      <c r="C5094" s="15"/>
      <c r="E5094" s="8"/>
      <c r="G5094" s="8"/>
      <c r="J5094" s="8"/>
    </row>
    <row r="5095">
      <c r="C5095" s="15"/>
      <c r="E5095" s="8"/>
      <c r="G5095" s="8"/>
      <c r="J5095" s="8"/>
    </row>
    <row r="5096">
      <c r="C5096" s="15"/>
      <c r="E5096" s="8"/>
      <c r="G5096" s="8"/>
      <c r="J5096" s="8"/>
    </row>
    <row r="5097">
      <c r="C5097" s="15"/>
      <c r="E5097" s="8"/>
      <c r="G5097" s="8"/>
      <c r="J5097" s="8"/>
    </row>
    <row r="5098">
      <c r="C5098" s="15"/>
      <c r="E5098" s="8"/>
      <c r="G5098" s="8"/>
      <c r="J5098" s="8"/>
    </row>
    <row r="5099">
      <c r="C5099" s="15"/>
      <c r="E5099" s="8"/>
      <c r="G5099" s="8"/>
      <c r="J5099" s="8"/>
    </row>
    <row r="5100">
      <c r="C5100" s="15"/>
      <c r="E5100" s="8"/>
      <c r="G5100" s="8"/>
      <c r="J5100" s="8"/>
    </row>
    <row r="5101">
      <c r="C5101" s="15"/>
      <c r="E5101" s="8"/>
      <c r="G5101" s="8"/>
      <c r="J5101" s="8"/>
    </row>
    <row r="5102">
      <c r="C5102" s="15"/>
      <c r="E5102" s="8"/>
      <c r="G5102" s="8"/>
      <c r="J5102" s="8"/>
    </row>
    <row r="5103">
      <c r="C5103" s="15"/>
      <c r="E5103" s="8"/>
      <c r="G5103" s="8"/>
      <c r="J5103" s="8"/>
    </row>
    <row r="5104">
      <c r="C5104" s="15"/>
      <c r="E5104" s="8"/>
      <c r="G5104" s="8"/>
      <c r="J5104" s="8"/>
    </row>
    <row r="5105">
      <c r="C5105" s="15"/>
      <c r="E5105" s="8"/>
      <c r="G5105" s="8"/>
      <c r="J5105" s="8"/>
    </row>
    <row r="5106">
      <c r="C5106" s="15"/>
      <c r="E5106" s="8"/>
      <c r="G5106" s="8"/>
      <c r="J5106" s="8"/>
    </row>
    <row r="5107">
      <c r="C5107" s="15"/>
      <c r="E5107" s="8"/>
      <c r="G5107" s="8"/>
      <c r="J5107" s="8"/>
    </row>
    <row r="5108">
      <c r="C5108" s="15"/>
      <c r="E5108" s="8"/>
      <c r="G5108" s="8"/>
      <c r="J5108" s="8"/>
    </row>
    <row r="5109">
      <c r="C5109" s="15"/>
      <c r="E5109" s="8"/>
      <c r="G5109" s="8"/>
      <c r="J5109" s="8"/>
    </row>
    <row r="5110">
      <c r="C5110" s="15"/>
      <c r="E5110" s="8"/>
      <c r="G5110" s="8"/>
      <c r="J5110" s="8"/>
    </row>
    <row r="5111">
      <c r="C5111" s="15"/>
      <c r="E5111" s="8"/>
      <c r="G5111" s="8"/>
      <c r="J5111" s="8"/>
    </row>
    <row r="5112">
      <c r="C5112" s="15"/>
      <c r="E5112" s="8"/>
      <c r="G5112" s="8"/>
      <c r="J5112" s="8"/>
    </row>
    <row r="5113">
      <c r="C5113" s="15"/>
      <c r="E5113" s="8"/>
      <c r="G5113" s="8"/>
      <c r="J5113" s="8"/>
    </row>
    <row r="5114">
      <c r="C5114" s="15"/>
      <c r="E5114" s="8"/>
      <c r="G5114" s="8"/>
      <c r="J5114" s="8"/>
    </row>
    <row r="5115">
      <c r="C5115" s="15"/>
      <c r="E5115" s="8"/>
      <c r="G5115" s="8"/>
      <c r="J5115" s="8"/>
    </row>
    <row r="5116">
      <c r="C5116" s="15"/>
      <c r="E5116" s="8"/>
      <c r="G5116" s="8"/>
      <c r="J5116" s="8"/>
    </row>
    <row r="5117">
      <c r="C5117" s="15"/>
      <c r="E5117" s="8"/>
      <c r="G5117" s="8"/>
      <c r="J5117" s="8"/>
    </row>
    <row r="5118">
      <c r="C5118" s="15"/>
      <c r="E5118" s="8"/>
      <c r="G5118" s="8"/>
      <c r="J5118" s="8"/>
    </row>
    <row r="5119">
      <c r="C5119" s="15"/>
      <c r="E5119" s="8"/>
      <c r="G5119" s="8"/>
      <c r="J5119" s="8"/>
    </row>
    <row r="5120">
      <c r="C5120" s="15"/>
      <c r="E5120" s="8"/>
      <c r="G5120" s="8"/>
      <c r="J5120" s="8"/>
    </row>
    <row r="5121">
      <c r="C5121" s="15"/>
      <c r="E5121" s="8"/>
      <c r="G5121" s="8"/>
      <c r="J5121" s="8"/>
    </row>
    <row r="5122">
      <c r="C5122" s="15"/>
      <c r="E5122" s="8"/>
      <c r="G5122" s="8"/>
      <c r="J5122" s="8"/>
    </row>
    <row r="5123">
      <c r="C5123" s="15"/>
      <c r="E5123" s="8"/>
      <c r="G5123" s="8"/>
      <c r="J5123" s="8"/>
    </row>
    <row r="5124">
      <c r="C5124" s="15"/>
      <c r="E5124" s="8"/>
      <c r="G5124" s="8"/>
      <c r="J5124" s="8"/>
    </row>
    <row r="5125">
      <c r="C5125" s="15"/>
      <c r="E5125" s="8"/>
      <c r="G5125" s="8"/>
      <c r="J5125" s="8"/>
    </row>
    <row r="5126">
      <c r="C5126" s="15"/>
      <c r="E5126" s="8"/>
      <c r="G5126" s="8"/>
      <c r="J5126" s="8"/>
    </row>
    <row r="5127">
      <c r="C5127" s="15"/>
      <c r="E5127" s="8"/>
      <c r="G5127" s="8"/>
      <c r="J5127" s="8"/>
    </row>
    <row r="5128">
      <c r="C5128" s="15"/>
      <c r="E5128" s="8"/>
      <c r="G5128" s="8"/>
      <c r="J5128" s="8"/>
    </row>
    <row r="5129">
      <c r="C5129" s="15"/>
      <c r="E5129" s="8"/>
      <c r="G5129" s="8"/>
      <c r="J5129" s="8"/>
    </row>
    <row r="5130">
      <c r="C5130" s="15"/>
      <c r="E5130" s="8"/>
      <c r="G5130" s="8"/>
      <c r="J5130" s="8"/>
    </row>
    <row r="5131">
      <c r="C5131" s="15"/>
      <c r="E5131" s="8"/>
      <c r="G5131" s="8"/>
      <c r="J5131" s="8"/>
    </row>
    <row r="5132">
      <c r="C5132" s="15"/>
      <c r="E5132" s="8"/>
      <c r="G5132" s="8"/>
      <c r="J5132" s="8"/>
    </row>
    <row r="5133">
      <c r="C5133" s="15"/>
      <c r="E5133" s="8"/>
      <c r="G5133" s="8"/>
      <c r="J5133" s="8"/>
    </row>
    <row r="5134">
      <c r="C5134" s="15"/>
      <c r="E5134" s="8"/>
      <c r="G5134" s="8"/>
      <c r="J5134" s="8"/>
    </row>
    <row r="5135">
      <c r="C5135" s="15"/>
      <c r="E5135" s="8"/>
      <c r="G5135" s="8"/>
      <c r="J5135" s="8"/>
    </row>
    <row r="5136">
      <c r="C5136" s="15"/>
      <c r="E5136" s="8"/>
      <c r="G5136" s="8"/>
      <c r="J5136" s="8"/>
    </row>
    <row r="5137">
      <c r="C5137" s="15"/>
      <c r="E5137" s="8"/>
      <c r="G5137" s="8"/>
      <c r="J5137" s="8"/>
    </row>
    <row r="5138">
      <c r="C5138" s="15"/>
      <c r="E5138" s="8"/>
      <c r="G5138" s="8"/>
      <c r="J5138" s="8"/>
    </row>
    <row r="5139">
      <c r="C5139" s="15"/>
      <c r="E5139" s="8"/>
      <c r="G5139" s="8"/>
      <c r="J5139" s="8"/>
    </row>
    <row r="5140">
      <c r="C5140" s="15"/>
      <c r="E5140" s="8"/>
      <c r="G5140" s="8"/>
      <c r="J5140" s="8"/>
    </row>
    <row r="5141">
      <c r="C5141" s="15"/>
      <c r="E5141" s="8"/>
      <c r="G5141" s="8"/>
      <c r="J5141" s="8"/>
    </row>
    <row r="5142">
      <c r="C5142" s="15"/>
      <c r="E5142" s="8"/>
      <c r="G5142" s="8"/>
      <c r="J5142" s="8"/>
    </row>
    <row r="5143">
      <c r="C5143" s="15"/>
      <c r="E5143" s="8"/>
      <c r="G5143" s="8"/>
      <c r="J5143" s="8"/>
    </row>
    <row r="5144">
      <c r="C5144" s="15"/>
      <c r="E5144" s="8"/>
      <c r="G5144" s="8"/>
      <c r="J5144" s="8"/>
    </row>
    <row r="5145">
      <c r="C5145" s="15"/>
      <c r="E5145" s="8"/>
      <c r="G5145" s="8"/>
      <c r="J5145" s="8"/>
    </row>
    <row r="5146">
      <c r="C5146" s="15"/>
      <c r="E5146" s="8"/>
      <c r="G5146" s="8"/>
      <c r="J5146" s="8"/>
    </row>
    <row r="5147">
      <c r="C5147" s="15"/>
      <c r="E5147" s="8"/>
      <c r="G5147" s="8"/>
      <c r="J5147" s="8"/>
    </row>
    <row r="5148">
      <c r="C5148" s="15"/>
      <c r="E5148" s="8"/>
      <c r="G5148" s="8"/>
      <c r="J5148" s="8"/>
    </row>
    <row r="5149">
      <c r="C5149" s="15"/>
      <c r="E5149" s="8"/>
      <c r="G5149" s="8"/>
      <c r="J5149" s="8"/>
    </row>
    <row r="5150">
      <c r="C5150" s="15"/>
      <c r="E5150" s="8"/>
      <c r="G5150" s="8"/>
      <c r="J5150" s="8"/>
    </row>
    <row r="5151">
      <c r="C5151" s="15"/>
      <c r="E5151" s="8"/>
      <c r="G5151" s="8"/>
      <c r="J5151" s="8"/>
    </row>
    <row r="5152">
      <c r="C5152" s="15"/>
      <c r="E5152" s="8"/>
      <c r="G5152" s="8"/>
      <c r="J5152" s="8"/>
    </row>
    <row r="5153">
      <c r="C5153" s="15"/>
      <c r="E5153" s="8"/>
      <c r="G5153" s="8"/>
      <c r="J5153" s="8"/>
    </row>
    <row r="5154">
      <c r="C5154" s="15"/>
      <c r="E5154" s="8"/>
      <c r="G5154" s="8"/>
      <c r="J5154" s="8"/>
    </row>
    <row r="5155">
      <c r="C5155" s="15"/>
      <c r="E5155" s="8"/>
      <c r="G5155" s="8"/>
      <c r="J5155" s="8"/>
    </row>
    <row r="5156">
      <c r="C5156" s="15"/>
      <c r="E5156" s="8"/>
      <c r="G5156" s="8"/>
      <c r="J5156" s="8"/>
    </row>
    <row r="5157">
      <c r="C5157" s="15"/>
      <c r="E5157" s="8"/>
      <c r="G5157" s="8"/>
      <c r="J5157" s="8"/>
    </row>
    <row r="5158">
      <c r="C5158" s="15"/>
      <c r="E5158" s="8"/>
      <c r="G5158" s="8"/>
      <c r="J5158" s="8"/>
    </row>
    <row r="5159">
      <c r="C5159" s="15"/>
      <c r="E5159" s="8"/>
      <c r="G5159" s="8"/>
      <c r="J5159" s="8"/>
    </row>
    <row r="5160">
      <c r="C5160" s="15"/>
      <c r="E5160" s="8"/>
      <c r="G5160" s="8"/>
      <c r="J5160" s="8"/>
    </row>
    <row r="5161">
      <c r="C5161" s="15"/>
      <c r="E5161" s="8"/>
      <c r="G5161" s="8"/>
      <c r="J5161" s="8"/>
    </row>
    <row r="5162">
      <c r="C5162" s="15"/>
      <c r="E5162" s="8"/>
      <c r="G5162" s="8"/>
      <c r="J5162" s="8"/>
    </row>
    <row r="5163">
      <c r="C5163" s="15"/>
      <c r="E5163" s="8"/>
      <c r="G5163" s="8"/>
      <c r="J5163" s="8"/>
    </row>
    <row r="5164">
      <c r="C5164" s="15"/>
      <c r="E5164" s="8"/>
      <c r="G5164" s="8"/>
      <c r="J5164" s="8"/>
    </row>
    <row r="5165">
      <c r="C5165" s="15"/>
      <c r="E5165" s="8"/>
      <c r="G5165" s="8"/>
      <c r="J5165" s="8"/>
    </row>
    <row r="5166">
      <c r="C5166" s="15"/>
      <c r="E5166" s="8"/>
      <c r="G5166" s="8"/>
      <c r="J5166" s="8"/>
    </row>
    <row r="5167">
      <c r="C5167" s="15"/>
      <c r="E5167" s="8"/>
      <c r="G5167" s="8"/>
      <c r="J5167" s="8"/>
    </row>
    <row r="5168">
      <c r="C5168" s="15"/>
      <c r="E5168" s="8"/>
      <c r="G5168" s="8"/>
      <c r="J5168" s="8"/>
    </row>
    <row r="5169">
      <c r="C5169" s="15"/>
      <c r="E5169" s="8"/>
      <c r="G5169" s="8"/>
      <c r="J5169" s="8"/>
    </row>
    <row r="5170">
      <c r="C5170" s="15"/>
      <c r="E5170" s="8"/>
      <c r="G5170" s="8"/>
      <c r="J5170" s="8"/>
    </row>
    <row r="5171">
      <c r="C5171" s="15"/>
      <c r="E5171" s="8"/>
      <c r="G5171" s="8"/>
      <c r="J5171" s="8"/>
    </row>
    <row r="5172">
      <c r="C5172" s="15"/>
      <c r="E5172" s="8"/>
      <c r="G5172" s="8"/>
      <c r="J5172" s="8"/>
    </row>
    <row r="5173">
      <c r="C5173" s="15"/>
      <c r="E5173" s="8"/>
      <c r="G5173" s="8"/>
      <c r="J5173" s="8"/>
    </row>
    <row r="5174">
      <c r="C5174" s="15"/>
      <c r="E5174" s="8"/>
      <c r="G5174" s="8"/>
      <c r="J5174" s="8"/>
    </row>
    <row r="5175">
      <c r="C5175" s="15"/>
      <c r="E5175" s="8"/>
      <c r="G5175" s="8"/>
      <c r="J5175" s="8"/>
    </row>
    <row r="5176">
      <c r="C5176" s="15"/>
      <c r="E5176" s="8"/>
      <c r="G5176" s="8"/>
      <c r="J5176" s="8"/>
    </row>
    <row r="5177">
      <c r="C5177" s="15"/>
      <c r="E5177" s="8"/>
      <c r="G5177" s="8"/>
      <c r="J5177" s="8"/>
    </row>
    <row r="5178">
      <c r="C5178" s="15"/>
      <c r="E5178" s="8"/>
      <c r="G5178" s="8"/>
      <c r="J5178" s="8"/>
    </row>
    <row r="5179">
      <c r="C5179" s="15"/>
      <c r="E5179" s="8"/>
      <c r="G5179" s="8"/>
      <c r="J5179" s="8"/>
    </row>
    <row r="5180">
      <c r="C5180" s="15"/>
      <c r="E5180" s="8"/>
      <c r="G5180" s="8"/>
      <c r="J5180" s="8"/>
    </row>
    <row r="5181">
      <c r="C5181" s="15"/>
      <c r="E5181" s="8"/>
      <c r="G5181" s="8"/>
      <c r="J5181" s="8"/>
    </row>
    <row r="5182">
      <c r="C5182" s="15"/>
      <c r="E5182" s="8"/>
      <c r="G5182" s="8"/>
      <c r="J5182" s="8"/>
    </row>
    <row r="5183">
      <c r="C5183" s="15"/>
      <c r="E5183" s="8"/>
      <c r="G5183" s="8"/>
      <c r="J5183" s="8"/>
    </row>
    <row r="5184">
      <c r="C5184" s="15"/>
      <c r="E5184" s="8"/>
      <c r="G5184" s="8"/>
      <c r="J5184" s="8"/>
    </row>
    <row r="5185">
      <c r="C5185" s="15"/>
      <c r="E5185" s="8"/>
      <c r="G5185" s="8"/>
      <c r="J5185" s="8"/>
    </row>
    <row r="5186">
      <c r="C5186" s="15"/>
      <c r="E5186" s="8"/>
      <c r="G5186" s="8"/>
      <c r="J5186" s="8"/>
    </row>
    <row r="5187">
      <c r="C5187" s="15"/>
      <c r="E5187" s="8"/>
      <c r="G5187" s="8"/>
      <c r="J5187" s="8"/>
    </row>
    <row r="5188">
      <c r="C5188" s="15"/>
      <c r="E5188" s="8"/>
      <c r="G5188" s="8"/>
      <c r="J5188" s="8"/>
    </row>
    <row r="5189">
      <c r="C5189" s="15"/>
      <c r="E5189" s="8"/>
      <c r="G5189" s="8"/>
      <c r="J5189" s="8"/>
    </row>
    <row r="5190">
      <c r="C5190" s="15"/>
      <c r="E5190" s="8"/>
      <c r="G5190" s="8"/>
      <c r="J5190" s="8"/>
    </row>
    <row r="5191">
      <c r="C5191" s="15"/>
      <c r="E5191" s="8"/>
      <c r="G5191" s="8"/>
      <c r="J5191" s="8"/>
    </row>
    <row r="5192">
      <c r="C5192" s="15"/>
      <c r="E5192" s="8"/>
      <c r="G5192" s="8"/>
      <c r="J5192" s="8"/>
    </row>
    <row r="5193">
      <c r="C5193" s="15"/>
      <c r="E5193" s="8"/>
      <c r="G5193" s="8"/>
      <c r="J5193" s="8"/>
    </row>
    <row r="5194">
      <c r="C5194" s="15"/>
      <c r="E5194" s="8"/>
      <c r="G5194" s="8"/>
      <c r="J5194" s="8"/>
    </row>
    <row r="5195">
      <c r="C5195" s="15"/>
      <c r="E5195" s="8"/>
      <c r="G5195" s="8"/>
      <c r="J5195" s="8"/>
    </row>
    <row r="5196">
      <c r="C5196" s="15"/>
      <c r="E5196" s="8"/>
      <c r="G5196" s="8"/>
      <c r="J5196" s="8"/>
    </row>
    <row r="5197">
      <c r="C5197" s="15"/>
      <c r="E5197" s="8"/>
      <c r="G5197" s="8"/>
      <c r="J5197" s="8"/>
    </row>
    <row r="5198">
      <c r="C5198" s="15"/>
      <c r="E5198" s="8"/>
      <c r="G5198" s="8"/>
      <c r="J5198" s="8"/>
    </row>
    <row r="5199">
      <c r="C5199" s="15"/>
      <c r="E5199" s="8"/>
      <c r="G5199" s="8"/>
      <c r="J5199" s="8"/>
    </row>
    <row r="5200">
      <c r="C5200" s="15"/>
      <c r="E5200" s="8"/>
      <c r="G5200" s="8"/>
      <c r="J5200" s="8"/>
    </row>
    <row r="5201">
      <c r="C5201" s="15"/>
      <c r="E5201" s="8"/>
      <c r="G5201" s="8"/>
      <c r="J5201" s="8"/>
    </row>
    <row r="5202">
      <c r="C5202" s="15"/>
      <c r="E5202" s="8"/>
      <c r="G5202" s="8"/>
      <c r="J5202" s="8"/>
    </row>
    <row r="5203">
      <c r="C5203" s="15"/>
      <c r="E5203" s="8"/>
      <c r="G5203" s="8"/>
      <c r="J5203" s="8"/>
    </row>
    <row r="5204">
      <c r="C5204" s="15"/>
      <c r="E5204" s="8"/>
      <c r="G5204" s="8"/>
      <c r="J5204" s="8"/>
    </row>
    <row r="5205">
      <c r="C5205" s="15"/>
      <c r="E5205" s="8"/>
      <c r="G5205" s="8"/>
      <c r="J5205" s="8"/>
    </row>
    <row r="5206">
      <c r="C5206" s="15"/>
      <c r="E5206" s="8"/>
      <c r="G5206" s="8"/>
      <c r="J5206" s="8"/>
    </row>
    <row r="5207">
      <c r="C5207" s="15"/>
      <c r="E5207" s="8"/>
      <c r="G5207" s="8"/>
      <c r="J5207" s="8"/>
    </row>
    <row r="5208">
      <c r="C5208" s="15"/>
      <c r="E5208" s="8"/>
      <c r="G5208" s="8"/>
      <c r="J5208" s="8"/>
    </row>
    <row r="5209">
      <c r="C5209" s="15"/>
      <c r="E5209" s="8"/>
      <c r="G5209" s="8"/>
      <c r="J5209" s="8"/>
    </row>
    <row r="5210">
      <c r="C5210" s="15"/>
      <c r="E5210" s="8"/>
      <c r="G5210" s="8"/>
      <c r="J5210" s="8"/>
    </row>
    <row r="5211">
      <c r="C5211" s="15"/>
      <c r="E5211" s="8"/>
      <c r="G5211" s="8"/>
      <c r="J5211" s="8"/>
    </row>
    <row r="5212">
      <c r="C5212" s="15"/>
      <c r="E5212" s="8"/>
      <c r="G5212" s="8"/>
      <c r="J5212" s="8"/>
    </row>
    <row r="5213">
      <c r="C5213" s="15"/>
      <c r="E5213" s="8"/>
      <c r="G5213" s="8"/>
      <c r="J5213" s="8"/>
    </row>
    <row r="5214">
      <c r="C5214" s="15"/>
      <c r="E5214" s="8"/>
      <c r="G5214" s="8"/>
      <c r="J5214" s="8"/>
    </row>
    <row r="5215">
      <c r="C5215" s="15"/>
      <c r="E5215" s="8"/>
      <c r="G5215" s="8"/>
      <c r="J5215" s="8"/>
    </row>
    <row r="5216">
      <c r="C5216" s="15"/>
      <c r="E5216" s="8"/>
      <c r="G5216" s="8"/>
      <c r="J5216" s="8"/>
    </row>
    <row r="5217">
      <c r="C5217" s="15"/>
      <c r="E5217" s="8"/>
      <c r="G5217" s="8"/>
      <c r="J5217" s="8"/>
    </row>
    <row r="5218">
      <c r="C5218" s="15"/>
      <c r="E5218" s="8"/>
      <c r="G5218" s="8"/>
      <c r="J5218" s="8"/>
    </row>
    <row r="5219">
      <c r="C5219" s="15"/>
      <c r="E5219" s="8"/>
      <c r="G5219" s="8"/>
      <c r="J5219" s="8"/>
    </row>
    <row r="5220">
      <c r="C5220" s="15"/>
      <c r="E5220" s="8"/>
      <c r="G5220" s="8"/>
      <c r="J5220" s="8"/>
    </row>
    <row r="5221">
      <c r="C5221" s="15"/>
      <c r="E5221" s="8"/>
      <c r="G5221" s="8"/>
      <c r="J5221" s="8"/>
    </row>
    <row r="5222">
      <c r="C5222" s="15"/>
      <c r="E5222" s="8"/>
      <c r="G5222" s="8"/>
      <c r="J5222" s="8"/>
    </row>
    <row r="5223">
      <c r="C5223" s="15"/>
      <c r="E5223" s="8"/>
      <c r="G5223" s="8"/>
      <c r="J5223" s="8"/>
    </row>
    <row r="5224">
      <c r="C5224" s="15"/>
      <c r="E5224" s="8"/>
      <c r="G5224" s="8"/>
      <c r="J5224" s="8"/>
    </row>
    <row r="5225">
      <c r="C5225" s="15"/>
      <c r="E5225" s="8"/>
      <c r="G5225" s="8"/>
      <c r="J5225" s="8"/>
    </row>
    <row r="5226">
      <c r="C5226" s="15"/>
      <c r="E5226" s="8"/>
      <c r="G5226" s="8"/>
      <c r="J5226" s="8"/>
    </row>
    <row r="5227">
      <c r="C5227" s="15"/>
      <c r="E5227" s="8"/>
      <c r="G5227" s="8"/>
      <c r="J5227" s="8"/>
    </row>
    <row r="5228">
      <c r="C5228" s="15"/>
      <c r="E5228" s="8"/>
      <c r="G5228" s="8"/>
      <c r="J5228" s="8"/>
    </row>
    <row r="5229">
      <c r="C5229" s="15"/>
      <c r="E5229" s="8"/>
      <c r="G5229" s="8"/>
      <c r="J5229" s="8"/>
    </row>
    <row r="5230">
      <c r="C5230" s="15"/>
      <c r="E5230" s="8"/>
      <c r="G5230" s="8"/>
      <c r="J5230" s="8"/>
    </row>
    <row r="5231">
      <c r="C5231" s="15"/>
      <c r="E5231" s="8"/>
      <c r="G5231" s="8"/>
      <c r="J5231" s="8"/>
    </row>
    <row r="5232">
      <c r="C5232" s="15"/>
      <c r="E5232" s="8"/>
      <c r="G5232" s="8"/>
      <c r="J5232" s="8"/>
    </row>
    <row r="5233">
      <c r="C5233" s="15"/>
      <c r="E5233" s="8"/>
      <c r="G5233" s="8"/>
      <c r="J5233" s="8"/>
    </row>
    <row r="5234">
      <c r="C5234" s="15"/>
      <c r="E5234" s="8"/>
      <c r="G5234" s="8"/>
      <c r="J5234" s="8"/>
    </row>
    <row r="5235">
      <c r="C5235" s="15"/>
      <c r="E5235" s="8"/>
      <c r="G5235" s="8"/>
      <c r="J5235" s="8"/>
    </row>
    <row r="5236">
      <c r="C5236" s="15"/>
      <c r="E5236" s="8"/>
      <c r="G5236" s="8"/>
      <c r="J5236" s="8"/>
    </row>
    <row r="5237">
      <c r="C5237" s="15"/>
      <c r="E5237" s="8"/>
      <c r="G5237" s="8"/>
      <c r="J5237" s="8"/>
    </row>
    <row r="5238">
      <c r="C5238" s="15"/>
      <c r="E5238" s="8"/>
      <c r="G5238" s="8"/>
      <c r="J5238" s="8"/>
    </row>
    <row r="5239">
      <c r="C5239" s="15"/>
      <c r="E5239" s="8"/>
      <c r="G5239" s="8"/>
      <c r="J5239" s="8"/>
    </row>
    <row r="5240">
      <c r="C5240" s="15"/>
      <c r="E5240" s="8"/>
      <c r="G5240" s="8"/>
      <c r="J5240" s="8"/>
    </row>
    <row r="5241">
      <c r="C5241" s="15"/>
      <c r="E5241" s="8"/>
      <c r="G5241" s="8"/>
      <c r="J5241" s="8"/>
    </row>
    <row r="5242">
      <c r="C5242" s="15"/>
      <c r="E5242" s="8"/>
      <c r="G5242" s="8"/>
      <c r="J5242" s="8"/>
    </row>
    <row r="5243">
      <c r="C5243" s="15"/>
      <c r="E5243" s="8"/>
      <c r="G5243" s="8"/>
      <c r="J5243" s="8"/>
    </row>
    <row r="5244">
      <c r="C5244" s="15"/>
      <c r="E5244" s="8"/>
      <c r="G5244" s="8"/>
      <c r="J5244" s="8"/>
    </row>
    <row r="5245">
      <c r="C5245" s="15"/>
      <c r="E5245" s="8"/>
      <c r="G5245" s="8"/>
      <c r="J5245" s="8"/>
    </row>
    <row r="5246">
      <c r="C5246" s="15"/>
      <c r="E5246" s="8"/>
      <c r="G5246" s="8"/>
      <c r="J5246" s="8"/>
    </row>
    <row r="5247">
      <c r="C5247" s="15"/>
      <c r="E5247" s="8"/>
      <c r="G5247" s="8"/>
      <c r="J5247" s="8"/>
    </row>
    <row r="5248">
      <c r="C5248" s="15"/>
      <c r="E5248" s="8"/>
      <c r="G5248" s="8"/>
      <c r="J5248" s="8"/>
    </row>
    <row r="5249">
      <c r="C5249" s="15"/>
      <c r="E5249" s="8"/>
      <c r="G5249" s="8"/>
      <c r="J5249" s="8"/>
    </row>
    <row r="5250">
      <c r="C5250" s="15"/>
      <c r="E5250" s="8"/>
      <c r="G5250" s="8"/>
      <c r="J5250" s="8"/>
    </row>
    <row r="5251">
      <c r="C5251" s="15"/>
      <c r="E5251" s="8"/>
      <c r="G5251" s="8"/>
      <c r="J5251" s="8"/>
    </row>
    <row r="5252">
      <c r="C5252" s="15"/>
      <c r="E5252" s="8"/>
      <c r="G5252" s="8"/>
      <c r="J5252" s="8"/>
    </row>
    <row r="5253">
      <c r="C5253" s="15"/>
      <c r="E5253" s="8"/>
      <c r="G5253" s="8"/>
      <c r="J5253" s="8"/>
    </row>
    <row r="5254">
      <c r="C5254" s="15"/>
      <c r="E5254" s="8"/>
      <c r="G5254" s="8"/>
      <c r="J5254" s="8"/>
    </row>
    <row r="5255">
      <c r="C5255" s="15"/>
      <c r="E5255" s="8"/>
      <c r="G5255" s="8"/>
      <c r="J5255" s="8"/>
    </row>
    <row r="5256">
      <c r="C5256" s="15"/>
      <c r="E5256" s="8"/>
      <c r="G5256" s="8"/>
      <c r="J5256" s="8"/>
    </row>
    <row r="5257">
      <c r="C5257" s="15"/>
      <c r="E5257" s="8"/>
      <c r="G5257" s="8"/>
      <c r="J5257" s="8"/>
    </row>
    <row r="5258">
      <c r="C5258" s="15"/>
      <c r="E5258" s="8"/>
      <c r="G5258" s="8"/>
      <c r="J5258" s="8"/>
    </row>
    <row r="5259">
      <c r="C5259" s="15"/>
      <c r="E5259" s="8"/>
      <c r="G5259" s="8"/>
      <c r="J5259" s="8"/>
    </row>
    <row r="5260">
      <c r="C5260" s="15"/>
      <c r="E5260" s="8"/>
      <c r="G5260" s="8"/>
      <c r="J5260" s="8"/>
    </row>
    <row r="5261">
      <c r="C5261" s="15"/>
      <c r="E5261" s="8"/>
      <c r="G5261" s="8"/>
      <c r="J5261" s="8"/>
    </row>
    <row r="5262">
      <c r="C5262" s="15"/>
      <c r="E5262" s="8"/>
      <c r="G5262" s="8"/>
      <c r="J5262" s="8"/>
    </row>
    <row r="5263">
      <c r="C5263" s="15"/>
      <c r="E5263" s="8"/>
      <c r="G5263" s="8"/>
      <c r="J5263" s="8"/>
    </row>
    <row r="5264">
      <c r="C5264" s="15"/>
      <c r="E5264" s="8"/>
      <c r="G5264" s="8"/>
      <c r="J5264" s="8"/>
    </row>
    <row r="5265">
      <c r="C5265" s="15"/>
      <c r="E5265" s="8"/>
      <c r="G5265" s="8"/>
      <c r="J5265" s="8"/>
    </row>
    <row r="5266">
      <c r="C5266" s="15"/>
      <c r="E5266" s="8"/>
      <c r="G5266" s="8"/>
      <c r="J5266" s="8"/>
    </row>
    <row r="5267">
      <c r="C5267" s="15"/>
      <c r="E5267" s="8"/>
      <c r="G5267" s="8"/>
      <c r="J5267" s="8"/>
    </row>
    <row r="5268">
      <c r="C5268" s="15"/>
      <c r="E5268" s="8"/>
      <c r="G5268" s="8"/>
      <c r="J5268" s="8"/>
    </row>
    <row r="5269">
      <c r="C5269" s="15"/>
      <c r="E5269" s="8"/>
      <c r="G5269" s="8"/>
      <c r="J5269" s="8"/>
    </row>
    <row r="5270">
      <c r="C5270" s="15"/>
      <c r="E5270" s="8"/>
      <c r="G5270" s="8"/>
      <c r="J5270" s="8"/>
    </row>
    <row r="5271">
      <c r="C5271" s="15"/>
      <c r="E5271" s="8"/>
      <c r="G5271" s="8"/>
      <c r="J5271" s="8"/>
    </row>
    <row r="5272">
      <c r="C5272" s="15"/>
      <c r="E5272" s="8"/>
      <c r="G5272" s="8"/>
      <c r="J5272" s="8"/>
    </row>
    <row r="5273">
      <c r="C5273" s="15"/>
      <c r="E5273" s="8"/>
      <c r="G5273" s="8"/>
      <c r="J5273" s="8"/>
    </row>
    <row r="5274">
      <c r="C5274" s="15"/>
      <c r="E5274" s="8"/>
      <c r="G5274" s="8"/>
      <c r="J5274" s="8"/>
    </row>
    <row r="5275">
      <c r="C5275" s="15"/>
      <c r="E5275" s="8"/>
      <c r="G5275" s="8"/>
      <c r="J5275" s="8"/>
    </row>
    <row r="5276">
      <c r="C5276" s="15"/>
      <c r="E5276" s="8"/>
      <c r="G5276" s="8"/>
      <c r="J5276" s="8"/>
    </row>
    <row r="5277">
      <c r="C5277" s="15"/>
      <c r="E5277" s="8"/>
      <c r="G5277" s="8"/>
      <c r="J5277" s="8"/>
    </row>
    <row r="5278">
      <c r="C5278" s="15"/>
      <c r="E5278" s="8"/>
      <c r="G5278" s="8"/>
      <c r="J5278" s="8"/>
    </row>
    <row r="5279">
      <c r="C5279" s="15"/>
      <c r="E5279" s="8"/>
      <c r="G5279" s="8"/>
      <c r="J5279" s="8"/>
    </row>
    <row r="5280">
      <c r="C5280" s="15"/>
      <c r="E5280" s="8"/>
      <c r="G5280" s="8"/>
      <c r="J5280" s="8"/>
    </row>
    <row r="5281">
      <c r="C5281" s="15"/>
      <c r="E5281" s="8"/>
      <c r="G5281" s="8"/>
      <c r="J5281" s="8"/>
    </row>
    <row r="5282">
      <c r="C5282" s="15"/>
      <c r="E5282" s="8"/>
      <c r="G5282" s="8"/>
      <c r="J5282" s="8"/>
    </row>
    <row r="5283">
      <c r="C5283" s="15"/>
      <c r="E5283" s="8"/>
      <c r="G5283" s="8"/>
      <c r="J5283" s="8"/>
    </row>
    <row r="5284">
      <c r="C5284" s="15"/>
      <c r="E5284" s="8"/>
      <c r="G5284" s="8"/>
      <c r="J5284" s="8"/>
    </row>
    <row r="5285">
      <c r="C5285" s="15"/>
      <c r="E5285" s="8"/>
      <c r="G5285" s="8"/>
      <c r="J5285" s="8"/>
    </row>
    <row r="5286">
      <c r="C5286" s="15"/>
      <c r="E5286" s="8"/>
      <c r="G5286" s="8"/>
      <c r="J5286" s="8"/>
    </row>
    <row r="5287">
      <c r="C5287" s="15"/>
      <c r="E5287" s="8"/>
      <c r="G5287" s="8"/>
      <c r="J5287" s="8"/>
    </row>
    <row r="5288">
      <c r="C5288" s="15"/>
      <c r="E5288" s="8"/>
      <c r="G5288" s="8"/>
      <c r="J5288" s="8"/>
    </row>
    <row r="5289">
      <c r="C5289" s="15"/>
      <c r="E5289" s="8"/>
      <c r="G5289" s="8"/>
      <c r="J5289" s="8"/>
    </row>
    <row r="5290">
      <c r="C5290" s="15"/>
      <c r="E5290" s="8"/>
      <c r="G5290" s="8"/>
      <c r="J5290" s="8"/>
    </row>
    <row r="5291">
      <c r="C5291" s="15"/>
      <c r="E5291" s="8"/>
      <c r="G5291" s="8"/>
      <c r="J5291" s="8"/>
    </row>
    <row r="5292">
      <c r="C5292" s="15"/>
      <c r="E5292" s="8"/>
      <c r="G5292" s="8"/>
      <c r="J5292" s="8"/>
    </row>
    <row r="5293">
      <c r="C5293" s="15"/>
      <c r="E5293" s="8"/>
      <c r="G5293" s="8"/>
      <c r="J5293" s="8"/>
    </row>
    <row r="5294">
      <c r="C5294" s="15"/>
      <c r="E5294" s="8"/>
      <c r="G5294" s="8"/>
      <c r="J5294" s="8"/>
    </row>
    <row r="5295">
      <c r="C5295" s="15"/>
      <c r="E5295" s="8"/>
      <c r="G5295" s="8"/>
      <c r="J5295" s="8"/>
    </row>
    <row r="5296">
      <c r="C5296" s="15"/>
      <c r="E5296" s="8"/>
      <c r="G5296" s="8"/>
      <c r="J5296" s="8"/>
    </row>
    <row r="5297">
      <c r="C5297" s="15"/>
      <c r="E5297" s="8"/>
      <c r="G5297" s="8"/>
      <c r="J5297" s="8"/>
    </row>
    <row r="5298">
      <c r="C5298" s="15"/>
      <c r="E5298" s="8"/>
      <c r="G5298" s="8"/>
      <c r="J5298" s="8"/>
    </row>
    <row r="5299">
      <c r="C5299" s="15"/>
      <c r="E5299" s="8"/>
      <c r="G5299" s="8"/>
      <c r="J5299" s="8"/>
    </row>
    <row r="5300">
      <c r="C5300" s="15"/>
      <c r="E5300" s="8"/>
      <c r="G5300" s="8"/>
      <c r="J5300" s="8"/>
    </row>
    <row r="5301">
      <c r="C5301" s="15"/>
      <c r="E5301" s="8"/>
      <c r="G5301" s="8"/>
      <c r="J5301" s="8"/>
    </row>
    <row r="5302">
      <c r="C5302" s="15"/>
      <c r="E5302" s="8"/>
      <c r="G5302" s="8"/>
      <c r="J5302" s="8"/>
    </row>
    <row r="5303">
      <c r="C5303" s="15"/>
      <c r="E5303" s="8"/>
      <c r="G5303" s="8"/>
      <c r="J5303" s="8"/>
    </row>
    <row r="5304">
      <c r="C5304" s="15"/>
      <c r="E5304" s="8"/>
      <c r="G5304" s="8"/>
      <c r="J5304" s="8"/>
    </row>
    <row r="5305">
      <c r="C5305" s="15"/>
      <c r="E5305" s="8"/>
      <c r="G5305" s="8"/>
      <c r="J5305" s="8"/>
    </row>
    <row r="5306">
      <c r="C5306" s="15"/>
      <c r="E5306" s="8"/>
      <c r="G5306" s="8"/>
      <c r="J5306" s="8"/>
    </row>
    <row r="5307">
      <c r="C5307" s="15"/>
      <c r="E5307" s="8"/>
      <c r="G5307" s="8"/>
      <c r="J5307" s="8"/>
    </row>
    <row r="5308">
      <c r="C5308" s="15"/>
      <c r="E5308" s="8"/>
      <c r="G5308" s="8"/>
      <c r="J5308" s="8"/>
    </row>
    <row r="5309">
      <c r="C5309" s="15"/>
      <c r="E5309" s="8"/>
      <c r="G5309" s="8"/>
      <c r="J5309" s="8"/>
    </row>
    <row r="5310">
      <c r="C5310" s="15"/>
      <c r="E5310" s="8"/>
      <c r="G5310" s="8"/>
      <c r="J5310" s="8"/>
    </row>
    <row r="5311">
      <c r="C5311" s="15"/>
      <c r="E5311" s="8"/>
      <c r="G5311" s="8"/>
      <c r="J5311" s="8"/>
    </row>
    <row r="5312">
      <c r="C5312" s="15"/>
      <c r="E5312" s="8"/>
      <c r="G5312" s="8"/>
      <c r="J5312" s="8"/>
    </row>
    <row r="5313">
      <c r="C5313" s="15"/>
      <c r="E5313" s="8"/>
      <c r="G5313" s="8"/>
      <c r="J5313" s="8"/>
    </row>
    <row r="5314">
      <c r="C5314" s="15"/>
      <c r="E5314" s="8"/>
      <c r="G5314" s="8"/>
      <c r="J5314" s="8"/>
    </row>
    <row r="5315">
      <c r="C5315" s="15"/>
      <c r="E5315" s="8"/>
      <c r="G5315" s="8"/>
      <c r="J5315" s="8"/>
    </row>
    <row r="5316">
      <c r="C5316" s="15"/>
      <c r="E5316" s="8"/>
      <c r="G5316" s="8"/>
      <c r="J5316" s="8"/>
    </row>
    <row r="5317">
      <c r="C5317" s="15"/>
      <c r="E5317" s="8"/>
      <c r="G5317" s="8"/>
      <c r="J5317" s="8"/>
    </row>
    <row r="5318">
      <c r="C5318" s="15"/>
      <c r="E5318" s="8"/>
      <c r="G5318" s="8"/>
      <c r="J5318" s="8"/>
    </row>
    <row r="5319">
      <c r="C5319" s="15"/>
      <c r="E5319" s="8"/>
      <c r="G5319" s="8"/>
      <c r="J5319" s="8"/>
    </row>
    <row r="5320">
      <c r="C5320" s="15"/>
      <c r="E5320" s="8"/>
      <c r="G5320" s="8"/>
      <c r="J5320" s="8"/>
    </row>
    <row r="5321">
      <c r="C5321" s="15"/>
      <c r="E5321" s="8"/>
      <c r="G5321" s="8"/>
      <c r="J5321" s="8"/>
    </row>
    <row r="5322">
      <c r="C5322" s="15"/>
      <c r="E5322" s="8"/>
      <c r="G5322" s="8"/>
      <c r="J5322" s="8"/>
    </row>
    <row r="5323">
      <c r="C5323" s="15"/>
      <c r="E5323" s="8"/>
      <c r="G5323" s="8"/>
      <c r="J5323" s="8"/>
    </row>
    <row r="5324">
      <c r="C5324" s="15"/>
      <c r="E5324" s="8"/>
      <c r="G5324" s="8"/>
      <c r="J5324" s="8"/>
    </row>
    <row r="5325">
      <c r="C5325" s="15"/>
      <c r="E5325" s="8"/>
      <c r="G5325" s="8"/>
      <c r="J5325" s="8"/>
    </row>
    <row r="5326">
      <c r="C5326" s="15"/>
      <c r="E5326" s="8"/>
      <c r="G5326" s="8"/>
      <c r="J5326" s="8"/>
    </row>
    <row r="5327">
      <c r="C5327" s="15"/>
      <c r="E5327" s="8"/>
      <c r="G5327" s="8"/>
      <c r="J5327" s="8"/>
    </row>
    <row r="5328">
      <c r="C5328" s="15"/>
      <c r="E5328" s="8"/>
      <c r="G5328" s="8"/>
      <c r="J5328" s="8"/>
    </row>
    <row r="5329">
      <c r="C5329" s="15"/>
      <c r="E5329" s="8"/>
      <c r="G5329" s="8"/>
      <c r="J5329" s="8"/>
    </row>
    <row r="5330">
      <c r="C5330" s="15"/>
      <c r="E5330" s="8"/>
      <c r="G5330" s="8"/>
      <c r="J5330" s="8"/>
    </row>
    <row r="5331">
      <c r="C5331" s="15"/>
      <c r="E5331" s="8"/>
      <c r="G5331" s="8"/>
      <c r="J5331" s="8"/>
    </row>
    <row r="5332">
      <c r="C5332" s="15"/>
      <c r="E5332" s="8"/>
      <c r="G5332" s="8"/>
      <c r="J5332" s="8"/>
    </row>
    <row r="5333">
      <c r="C5333" s="15"/>
      <c r="E5333" s="8"/>
      <c r="G5333" s="8"/>
      <c r="J5333" s="8"/>
    </row>
    <row r="5334">
      <c r="C5334" s="15"/>
      <c r="E5334" s="8"/>
      <c r="G5334" s="8"/>
      <c r="J5334" s="8"/>
    </row>
    <row r="5335">
      <c r="C5335" s="15"/>
      <c r="E5335" s="8"/>
      <c r="G5335" s="8"/>
      <c r="J5335" s="8"/>
    </row>
    <row r="5336">
      <c r="C5336" s="15"/>
      <c r="E5336" s="8"/>
      <c r="G5336" s="8"/>
      <c r="J5336" s="8"/>
    </row>
    <row r="5337">
      <c r="C5337" s="15"/>
      <c r="E5337" s="8"/>
      <c r="G5337" s="8"/>
      <c r="J5337" s="8"/>
    </row>
    <row r="5338">
      <c r="C5338" s="15"/>
      <c r="E5338" s="8"/>
      <c r="G5338" s="8"/>
      <c r="J5338" s="8"/>
    </row>
    <row r="5339">
      <c r="C5339" s="15"/>
      <c r="E5339" s="8"/>
      <c r="G5339" s="8"/>
      <c r="J5339" s="8"/>
    </row>
    <row r="5340">
      <c r="C5340" s="15"/>
      <c r="E5340" s="8"/>
      <c r="G5340" s="8"/>
      <c r="J5340" s="8"/>
    </row>
    <row r="5341">
      <c r="C5341" s="15"/>
      <c r="E5341" s="8"/>
      <c r="G5341" s="8"/>
      <c r="J5341" s="8"/>
    </row>
    <row r="5342">
      <c r="C5342" s="15"/>
      <c r="E5342" s="8"/>
      <c r="G5342" s="8"/>
      <c r="J5342" s="8"/>
    </row>
    <row r="5343">
      <c r="C5343" s="15"/>
      <c r="E5343" s="8"/>
      <c r="G5343" s="8"/>
      <c r="J5343" s="8"/>
    </row>
    <row r="5344">
      <c r="C5344" s="15"/>
      <c r="E5344" s="8"/>
      <c r="G5344" s="8"/>
      <c r="J5344" s="8"/>
    </row>
    <row r="5345">
      <c r="C5345" s="15"/>
      <c r="E5345" s="8"/>
      <c r="G5345" s="8"/>
      <c r="J5345" s="8"/>
    </row>
    <row r="5346">
      <c r="C5346" s="15"/>
      <c r="E5346" s="8"/>
      <c r="G5346" s="8"/>
      <c r="J5346" s="8"/>
    </row>
    <row r="5347">
      <c r="C5347" s="15"/>
      <c r="E5347" s="8"/>
      <c r="G5347" s="8"/>
      <c r="J5347" s="8"/>
    </row>
    <row r="5348">
      <c r="C5348" s="15"/>
      <c r="E5348" s="8"/>
      <c r="G5348" s="8"/>
      <c r="J5348" s="8"/>
    </row>
    <row r="5349">
      <c r="C5349" s="15"/>
      <c r="E5349" s="8"/>
      <c r="G5349" s="8"/>
      <c r="J5349" s="8"/>
    </row>
    <row r="5350">
      <c r="C5350" s="15"/>
      <c r="E5350" s="8"/>
      <c r="G5350" s="8"/>
      <c r="J5350" s="8"/>
    </row>
    <row r="5351">
      <c r="C5351" s="15"/>
      <c r="E5351" s="8"/>
      <c r="G5351" s="8"/>
      <c r="J5351" s="8"/>
    </row>
    <row r="5352">
      <c r="C5352" s="15"/>
      <c r="E5352" s="8"/>
      <c r="G5352" s="8"/>
      <c r="J5352" s="8"/>
    </row>
    <row r="5353">
      <c r="C5353" s="15"/>
      <c r="E5353" s="8"/>
      <c r="G5353" s="8"/>
      <c r="J5353" s="8"/>
    </row>
    <row r="5354">
      <c r="C5354" s="15"/>
      <c r="E5354" s="8"/>
      <c r="G5354" s="8"/>
      <c r="J5354" s="8"/>
    </row>
    <row r="5355">
      <c r="C5355" s="15"/>
      <c r="E5355" s="8"/>
      <c r="G5355" s="8"/>
      <c r="J5355" s="8"/>
    </row>
    <row r="5356">
      <c r="C5356" s="15"/>
      <c r="E5356" s="8"/>
      <c r="G5356" s="8"/>
      <c r="J5356" s="8"/>
    </row>
    <row r="5357">
      <c r="C5357" s="15"/>
      <c r="E5357" s="8"/>
      <c r="G5357" s="8"/>
      <c r="J5357" s="8"/>
    </row>
    <row r="5358">
      <c r="C5358" s="15"/>
      <c r="E5358" s="8"/>
      <c r="G5358" s="8"/>
      <c r="J5358" s="8"/>
    </row>
    <row r="5359">
      <c r="C5359" s="15"/>
      <c r="E5359" s="8"/>
      <c r="G5359" s="8"/>
      <c r="J5359" s="8"/>
    </row>
    <row r="5360">
      <c r="C5360" s="15"/>
      <c r="E5360" s="8"/>
      <c r="G5360" s="8"/>
      <c r="J5360" s="8"/>
    </row>
    <row r="5361">
      <c r="C5361" s="15"/>
      <c r="E5361" s="8"/>
      <c r="G5361" s="8"/>
      <c r="J5361" s="8"/>
    </row>
    <row r="5362">
      <c r="C5362" s="15"/>
      <c r="E5362" s="8"/>
      <c r="G5362" s="8"/>
      <c r="J5362" s="8"/>
    </row>
    <row r="5363">
      <c r="C5363" s="15"/>
      <c r="E5363" s="8"/>
      <c r="G5363" s="8"/>
      <c r="J5363" s="8"/>
    </row>
    <row r="5364">
      <c r="C5364" s="15"/>
      <c r="E5364" s="8"/>
      <c r="G5364" s="8"/>
      <c r="J5364" s="8"/>
    </row>
    <row r="5365">
      <c r="C5365" s="15"/>
      <c r="E5365" s="8"/>
      <c r="G5365" s="8"/>
      <c r="J5365" s="8"/>
    </row>
    <row r="5366">
      <c r="C5366" s="15"/>
      <c r="E5366" s="8"/>
      <c r="G5366" s="8"/>
      <c r="J5366" s="8"/>
    </row>
    <row r="5367">
      <c r="C5367" s="15"/>
      <c r="E5367" s="8"/>
      <c r="G5367" s="8"/>
      <c r="J5367" s="8"/>
    </row>
    <row r="5368">
      <c r="C5368" s="15"/>
      <c r="E5368" s="8"/>
      <c r="G5368" s="8"/>
      <c r="J5368" s="8"/>
    </row>
    <row r="5369">
      <c r="C5369" s="15"/>
      <c r="E5369" s="8"/>
      <c r="G5369" s="8"/>
      <c r="J5369" s="8"/>
    </row>
    <row r="5370">
      <c r="C5370" s="15"/>
      <c r="E5370" s="8"/>
      <c r="G5370" s="8"/>
      <c r="J5370" s="8"/>
    </row>
    <row r="5371">
      <c r="C5371" s="15"/>
      <c r="E5371" s="8"/>
      <c r="G5371" s="8"/>
      <c r="J5371" s="8"/>
    </row>
    <row r="5372">
      <c r="C5372" s="15"/>
      <c r="E5372" s="8"/>
      <c r="G5372" s="8"/>
      <c r="J5372" s="8"/>
    </row>
    <row r="5373">
      <c r="C5373" s="15"/>
      <c r="E5373" s="8"/>
      <c r="G5373" s="8"/>
      <c r="J5373" s="8"/>
    </row>
    <row r="5374">
      <c r="C5374" s="15"/>
      <c r="E5374" s="8"/>
      <c r="G5374" s="8"/>
      <c r="J5374" s="8"/>
    </row>
    <row r="5375">
      <c r="C5375" s="15"/>
      <c r="E5375" s="8"/>
      <c r="G5375" s="8"/>
      <c r="J5375" s="8"/>
    </row>
    <row r="5376">
      <c r="C5376" s="15"/>
      <c r="E5376" s="8"/>
      <c r="G5376" s="8"/>
      <c r="J5376" s="8"/>
    </row>
    <row r="5377">
      <c r="C5377" s="15"/>
      <c r="E5377" s="8"/>
      <c r="G5377" s="8"/>
      <c r="J5377" s="8"/>
    </row>
    <row r="5378">
      <c r="C5378" s="15"/>
      <c r="E5378" s="8"/>
      <c r="G5378" s="8"/>
      <c r="J5378" s="8"/>
    </row>
    <row r="5379">
      <c r="C5379" s="15"/>
      <c r="E5379" s="8"/>
      <c r="G5379" s="8"/>
      <c r="J5379" s="8"/>
    </row>
    <row r="5380">
      <c r="C5380" s="15"/>
      <c r="E5380" s="8"/>
      <c r="G5380" s="8"/>
      <c r="J5380" s="8"/>
    </row>
    <row r="5381">
      <c r="C5381" s="15"/>
      <c r="E5381" s="8"/>
      <c r="G5381" s="8"/>
      <c r="J5381" s="8"/>
    </row>
    <row r="5382">
      <c r="C5382" s="15"/>
      <c r="E5382" s="8"/>
      <c r="G5382" s="8"/>
      <c r="J5382" s="8"/>
    </row>
    <row r="5383">
      <c r="C5383" s="15"/>
      <c r="E5383" s="8"/>
      <c r="G5383" s="8"/>
      <c r="J5383" s="8"/>
    </row>
    <row r="5384">
      <c r="C5384" s="15"/>
      <c r="E5384" s="8"/>
      <c r="G5384" s="8"/>
      <c r="J5384" s="8"/>
    </row>
    <row r="5385">
      <c r="C5385" s="15"/>
      <c r="E5385" s="8"/>
      <c r="G5385" s="8"/>
      <c r="J5385" s="8"/>
    </row>
    <row r="5386">
      <c r="C5386" s="15"/>
      <c r="E5386" s="8"/>
      <c r="G5386" s="8"/>
      <c r="J5386" s="8"/>
    </row>
    <row r="5387">
      <c r="C5387" s="15"/>
      <c r="E5387" s="8"/>
      <c r="G5387" s="8"/>
      <c r="J5387" s="8"/>
    </row>
    <row r="5388">
      <c r="C5388" s="15"/>
      <c r="E5388" s="8"/>
      <c r="G5388" s="8"/>
      <c r="J5388" s="8"/>
    </row>
    <row r="5389">
      <c r="C5389" s="15"/>
      <c r="E5389" s="8"/>
      <c r="G5389" s="8"/>
      <c r="J5389" s="8"/>
    </row>
    <row r="5390">
      <c r="C5390" s="15"/>
      <c r="E5390" s="8"/>
      <c r="G5390" s="8"/>
      <c r="J5390" s="8"/>
    </row>
    <row r="5391">
      <c r="C5391" s="15"/>
      <c r="E5391" s="8"/>
      <c r="G5391" s="8"/>
      <c r="J5391" s="8"/>
    </row>
    <row r="5392">
      <c r="C5392" s="15"/>
      <c r="E5392" s="8"/>
      <c r="G5392" s="8"/>
      <c r="J5392" s="8"/>
    </row>
    <row r="5393">
      <c r="C5393" s="15"/>
      <c r="E5393" s="8"/>
      <c r="G5393" s="8"/>
      <c r="J5393" s="8"/>
    </row>
    <row r="5394">
      <c r="C5394" s="15"/>
      <c r="E5394" s="8"/>
      <c r="G5394" s="8"/>
      <c r="J5394" s="8"/>
    </row>
    <row r="5395">
      <c r="C5395" s="15"/>
      <c r="E5395" s="8"/>
      <c r="G5395" s="8"/>
      <c r="J5395" s="8"/>
    </row>
    <row r="5396">
      <c r="C5396" s="15"/>
      <c r="E5396" s="8"/>
      <c r="G5396" s="8"/>
      <c r="J5396" s="8"/>
    </row>
    <row r="5397">
      <c r="C5397" s="15"/>
      <c r="E5397" s="8"/>
      <c r="G5397" s="8"/>
      <c r="J5397" s="8"/>
    </row>
    <row r="5398">
      <c r="C5398" s="15"/>
      <c r="E5398" s="8"/>
      <c r="G5398" s="8"/>
      <c r="J5398" s="8"/>
    </row>
    <row r="5399">
      <c r="C5399" s="15"/>
      <c r="E5399" s="8"/>
      <c r="G5399" s="8"/>
      <c r="J5399" s="8"/>
    </row>
    <row r="5400">
      <c r="C5400" s="15"/>
      <c r="E5400" s="8"/>
      <c r="G5400" s="8"/>
      <c r="J5400" s="8"/>
    </row>
    <row r="5401">
      <c r="C5401" s="15"/>
      <c r="E5401" s="8"/>
      <c r="G5401" s="8"/>
      <c r="J5401" s="8"/>
    </row>
    <row r="5402">
      <c r="C5402" s="15"/>
      <c r="E5402" s="8"/>
      <c r="G5402" s="8"/>
      <c r="J5402" s="8"/>
    </row>
    <row r="5403">
      <c r="C5403" s="15"/>
      <c r="E5403" s="8"/>
      <c r="G5403" s="8"/>
      <c r="J5403" s="8"/>
    </row>
    <row r="5404">
      <c r="C5404" s="15"/>
      <c r="E5404" s="8"/>
      <c r="G5404" s="8"/>
      <c r="J5404" s="8"/>
    </row>
    <row r="5405">
      <c r="C5405" s="15"/>
      <c r="E5405" s="8"/>
      <c r="G5405" s="8"/>
      <c r="J5405" s="8"/>
    </row>
    <row r="5406">
      <c r="C5406" s="15"/>
      <c r="E5406" s="8"/>
      <c r="G5406" s="8"/>
      <c r="J5406" s="8"/>
    </row>
    <row r="5407">
      <c r="C5407" s="15"/>
      <c r="E5407" s="8"/>
      <c r="G5407" s="8"/>
      <c r="J5407" s="8"/>
    </row>
    <row r="5408">
      <c r="C5408" s="15"/>
      <c r="E5408" s="8"/>
      <c r="G5408" s="8"/>
      <c r="J5408" s="8"/>
    </row>
    <row r="5409">
      <c r="C5409" s="15"/>
      <c r="E5409" s="8"/>
      <c r="G5409" s="8"/>
      <c r="J5409" s="8"/>
    </row>
    <row r="5410">
      <c r="C5410" s="15"/>
      <c r="E5410" s="8"/>
      <c r="G5410" s="8"/>
      <c r="J5410" s="8"/>
    </row>
    <row r="5411">
      <c r="C5411" s="15"/>
      <c r="E5411" s="8"/>
      <c r="G5411" s="8"/>
      <c r="J5411" s="8"/>
    </row>
    <row r="5412">
      <c r="C5412" s="15"/>
      <c r="E5412" s="8"/>
      <c r="G5412" s="8"/>
      <c r="J5412" s="8"/>
    </row>
    <row r="5413">
      <c r="C5413" s="15"/>
      <c r="E5413" s="8"/>
      <c r="G5413" s="8"/>
      <c r="J5413" s="8"/>
    </row>
    <row r="5414">
      <c r="C5414" s="15"/>
      <c r="E5414" s="8"/>
      <c r="G5414" s="8"/>
      <c r="J5414" s="8"/>
    </row>
    <row r="5415">
      <c r="C5415" s="15"/>
      <c r="E5415" s="8"/>
      <c r="G5415" s="8"/>
      <c r="J5415" s="8"/>
    </row>
    <row r="5416">
      <c r="C5416" s="15"/>
      <c r="E5416" s="8"/>
      <c r="G5416" s="8"/>
      <c r="J5416" s="8"/>
    </row>
    <row r="5417">
      <c r="C5417" s="15"/>
      <c r="E5417" s="8"/>
      <c r="G5417" s="8"/>
      <c r="J5417" s="8"/>
    </row>
    <row r="5418">
      <c r="C5418" s="15"/>
      <c r="E5418" s="8"/>
      <c r="G5418" s="8"/>
      <c r="J5418" s="8"/>
    </row>
    <row r="5419">
      <c r="C5419" s="15"/>
      <c r="E5419" s="8"/>
      <c r="G5419" s="8"/>
      <c r="J5419" s="8"/>
    </row>
    <row r="5420">
      <c r="C5420" s="15"/>
      <c r="E5420" s="8"/>
      <c r="G5420" s="8"/>
      <c r="J5420" s="8"/>
    </row>
    <row r="5421">
      <c r="C5421" s="15"/>
      <c r="E5421" s="8"/>
      <c r="G5421" s="8"/>
      <c r="J5421" s="8"/>
    </row>
    <row r="5422">
      <c r="C5422" s="15"/>
      <c r="E5422" s="8"/>
      <c r="G5422" s="8"/>
      <c r="J5422" s="8"/>
    </row>
    <row r="5423">
      <c r="C5423" s="15"/>
      <c r="E5423" s="8"/>
      <c r="G5423" s="8"/>
      <c r="J5423" s="8"/>
    </row>
    <row r="5424">
      <c r="C5424" s="15"/>
      <c r="E5424" s="8"/>
      <c r="G5424" s="8"/>
      <c r="J5424" s="8"/>
    </row>
    <row r="5425">
      <c r="C5425" s="15"/>
      <c r="E5425" s="8"/>
      <c r="G5425" s="8"/>
      <c r="J5425" s="8"/>
    </row>
    <row r="5426">
      <c r="C5426" s="15"/>
      <c r="E5426" s="8"/>
      <c r="G5426" s="8"/>
      <c r="J5426" s="8"/>
    </row>
    <row r="5427">
      <c r="C5427" s="15"/>
      <c r="E5427" s="8"/>
      <c r="G5427" s="8"/>
      <c r="J5427" s="8"/>
    </row>
    <row r="5428">
      <c r="C5428" s="15"/>
      <c r="E5428" s="8"/>
      <c r="G5428" s="8"/>
      <c r="J5428" s="8"/>
    </row>
    <row r="5429">
      <c r="C5429" s="15"/>
      <c r="E5429" s="8"/>
      <c r="G5429" s="8"/>
      <c r="J5429" s="8"/>
    </row>
    <row r="5430">
      <c r="C5430" s="15"/>
      <c r="E5430" s="8"/>
      <c r="G5430" s="8"/>
      <c r="J5430" s="8"/>
    </row>
    <row r="5431">
      <c r="C5431" s="15"/>
      <c r="E5431" s="8"/>
      <c r="G5431" s="8"/>
      <c r="J5431" s="8"/>
    </row>
    <row r="5432">
      <c r="C5432" s="15"/>
      <c r="E5432" s="8"/>
      <c r="G5432" s="8"/>
      <c r="J5432" s="8"/>
    </row>
    <row r="5433">
      <c r="C5433" s="15"/>
      <c r="E5433" s="8"/>
      <c r="G5433" s="8"/>
      <c r="J5433" s="8"/>
    </row>
    <row r="5434">
      <c r="C5434" s="15"/>
      <c r="E5434" s="8"/>
      <c r="G5434" s="8"/>
      <c r="J5434" s="8"/>
    </row>
    <row r="5435">
      <c r="C5435" s="15"/>
      <c r="E5435" s="8"/>
      <c r="G5435" s="8"/>
      <c r="J5435" s="8"/>
    </row>
    <row r="5436">
      <c r="C5436" s="15"/>
      <c r="E5436" s="8"/>
      <c r="G5436" s="8"/>
      <c r="J5436" s="8"/>
    </row>
    <row r="5437">
      <c r="C5437" s="15"/>
      <c r="E5437" s="8"/>
      <c r="G5437" s="8"/>
      <c r="J5437" s="8"/>
    </row>
    <row r="5438">
      <c r="C5438" s="15"/>
      <c r="E5438" s="8"/>
      <c r="G5438" s="8"/>
      <c r="J5438" s="8"/>
    </row>
    <row r="5439">
      <c r="C5439" s="15"/>
      <c r="E5439" s="8"/>
      <c r="G5439" s="8"/>
      <c r="J5439" s="8"/>
    </row>
    <row r="5440">
      <c r="C5440" s="15"/>
      <c r="E5440" s="8"/>
      <c r="G5440" s="8"/>
      <c r="J5440" s="8"/>
    </row>
    <row r="5441">
      <c r="C5441" s="15"/>
      <c r="E5441" s="8"/>
      <c r="G5441" s="8"/>
      <c r="J5441" s="8"/>
    </row>
    <row r="5442">
      <c r="C5442" s="15"/>
      <c r="E5442" s="8"/>
      <c r="G5442" s="8"/>
      <c r="J5442" s="8"/>
    </row>
    <row r="5443">
      <c r="C5443" s="15"/>
      <c r="E5443" s="8"/>
      <c r="G5443" s="8"/>
      <c r="J5443" s="8"/>
    </row>
    <row r="5444">
      <c r="C5444" s="15"/>
      <c r="E5444" s="8"/>
      <c r="G5444" s="8"/>
      <c r="J5444" s="8"/>
    </row>
    <row r="5445">
      <c r="C5445" s="15"/>
      <c r="E5445" s="8"/>
      <c r="G5445" s="8"/>
      <c r="J5445" s="8"/>
    </row>
    <row r="5446">
      <c r="C5446" s="15"/>
      <c r="E5446" s="8"/>
      <c r="G5446" s="8"/>
      <c r="J5446" s="8"/>
    </row>
    <row r="5447">
      <c r="C5447" s="15"/>
      <c r="E5447" s="8"/>
      <c r="G5447" s="8"/>
      <c r="J5447" s="8"/>
    </row>
    <row r="5448">
      <c r="C5448" s="15"/>
      <c r="E5448" s="8"/>
      <c r="G5448" s="8"/>
      <c r="J5448" s="8"/>
    </row>
    <row r="5449">
      <c r="C5449" s="15"/>
      <c r="E5449" s="8"/>
      <c r="G5449" s="8"/>
      <c r="J5449" s="8"/>
    </row>
    <row r="5450">
      <c r="C5450" s="15"/>
      <c r="E5450" s="8"/>
      <c r="G5450" s="8"/>
      <c r="J5450" s="8"/>
    </row>
    <row r="5451">
      <c r="C5451" s="15"/>
      <c r="E5451" s="8"/>
      <c r="G5451" s="8"/>
      <c r="J5451" s="8"/>
    </row>
    <row r="5452">
      <c r="C5452" s="15"/>
      <c r="E5452" s="8"/>
      <c r="G5452" s="8"/>
      <c r="J5452" s="8"/>
    </row>
    <row r="5453">
      <c r="C5453" s="15"/>
      <c r="E5453" s="8"/>
      <c r="G5453" s="8"/>
      <c r="J5453" s="8"/>
    </row>
    <row r="5454">
      <c r="C5454" s="15"/>
      <c r="E5454" s="8"/>
      <c r="G5454" s="8"/>
      <c r="J5454" s="8"/>
    </row>
    <row r="5455">
      <c r="C5455" s="15"/>
      <c r="E5455" s="8"/>
      <c r="G5455" s="8"/>
      <c r="J5455" s="8"/>
    </row>
    <row r="5456">
      <c r="C5456" s="15"/>
      <c r="E5456" s="8"/>
      <c r="G5456" s="8"/>
      <c r="J5456" s="8"/>
    </row>
    <row r="5457">
      <c r="C5457" s="15"/>
      <c r="E5457" s="8"/>
      <c r="G5457" s="8"/>
      <c r="J5457" s="8"/>
    </row>
    <row r="5458">
      <c r="C5458" s="15"/>
      <c r="E5458" s="8"/>
      <c r="G5458" s="8"/>
      <c r="J5458" s="8"/>
    </row>
    <row r="5459">
      <c r="C5459" s="15"/>
      <c r="E5459" s="8"/>
      <c r="G5459" s="8"/>
      <c r="J5459" s="8"/>
    </row>
    <row r="5460">
      <c r="C5460" s="15"/>
      <c r="E5460" s="8"/>
      <c r="G5460" s="8"/>
      <c r="J5460" s="8"/>
    </row>
    <row r="5461">
      <c r="C5461" s="15"/>
      <c r="E5461" s="8"/>
      <c r="G5461" s="8"/>
      <c r="J5461" s="8"/>
    </row>
    <row r="5462">
      <c r="C5462" s="15"/>
      <c r="E5462" s="8"/>
      <c r="G5462" s="8"/>
      <c r="J5462" s="8"/>
    </row>
    <row r="5463">
      <c r="C5463" s="15"/>
      <c r="E5463" s="8"/>
      <c r="G5463" s="8"/>
      <c r="J5463" s="8"/>
    </row>
    <row r="5464">
      <c r="C5464" s="15"/>
      <c r="E5464" s="8"/>
      <c r="G5464" s="8"/>
      <c r="J5464" s="8"/>
    </row>
    <row r="5465">
      <c r="C5465" s="15"/>
      <c r="E5465" s="8"/>
      <c r="G5465" s="8"/>
      <c r="J5465" s="8"/>
    </row>
    <row r="5466">
      <c r="C5466" s="15"/>
      <c r="E5466" s="8"/>
      <c r="G5466" s="8"/>
      <c r="J5466" s="8"/>
    </row>
    <row r="5467">
      <c r="C5467" s="15"/>
      <c r="E5467" s="8"/>
      <c r="G5467" s="8"/>
      <c r="J5467" s="8"/>
    </row>
    <row r="5468">
      <c r="C5468" s="15"/>
      <c r="E5468" s="8"/>
      <c r="G5468" s="8"/>
      <c r="J5468" s="8"/>
    </row>
    <row r="5469">
      <c r="C5469" s="15"/>
      <c r="E5469" s="8"/>
      <c r="G5469" s="8"/>
      <c r="J5469" s="8"/>
    </row>
    <row r="5470">
      <c r="C5470" s="15"/>
      <c r="E5470" s="8"/>
      <c r="G5470" s="8"/>
      <c r="J5470" s="8"/>
    </row>
    <row r="5471">
      <c r="C5471" s="15"/>
      <c r="E5471" s="8"/>
      <c r="G5471" s="8"/>
      <c r="J5471" s="8"/>
    </row>
    <row r="5472">
      <c r="C5472" s="15"/>
      <c r="E5472" s="8"/>
      <c r="G5472" s="8"/>
      <c r="J5472" s="8"/>
    </row>
    <row r="5473">
      <c r="C5473" s="15"/>
      <c r="E5473" s="8"/>
      <c r="G5473" s="8"/>
      <c r="J5473" s="8"/>
    </row>
    <row r="5474">
      <c r="C5474" s="15"/>
      <c r="E5474" s="8"/>
      <c r="G5474" s="8"/>
      <c r="J5474" s="8"/>
    </row>
    <row r="5475">
      <c r="C5475" s="15"/>
      <c r="E5475" s="8"/>
      <c r="G5475" s="8"/>
      <c r="J5475" s="8"/>
    </row>
    <row r="5476">
      <c r="C5476" s="15"/>
      <c r="E5476" s="8"/>
      <c r="G5476" s="8"/>
      <c r="J5476" s="8"/>
    </row>
    <row r="5477">
      <c r="C5477" s="15"/>
      <c r="E5477" s="8"/>
      <c r="G5477" s="8"/>
      <c r="J5477" s="8"/>
    </row>
    <row r="5478">
      <c r="C5478" s="15"/>
      <c r="E5478" s="8"/>
      <c r="G5478" s="8"/>
      <c r="J5478" s="8"/>
    </row>
    <row r="5479">
      <c r="C5479" s="15"/>
      <c r="E5479" s="8"/>
      <c r="G5479" s="8"/>
      <c r="J5479" s="8"/>
    </row>
    <row r="5480">
      <c r="C5480" s="15"/>
      <c r="E5480" s="8"/>
      <c r="G5480" s="8"/>
      <c r="J5480" s="8"/>
    </row>
    <row r="5481">
      <c r="C5481" s="15"/>
      <c r="E5481" s="8"/>
      <c r="G5481" s="8"/>
      <c r="J5481" s="8"/>
    </row>
    <row r="5482">
      <c r="C5482" s="15"/>
      <c r="E5482" s="8"/>
      <c r="G5482" s="8"/>
      <c r="J5482" s="8"/>
    </row>
    <row r="5483">
      <c r="C5483" s="15"/>
      <c r="E5483" s="8"/>
      <c r="G5483" s="8"/>
      <c r="J5483" s="8"/>
    </row>
    <row r="5484">
      <c r="C5484" s="15"/>
      <c r="E5484" s="8"/>
      <c r="G5484" s="8"/>
      <c r="J5484" s="8"/>
    </row>
    <row r="5485">
      <c r="C5485" s="15"/>
      <c r="E5485" s="8"/>
      <c r="G5485" s="8"/>
      <c r="J5485" s="8"/>
    </row>
    <row r="5486">
      <c r="C5486" s="15"/>
      <c r="E5486" s="8"/>
      <c r="G5486" s="8"/>
      <c r="J5486" s="8"/>
    </row>
    <row r="5487">
      <c r="C5487" s="15"/>
      <c r="E5487" s="8"/>
      <c r="G5487" s="8"/>
      <c r="J5487" s="8"/>
    </row>
    <row r="5488">
      <c r="C5488" s="15"/>
      <c r="E5488" s="8"/>
      <c r="G5488" s="8"/>
      <c r="J5488" s="8"/>
    </row>
    <row r="5489">
      <c r="C5489" s="15"/>
      <c r="E5489" s="8"/>
      <c r="G5489" s="8"/>
      <c r="J5489" s="8"/>
    </row>
    <row r="5490">
      <c r="C5490" s="15"/>
      <c r="E5490" s="8"/>
      <c r="G5490" s="8"/>
      <c r="J5490" s="8"/>
    </row>
    <row r="5491">
      <c r="C5491" s="15"/>
      <c r="E5491" s="8"/>
      <c r="G5491" s="8"/>
      <c r="J5491" s="8"/>
    </row>
    <row r="5492">
      <c r="C5492" s="15"/>
      <c r="E5492" s="8"/>
      <c r="G5492" s="8"/>
      <c r="J5492" s="8"/>
    </row>
    <row r="5493">
      <c r="C5493" s="15"/>
      <c r="E5493" s="8"/>
      <c r="G5493" s="8"/>
      <c r="J5493" s="8"/>
    </row>
    <row r="5494">
      <c r="C5494" s="15"/>
      <c r="E5494" s="8"/>
      <c r="G5494" s="8"/>
      <c r="J5494" s="8"/>
    </row>
    <row r="5495">
      <c r="C5495" s="15"/>
      <c r="E5495" s="8"/>
      <c r="G5495" s="8"/>
      <c r="J5495" s="8"/>
    </row>
    <row r="5496">
      <c r="C5496" s="15"/>
      <c r="E5496" s="8"/>
      <c r="G5496" s="8"/>
      <c r="J5496" s="8"/>
    </row>
    <row r="5497">
      <c r="C5497" s="15"/>
      <c r="E5497" s="8"/>
      <c r="G5497" s="8"/>
      <c r="J5497" s="8"/>
    </row>
    <row r="5498">
      <c r="C5498" s="15"/>
      <c r="E5498" s="8"/>
      <c r="G5498" s="8"/>
      <c r="J5498" s="8"/>
    </row>
    <row r="5499">
      <c r="C5499" s="15"/>
      <c r="E5499" s="8"/>
      <c r="G5499" s="8"/>
      <c r="J5499" s="8"/>
    </row>
    <row r="5500">
      <c r="C5500" s="15"/>
      <c r="E5500" s="8"/>
      <c r="G5500" s="8"/>
      <c r="J5500" s="8"/>
    </row>
    <row r="5501">
      <c r="C5501" s="15"/>
      <c r="E5501" s="8"/>
      <c r="G5501" s="8"/>
      <c r="J5501" s="8"/>
    </row>
    <row r="5502">
      <c r="C5502" s="15"/>
      <c r="E5502" s="8"/>
      <c r="G5502" s="8"/>
      <c r="J5502" s="8"/>
    </row>
    <row r="5503">
      <c r="C5503" s="15"/>
      <c r="E5503" s="8"/>
      <c r="G5503" s="8"/>
      <c r="J5503" s="8"/>
    </row>
    <row r="5504">
      <c r="C5504" s="15"/>
      <c r="E5504" s="8"/>
      <c r="G5504" s="8"/>
      <c r="J5504" s="8"/>
    </row>
    <row r="5505">
      <c r="C5505" s="15"/>
      <c r="E5505" s="8"/>
      <c r="G5505" s="8"/>
      <c r="J5505" s="8"/>
    </row>
    <row r="5506">
      <c r="C5506" s="15"/>
      <c r="E5506" s="8"/>
      <c r="G5506" s="8"/>
      <c r="J5506" s="8"/>
    </row>
    <row r="5507">
      <c r="C5507" s="15"/>
      <c r="E5507" s="8"/>
      <c r="G5507" s="8"/>
      <c r="J5507" s="8"/>
    </row>
    <row r="5508">
      <c r="C5508" s="15"/>
      <c r="E5508" s="8"/>
      <c r="G5508" s="8"/>
      <c r="J5508" s="8"/>
    </row>
    <row r="5509">
      <c r="C5509" s="15"/>
      <c r="E5509" s="8"/>
      <c r="G5509" s="8"/>
      <c r="J5509" s="8"/>
    </row>
    <row r="5510">
      <c r="C5510" s="15"/>
      <c r="E5510" s="8"/>
      <c r="G5510" s="8"/>
      <c r="J5510" s="8"/>
    </row>
    <row r="5511">
      <c r="C5511" s="15"/>
      <c r="E5511" s="8"/>
      <c r="G5511" s="8"/>
      <c r="J5511" s="8"/>
    </row>
    <row r="5512">
      <c r="C5512" s="15"/>
      <c r="E5512" s="8"/>
      <c r="G5512" s="8"/>
      <c r="J5512" s="8"/>
    </row>
    <row r="5513">
      <c r="C5513" s="15"/>
      <c r="E5513" s="8"/>
      <c r="G5513" s="8"/>
      <c r="J5513" s="8"/>
    </row>
    <row r="5514">
      <c r="C5514" s="15"/>
      <c r="E5514" s="8"/>
      <c r="G5514" s="8"/>
      <c r="J5514" s="8"/>
    </row>
    <row r="5515">
      <c r="C5515" s="15"/>
      <c r="E5515" s="8"/>
      <c r="G5515" s="8"/>
      <c r="J5515" s="8"/>
    </row>
    <row r="5516">
      <c r="C5516" s="15"/>
      <c r="E5516" s="8"/>
      <c r="G5516" s="8"/>
      <c r="J5516" s="8"/>
    </row>
    <row r="5517">
      <c r="C5517" s="15"/>
      <c r="E5517" s="8"/>
      <c r="G5517" s="8"/>
      <c r="J5517" s="8"/>
    </row>
    <row r="5518">
      <c r="C5518" s="15"/>
      <c r="E5518" s="8"/>
      <c r="G5518" s="8"/>
      <c r="J5518" s="8"/>
    </row>
    <row r="5519">
      <c r="C5519" s="15"/>
      <c r="E5519" s="8"/>
      <c r="G5519" s="8"/>
      <c r="J5519" s="8"/>
    </row>
    <row r="5520">
      <c r="C5520" s="15"/>
      <c r="E5520" s="8"/>
      <c r="G5520" s="8"/>
      <c r="J5520" s="8"/>
    </row>
    <row r="5521">
      <c r="C5521" s="15"/>
      <c r="E5521" s="8"/>
      <c r="G5521" s="8"/>
      <c r="J5521" s="8"/>
    </row>
    <row r="5522">
      <c r="C5522" s="15"/>
      <c r="E5522" s="8"/>
      <c r="G5522" s="8"/>
      <c r="J5522" s="8"/>
    </row>
    <row r="5523">
      <c r="C5523" s="15"/>
      <c r="E5523" s="8"/>
      <c r="G5523" s="8"/>
      <c r="J5523" s="8"/>
    </row>
    <row r="5524">
      <c r="C5524" s="15"/>
      <c r="E5524" s="8"/>
      <c r="G5524" s="8"/>
      <c r="J5524" s="8"/>
    </row>
    <row r="5525">
      <c r="C5525" s="15"/>
      <c r="E5525" s="8"/>
      <c r="G5525" s="8"/>
      <c r="J5525" s="8"/>
    </row>
    <row r="5526">
      <c r="C5526" s="15"/>
      <c r="E5526" s="8"/>
      <c r="G5526" s="8"/>
      <c r="J5526" s="8"/>
    </row>
    <row r="5527">
      <c r="C5527" s="15"/>
      <c r="E5527" s="8"/>
      <c r="G5527" s="8"/>
      <c r="J5527" s="8"/>
    </row>
    <row r="5528">
      <c r="C5528" s="15"/>
      <c r="E5528" s="8"/>
      <c r="G5528" s="8"/>
      <c r="J5528" s="8"/>
    </row>
    <row r="5529">
      <c r="C5529" s="15"/>
      <c r="E5529" s="8"/>
      <c r="G5529" s="8"/>
      <c r="J5529" s="8"/>
    </row>
    <row r="5530">
      <c r="C5530" s="15"/>
      <c r="E5530" s="8"/>
      <c r="G5530" s="8"/>
      <c r="J5530" s="8"/>
    </row>
    <row r="5531">
      <c r="C5531" s="15"/>
      <c r="E5531" s="8"/>
      <c r="G5531" s="8"/>
      <c r="J5531" s="8"/>
    </row>
    <row r="5532">
      <c r="C5532" s="15"/>
      <c r="E5532" s="8"/>
      <c r="G5532" s="8"/>
      <c r="J5532" s="8"/>
    </row>
    <row r="5533">
      <c r="C5533" s="15"/>
      <c r="E5533" s="8"/>
      <c r="G5533" s="8"/>
      <c r="J5533" s="8"/>
    </row>
    <row r="5534">
      <c r="C5534" s="15"/>
      <c r="E5534" s="8"/>
      <c r="G5534" s="8"/>
      <c r="J5534" s="8"/>
    </row>
    <row r="5535">
      <c r="C5535" s="15"/>
      <c r="E5535" s="8"/>
      <c r="G5535" s="8"/>
      <c r="J5535" s="8"/>
    </row>
    <row r="5536">
      <c r="C5536" s="15"/>
      <c r="E5536" s="8"/>
      <c r="G5536" s="8"/>
      <c r="J5536" s="8"/>
    </row>
    <row r="5537">
      <c r="C5537" s="15"/>
      <c r="E5537" s="8"/>
      <c r="G5537" s="8"/>
      <c r="J5537" s="8"/>
    </row>
    <row r="5538">
      <c r="C5538" s="15"/>
      <c r="E5538" s="8"/>
      <c r="G5538" s="8"/>
      <c r="J5538" s="8"/>
    </row>
    <row r="5539">
      <c r="C5539" s="15"/>
      <c r="E5539" s="8"/>
      <c r="G5539" s="8"/>
      <c r="J5539" s="8"/>
    </row>
    <row r="5540">
      <c r="C5540" s="15"/>
      <c r="E5540" s="8"/>
      <c r="G5540" s="8"/>
      <c r="J5540" s="8"/>
    </row>
    <row r="5541">
      <c r="C5541" s="15"/>
      <c r="E5541" s="8"/>
      <c r="G5541" s="8"/>
      <c r="J5541" s="8"/>
    </row>
    <row r="5542">
      <c r="C5542" s="15"/>
      <c r="E5542" s="8"/>
      <c r="G5542" s="8"/>
      <c r="J5542" s="8"/>
    </row>
    <row r="5543">
      <c r="C5543" s="15"/>
      <c r="E5543" s="8"/>
      <c r="G5543" s="8"/>
      <c r="J5543" s="8"/>
    </row>
    <row r="5544">
      <c r="C5544" s="15"/>
      <c r="E5544" s="8"/>
      <c r="G5544" s="8"/>
      <c r="J5544" s="8"/>
    </row>
    <row r="5545">
      <c r="C5545" s="15"/>
      <c r="E5545" s="8"/>
      <c r="G5545" s="8"/>
      <c r="J5545" s="8"/>
    </row>
    <row r="5546">
      <c r="C5546" s="15"/>
      <c r="E5546" s="8"/>
      <c r="G5546" s="8"/>
      <c r="J5546" s="8"/>
    </row>
    <row r="5547">
      <c r="C5547" s="15"/>
      <c r="E5547" s="8"/>
      <c r="G5547" s="8"/>
      <c r="J5547" s="8"/>
    </row>
    <row r="5548">
      <c r="C5548" s="15"/>
      <c r="E5548" s="8"/>
      <c r="G5548" s="8"/>
      <c r="J5548" s="8"/>
    </row>
    <row r="5549">
      <c r="C5549" s="15"/>
      <c r="E5549" s="8"/>
      <c r="G5549" s="8"/>
      <c r="J5549" s="8"/>
    </row>
    <row r="5550">
      <c r="C5550" s="15"/>
      <c r="E5550" s="8"/>
      <c r="G5550" s="8"/>
      <c r="J5550" s="8"/>
    </row>
    <row r="5551">
      <c r="C5551" s="15"/>
      <c r="E5551" s="8"/>
      <c r="G5551" s="8"/>
      <c r="J5551" s="8"/>
    </row>
    <row r="5552">
      <c r="C5552" s="15"/>
      <c r="E5552" s="8"/>
      <c r="G5552" s="8"/>
      <c r="J5552" s="8"/>
    </row>
    <row r="5553">
      <c r="C5553" s="15"/>
      <c r="E5553" s="8"/>
      <c r="G5553" s="8"/>
      <c r="J5553" s="8"/>
    </row>
    <row r="5554">
      <c r="C5554" s="15"/>
      <c r="E5554" s="8"/>
      <c r="G5554" s="8"/>
      <c r="J5554" s="8"/>
    </row>
    <row r="5555">
      <c r="C5555" s="15"/>
      <c r="E5555" s="8"/>
      <c r="G5555" s="8"/>
      <c r="J5555" s="8"/>
    </row>
    <row r="5556">
      <c r="C5556" s="15"/>
      <c r="E5556" s="8"/>
      <c r="G5556" s="8"/>
      <c r="J5556" s="8"/>
    </row>
    <row r="5557">
      <c r="C5557" s="15"/>
      <c r="E5557" s="8"/>
      <c r="G5557" s="8"/>
      <c r="J5557" s="8"/>
    </row>
    <row r="5558">
      <c r="C5558" s="15"/>
      <c r="E5558" s="8"/>
      <c r="G5558" s="8"/>
      <c r="J5558" s="8"/>
    </row>
    <row r="5559">
      <c r="C5559" s="15"/>
      <c r="E5559" s="8"/>
      <c r="G5559" s="8"/>
      <c r="J5559" s="8"/>
    </row>
    <row r="5560">
      <c r="C5560" s="15"/>
      <c r="E5560" s="8"/>
      <c r="G5560" s="8"/>
      <c r="J5560" s="8"/>
    </row>
    <row r="5561">
      <c r="C5561" s="15"/>
      <c r="E5561" s="8"/>
      <c r="G5561" s="8"/>
      <c r="J5561" s="8"/>
    </row>
    <row r="5562">
      <c r="C5562" s="15"/>
      <c r="E5562" s="8"/>
      <c r="G5562" s="8"/>
      <c r="J5562" s="8"/>
    </row>
    <row r="5563">
      <c r="C5563" s="15"/>
      <c r="E5563" s="8"/>
      <c r="G5563" s="8"/>
      <c r="J5563" s="8"/>
    </row>
    <row r="5564">
      <c r="C5564" s="15"/>
      <c r="E5564" s="8"/>
      <c r="G5564" s="8"/>
      <c r="J5564" s="8"/>
    </row>
    <row r="5565">
      <c r="C5565" s="15"/>
      <c r="E5565" s="8"/>
      <c r="G5565" s="8"/>
      <c r="J5565" s="8"/>
    </row>
    <row r="5566">
      <c r="C5566" s="15"/>
      <c r="E5566" s="8"/>
      <c r="G5566" s="8"/>
      <c r="J5566" s="8"/>
    </row>
    <row r="5567">
      <c r="C5567" s="15"/>
      <c r="E5567" s="8"/>
      <c r="G5567" s="8"/>
      <c r="J5567" s="8"/>
    </row>
    <row r="5568">
      <c r="C5568" s="15"/>
      <c r="E5568" s="8"/>
      <c r="G5568" s="8"/>
      <c r="J5568" s="8"/>
    </row>
    <row r="5569">
      <c r="C5569" s="15"/>
      <c r="E5569" s="8"/>
      <c r="G5569" s="8"/>
      <c r="J5569" s="8"/>
    </row>
    <row r="5570">
      <c r="C5570" s="15"/>
      <c r="E5570" s="8"/>
      <c r="G5570" s="8"/>
      <c r="J5570" s="8"/>
    </row>
    <row r="5571">
      <c r="C5571" s="15"/>
      <c r="E5571" s="8"/>
      <c r="G5571" s="8"/>
      <c r="J5571" s="8"/>
    </row>
    <row r="5572">
      <c r="C5572" s="15"/>
      <c r="E5572" s="8"/>
      <c r="G5572" s="8"/>
      <c r="J5572" s="8"/>
    </row>
    <row r="5573">
      <c r="C5573" s="15"/>
      <c r="E5573" s="8"/>
      <c r="G5573" s="8"/>
      <c r="J5573" s="8"/>
    </row>
    <row r="5574">
      <c r="C5574" s="15"/>
      <c r="E5574" s="8"/>
      <c r="G5574" s="8"/>
      <c r="J5574" s="8"/>
    </row>
    <row r="5575">
      <c r="C5575" s="15"/>
      <c r="E5575" s="8"/>
      <c r="G5575" s="8"/>
      <c r="J5575" s="8"/>
    </row>
    <row r="5576">
      <c r="C5576" s="15"/>
      <c r="E5576" s="8"/>
      <c r="G5576" s="8"/>
      <c r="J5576" s="8"/>
    </row>
    <row r="5577">
      <c r="C5577" s="15"/>
      <c r="E5577" s="8"/>
      <c r="G5577" s="8"/>
      <c r="J5577" s="8"/>
    </row>
    <row r="5578">
      <c r="C5578" s="15"/>
      <c r="E5578" s="8"/>
      <c r="G5578" s="8"/>
      <c r="J5578" s="8"/>
    </row>
    <row r="5579">
      <c r="C5579" s="15"/>
      <c r="E5579" s="8"/>
      <c r="G5579" s="8"/>
      <c r="J5579" s="8"/>
    </row>
    <row r="5580">
      <c r="C5580" s="15"/>
      <c r="E5580" s="8"/>
      <c r="G5580" s="8"/>
      <c r="J5580" s="8"/>
    </row>
    <row r="5581">
      <c r="C5581" s="15"/>
      <c r="E5581" s="8"/>
      <c r="G5581" s="8"/>
      <c r="J5581" s="8"/>
    </row>
    <row r="5582">
      <c r="C5582" s="15"/>
      <c r="E5582" s="8"/>
      <c r="G5582" s="8"/>
      <c r="J5582" s="8"/>
    </row>
    <row r="5583">
      <c r="C5583" s="15"/>
      <c r="E5583" s="8"/>
      <c r="G5583" s="8"/>
      <c r="J5583" s="8"/>
    </row>
    <row r="5584">
      <c r="C5584" s="15"/>
      <c r="E5584" s="8"/>
      <c r="G5584" s="8"/>
      <c r="J5584" s="8"/>
    </row>
    <row r="5585">
      <c r="C5585" s="15"/>
      <c r="E5585" s="8"/>
      <c r="G5585" s="8"/>
      <c r="J5585" s="8"/>
    </row>
    <row r="5586">
      <c r="C5586" s="15"/>
      <c r="E5586" s="8"/>
      <c r="G5586" s="8"/>
      <c r="J5586" s="8"/>
    </row>
    <row r="5587">
      <c r="C5587" s="15"/>
      <c r="E5587" s="8"/>
      <c r="G5587" s="8"/>
      <c r="J5587" s="8"/>
    </row>
    <row r="5588">
      <c r="C5588" s="15"/>
      <c r="E5588" s="8"/>
      <c r="G5588" s="8"/>
      <c r="J5588" s="8"/>
    </row>
    <row r="5589">
      <c r="C5589" s="15"/>
      <c r="E5589" s="8"/>
      <c r="G5589" s="8"/>
      <c r="J5589" s="8"/>
    </row>
    <row r="5590">
      <c r="C5590" s="15"/>
      <c r="E5590" s="8"/>
      <c r="G5590" s="8"/>
      <c r="J5590" s="8"/>
    </row>
    <row r="5591">
      <c r="C5591" s="15"/>
      <c r="E5591" s="8"/>
      <c r="G5591" s="8"/>
      <c r="J5591" s="8"/>
    </row>
    <row r="5592">
      <c r="C5592" s="15"/>
      <c r="E5592" s="8"/>
      <c r="G5592" s="8"/>
      <c r="J5592" s="8"/>
    </row>
    <row r="5593">
      <c r="C5593" s="15"/>
      <c r="E5593" s="8"/>
      <c r="G5593" s="8"/>
      <c r="J5593" s="8"/>
    </row>
    <row r="5594">
      <c r="C5594" s="15"/>
      <c r="E5594" s="8"/>
      <c r="G5594" s="8"/>
      <c r="J5594" s="8"/>
    </row>
    <row r="5595">
      <c r="C5595" s="15"/>
      <c r="E5595" s="8"/>
      <c r="G5595" s="8"/>
      <c r="J5595" s="8"/>
    </row>
    <row r="5596">
      <c r="C5596" s="15"/>
      <c r="E5596" s="8"/>
      <c r="G5596" s="8"/>
      <c r="J5596" s="8"/>
    </row>
    <row r="5597">
      <c r="C5597" s="15"/>
      <c r="E5597" s="8"/>
      <c r="G5597" s="8"/>
      <c r="J5597" s="8"/>
    </row>
    <row r="5598">
      <c r="C5598" s="15"/>
      <c r="E5598" s="8"/>
      <c r="G5598" s="8"/>
      <c r="J5598" s="8"/>
    </row>
    <row r="5599">
      <c r="C5599" s="15"/>
      <c r="E5599" s="8"/>
      <c r="G5599" s="8"/>
      <c r="J5599" s="8"/>
    </row>
    <row r="5600">
      <c r="C5600" s="15"/>
      <c r="E5600" s="8"/>
      <c r="G5600" s="8"/>
      <c r="J5600" s="8"/>
    </row>
    <row r="5601">
      <c r="C5601" s="15"/>
      <c r="E5601" s="8"/>
      <c r="G5601" s="8"/>
      <c r="J5601" s="8"/>
    </row>
    <row r="5602">
      <c r="C5602" s="15"/>
      <c r="E5602" s="8"/>
      <c r="G5602" s="8"/>
      <c r="J5602" s="8"/>
    </row>
    <row r="5603">
      <c r="C5603" s="15"/>
      <c r="E5603" s="8"/>
      <c r="G5603" s="8"/>
      <c r="J5603" s="8"/>
    </row>
    <row r="5604">
      <c r="C5604" s="15"/>
      <c r="E5604" s="8"/>
      <c r="G5604" s="8"/>
      <c r="J5604" s="8"/>
    </row>
    <row r="5605">
      <c r="C5605" s="15"/>
      <c r="E5605" s="8"/>
      <c r="G5605" s="8"/>
      <c r="J5605" s="8"/>
    </row>
    <row r="5606">
      <c r="C5606" s="15"/>
      <c r="E5606" s="8"/>
      <c r="G5606" s="8"/>
      <c r="J5606" s="8"/>
    </row>
    <row r="5607">
      <c r="C5607" s="15"/>
      <c r="E5607" s="8"/>
      <c r="G5607" s="8"/>
      <c r="J5607" s="8"/>
    </row>
    <row r="5608">
      <c r="C5608" s="15"/>
      <c r="E5608" s="8"/>
      <c r="G5608" s="8"/>
      <c r="J5608" s="8"/>
    </row>
    <row r="5609">
      <c r="C5609" s="15"/>
      <c r="E5609" s="8"/>
      <c r="G5609" s="8"/>
      <c r="J5609" s="8"/>
    </row>
    <row r="5610">
      <c r="C5610" s="15"/>
      <c r="E5610" s="8"/>
      <c r="G5610" s="8"/>
      <c r="J5610" s="8"/>
    </row>
    <row r="5611">
      <c r="C5611" s="15"/>
      <c r="E5611" s="8"/>
      <c r="G5611" s="8"/>
      <c r="J5611" s="8"/>
    </row>
    <row r="5612">
      <c r="C5612" s="15"/>
      <c r="E5612" s="8"/>
      <c r="G5612" s="8"/>
      <c r="J5612" s="8"/>
    </row>
    <row r="5613">
      <c r="C5613" s="15"/>
      <c r="E5613" s="8"/>
      <c r="G5613" s="8"/>
      <c r="J5613" s="8"/>
    </row>
    <row r="5614">
      <c r="C5614" s="15"/>
      <c r="E5614" s="8"/>
      <c r="G5614" s="8"/>
      <c r="J5614" s="8"/>
    </row>
    <row r="5615">
      <c r="C5615" s="15"/>
      <c r="E5615" s="8"/>
      <c r="G5615" s="8"/>
      <c r="J5615" s="8"/>
    </row>
    <row r="5616">
      <c r="C5616" s="15"/>
      <c r="E5616" s="8"/>
      <c r="G5616" s="8"/>
      <c r="J5616" s="8"/>
    </row>
    <row r="5617">
      <c r="C5617" s="15"/>
      <c r="E5617" s="8"/>
      <c r="G5617" s="8"/>
      <c r="J5617" s="8"/>
    </row>
    <row r="5618">
      <c r="C5618" s="15"/>
      <c r="E5618" s="8"/>
      <c r="G5618" s="8"/>
      <c r="J5618" s="8"/>
    </row>
    <row r="5619">
      <c r="C5619" s="15"/>
      <c r="E5619" s="8"/>
      <c r="G5619" s="8"/>
      <c r="J5619" s="8"/>
    </row>
    <row r="5620">
      <c r="C5620" s="15"/>
      <c r="E5620" s="8"/>
      <c r="G5620" s="8"/>
      <c r="J5620" s="8"/>
    </row>
    <row r="5621">
      <c r="C5621" s="15"/>
      <c r="E5621" s="8"/>
      <c r="G5621" s="8"/>
      <c r="J5621" s="8"/>
    </row>
    <row r="5622">
      <c r="C5622" s="15"/>
      <c r="E5622" s="8"/>
      <c r="G5622" s="8"/>
      <c r="J5622" s="8"/>
    </row>
    <row r="5623">
      <c r="C5623" s="15"/>
      <c r="E5623" s="8"/>
      <c r="G5623" s="8"/>
      <c r="J5623" s="8"/>
    </row>
    <row r="5624">
      <c r="C5624" s="15"/>
      <c r="E5624" s="8"/>
      <c r="G5624" s="8"/>
      <c r="J5624" s="8"/>
    </row>
    <row r="5625">
      <c r="C5625" s="15"/>
      <c r="E5625" s="8"/>
      <c r="G5625" s="8"/>
      <c r="J5625" s="8"/>
    </row>
    <row r="5626">
      <c r="C5626" s="15"/>
      <c r="E5626" s="8"/>
      <c r="G5626" s="8"/>
      <c r="J5626" s="8"/>
    </row>
    <row r="5627">
      <c r="C5627" s="15"/>
      <c r="E5627" s="8"/>
      <c r="G5627" s="8"/>
      <c r="J5627" s="8"/>
    </row>
    <row r="5628">
      <c r="C5628" s="15"/>
      <c r="E5628" s="8"/>
      <c r="G5628" s="8"/>
      <c r="J5628" s="8"/>
    </row>
    <row r="5629">
      <c r="C5629" s="15"/>
      <c r="E5629" s="8"/>
      <c r="G5629" s="8"/>
      <c r="J5629" s="8"/>
    </row>
    <row r="5630">
      <c r="C5630" s="15"/>
      <c r="E5630" s="8"/>
      <c r="G5630" s="8"/>
      <c r="J5630" s="8"/>
    </row>
    <row r="5631">
      <c r="C5631" s="15"/>
      <c r="E5631" s="8"/>
      <c r="G5631" s="8"/>
      <c r="J5631" s="8"/>
    </row>
    <row r="5632">
      <c r="C5632" s="15"/>
      <c r="E5632" s="8"/>
      <c r="G5632" s="8"/>
      <c r="J5632" s="8"/>
    </row>
    <row r="5633">
      <c r="C5633" s="15"/>
      <c r="E5633" s="8"/>
      <c r="G5633" s="8"/>
      <c r="J5633" s="8"/>
    </row>
    <row r="5634">
      <c r="C5634" s="15"/>
      <c r="E5634" s="8"/>
      <c r="G5634" s="8"/>
      <c r="J5634" s="8"/>
    </row>
    <row r="5635">
      <c r="C5635" s="15"/>
      <c r="E5635" s="8"/>
      <c r="G5635" s="8"/>
      <c r="J5635" s="8"/>
    </row>
    <row r="5636">
      <c r="C5636" s="15"/>
      <c r="E5636" s="8"/>
      <c r="G5636" s="8"/>
      <c r="J5636" s="8"/>
    </row>
    <row r="5637">
      <c r="C5637" s="15"/>
      <c r="E5637" s="8"/>
      <c r="G5637" s="8"/>
      <c r="J5637" s="8"/>
    </row>
    <row r="5638">
      <c r="C5638" s="15"/>
      <c r="E5638" s="8"/>
      <c r="G5638" s="8"/>
      <c r="J5638" s="8"/>
    </row>
    <row r="5639">
      <c r="C5639" s="15"/>
      <c r="E5639" s="8"/>
      <c r="G5639" s="8"/>
      <c r="J5639" s="8"/>
    </row>
    <row r="5640">
      <c r="C5640" s="15"/>
      <c r="E5640" s="8"/>
      <c r="G5640" s="8"/>
      <c r="J5640" s="8"/>
    </row>
    <row r="5641">
      <c r="C5641" s="15"/>
      <c r="E5641" s="8"/>
      <c r="G5641" s="8"/>
      <c r="J5641" s="8"/>
    </row>
    <row r="5642">
      <c r="C5642" s="15"/>
      <c r="E5642" s="8"/>
      <c r="G5642" s="8"/>
      <c r="J5642" s="8"/>
    </row>
    <row r="5643">
      <c r="C5643" s="15"/>
      <c r="E5643" s="8"/>
      <c r="G5643" s="8"/>
      <c r="J5643" s="8"/>
    </row>
    <row r="5644">
      <c r="C5644" s="15"/>
      <c r="E5644" s="8"/>
      <c r="G5644" s="8"/>
      <c r="J5644" s="8"/>
    </row>
    <row r="5645">
      <c r="C5645" s="15"/>
      <c r="E5645" s="8"/>
      <c r="G5645" s="8"/>
      <c r="J5645" s="8"/>
    </row>
    <row r="5646">
      <c r="C5646" s="15"/>
      <c r="E5646" s="8"/>
      <c r="G5646" s="8"/>
      <c r="J5646" s="8"/>
    </row>
    <row r="5647">
      <c r="C5647" s="15"/>
      <c r="E5647" s="8"/>
      <c r="G5647" s="8"/>
      <c r="J5647" s="8"/>
    </row>
    <row r="5648">
      <c r="C5648" s="15"/>
      <c r="E5648" s="8"/>
      <c r="G5648" s="8"/>
      <c r="J5648" s="8"/>
    </row>
    <row r="5649">
      <c r="C5649" s="15"/>
      <c r="E5649" s="8"/>
      <c r="G5649" s="8"/>
      <c r="J5649" s="8"/>
    </row>
    <row r="5650">
      <c r="C5650" s="15"/>
      <c r="E5650" s="8"/>
      <c r="G5650" s="8"/>
      <c r="J5650" s="8"/>
    </row>
    <row r="5651">
      <c r="C5651" s="15"/>
      <c r="E5651" s="8"/>
      <c r="G5651" s="8"/>
      <c r="J5651" s="8"/>
    </row>
    <row r="5652">
      <c r="C5652" s="15"/>
      <c r="E5652" s="8"/>
      <c r="G5652" s="8"/>
      <c r="J5652" s="8"/>
    </row>
    <row r="5653">
      <c r="C5653" s="15"/>
      <c r="E5653" s="8"/>
      <c r="G5653" s="8"/>
      <c r="J5653" s="8"/>
    </row>
    <row r="5654">
      <c r="C5654" s="15"/>
      <c r="E5654" s="8"/>
      <c r="G5654" s="8"/>
      <c r="J5654" s="8"/>
    </row>
    <row r="5655">
      <c r="C5655" s="15"/>
      <c r="E5655" s="8"/>
      <c r="G5655" s="8"/>
      <c r="J5655" s="8"/>
    </row>
    <row r="5656">
      <c r="C5656" s="15"/>
      <c r="E5656" s="8"/>
      <c r="G5656" s="8"/>
      <c r="J5656" s="8"/>
    </row>
    <row r="5657">
      <c r="C5657" s="15"/>
      <c r="E5657" s="8"/>
      <c r="G5657" s="8"/>
      <c r="J5657" s="8"/>
    </row>
    <row r="5658">
      <c r="C5658" s="15"/>
      <c r="E5658" s="8"/>
      <c r="G5658" s="8"/>
      <c r="J5658" s="8"/>
    </row>
    <row r="5659">
      <c r="C5659" s="15"/>
      <c r="E5659" s="8"/>
      <c r="G5659" s="8"/>
      <c r="J5659" s="8"/>
    </row>
    <row r="5660">
      <c r="C5660" s="15"/>
      <c r="E5660" s="8"/>
      <c r="G5660" s="8"/>
      <c r="J5660" s="8"/>
    </row>
    <row r="5661">
      <c r="C5661" s="15"/>
      <c r="E5661" s="8"/>
      <c r="G5661" s="8"/>
      <c r="J5661" s="8"/>
    </row>
    <row r="5662">
      <c r="C5662" s="15"/>
      <c r="E5662" s="8"/>
      <c r="G5662" s="8"/>
      <c r="J5662" s="8"/>
    </row>
    <row r="5663">
      <c r="C5663" s="15"/>
      <c r="E5663" s="8"/>
      <c r="G5663" s="8"/>
      <c r="J5663" s="8"/>
    </row>
    <row r="5664">
      <c r="C5664" s="15"/>
      <c r="E5664" s="8"/>
      <c r="G5664" s="8"/>
      <c r="J5664" s="8"/>
    </row>
    <row r="5665">
      <c r="C5665" s="15"/>
      <c r="E5665" s="8"/>
      <c r="G5665" s="8"/>
      <c r="J5665" s="8"/>
    </row>
    <row r="5666">
      <c r="C5666" s="15"/>
      <c r="E5666" s="8"/>
      <c r="G5666" s="8"/>
      <c r="J5666" s="8"/>
    </row>
    <row r="5667">
      <c r="C5667" s="15"/>
      <c r="E5667" s="8"/>
      <c r="G5667" s="8"/>
      <c r="J5667" s="8"/>
    </row>
    <row r="5668">
      <c r="C5668" s="15"/>
      <c r="E5668" s="8"/>
      <c r="G5668" s="8"/>
      <c r="J5668" s="8"/>
    </row>
    <row r="5669">
      <c r="C5669" s="15"/>
      <c r="E5669" s="8"/>
      <c r="G5669" s="8"/>
      <c r="J5669" s="8"/>
    </row>
    <row r="5670">
      <c r="C5670" s="15"/>
      <c r="E5670" s="8"/>
      <c r="G5670" s="8"/>
      <c r="J5670" s="8"/>
    </row>
    <row r="5671">
      <c r="C5671" s="15"/>
      <c r="E5671" s="8"/>
      <c r="G5671" s="8"/>
      <c r="J5671" s="8"/>
    </row>
    <row r="5672">
      <c r="C5672" s="15"/>
      <c r="E5672" s="8"/>
      <c r="G5672" s="8"/>
      <c r="J5672" s="8"/>
    </row>
    <row r="5673">
      <c r="C5673" s="15"/>
      <c r="E5673" s="8"/>
      <c r="G5673" s="8"/>
      <c r="J5673" s="8"/>
    </row>
    <row r="5674">
      <c r="C5674" s="15"/>
      <c r="E5674" s="8"/>
      <c r="G5674" s="8"/>
      <c r="J5674" s="8"/>
    </row>
    <row r="5675">
      <c r="C5675" s="15"/>
      <c r="E5675" s="8"/>
      <c r="G5675" s="8"/>
      <c r="J5675" s="8"/>
    </row>
    <row r="5676">
      <c r="C5676" s="15"/>
      <c r="E5676" s="8"/>
      <c r="G5676" s="8"/>
      <c r="J5676" s="8"/>
    </row>
    <row r="5677">
      <c r="C5677" s="15"/>
      <c r="E5677" s="8"/>
      <c r="G5677" s="8"/>
      <c r="J5677" s="8"/>
    </row>
    <row r="5678">
      <c r="C5678" s="15"/>
      <c r="E5678" s="8"/>
      <c r="G5678" s="8"/>
      <c r="J5678" s="8"/>
    </row>
    <row r="5679">
      <c r="C5679" s="15"/>
      <c r="E5679" s="8"/>
      <c r="G5679" s="8"/>
      <c r="J5679" s="8"/>
    </row>
    <row r="5680">
      <c r="C5680" s="15"/>
      <c r="E5680" s="8"/>
      <c r="G5680" s="8"/>
      <c r="J5680" s="8"/>
    </row>
    <row r="5681">
      <c r="C5681" s="15"/>
      <c r="E5681" s="8"/>
      <c r="G5681" s="8"/>
      <c r="J5681" s="8"/>
    </row>
    <row r="5682">
      <c r="C5682" s="15"/>
      <c r="E5682" s="8"/>
      <c r="G5682" s="8"/>
      <c r="J5682" s="8"/>
    </row>
    <row r="5683">
      <c r="C5683" s="15"/>
      <c r="E5683" s="8"/>
      <c r="G5683" s="8"/>
      <c r="J5683" s="8"/>
    </row>
    <row r="5684">
      <c r="C5684" s="15"/>
      <c r="E5684" s="8"/>
      <c r="G5684" s="8"/>
      <c r="J5684" s="8"/>
    </row>
    <row r="5685">
      <c r="C5685" s="15"/>
      <c r="E5685" s="8"/>
      <c r="G5685" s="8"/>
      <c r="J5685" s="8"/>
    </row>
    <row r="5686">
      <c r="C5686" s="15"/>
      <c r="E5686" s="8"/>
      <c r="G5686" s="8"/>
      <c r="J5686" s="8"/>
    </row>
    <row r="5687">
      <c r="C5687" s="15"/>
      <c r="E5687" s="8"/>
      <c r="G5687" s="8"/>
      <c r="J5687" s="8"/>
    </row>
    <row r="5688">
      <c r="C5688" s="15"/>
      <c r="E5688" s="8"/>
      <c r="G5688" s="8"/>
      <c r="J5688" s="8"/>
    </row>
    <row r="5689">
      <c r="C5689" s="15"/>
      <c r="E5689" s="8"/>
      <c r="G5689" s="8"/>
      <c r="J5689" s="8"/>
    </row>
    <row r="5690">
      <c r="C5690" s="15"/>
      <c r="E5690" s="8"/>
      <c r="G5690" s="8"/>
      <c r="J5690" s="8"/>
    </row>
    <row r="5691">
      <c r="C5691" s="15"/>
      <c r="E5691" s="8"/>
      <c r="G5691" s="8"/>
      <c r="J5691" s="8"/>
    </row>
    <row r="5692">
      <c r="C5692" s="15"/>
      <c r="E5692" s="8"/>
      <c r="G5692" s="8"/>
      <c r="J5692" s="8"/>
    </row>
    <row r="5693">
      <c r="C5693" s="15"/>
      <c r="E5693" s="8"/>
      <c r="G5693" s="8"/>
      <c r="J5693" s="8"/>
    </row>
    <row r="5694">
      <c r="C5694" s="15"/>
      <c r="E5694" s="8"/>
      <c r="G5694" s="8"/>
      <c r="J5694" s="8"/>
    </row>
    <row r="5695">
      <c r="C5695" s="15"/>
      <c r="E5695" s="8"/>
      <c r="G5695" s="8"/>
      <c r="J5695" s="8"/>
    </row>
    <row r="5696">
      <c r="C5696" s="15"/>
      <c r="E5696" s="8"/>
      <c r="G5696" s="8"/>
      <c r="J5696" s="8"/>
    </row>
    <row r="5697">
      <c r="C5697" s="15"/>
      <c r="E5697" s="8"/>
      <c r="G5697" s="8"/>
      <c r="J5697" s="8"/>
    </row>
    <row r="5698">
      <c r="C5698" s="15"/>
      <c r="E5698" s="8"/>
      <c r="G5698" s="8"/>
      <c r="J5698" s="8"/>
    </row>
    <row r="5699">
      <c r="C5699" s="15"/>
      <c r="E5699" s="8"/>
      <c r="G5699" s="8"/>
      <c r="J5699" s="8"/>
    </row>
    <row r="5700">
      <c r="C5700" s="15"/>
      <c r="E5700" s="8"/>
      <c r="G5700" s="8"/>
      <c r="J5700" s="8"/>
    </row>
    <row r="5701">
      <c r="C5701" s="15"/>
      <c r="E5701" s="8"/>
      <c r="G5701" s="8"/>
      <c r="J5701" s="8"/>
    </row>
    <row r="5702">
      <c r="C5702" s="15"/>
      <c r="E5702" s="8"/>
      <c r="G5702" s="8"/>
      <c r="J5702" s="8"/>
    </row>
    <row r="5703">
      <c r="C5703" s="15"/>
      <c r="E5703" s="8"/>
      <c r="G5703" s="8"/>
      <c r="J5703" s="8"/>
    </row>
    <row r="5704">
      <c r="C5704" s="15"/>
      <c r="E5704" s="8"/>
      <c r="G5704" s="8"/>
      <c r="J5704" s="8"/>
    </row>
    <row r="5705">
      <c r="C5705" s="15"/>
      <c r="E5705" s="8"/>
      <c r="G5705" s="8"/>
      <c r="J5705" s="8"/>
    </row>
    <row r="5706">
      <c r="C5706" s="15"/>
      <c r="E5706" s="8"/>
      <c r="G5706" s="8"/>
      <c r="J5706" s="8"/>
    </row>
    <row r="5707">
      <c r="C5707" s="15"/>
      <c r="E5707" s="8"/>
      <c r="G5707" s="8"/>
      <c r="J5707" s="8"/>
    </row>
    <row r="5708">
      <c r="C5708" s="15"/>
      <c r="E5708" s="8"/>
      <c r="G5708" s="8"/>
      <c r="J5708" s="8"/>
    </row>
    <row r="5709">
      <c r="C5709" s="15"/>
      <c r="E5709" s="8"/>
      <c r="G5709" s="8"/>
      <c r="J5709" s="8"/>
    </row>
    <row r="5710">
      <c r="C5710" s="15"/>
      <c r="E5710" s="8"/>
      <c r="G5710" s="8"/>
      <c r="J5710" s="8"/>
    </row>
    <row r="5711">
      <c r="C5711" s="15"/>
      <c r="E5711" s="8"/>
      <c r="G5711" s="8"/>
      <c r="J5711" s="8"/>
    </row>
    <row r="5712">
      <c r="C5712" s="15"/>
      <c r="E5712" s="8"/>
      <c r="G5712" s="8"/>
      <c r="J5712" s="8"/>
    </row>
    <row r="5713">
      <c r="C5713" s="15"/>
      <c r="E5713" s="8"/>
      <c r="G5713" s="8"/>
      <c r="J5713" s="8"/>
    </row>
    <row r="5714">
      <c r="C5714" s="15"/>
      <c r="E5714" s="8"/>
      <c r="G5714" s="8"/>
      <c r="J5714" s="8"/>
    </row>
    <row r="5715">
      <c r="C5715" s="15"/>
      <c r="E5715" s="8"/>
      <c r="G5715" s="8"/>
      <c r="J5715" s="8"/>
    </row>
    <row r="5716">
      <c r="C5716" s="15"/>
      <c r="E5716" s="8"/>
      <c r="G5716" s="8"/>
      <c r="J5716" s="8"/>
    </row>
    <row r="5717">
      <c r="C5717" s="15"/>
      <c r="E5717" s="8"/>
      <c r="G5717" s="8"/>
      <c r="J5717" s="8"/>
    </row>
    <row r="5718">
      <c r="C5718" s="15"/>
      <c r="E5718" s="8"/>
      <c r="G5718" s="8"/>
      <c r="J5718" s="8"/>
    </row>
    <row r="5719">
      <c r="C5719" s="15"/>
      <c r="E5719" s="8"/>
      <c r="G5719" s="8"/>
      <c r="J5719" s="8"/>
    </row>
    <row r="5720">
      <c r="C5720" s="15"/>
      <c r="E5720" s="8"/>
      <c r="G5720" s="8"/>
      <c r="J5720" s="8"/>
    </row>
    <row r="5721">
      <c r="C5721" s="15"/>
      <c r="E5721" s="8"/>
      <c r="G5721" s="8"/>
      <c r="J5721" s="8"/>
    </row>
    <row r="5722">
      <c r="C5722" s="15"/>
      <c r="E5722" s="8"/>
      <c r="G5722" s="8"/>
      <c r="J5722" s="8"/>
    </row>
    <row r="5723">
      <c r="C5723" s="15"/>
      <c r="E5723" s="8"/>
      <c r="G5723" s="8"/>
      <c r="J5723" s="8"/>
    </row>
    <row r="5724">
      <c r="C5724" s="15"/>
      <c r="E5724" s="8"/>
      <c r="G5724" s="8"/>
      <c r="J5724" s="8"/>
    </row>
    <row r="5725">
      <c r="C5725" s="15"/>
      <c r="E5725" s="8"/>
      <c r="G5725" s="8"/>
      <c r="J5725" s="8"/>
    </row>
    <row r="5726">
      <c r="C5726" s="15"/>
      <c r="E5726" s="8"/>
      <c r="G5726" s="8"/>
      <c r="J5726" s="8"/>
    </row>
    <row r="5727">
      <c r="C5727" s="15"/>
      <c r="E5727" s="8"/>
      <c r="G5727" s="8"/>
      <c r="J5727" s="8"/>
    </row>
    <row r="5728">
      <c r="C5728" s="15"/>
      <c r="E5728" s="8"/>
      <c r="G5728" s="8"/>
      <c r="J5728" s="8"/>
    </row>
    <row r="5729">
      <c r="C5729" s="15"/>
      <c r="E5729" s="8"/>
      <c r="G5729" s="8"/>
      <c r="J5729" s="8"/>
    </row>
    <row r="5730">
      <c r="C5730" s="15"/>
      <c r="E5730" s="8"/>
      <c r="G5730" s="8"/>
      <c r="J5730" s="8"/>
    </row>
    <row r="5731">
      <c r="C5731" s="15"/>
      <c r="E5731" s="8"/>
      <c r="G5731" s="8"/>
      <c r="J5731" s="8"/>
    </row>
    <row r="5732">
      <c r="C5732" s="15"/>
      <c r="E5732" s="8"/>
      <c r="G5732" s="8"/>
      <c r="J5732" s="8"/>
    </row>
    <row r="5733">
      <c r="C5733" s="15"/>
      <c r="E5733" s="8"/>
      <c r="G5733" s="8"/>
      <c r="J5733" s="8"/>
    </row>
    <row r="5734">
      <c r="C5734" s="15"/>
      <c r="E5734" s="8"/>
      <c r="G5734" s="8"/>
      <c r="J5734" s="8"/>
    </row>
    <row r="5735">
      <c r="C5735" s="15"/>
      <c r="E5735" s="8"/>
      <c r="G5735" s="8"/>
      <c r="J5735" s="8"/>
    </row>
    <row r="5736">
      <c r="C5736" s="15"/>
      <c r="E5736" s="8"/>
      <c r="G5736" s="8"/>
      <c r="J5736" s="8"/>
    </row>
    <row r="5737">
      <c r="C5737" s="15"/>
      <c r="E5737" s="8"/>
      <c r="G5737" s="8"/>
      <c r="J5737" s="8"/>
    </row>
    <row r="5738">
      <c r="C5738" s="15"/>
      <c r="E5738" s="8"/>
      <c r="G5738" s="8"/>
      <c r="J5738" s="8"/>
    </row>
    <row r="5739">
      <c r="C5739" s="15"/>
      <c r="E5739" s="8"/>
      <c r="G5739" s="8"/>
      <c r="J5739" s="8"/>
    </row>
    <row r="5740">
      <c r="C5740" s="15"/>
      <c r="E5740" s="8"/>
      <c r="G5740" s="8"/>
      <c r="J5740" s="8"/>
    </row>
    <row r="5741">
      <c r="C5741" s="15"/>
      <c r="E5741" s="8"/>
      <c r="G5741" s="8"/>
      <c r="J5741" s="8"/>
    </row>
    <row r="5742">
      <c r="C5742" s="15"/>
      <c r="E5742" s="8"/>
      <c r="G5742" s="8"/>
      <c r="J5742" s="8"/>
    </row>
    <row r="5743">
      <c r="C5743" s="15"/>
      <c r="E5743" s="8"/>
      <c r="G5743" s="8"/>
      <c r="J5743" s="8"/>
    </row>
    <row r="5744">
      <c r="C5744" s="15"/>
      <c r="E5744" s="8"/>
      <c r="G5744" s="8"/>
      <c r="J5744" s="8"/>
    </row>
    <row r="5745">
      <c r="C5745" s="15"/>
      <c r="E5745" s="8"/>
      <c r="G5745" s="8"/>
      <c r="J5745" s="8"/>
    </row>
    <row r="5746">
      <c r="C5746" s="15"/>
      <c r="E5746" s="8"/>
      <c r="G5746" s="8"/>
      <c r="J5746" s="8"/>
    </row>
    <row r="5747">
      <c r="C5747" s="15"/>
      <c r="E5747" s="8"/>
      <c r="G5747" s="8"/>
      <c r="J5747" s="8"/>
    </row>
    <row r="5748">
      <c r="C5748" s="15"/>
      <c r="E5748" s="8"/>
      <c r="G5748" s="8"/>
      <c r="J5748" s="8"/>
    </row>
    <row r="5749">
      <c r="C5749" s="15"/>
      <c r="E5749" s="8"/>
      <c r="G5749" s="8"/>
      <c r="J5749" s="8"/>
    </row>
    <row r="5750">
      <c r="C5750" s="15"/>
      <c r="E5750" s="8"/>
      <c r="G5750" s="8"/>
      <c r="J5750" s="8"/>
    </row>
    <row r="5751">
      <c r="C5751" s="15"/>
      <c r="E5751" s="8"/>
      <c r="G5751" s="8"/>
      <c r="J5751" s="8"/>
    </row>
    <row r="5752">
      <c r="C5752" s="15"/>
      <c r="E5752" s="8"/>
      <c r="G5752" s="8"/>
      <c r="J5752" s="8"/>
    </row>
    <row r="5753">
      <c r="C5753" s="15"/>
      <c r="E5753" s="8"/>
      <c r="G5753" s="8"/>
      <c r="J5753" s="8"/>
    </row>
    <row r="5754">
      <c r="C5754" s="15"/>
      <c r="E5754" s="8"/>
      <c r="G5754" s="8"/>
      <c r="J5754" s="8"/>
    </row>
    <row r="5755">
      <c r="C5755" s="15"/>
      <c r="E5755" s="8"/>
      <c r="G5755" s="8"/>
      <c r="J5755" s="8"/>
    </row>
    <row r="5756">
      <c r="C5756" s="15"/>
      <c r="E5756" s="8"/>
      <c r="G5756" s="8"/>
      <c r="J5756" s="8"/>
    </row>
    <row r="5757">
      <c r="C5757" s="15"/>
      <c r="E5757" s="8"/>
      <c r="G5757" s="8"/>
      <c r="J5757" s="8"/>
    </row>
    <row r="5758">
      <c r="C5758" s="15"/>
      <c r="E5758" s="8"/>
      <c r="G5758" s="8"/>
      <c r="J5758" s="8"/>
    </row>
    <row r="5759">
      <c r="C5759" s="15"/>
      <c r="E5759" s="8"/>
      <c r="G5759" s="8"/>
      <c r="J5759" s="8"/>
    </row>
    <row r="5760">
      <c r="C5760" s="15"/>
      <c r="E5760" s="8"/>
      <c r="G5760" s="8"/>
      <c r="J5760" s="8"/>
    </row>
    <row r="5761">
      <c r="C5761" s="15"/>
      <c r="E5761" s="8"/>
      <c r="G5761" s="8"/>
      <c r="J5761" s="8"/>
    </row>
    <row r="5762">
      <c r="C5762" s="15"/>
      <c r="E5762" s="8"/>
      <c r="G5762" s="8"/>
      <c r="J5762" s="8"/>
    </row>
    <row r="5763">
      <c r="C5763" s="15"/>
      <c r="E5763" s="8"/>
      <c r="G5763" s="8"/>
      <c r="J5763" s="8"/>
    </row>
    <row r="5764">
      <c r="C5764" s="15"/>
      <c r="E5764" s="8"/>
      <c r="G5764" s="8"/>
      <c r="J5764" s="8"/>
    </row>
    <row r="5765">
      <c r="C5765" s="15"/>
      <c r="E5765" s="8"/>
      <c r="G5765" s="8"/>
      <c r="J5765" s="8"/>
    </row>
    <row r="5766">
      <c r="C5766" s="15"/>
      <c r="E5766" s="8"/>
      <c r="G5766" s="8"/>
      <c r="J5766" s="8"/>
    </row>
    <row r="5767">
      <c r="C5767" s="15"/>
      <c r="E5767" s="8"/>
      <c r="G5767" s="8"/>
      <c r="J5767" s="8"/>
    </row>
    <row r="5768">
      <c r="C5768" s="15"/>
      <c r="E5768" s="8"/>
      <c r="G5768" s="8"/>
      <c r="J5768" s="8"/>
    </row>
    <row r="5769">
      <c r="C5769" s="15"/>
      <c r="E5769" s="8"/>
      <c r="G5769" s="8"/>
      <c r="J5769" s="8"/>
    </row>
    <row r="5770">
      <c r="C5770" s="15"/>
      <c r="E5770" s="8"/>
      <c r="G5770" s="8"/>
      <c r="J5770" s="8"/>
    </row>
    <row r="5771">
      <c r="C5771" s="15"/>
      <c r="E5771" s="8"/>
      <c r="G5771" s="8"/>
      <c r="J5771" s="8"/>
    </row>
    <row r="5772">
      <c r="C5772" s="15"/>
      <c r="E5772" s="8"/>
      <c r="G5772" s="8"/>
      <c r="J5772" s="8"/>
    </row>
    <row r="5773">
      <c r="C5773" s="15"/>
      <c r="E5773" s="8"/>
      <c r="G5773" s="8"/>
      <c r="J5773" s="8"/>
    </row>
    <row r="5774">
      <c r="C5774" s="15"/>
      <c r="E5774" s="8"/>
      <c r="G5774" s="8"/>
      <c r="J5774" s="8"/>
    </row>
    <row r="5775">
      <c r="C5775" s="15"/>
      <c r="E5775" s="8"/>
      <c r="G5775" s="8"/>
      <c r="J5775" s="8"/>
    </row>
    <row r="5776">
      <c r="C5776" s="15"/>
      <c r="E5776" s="8"/>
      <c r="G5776" s="8"/>
      <c r="J5776" s="8"/>
    </row>
    <row r="5777">
      <c r="C5777" s="15"/>
      <c r="E5777" s="8"/>
      <c r="G5777" s="8"/>
      <c r="J5777" s="8"/>
    </row>
    <row r="5778">
      <c r="C5778" s="15"/>
      <c r="E5778" s="8"/>
      <c r="G5778" s="8"/>
      <c r="J5778" s="8"/>
    </row>
    <row r="5779">
      <c r="C5779" s="15"/>
      <c r="E5779" s="8"/>
      <c r="G5779" s="8"/>
      <c r="J5779" s="8"/>
    </row>
    <row r="5780">
      <c r="C5780" s="15"/>
      <c r="E5780" s="8"/>
      <c r="G5780" s="8"/>
      <c r="J5780" s="8"/>
    </row>
    <row r="5781">
      <c r="C5781" s="15"/>
      <c r="E5781" s="8"/>
      <c r="G5781" s="8"/>
      <c r="J5781" s="8"/>
    </row>
    <row r="5782">
      <c r="C5782" s="15"/>
      <c r="E5782" s="8"/>
      <c r="G5782" s="8"/>
      <c r="J5782" s="8"/>
    </row>
    <row r="5783">
      <c r="C5783" s="15"/>
      <c r="E5783" s="8"/>
      <c r="G5783" s="8"/>
      <c r="J5783" s="8"/>
    </row>
    <row r="5784">
      <c r="C5784" s="15"/>
      <c r="E5784" s="8"/>
      <c r="G5784" s="8"/>
      <c r="J5784" s="8"/>
    </row>
    <row r="5785">
      <c r="C5785" s="15"/>
      <c r="E5785" s="8"/>
      <c r="G5785" s="8"/>
      <c r="J5785" s="8"/>
    </row>
    <row r="5786">
      <c r="C5786" s="15"/>
      <c r="E5786" s="8"/>
      <c r="G5786" s="8"/>
      <c r="J5786" s="8"/>
    </row>
    <row r="5787">
      <c r="C5787" s="15"/>
      <c r="E5787" s="8"/>
      <c r="G5787" s="8"/>
      <c r="J5787" s="8"/>
    </row>
    <row r="5788">
      <c r="C5788" s="15"/>
      <c r="E5788" s="8"/>
      <c r="G5788" s="8"/>
      <c r="J5788" s="8"/>
    </row>
    <row r="5789">
      <c r="C5789" s="15"/>
      <c r="E5789" s="8"/>
      <c r="G5789" s="8"/>
      <c r="J5789" s="8"/>
    </row>
    <row r="5790">
      <c r="C5790" s="15"/>
      <c r="E5790" s="8"/>
      <c r="G5790" s="8"/>
      <c r="J5790" s="8"/>
    </row>
    <row r="5791">
      <c r="C5791" s="15"/>
      <c r="E5791" s="8"/>
      <c r="G5791" s="8"/>
      <c r="J5791" s="8"/>
    </row>
    <row r="5792">
      <c r="C5792" s="15"/>
      <c r="E5792" s="8"/>
      <c r="G5792" s="8"/>
      <c r="J5792" s="8"/>
    </row>
    <row r="5793">
      <c r="C5793" s="15"/>
      <c r="E5793" s="8"/>
      <c r="G5793" s="8"/>
      <c r="J5793" s="8"/>
    </row>
    <row r="5794">
      <c r="C5794" s="15"/>
      <c r="E5794" s="8"/>
      <c r="G5794" s="8"/>
      <c r="J5794" s="8"/>
    </row>
    <row r="5795">
      <c r="C5795" s="15"/>
      <c r="E5795" s="8"/>
      <c r="G5795" s="8"/>
      <c r="J5795" s="8"/>
    </row>
    <row r="5796">
      <c r="C5796" s="15"/>
      <c r="E5796" s="8"/>
      <c r="G5796" s="8"/>
      <c r="J5796" s="8"/>
    </row>
    <row r="5797">
      <c r="C5797" s="15"/>
      <c r="E5797" s="8"/>
      <c r="G5797" s="8"/>
      <c r="J5797" s="8"/>
    </row>
    <row r="5798">
      <c r="C5798" s="15"/>
      <c r="E5798" s="8"/>
      <c r="G5798" s="8"/>
      <c r="J5798" s="8"/>
    </row>
    <row r="5799">
      <c r="C5799" s="15"/>
      <c r="E5799" s="8"/>
      <c r="G5799" s="8"/>
      <c r="J5799" s="8"/>
    </row>
    <row r="5800">
      <c r="C5800" s="15"/>
      <c r="E5800" s="8"/>
      <c r="G5800" s="8"/>
      <c r="J5800" s="8"/>
    </row>
    <row r="5801">
      <c r="C5801" s="15"/>
      <c r="E5801" s="8"/>
      <c r="G5801" s="8"/>
      <c r="J5801" s="8"/>
    </row>
    <row r="5802">
      <c r="C5802" s="15"/>
      <c r="E5802" s="8"/>
      <c r="G5802" s="8"/>
      <c r="J5802" s="8"/>
    </row>
    <row r="5803">
      <c r="C5803" s="15"/>
      <c r="E5803" s="8"/>
      <c r="G5803" s="8"/>
      <c r="J5803" s="8"/>
    </row>
    <row r="5804">
      <c r="C5804" s="15"/>
      <c r="E5804" s="8"/>
      <c r="G5804" s="8"/>
      <c r="J5804" s="8"/>
    </row>
    <row r="5805">
      <c r="C5805" s="15"/>
      <c r="E5805" s="8"/>
      <c r="G5805" s="8"/>
      <c r="J5805" s="8"/>
    </row>
    <row r="5806">
      <c r="C5806" s="15"/>
      <c r="E5806" s="8"/>
      <c r="G5806" s="8"/>
      <c r="J5806" s="8"/>
    </row>
    <row r="5807">
      <c r="C5807" s="15"/>
      <c r="E5807" s="8"/>
      <c r="G5807" s="8"/>
      <c r="J5807" s="8"/>
    </row>
    <row r="5808">
      <c r="C5808" s="15"/>
      <c r="E5808" s="8"/>
      <c r="G5808" s="8"/>
      <c r="J5808" s="8"/>
    </row>
    <row r="5809">
      <c r="C5809" s="15"/>
      <c r="E5809" s="8"/>
      <c r="G5809" s="8"/>
      <c r="J5809" s="8"/>
    </row>
    <row r="5810">
      <c r="C5810" s="15"/>
      <c r="E5810" s="8"/>
      <c r="G5810" s="8"/>
      <c r="J5810" s="8"/>
    </row>
    <row r="5811">
      <c r="C5811" s="15"/>
      <c r="E5811" s="8"/>
      <c r="G5811" s="8"/>
      <c r="J5811" s="8"/>
    </row>
    <row r="5812">
      <c r="C5812" s="15"/>
      <c r="E5812" s="8"/>
      <c r="G5812" s="8"/>
      <c r="J5812" s="8"/>
    </row>
    <row r="5813">
      <c r="C5813" s="15"/>
      <c r="E5813" s="8"/>
      <c r="G5813" s="8"/>
      <c r="J5813" s="8"/>
    </row>
    <row r="5814">
      <c r="C5814" s="15"/>
      <c r="E5814" s="8"/>
      <c r="G5814" s="8"/>
      <c r="J5814" s="8"/>
    </row>
    <row r="5815">
      <c r="C5815" s="15"/>
      <c r="E5815" s="8"/>
      <c r="G5815" s="8"/>
      <c r="J5815" s="8"/>
    </row>
    <row r="5816">
      <c r="C5816" s="15"/>
      <c r="E5816" s="8"/>
      <c r="G5816" s="8"/>
      <c r="J5816" s="8"/>
    </row>
    <row r="5817">
      <c r="C5817" s="15"/>
      <c r="E5817" s="8"/>
      <c r="G5817" s="8"/>
      <c r="J5817" s="8"/>
    </row>
    <row r="5818">
      <c r="C5818" s="15"/>
      <c r="E5818" s="8"/>
      <c r="G5818" s="8"/>
      <c r="J5818" s="8"/>
    </row>
    <row r="5819">
      <c r="C5819" s="15"/>
      <c r="E5819" s="8"/>
      <c r="G5819" s="8"/>
      <c r="J5819" s="8"/>
    </row>
    <row r="5820">
      <c r="C5820" s="15"/>
      <c r="E5820" s="8"/>
      <c r="G5820" s="8"/>
      <c r="J5820" s="8"/>
    </row>
    <row r="5821">
      <c r="C5821" s="15"/>
      <c r="E5821" s="8"/>
      <c r="G5821" s="8"/>
      <c r="J5821" s="8"/>
    </row>
    <row r="5822">
      <c r="C5822" s="15"/>
      <c r="E5822" s="8"/>
      <c r="G5822" s="8"/>
      <c r="J5822" s="8"/>
    </row>
    <row r="5823">
      <c r="C5823" s="15"/>
      <c r="E5823" s="8"/>
      <c r="G5823" s="8"/>
      <c r="J5823" s="8"/>
    </row>
    <row r="5824">
      <c r="C5824" s="15"/>
      <c r="E5824" s="8"/>
      <c r="G5824" s="8"/>
      <c r="J5824" s="8"/>
    </row>
    <row r="5825">
      <c r="C5825" s="15"/>
      <c r="E5825" s="8"/>
      <c r="G5825" s="8"/>
      <c r="J5825" s="8"/>
    </row>
    <row r="5826">
      <c r="C5826" s="15"/>
      <c r="E5826" s="8"/>
      <c r="G5826" s="8"/>
      <c r="J5826" s="8"/>
    </row>
    <row r="5827">
      <c r="C5827" s="15"/>
      <c r="E5827" s="8"/>
      <c r="G5827" s="8"/>
      <c r="J5827" s="8"/>
    </row>
    <row r="5828">
      <c r="C5828" s="15"/>
      <c r="E5828" s="8"/>
      <c r="G5828" s="8"/>
      <c r="J5828" s="8"/>
    </row>
    <row r="5829">
      <c r="C5829" s="15"/>
      <c r="E5829" s="8"/>
      <c r="G5829" s="8"/>
      <c r="J5829" s="8"/>
    </row>
    <row r="5830">
      <c r="C5830" s="15"/>
      <c r="E5830" s="8"/>
      <c r="G5830" s="8"/>
      <c r="J5830" s="8"/>
    </row>
    <row r="5831">
      <c r="C5831" s="15"/>
      <c r="E5831" s="8"/>
      <c r="G5831" s="8"/>
      <c r="J5831" s="8"/>
    </row>
    <row r="5832">
      <c r="C5832" s="15"/>
      <c r="E5832" s="8"/>
      <c r="G5832" s="8"/>
      <c r="J5832" s="8"/>
    </row>
    <row r="5833">
      <c r="C5833" s="15"/>
      <c r="E5833" s="8"/>
      <c r="G5833" s="8"/>
      <c r="J5833" s="8"/>
    </row>
    <row r="5834">
      <c r="C5834" s="15"/>
      <c r="E5834" s="8"/>
      <c r="G5834" s="8"/>
      <c r="J5834" s="8"/>
    </row>
    <row r="5835">
      <c r="C5835" s="15"/>
      <c r="E5835" s="8"/>
      <c r="G5835" s="8"/>
      <c r="J5835" s="8"/>
    </row>
    <row r="5836">
      <c r="C5836" s="15"/>
      <c r="E5836" s="8"/>
      <c r="G5836" s="8"/>
      <c r="J5836" s="8"/>
    </row>
    <row r="5837">
      <c r="C5837" s="15"/>
      <c r="E5837" s="8"/>
      <c r="G5837" s="8"/>
      <c r="J5837" s="8"/>
    </row>
    <row r="5838">
      <c r="C5838" s="15"/>
      <c r="E5838" s="8"/>
      <c r="G5838" s="8"/>
      <c r="J5838" s="8"/>
    </row>
    <row r="5839">
      <c r="C5839" s="15"/>
      <c r="E5839" s="8"/>
      <c r="G5839" s="8"/>
      <c r="J5839" s="8"/>
    </row>
    <row r="5840">
      <c r="C5840" s="15"/>
      <c r="E5840" s="8"/>
      <c r="G5840" s="8"/>
      <c r="J5840" s="8"/>
    </row>
    <row r="5841">
      <c r="C5841" s="15"/>
      <c r="E5841" s="8"/>
      <c r="G5841" s="8"/>
      <c r="J5841" s="8"/>
    </row>
    <row r="5842">
      <c r="C5842" s="15"/>
      <c r="E5842" s="8"/>
      <c r="G5842" s="8"/>
      <c r="J5842" s="8"/>
    </row>
    <row r="5843">
      <c r="C5843" s="15"/>
      <c r="E5843" s="8"/>
      <c r="G5843" s="8"/>
      <c r="J5843" s="8"/>
    </row>
    <row r="5844">
      <c r="C5844" s="15"/>
      <c r="E5844" s="8"/>
      <c r="G5844" s="8"/>
      <c r="J5844" s="8"/>
    </row>
    <row r="5845">
      <c r="C5845" s="15"/>
      <c r="E5845" s="8"/>
      <c r="G5845" s="8"/>
      <c r="J5845" s="8"/>
    </row>
    <row r="5846">
      <c r="C5846" s="15"/>
      <c r="E5846" s="8"/>
      <c r="G5846" s="8"/>
      <c r="J5846" s="8"/>
    </row>
    <row r="5847">
      <c r="C5847" s="15"/>
      <c r="E5847" s="8"/>
      <c r="G5847" s="8"/>
      <c r="J5847" s="8"/>
    </row>
    <row r="5848">
      <c r="C5848" s="15"/>
      <c r="E5848" s="8"/>
      <c r="G5848" s="8"/>
      <c r="J5848" s="8"/>
    </row>
    <row r="5849">
      <c r="C5849" s="15"/>
      <c r="E5849" s="8"/>
      <c r="G5849" s="8"/>
      <c r="J5849" s="8"/>
    </row>
    <row r="5850">
      <c r="C5850" s="15"/>
      <c r="E5850" s="8"/>
      <c r="G5850" s="8"/>
      <c r="J5850" s="8"/>
    </row>
    <row r="5851">
      <c r="C5851" s="15"/>
      <c r="E5851" s="8"/>
      <c r="G5851" s="8"/>
      <c r="J5851" s="8"/>
    </row>
    <row r="5852">
      <c r="C5852" s="15"/>
      <c r="E5852" s="8"/>
      <c r="G5852" s="8"/>
      <c r="J5852" s="8"/>
    </row>
    <row r="5853">
      <c r="C5853" s="15"/>
      <c r="E5853" s="8"/>
      <c r="G5853" s="8"/>
      <c r="J5853" s="8"/>
    </row>
    <row r="5854">
      <c r="C5854" s="15"/>
      <c r="E5854" s="8"/>
      <c r="G5854" s="8"/>
      <c r="J5854" s="8"/>
    </row>
    <row r="5855">
      <c r="C5855" s="15"/>
      <c r="E5855" s="8"/>
      <c r="G5855" s="8"/>
      <c r="J5855" s="8"/>
    </row>
    <row r="5856">
      <c r="C5856" s="15"/>
      <c r="E5856" s="8"/>
      <c r="G5856" s="8"/>
      <c r="J5856" s="8"/>
    </row>
    <row r="5857">
      <c r="C5857" s="15"/>
      <c r="E5857" s="8"/>
      <c r="G5857" s="8"/>
      <c r="J5857" s="8"/>
    </row>
    <row r="5858">
      <c r="C5858" s="15"/>
      <c r="E5858" s="8"/>
      <c r="G5858" s="8"/>
      <c r="J5858" s="8"/>
    </row>
    <row r="5859">
      <c r="C5859" s="15"/>
      <c r="E5859" s="8"/>
      <c r="G5859" s="8"/>
      <c r="J5859" s="8"/>
    </row>
    <row r="5860">
      <c r="C5860" s="15"/>
      <c r="E5860" s="8"/>
      <c r="G5860" s="8"/>
      <c r="J5860" s="8"/>
    </row>
    <row r="5861">
      <c r="C5861" s="15"/>
      <c r="E5861" s="8"/>
      <c r="G5861" s="8"/>
      <c r="J5861" s="8"/>
    </row>
    <row r="5862">
      <c r="C5862" s="15"/>
      <c r="E5862" s="8"/>
      <c r="G5862" s="8"/>
      <c r="J5862" s="8"/>
    </row>
    <row r="5863">
      <c r="C5863" s="15"/>
      <c r="E5863" s="8"/>
      <c r="G5863" s="8"/>
      <c r="J5863" s="8"/>
    </row>
    <row r="5864">
      <c r="C5864" s="15"/>
      <c r="E5864" s="8"/>
      <c r="G5864" s="8"/>
      <c r="J5864" s="8"/>
    </row>
    <row r="5865">
      <c r="C5865" s="15"/>
      <c r="E5865" s="8"/>
      <c r="G5865" s="8"/>
      <c r="J5865" s="8"/>
    </row>
    <row r="5866">
      <c r="C5866" s="15"/>
      <c r="E5866" s="8"/>
      <c r="G5866" s="8"/>
      <c r="J5866" s="8"/>
    </row>
    <row r="5867">
      <c r="C5867" s="15"/>
      <c r="E5867" s="8"/>
      <c r="G5867" s="8"/>
      <c r="J5867" s="8"/>
    </row>
    <row r="5868">
      <c r="C5868" s="15"/>
      <c r="E5868" s="8"/>
      <c r="G5868" s="8"/>
      <c r="J5868" s="8"/>
    </row>
    <row r="5869">
      <c r="C5869" s="15"/>
      <c r="E5869" s="8"/>
      <c r="G5869" s="8"/>
      <c r="J5869" s="8"/>
    </row>
    <row r="5870">
      <c r="C5870" s="15"/>
      <c r="E5870" s="8"/>
      <c r="G5870" s="8"/>
      <c r="J5870" s="8"/>
    </row>
    <row r="5871">
      <c r="C5871" s="15"/>
      <c r="E5871" s="8"/>
      <c r="G5871" s="8"/>
      <c r="J5871" s="8"/>
    </row>
    <row r="5872">
      <c r="C5872" s="15"/>
      <c r="E5872" s="8"/>
      <c r="G5872" s="8"/>
      <c r="J5872" s="8"/>
    </row>
    <row r="5873">
      <c r="C5873" s="15"/>
      <c r="E5873" s="8"/>
      <c r="G5873" s="8"/>
      <c r="J5873" s="8"/>
    </row>
    <row r="5874">
      <c r="C5874" s="15"/>
      <c r="E5874" s="8"/>
      <c r="G5874" s="8"/>
      <c r="J5874" s="8"/>
    </row>
    <row r="5875">
      <c r="C5875" s="15"/>
      <c r="E5875" s="8"/>
      <c r="G5875" s="8"/>
      <c r="J5875" s="8"/>
    </row>
    <row r="5876">
      <c r="C5876" s="15"/>
      <c r="E5876" s="8"/>
      <c r="G5876" s="8"/>
      <c r="J5876" s="8"/>
    </row>
    <row r="5877">
      <c r="C5877" s="15"/>
      <c r="E5877" s="8"/>
      <c r="G5877" s="8"/>
      <c r="J5877" s="8"/>
    </row>
    <row r="5878">
      <c r="C5878" s="15"/>
      <c r="E5878" s="8"/>
      <c r="G5878" s="8"/>
      <c r="J5878" s="8"/>
    </row>
    <row r="5879">
      <c r="C5879" s="15"/>
      <c r="E5879" s="8"/>
      <c r="G5879" s="8"/>
      <c r="J5879" s="8"/>
    </row>
    <row r="5880">
      <c r="C5880" s="15"/>
      <c r="E5880" s="8"/>
      <c r="G5880" s="8"/>
      <c r="J5880" s="8"/>
    </row>
    <row r="5881">
      <c r="C5881" s="15"/>
      <c r="E5881" s="8"/>
      <c r="G5881" s="8"/>
      <c r="J5881" s="8"/>
    </row>
    <row r="5882">
      <c r="C5882" s="15"/>
      <c r="E5882" s="8"/>
      <c r="G5882" s="8"/>
      <c r="J5882" s="8"/>
    </row>
    <row r="5883">
      <c r="C5883" s="15"/>
      <c r="E5883" s="8"/>
      <c r="G5883" s="8"/>
      <c r="J5883" s="8"/>
    </row>
    <row r="5884">
      <c r="C5884" s="15"/>
      <c r="E5884" s="8"/>
      <c r="G5884" s="8"/>
      <c r="J5884" s="8"/>
    </row>
    <row r="5885">
      <c r="C5885" s="15"/>
      <c r="E5885" s="8"/>
      <c r="G5885" s="8"/>
      <c r="J5885" s="8"/>
    </row>
    <row r="5886">
      <c r="C5886" s="15"/>
      <c r="E5886" s="8"/>
      <c r="G5886" s="8"/>
      <c r="J5886" s="8"/>
    </row>
    <row r="5887">
      <c r="C5887" s="15"/>
      <c r="E5887" s="8"/>
      <c r="G5887" s="8"/>
      <c r="J5887" s="8"/>
    </row>
    <row r="5888">
      <c r="C5888" s="15"/>
      <c r="E5888" s="8"/>
      <c r="G5888" s="8"/>
      <c r="J5888" s="8"/>
    </row>
    <row r="5889">
      <c r="C5889" s="15"/>
      <c r="E5889" s="8"/>
      <c r="G5889" s="8"/>
      <c r="J5889" s="8"/>
    </row>
    <row r="5890">
      <c r="C5890" s="15"/>
      <c r="E5890" s="8"/>
      <c r="G5890" s="8"/>
      <c r="J5890" s="8"/>
    </row>
    <row r="5891">
      <c r="C5891" s="15"/>
      <c r="E5891" s="8"/>
      <c r="G5891" s="8"/>
      <c r="J5891" s="8"/>
    </row>
    <row r="5892">
      <c r="C5892" s="15"/>
      <c r="E5892" s="8"/>
      <c r="G5892" s="8"/>
      <c r="J5892" s="8"/>
    </row>
    <row r="5893">
      <c r="C5893" s="15"/>
      <c r="E5893" s="8"/>
      <c r="G5893" s="8"/>
      <c r="J5893" s="8"/>
    </row>
    <row r="5894">
      <c r="C5894" s="15"/>
      <c r="E5894" s="8"/>
      <c r="G5894" s="8"/>
      <c r="J5894" s="8"/>
    </row>
    <row r="5895">
      <c r="C5895" s="15"/>
      <c r="E5895" s="8"/>
      <c r="G5895" s="8"/>
      <c r="J5895" s="8"/>
    </row>
    <row r="5896">
      <c r="C5896" s="15"/>
      <c r="E5896" s="8"/>
      <c r="G5896" s="8"/>
      <c r="J5896" s="8"/>
    </row>
    <row r="5897">
      <c r="C5897" s="15"/>
      <c r="E5897" s="8"/>
      <c r="G5897" s="8"/>
      <c r="J5897" s="8"/>
    </row>
    <row r="5898">
      <c r="C5898" s="15"/>
      <c r="E5898" s="8"/>
      <c r="G5898" s="8"/>
      <c r="J5898" s="8"/>
    </row>
    <row r="5899">
      <c r="C5899" s="15"/>
      <c r="E5899" s="8"/>
      <c r="G5899" s="8"/>
      <c r="J5899" s="8"/>
    </row>
    <row r="5900">
      <c r="C5900" s="15"/>
      <c r="E5900" s="8"/>
      <c r="G5900" s="8"/>
      <c r="J5900" s="8"/>
    </row>
    <row r="5901">
      <c r="C5901" s="15"/>
      <c r="E5901" s="8"/>
      <c r="G5901" s="8"/>
      <c r="J5901" s="8"/>
    </row>
    <row r="5902">
      <c r="C5902" s="15"/>
      <c r="E5902" s="8"/>
      <c r="G5902" s="8"/>
      <c r="J5902" s="8"/>
    </row>
    <row r="5903">
      <c r="C5903" s="15"/>
      <c r="E5903" s="8"/>
      <c r="G5903" s="8"/>
      <c r="J5903" s="8"/>
    </row>
    <row r="5904">
      <c r="C5904" s="15"/>
      <c r="E5904" s="8"/>
      <c r="G5904" s="8"/>
      <c r="J5904" s="8"/>
    </row>
    <row r="5905">
      <c r="C5905" s="15"/>
      <c r="E5905" s="8"/>
      <c r="G5905" s="8"/>
      <c r="J5905" s="8"/>
    </row>
    <row r="5906">
      <c r="C5906" s="15"/>
      <c r="E5906" s="8"/>
      <c r="G5906" s="8"/>
      <c r="J5906" s="8"/>
    </row>
    <row r="5907">
      <c r="C5907" s="15"/>
      <c r="E5907" s="8"/>
      <c r="G5907" s="8"/>
      <c r="J5907" s="8"/>
    </row>
    <row r="5908">
      <c r="C5908" s="15"/>
      <c r="E5908" s="8"/>
      <c r="G5908" s="8"/>
      <c r="J5908" s="8"/>
    </row>
    <row r="5909">
      <c r="C5909" s="15"/>
      <c r="E5909" s="8"/>
      <c r="G5909" s="8"/>
      <c r="J5909" s="8"/>
    </row>
    <row r="5910">
      <c r="C5910" s="15"/>
      <c r="E5910" s="8"/>
      <c r="G5910" s="8"/>
      <c r="J5910" s="8"/>
    </row>
    <row r="5911">
      <c r="C5911" s="15"/>
      <c r="E5911" s="8"/>
      <c r="G5911" s="8"/>
      <c r="J5911" s="8"/>
    </row>
    <row r="5912">
      <c r="C5912" s="15"/>
      <c r="E5912" s="8"/>
      <c r="G5912" s="8"/>
      <c r="J5912" s="8"/>
    </row>
    <row r="5913">
      <c r="C5913" s="15"/>
      <c r="E5913" s="8"/>
      <c r="G5913" s="8"/>
      <c r="J5913" s="8"/>
    </row>
    <row r="5914">
      <c r="C5914" s="15"/>
      <c r="E5914" s="8"/>
      <c r="G5914" s="8"/>
      <c r="J5914" s="8"/>
    </row>
    <row r="5915">
      <c r="C5915" s="15"/>
      <c r="E5915" s="8"/>
      <c r="G5915" s="8"/>
      <c r="J5915" s="8"/>
    </row>
    <row r="5916">
      <c r="C5916" s="15"/>
      <c r="E5916" s="8"/>
      <c r="G5916" s="8"/>
      <c r="J5916" s="8"/>
    </row>
    <row r="5917">
      <c r="C5917" s="15"/>
      <c r="E5917" s="8"/>
      <c r="G5917" s="8"/>
      <c r="J5917" s="8"/>
    </row>
    <row r="5918">
      <c r="C5918" s="15"/>
      <c r="E5918" s="8"/>
      <c r="G5918" s="8"/>
      <c r="J5918" s="8"/>
    </row>
    <row r="5919">
      <c r="C5919" s="15"/>
      <c r="E5919" s="8"/>
      <c r="G5919" s="8"/>
      <c r="J5919" s="8"/>
    </row>
    <row r="5920">
      <c r="C5920" s="15"/>
      <c r="E5920" s="8"/>
      <c r="G5920" s="8"/>
      <c r="J5920" s="8"/>
    </row>
    <row r="5921">
      <c r="C5921" s="15"/>
      <c r="E5921" s="8"/>
      <c r="G5921" s="8"/>
      <c r="J5921" s="8"/>
    </row>
    <row r="5922">
      <c r="C5922" s="15"/>
      <c r="E5922" s="8"/>
      <c r="G5922" s="8"/>
      <c r="J5922" s="8"/>
    </row>
    <row r="5923">
      <c r="C5923" s="15"/>
      <c r="E5923" s="8"/>
      <c r="G5923" s="8"/>
      <c r="J5923" s="8"/>
    </row>
    <row r="5924">
      <c r="C5924" s="15"/>
      <c r="E5924" s="8"/>
      <c r="G5924" s="8"/>
      <c r="J5924" s="8"/>
    </row>
    <row r="5925">
      <c r="C5925" s="15"/>
      <c r="E5925" s="8"/>
      <c r="G5925" s="8"/>
      <c r="J5925" s="8"/>
    </row>
    <row r="5926">
      <c r="C5926" s="15"/>
      <c r="E5926" s="8"/>
      <c r="G5926" s="8"/>
      <c r="J5926" s="8"/>
    </row>
    <row r="5927">
      <c r="C5927" s="15"/>
      <c r="E5927" s="8"/>
      <c r="G5927" s="8"/>
      <c r="J5927" s="8"/>
    </row>
    <row r="5928">
      <c r="C5928" s="15"/>
      <c r="E5928" s="8"/>
      <c r="G5928" s="8"/>
      <c r="J5928" s="8"/>
    </row>
    <row r="5929">
      <c r="C5929" s="15"/>
      <c r="E5929" s="8"/>
      <c r="G5929" s="8"/>
      <c r="J5929" s="8"/>
    </row>
    <row r="5930">
      <c r="C5930" s="15"/>
      <c r="E5930" s="8"/>
      <c r="G5930" s="8"/>
      <c r="J5930" s="8"/>
    </row>
    <row r="5931">
      <c r="C5931" s="15"/>
      <c r="E5931" s="8"/>
      <c r="G5931" s="8"/>
      <c r="J5931" s="8"/>
    </row>
    <row r="5932">
      <c r="C5932" s="15"/>
      <c r="E5932" s="8"/>
      <c r="G5932" s="8"/>
      <c r="J5932" s="8"/>
    </row>
    <row r="5933">
      <c r="C5933" s="15"/>
      <c r="E5933" s="8"/>
      <c r="G5933" s="8"/>
      <c r="J5933" s="8"/>
    </row>
    <row r="5934">
      <c r="C5934" s="15"/>
      <c r="E5934" s="8"/>
      <c r="G5934" s="8"/>
      <c r="J5934" s="8"/>
    </row>
    <row r="5935">
      <c r="C5935" s="15"/>
      <c r="E5935" s="8"/>
      <c r="G5935" s="8"/>
      <c r="J5935" s="8"/>
    </row>
    <row r="5936">
      <c r="C5936" s="15"/>
      <c r="E5936" s="8"/>
      <c r="G5936" s="8"/>
      <c r="J5936" s="8"/>
    </row>
    <row r="5937">
      <c r="C5937" s="15"/>
      <c r="E5937" s="8"/>
      <c r="G5937" s="8"/>
      <c r="J5937" s="8"/>
    </row>
    <row r="5938">
      <c r="C5938" s="15"/>
      <c r="E5938" s="8"/>
      <c r="G5938" s="8"/>
      <c r="J5938" s="8"/>
    </row>
    <row r="5939">
      <c r="C5939" s="15"/>
      <c r="E5939" s="8"/>
      <c r="G5939" s="8"/>
      <c r="J5939" s="8"/>
    </row>
    <row r="5940">
      <c r="C5940" s="15"/>
      <c r="E5940" s="8"/>
      <c r="G5940" s="8"/>
      <c r="J5940" s="8"/>
    </row>
    <row r="5941">
      <c r="C5941" s="15"/>
      <c r="E5941" s="8"/>
      <c r="G5941" s="8"/>
      <c r="J5941" s="8"/>
    </row>
    <row r="5942">
      <c r="C5942" s="15"/>
      <c r="E5942" s="8"/>
      <c r="G5942" s="8"/>
      <c r="J5942" s="8"/>
    </row>
    <row r="5943">
      <c r="C5943" s="15"/>
      <c r="E5943" s="8"/>
      <c r="G5943" s="8"/>
      <c r="J5943" s="8"/>
    </row>
    <row r="5944">
      <c r="C5944" s="15"/>
      <c r="E5944" s="8"/>
      <c r="G5944" s="8"/>
      <c r="J5944" s="8"/>
    </row>
    <row r="5945">
      <c r="C5945" s="15"/>
      <c r="E5945" s="8"/>
      <c r="G5945" s="8"/>
      <c r="J5945" s="8"/>
    </row>
    <row r="5946">
      <c r="C5946" s="15"/>
      <c r="E5946" s="8"/>
      <c r="G5946" s="8"/>
      <c r="J5946" s="8"/>
    </row>
    <row r="5947">
      <c r="C5947" s="15"/>
      <c r="E5947" s="8"/>
      <c r="G5947" s="8"/>
      <c r="J5947" s="8"/>
    </row>
    <row r="5948">
      <c r="C5948" s="15"/>
      <c r="E5948" s="8"/>
      <c r="G5948" s="8"/>
      <c r="J5948" s="8"/>
    </row>
    <row r="5949">
      <c r="C5949" s="15"/>
      <c r="E5949" s="8"/>
      <c r="G5949" s="8"/>
      <c r="J5949" s="8"/>
    </row>
    <row r="5950">
      <c r="C5950" s="15"/>
      <c r="E5950" s="8"/>
      <c r="G5950" s="8"/>
      <c r="J5950" s="8"/>
    </row>
    <row r="5951">
      <c r="C5951" s="15"/>
      <c r="E5951" s="8"/>
      <c r="G5951" s="8"/>
      <c r="J5951" s="8"/>
    </row>
    <row r="5952">
      <c r="C5952" s="15"/>
      <c r="E5952" s="8"/>
      <c r="G5952" s="8"/>
      <c r="J5952" s="8"/>
    </row>
    <row r="5953">
      <c r="C5953" s="15"/>
      <c r="E5953" s="8"/>
      <c r="G5953" s="8"/>
      <c r="J5953" s="8"/>
    </row>
    <row r="5954">
      <c r="C5954" s="15"/>
      <c r="E5954" s="8"/>
      <c r="G5954" s="8"/>
      <c r="J5954" s="8"/>
    </row>
    <row r="5955">
      <c r="C5955" s="15"/>
      <c r="E5955" s="8"/>
      <c r="G5955" s="8"/>
      <c r="J5955" s="8"/>
    </row>
    <row r="5956">
      <c r="C5956" s="15"/>
      <c r="E5956" s="8"/>
      <c r="G5956" s="8"/>
      <c r="J5956" s="8"/>
    </row>
    <row r="5957">
      <c r="C5957" s="15"/>
      <c r="E5957" s="8"/>
      <c r="G5957" s="8"/>
      <c r="J5957" s="8"/>
    </row>
    <row r="5958">
      <c r="C5958" s="15"/>
      <c r="E5958" s="8"/>
      <c r="G5958" s="8"/>
      <c r="J5958" s="8"/>
    </row>
    <row r="5959">
      <c r="C5959" s="15"/>
      <c r="E5959" s="8"/>
      <c r="G5959" s="8"/>
      <c r="J5959" s="8"/>
    </row>
    <row r="5960">
      <c r="C5960" s="15"/>
      <c r="E5960" s="8"/>
      <c r="G5960" s="8"/>
      <c r="J5960" s="8"/>
    </row>
    <row r="5961">
      <c r="C5961" s="15"/>
      <c r="E5961" s="8"/>
      <c r="G5961" s="8"/>
      <c r="J5961" s="8"/>
    </row>
    <row r="5962">
      <c r="C5962" s="15"/>
      <c r="E5962" s="8"/>
      <c r="G5962" s="8"/>
      <c r="J5962" s="8"/>
    </row>
    <row r="5963">
      <c r="C5963" s="15"/>
      <c r="E5963" s="8"/>
      <c r="G5963" s="8"/>
      <c r="J5963" s="8"/>
    </row>
    <row r="5964">
      <c r="C5964" s="15"/>
      <c r="E5964" s="8"/>
      <c r="G5964" s="8"/>
      <c r="J5964" s="8"/>
    </row>
    <row r="5965">
      <c r="C5965" s="15"/>
      <c r="E5965" s="8"/>
      <c r="G5965" s="8"/>
      <c r="J5965" s="8"/>
    </row>
    <row r="5966">
      <c r="C5966" s="15"/>
      <c r="E5966" s="8"/>
      <c r="G5966" s="8"/>
      <c r="J5966" s="8"/>
    </row>
    <row r="5967">
      <c r="C5967" s="15"/>
      <c r="E5967" s="8"/>
      <c r="G5967" s="8"/>
      <c r="J5967" s="8"/>
    </row>
    <row r="5968">
      <c r="C5968" s="15"/>
      <c r="E5968" s="8"/>
      <c r="G5968" s="8"/>
      <c r="J5968" s="8"/>
    </row>
    <row r="5969">
      <c r="C5969" s="15"/>
      <c r="E5969" s="8"/>
      <c r="G5969" s="8"/>
      <c r="J5969" s="8"/>
    </row>
    <row r="5970">
      <c r="C5970" s="15"/>
      <c r="E5970" s="8"/>
      <c r="G5970" s="8"/>
      <c r="J5970" s="8"/>
    </row>
    <row r="5971">
      <c r="C5971" s="15"/>
      <c r="E5971" s="8"/>
      <c r="G5971" s="8"/>
      <c r="J5971" s="8"/>
    </row>
    <row r="5972">
      <c r="C5972" s="15"/>
      <c r="E5972" s="8"/>
      <c r="G5972" s="8"/>
      <c r="J5972" s="8"/>
    </row>
    <row r="5973">
      <c r="C5973" s="15"/>
      <c r="E5973" s="8"/>
      <c r="G5973" s="8"/>
      <c r="J5973" s="8"/>
    </row>
    <row r="5974">
      <c r="C5974" s="15"/>
      <c r="E5974" s="8"/>
      <c r="G5974" s="8"/>
      <c r="J5974" s="8"/>
    </row>
    <row r="5975">
      <c r="C5975" s="15"/>
      <c r="E5975" s="8"/>
      <c r="G5975" s="8"/>
      <c r="J5975" s="8"/>
    </row>
    <row r="5976">
      <c r="C5976" s="15"/>
      <c r="E5976" s="8"/>
      <c r="G5976" s="8"/>
      <c r="J5976" s="8"/>
    </row>
    <row r="5977">
      <c r="C5977" s="15"/>
      <c r="E5977" s="8"/>
      <c r="G5977" s="8"/>
      <c r="J5977" s="8"/>
    </row>
    <row r="5978">
      <c r="C5978" s="15"/>
      <c r="E5978" s="8"/>
      <c r="G5978" s="8"/>
      <c r="J5978" s="8"/>
    </row>
    <row r="5979">
      <c r="C5979" s="15"/>
      <c r="E5979" s="8"/>
      <c r="G5979" s="8"/>
      <c r="J5979" s="8"/>
    </row>
    <row r="5980">
      <c r="C5980" s="15"/>
      <c r="E5980" s="8"/>
      <c r="G5980" s="8"/>
      <c r="J5980" s="8"/>
    </row>
    <row r="5981">
      <c r="C5981" s="15"/>
      <c r="E5981" s="8"/>
      <c r="G5981" s="8"/>
      <c r="J5981" s="8"/>
    </row>
    <row r="5982">
      <c r="C5982" s="15"/>
      <c r="E5982" s="8"/>
      <c r="G5982" s="8"/>
      <c r="J5982" s="8"/>
    </row>
    <row r="5983">
      <c r="C5983" s="15"/>
      <c r="E5983" s="8"/>
      <c r="G5983" s="8"/>
      <c r="J5983" s="8"/>
    </row>
    <row r="5984">
      <c r="C5984" s="15"/>
      <c r="E5984" s="8"/>
      <c r="G5984" s="8"/>
      <c r="J5984" s="8"/>
    </row>
    <row r="5985">
      <c r="C5985" s="15"/>
      <c r="E5985" s="8"/>
      <c r="G5985" s="8"/>
      <c r="J5985" s="8"/>
    </row>
    <row r="5986">
      <c r="C5986" s="15"/>
      <c r="E5986" s="8"/>
      <c r="G5986" s="8"/>
      <c r="J5986" s="8"/>
    </row>
    <row r="5987">
      <c r="C5987" s="15"/>
      <c r="E5987" s="8"/>
      <c r="G5987" s="8"/>
      <c r="J5987" s="8"/>
    </row>
    <row r="5988">
      <c r="C5988" s="15"/>
      <c r="E5988" s="8"/>
      <c r="G5988" s="8"/>
      <c r="J5988" s="8"/>
    </row>
    <row r="5989">
      <c r="C5989" s="15"/>
      <c r="E5989" s="8"/>
      <c r="G5989" s="8"/>
      <c r="J5989" s="8"/>
    </row>
    <row r="5990">
      <c r="C5990" s="15"/>
      <c r="E5990" s="8"/>
      <c r="G5990" s="8"/>
      <c r="J5990" s="8"/>
    </row>
    <row r="5991">
      <c r="C5991" s="15"/>
      <c r="E5991" s="8"/>
      <c r="G5991" s="8"/>
      <c r="J5991" s="8"/>
    </row>
    <row r="5992">
      <c r="C5992" s="15"/>
      <c r="E5992" s="8"/>
      <c r="G5992" s="8"/>
      <c r="J5992" s="8"/>
    </row>
    <row r="5993">
      <c r="C5993" s="15"/>
      <c r="E5993" s="8"/>
      <c r="G5993" s="8"/>
      <c r="J5993" s="8"/>
    </row>
    <row r="5994">
      <c r="C5994" s="15"/>
      <c r="E5994" s="8"/>
      <c r="G5994" s="8"/>
      <c r="J5994" s="8"/>
    </row>
    <row r="5995">
      <c r="C5995" s="15"/>
      <c r="E5995" s="8"/>
      <c r="G5995" s="8"/>
      <c r="J5995" s="8"/>
    </row>
    <row r="5996">
      <c r="C5996" s="15"/>
      <c r="E5996" s="8"/>
      <c r="G5996" s="8"/>
      <c r="J5996" s="8"/>
    </row>
    <row r="5997">
      <c r="C5997" s="15"/>
      <c r="E5997" s="8"/>
      <c r="G5997" s="8"/>
      <c r="J5997" s="8"/>
    </row>
    <row r="5998">
      <c r="C5998" s="15"/>
      <c r="E5998" s="8"/>
      <c r="G5998" s="8"/>
      <c r="J5998" s="8"/>
    </row>
    <row r="5999">
      <c r="C5999" s="15"/>
      <c r="E5999" s="8"/>
      <c r="G5999" s="8"/>
      <c r="J5999" s="8"/>
    </row>
    <row r="6000">
      <c r="C6000" s="15"/>
      <c r="E6000" s="8"/>
      <c r="G6000" s="8"/>
      <c r="J6000" s="8"/>
    </row>
    <row r="6001">
      <c r="C6001" s="15"/>
      <c r="E6001" s="8"/>
      <c r="G6001" s="8"/>
      <c r="J6001" s="8"/>
    </row>
    <row r="6002">
      <c r="C6002" s="15"/>
      <c r="E6002" s="8"/>
      <c r="G6002" s="8"/>
      <c r="J6002" s="8"/>
    </row>
    <row r="6003">
      <c r="C6003" s="15"/>
      <c r="E6003" s="8"/>
      <c r="G6003" s="8"/>
      <c r="J6003" s="8"/>
    </row>
    <row r="6004">
      <c r="C6004" s="15"/>
      <c r="E6004" s="8"/>
      <c r="G6004" s="8"/>
      <c r="J6004" s="8"/>
    </row>
    <row r="6005">
      <c r="C6005" s="15"/>
      <c r="E6005" s="8"/>
      <c r="G6005" s="8"/>
      <c r="J6005" s="8"/>
    </row>
    <row r="6006">
      <c r="C6006" s="15"/>
      <c r="E6006" s="8"/>
      <c r="G6006" s="8"/>
      <c r="J6006" s="8"/>
    </row>
    <row r="6007">
      <c r="C6007" s="15"/>
      <c r="E6007" s="8"/>
      <c r="G6007" s="8"/>
      <c r="J6007" s="8"/>
    </row>
    <row r="6008">
      <c r="C6008" s="15"/>
      <c r="E6008" s="8"/>
      <c r="G6008" s="8"/>
      <c r="J6008" s="8"/>
    </row>
    <row r="6009">
      <c r="C6009" s="15"/>
      <c r="E6009" s="8"/>
      <c r="G6009" s="8"/>
      <c r="J6009" s="8"/>
    </row>
    <row r="6010">
      <c r="C6010" s="15"/>
      <c r="E6010" s="8"/>
      <c r="G6010" s="8"/>
      <c r="J6010" s="8"/>
    </row>
    <row r="6011">
      <c r="C6011" s="15"/>
      <c r="E6011" s="8"/>
      <c r="G6011" s="8"/>
      <c r="J6011" s="8"/>
    </row>
    <row r="6012">
      <c r="C6012" s="15"/>
      <c r="E6012" s="8"/>
      <c r="G6012" s="8"/>
      <c r="J6012" s="8"/>
    </row>
    <row r="6013">
      <c r="C6013" s="15"/>
      <c r="E6013" s="8"/>
      <c r="G6013" s="8"/>
      <c r="J6013" s="8"/>
    </row>
    <row r="6014">
      <c r="C6014" s="15"/>
      <c r="E6014" s="8"/>
      <c r="G6014" s="8"/>
      <c r="J6014" s="8"/>
    </row>
    <row r="6015">
      <c r="C6015" s="15"/>
      <c r="E6015" s="8"/>
      <c r="G6015" s="8"/>
      <c r="J6015" s="8"/>
    </row>
    <row r="6016">
      <c r="C6016" s="15"/>
      <c r="E6016" s="8"/>
      <c r="G6016" s="8"/>
      <c r="J6016" s="8"/>
    </row>
    <row r="6017">
      <c r="C6017" s="15"/>
      <c r="E6017" s="8"/>
      <c r="G6017" s="8"/>
      <c r="J6017" s="8"/>
    </row>
    <row r="6018">
      <c r="C6018" s="15"/>
      <c r="E6018" s="8"/>
      <c r="G6018" s="8"/>
      <c r="J6018" s="8"/>
    </row>
    <row r="6019">
      <c r="C6019" s="15"/>
      <c r="E6019" s="8"/>
      <c r="G6019" s="8"/>
      <c r="J6019" s="8"/>
    </row>
    <row r="6020">
      <c r="C6020" s="15"/>
      <c r="E6020" s="8"/>
      <c r="G6020" s="8"/>
      <c r="J6020" s="8"/>
    </row>
    <row r="6021">
      <c r="C6021" s="15"/>
      <c r="E6021" s="8"/>
      <c r="G6021" s="8"/>
      <c r="J6021" s="8"/>
    </row>
    <row r="6022">
      <c r="C6022" s="15"/>
      <c r="E6022" s="8"/>
      <c r="G6022" s="8"/>
      <c r="J6022" s="8"/>
    </row>
    <row r="6023">
      <c r="C6023" s="15"/>
      <c r="E6023" s="8"/>
      <c r="G6023" s="8"/>
      <c r="J6023" s="8"/>
    </row>
    <row r="6024">
      <c r="C6024" s="15"/>
      <c r="E6024" s="8"/>
      <c r="G6024" s="8"/>
      <c r="J6024" s="8"/>
    </row>
    <row r="6025">
      <c r="C6025" s="15"/>
      <c r="E6025" s="8"/>
      <c r="G6025" s="8"/>
      <c r="J6025" s="8"/>
    </row>
    <row r="6026">
      <c r="C6026" s="15"/>
      <c r="E6026" s="8"/>
      <c r="G6026" s="8"/>
      <c r="J6026" s="8"/>
    </row>
    <row r="6027">
      <c r="C6027" s="15"/>
      <c r="E6027" s="8"/>
      <c r="G6027" s="8"/>
      <c r="J6027" s="8"/>
    </row>
    <row r="6028">
      <c r="C6028" s="15"/>
      <c r="E6028" s="8"/>
      <c r="G6028" s="8"/>
      <c r="J6028" s="8"/>
    </row>
    <row r="6029">
      <c r="C6029" s="15"/>
      <c r="E6029" s="8"/>
      <c r="G6029" s="8"/>
      <c r="J6029" s="8"/>
    </row>
    <row r="6030">
      <c r="C6030" s="15"/>
      <c r="E6030" s="8"/>
      <c r="G6030" s="8"/>
      <c r="J6030" s="8"/>
    </row>
    <row r="6031">
      <c r="C6031" s="15"/>
      <c r="E6031" s="8"/>
      <c r="G6031" s="8"/>
      <c r="J6031" s="8"/>
    </row>
    <row r="6032">
      <c r="C6032" s="15"/>
      <c r="E6032" s="8"/>
      <c r="G6032" s="8"/>
      <c r="J6032" s="8"/>
    </row>
    <row r="6033">
      <c r="C6033" s="15"/>
      <c r="E6033" s="8"/>
      <c r="G6033" s="8"/>
      <c r="J6033" s="8"/>
    </row>
    <row r="6034">
      <c r="C6034" s="15"/>
      <c r="E6034" s="8"/>
      <c r="G6034" s="8"/>
      <c r="J6034" s="8"/>
    </row>
    <row r="6035">
      <c r="C6035" s="15"/>
      <c r="E6035" s="8"/>
      <c r="G6035" s="8"/>
      <c r="J6035" s="8"/>
    </row>
    <row r="6036">
      <c r="C6036" s="15"/>
      <c r="E6036" s="8"/>
      <c r="G6036" s="8"/>
      <c r="J6036" s="8"/>
    </row>
    <row r="6037">
      <c r="C6037" s="15"/>
      <c r="E6037" s="8"/>
      <c r="G6037" s="8"/>
      <c r="J6037" s="8"/>
    </row>
    <row r="6038">
      <c r="C6038" s="15"/>
      <c r="E6038" s="8"/>
      <c r="G6038" s="8"/>
      <c r="J6038" s="8"/>
    </row>
    <row r="6039">
      <c r="C6039" s="15"/>
      <c r="E6039" s="8"/>
      <c r="G6039" s="8"/>
      <c r="J6039" s="8"/>
    </row>
    <row r="6040">
      <c r="C6040" s="15"/>
      <c r="E6040" s="8"/>
      <c r="G6040" s="8"/>
      <c r="J6040" s="8"/>
    </row>
    <row r="6041">
      <c r="C6041" s="15"/>
      <c r="E6041" s="8"/>
      <c r="G6041" s="8"/>
      <c r="J6041" s="8"/>
    </row>
    <row r="6042">
      <c r="C6042" s="15"/>
      <c r="E6042" s="8"/>
      <c r="G6042" s="8"/>
      <c r="J6042" s="8"/>
    </row>
    <row r="6043">
      <c r="C6043" s="15"/>
      <c r="E6043" s="8"/>
      <c r="G6043" s="8"/>
      <c r="J6043" s="8"/>
    </row>
    <row r="6044">
      <c r="C6044" s="15"/>
      <c r="E6044" s="8"/>
      <c r="G6044" s="8"/>
      <c r="J6044" s="8"/>
    </row>
    <row r="6045">
      <c r="C6045" s="15"/>
      <c r="E6045" s="8"/>
      <c r="G6045" s="8"/>
      <c r="J6045" s="8"/>
    </row>
    <row r="6046">
      <c r="C6046" s="15"/>
      <c r="E6046" s="8"/>
      <c r="G6046" s="8"/>
      <c r="J6046" s="8"/>
    </row>
    <row r="6047">
      <c r="C6047" s="15"/>
      <c r="E6047" s="8"/>
      <c r="G6047" s="8"/>
      <c r="J6047" s="8"/>
    </row>
    <row r="6048">
      <c r="C6048" s="15"/>
      <c r="E6048" s="8"/>
      <c r="G6048" s="8"/>
      <c r="J6048" s="8"/>
    </row>
    <row r="6049">
      <c r="C6049" s="15"/>
      <c r="E6049" s="8"/>
      <c r="G6049" s="8"/>
      <c r="J6049" s="8"/>
    </row>
    <row r="6050">
      <c r="C6050" s="15"/>
      <c r="E6050" s="8"/>
      <c r="G6050" s="8"/>
      <c r="J6050" s="8"/>
    </row>
    <row r="6051">
      <c r="C6051" s="15"/>
      <c r="E6051" s="8"/>
      <c r="G6051" s="8"/>
      <c r="J6051" s="8"/>
    </row>
    <row r="6052">
      <c r="C6052" s="15"/>
      <c r="E6052" s="8"/>
      <c r="G6052" s="8"/>
      <c r="J6052" s="8"/>
    </row>
    <row r="6053">
      <c r="C6053" s="15"/>
      <c r="E6053" s="8"/>
      <c r="G6053" s="8"/>
      <c r="J6053" s="8"/>
    </row>
    <row r="6054">
      <c r="C6054" s="15"/>
      <c r="E6054" s="8"/>
      <c r="G6054" s="8"/>
      <c r="J6054" s="8"/>
    </row>
    <row r="6055">
      <c r="C6055" s="15"/>
      <c r="E6055" s="8"/>
      <c r="G6055" s="8"/>
      <c r="J6055" s="8"/>
    </row>
    <row r="6056">
      <c r="C6056" s="15"/>
      <c r="E6056" s="8"/>
      <c r="G6056" s="8"/>
      <c r="J6056" s="8"/>
    </row>
    <row r="6057">
      <c r="C6057" s="15"/>
      <c r="E6057" s="8"/>
      <c r="G6057" s="8"/>
      <c r="J6057" s="8"/>
    </row>
    <row r="6058">
      <c r="C6058" s="15"/>
      <c r="E6058" s="8"/>
      <c r="G6058" s="8"/>
      <c r="J6058" s="8"/>
    </row>
    <row r="6059">
      <c r="C6059" s="15"/>
      <c r="E6059" s="8"/>
      <c r="G6059" s="8"/>
      <c r="J6059" s="8"/>
    </row>
    <row r="6060">
      <c r="C6060" s="15"/>
      <c r="E6060" s="8"/>
      <c r="G6060" s="8"/>
      <c r="J6060" s="8"/>
    </row>
    <row r="6061">
      <c r="C6061" s="15"/>
      <c r="E6061" s="8"/>
      <c r="G6061" s="8"/>
      <c r="J6061" s="8"/>
    </row>
    <row r="6062">
      <c r="C6062" s="15"/>
      <c r="E6062" s="8"/>
      <c r="G6062" s="8"/>
      <c r="J6062" s="8"/>
    </row>
    <row r="6063">
      <c r="C6063" s="15"/>
      <c r="E6063" s="8"/>
      <c r="G6063" s="8"/>
      <c r="J6063" s="8"/>
    </row>
    <row r="6064">
      <c r="C6064" s="15"/>
      <c r="E6064" s="8"/>
      <c r="G6064" s="8"/>
      <c r="J6064" s="8"/>
    </row>
    <row r="6065">
      <c r="C6065" s="15"/>
      <c r="E6065" s="8"/>
      <c r="G6065" s="8"/>
      <c r="J6065" s="8"/>
    </row>
    <row r="6066">
      <c r="C6066" s="15"/>
      <c r="E6066" s="8"/>
      <c r="G6066" s="8"/>
      <c r="J6066" s="8"/>
    </row>
    <row r="6067">
      <c r="C6067" s="15"/>
      <c r="E6067" s="8"/>
      <c r="G6067" s="8"/>
      <c r="J6067" s="8"/>
    </row>
    <row r="6068">
      <c r="C6068" s="15"/>
      <c r="E6068" s="8"/>
      <c r="G6068" s="8"/>
      <c r="J6068" s="8"/>
    </row>
    <row r="6069">
      <c r="C6069" s="15"/>
      <c r="E6069" s="8"/>
      <c r="G6069" s="8"/>
      <c r="J6069" s="8"/>
    </row>
    <row r="6070">
      <c r="C6070" s="15"/>
      <c r="E6070" s="8"/>
      <c r="G6070" s="8"/>
      <c r="J6070" s="8"/>
    </row>
    <row r="6071">
      <c r="C6071" s="15"/>
      <c r="E6071" s="8"/>
      <c r="G6071" s="8"/>
      <c r="J6071" s="8"/>
    </row>
    <row r="6072">
      <c r="C6072" s="15"/>
      <c r="E6072" s="8"/>
      <c r="G6072" s="8"/>
      <c r="J6072" s="8"/>
    </row>
    <row r="6073">
      <c r="C6073" s="15"/>
      <c r="E6073" s="8"/>
      <c r="G6073" s="8"/>
      <c r="J6073" s="8"/>
    </row>
    <row r="6074">
      <c r="C6074" s="15"/>
      <c r="E6074" s="8"/>
      <c r="G6074" s="8"/>
      <c r="J6074" s="8"/>
    </row>
    <row r="6075">
      <c r="C6075" s="15"/>
      <c r="E6075" s="8"/>
      <c r="G6075" s="8"/>
      <c r="J6075" s="8"/>
    </row>
    <row r="6076">
      <c r="C6076" s="15"/>
      <c r="E6076" s="8"/>
      <c r="G6076" s="8"/>
      <c r="J6076" s="8"/>
    </row>
    <row r="6077">
      <c r="C6077" s="15"/>
      <c r="E6077" s="8"/>
      <c r="G6077" s="8"/>
      <c r="J6077" s="8"/>
    </row>
    <row r="6078">
      <c r="C6078" s="15"/>
      <c r="E6078" s="8"/>
      <c r="G6078" s="8"/>
      <c r="J6078" s="8"/>
    </row>
    <row r="6079">
      <c r="C6079" s="15"/>
      <c r="E6079" s="8"/>
      <c r="G6079" s="8"/>
      <c r="J6079" s="8"/>
    </row>
    <row r="6080">
      <c r="C6080" s="15"/>
      <c r="E6080" s="8"/>
      <c r="G6080" s="8"/>
      <c r="J6080" s="8"/>
    </row>
    <row r="6081">
      <c r="C6081" s="15"/>
      <c r="E6081" s="8"/>
      <c r="G6081" s="8"/>
      <c r="J6081" s="8"/>
    </row>
    <row r="6082">
      <c r="C6082" s="15"/>
      <c r="E6082" s="8"/>
      <c r="G6082" s="8"/>
      <c r="J6082" s="8"/>
    </row>
    <row r="6083">
      <c r="C6083" s="15"/>
      <c r="E6083" s="8"/>
      <c r="G6083" s="8"/>
      <c r="J6083" s="8"/>
    </row>
    <row r="6084">
      <c r="C6084" s="15"/>
      <c r="E6084" s="8"/>
      <c r="G6084" s="8"/>
      <c r="J6084" s="8"/>
    </row>
    <row r="6085">
      <c r="C6085" s="15"/>
      <c r="E6085" s="8"/>
      <c r="G6085" s="8"/>
      <c r="J6085" s="8"/>
    </row>
    <row r="6086">
      <c r="C6086" s="15"/>
      <c r="E6086" s="8"/>
      <c r="G6086" s="8"/>
      <c r="J6086" s="8"/>
    </row>
    <row r="6087">
      <c r="C6087" s="15"/>
      <c r="E6087" s="8"/>
      <c r="G6087" s="8"/>
      <c r="J6087" s="8"/>
    </row>
    <row r="6088">
      <c r="C6088" s="15"/>
      <c r="E6088" s="8"/>
      <c r="G6088" s="8"/>
      <c r="J6088" s="8"/>
    </row>
    <row r="6089">
      <c r="C6089" s="15"/>
      <c r="E6089" s="8"/>
      <c r="G6089" s="8"/>
      <c r="J6089" s="8"/>
    </row>
    <row r="6090">
      <c r="C6090" s="15"/>
      <c r="E6090" s="8"/>
      <c r="G6090" s="8"/>
      <c r="J6090" s="8"/>
    </row>
    <row r="6091">
      <c r="C6091" s="15"/>
      <c r="E6091" s="8"/>
      <c r="G6091" s="8"/>
      <c r="J6091" s="8"/>
    </row>
    <row r="6092">
      <c r="C6092" s="15"/>
      <c r="E6092" s="8"/>
      <c r="G6092" s="8"/>
      <c r="J6092" s="8"/>
    </row>
    <row r="6093">
      <c r="C6093" s="15"/>
      <c r="E6093" s="8"/>
      <c r="G6093" s="8"/>
      <c r="J6093" s="8"/>
    </row>
    <row r="6094">
      <c r="C6094" s="15"/>
      <c r="E6094" s="8"/>
      <c r="G6094" s="8"/>
      <c r="J6094" s="8"/>
    </row>
    <row r="6095">
      <c r="C6095" s="15"/>
      <c r="E6095" s="8"/>
      <c r="G6095" s="8"/>
      <c r="J6095" s="8"/>
    </row>
    <row r="6096">
      <c r="C6096" s="15"/>
      <c r="E6096" s="8"/>
      <c r="G6096" s="8"/>
      <c r="J6096" s="8"/>
    </row>
    <row r="6097">
      <c r="C6097" s="15"/>
      <c r="E6097" s="8"/>
      <c r="G6097" s="8"/>
      <c r="J6097" s="8"/>
    </row>
    <row r="6098">
      <c r="C6098" s="15"/>
      <c r="E6098" s="8"/>
      <c r="G6098" s="8"/>
      <c r="J6098" s="8"/>
    </row>
    <row r="6099">
      <c r="C6099" s="15"/>
      <c r="E6099" s="8"/>
      <c r="G6099" s="8"/>
      <c r="J6099" s="8"/>
    </row>
    <row r="6100">
      <c r="C6100" s="15"/>
      <c r="E6100" s="8"/>
      <c r="G6100" s="8"/>
      <c r="J6100" s="8"/>
    </row>
    <row r="6101">
      <c r="C6101" s="15"/>
      <c r="E6101" s="8"/>
      <c r="G6101" s="8"/>
      <c r="J6101" s="8"/>
    </row>
    <row r="6102">
      <c r="C6102" s="15"/>
      <c r="E6102" s="8"/>
      <c r="G6102" s="8"/>
      <c r="J6102" s="8"/>
    </row>
    <row r="6103">
      <c r="C6103" s="15"/>
      <c r="E6103" s="8"/>
      <c r="G6103" s="8"/>
      <c r="J6103" s="8"/>
    </row>
    <row r="6104">
      <c r="C6104" s="15"/>
      <c r="E6104" s="8"/>
      <c r="G6104" s="8"/>
      <c r="J6104" s="8"/>
    </row>
    <row r="6105">
      <c r="C6105" s="15"/>
      <c r="E6105" s="8"/>
      <c r="G6105" s="8"/>
      <c r="J6105" s="8"/>
    </row>
    <row r="6106">
      <c r="C6106" s="15"/>
      <c r="E6106" s="8"/>
      <c r="G6106" s="8"/>
      <c r="J6106" s="8"/>
    </row>
    <row r="6107">
      <c r="C6107" s="15"/>
      <c r="E6107" s="8"/>
      <c r="G6107" s="8"/>
      <c r="J6107" s="8"/>
    </row>
    <row r="6108">
      <c r="C6108" s="15"/>
      <c r="E6108" s="8"/>
      <c r="G6108" s="8"/>
      <c r="J6108" s="8"/>
    </row>
    <row r="6109">
      <c r="C6109" s="15"/>
      <c r="E6109" s="8"/>
      <c r="G6109" s="8"/>
      <c r="J6109" s="8"/>
    </row>
    <row r="6110">
      <c r="C6110" s="15"/>
      <c r="E6110" s="8"/>
      <c r="G6110" s="8"/>
      <c r="J6110" s="8"/>
    </row>
    <row r="6111">
      <c r="C6111" s="15"/>
      <c r="E6111" s="8"/>
      <c r="G6111" s="8"/>
      <c r="J6111" s="8"/>
    </row>
    <row r="6112">
      <c r="C6112" s="15"/>
      <c r="E6112" s="8"/>
      <c r="G6112" s="8"/>
      <c r="J6112" s="8"/>
    </row>
    <row r="6113">
      <c r="C6113" s="15"/>
      <c r="E6113" s="8"/>
      <c r="G6113" s="8"/>
      <c r="J6113" s="8"/>
    </row>
    <row r="6114">
      <c r="C6114" s="15"/>
      <c r="E6114" s="8"/>
      <c r="G6114" s="8"/>
      <c r="J6114" s="8"/>
    </row>
    <row r="6115">
      <c r="C6115" s="15"/>
      <c r="E6115" s="8"/>
      <c r="G6115" s="8"/>
      <c r="J6115" s="8"/>
    </row>
    <row r="6116">
      <c r="C6116" s="15"/>
      <c r="E6116" s="8"/>
      <c r="G6116" s="8"/>
      <c r="J6116" s="8"/>
    </row>
    <row r="6117">
      <c r="C6117" s="15"/>
      <c r="E6117" s="8"/>
      <c r="G6117" s="8"/>
      <c r="J6117" s="8"/>
    </row>
    <row r="6118">
      <c r="C6118" s="15"/>
      <c r="E6118" s="8"/>
      <c r="G6118" s="8"/>
      <c r="J6118" s="8"/>
    </row>
    <row r="6119">
      <c r="C6119" s="15"/>
      <c r="E6119" s="8"/>
      <c r="G6119" s="8"/>
      <c r="J6119" s="8"/>
    </row>
    <row r="6120">
      <c r="C6120" s="15"/>
      <c r="E6120" s="8"/>
      <c r="G6120" s="8"/>
      <c r="J6120" s="8"/>
    </row>
    <row r="6121">
      <c r="C6121" s="15"/>
      <c r="E6121" s="8"/>
      <c r="G6121" s="8"/>
      <c r="J6121" s="8"/>
    </row>
    <row r="6122">
      <c r="C6122" s="15"/>
      <c r="E6122" s="8"/>
      <c r="G6122" s="8"/>
      <c r="J6122" s="8"/>
    </row>
    <row r="6123">
      <c r="C6123" s="15"/>
      <c r="E6123" s="8"/>
      <c r="G6123" s="8"/>
      <c r="J6123" s="8"/>
    </row>
    <row r="6124">
      <c r="C6124" s="15"/>
      <c r="E6124" s="8"/>
      <c r="G6124" s="8"/>
      <c r="J6124" s="8"/>
    </row>
    <row r="6125">
      <c r="C6125" s="15"/>
      <c r="E6125" s="8"/>
      <c r="G6125" s="8"/>
      <c r="J6125" s="8"/>
    </row>
    <row r="6126">
      <c r="C6126" s="15"/>
      <c r="E6126" s="8"/>
      <c r="G6126" s="8"/>
      <c r="J6126" s="8"/>
    </row>
    <row r="6127">
      <c r="C6127" s="15"/>
      <c r="E6127" s="8"/>
      <c r="G6127" s="8"/>
      <c r="J6127" s="8"/>
    </row>
    <row r="6128">
      <c r="C6128" s="15"/>
      <c r="E6128" s="8"/>
      <c r="G6128" s="8"/>
      <c r="J6128" s="8"/>
    </row>
    <row r="6129">
      <c r="C6129" s="15"/>
      <c r="E6129" s="8"/>
      <c r="G6129" s="8"/>
      <c r="J6129" s="8"/>
    </row>
    <row r="6130">
      <c r="C6130" s="15"/>
      <c r="E6130" s="8"/>
      <c r="G6130" s="8"/>
      <c r="J6130" s="8"/>
    </row>
    <row r="6131">
      <c r="C6131" s="15"/>
      <c r="E6131" s="8"/>
      <c r="G6131" s="8"/>
      <c r="J6131" s="8"/>
    </row>
    <row r="6132">
      <c r="C6132" s="15"/>
      <c r="E6132" s="8"/>
      <c r="G6132" s="8"/>
      <c r="J6132" s="8"/>
    </row>
    <row r="6133">
      <c r="C6133" s="15"/>
      <c r="E6133" s="8"/>
      <c r="G6133" s="8"/>
      <c r="J6133" s="8"/>
    </row>
    <row r="6134">
      <c r="C6134" s="15"/>
      <c r="E6134" s="8"/>
      <c r="G6134" s="8"/>
      <c r="J6134" s="8"/>
    </row>
    <row r="6135">
      <c r="C6135" s="15"/>
      <c r="E6135" s="8"/>
      <c r="G6135" s="8"/>
      <c r="J6135" s="8"/>
    </row>
    <row r="6136">
      <c r="C6136" s="15"/>
      <c r="E6136" s="8"/>
      <c r="G6136" s="8"/>
      <c r="J6136" s="8"/>
    </row>
    <row r="6137">
      <c r="C6137" s="15"/>
      <c r="E6137" s="8"/>
      <c r="G6137" s="8"/>
      <c r="J6137" s="8"/>
    </row>
    <row r="6138">
      <c r="C6138" s="15"/>
      <c r="E6138" s="8"/>
      <c r="G6138" s="8"/>
      <c r="J6138" s="8"/>
    </row>
    <row r="6139">
      <c r="C6139" s="15"/>
      <c r="E6139" s="8"/>
      <c r="G6139" s="8"/>
      <c r="J6139" s="8"/>
    </row>
    <row r="6140">
      <c r="C6140" s="15"/>
      <c r="E6140" s="8"/>
      <c r="G6140" s="8"/>
      <c r="J6140" s="8"/>
    </row>
    <row r="6141">
      <c r="C6141" s="15"/>
      <c r="E6141" s="8"/>
      <c r="G6141" s="8"/>
      <c r="J6141" s="8"/>
    </row>
    <row r="6142">
      <c r="C6142" s="15"/>
      <c r="E6142" s="8"/>
      <c r="G6142" s="8"/>
      <c r="J6142" s="8"/>
    </row>
    <row r="6143">
      <c r="C6143" s="15"/>
      <c r="E6143" s="8"/>
      <c r="G6143" s="8"/>
      <c r="J6143" s="8"/>
    </row>
    <row r="6144">
      <c r="C6144" s="15"/>
      <c r="E6144" s="8"/>
      <c r="G6144" s="8"/>
      <c r="J6144" s="8"/>
    </row>
    <row r="6145">
      <c r="C6145" s="15"/>
      <c r="E6145" s="8"/>
      <c r="G6145" s="8"/>
      <c r="J6145" s="8"/>
    </row>
    <row r="6146">
      <c r="C6146" s="15"/>
      <c r="E6146" s="8"/>
      <c r="G6146" s="8"/>
      <c r="J6146" s="8"/>
    </row>
    <row r="6147">
      <c r="C6147" s="15"/>
      <c r="E6147" s="8"/>
      <c r="G6147" s="8"/>
      <c r="J6147" s="8"/>
    </row>
    <row r="6148">
      <c r="C6148" s="15"/>
      <c r="E6148" s="8"/>
      <c r="G6148" s="8"/>
      <c r="J6148" s="8"/>
    </row>
    <row r="6149">
      <c r="C6149" s="15"/>
      <c r="E6149" s="8"/>
      <c r="G6149" s="8"/>
      <c r="J6149" s="8"/>
    </row>
    <row r="6150">
      <c r="C6150" s="15"/>
      <c r="E6150" s="8"/>
      <c r="G6150" s="8"/>
      <c r="J6150" s="8"/>
    </row>
    <row r="6151">
      <c r="C6151" s="15"/>
      <c r="E6151" s="8"/>
      <c r="G6151" s="8"/>
      <c r="J6151" s="8"/>
    </row>
    <row r="6152">
      <c r="C6152" s="15"/>
      <c r="E6152" s="8"/>
      <c r="G6152" s="8"/>
      <c r="J6152" s="8"/>
    </row>
    <row r="6153">
      <c r="C6153" s="15"/>
      <c r="E6153" s="8"/>
      <c r="G6153" s="8"/>
      <c r="J6153" s="8"/>
    </row>
    <row r="6154">
      <c r="C6154" s="15"/>
      <c r="E6154" s="8"/>
      <c r="G6154" s="8"/>
      <c r="J6154" s="8"/>
    </row>
    <row r="6155">
      <c r="C6155" s="15"/>
      <c r="E6155" s="8"/>
      <c r="G6155" s="8"/>
      <c r="J6155" s="8"/>
    </row>
    <row r="6156">
      <c r="C6156" s="15"/>
      <c r="E6156" s="8"/>
      <c r="G6156" s="8"/>
      <c r="J6156" s="8"/>
    </row>
    <row r="6157">
      <c r="C6157" s="15"/>
      <c r="E6157" s="8"/>
      <c r="G6157" s="8"/>
      <c r="J6157" s="8"/>
    </row>
    <row r="6158">
      <c r="C6158" s="15"/>
      <c r="E6158" s="8"/>
      <c r="G6158" s="8"/>
      <c r="J6158" s="8"/>
    </row>
    <row r="6159">
      <c r="C6159" s="15"/>
      <c r="E6159" s="8"/>
      <c r="G6159" s="8"/>
      <c r="J6159" s="8"/>
    </row>
    <row r="6160">
      <c r="C6160" s="15"/>
      <c r="E6160" s="8"/>
      <c r="G6160" s="8"/>
      <c r="J6160" s="8"/>
    </row>
    <row r="6161">
      <c r="C6161" s="15"/>
      <c r="E6161" s="8"/>
      <c r="G6161" s="8"/>
      <c r="J6161" s="8"/>
    </row>
    <row r="6162">
      <c r="C6162" s="15"/>
      <c r="E6162" s="8"/>
      <c r="G6162" s="8"/>
      <c r="J6162" s="8"/>
    </row>
    <row r="6163">
      <c r="C6163" s="15"/>
      <c r="E6163" s="8"/>
      <c r="G6163" s="8"/>
      <c r="J6163" s="8"/>
    </row>
    <row r="6164">
      <c r="C6164" s="15"/>
      <c r="E6164" s="8"/>
      <c r="G6164" s="8"/>
      <c r="J6164" s="8"/>
    </row>
    <row r="6165">
      <c r="C6165" s="15"/>
      <c r="E6165" s="8"/>
      <c r="G6165" s="8"/>
      <c r="J6165" s="8"/>
    </row>
    <row r="6166">
      <c r="C6166" s="15"/>
      <c r="E6166" s="8"/>
      <c r="G6166" s="8"/>
      <c r="J6166" s="8"/>
    </row>
    <row r="6167">
      <c r="C6167" s="15"/>
      <c r="E6167" s="8"/>
      <c r="G6167" s="8"/>
      <c r="J6167" s="8"/>
    </row>
    <row r="6168">
      <c r="C6168" s="15"/>
      <c r="E6168" s="8"/>
      <c r="G6168" s="8"/>
      <c r="J6168" s="8"/>
    </row>
    <row r="6169">
      <c r="C6169" s="15"/>
      <c r="E6169" s="8"/>
      <c r="G6169" s="8"/>
      <c r="J6169" s="8"/>
    </row>
    <row r="6170">
      <c r="C6170" s="15"/>
      <c r="E6170" s="8"/>
      <c r="G6170" s="8"/>
      <c r="J6170" s="8"/>
    </row>
    <row r="6171">
      <c r="C6171" s="15"/>
      <c r="E6171" s="8"/>
      <c r="G6171" s="8"/>
      <c r="J6171" s="8"/>
    </row>
    <row r="6172">
      <c r="C6172" s="15"/>
      <c r="E6172" s="8"/>
      <c r="G6172" s="8"/>
      <c r="J6172" s="8"/>
    </row>
    <row r="6173">
      <c r="C6173" s="15"/>
      <c r="E6173" s="8"/>
      <c r="G6173" s="8"/>
      <c r="J6173" s="8"/>
    </row>
    <row r="6174">
      <c r="C6174" s="15"/>
      <c r="E6174" s="8"/>
      <c r="G6174" s="8"/>
      <c r="J6174" s="8"/>
    </row>
    <row r="6175">
      <c r="C6175" s="15"/>
      <c r="E6175" s="8"/>
      <c r="G6175" s="8"/>
      <c r="J6175" s="8"/>
    </row>
    <row r="6176">
      <c r="C6176" s="15"/>
      <c r="E6176" s="8"/>
      <c r="G6176" s="8"/>
      <c r="J6176" s="8"/>
    </row>
    <row r="6177">
      <c r="C6177" s="15"/>
      <c r="E6177" s="8"/>
      <c r="G6177" s="8"/>
      <c r="J6177" s="8"/>
    </row>
    <row r="6178">
      <c r="C6178" s="15"/>
      <c r="E6178" s="8"/>
      <c r="G6178" s="8"/>
      <c r="J6178" s="8"/>
    </row>
    <row r="6179">
      <c r="C6179" s="15"/>
      <c r="E6179" s="8"/>
      <c r="G6179" s="8"/>
      <c r="J6179" s="8"/>
    </row>
    <row r="6180">
      <c r="C6180" s="15"/>
      <c r="E6180" s="8"/>
      <c r="G6180" s="8"/>
      <c r="J6180" s="8"/>
    </row>
    <row r="6181">
      <c r="C6181" s="15"/>
      <c r="E6181" s="8"/>
      <c r="G6181" s="8"/>
      <c r="J6181" s="8"/>
    </row>
    <row r="6182">
      <c r="C6182" s="15"/>
      <c r="E6182" s="8"/>
      <c r="G6182" s="8"/>
      <c r="J6182" s="8"/>
    </row>
    <row r="6183">
      <c r="C6183" s="15"/>
      <c r="E6183" s="8"/>
      <c r="G6183" s="8"/>
      <c r="J6183" s="8"/>
    </row>
    <row r="6184">
      <c r="C6184" s="15"/>
      <c r="E6184" s="8"/>
      <c r="G6184" s="8"/>
      <c r="J6184" s="8"/>
    </row>
    <row r="6185">
      <c r="C6185" s="15"/>
      <c r="E6185" s="8"/>
      <c r="G6185" s="8"/>
      <c r="J6185" s="8"/>
    </row>
    <row r="6186">
      <c r="C6186" s="15"/>
      <c r="E6186" s="8"/>
      <c r="G6186" s="8"/>
      <c r="J6186" s="8"/>
    </row>
    <row r="6187">
      <c r="C6187" s="15"/>
      <c r="E6187" s="8"/>
      <c r="G6187" s="8"/>
      <c r="J6187" s="8"/>
    </row>
    <row r="6188">
      <c r="C6188" s="15"/>
      <c r="E6188" s="8"/>
      <c r="G6188" s="8"/>
      <c r="J6188" s="8"/>
    </row>
    <row r="6189">
      <c r="C6189" s="15"/>
      <c r="E6189" s="8"/>
      <c r="G6189" s="8"/>
      <c r="J6189" s="8"/>
    </row>
    <row r="6190">
      <c r="C6190" s="15"/>
      <c r="E6190" s="8"/>
      <c r="G6190" s="8"/>
      <c r="J6190" s="8"/>
    </row>
    <row r="6191">
      <c r="C6191" s="15"/>
      <c r="E6191" s="8"/>
      <c r="G6191" s="8"/>
      <c r="J6191" s="8"/>
    </row>
    <row r="6192">
      <c r="C6192" s="15"/>
      <c r="E6192" s="8"/>
      <c r="G6192" s="8"/>
      <c r="J6192" s="8"/>
    </row>
    <row r="6193">
      <c r="C6193" s="15"/>
      <c r="E6193" s="8"/>
      <c r="G6193" s="8"/>
      <c r="J6193" s="8"/>
    </row>
    <row r="6194">
      <c r="C6194" s="15"/>
      <c r="E6194" s="8"/>
      <c r="G6194" s="8"/>
      <c r="J6194" s="8"/>
    </row>
    <row r="6195">
      <c r="C6195" s="15"/>
      <c r="E6195" s="8"/>
      <c r="G6195" s="8"/>
      <c r="J6195" s="8"/>
    </row>
    <row r="6196">
      <c r="C6196" s="15"/>
      <c r="E6196" s="8"/>
      <c r="G6196" s="8"/>
      <c r="J6196" s="8"/>
    </row>
    <row r="6197">
      <c r="C6197" s="15"/>
      <c r="E6197" s="8"/>
      <c r="G6197" s="8"/>
      <c r="J6197" s="8"/>
    </row>
    <row r="6198">
      <c r="C6198" s="15"/>
      <c r="E6198" s="8"/>
      <c r="G6198" s="8"/>
      <c r="J6198" s="8"/>
    </row>
    <row r="6199">
      <c r="C6199" s="15"/>
      <c r="E6199" s="8"/>
      <c r="G6199" s="8"/>
      <c r="J6199" s="8"/>
    </row>
    <row r="6200">
      <c r="C6200" s="15"/>
      <c r="E6200" s="8"/>
      <c r="G6200" s="8"/>
      <c r="J6200" s="8"/>
    </row>
    <row r="6201">
      <c r="C6201" s="15"/>
      <c r="E6201" s="8"/>
      <c r="G6201" s="8"/>
      <c r="J6201" s="8"/>
    </row>
    <row r="6202">
      <c r="C6202" s="15"/>
      <c r="E6202" s="8"/>
      <c r="G6202" s="8"/>
      <c r="J6202" s="8"/>
    </row>
    <row r="6203">
      <c r="C6203" s="15"/>
      <c r="E6203" s="8"/>
      <c r="G6203" s="8"/>
      <c r="J6203" s="8"/>
    </row>
    <row r="6204">
      <c r="C6204" s="15"/>
      <c r="E6204" s="8"/>
      <c r="G6204" s="8"/>
      <c r="J6204" s="8"/>
    </row>
    <row r="6205">
      <c r="C6205" s="15"/>
      <c r="E6205" s="8"/>
      <c r="G6205" s="8"/>
      <c r="J6205" s="8"/>
    </row>
    <row r="6206">
      <c r="C6206" s="15"/>
      <c r="E6206" s="8"/>
      <c r="G6206" s="8"/>
      <c r="J6206" s="8"/>
    </row>
    <row r="6207">
      <c r="C6207" s="15"/>
      <c r="E6207" s="8"/>
      <c r="G6207" s="8"/>
      <c r="J6207" s="8"/>
    </row>
    <row r="6208">
      <c r="C6208" s="15"/>
      <c r="E6208" s="8"/>
      <c r="G6208" s="8"/>
      <c r="J6208" s="8"/>
    </row>
    <row r="6209">
      <c r="C6209" s="15"/>
      <c r="E6209" s="8"/>
      <c r="G6209" s="8"/>
      <c r="J6209" s="8"/>
    </row>
    <row r="6210">
      <c r="C6210" s="15"/>
      <c r="E6210" s="8"/>
      <c r="G6210" s="8"/>
      <c r="J6210" s="8"/>
    </row>
    <row r="6211">
      <c r="C6211" s="15"/>
      <c r="E6211" s="8"/>
      <c r="G6211" s="8"/>
      <c r="J6211" s="8"/>
    </row>
    <row r="6212">
      <c r="C6212" s="15"/>
      <c r="E6212" s="8"/>
      <c r="G6212" s="8"/>
      <c r="J6212" s="8"/>
    </row>
    <row r="6213">
      <c r="C6213" s="15"/>
      <c r="E6213" s="8"/>
      <c r="G6213" s="8"/>
      <c r="J6213" s="8"/>
    </row>
    <row r="6214">
      <c r="C6214" s="15"/>
      <c r="E6214" s="8"/>
      <c r="G6214" s="8"/>
      <c r="J6214" s="8"/>
    </row>
    <row r="6215">
      <c r="C6215" s="15"/>
      <c r="E6215" s="8"/>
      <c r="G6215" s="8"/>
      <c r="J6215" s="8"/>
    </row>
    <row r="6216">
      <c r="C6216" s="15"/>
      <c r="E6216" s="8"/>
      <c r="G6216" s="8"/>
      <c r="J6216" s="8"/>
    </row>
    <row r="6217">
      <c r="C6217" s="15"/>
      <c r="E6217" s="8"/>
      <c r="G6217" s="8"/>
      <c r="J6217" s="8"/>
    </row>
    <row r="6218">
      <c r="C6218" s="15"/>
      <c r="E6218" s="8"/>
      <c r="G6218" s="8"/>
      <c r="J6218" s="8"/>
    </row>
    <row r="6219">
      <c r="C6219" s="15"/>
      <c r="E6219" s="8"/>
      <c r="G6219" s="8"/>
      <c r="J6219" s="8"/>
    </row>
    <row r="6220">
      <c r="C6220" s="15"/>
      <c r="E6220" s="8"/>
      <c r="G6220" s="8"/>
      <c r="J6220" s="8"/>
    </row>
    <row r="6221">
      <c r="C6221" s="15"/>
      <c r="E6221" s="8"/>
      <c r="G6221" s="8"/>
      <c r="J6221" s="8"/>
    </row>
    <row r="6222">
      <c r="C6222" s="15"/>
      <c r="E6222" s="8"/>
      <c r="G6222" s="8"/>
      <c r="J6222" s="8"/>
    </row>
    <row r="6223">
      <c r="C6223" s="15"/>
      <c r="E6223" s="8"/>
      <c r="G6223" s="8"/>
      <c r="J6223" s="8"/>
    </row>
    <row r="6224">
      <c r="C6224" s="15"/>
      <c r="E6224" s="8"/>
      <c r="G6224" s="8"/>
      <c r="J6224" s="8"/>
    </row>
    <row r="6225">
      <c r="C6225" s="15"/>
      <c r="E6225" s="8"/>
      <c r="G6225" s="8"/>
      <c r="J6225" s="8"/>
    </row>
    <row r="6226">
      <c r="C6226" s="15"/>
      <c r="E6226" s="8"/>
      <c r="G6226" s="8"/>
      <c r="J6226" s="8"/>
    </row>
    <row r="6227">
      <c r="C6227" s="15"/>
      <c r="E6227" s="8"/>
      <c r="G6227" s="8"/>
      <c r="J6227" s="8"/>
    </row>
    <row r="6228">
      <c r="C6228" s="15"/>
      <c r="E6228" s="8"/>
      <c r="G6228" s="8"/>
      <c r="J6228" s="8"/>
    </row>
    <row r="6229">
      <c r="C6229" s="15"/>
      <c r="E6229" s="8"/>
      <c r="G6229" s="8"/>
      <c r="J6229" s="8"/>
    </row>
    <row r="6230">
      <c r="C6230" s="15"/>
      <c r="E6230" s="8"/>
      <c r="G6230" s="8"/>
      <c r="J6230" s="8"/>
    </row>
    <row r="6231">
      <c r="C6231" s="15"/>
      <c r="E6231" s="8"/>
      <c r="G6231" s="8"/>
      <c r="J6231" s="8"/>
    </row>
    <row r="6232">
      <c r="C6232" s="15"/>
      <c r="E6232" s="8"/>
      <c r="G6232" s="8"/>
      <c r="J6232" s="8"/>
    </row>
    <row r="6233">
      <c r="C6233" s="15"/>
      <c r="E6233" s="8"/>
      <c r="G6233" s="8"/>
      <c r="J6233" s="8"/>
    </row>
    <row r="6234">
      <c r="C6234" s="15"/>
      <c r="E6234" s="8"/>
      <c r="G6234" s="8"/>
      <c r="J6234" s="8"/>
    </row>
    <row r="6235">
      <c r="C6235" s="15"/>
      <c r="E6235" s="8"/>
      <c r="G6235" s="8"/>
      <c r="J6235" s="8"/>
    </row>
    <row r="6236">
      <c r="C6236" s="15"/>
      <c r="E6236" s="8"/>
      <c r="G6236" s="8"/>
      <c r="J6236" s="8"/>
    </row>
    <row r="6237">
      <c r="C6237" s="15"/>
      <c r="E6237" s="8"/>
      <c r="G6237" s="8"/>
      <c r="J6237" s="8"/>
    </row>
    <row r="6238">
      <c r="C6238" s="15"/>
      <c r="E6238" s="8"/>
      <c r="G6238" s="8"/>
      <c r="J6238" s="8"/>
    </row>
    <row r="6239">
      <c r="C6239" s="15"/>
      <c r="E6239" s="8"/>
      <c r="G6239" s="8"/>
      <c r="J6239" s="8"/>
    </row>
    <row r="6240">
      <c r="C6240" s="15"/>
      <c r="E6240" s="8"/>
      <c r="G6240" s="8"/>
      <c r="J6240" s="8"/>
    </row>
    <row r="6241">
      <c r="C6241" s="15"/>
      <c r="E6241" s="8"/>
      <c r="G6241" s="8"/>
      <c r="J6241" s="8"/>
    </row>
    <row r="6242">
      <c r="C6242" s="15"/>
      <c r="E6242" s="8"/>
      <c r="G6242" s="8"/>
      <c r="J6242" s="8"/>
    </row>
    <row r="6243">
      <c r="C6243" s="15"/>
      <c r="E6243" s="8"/>
      <c r="G6243" s="8"/>
      <c r="J6243" s="8"/>
    </row>
    <row r="6244">
      <c r="C6244" s="15"/>
      <c r="E6244" s="8"/>
      <c r="G6244" s="8"/>
      <c r="J6244" s="8"/>
    </row>
    <row r="6245">
      <c r="C6245" s="15"/>
      <c r="E6245" s="8"/>
      <c r="G6245" s="8"/>
      <c r="J6245" s="8"/>
    </row>
    <row r="6246">
      <c r="C6246" s="15"/>
      <c r="E6246" s="8"/>
      <c r="G6246" s="8"/>
      <c r="J6246" s="8"/>
    </row>
    <row r="6247">
      <c r="C6247" s="15"/>
      <c r="E6247" s="8"/>
      <c r="G6247" s="8"/>
      <c r="J6247" s="8"/>
    </row>
    <row r="6248">
      <c r="C6248" s="15"/>
      <c r="E6248" s="8"/>
      <c r="G6248" s="8"/>
      <c r="J6248" s="8"/>
    </row>
    <row r="6249">
      <c r="C6249" s="15"/>
      <c r="E6249" s="8"/>
      <c r="G6249" s="8"/>
      <c r="J6249" s="8"/>
    </row>
    <row r="6250">
      <c r="C6250" s="15"/>
      <c r="E6250" s="8"/>
      <c r="G6250" s="8"/>
      <c r="J6250" s="8"/>
    </row>
    <row r="6251">
      <c r="C6251" s="15"/>
      <c r="E6251" s="8"/>
      <c r="G6251" s="8"/>
      <c r="J6251" s="8"/>
    </row>
    <row r="6252">
      <c r="C6252" s="15"/>
      <c r="E6252" s="8"/>
      <c r="G6252" s="8"/>
      <c r="J6252" s="8"/>
    </row>
    <row r="6253">
      <c r="C6253" s="15"/>
      <c r="E6253" s="8"/>
      <c r="G6253" s="8"/>
      <c r="J6253" s="8"/>
    </row>
    <row r="6254">
      <c r="C6254" s="15"/>
      <c r="E6254" s="8"/>
      <c r="G6254" s="8"/>
      <c r="J6254" s="8"/>
    </row>
    <row r="6255">
      <c r="C6255" s="15"/>
      <c r="E6255" s="8"/>
      <c r="G6255" s="8"/>
      <c r="J6255" s="8"/>
    </row>
    <row r="6256">
      <c r="C6256" s="15"/>
      <c r="E6256" s="8"/>
      <c r="G6256" s="8"/>
      <c r="J6256" s="8"/>
    </row>
    <row r="6257">
      <c r="C6257" s="15"/>
      <c r="E6257" s="8"/>
      <c r="G6257" s="8"/>
      <c r="J6257" s="8"/>
    </row>
    <row r="6258">
      <c r="C6258" s="15"/>
      <c r="E6258" s="8"/>
      <c r="G6258" s="8"/>
      <c r="J6258" s="8"/>
    </row>
    <row r="6259">
      <c r="C6259" s="15"/>
      <c r="E6259" s="8"/>
      <c r="G6259" s="8"/>
      <c r="J6259" s="8"/>
    </row>
    <row r="6260">
      <c r="C6260" s="15"/>
      <c r="E6260" s="8"/>
      <c r="G6260" s="8"/>
      <c r="J6260" s="8"/>
    </row>
    <row r="6261">
      <c r="C6261" s="15"/>
      <c r="E6261" s="8"/>
      <c r="G6261" s="8"/>
      <c r="J6261" s="8"/>
    </row>
    <row r="6262">
      <c r="C6262" s="15"/>
      <c r="E6262" s="8"/>
      <c r="G6262" s="8"/>
      <c r="J6262" s="8"/>
    </row>
    <row r="6263">
      <c r="C6263" s="15"/>
      <c r="E6263" s="8"/>
      <c r="G6263" s="8"/>
      <c r="J6263" s="8"/>
    </row>
    <row r="6264">
      <c r="C6264" s="15"/>
      <c r="E6264" s="8"/>
      <c r="G6264" s="8"/>
      <c r="J6264" s="8"/>
    </row>
    <row r="6265">
      <c r="C6265" s="15"/>
      <c r="E6265" s="8"/>
      <c r="G6265" s="8"/>
      <c r="J6265" s="8"/>
    </row>
    <row r="6266">
      <c r="C6266" s="15"/>
      <c r="E6266" s="8"/>
      <c r="G6266" s="8"/>
      <c r="J6266" s="8"/>
    </row>
    <row r="6267">
      <c r="C6267" s="15"/>
      <c r="E6267" s="8"/>
      <c r="G6267" s="8"/>
      <c r="J6267" s="8"/>
    </row>
    <row r="6268">
      <c r="C6268" s="15"/>
      <c r="E6268" s="8"/>
      <c r="G6268" s="8"/>
      <c r="J6268" s="8"/>
    </row>
    <row r="6269">
      <c r="C6269" s="15"/>
      <c r="E6269" s="8"/>
      <c r="G6269" s="8"/>
      <c r="J6269" s="8"/>
    </row>
    <row r="6270">
      <c r="C6270" s="15"/>
      <c r="E6270" s="8"/>
      <c r="G6270" s="8"/>
      <c r="J6270" s="8"/>
    </row>
    <row r="6271">
      <c r="C6271" s="15"/>
      <c r="E6271" s="8"/>
      <c r="G6271" s="8"/>
      <c r="J6271" s="8"/>
    </row>
    <row r="6272">
      <c r="C6272" s="15"/>
      <c r="E6272" s="8"/>
      <c r="G6272" s="8"/>
      <c r="J6272" s="8"/>
    </row>
    <row r="6273">
      <c r="C6273" s="15"/>
      <c r="E6273" s="8"/>
      <c r="G6273" s="8"/>
      <c r="J6273" s="8"/>
    </row>
    <row r="6274">
      <c r="C6274" s="15"/>
      <c r="E6274" s="8"/>
      <c r="G6274" s="8"/>
      <c r="J6274" s="8"/>
    </row>
    <row r="6275">
      <c r="C6275" s="15"/>
      <c r="E6275" s="8"/>
      <c r="G6275" s="8"/>
      <c r="J6275" s="8"/>
    </row>
    <row r="6276">
      <c r="C6276" s="15"/>
      <c r="E6276" s="8"/>
      <c r="G6276" s="8"/>
      <c r="J6276" s="8"/>
    </row>
    <row r="6277">
      <c r="C6277" s="15"/>
      <c r="E6277" s="8"/>
      <c r="G6277" s="8"/>
      <c r="J6277" s="8"/>
    </row>
    <row r="6278">
      <c r="C6278" s="15"/>
      <c r="E6278" s="8"/>
      <c r="G6278" s="8"/>
      <c r="J6278" s="8"/>
    </row>
    <row r="6279">
      <c r="C6279" s="15"/>
      <c r="E6279" s="8"/>
      <c r="G6279" s="8"/>
      <c r="J6279" s="8"/>
    </row>
    <row r="6280">
      <c r="C6280" s="15"/>
      <c r="E6280" s="8"/>
      <c r="G6280" s="8"/>
      <c r="J6280" s="8"/>
    </row>
    <row r="6281">
      <c r="C6281" s="15"/>
      <c r="E6281" s="8"/>
      <c r="G6281" s="8"/>
      <c r="J6281" s="8"/>
    </row>
    <row r="6282">
      <c r="C6282" s="15"/>
      <c r="E6282" s="8"/>
      <c r="G6282" s="8"/>
      <c r="J6282" s="8"/>
    </row>
    <row r="6283">
      <c r="C6283" s="15"/>
      <c r="E6283" s="8"/>
      <c r="G6283" s="8"/>
      <c r="J6283" s="8"/>
    </row>
    <row r="6284">
      <c r="C6284" s="15"/>
      <c r="E6284" s="8"/>
      <c r="G6284" s="8"/>
      <c r="J6284" s="8"/>
    </row>
    <row r="6285">
      <c r="C6285" s="15"/>
      <c r="E6285" s="8"/>
      <c r="G6285" s="8"/>
      <c r="J6285" s="8"/>
    </row>
    <row r="6286">
      <c r="C6286" s="15"/>
      <c r="E6286" s="8"/>
      <c r="G6286" s="8"/>
      <c r="J6286" s="8"/>
    </row>
    <row r="6287">
      <c r="C6287" s="15"/>
      <c r="E6287" s="8"/>
      <c r="G6287" s="8"/>
      <c r="J6287" s="8"/>
    </row>
    <row r="6288">
      <c r="C6288" s="15"/>
      <c r="E6288" s="8"/>
      <c r="G6288" s="8"/>
      <c r="J6288" s="8"/>
    </row>
    <row r="6289">
      <c r="C6289" s="15"/>
      <c r="E6289" s="8"/>
      <c r="G6289" s="8"/>
      <c r="J6289" s="8"/>
    </row>
    <row r="6290">
      <c r="C6290" s="15"/>
      <c r="E6290" s="8"/>
      <c r="G6290" s="8"/>
      <c r="J6290" s="8"/>
    </row>
    <row r="6291">
      <c r="C6291" s="15"/>
      <c r="E6291" s="8"/>
      <c r="G6291" s="8"/>
      <c r="J6291" s="8"/>
    </row>
    <row r="6292">
      <c r="C6292" s="15"/>
      <c r="E6292" s="8"/>
      <c r="G6292" s="8"/>
      <c r="J6292" s="8"/>
    </row>
    <row r="6293">
      <c r="C6293" s="15"/>
      <c r="E6293" s="8"/>
      <c r="G6293" s="8"/>
      <c r="J6293" s="8"/>
    </row>
    <row r="6294">
      <c r="C6294" s="15"/>
      <c r="E6294" s="8"/>
      <c r="G6294" s="8"/>
      <c r="J6294" s="8"/>
    </row>
    <row r="6295">
      <c r="C6295" s="15"/>
      <c r="E6295" s="8"/>
      <c r="G6295" s="8"/>
      <c r="J6295" s="8"/>
    </row>
    <row r="6296">
      <c r="C6296" s="15"/>
      <c r="E6296" s="8"/>
      <c r="G6296" s="8"/>
      <c r="J6296" s="8"/>
    </row>
    <row r="6297">
      <c r="C6297" s="15"/>
      <c r="E6297" s="8"/>
      <c r="G6297" s="8"/>
      <c r="J6297" s="8"/>
    </row>
    <row r="6298">
      <c r="C6298" s="15"/>
      <c r="E6298" s="8"/>
      <c r="G6298" s="8"/>
      <c r="J6298" s="8"/>
    </row>
    <row r="6299">
      <c r="C6299" s="15"/>
      <c r="E6299" s="8"/>
      <c r="G6299" s="8"/>
      <c r="J6299" s="8"/>
    </row>
    <row r="6300">
      <c r="C6300" s="15"/>
      <c r="E6300" s="8"/>
      <c r="G6300" s="8"/>
      <c r="J6300" s="8"/>
    </row>
    <row r="6301">
      <c r="C6301" s="15"/>
      <c r="E6301" s="8"/>
      <c r="G6301" s="8"/>
      <c r="J6301" s="8"/>
    </row>
    <row r="6302">
      <c r="C6302" s="15"/>
      <c r="E6302" s="8"/>
      <c r="G6302" s="8"/>
      <c r="J6302" s="8"/>
    </row>
    <row r="6303">
      <c r="C6303" s="15"/>
      <c r="E6303" s="8"/>
      <c r="G6303" s="8"/>
      <c r="J6303" s="8"/>
    </row>
    <row r="6304">
      <c r="C6304" s="15"/>
      <c r="E6304" s="8"/>
      <c r="G6304" s="8"/>
      <c r="J6304" s="8"/>
    </row>
    <row r="6305">
      <c r="C6305" s="15"/>
      <c r="E6305" s="8"/>
      <c r="G6305" s="8"/>
      <c r="J6305" s="8"/>
    </row>
    <row r="6306">
      <c r="C6306" s="15"/>
      <c r="E6306" s="8"/>
      <c r="G6306" s="8"/>
      <c r="J6306" s="8"/>
    </row>
    <row r="6307">
      <c r="C6307" s="15"/>
      <c r="E6307" s="8"/>
      <c r="G6307" s="8"/>
      <c r="J6307" s="8"/>
    </row>
    <row r="6308">
      <c r="C6308" s="15"/>
      <c r="E6308" s="8"/>
      <c r="G6308" s="8"/>
      <c r="J6308" s="8"/>
    </row>
    <row r="6309">
      <c r="C6309" s="15"/>
      <c r="E6309" s="8"/>
      <c r="G6309" s="8"/>
      <c r="J6309" s="8"/>
    </row>
    <row r="6310">
      <c r="C6310" s="15"/>
      <c r="E6310" s="8"/>
      <c r="G6310" s="8"/>
      <c r="J6310" s="8"/>
    </row>
    <row r="6311">
      <c r="C6311" s="15"/>
      <c r="E6311" s="8"/>
      <c r="G6311" s="8"/>
      <c r="J6311" s="8"/>
    </row>
    <row r="6312">
      <c r="C6312" s="15"/>
      <c r="E6312" s="8"/>
      <c r="G6312" s="8"/>
      <c r="J6312" s="8"/>
    </row>
    <row r="6313">
      <c r="C6313" s="15"/>
      <c r="E6313" s="8"/>
      <c r="G6313" s="8"/>
      <c r="J6313" s="8"/>
    </row>
    <row r="6314">
      <c r="C6314" s="15"/>
      <c r="E6314" s="8"/>
      <c r="G6314" s="8"/>
      <c r="J6314" s="8"/>
    </row>
    <row r="6315">
      <c r="C6315" s="15"/>
      <c r="E6315" s="8"/>
      <c r="G6315" s="8"/>
      <c r="J6315" s="8"/>
    </row>
    <row r="6316">
      <c r="C6316" s="15"/>
      <c r="E6316" s="8"/>
      <c r="G6316" s="8"/>
      <c r="J6316" s="8"/>
    </row>
    <row r="6317">
      <c r="C6317" s="15"/>
      <c r="E6317" s="8"/>
      <c r="G6317" s="8"/>
      <c r="J6317" s="8"/>
    </row>
    <row r="6318">
      <c r="C6318" s="15"/>
      <c r="E6318" s="8"/>
      <c r="G6318" s="8"/>
      <c r="J6318" s="8"/>
    </row>
    <row r="6319">
      <c r="C6319" s="15"/>
      <c r="E6319" s="8"/>
      <c r="G6319" s="8"/>
      <c r="J6319" s="8"/>
    </row>
    <row r="6320">
      <c r="C6320" s="15"/>
      <c r="E6320" s="8"/>
      <c r="G6320" s="8"/>
      <c r="J6320" s="8"/>
    </row>
    <row r="6321">
      <c r="C6321" s="15"/>
      <c r="E6321" s="8"/>
      <c r="G6321" s="8"/>
      <c r="J6321" s="8"/>
    </row>
    <row r="6322">
      <c r="C6322" s="15"/>
      <c r="E6322" s="8"/>
      <c r="G6322" s="8"/>
      <c r="J6322" s="8"/>
    </row>
    <row r="6323">
      <c r="C6323" s="15"/>
      <c r="E6323" s="8"/>
      <c r="G6323" s="8"/>
      <c r="J6323" s="8"/>
    </row>
    <row r="6324">
      <c r="C6324" s="15"/>
      <c r="E6324" s="8"/>
      <c r="G6324" s="8"/>
      <c r="J6324" s="8"/>
    </row>
    <row r="6325">
      <c r="C6325" s="15"/>
      <c r="E6325" s="8"/>
      <c r="G6325" s="8"/>
      <c r="J6325" s="8"/>
    </row>
    <row r="6326">
      <c r="C6326" s="15"/>
      <c r="E6326" s="8"/>
      <c r="G6326" s="8"/>
      <c r="J6326" s="8"/>
    </row>
    <row r="6327">
      <c r="C6327" s="15"/>
      <c r="E6327" s="8"/>
      <c r="G6327" s="8"/>
      <c r="J6327" s="8"/>
    </row>
    <row r="6328">
      <c r="C6328" s="15"/>
      <c r="E6328" s="8"/>
      <c r="G6328" s="8"/>
      <c r="J6328" s="8"/>
    </row>
    <row r="6329">
      <c r="C6329" s="15"/>
      <c r="E6329" s="8"/>
      <c r="G6329" s="8"/>
      <c r="J6329" s="8"/>
    </row>
    <row r="6330">
      <c r="C6330" s="15"/>
      <c r="E6330" s="8"/>
      <c r="G6330" s="8"/>
      <c r="J6330" s="8"/>
    </row>
    <row r="6331">
      <c r="C6331" s="15"/>
      <c r="E6331" s="8"/>
      <c r="G6331" s="8"/>
      <c r="J6331" s="8"/>
    </row>
    <row r="6332">
      <c r="C6332" s="15"/>
      <c r="E6332" s="8"/>
      <c r="G6332" s="8"/>
      <c r="J6332" s="8"/>
    </row>
    <row r="6333">
      <c r="C6333" s="15"/>
      <c r="E6333" s="8"/>
      <c r="G6333" s="8"/>
      <c r="J6333" s="8"/>
    </row>
    <row r="6334">
      <c r="C6334" s="15"/>
      <c r="E6334" s="8"/>
      <c r="G6334" s="8"/>
      <c r="J6334" s="8"/>
    </row>
    <row r="6335">
      <c r="C6335" s="15"/>
      <c r="E6335" s="8"/>
      <c r="G6335" s="8"/>
      <c r="J6335" s="8"/>
    </row>
    <row r="6336">
      <c r="C6336" s="15"/>
      <c r="E6336" s="8"/>
      <c r="G6336" s="8"/>
      <c r="J6336" s="8"/>
    </row>
    <row r="6337">
      <c r="C6337" s="15"/>
      <c r="E6337" s="8"/>
      <c r="G6337" s="8"/>
      <c r="J6337" s="8"/>
    </row>
    <row r="6338">
      <c r="C6338" s="15"/>
      <c r="E6338" s="8"/>
      <c r="G6338" s="8"/>
      <c r="J6338" s="8"/>
    </row>
    <row r="6339">
      <c r="C6339" s="15"/>
      <c r="E6339" s="8"/>
      <c r="G6339" s="8"/>
      <c r="J6339" s="8"/>
    </row>
    <row r="6340">
      <c r="C6340" s="15"/>
      <c r="E6340" s="8"/>
      <c r="G6340" s="8"/>
      <c r="J6340" s="8"/>
    </row>
    <row r="6341">
      <c r="C6341" s="15"/>
      <c r="E6341" s="8"/>
      <c r="G6341" s="8"/>
      <c r="J6341" s="8"/>
    </row>
    <row r="6342">
      <c r="C6342" s="15"/>
      <c r="E6342" s="8"/>
      <c r="G6342" s="8"/>
      <c r="J6342" s="8"/>
    </row>
    <row r="6343">
      <c r="C6343" s="15"/>
      <c r="E6343" s="8"/>
      <c r="G6343" s="8"/>
      <c r="J6343" s="8"/>
    </row>
    <row r="6344">
      <c r="C6344" s="15"/>
      <c r="E6344" s="8"/>
      <c r="G6344" s="8"/>
      <c r="J6344" s="8"/>
    </row>
    <row r="6345">
      <c r="C6345" s="15"/>
      <c r="E6345" s="8"/>
      <c r="G6345" s="8"/>
      <c r="J6345" s="8"/>
    </row>
    <row r="6346">
      <c r="C6346" s="15"/>
      <c r="E6346" s="8"/>
      <c r="G6346" s="8"/>
      <c r="J6346" s="8"/>
    </row>
    <row r="6347">
      <c r="C6347" s="15"/>
      <c r="E6347" s="8"/>
      <c r="G6347" s="8"/>
      <c r="J6347" s="8"/>
    </row>
    <row r="6348">
      <c r="C6348" s="15"/>
      <c r="E6348" s="8"/>
      <c r="G6348" s="8"/>
      <c r="J6348" s="8"/>
    </row>
    <row r="6349">
      <c r="C6349" s="15"/>
      <c r="E6349" s="8"/>
      <c r="G6349" s="8"/>
      <c r="J6349" s="8"/>
    </row>
    <row r="6350">
      <c r="C6350" s="15"/>
      <c r="E6350" s="8"/>
      <c r="G6350" s="8"/>
      <c r="J6350" s="8"/>
    </row>
    <row r="6351">
      <c r="C6351" s="15"/>
      <c r="E6351" s="8"/>
      <c r="G6351" s="8"/>
      <c r="J6351" s="8"/>
    </row>
    <row r="6352">
      <c r="C6352" s="15"/>
      <c r="E6352" s="8"/>
      <c r="G6352" s="8"/>
      <c r="J6352" s="8"/>
    </row>
    <row r="6353">
      <c r="C6353" s="15"/>
      <c r="E6353" s="8"/>
      <c r="G6353" s="8"/>
      <c r="J6353" s="8"/>
    </row>
    <row r="6354">
      <c r="C6354" s="15"/>
      <c r="E6354" s="8"/>
      <c r="G6354" s="8"/>
      <c r="J6354" s="8"/>
    </row>
    <row r="6355">
      <c r="C6355" s="15"/>
      <c r="E6355" s="8"/>
      <c r="G6355" s="8"/>
      <c r="J6355" s="8"/>
    </row>
    <row r="6356">
      <c r="C6356" s="15"/>
      <c r="E6356" s="8"/>
      <c r="G6356" s="8"/>
      <c r="J6356" s="8"/>
    </row>
    <row r="6357">
      <c r="C6357" s="15"/>
      <c r="E6357" s="8"/>
      <c r="G6357" s="8"/>
      <c r="J6357" s="8"/>
    </row>
    <row r="6358">
      <c r="C6358" s="15"/>
      <c r="E6358" s="8"/>
      <c r="G6358" s="8"/>
      <c r="J6358" s="8"/>
    </row>
    <row r="6359">
      <c r="C6359" s="15"/>
      <c r="E6359" s="8"/>
      <c r="G6359" s="8"/>
      <c r="J6359" s="8"/>
    </row>
    <row r="6360">
      <c r="C6360" s="15"/>
      <c r="E6360" s="8"/>
      <c r="G6360" s="8"/>
      <c r="J6360" s="8"/>
    </row>
    <row r="6361">
      <c r="C6361" s="15"/>
      <c r="E6361" s="8"/>
      <c r="G6361" s="8"/>
      <c r="J6361" s="8"/>
    </row>
    <row r="6362">
      <c r="C6362" s="15"/>
      <c r="E6362" s="8"/>
      <c r="G6362" s="8"/>
      <c r="J6362" s="8"/>
    </row>
    <row r="6363">
      <c r="C6363" s="15"/>
      <c r="E6363" s="8"/>
      <c r="G6363" s="8"/>
      <c r="J6363" s="8"/>
    </row>
    <row r="6364">
      <c r="C6364" s="15"/>
      <c r="E6364" s="8"/>
      <c r="G6364" s="8"/>
      <c r="J6364" s="8"/>
    </row>
    <row r="6365">
      <c r="C6365" s="15"/>
      <c r="E6365" s="8"/>
      <c r="G6365" s="8"/>
      <c r="J6365" s="8"/>
    </row>
    <row r="6366">
      <c r="C6366" s="15"/>
      <c r="E6366" s="8"/>
      <c r="G6366" s="8"/>
      <c r="J6366" s="8"/>
    </row>
    <row r="6367">
      <c r="C6367" s="15"/>
      <c r="E6367" s="8"/>
      <c r="G6367" s="8"/>
      <c r="J6367" s="8"/>
    </row>
    <row r="6368">
      <c r="C6368" s="15"/>
      <c r="E6368" s="8"/>
      <c r="G6368" s="8"/>
      <c r="J6368" s="8"/>
    </row>
    <row r="6369">
      <c r="C6369" s="15"/>
      <c r="E6369" s="8"/>
      <c r="G6369" s="8"/>
      <c r="J6369" s="8"/>
    </row>
    <row r="6370">
      <c r="C6370" s="15"/>
      <c r="E6370" s="8"/>
      <c r="G6370" s="8"/>
      <c r="J6370" s="8"/>
    </row>
    <row r="6371">
      <c r="C6371" s="15"/>
      <c r="E6371" s="8"/>
      <c r="G6371" s="8"/>
      <c r="J6371" s="8"/>
    </row>
    <row r="6372">
      <c r="C6372" s="15"/>
      <c r="E6372" s="8"/>
      <c r="G6372" s="8"/>
      <c r="J6372" s="8"/>
    </row>
    <row r="6373">
      <c r="C6373" s="15"/>
      <c r="E6373" s="8"/>
      <c r="G6373" s="8"/>
      <c r="J6373" s="8"/>
    </row>
    <row r="6374">
      <c r="C6374" s="15"/>
      <c r="E6374" s="8"/>
      <c r="G6374" s="8"/>
      <c r="J6374" s="8"/>
    </row>
    <row r="6375">
      <c r="C6375" s="15"/>
      <c r="E6375" s="8"/>
      <c r="G6375" s="8"/>
      <c r="J6375" s="8"/>
    </row>
    <row r="6376">
      <c r="C6376" s="15"/>
      <c r="E6376" s="8"/>
      <c r="G6376" s="8"/>
      <c r="J6376" s="8"/>
    </row>
    <row r="6377">
      <c r="C6377" s="15"/>
      <c r="E6377" s="8"/>
      <c r="G6377" s="8"/>
      <c r="J6377" s="8"/>
    </row>
    <row r="6378">
      <c r="C6378" s="15"/>
      <c r="E6378" s="8"/>
      <c r="G6378" s="8"/>
      <c r="J6378" s="8"/>
    </row>
    <row r="6379">
      <c r="C6379" s="15"/>
      <c r="E6379" s="8"/>
      <c r="G6379" s="8"/>
      <c r="J6379" s="8"/>
    </row>
    <row r="6380">
      <c r="C6380" s="15"/>
      <c r="E6380" s="8"/>
      <c r="G6380" s="8"/>
      <c r="J6380" s="8"/>
    </row>
    <row r="6381">
      <c r="C6381" s="15"/>
      <c r="E6381" s="8"/>
      <c r="G6381" s="8"/>
      <c r="J6381" s="8"/>
    </row>
    <row r="6382">
      <c r="C6382" s="15"/>
      <c r="E6382" s="8"/>
      <c r="G6382" s="8"/>
      <c r="J6382" s="8"/>
    </row>
    <row r="6383">
      <c r="C6383" s="15"/>
      <c r="E6383" s="8"/>
      <c r="G6383" s="8"/>
      <c r="J6383" s="8"/>
    </row>
    <row r="6384">
      <c r="C6384" s="15"/>
      <c r="E6384" s="8"/>
      <c r="G6384" s="8"/>
      <c r="J6384" s="8"/>
    </row>
    <row r="6385">
      <c r="C6385" s="15"/>
      <c r="E6385" s="8"/>
      <c r="G6385" s="8"/>
      <c r="J6385" s="8"/>
    </row>
    <row r="6386">
      <c r="C6386" s="15"/>
      <c r="E6386" s="8"/>
      <c r="G6386" s="8"/>
      <c r="J6386" s="8"/>
    </row>
    <row r="6387">
      <c r="C6387" s="15"/>
      <c r="E6387" s="8"/>
      <c r="G6387" s="8"/>
      <c r="J6387" s="8"/>
    </row>
    <row r="6388">
      <c r="C6388" s="15"/>
      <c r="E6388" s="8"/>
      <c r="G6388" s="8"/>
      <c r="J6388" s="8"/>
    </row>
    <row r="6389">
      <c r="C6389" s="15"/>
      <c r="E6389" s="8"/>
      <c r="G6389" s="8"/>
      <c r="J6389" s="8"/>
    </row>
    <row r="6390">
      <c r="C6390" s="15"/>
      <c r="E6390" s="8"/>
      <c r="G6390" s="8"/>
      <c r="J6390" s="8"/>
    </row>
    <row r="6391">
      <c r="C6391" s="15"/>
      <c r="E6391" s="8"/>
      <c r="G6391" s="8"/>
      <c r="J6391" s="8"/>
    </row>
    <row r="6392">
      <c r="C6392" s="15"/>
      <c r="E6392" s="8"/>
      <c r="G6392" s="8"/>
      <c r="J6392" s="8"/>
    </row>
    <row r="6393">
      <c r="C6393" s="15"/>
      <c r="E6393" s="8"/>
      <c r="G6393" s="8"/>
      <c r="J6393" s="8"/>
    </row>
    <row r="6394">
      <c r="C6394" s="15"/>
      <c r="E6394" s="8"/>
      <c r="G6394" s="8"/>
      <c r="J6394" s="8"/>
    </row>
    <row r="6395">
      <c r="C6395" s="15"/>
      <c r="E6395" s="8"/>
      <c r="G6395" s="8"/>
      <c r="J6395" s="8"/>
    </row>
    <row r="6396">
      <c r="C6396" s="15"/>
      <c r="E6396" s="8"/>
      <c r="G6396" s="8"/>
      <c r="J6396" s="8"/>
    </row>
    <row r="6397">
      <c r="C6397" s="15"/>
      <c r="E6397" s="8"/>
      <c r="G6397" s="8"/>
      <c r="J6397" s="8"/>
    </row>
    <row r="6398">
      <c r="C6398" s="15"/>
      <c r="E6398" s="8"/>
      <c r="G6398" s="8"/>
      <c r="J6398" s="8"/>
    </row>
    <row r="6399">
      <c r="C6399" s="15"/>
      <c r="E6399" s="8"/>
      <c r="G6399" s="8"/>
      <c r="J6399" s="8"/>
    </row>
    <row r="6400">
      <c r="C6400" s="15"/>
      <c r="E6400" s="8"/>
      <c r="G6400" s="8"/>
      <c r="J6400" s="8"/>
    </row>
    <row r="6401">
      <c r="C6401" s="15"/>
      <c r="E6401" s="8"/>
      <c r="G6401" s="8"/>
      <c r="J6401" s="8"/>
    </row>
    <row r="6402">
      <c r="C6402" s="15"/>
      <c r="E6402" s="8"/>
      <c r="G6402" s="8"/>
      <c r="J6402" s="8"/>
    </row>
    <row r="6403">
      <c r="C6403" s="15"/>
      <c r="E6403" s="8"/>
      <c r="G6403" s="8"/>
      <c r="J6403" s="8"/>
    </row>
    <row r="6404">
      <c r="C6404" s="15"/>
      <c r="E6404" s="8"/>
      <c r="G6404" s="8"/>
      <c r="J6404" s="8"/>
    </row>
    <row r="6405">
      <c r="C6405" s="15"/>
      <c r="E6405" s="8"/>
      <c r="G6405" s="8"/>
      <c r="J6405" s="8"/>
    </row>
    <row r="6406">
      <c r="C6406" s="15"/>
      <c r="E6406" s="8"/>
      <c r="G6406" s="8"/>
      <c r="J6406" s="8"/>
    </row>
    <row r="6407">
      <c r="C6407" s="15"/>
      <c r="E6407" s="8"/>
      <c r="G6407" s="8"/>
      <c r="J6407" s="8"/>
    </row>
    <row r="6408">
      <c r="C6408" s="15"/>
      <c r="E6408" s="8"/>
      <c r="G6408" s="8"/>
      <c r="J6408" s="8"/>
    </row>
    <row r="6409">
      <c r="C6409" s="15"/>
      <c r="E6409" s="8"/>
      <c r="G6409" s="8"/>
      <c r="J6409" s="8"/>
    </row>
    <row r="6410">
      <c r="C6410" s="15"/>
      <c r="E6410" s="8"/>
      <c r="G6410" s="8"/>
      <c r="J6410" s="8"/>
    </row>
    <row r="6411">
      <c r="C6411" s="15"/>
      <c r="E6411" s="8"/>
      <c r="G6411" s="8"/>
      <c r="J6411" s="8"/>
    </row>
    <row r="6412">
      <c r="C6412" s="15"/>
      <c r="E6412" s="8"/>
      <c r="G6412" s="8"/>
      <c r="J6412" s="8"/>
    </row>
    <row r="6413">
      <c r="C6413" s="15"/>
      <c r="E6413" s="8"/>
      <c r="G6413" s="8"/>
      <c r="J6413" s="8"/>
    </row>
    <row r="6414">
      <c r="C6414" s="15"/>
      <c r="E6414" s="8"/>
      <c r="G6414" s="8"/>
      <c r="J6414" s="8"/>
    </row>
    <row r="6415">
      <c r="C6415" s="15"/>
      <c r="E6415" s="8"/>
      <c r="G6415" s="8"/>
      <c r="J6415" s="8"/>
    </row>
    <row r="6416">
      <c r="C6416" s="15"/>
      <c r="E6416" s="8"/>
      <c r="G6416" s="8"/>
      <c r="J6416" s="8"/>
    </row>
    <row r="6417">
      <c r="C6417" s="15"/>
      <c r="E6417" s="8"/>
      <c r="G6417" s="8"/>
      <c r="J6417" s="8"/>
    </row>
    <row r="6418">
      <c r="C6418" s="15"/>
      <c r="E6418" s="8"/>
      <c r="G6418" s="8"/>
      <c r="J6418" s="8"/>
    </row>
    <row r="6419">
      <c r="C6419" s="15"/>
      <c r="E6419" s="8"/>
      <c r="G6419" s="8"/>
      <c r="J6419" s="8"/>
    </row>
    <row r="6420">
      <c r="C6420" s="15"/>
      <c r="E6420" s="8"/>
      <c r="G6420" s="8"/>
      <c r="J6420" s="8"/>
    </row>
    <row r="6421">
      <c r="C6421" s="15"/>
      <c r="E6421" s="8"/>
      <c r="G6421" s="8"/>
      <c r="J6421" s="8"/>
    </row>
    <row r="6422">
      <c r="C6422" s="15"/>
      <c r="E6422" s="8"/>
      <c r="G6422" s="8"/>
      <c r="J6422" s="8"/>
    </row>
    <row r="6423">
      <c r="C6423" s="15"/>
      <c r="E6423" s="8"/>
      <c r="G6423" s="8"/>
      <c r="J6423" s="8"/>
    </row>
    <row r="6424">
      <c r="C6424" s="15"/>
      <c r="E6424" s="8"/>
      <c r="G6424" s="8"/>
      <c r="J6424" s="8"/>
    </row>
    <row r="6425">
      <c r="C6425" s="15"/>
      <c r="E6425" s="8"/>
      <c r="G6425" s="8"/>
      <c r="J6425" s="8"/>
    </row>
    <row r="6426">
      <c r="C6426" s="15"/>
      <c r="E6426" s="8"/>
      <c r="G6426" s="8"/>
      <c r="J6426" s="8"/>
    </row>
    <row r="6427">
      <c r="C6427" s="15"/>
      <c r="E6427" s="8"/>
      <c r="G6427" s="8"/>
      <c r="J6427" s="8"/>
    </row>
    <row r="6428">
      <c r="C6428" s="15"/>
      <c r="E6428" s="8"/>
      <c r="G6428" s="8"/>
      <c r="J6428" s="8"/>
    </row>
    <row r="6429">
      <c r="C6429" s="15"/>
      <c r="E6429" s="8"/>
      <c r="G6429" s="8"/>
      <c r="J6429" s="8"/>
    </row>
    <row r="6430">
      <c r="C6430" s="15"/>
      <c r="E6430" s="8"/>
      <c r="G6430" s="8"/>
      <c r="J6430" s="8"/>
    </row>
    <row r="6431">
      <c r="C6431" s="15"/>
      <c r="E6431" s="8"/>
      <c r="G6431" s="8"/>
      <c r="J6431" s="8"/>
    </row>
    <row r="6432">
      <c r="C6432" s="15"/>
      <c r="E6432" s="8"/>
      <c r="G6432" s="8"/>
      <c r="J6432" s="8"/>
    </row>
    <row r="6433">
      <c r="C6433" s="15"/>
      <c r="E6433" s="8"/>
      <c r="G6433" s="8"/>
      <c r="J6433" s="8"/>
    </row>
    <row r="6434">
      <c r="C6434" s="15"/>
      <c r="E6434" s="8"/>
      <c r="G6434" s="8"/>
      <c r="J6434" s="8"/>
    </row>
    <row r="6435">
      <c r="C6435" s="15"/>
      <c r="E6435" s="8"/>
      <c r="G6435" s="8"/>
      <c r="J6435" s="8"/>
    </row>
    <row r="6436">
      <c r="C6436" s="15"/>
      <c r="E6436" s="8"/>
      <c r="G6436" s="8"/>
      <c r="J6436" s="8"/>
    </row>
    <row r="6437">
      <c r="C6437" s="15"/>
      <c r="E6437" s="8"/>
      <c r="G6437" s="8"/>
      <c r="J6437" s="8"/>
    </row>
    <row r="6438">
      <c r="C6438" s="15"/>
      <c r="E6438" s="8"/>
      <c r="G6438" s="8"/>
      <c r="J6438" s="8"/>
    </row>
    <row r="6439">
      <c r="C6439" s="15"/>
      <c r="E6439" s="8"/>
      <c r="G6439" s="8"/>
      <c r="J6439" s="8"/>
    </row>
    <row r="6440">
      <c r="C6440" s="15"/>
      <c r="E6440" s="8"/>
      <c r="G6440" s="8"/>
      <c r="J6440" s="8"/>
    </row>
    <row r="6441">
      <c r="C6441" s="15"/>
      <c r="E6441" s="8"/>
      <c r="G6441" s="8"/>
      <c r="J6441" s="8"/>
    </row>
    <row r="6442">
      <c r="C6442" s="15"/>
      <c r="E6442" s="8"/>
      <c r="G6442" s="8"/>
      <c r="J6442" s="8"/>
    </row>
    <row r="6443">
      <c r="C6443" s="15"/>
      <c r="E6443" s="8"/>
      <c r="G6443" s="8"/>
      <c r="J6443" s="8"/>
    </row>
    <row r="6444">
      <c r="C6444" s="15"/>
      <c r="E6444" s="8"/>
      <c r="G6444" s="8"/>
      <c r="J6444" s="8"/>
    </row>
    <row r="6445">
      <c r="C6445" s="15"/>
      <c r="E6445" s="8"/>
      <c r="G6445" s="8"/>
      <c r="J6445" s="8"/>
    </row>
    <row r="6446">
      <c r="C6446" s="15"/>
      <c r="E6446" s="8"/>
      <c r="G6446" s="8"/>
      <c r="J6446" s="8"/>
    </row>
    <row r="6447">
      <c r="C6447" s="15"/>
      <c r="E6447" s="8"/>
      <c r="G6447" s="8"/>
      <c r="J6447" s="8"/>
    </row>
    <row r="6448">
      <c r="C6448" s="15"/>
      <c r="E6448" s="8"/>
      <c r="G6448" s="8"/>
      <c r="J6448" s="8"/>
    </row>
    <row r="6449">
      <c r="C6449" s="15"/>
      <c r="E6449" s="8"/>
      <c r="G6449" s="8"/>
      <c r="J6449" s="8"/>
    </row>
    <row r="6450">
      <c r="C6450" s="15"/>
      <c r="E6450" s="8"/>
      <c r="G6450" s="8"/>
      <c r="J6450" s="8"/>
    </row>
    <row r="6451">
      <c r="C6451" s="15"/>
      <c r="E6451" s="8"/>
      <c r="G6451" s="8"/>
      <c r="J6451" s="8"/>
    </row>
    <row r="6452">
      <c r="C6452" s="15"/>
      <c r="E6452" s="8"/>
      <c r="G6452" s="8"/>
      <c r="J6452" s="8"/>
    </row>
    <row r="6453">
      <c r="C6453" s="15"/>
      <c r="E6453" s="8"/>
      <c r="G6453" s="8"/>
      <c r="J6453" s="8"/>
    </row>
    <row r="6454">
      <c r="C6454" s="15"/>
      <c r="E6454" s="8"/>
      <c r="G6454" s="8"/>
      <c r="J6454" s="8"/>
    </row>
    <row r="6455">
      <c r="C6455" s="15"/>
      <c r="E6455" s="8"/>
      <c r="G6455" s="8"/>
      <c r="J6455" s="8"/>
    </row>
    <row r="6456">
      <c r="C6456" s="15"/>
      <c r="E6456" s="8"/>
      <c r="G6456" s="8"/>
      <c r="J6456" s="8"/>
    </row>
    <row r="6457">
      <c r="C6457" s="15"/>
      <c r="E6457" s="8"/>
      <c r="G6457" s="8"/>
      <c r="J6457" s="8"/>
    </row>
    <row r="6458">
      <c r="C6458" s="15"/>
      <c r="E6458" s="8"/>
      <c r="G6458" s="8"/>
      <c r="J6458" s="8"/>
    </row>
    <row r="6459">
      <c r="C6459" s="15"/>
      <c r="E6459" s="8"/>
      <c r="G6459" s="8"/>
      <c r="J6459" s="8"/>
    </row>
    <row r="6460">
      <c r="C6460" s="15"/>
      <c r="E6460" s="8"/>
      <c r="G6460" s="8"/>
      <c r="J6460" s="8"/>
    </row>
    <row r="6461">
      <c r="C6461" s="15"/>
      <c r="E6461" s="8"/>
      <c r="G6461" s="8"/>
      <c r="J6461" s="8"/>
    </row>
    <row r="6462">
      <c r="C6462" s="15"/>
      <c r="E6462" s="8"/>
      <c r="G6462" s="8"/>
      <c r="J6462" s="8"/>
    </row>
    <row r="6463">
      <c r="C6463" s="15"/>
      <c r="E6463" s="8"/>
      <c r="G6463" s="8"/>
      <c r="J6463" s="8"/>
    </row>
    <row r="6464">
      <c r="C6464" s="15"/>
      <c r="E6464" s="8"/>
      <c r="G6464" s="8"/>
      <c r="J6464" s="8"/>
    </row>
    <row r="6465">
      <c r="C6465" s="15"/>
      <c r="E6465" s="8"/>
      <c r="G6465" s="8"/>
      <c r="J6465" s="8"/>
    </row>
    <row r="6466">
      <c r="C6466" s="15"/>
      <c r="E6466" s="8"/>
      <c r="G6466" s="8"/>
      <c r="J6466" s="8"/>
    </row>
    <row r="6467">
      <c r="C6467" s="15"/>
      <c r="E6467" s="8"/>
      <c r="G6467" s="8"/>
      <c r="J6467" s="8"/>
    </row>
    <row r="6468">
      <c r="C6468" s="15"/>
      <c r="E6468" s="8"/>
      <c r="G6468" s="8"/>
      <c r="J6468" s="8"/>
    </row>
    <row r="6469">
      <c r="C6469" s="15"/>
      <c r="E6469" s="8"/>
      <c r="G6469" s="8"/>
      <c r="J6469" s="8"/>
    </row>
    <row r="6470">
      <c r="C6470" s="15"/>
      <c r="E6470" s="8"/>
      <c r="G6470" s="8"/>
      <c r="J6470" s="8"/>
    </row>
    <row r="6471">
      <c r="C6471" s="15"/>
      <c r="E6471" s="8"/>
      <c r="G6471" s="8"/>
      <c r="J6471" s="8"/>
    </row>
    <row r="6472">
      <c r="C6472" s="15"/>
      <c r="E6472" s="8"/>
      <c r="G6472" s="8"/>
      <c r="J6472" s="8"/>
    </row>
    <row r="6473">
      <c r="C6473" s="15"/>
      <c r="E6473" s="8"/>
      <c r="G6473" s="8"/>
      <c r="J6473" s="8"/>
    </row>
    <row r="6474">
      <c r="C6474" s="15"/>
      <c r="E6474" s="8"/>
      <c r="G6474" s="8"/>
      <c r="J6474" s="8"/>
    </row>
    <row r="6475">
      <c r="C6475" s="15"/>
      <c r="E6475" s="8"/>
      <c r="G6475" s="8"/>
      <c r="J6475" s="8"/>
    </row>
    <row r="6476">
      <c r="C6476" s="15"/>
      <c r="E6476" s="8"/>
      <c r="G6476" s="8"/>
      <c r="J6476" s="8"/>
    </row>
    <row r="6477">
      <c r="C6477" s="15"/>
      <c r="E6477" s="8"/>
      <c r="G6477" s="8"/>
      <c r="J6477" s="8"/>
    </row>
    <row r="6478">
      <c r="C6478" s="15"/>
      <c r="E6478" s="8"/>
      <c r="G6478" s="8"/>
      <c r="J6478" s="8"/>
    </row>
    <row r="6479">
      <c r="C6479" s="15"/>
      <c r="E6479" s="8"/>
      <c r="G6479" s="8"/>
      <c r="J6479" s="8"/>
    </row>
    <row r="6480">
      <c r="C6480" s="15"/>
      <c r="E6480" s="8"/>
      <c r="G6480" s="8"/>
      <c r="J6480" s="8"/>
    </row>
    <row r="6481">
      <c r="C6481" s="15"/>
      <c r="E6481" s="8"/>
      <c r="G6481" s="8"/>
      <c r="J6481" s="8"/>
    </row>
    <row r="6482">
      <c r="C6482" s="15"/>
      <c r="E6482" s="8"/>
      <c r="G6482" s="8"/>
      <c r="J6482" s="8"/>
    </row>
    <row r="6483">
      <c r="C6483" s="15"/>
      <c r="E6483" s="8"/>
      <c r="G6483" s="8"/>
      <c r="J6483" s="8"/>
    </row>
    <row r="6484">
      <c r="C6484" s="15"/>
      <c r="E6484" s="8"/>
      <c r="G6484" s="8"/>
      <c r="J6484" s="8"/>
    </row>
    <row r="6485">
      <c r="C6485" s="15"/>
      <c r="E6485" s="8"/>
      <c r="G6485" s="8"/>
      <c r="J6485" s="8"/>
    </row>
    <row r="6486">
      <c r="C6486" s="15"/>
      <c r="E6486" s="8"/>
      <c r="G6486" s="8"/>
      <c r="J6486" s="8"/>
    </row>
    <row r="6487">
      <c r="C6487" s="15"/>
      <c r="E6487" s="8"/>
      <c r="G6487" s="8"/>
      <c r="J6487" s="8"/>
    </row>
    <row r="6488">
      <c r="C6488" s="15"/>
      <c r="E6488" s="8"/>
      <c r="G6488" s="8"/>
      <c r="J6488" s="8"/>
    </row>
    <row r="6489">
      <c r="C6489" s="15"/>
      <c r="E6489" s="8"/>
      <c r="G6489" s="8"/>
      <c r="J6489" s="8"/>
    </row>
    <row r="6490">
      <c r="C6490" s="15"/>
      <c r="E6490" s="8"/>
      <c r="G6490" s="8"/>
      <c r="J6490" s="8"/>
    </row>
    <row r="6491">
      <c r="C6491" s="15"/>
      <c r="E6491" s="8"/>
      <c r="G6491" s="8"/>
      <c r="J6491" s="8"/>
    </row>
    <row r="6492">
      <c r="C6492" s="15"/>
      <c r="E6492" s="8"/>
      <c r="G6492" s="8"/>
      <c r="J6492" s="8"/>
    </row>
    <row r="6493">
      <c r="C6493" s="15"/>
      <c r="E6493" s="8"/>
      <c r="G6493" s="8"/>
      <c r="J6493" s="8"/>
    </row>
    <row r="6494">
      <c r="C6494" s="15"/>
      <c r="E6494" s="8"/>
      <c r="G6494" s="8"/>
      <c r="J6494" s="8"/>
    </row>
    <row r="6495">
      <c r="C6495" s="15"/>
      <c r="E6495" s="8"/>
      <c r="G6495" s="8"/>
      <c r="J6495" s="8"/>
    </row>
    <row r="6496">
      <c r="C6496" s="15"/>
      <c r="E6496" s="8"/>
      <c r="G6496" s="8"/>
      <c r="J6496" s="8"/>
    </row>
    <row r="6497">
      <c r="C6497" s="15"/>
      <c r="E6497" s="8"/>
      <c r="G6497" s="8"/>
      <c r="J6497" s="8"/>
    </row>
    <row r="6498">
      <c r="C6498" s="15"/>
      <c r="E6498" s="8"/>
      <c r="G6498" s="8"/>
      <c r="J6498" s="8"/>
    </row>
    <row r="6499">
      <c r="C6499" s="15"/>
      <c r="E6499" s="8"/>
      <c r="G6499" s="8"/>
      <c r="J6499" s="8"/>
    </row>
    <row r="6500">
      <c r="C6500" s="15"/>
      <c r="E6500" s="8"/>
      <c r="G6500" s="8"/>
      <c r="J6500" s="8"/>
    </row>
    <row r="6501">
      <c r="C6501" s="15"/>
      <c r="E6501" s="8"/>
      <c r="G6501" s="8"/>
      <c r="J6501" s="8"/>
    </row>
    <row r="6502">
      <c r="C6502" s="15"/>
      <c r="E6502" s="8"/>
      <c r="G6502" s="8"/>
      <c r="J6502" s="8"/>
    </row>
    <row r="6503">
      <c r="C6503" s="15"/>
      <c r="E6503" s="8"/>
      <c r="G6503" s="8"/>
      <c r="J6503" s="8"/>
    </row>
    <row r="6504">
      <c r="C6504" s="15"/>
      <c r="E6504" s="8"/>
      <c r="G6504" s="8"/>
      <c r="J6504" s="8"/>
    </row>
    <row r="6505">
      <c r="C6505" s="15"/>
      <c r="E6505" s="8"/>
      <c r="G6505" s="8"/>
      <c r="J6505" s="8"/>
    </row>
    <row r="6506">
      <c r="C6506" s="15"/>
      <c r="E6506" s="8"/>
      <c r="G6506" s="8"/>
      <c r="J6506" s="8"/>
    </row>
    <row r="6507">
      <c r="C6507" s="15"/>
      <c r="E6507" s="8"/>
      <c r="G6507" s="8"/>
      <c r="J6507" s="8"/>
    </row>
    <row r="6508">
      <c r="C6508" s="15"/>
      <c r="E6508" s="8"/>
      <c r="G6508" s="8"/>
      <c r="J6508" s="8"/>
    </row>
    <row r="6509">
      <c r="C6509" s="15"/>
      <c r="E6509" s="8"/>
      <c r="G6509" s="8"/>
      <c r="J6509" s="8"/>
    </row>
    <row r="6510">
      <c r="C6510" s="15"/>
      <c r="E6510" s="8"/>
      <c r="G6510" s="8"/>
      <c r="J6510" s="8"/>
    </row>
    <row r="6511">
      <c r="C6511" s="15"/>
      <c r="E6511" s="8"/>
      <c r="G6511" s="8"/>
      <c r="J6511" s="8"/>
    </row>
    <row r="6512">
      <c r="C6512" s="15"/>
      <c r="E6512" s="8"/>
      <c r="G6512" s="8"/>
      <c r="J6512" s="8"/>
    </row>
    <row r="6513">
      <c r="C6513" s="15"/>
      <c r="E6513" s="8"/>
      <c r="G6513" s="8"/>
      <c r="J6513" s="8"/>
    </row>
    <row r="6514">
      <c r="C6514" s="15"/>
      <c r="E6514" s="8"/>
      <c r="G6514" s="8"/>
      <c r="J6514" s="8"/>
    </row>
    <row r="6515">
      <c r="C6515" s="15"/>
      <c r="E6515" s="8"/>
      <c r="G6515" s="8"/>
      <c r="J6515" s="8"/>
    </row>
    <row r="6516">
      <c r="C6516" s="15"/>
      <c r="E6516" s="8"/>
      <c r="G6516" s="8"/>
      <c r="J6516" s="8"/>
    </row>
    <row r="6517">
      <c r="C6517" s="15"/>
      <c r="E6517" s="8"/>
      <c r="G6517" s="8"/>
      <c r="J6517" s="8"/>
    </row>
    <row r="6518">
      <c r="C6518" s="15"/>
      <c r="E6518" s="8"/>
      <c r="G6518" s="8"/>
      <c r="J6518" s="8"/>
    </row>
    <row r="6519">
      <c r="C6519" s="15"/>
      <c r="E6519" s="8"/>
      <c r="G6519" s="8"/>
      <c r="J6519" s="8"/>
    </row>
    <row r="6520">
      <c r="C6520" s="15"/>
      <c r="E6520" s="8"/>
      <c r="G6520" s="8"/>
      <c r="J6520" s="8"/>
    </row>
    <row r="6521">
      <c r="C6521" s="15"/>
      <c r="E6521" s="8"/>
      <c r="G6521" s="8"/>
      <c r="J6521" s="8"/>
    </row>
    <row r="6522">
      <c r="C6522" s="15"/>
      <c r="E6522" s="8"/>
      <c r="G6522" s="8"/>
      <c r="J6522" s="8"/>
    </row>
    <row r="6523">
      <c r="C6523" s="15"/>
      <c r="E6523" s="8"/>
      <c r="G6523" s="8"/>
      <c r="J6523" s="8"/>
    </row>
    <row r="6524">
      <c r="C6524" s="15"/>
      <c r="E6524" s="8"/>
      <c r="G6524" s="8"/>
      <c r="J6524" s="8"/>
    </row>
    <row r="6525">
      <c r="C6525" s="15"/>
      <c r="E6525" s="8"/>
      <c r="G6525" s="8"/>
      <c r="J6525" s="8"/>
    </row>
    <row r="6526">
      <c r="C6526" s="15"/>
      <c r="E6526" s="8"/>
      <c r="G6526" s="8"/>
      <c r="J6526" s="8"/>
    </row>
    <row r="6527">
      <c r="C6527" s="15"/>
      <c r="E6527" s="8"/>
      <c r="G6527" s="8"/>
      <c r="J6527" s="8"/>
    </row>
    <row r="6528">
      <c r="C6528" s="15"/>
      <c r="E6528" s="8"/>
      <c r="G6528" s="8"/>
      <c r="J6528" s="8"/>
    </row>
    <row r="6529">
      <c r="C6529" s="15"/>
      <c r="E6529" s="8"/>
      <c r="G6529" s="8"/>
      <c r="J6529" s="8"/>
    </row>
    <row r="6530">
      <c r="C6530" s="15"/>
      <c r="E6530" s="8"/>
      <c r="G6530" s="8"/>
      <c r="J6530" s="8"/>
    </row>
    <row r="6531">
      <c r="C6531" s="15"/>
      <c r="E6531" s="8"/>
      <c r="G6531" s="8"/>
      <c r="J6531" s="8"/>
    </row>
    <row r="6532">
      <c r="C6532" s="15"/>
      <c r="E6532" s="8"/>
      <c r="G6532" s="8"/>
      <c r="J6532" s="8"/>
    </row>
    <row r="6533">
      <c r="C6533" s="15"/>
      <c r="E6533" s="8"/>
      <c r="G6533" s="8"/>
      <c r="J6533" s="8"/>
    </row>
    <row r="6534">
      <c r="C6534" s="15"/>
      <c r="E6534" s="8"/>
      <c r="G6534" s="8"/>
      <c r="J6534" s="8"/>
    </row>
    <row r="6535">
      <c r="C6535" s="15"/>
      <c r="E6535" s="8"/>
      <c r="G6535" s="8"/>
      <c r="J6535" s="8"/>
    </row>
    <row r="6536">
      <c r="C6536" s="15"/>
      <c r="E6536" s="8"/>
      <c r="G6536" s="8"/>
      <c r="J6536" s="8"/>
    </row>
    <row r="6537">
      <c r="C6537" s="15"/>
      <c r="E6537" s="8"/>
      <c r="G6537" s="8"/>
      <c r="J6537" s="8"/>
    </row>
    <row r="6538">
      <c r="C6538" s="15"/>
      <c r="E6538" s="8"/>
      <c r="G6538" s="8"/>
      <c r="J6538" s="8"/>
    </row>
    <row r="6539">
      <c r="C6539" s="15"/>
      <c r="E6539" s="8"/>
      <c r="G6539" s="8"/>
      <c r="J6539" s="8"/>
    </row>
    <row r="6540">
      <c r="C6540" s="15"/>
      <c r="E6540" s="8"/>
      <c r="G6540" s="8"/>
      <c r="J6540" s="8"/>
    </row>
    <row r="6541">
      <c r="C6541" s="15"/>
      <c r="E6541" s="8"/>
      <c r="G6541" s="8"/>
      <c r="J6541" s="8"/>
    </row>
    <row r="6542">
      <c r="C6542" s="15"/>
      <c r="E6542" s="8"/>
      <c r="G6542" s="8"/>
      <c r="J6542" s="8"/>
    </row>
    <row r="6543">
      <c r="C6543" s="15"/>
      <c r="E6543" s="8"/>
      <c r="G6543" s="8"/>
      <c r="J6543" s="8"/>
    </row>
    <row r="6544">
      <c r="C6544" s="15"/>
      <c r="E6544" s="8"/>
      <c r="G6544" s="8"/>
      <c r="J6544" s="8"/>
    </row>
    <row r="6545">
      <c r="C6545" s="15"/>
      <c r="E6545" s="8"/>
      <c r="G6545" s="8"/>
      <c r="J6545" s="8"/>
    </row>
    <row r="6546">
      <c r="C6546" s="15"/>
      <c r="E6546" s="8"/>
      <c r="G6546" s="8"/>
      <c r="J6546" s="8"/>
    </row>
    <row r="6547">
      <c r="C6547" s="15"/>
      <c r="E6547" s="8"/>
      <c r="G6547" s="8"/>
      <c r="J6547" s="8"/>
    </row>
    <row r="6548">
      <c r="C6548" s="15"/>
      <c r="E6548" s="8"/>
      <c r="G6548" s="8"/>
      <c r="J6548" s="8"/>
    </row>
    <row r="6549">
      <c r="C6549" s="15"/>
      <c r="E6549" s="8"/>
      <c r="G6549" s="8"/>
      <c r="J6549" s="8"/>
    </row>
    <row r="6550">
      <c r="C6550" s="15"/>
      <c r="E6550" s="8"/>
      <c r="G6550" s="8"/>
      <c r="J6550" s="8"/>
    </row>
    <row r="6551">
      <c r="C6551" s="15"/>
      <c r="E6551" s="8"/>
      <c r="G6551" s="8"/>
      <c r="J6551" s="8"/>
    </row>
    <row r="6552">
      <c r="C6552" s="15"/>
      <c r="E6552" s="8"/>
      <c r="G6552" s="8"/>
      <c r="J6552" s="8"/>
    </row>
    <row r="6553">
      <c r="C6553" s="15"/>
      <c r="E6553" s="8"/>
      <c r="G6553" s="8"/>
      <c r="J6553" s="8"/>
    </row>
    <row r="6554">
      <c r="C6554" s="15"/>
      <c r="E6554" s="8"/>
      <c r="G6554" s="8"/>
      <c r="J6554" s="8"/>
    </row>
    <row r="6555">
      <c r="C6555" s="15"/>
      <c r="E6555" s="8"/>
      <c r="G6555" s="8"/>
      <c r="J6555" s="8"/>
    </row>
    <row r="6556">
      <c r="C6556" s="15"/>
      <c r="E6556" s="8"/>
      <c r="G6556" s="8"/>
      <c r="J6556" s="8"/>
    </row>
    <row r="6557">
      <c r="C6557" s="15"/>
      <c r="E6557" s="8"/>
      <c r="G6557" s="8"/>
      <c r="J6557" s="8"/>
    </row>
    <row r="6558">
      <c r="C6558" s="15"/>
      <c r="E6558" s="8"/>
      <c r="G6558" s="8"/>
      <c r="J6558" s="8"/>
    </row>
    <row r="6559">
      <c r="C6559" s="15"/>
      <c r="E6559" s="8"/>
      <c r="G6559" s="8"/>
      <c r="J6559" s="8"/>
    </row>
    <row r="6560">
      <c r="C6560" s="15"/>
      <c r="E6560" s="8"/>
      <c r="G6560" s="8"/>
      <c r="J6560" s="8"/>
    </row>
    <row r="6561">
      <c r="C6561" s="15"/>
      <c r="E6561" s="8"/>
      <c r="G6561" s="8"/>
      <c r="J6561" s="8"/>
    </row>
    <row r="6562">
      <c r="C6562" s="15"/>
      <c r="E6562" s="8"/>
      <c r="G6562" s="8"/>
      <c r="J6562" s="8"/>
    </row>
    <row r="6563">
      <c r="C6563" s="15"/>
      <c r="E6563" s="8"/>
      <c r="G6563" s="8"/>
      <c r="J6563" s="8"/>
    </row>
    <row r="6564">
      <c r="C6564" s="15"/>
      <c r="E6564" s="8"/>
      <c r="G6564" s="8"/>
      <c r="J6564" s="8"/>
    </row>
    <row r="6565">
      <c r="C6565" s="15"/>
      <c r="E6565" s="8"/>
      <c r="G6565" s="8"/>
      <c r="J6565" s="8"/>
    </row>
    <row r="6566">
      <c r="C6566" s="15"/>
      <c r="E6566" s="8"/>
      <c r="G6566" s="8"/>
      <c r="J6566" s="8"/>
    </row>
    <row r="6567">
      <c r="C6567" s="15"/>
      <c r="E6567" s="8"/>
      <c r="G6567" s="8"/>
      <c r="J6567" s="8"/>
    </row>
    <row r="6568">
      <c r="C6568" s="15"/>
      <c r="E6568" s="8"/>
      <c r="G6568" s="8"/>
      <c r="J6568" s="8"/>
    </row>
    <row r="6569">
      <c r="C6569" s="15"/>
      <c r="E6569" s="8"/>
      <c r="G6569" s="8"/>
      <c r="J6569" s="8"/>
    </row>
    <row r="6570">
      <c r="C6570" s="15"/>
      <c r="E6570" s="8"/>
      <c r="G6570" s="8"/>
      <c r="J6570" s="8"/>
    </row>
    <row r="6571">
      <c r="C6571" s="15"/>
      <c r="E6571" s="8"/>
      <c r="G6571" s="8"/>
      <c r="J6571" s="8"/>
    </row>
    <row r="6572">
      <c r="C6572" s="15"/>
      <c r="E6572" s="8"/>
      <c r="G6572" s="8"/>
      <c r="J6572" s="8"/>
    </row>
    <row r="6573">
      <c r="C6573" s="15"/>
      <c r="E6573" s="8"/>
      <c r="G6573" s="8"/>
      <c r="J6573" s="8"/>
    </row>
    <row r="6574">
      <c r="C6574" s="15"/>
      <c r="E6574" s="8"/>
      <c r="G6574" s="8"/>
      <c r="J6574" s="8"/>
    </row>
    <row r="6575">
      <c r="C6575" s="15"/>
      <c r="E6575" s="8"/>
      <c r="G6575" s="8"/>
      <c r="J6575" s="8"/>
    </row>
    <row r="6576">
      <c r="C6576" s="15"/>
      <c r="E6576" s="8"/>
      <c r="G6576" s="8"/>
      <c r="J6576" s="8"/>
    </row>
    <row r="6577">
      <c r="C6577" s="15"/>
      <c r="E6577" s="8"/>
      <c r="G6577" s="8"/>
      <c r="J6577" s="8"/>
    </row>
    <row r="6578">
      <c r="C6578" s="15"/>
      <c r="E6578" s="8"/>
      <c r="G6578" s="8"/>
      <c r="J6578" s="8"/>
    </row>
    <row r="6579">
      <c r="C6579" s="15"/>
      <c r="E6579" s="8"/>
      <c r="G6579" s="8"/>
      <c r="J6579" s="8"/>
    </row>
    <row r="6580">
      <c r="C6580" s="15"/>
      <c r="E6580" s="8"/>
      <c r="G6580" s="8"/>
      <c r="J6580" s="8"/>
    </row>
    <row r="6581">
      <c r="C6581" s="15"/>
      <c r="E6581" s="8"/>
      <c r="G6581" s="8"/>
      <c r="J6581" s="8"/>
    </row>
    <row r="6582">
      <c r="C6582" s="15"/>
      <c r="E6582" s="8"/>
      <c r="G6582" s="8"/>
      <c r="J6582" s="8"/>
    </row>
    <row r="6583">
      <c r="C6583" s="15"/>
      <c r="E6583" s="8"/>
      <c r="G6583" s="8"/>
      <c r="J6583" s="8"/>
    </row>
    <row r="6584">
      <c r="C6584" s="15"/>
      <c r="E6584" s="8"/>
      <c r="G6584" s="8"/>
      <c r="J6584" s="8"/>
    </row>
    <row r="6585">
      <c r="C6585" s="15"/>
      <c r="E6585" s="8"/>
      <c r="G6585" s="8"/>
      <c r="J6585" s="8"/>
    </row>
    <row r="6586">
      <c r="C6586" s="15"/>
      <c r="E6586" s="8"/>
      <c r="G6586" s="8"/>
      <c r="J6586" s="8"/>
    </row>
    <row r="6587">
      <c r="C6587" s="15"/>
      <c r="E6587" s="8"/>
      <c r="G6587" s="8"/>
      <c r="J6587" s="8"/>
    </row>
    <row r="6588">
      <c r="C6588" s="15"/>
      <c r="E6588" s="8"/>
      <c r="G6588" s="8"/>
      <c r="J6588" s="8"/>
    </row>
    <row r="6589">
      <c r="C6589" s="15"/>
      <c r="E6589" s="8"/>
      <c r="G6589" s="8"/>
      <c r="J6589" s="8"/>
    </row>
    <row r="6590">
      <c r="C6590" s="15"/>
      <c r="E6590" s="8"/>
      <c r="G6590" s="8"/>
      <c r="J6590" s="8"/>
    </row>
    <row r="6591">
      <c r="C6591" s="15"/>
      <c r="E6591" s="8"/>
      <c r="G6591" s="8"/>
      <c r="J6591" s="8"/>
    </row>
    <row r="6592">
      <c r="C6592" s="15"/>
      <c r="E6592" s="8"/>
      <c r="G6592" s="8"/>
      <c r="J6592" s="8"/>
    </row>
    <row r="6593">
      <c r="C6593" s="15"/>
      <c r="E6593" s="8"/>
      <c r="G6593" s="8"/>
      <c r="J6593" s="8"/>
    </row>
    <row r="6594">
      <c r="C6594" s="15"/>
      <c r="E6594" s="8"/>
      <c r="G6594" s="8"/>
      <c r="J6594" s="8"/>
    </row>
    <row r="6595">
      <c r="C6595" s="15"/>
      <c r="E6595" s="8"/>
      <c r="G6595" s="8"/>
      <c r="J6595" s="8"/>
    </row>
    <row r="6596">
      <c r="C6596" s="15"/>
      <c r="E6596" s="8"/>
      <c r="G6596" s="8"/>
      <c r="J6596" s="8"/>
    </row>
    <row r="6597">
      <c r="C6597" s="15"/>
      <c r="E6597" s="8"/>
      <c r="G6597" s="8"/>
      <c r="J6597" s="8"/>
    </row>
    <row r="6598">
      <c r="C6598" s="15"/>
      <c r="E6598" s="8"/>
      <c r="G6598" s="8"/>
      <c r="J6598" s="8"/>
    </row>
    <row r="6599">
      <c r="C6599" s="15"/>
      <c r="E6599" s="8"/>
      <c r="G6599" s="8"/>
      <c r="J6599" s="8"/>
    </row>
    <row r="6600">
      <c r="C6600" s="15"/>
      <c r="E6600" s="8"/>
      <c r="G6600" s="8"/>
      <c r="J6600" s="8"/>
    </row>
    <row r="6601">
      <c r="C6601" s="15"/>
      <c r="E6601" s="8"/>
      <c r="G6601" s="8"/>
      <c r="J6601" s="8"/>
    </row>
    <row r="6602">
      <c r="C6602" s="15"/>
      <c r="E6602" s="8"/>
      <c r="G6602" s="8"/>
      <c r="J6602" s="8"/>
    </row>
    <row r="6603">
      <c r="C6603" s="15"/>
      <c r="E6603" s="8"/>
      <c r="G6603" s="8"/>
      <c r="J6603" s="8"/>
    </row>
    <row r="6604">
      <c r="C6604" s="15"/>
      <c r="E6604" s="8"/>
      <c r="G6604" s="8"/>
      <c r="J6604" s="8"/>
    </row>
    <row r="6605">
      <c r="C6605" s="15"/>
      <c r="E6605" s="8"/>
      <c r="G6605" s="8"/>
      <c r="J6605" s="8"/>
    </row>
    <row r="6606">
      <c r="C6606" s="15"/>
      <c r="E6606" s="8"/>
      <c r="G6606" s="8"/>
      <c r="J6606" s="8"/>
    </row>
    <row r="6607">
      <c r="C6607" s="15"/>
      <c r="E6607" s="8"/>
      <c r="G6607" s="8"/>
      <c r="J6607" s="8"/>
    </row>
    <row r="6608">
      <c r="C6608" s="15"/>
      <c r="E6608" s="8"/>
      <c r="G6608" s="8"/>
      <c r="J6608" s="8"/>
    </row>
    <row r="6609">
      <c r="C6609" s="15"/>
      <c r="E6609" s="8"/>
      <c r="G6609" s="8"/>
      <c r="J6609" s="8"/>
    </row>
    <row r="6610">
      <c r="C6610" s="15"/>
      <c r="E6610" s="8"/>
      <c r="G6610" s="8"/>
      <c r="J6610" s="8"/>
    </row>
    <row r="6611">
      <c r="C6611" s="15"/>
      <c r="E6611" s="8"/>
      <c r="G6611" s="8"/>
      <c r="J6611" s="8"/>
    </row>
    <row r="6612">
      <c r="C6612" s="15"/>
      <c r="E6612" s="8"/>
      <c r="G6612" s="8"/>
      <c r="J6612" s="8"/>
    </row>
    <row r="6613">
      <c r="C6613" s="15"/>
      <c r="E6613" s="8"/>
      <c r="G6613" s="8"/>
      <c r="J6613" s="8"/>
    </row>
    <row r="6614">
      <c r="C6614" s="15"/>
      <c r="E6614" s="8"/>
      <c r="G6614" s="8"/>
      <c r="J6614" s="8"/>
    </row>
    <row r="6615">
      <c r="C6615" s="15"/>
      <c r="E6615" s="8"/>
      <c r="G6615" s="8"/>
      <c r="J6615" s="8"/>
    </row>
    <row r="6616">
      <c r="C6616" s="15"/>
      <c r="E6616" s="8"/>
      <c r="G6616" s="8"/>
      <c r="J6616" s="8"/>
    </row>
    <row r="6617">
      <c r="C6617" s="15"/>
      <c r="E6617" s="8"/>
      <c r="G6617" s="8"/>
      <c r="J6617" s="8"/>
    </row>
    <row r="6618">
      <c r="C6618" s="15"/>
      <c r="E6618" s="8"/>
      <c r="G6618" s="8"/>
      <c r="J6618" s="8"/>
    </row>
    <row r="6619">
      <c r="C6619" s="15"/>
      <c r="E6619" s="8"/>
      <c r="G6619" s="8"/>
      <c r="J6619" s="8"/>
    </row>
    <row r="6620">
      <c r="C6620" s="15"/>
      <c r="E6620" s="8"/>
      <c r="G6620" s="8"/>
      <c r="J6620" s="8"/>
    </row>
    <row r="6621">
      <c r="C6621" s="15"/>
      <c r="E6621" s="8"/>
      <c r="G6621" s="8"/>
      <c r="J6621" s="8"/>
    </row>
    <row r="6622">
      <c r="C6622" s="15"/>
      <c r="E6622" s="8"/>
      <c r="G6622" s="8"/>
      <c r="J6622" s="8"/>
    </row>
    <row r="6623">
      <c r="C6623" s="15"/>
      <c r="E6623" s="8"/>
      <c r="G6623" s="8"/>
      <c r="J6623" s="8"/>
    </row>
    <row r="6624">
      <c r="C6624" s="15"/>
      <c r="E6624" s="8"/>
      <c r="G6624" s="8"/>
      <c r="J6624" s="8"/>
    </row>
    <row r="6625">
      <c r="C6625" s="15"/>
      <c r="E6625" s="8"/>
      <c r="G6625" s="8"/>
      <c r="J6625" s="8"/>
    </row>
    <row r="6626">
      <c r="C6626" s="15"/>
      <c r="E6626" s="8"/>
      <c r="G6626" s="8"/>
      <c r="J6626" s="8"/>
    </row>
    <row r="6627">
      <c r="C6627" s="15"/>
      <c r="E6627" s="8"/>
      <c r="G6627" s="8"/>
      <c r="J6627" s="8"/>
    </row>
    <row r="6628">
      <c r="C6628" s="15"/>
      <c r="E6628" s="8"/>
      <c r="G6628" s="8"/>
      <c r="J6628" s="8"/>
    </row>
    <row r="6629">
      <c r="C6629" s="15"/>
      <c r="E6629" s="8"/>
      <c r="G6629" s="8"/>
      <c r="J6629" s="8"/>
    </row>
    <row r="6630">
      <c r="C6630" s="15"/>
      <c r="E6630" s="8"/>
      <c r="G6630" s="8"/>
      <c r="J6630" s="8"/>
    </row>
    <row r="6631">
      <c r="C6631" s="15"/>
      <c r="E6631" s="8"/>
      <c r="G6631" s="8"/>
      <c r="J6631" s="8"/>
    </row>
    <row r="6632">
      <c r="C6632" s="15"/>
      <c r="E6632" s="8"/>
      <c r="G6632" s="8"/>
      <c r="J6632" s="8"/>
    </row>
    <row r="6633">
      <c r="C6633" s="15"/>
      <c r="E6633" s="8"/>
      <c r="G6633" s="8"/>
      <c r="J6633" s="8"/>
    </row>
    <row r="6634">
      <c r="C6634" s="15"/>
      <c r="E6634" s="8"/>
      <c r="G6634" s="8"/>
      <c r="J6634" s="8"/>
    </row>
    <row r="6635">
      <c r="C6635" s="15"/>
      <c r="E6635" s="8"/>
      <c r="G6635" s="8"/>
      <c r="J6635" s="8"/>
    </row>
    <row r="6636">
      <c r="C6636" s="15"/>
      <c r="E6636" s="8"/>
      <c r="G6636" s="8"/>
      <c r="J6636" s="8"/>
    </row>
    <row r="6637">
      <c r="C6637" s="15"/>
      <c r="E6637" s="8"/>
      <c r="G6637" s="8"/>
      <c r="J6637" s="8"/>
    </row>
    <row r="6638">
      <c r="C6638" s="15"/>
      <c r="E6638" s="8"/>
      <c r="G6638" s="8"/>
      <c r="J6638" s="8"/>
    </row>
    <row r="6639">
      <c r="C6639" s="15"/>
      <c r="E6639" s="8"/>
      <c r="G6639" s="8"/>
      <c r="J6639" s="8"/>
    </row>
    <row r="6640">
      <c r="C6640" s="15"/>
      <c r="E6640" s="8"/>
      <c r="G6640" s="8"/>
      <c r="J6640" s="8"/>
    </row>
    <row r="6641">
      <c r="C6641" s="15"/>
      <c r="E6641" s="8"/>
      <c r="G6641" s="8"/>
      <c r="J6641" s="8"/>
    </row>
    <row r="6642">
      <c r="C6642" s="15"/>
      <c r="E6642" s="8"/>
      <c r="G6642" s="8"/>
      <c r="J6642" s="8"/>
    </row>
    <row r="6643">
      <c r="C6643" s="15"/>
      <c r="E6643" s="8"/>
      <c r="G6643" s="8"/>
      <c r="J6643" s="8"/>
    </row>
    <row r="6644">
      <c r="C6644" s="15"/>
      <c r="E6644" s="8"/>
      <c r="G6644" s="8"/>
      <c r="J6644" s="8"/>
    </row>
    <row r="6645">
      <c r="C6645" s="15"/>
      <c r="E6645" s="8"/>
      <c r="G6645" s="8"/>
      <c r="J6645" s="8"/>
    </row>
    <row r="6646">
      <c r="C6646" s="15"/>
      <c r="E6646" s="8"/>
      <c r="G6646" s="8"/>
      <c r="J6646" s="8"/>
    </row>
    <row r="6647">
      <c r="C6647" s="15"/>
      <c r="E6647" s="8"/>
      <c r="G6647" s="8"/>
      <c r="J6647" s="8"/>
    </row>
    <row r="6648">
      <c r="C6648" s="15"/>
      <c r="E6648" s="8"/>
      <c r="G6648" s="8"/>
      <c r="J6648" s="8"/>
    </row>
    <row r="6649">
      <c r="C6649" s="15"/>
      <c r="E6649" s="8"/>
      <c r="G6649" s="8"/>
      <c r="J6649" s="8"/>
    </row>
    <row r="6650">
      <c r="C6650" s="15"/>
      <c r="E6650" s="8"/>
      <c r="G6650" s="8"/>
      <c r="J6650" s="8"/>
    </row>
    <row r="6651">
      <c r="C6651" s="15"/>
      <c r="E6651" s="8"/>
      <c r="G6651" s="8"/>
      <c r="J6651" s="8"/>
    </row>
    <row r="6652">
      <c r="C6652" s="15"/>
      <c r="E6652" s="8"/>
      <c r="G6652" s="8"/>
      <c r="J6652" s="8"/>
    </row>
    <row r="6653">
      <c r="C6653" s="15"/>
      <c r="E6653" s="8"/>
      <c r="G6653" s="8"/>
      <c r="J6653" s="8"/>
    </row>
    <row r="6654">
      <c r="C6654" s="15"/>
      <c r="E6654" s="8"/>
      <c r="G6654" s="8"/>
      <c r="J6654" s="8"/>
    </row>
    <row r="6655">
      <c r="C6655" s="15"/>
      <c r="E6655" s="8"/>
      <c r="G6655" s="8"/>
      <c r="J6655" s="8"/>
    </row>
    <row r="6656">
      <c r="C6656" s="15"/>
      <c r="E6656" s="8"/>
      <c r="G6656" s="8"/>
      <c r="J6656" s="8"/>
    </row>
    <row r="6657">
      <c r="C6657" s="15"/>
      <c r="E6657" s="8"/>
      <c r="G6657" s="8"/>
      <c r="J6657" s="8"/>
    </row>
    <row r="6658">
      <c r="C6658" s="15"/>
      <c r="E6658" s="8"/>
      <c r="G6658" s="8"/>
      <c r="J6658" s="8"/>
    </row>
    <row r="6659">
      <c r="C6659" s="15"/>
      <c r="E6659" s="8"/>
      <c r="G6659" s="8"/>
      <c r="J6659" s="8"/>
    </row>
    <row r="6660">
      <c r="C6660" s="15"/>
      <c r="E6660" s="8"/>
      <c r="G6660" s="8"/>
      <c r="J6660" s="8"/>
    </row>
    <row r="6661">
      <c r="C6661" s="15"/>
      <c r="E6661" s="8"/>
      <c r="G6661" s="8"/>
      <c r="J6661" s="8"/>
    </row>
    <row r="6662">
      <c r="C6662" s="15"/>
      <c r="E6662" s="8"/>
      <c r="G6662" s="8"/>
      <c r="J6662" s="8"/>
    </row>
    <row r="6663">
      <c r="C6663" s="15"/>
      <c r="E6663" s="8"/>
      <c r="G6663" s="8"/>
      <c r="J6663" s="8"/>
    </row>
    <row r="6664">
      <c r="C6664" s="15"/>
      <c r="E6664" s="8"/>
      <c r="G6664" s="8"/>
      <c r="J6664" s="8"/>
    </row>
    <row r="6665">
      <c r="C6665" s="15"/>
      <c r="E6665" s="8"/>
      <c r="G6665" s="8"/>
      <c r="J6665" s="8"/>
    </row>
    <row r="6666">
      <c r="C6666" s="15"/>
      <c r="E6666" s="8"/>
      <c r="G6666" s="8"/>
      <c r="J6666" s="8"/>
    </row>
    <row r="6667">
      <c r="C6667" s="15"/>
      <c r="E6667" s="8"/>
      <c r="G6667" s="8"/>
      <c r="J6667" s="8"/>
    </row>
    <row r="6668">
      <c r="C6668" s="15"/>
      <c r="E6668" s="8"/>
      <c r="G6668" s="8"/>
      <c r="J6668" s="8"/>
    </row>
    <row r="6669">
      <c r="C6669" s="15"/>
      <c r="E6669" s="8"/>
      <c r="G6669" s="8"/>
      <c r="J6669" s="8"/>
    </row>
    <row r="6670">
      <c r="C6670" s="15"/>
      <c r="E6670" s="8"/>
      <c r="G6670" s="8"/>
      <c r="J6670" s="8"/>
    </row>
    <row r="6671">
      <c r="C6671" s="15"/>
      <c r="E6671" s="8"/>
      <c r="G6671" s="8"/>
      <c r="J6671" s="8"/>
    </row>
    <row r="6672">
      <c r="C6672" s="15"/>
      <c r="E6672" s="8"/>
      <c r="G6672" s="8"/>
      <c r="J6672" s="8"/>
    </row>
    <row r="6673">
      <c r="C6673" s="15"/>
      <c r="E6673" s="8"/>
      <c r="G6673" s="8"/>
      <c r="J6673" s="8"/>
    </row>
    <row r="6674">
      <c r="C6674" s="15"/>
      <c r="E6674" s="8"/>
      <c r="G6674" s="8"/>
      <c r="J6674" s="8"/>
    </row>
    <row r="6675">
      <c r="C6675" s="15"/>
      <c r="E6675" s="8"/>
      <c r="G6675" s="8"/>
      <c r="J6675" s="8"/>
    </row>
    <row r="6676">
      <c r="C6676" s="15"/>
      <c r="E6676" s="8"/>
      <c r="G6676" s="8"/>
      <c r="J6676" s="8"/>
    </row>
    <row r="6677">
      <c r="C6677" s="15"/>
      <c r="E6677" s="8"/>
      <c r="G6677" s="8"/>
      <c r="J6677" s="8"/>
    </row>
    <row r="6678">
      <c r="C6678" s="15"/>
      <c r="E6678" s="8"/>
      <c r="G6678" s="8"/>
      <c r="J6678" s="8"/>
    </row>
    <row r="6679">
      <c r="C6679" s="15"/>
      <c r="E6679" s="8"/>
      <c r="G6679" s="8"/>
      <c r="J6679" s="8"/>
    </row>
    <row r="6680">
      <c r="C6680" s="15"/>
      <c r="E6680" s="8"/>
      <c r="G6680" s="8"/>
      <c r="J6680" s="8"/>
    </row>
    <row r="6681">
      <c r="C6681" s="15"/>
      <c r="E6681" s="8"/>
      <c r="G6681" s="8"/>
      <c r="J6681" s="8"/>
    </row>
    <row r="6682">
      <c r="C6682" s="15"/>
      <c r="E6682" s="8"/>
      <c r="G6682" s="8"/>
      <c r="J6682" s="8"/>
    </row>
    <row r="6683">
      <c r="C6683" s="15"/>
      <c r="E6683" s="8"/>
      <c r="G6683" s="8"/>
      <c r="J6683" s="8"/>
    </row>
    <row r="6684">
      <c r="C6684" s="15"/>
      <c r="E6684" s="8"/>
      <c r="G6684" s="8"/>
      <c r="J6684" s="8"/>
    </row>
    <row r="6685">
      <c r="C6685" s="15"/>
      <c r="E6685" s="8"/>
      <c r="G6685" s="8"/>
      <c r="J6685" s="8"/>
    </row>
    <row r="6686">
      <c r="C6686" s="15"/>
      <c r="E6686" s="8"/>
      <c r="G6686" s="8"/>
      <c r="J6686" s="8"/>
    </row>
    <row r="6687">
      <c r="C6687" s="15"/>
      <c r="E6687" s="8"/>
      <c r="G6687" s="8"/>
      <c r="J6687" s="8"/>
    </row>
    <row r="6688">
      <c r="C6688" s="15"/>
      <c r="E6688" s="8"/>
      <c r="G6688" s="8"/>
      <c r="J6688" s="8"/>
    </row>
    <row r="6689">
      <c r="C6689" s="15"/>
      <c r="E6689" s="8"/>
      <c r="G6689" s="8"/>
      <c r="J6689" s="8"/>
    </row>
    <row r="6690">
      <c r="C6690" s="15"/>
      <c r="E6690" s="8"/>
      <c r="G6690" s="8"/>
      <c r="J6690" s="8"/>
    </row>
    <row r="6691">
      <c r="C6691" s="15"/>
      <c r="E6691" s="8"/>
      <c r="G6691" s="8"/>
      <c r="J6691" s="8"/>
    </row>
    <row r="6692">
      <c r="C6692" s="15"/>
      <c r="E6692" s="8"/>
      <c r="G6692" s="8"/>
      <c r="J6692" s="8"/>
    </row>
    <row r="6693">
      <c r="C6693" s="15"/>
      <c r="E6693" s="8"/>
      <c r="G6693" s="8"/>
      <c r="J6693" s="8"/>
    </row>
    <row r="6694">
      <c r="C6694" s="15"/>
      <c r="E6694" s="8"/>
      <c r="G6694" s="8"/>
      <c r="J6694" s="8"/>
    </row>
    <row r="6695">
      <c r="C6695" s="15"/>
      <c r="E6695" s="8"/>
      <c r="G6695" s="8"/>
      <c r="J6695" s="8"/>
    </row>
    <row r="6696">
      <c r="C6696" s="15"/>
      <c r="E6696" s="8"/>
      <c r="G6696" s="8"/>
      <c r="J6696" s="8"/>
    </row>
    <row r="6697">
      <c r="C6697" s="15"/>
      <c r="E6697" s="8"/>
      <c r="G6697" s="8"/>
      <c r="J6697" s="8"/>
    </row>
    <row r="6698">
      <c r="C6698" s="15"/>
      <c r="E6698" s="8"/>
      <c r="G6698" s="8"/>
      <c r="J6698" s="8"/>
    </row>
    <row r="6699">
      <c r="C6699" s="15"/>
      <c r="E6699" s="8"/>
      <c r="G6699" s="8"/>
      <c r="J6699" s="8"/>
    </row>
    <row r="6700">
      <c r="C6700" s="15"/>
      <c r="E6700" s="8"/>
      <c r="G6700" s="8"/>
      <c r="J6700" s="8"/>
    </row>
    <row r="6701">
      <c r="C6701" s="15"/>
      <c r="E6701" s="8"/>
      <c r="G6701" s="8"/>
      <c r="J6701" s="8"/>
    </row>
    <row r="6702">
      <c r="C6702" s="15"/>
      <c r="E6702" s="8"/>
      <c r="G6702" s="8"/>
      <c r="J6702" s="8"/>
    </row>
    <row r="6703">
      <c r="C6703" s="15"/>
      <c r="E6703" s="8"/>
      <c r="G6703" s="8"/>
      <c r="J6703" s="8"/>
    </row>
    <row r="6704">
      <c r="C6704" s="15"/>
      <c r="E6704" s="8"/>
      <c r="G6704" s="8"/>
      <c r="J6704" s="8"/>
    </row>
    <row r="6705">
      <c r="C6705" s="15"/>
      <c r="E6705" s="8"/>
      <c r="G6705" s="8"/>
      <c r="J6705" s="8"/>
    </row>
    <row r="6706">
      <c r="C6706" s="15"/>
      <c r="E6706" s="8"/>
      <c r="G6706" s="8"/>
      <c r="J6706" s="8"/>
    </row>
    <row r="6707">
      <c r="C6707" s="15"/>
      <c r="E6707" s="8"/>
      <c r="G6707" s="8"/>
      <c r="J6707" s="8"/>
    </row>
    <row r="6708">
      <c r="C6708" s="15"/>
      <c r="E6708" s="8"/>
      <c r="G6708" s="8"/>
      <c r="J6708" s="8"/>
    </row>
    <row r="6709">
      <c r="C6709" s="15"/>
      <c r="E6709" s="8"/>
      <c r="G6709" s="8"/>
      <c r="J6709" s="8"/>
    </row>
    <row r="6710">
      <c r="C6710" s="15"/>
      <c r="E6710" s="8"/>
      <c r="G6710" s="8"/>
      <c r="J6710" s="8"/>
    </row>
    <row r="6711">
      <c r="C6711" s="15"/>
      <c r="E6711" s="8"/>
      <c r="G6711" s="8"/>
      <c r="J6711" s="8"/>
    </row>
    <row r="6712">
      <c r="C6712" s="15"/>
      <c r="E6712" s="8"/>
      <c r="G6712" s="8"/>
      <c r="J6712" s="8"/>
    </row>
    <row r="6713">
      <c r="C6713" s="15"/>
      <c r="E6713" s="8"/>
      <c r="G6713" s="8"/>
      <c r="J6713" s="8"/>
    </row>
    <row r="6714">
      <c r="C6714" s="15"/>
      <c r="E6714" s="8"/>
      <c r="G6714" s="8"/>
      <c r="J6714" s="8"/>
    </row>
    <row r="6715">
      <c r="C6715" s="15"/>
      <c r="E6715" s="8"/>
      <c r="G6715" s="8"/>
      <c r="J6715" s="8"/>
    </row>
    <row r="6716">
      <c r="C6716" s="15"/>
      <c r="E6716" s="8"/>
      <c r="G6716" s="8"/>
      <c r="J6716" s="8"/>
    </row>
    <row r="6717">
      <c r="C6717" s="15"/>
      <c r="E6717" s="8"/>
      <c r="G6717" s="8"/>
      <c r="J6717" s="8"/>
    </row>
    <row r="6718">
      <c r="C6718" s="15"/>
      <c r="E6718" s="8"/>
      <c r="G6718" s="8"/>
      <c r="J6718" s="8"/>
    </row>
    <row r="6719">
      <c r="C6719" s="15"/>
      <c r="E6719" s="8"/>
      <c r="G6719" s="8"/>
      <c r="J6719" s="8"/>
    </row>
    <row r="6720">
      <c r="C6720" s="15"/>
      <c r="E6720" s="8"/>
      <c r="G6720" s="8"/>
      <c r="J6720" s="8"/>
    </row>
    <row r="6721">
      <c r="C6721" s="15"/>
      <c r="E6721" s="8"/>
      <c r="G6721" s="8"/>
      <c r="J6721" s="8"/>
    </row>
    <row r="6722">
      <c r="C6722" s="15"/>
      <c r="E6722" s="8"/>
      <c r="G6722" s="8"/>
      <c r="J6722" s="8"/>
    </row>
    <row r="6723">
      <c r="C6723" s="15"/>
      <c r="E6723" s="8"/>
      <c r="G6723" s="8"/>
      <c r="J6723" s="8"/>
    </row>
    <row r="6724">
      <c r="C6724" s="15"/>
      <c r="E6724" s="8"/>
      <c r="G6724" s="8"/>
      <c r="J6724" s="8"/>
    </row>
    <row r="6725">
      <c r="C6725" s="15"/>
      <c r="E6725" s="8"/>
      <c r="G6725" s="8"/>
      <c r="J6725" s="8"/>
    </row>
    <row r="6726">
      <c r="C6726" s="15"/>
      <c r="E6726" s="8"/>
      <c r="G6726" s="8"/>
      <c r="J6726" s="8"/>
    </row>
    <row r="6727">
      <c r="C6727" s="15"/>
      <c r="E6727" s="8"/>
      <c r="G6727" s="8"/>
      <c r="J6727" s="8"/>
    </row>
    <row r="6728">
      <c r="C6728" s="15"/>
      <c r="E6728" s="8"/>
      <c r="G6728" s="8"/>
      <c r="J6728" s="8"/>
    </row>
    <row r="6729">
      <c r="C6729" s="15"/>
      <c r="E6729" s="8"/>
      <c r="G6729" s="8"/>
      <c r="J6729" s="8"/>
    </row>
    <row r="6730">
      <c r="C6730" s="15"/>
      <c r="E6730" s="8"/>
      <c r="G6730" s="8"/>
      <c r="J6730" s="8"/>
    </row>
    <row r="6731">
      <c r="C6731" s="15"/>
      <c r="E6731" s="8"/>
      <c r="G6731" s="8"/>
      <c r="J6731" s="8"/>
    </row>
    <row r="6732">
      <c r="C6732" s="15"/>
      <c r="E6732" s="8"/>
      <c r="G6732" s="8"/>
      <c r="J6732" s="8"/>
    </row>
    <row r="6733">
      <c r="C6733" s="15"/>
      <c r="E6733" s="8"/>
      <c r="G6733" s="8"/>
      <c r="J6733" s="8"/>
    </row>
    <row r="6734">
      <c r="C6734" s="15"/>
      <c r="E6734" s="8"/>
      <c r="G6734" s="8"/>
      <c r="J6734" s="8"/>
    </row>
    <row r="6735">
      <c r="C6735" s="15"/>
      <c r="E6735" s="8"/>
      <c r="G6735" s="8"/>
      <c r="J6735" s="8"/>
    </row>
    <row r="6736">
      <c r="C6736" s="15"/>
      <c r="E6736" s="8"/>
      <c r="G6736" s="8"/>
      <c r="J6736" s="8"/>
    </row>
    <row r="6737">
      <c r="C6737" s="15"/>
      <c r="E6737" s="8"/>
      <c r="G6737" s="8"/>
      <c r="J6737" s="8"/>
    </row>
    <row r="6738">
      <c r="C6738" s="15"/>
      <c r="E6738" s="8"/>
      <c r="G6738" s="8"/>
      <c r="J6738" s="8"/>
    </row>
    <row r="6739">
      <c r="C6739" s="15"/>
      <c r="E6739" s="8"/>
      <c r="G6739" s="8"/>
      <c r="J6739" s="8"/>
    </row>
    <row r="6740">
      <c r="C6740" s="15"/>
      <c r="E6740" s="8"/>
      <c r="G6740" s="8"/>
      <c r="J6740" s="8"/>
    </row>
    <row r="6741">
      <c r="C6741" s="15"/>
      <c r="E6741" s="8"/>
      <c r="G6741" s="8"/>
      <c r="J6741" s="8"/>
    </row>
    <row r="6742">
      <c r="C6742" s="15"/>
      <c r="E6742" s="8"/>
      <c r="G6742" s="8"/>
      <c r="J6742" s="8"/>
    </row>
    <row r="6743">
      <c r="C6743" s="15"/>
      <c r="E6743" s="8"/>
      <c r="G6743" s="8"/>
      <c r="J6743" s="8"/>
    </row>
    <row r="6744">
      <c r="C6744" s="15"/>
      <c r="E6744" s="8"/>
      <c r="G6744" s="8"/>
      <c r="J6744" s="8"/>
    </row>
    <row r="6745">
      <c r="C6745" s="15"/>
      <c r="E6745" s="8"/>
      <c r="G6745" s="8"/>
      <c r="J6745" s="8"/>
    </row>
    <row r="6746">
      <c r="C6746" s="15"/>
      <c r="E6746" s="8"/>
      <c r="G6746" s="8"/>
      <c r="J6746" s="8"/>
    </row>
    <row r="6747">
      <c r="C6747" s="15"/>
      <c r="E6747" s="8"/>
      <c r="G6747" s="8"/>
      <c r="J6747" s="8"/>
    </row>
    <row r="6748">
      <c r="C6748" s="15"/>
      <c r="E6748" s="8"/>
      <c r="G6748" s="8"/>
      <c r="J6748" s="8"/>
    </row>
    <row r="6749">
      <c r="C6749" s="15"/>
      <c r="E6749" s="8"/>
      <c r="G6749" s="8"/>
      <c r="J6749" s="8"/>
    </row>
    <row r="6750">
      <c r="C6750" s="15"/>
      <c r="E6750" s="8"/>
      <c r="G6750" s="8"/>
      <c r="J6750" s="8"/>
    </row>
    <row r="6751">
      <c r="C6751" s="15"/>
      <c r="E6751" s="8"/>
      <c r="G6751" s="8"/>
      <c r="J6751" s="8"/>
    </row>
    <row r="6752">
      <c r="C6752" s="15"/>
      <c r="E6752" s="8"/>
      <c r="G6752" s="8"/>
      <c r="J6752" s="8"/>
    </row>
    <row r="6753">
      <c r="C6753" s="15"/>
      <c r="E6753" s="8"/>
      <c r="G6753" s="8"/>
      <c r="J6753" s="8"/>
    </row>
    <row r="6754">
      <c r="C6754" s="15"/>
      <c r="E6754" s="8"/>
      <c r="G6754" s="8"/>
      <c r="J6754" s="8"/>
    </row>
    <row r="6755">
      <c r="C6755" s="15"/>
      <c r="E6755" s="8"/>
      <c r="G6755" s="8"/>
      <c r="J6755" s="8"/>
    </row>
    <row r="6756">
      <c r="C6756" s="15"/>
      <c r="E6756" s="8"/>
      <c r="G6756" s="8"/>
      <c r="J6756" s="8"/>
    </row>
    <row r="6757">
      <c r="C6757" s="15"/>
      <c r="E6757" s="8"/>
      <c r="G6757" s="8"/>
      <c r="J6757" s="8"/>
    </row>
    <row r="6758">
      <c r="C6758" s="15"/>
      <c r="E6758" s="8"/>
      <c r="G6758" s="8"/>
      <c r="J6758" s="8"/>
    </row>
    <row r="6759">
      <c r="C6759" s="15"/>
      <c r="E6759" s="8"/>
      <c r="G6759" s="8"/>
      <c r="J6759" s="8"/>
    </row>
    <row r="6760">
      <c r="C6760" s="15"/>
      <c r="E6760" s="8"/>
      <c r="G6760" s="8"/>
      <c r="J6760" s="8"/>
    </row>
    <row r="6761">
      <c r="C6761" s="15"/>
      <c r="E6761" s="8"/>
      <c r="G6761" s="8"/>
      <c r="J6761" s="8"/>
    </row>
    <row r="6762">
      <c r="C6762" s="15"/>
      <c r="E6762" s="8"/>
      <c r="G6762" s="8"/>
      <c r="J6762" s="8"/>
    </row>
    <row r="6763">
      <c r="C6763" s="15"/>
      <c r="E6763" s="8"/>
      <c r="G6763" s="8"/>
      <c r="J6763" s="8"/>
    </row>
    <row r="6764">
      <c r="C6764" s="15"/>
      <c r="E6764" s="8"/>
      <c r="G6764" s="8"/>
      <c r="J6764" s="8"/>
    </row>
    <row r="6765">
      <c r="C6765" s="15"/>
      <c r="E6765" s="8"/>
      <c r="G6765" s="8"/>
      <c r="J6765" s="8"/>
    </row>
    <row r="6766">
      <c r="C6766" s="15"/>
      <c r="E6766" s="8"/>
      <c r="G6766" s="8"/>
      <c r="J6766" s="8"/>
    </row>
    <row r="6767">
      <c r="C6767" s="15"/>
      <c r="E6767" s="8"/>
      <c r="G6767" s="8"/>
      <c r="J6767" s="8"/>
    </row>
    <row r="6768">
      <c r="C6768" s="15"/>
      <c r="E6768" s="8"/>
      <c r="G6768" s="8"/>
      <c r="J6768" s="8"/>
    </row>
    <row r="6769">
      <c r="C6769" s="15"/>
      <c r="E6769" s="8"/>
      <c r="G6769" s="8"/>
      <c r="J6769" s="8"/>
    </row>
    <row r="6770">
      <c r="C6770" s="15"/>
      <c r="E6770" s="8"/>
      <c r="G6770" s="8"/>
      <c r="J6770" s="8"/>
    </row>
    <row r="6771">
      <c r="C6771" s="15"/>
      <c r="E6771" s="8"/>
      <c r="G6771" s="8"/>
      <c r="J6771" s="8"/>
    </row>
    <row r="6772">
      <c r="C6772" s="15"/>
      <c r="E6772" s="8"/>
      <c r="G6772" s="8"/>
      <c r="J6772" s="8"/>
    </row>
    <row r="6773">
      <c r="C6773" s="15"/>
      <c r="E6773" s="8"/>
      <c r="G6773" s="8"/>
      <c r="J6773" s="8"/>
    </row>
    <row r="6774">
      <c r="C6774" s="15"/>
      <c r="E6774" s="8"/>
      <c r="G6774" s="8"/>
      <c r="J6774" s="8"/>
    </row>
    <row r="6775">
      <c r="C6775" s="15"/>
      <c r="E6775" s="8"/>
      <c r="G6775" s="8"/>
      <c r="J6775" s="8"/>
    </row>
    <row r="6776">
      <c r="C6776" s="15"/>
      <c r="E6776" s="8"/>
      <c r="G6776" s="8"/>
      <c r="J6776" s="8"/>
    </row>
    <row r="6777">
      <c r="C6777" s="15"/>
      <c r="E6777" s="8"/>
      <c r="G6777" s="8"/>
      <c r="J6777" s="8"/>
    </row>
    <row r="6778">
      <c r="C6778" s="15"/>
      <c r="E6778" s="8"/>
      <c r="G6778" s="8"/>
      <c r="J6778" s="8"/>
    </row>
    <row r="6779">
      <c r="C6779" s="15"/>
      <c r="E6779" s="8"/>
      <c r="G6779" s="8"/>
      <c r="J6779" s="8"/>
    </row>
    <row r="6780">
      <c r="C6780" s="15"/>
      <c r="E6780" s="8"/>
      <c r="G6780" s="8"/>
      <c r="J6780" s="8"/>
    </row>
    <row r="6781">
      <c r="C6781" s="15"/>
      <c r="E6781" s="8"/>
      <c r="G6781" s="8"/>
      <c r="J6781" s="8"/>
    </row>
    <row r="6782">
      <c r="C6782" s="15"/>
      <c r="E6782" s="8"/>
      <c r="G6782" s="8"/>
      <c r="J6782" s="8"/>
    </row>
    <row r="6783">
      <c r="C6783" s="15"/>
      <c r="E6783" s="8"/>
      <c r="G6783" s="8"/>
      <c r="J6783" s="8"/>
    </row>
    <row r="6784">
      <c r="C6784" s="15"/>
      <c r="E6784" s="8"/>
      <c r="G6784" s="8"/>
      <c r="J6784" s="8"/>
    </row>
    <row r="6785">
      <c r="C6785" s="15"/>
      <c r="E6785" s="8"/>
      <c r="G6785" s="8"/>
      <c r="J6785" s="8"/>
    </row>
    <row r="6786">
      <c r="C6786" s="15"/>
      <c r="E6786" s="8"/>
      <c r="G6786" s="8"/>
      <c r="J6786" s="8"/>
    </row>
    <row r="6787">
      <c r="C6787" s="15"/>
      <c r="E6787" s="8"/>
      <c r="G6787" s="8"/>
      <c r="J6787" s="8"/>
    </row>
    <row r="6788">
      <c r="C6788" s="15"/>
      <c r="E6788" s="8"/>
      <c r="G6788" s="8"/>
      <c r="J6788" s="8"/>
    </row>
    <row r="6789">
      <c r="C6789" s="15"/>
      <c r="E6789" s="8"/>
      <c r="G6789" s="8"/>
      <c r="J6789" s="8"/>
    </row>
    <row r="6790">
      <c r="C6790" s="15"/>
      <c r="E6790" s="8"/>
      <c r="G6790" s="8"/>
      <c r="J6790" s="8"/>
    </row>
    <row r="6791">
      <c r="C6791" s="15"/>
      <c r="E6791" s="8"/>
      <c r="G6791" s="8"/>
      <c r="J6791" s="8"/>
    </row>
    <row r="6792">
      <c r="C6792" s="15"/>
      <c r="E6792" s="8"/>
      <c r="G6792" s="8"/>
      <c r="J6792" s="8"/>
    </row>
    <row r="6793">
      <c r="C6793" s="15"/>
      <c r="E6793" s="8"/>
      <c r="G6793" s="8"/>
      <c r="J6793" s="8"/>
    </row>
    <row r="6794">
      <c r="C6794" s="15"/>
      <c r="E6794" s="8"/>
      <c r="G6794" s="8"/>
      <c r="J6794" s="8"/>
    </row>
    <row r="6795">
      <c r="C6795" s="15"/>
      <c r="E6795" s="8"/>
      <c r="G6795" s="8"/>
      <c r="J6795" s="8"/>
    </row>
    <row r="6796">
      <c r="C6796" s="15"/>
      <c r="E6796" s="8"/>
      <c r="G6796" s="8"/>
      <c r="J6796" s="8"/>
    </row>
    <row r="6797">
      <c r="C6797" s="15"/>
      <c r="E6797" s="8"/>
      <c r="G6797" s="8"/>
      <c r="J6797" s="8"/>
    </row>
    <row r="6798">
      <c r="C6798" s="15"/>
      <c r="E6798" s="8"/>
      <c r="G6798" s="8"/>
      <c r="J6798" s="8"/>
    </row>
    <row r="6799">
      <c r="C6799" s="15"/>
      <c r="E6799" s="8"/>
      <c r="G6799" s="8"/>
      <c r="J6799" s="8"/>
    </row>
    <row r="6800">
      <c r="C6800" s="15"/>
      <c r="E6800" s="8"/>
      <c r="G6800" s="8"/>
      <c r="J6800" s="8"/>
    </row>
    <row r="6801">
      <c r="C6801" s="15"/>
      <c r="E6801" s="8"/>
      <c r="G6801" s="8"/>
      <c r="J6801" s="8"/>
    </row>
    <row r="6802">
      <c r="C6802" s="15"/>
      <c r="E6802" s="8"/>
      <c r="G6802" s="8"/>
      <c r="J6802" s="8"/>
    </row>
    <row r="6803">
      <c r="C6803" s="15"/>
      <c r="E6803" s="8"/>
      <c r="G6803" s="8"/>
      <c r="J6803" s="8"/>
    </row>
    <row r="6804">
      <c r="C6804" s="15"/>
      <c r="E6804" s="8"/>
      <c r="G6804" s="8"/>
      <c r="J6804" s="8"/>
    </row>
    <row r="6805">
      <c r="C6805" s="15"/>
      <c r="E6805" s="8"/>
      <c r="G6805" s="8"/>
      <c r="J6805" s="8"/>
    </row>
    <row r="6806">
      <c r="C6806" s="15"/>
      <c r="E6806" s="8"/>
      <c r="G6806" s="8"/>
      <c r="J6806" s="8"/>
    </row>
    <row r="6807">
      <c r="C6807" s="15"/>
      <c r="E6807" s="8"/>
      <c r="G6807" s="8"/>
      <c r="J6807" s="8"/>
    </row>
    <row r="6808">
      <c r="C6808" s="15"/>
      <c r="E6808" s="8"/>
      <c r="G6808" s="8"/>
      <c r="J6808" s="8"/>
    </row>
    <row r="6809">
      <c r="C6809" s="15"/>
      <c r="E6809" s="8"/>
      <c r="G6809" s="8"/>
      <c r="J6809" s="8"/>
    </row>
    <row r="6810">
      <c r="C6810" s="15"/>
      <c r="E6810" s="8"/>
      <c r="G6810" s="8"/>
      <c r="J6810" s="8"/>
    </row>
    <row r="6811">
      <c r="C6811" s="15"/>
      <c r="E6811" s="8"/>
      <c r="G6811" s="8"/>
      <c r="J6811" s="8"/>
    </row>
    <row r="6812">
      <c r="C6812" s="15"/>
      <c r="E6812" s="8"/>
      <c r="G6812" s="8"/>
      <c r="J6812" s="8"/>
    </row>
    <row r="6813">
      <c r="C6813" s="15"/>
      <c r="E6813" s="8"/>
      <c r="G6813" s="8"/>
      <c r="J6813" s="8"/>
    </row>
    <row r="6814">
      <c r="C6814" s="15"/>
      <c r="E6814" s="8"/>
      <c r="G6814" s="8"/>
      <c r="J6814" s="8"/>
    </row>
    <row r="6815">
      <c r="C6815" s="15"/>
      <c r="E6815" s="8"/>
      <c r="G6815" s="8"/>
      <c r="J6815" s="8"/>
    </row>
    <row r="6816">
      <c r="C6816" s="15"/>
      <c r="E6816" s="8"/>
      <c r="G6816" s="8"/>
      <c r="J6816" s="8"/>
    </row>
    <row r="6817">
      <c r="C6817" s="15"/>
      <c r="E6817" s="8"/>
      <c r="G6817" s="8"/>
      <c r="J6817" s="8"/>
    </row>
    <row r="6818">
      <c r="C6818" s="15"/>
      <c r="E6818" s="8"/>
      <c r="G6818" s="8"/>
      <c r="J6818" s="8"/>
    </row>
    <row r="6819">
      <c r="C6819" s="15"/>
      <c r="E6819" s="8"/>
      <c r="G6819" s="8"/>
      <c r="J6819" s="8"/>
    </row>
    <row r="6820">
      <c r="C6820" s="15"/>
      <c r="E6820" s="8"/>
      <c r="G6820" s="8"/>
      <c r="J6820" s="8"/>
    </row>
    <row r="6821">
      <c r="C6821" s="15"/>
      <c r="E6821" s="8"/>
      <c r="G6821" s="8"/>
      <c r="J6821" s="8"/>
    </row>
    <row r="6822">
      <c r="C6822" s="15"/>
      <c r="E6822" s="8"/>
      <c r="G6822" s="8"/>
      <c r="J6822" s="8"/>
    </row>
    <row r="6823">
      <c r="C6823" s="15"/>
      <c r="E6823" s="8"/>
      <c r="G6823" s="8"/>
      <c r="J6823" s="8"/>
    </row>
    <row r="6824">
      <c r="C6824" s="15"/>
      <c r="E6824" s="8"/>
      <c r="G6824" s="8"/>
      <c r="J6824" s="8"/>
    </row>
    <row r="6825">
      <c r="C6825" s="15"/>
      <c r="E6825" s="8"/>
      <c r="G6825" s="8"/>
      <c r="J6825" s="8"/>
    </row>
    <row r="6826">
      <c r="C6826" s="15"/>
      <c r="E6826" s="8"/>
      <c r="G6826" s="8"/>
      <c r="J6826" s="8"/>
    </row>
    <row r="6827">
      <c r="C6827" s="15"/>
      <c r="E6827" s="8"/>
      <c r="G6827" s="8"/>
      <c r="J6827" s="8"/>
    </row>
    <row r="6828">
      <c r="C6828" s="15"/>
      <c r="E6828" s="8"/>
      <c r="G6828" s="8"/>
      <c r="J6828" s="8"/>
    </row>
    <row r="6829">
      <c r="C6829" s="15"/>
      <c r="E6829" s="8"/>
      <c r="G6829" s="8"/>
      <c r="J6829" s="8"/>
    </row>
    <row r="6830">
      <c r="C6830" s="15"/>
      <c r="E6830" s="8"/>
      <c r="G6830" s="8"/>
      <c r="J6830" s="8"/>
    </row>
    <row r="6831">
      <c r="C6831" s="15"/>
      <c r="E6831" s="8"/>
      <c r="G6831" s="8"/>
      <c r="J6831" s="8"/>
    </row>
    <row r="6832">
      <c r="C6832" s="15"/>
      <c r="E6832" s="8"/>
      <c r="G6832" s="8"/>
      <c r="J6832" s="8"/>
    </row>
    <row r="6833">
      <c r="C6833" s="15"/>
      <c r="E6833" s="8"/>
      <c r="G6833" s="8"/>
      <c r="J6833" s="8"/>
    </row>
    <row r="6834">
      <c r="C6834" s="15"/>
      <c r="E6834" s="8"/>
      <c r="G6834" s="8"/>
      <c r="J6834" s="8"/>
    </row>
    <row r="6835">
      <c r="C6835" s="15"/>
      <c r="E6835" s="8"/>
      <c r="G6835" s="8"/>
      <c r="J6835" s="8"/>
    </row>
    <row r="6836">
      <c r="C6836" s="15"/>
      <c r="E6836" s="8"/>
      <c r="G6836" s="8"/>
      <c r="J6836" s="8"/>
    </row>
    <row r="6837">
      <c r="C6837" s="15"/>
      <c r="E6837" s="8"/>
      <c r="G6837" s="8"/>
      <c r="J6837" s="8"/>
    </row>
    <row r="6838">
      <c r="C6838" s="15"/>
      <c r="E6838" s="8"/>
      <c r="G6838" s="8"/>
      <c r="J6838" s="8"/>
    </row>
    <row r="6839">
      <c r="C6839" s="15"/>
      <c r="E6839" s="8"/>
      <c r="G6839" s="8"/>
      <c r="J6839" s="8"/>
    </row>
    <row r="6840">
      <c r="C6840" s="15"/>
      <c r="E6840" s="8"/>
      <c r="G6840" s="8"/>
      <c r="J6840" s="8"/>
    </row>
    <row r="6841">
      <c r="C6841" s="15"/>
      <c r="E6841" s="8"/>
      <c r="G6841" s="8"/>
      <c r="J6841" s="8"/>
    </row>
    <row r="6842">
      <c r="C6842" s="15"/>
      <c r="E6842" s="8"/>
      <c r="G6842" s="8"/>
      <c r="J6842" s="8"/>
    </row>
    <row r="6843">
      <c r="C6843" s="15"/>
      <c r="E6843" s="8"/>
      <c r="G6843" s="8"/>
      <c r="J6843" s="8"/>
    </row>
    <row r="6844">
      <c r="C6844" s="15"/>
      <c r="E6844" s="8"/>
      <c r="G6844" s="8"/>
      <c r="J6844" s="8"/>
    </row>
    <row r="6845">
      <c r="C6845" s="15"/>
      <c r="E6845" s="8"/>
      <c r="G6845" s="8"/>
      <c r="J6845" s="8"/>
    </row>
    <row r="6846">
      <c r="C6846" s="15"/>
      <c r="E6846" s="8"/>
      <c r="G6846" s="8"/>
      <c r="J6846" s="8"/>
    </row>
    <row r="6847">
      <c r="C6847" s="15"/>
      <c r="E6847" s="8"/>
      <c r="G6847" s="8"/>
      <c r="J6847" s="8"/>
    </row>
    <row r="6848">
      <c r="C6848" s="15"/>
      <c r="E6848" s="8"/>
      <c r="G6848" s="8"/>
      <c r="J6848" s="8"/>
    </row>
    <row r="6849">
      <c r="C6849" s="15"/>
      <c r="E6849" s="8"/>
      <c r="G6849" s="8"/>
      <c r="J6849" s="8"/>
    </row>
    <row r="6850">
      <c r="C6850" s="15"/>
      <c r="E6850" s="8"/>
      <c r="G6850" s="8"/>
      <c r="J6850" s="8"/>
    </row>
    <row r="6851">
      <c r="C6851" s="15"/>
      <c r="E6851" s="8"/>
      <c r="G6851" s="8"/>
      <c r="J6851" s="8"/>
    </row>
    <row r="6852">
      <c r="C6852" s="15"/>
      <c r="E6852" s="8"/>
      <c r="G6852" s="8"/>
      <c r="J6852" s="8"/>
    </row>
    <row r="6853">
      <c r="C6853" s="15"/>
      <c r="E6853" s="8"/>
      <c r="G6853" s="8"/>
      <c r="J6853" s="8"/>
    </row>
    <row r="6854">
      <c r="C6854" s="15"/>
      <c r="E6854" s="8"/>
      <c r="G6854" s="8"/>
      <c r="J6854" s="8"/>
    </row>
    <row r="6855">
      <c r="C6855" s="15"/>
      <c r="E6855" s="8"/>
      <c r="G6855" s="8"/>
      <c r="J6855" s="8"/>
    </row>
    <row r="6856">
      <c r="C6856" s="15"/>
      <c r="E6856" s="8"/>
      <c r="G6856" s="8"/>
      <c r="J6856" s="8"/>
    </row>
    <row r="6857">
      <c r="C6857" s="15"/>
      <c r="E6857" s="8"/>
      <c r="G6857" s="8"/>
      <c r="J6857" s="8"/>
    </row>
    <row r="6858">
      <c r="C6858" s="15"/>
      <c r="E6858" s="8"/>
      <c r="G6858" s="8"/>
      <c r="J6858" s="8"/>
    </row>
    <row r="6859">
      <c r="C6859" s="15"/>
      <c r="E6859" s="8"/>
      <c r="G6859" s="8"/>
      <c r="J6859" s="8"/>
    </row>
    <row r="6860">
      <c r="C6860" s="15"/>
      <c r="E6860" s="8"/>
      <c r="G6860" s="8"/>
      <c r="J6860" s="8"/>
    </row>
    <row r="6861">
      <c r="C6861" s="15"/>
      <c r="E6861" s="8"/>
      <c r="G6861" s="8"/>
      <c r="J6861" s="8"/>
    </row>
    <row r="6862">
      <c r="C6862" s="15"/>
      <c r="E6862" s="8"/>
      <c r="G6862" s="8"/>
      <c r="J6862" s="8"/>
    </row>
    <row r="6863">
      <c r="C6863" s="15"/>
      <c r="E6863" s="8"/>
      <c r="G6863" s="8"/>
      <c r="J6863" s="8"/>
    </row>
    <row r="6864">
      <c r="C6864" s="15"/>
      <c r="E6864" s="8"/>
      <c r="G6864" s="8"/>
      <c r="J6864" s="8"/>
    </row>
    <row r="6865">
      <c r="C6865" s="15"/>
      <c r="E6865" s="8"/>
      <c r="G6865" s="8"/>
      <c r="J6865" s="8"/>
    </row>
    <row r="6866">
      <c r="C6866" s="15"/>
      <c r="E6866" s="8"/>
      <c r="G6866" s="8"/>
      <c r="J6866" s="8"/>
    </row>
    <row r="6867">
      <c r="C6867" s="15"/>
      <c r="E6867" s="8"/>
      <c r="G6867" s="8"/>
      <c r="J6867" s="8"/>
    </row>
    <row r="6868">
      <c r="C6868" s="15"/>
      <c r="E6868" s="8"/>
      <c r="G6868" s="8"/>
      <c r="J6868" s="8"/>
    </row>
    <row r="6869">
      <c r="C6869" s="15"/>
      <c r="E6869" s="8"/>
      <c r="G6869" s="8"/>
      <c r="J6869" s="8"/>
    </row>
    <row r="6870">
      <c r="C6870" s="15"/>
      <c r="E6870" s="8"/>
      <c r="G6870" s="8"/>
      <c r="J6870" s="8"/>
    </row>
    <row r="6871">
      <c r="C6871" s="15"/>
      <c r="E6871" s="8"/>
      <c r="G6871" s="8"/>
      <c r="J6871" s="8"/>
    </row>
    <row r="6872">
      <c r="C6872" s="15"/>
      <c r="E6872" s="8"/>
      <c r="G6872" s="8"/>
      <c r="J6872" s="8"/>
    </row>
    <row r="6873">
      <c r="C6873" s="15"/>
      <c r="E6873" s="8"/>
      <c r="G6873" s="8"/>
      <c r="J6873" s="8"/>
    </row>
    <row r="6874">
      <c r="C6874" s="15"/>
      <c r="E6874" s="8"/>
      <c r="G6874" s="8"/>
      <c r="J6874" s="8"/>
    </row>
    <row r="6875">
      <c r="C6875" s="15"/>
      <c r="E6875" s="8"/>
      <c r="G6875" s="8"/>
      <c r="J6875" s="8"/>
    </row>
    <row r="6876">
      <c r="C6876" s="15"/>
      <c r="E6876" s="8"/>
      <c r="G6876" s="8"/>
      <c r="J6876" s="8"/>
    </row>
    <row r="6877">
      <c r="C6877" s="15"/>
      <c r="E6877" s="8"/>
      <c r="G6877" s="8"/>
      <c r="J6877" s="8"/>
    </row>
    <row r="6878">
      <c r="C6878" s="15"/>
      <c r="E6878" s="8"/>
      <c r="G6878" s="8"/>
      <c r="J6878" s="8"/>
    </row>
    <row r="6879">
      <c r="C6879" s="15"/>
      <c r="E6879" s="8"/>
      <c r="G6879" s="8"/>
      <c r="J6879" s="8"/>
    </row>
    <row r="6880">
      <c r="C6880" s="15"/>
      <c r="E6880" s="8"/>
      <c r="G6880" s="8"/>
      <c r="J6880" s="8"/>
    </row>
    <row r="6881">
      <c r="C6881" s="15"/>
      <c r="E6881" s="8"/>
      <c r="G6881" s="8"/>
      <c r="J6881" s="8"/>
    </row>
    <row r="6882">
      <c r="C6882" s="15"/>
      <c r="E6882" s="8"/>
      <c r="G6882" s="8"/>
      <c r="J6882" s="8"/>
    </row>
    <row r="6883">
      <c r="C6883" s="15"/>
      <c r="E6883" s="8"/>
      <c r="G6883" s="8"/>
      <c r="J6883" s="8"/>
    </row>
    <row r="6884">
      <c r="C6884" s="15"/>
      <c r="E6884" s="8"/>
      <c r="G6884" s="8"/>
      <c r="J6884" s="8"/>
    </row>
    <row r="6885">
      <c r="C6885" s="15"/>
      <c r="E6885" s="8"/>
      <c r="G6885" s="8"/>
      <c r="J6885" s="8"/>
    </row>
    <row r="6886">
      <c r="C6886" s="15"/>
      <c r="E6886" s="8"/>
      <c r="G6886" s="8"/>
      <c r="J6886" s="8"/>
    </row>
    <row r="6887">
      <c r="C6887" s="15"/>
      <c r="E6887" s="8"/>
      <c r="G6887" s="8"/>
      <c r="J6887" s="8"/>
    </row>
    <row r="6888">
      <c r="C6888" s="15"/>
      <c r="E6888" s="8"/>
      <c r="G6888" s="8"/>
      <c r="J6888" s="8"/>
    </row>
    <row r="6889">
      <c r="C6889" s="15"/>
      <c r="E6889" s="8"/>
      <c r="G6889" s="8"/>
      <c r="J6889" s="8"/>
    </row>
    <row r="6890">
      <c r="C6890" s="15"/>
      <c r="E6890" s="8"/>
      <c r="G6890" s="8"/>
      <c r="J6890" s="8"/>
    </row>
    <row r="6891">
      <c r="C6891" s="15"/>
      <c r="E6891" s="8"/>
      <c r="G6891" s="8"/>
      <c r="J6891" s="8"/>
    </row>
    <row r="6892">
      <c r="C6892" s="15"/>
      <c r="E6892" s="8"/>
      <c r="G6892" s="8"/>
      <c r="J6892" s="8"/>
    </row>
    <row r="6893">
      <c r="C6893" s="15"/>
      <c r="E6893" s="8"/>
      <c r="G6893" s="8"/>
      <c r="J6893" s="8"/>
    </row>
    <row r="6894">
      <c r="C6894" s="15"/>
      <c r="E6894" s="8"/>
      <c r="G6894" s="8"/>
      <c r="J6894" s="8"/>
    </row>
    <row r="6895">
      <c r="C6895" s="15"/>
      <c r="E6895" s="8"/>
      <c r="G6895" s="8"/>
      <c r="J6895" s="8"/>
    </row>
    <row r="6896">
      <c r="C6896" s="15"/>
      <c r="E6896" s="8"/>
      <c r="G6896" s="8"/>
      <c r="J6896" s="8"/>
    </row>
    <row r="6897">
      <c r="C6897" s="15"/>
      <c r="E6897" s="8"/>
      <c r="G6897" s="8"/>
      <c r="J6897" s="8"/>
    </row>
    <row r="6898">
      <c r="C6898" s="15"/>
      <c r="E6898" s="8"/>
      <c r="G6898" s="8"/>
      <c r="J6898" s="8"/>
    </row>
    <row r="6899">
      <c r="C6899" s="15"/>
      <c r="E6899" s="8"/>
      <c r="G6899" s="8"/>
      <c r="J6899" s="8"/>
    </row>
    <row r="6900">
      <c r="C6900" s="15"/>
      <c r="E6900" s="8"/>
      <c r="G6900" s="8"/>
      <c r="J6900" s="8"/>
    </row>
    <row r="6901">
      <c r="C6901" s="15"/>
      <c r="E6901" s="8"/>
      <c r="G6901" s="8"/>
      <c r="J6901" s="8"/>
    </row>
    <row r="6902">
      <c r="C6902" s="15"/>
      <c r="E6902" s="8"/>
      <c r="G6902" s="8"/>
      <c r="J6902" s="8"/>
    </row>
    <row r="6903">
      <c r="C6903" s="15"/>
      <c r="E6903" s="8"/>
      <c r="G6903" s="8"/>
      <c r="J6903" s="8"/>
    </row>
    <row r="6904">
      <c r="C6904" s="15"/>
      <c r="E6904" s="8"/>
      <c r="G6904" s="8"/>
      <c r="J6904" s="8"/>
    </row>
    <row r="6905">
      <c r="C6905" s="15"/>
      <c r="E6905" s="8"/>
      <c r="G6905" s="8"/>
      <c r="J6905" s="8"/>
    </row>
    <row r="6906">
      <c r="C6906" s="15"/>
      <c r="E6906" s="8"/>
      <c r="G6906" s="8"/>
      <c r="J6906" s="8"/>
    </row>
    <row r="6907">
      <c r="C6907" s="15"/>
      <c r="E6907" s="8"/>
      <c r="G6907" s="8"/>
      <c r="J6907" s="8"/>
    </row>
    <row r="6908">
      <c r="C6908" s="15"/>
      <c r="E6908" s="8"/>
      <c r="G6908" s="8"/>
      <c r="J6908" s="8"/>
    </row>
    <row r="6909">
      <c r="C6909" s="15"/>
      <c r="E6909" s="8"/>
      <c r="G6909" s="8"/>
      <c r="J6909" s="8"/>
    </row>
    <row r="6910">
      <c r="C6910" s="15"/>
      <c r="E6910" s="8"/>
      <c r="G6910" s="8"/>
      <c r="J6910" s="8"/>
    </row>
    <row r="6911">
      <c r="C6911" s="15"/>
      <c r="E6911" s="8"/>
      <c r="G6911" s="8"/>
      <c r="J6911" s="8"/>
    </row>
    <row r="6912">
      <c r="C6912" s="15"/>
      <c r="E6912" s="8"/>
      <c r="G6912" s="8"/>
      <c r="J6912" s="8"/>
    </row>
    <row r="6913">
      <c r="C6913" s="15"/>
      <c r="E6913" s="8"/>
      <c r="G6913" s="8"/>
      <c r="J6913" s="8"/>
    </row>
    <row r="6914">
      <c r="C6914" s="15"/>
      <c r="E6914" s="8"/>
      <c r="G6914" s="8"/>
      <c r="J6914" s="8"/>
    </row>
    <row r="6915">
      <c r="C6915" s="15"/>
      <c r="E6915" s="8"/>
      <c r="G6915" s="8"/>
      <c r="J6915" s="8"/>
    </row>
    <row r="6916">
      <c r="C6916" s="15"/>
      <c r="E6916" s="8"/>
      <c r="G6916" s="8"/>
      <c r="J6916" s="8"/>
    </row>
    <row r="6917">
      <c r="C6917" s="15"/>
      <c r="E6917" s="8"/>
      <c r="G6917" s="8"/>
      <c r="J6917" s="8"/>
    </row>
    <row r="6918">
      <c r="C6918" s="15"/>
      <c r="E6918" s="8"/>
      <c r="G6918" s="8"/>
      <c r="J6918" s="8"/>
    </row>
    <row r="6919">
      <c r="C6919" s="15"/>
      <c r="E6919" s="8"/>
      <c r="G6919" s="8"/>
      <c r="J6919" s="8"/>
    </row>
    <row r="6920">
      <c r="C6920" s="15"/>
      <c r="E6920" s="8"/>
      <c r="G6920" s="8"/>
      <c r="J6920" s="8"/>
    </row>
    <row r="6921">
      <c r="C6921" s="15"/>
      <c r="E6921" s="8"/>
      <c r="G6921" s="8"/>
      <c r="J6921" s="8"/>
    </row>
    <row r="6922">
      <c r="C6922" s="15"/>
      <c r="E6922" s="8"/>
      <c r="G6922" s="8"/>
      <c r="J6922" s="8"/>
    </row>
    <row r="6923">
      <c r="C6923" s="15"/>
      <c r="E6923" s="8"/>
      <c r="G6923" s="8"/>
      <c r="J6923" s="8"/>
    </row>
    <row r="6924">
      <c r="C6924" s="15"/>
      <c r="E6924" s="8"/>
      <c r="G6924" s="8"/>
      <c r="J6924" s="8"/>
    </row>
    <row r="6925">
      <c r="C6925" s="15"/>
      <c r="E6925" s="8"/>
      <c r="G6925" s="8"/>
      <c r="J6925" s="8"/>
    </row>
    <row r="6926">
      <c r="C6926" s="15"/>
      <c r="E6926" s="8"/>
      <c r="G6926" s="8"/>
      <c r="J6926" s="8"/>
    </row>
    <row r="6927">
      <c r="C6927" s="15"/>
      <c r="E6927" s="8"/>
      <c r="G6927" s="8"/>
      <c r="J6927" s="8"/>
    </row>
    <row r="6928">
      <c r="C6928" s="15"/>
      <c r="E6928" s="8"/>
      <c r="G6928" s="8"/>
      <c r="J6928" s="8"/>
    </row>
    <row r="6929">
      <c r="C6929" s="15"/>
      <c r="E6929" s="8"/>
      <c r="G6929" s="8"/>
      <c r="J6929" s="8"/>
    </row>
    <row r="6930">
      <c r="C6930" s="15"/>
      <c r="E6930" s="8"/>
      <c r="G6930" s="8"/>
      <c r="J6930" s="8"/>
    </row>
    <row r="6931">
      <c r="C6931" s="15"/>
      <c r="E6931" s="8"/>
      <c r="G6931" s="8"/>
      <c r="J6931" s="8"/>
    </row>
    <row r="6932">
      <c r="C6932" s="15"/>
      <c r="E6932" s="8"/>
      <c r="G6932" s="8"/>
      <c r="J6932" s="8"/>
    </row>
    <row r="6933">
      <c r="C6933" s="15"/>
      <c r="E6933" s="8"/>
      <c r="G6933" s="8"/>
      <c r="J6933" s="8"/>
    </row>
    <row r="6934">
      <c r="C6934" s="15"/>
      <c r="E6934" s="8"/>
      <c r="G6934" s="8"/>
      <c r="J6934" s="8"/>
    </row>
    <row r="6935">
      <c r="C6935" s="15"/>
      <c r="E6935" s="8"/>
      <c r="G6935" s="8"/>
      <c r="J6935" s="8"/>
    </row>
    <row r="6936">
      <c r="C6936" s="15"/>
      <c r="E6936" s="8"/>
      <c r="G6936" s="8"/>
      <c r="J6936" s="8"/>
    </row>
    <row r="6937">
      <c r="C6937" s="15"/>
      <c r="E6937" s="8"/>
      <c r="G6937" s="8"/>
      <c r="J6937" s="8"/>
    </row>
    <row r="6938">
      <c r="C6938" s="15"/>
      <c r="E6938" s="8"/>
      <c r="G6938" s="8"/>
      <c r="J6938" s="8"/>
    </row>
    <row r="6939">
      <c r="C6939" s="15"/>
      <c r="E6939" s="8"/>
      <c r="G6939" s="8"/>
      <c r="J6939" s="8"/>
    </row>
    <row r="6940">
      <c r="C6940" s="15"/>
      <c r="E6940" s="8"/>
      <c r="G6940" s="8"/>
      <c r="J6940" s="8"/>
    </row>
    <row r="6941">
      <c r="C6941" s="15"/>
      <c r="E6941" s="8"/>
      <c r="G6941" s="8"/>
      <c r="J6941" s="8"/>
    </row>
    <row r="6942">
      <c r="C6942" s="15"/>
      <c r="E6942" s="8"/>
      <c r="G6942" s="8"/>
      <c r="J6942" s="8"/>
    </row>
    <row r="6943">
      <c r="C6943" s="15"/>
      <c r="E6943" s="8"/>
      <c r="G6943" s="8"/>
      <c r="J6943" s="8"/>
    </row>
    <row r="6944">
      <c r="C6944" s="15"/>
      <c r="E6944" s="8"/>
      <c r="G6944" s="8"/>
      <c r="J6944" s="8"/>
    </row>
    <row r="6945">
      <c r="C6945" s="15"/>
      <c r="E6945" s="8"/>
      <c r="G6945" s="8"/>
      <c r="J6945" s="8"/>
    </row>
    <row r="6946">
      <c r="C6946" s="15"/>
      <c r="E6946" s="8"/>
      <c r="G6946" s="8"/>
      <c r="J6946" s="8"/>
    </row>
    <row r="6947">
      <c r="C6947" s="15"/>
      <c r="E6947" s="8"/>
      <c r="G6947" s="8"/>
      <c r="J6947" s="8"/>
    </row>
    <row r="6948">
      <c r="C6948" s="15"/>
      <c r="E6948" s="8"/>
      <c r="G6948" s="8"/>
      <c r="J6948" s="8"/>
    </row>
    <row r="6949">
      <c r="C6949" s="15"/>
      <c r="E6949" s="8"/>
      <c r="G6949" s="8"/>
      <c r="J6949" s="8"/>
    </row>
    <row r="6950">
      <c r="C6950" s="15"/>
      <c r="E6950" s="8"/>
      <c r="G6950" s="8"/>
      <c r="J6950" s="8"/>
    </row>
    <row r="6951">
      <c r="C6951" s="15"/>
      <c r="E6951" s="8"/>
      <c r="G6951" s="8"/>
      <c r="J6951" s="8"/>
    </row>
    <row r="6952">
      <c r="C6952" s="15"/>
      <c r="E6952" s="8"/>
      <c r="G6952" s="8"/>
      <c r="J6952" s="8"/>
    </row>
    <row r="6953">
      <c r="C6953" s="15"/>
      <c r="E6953" s="8"/>
      <c r="G6953" s="8"/>
      <c r="J6953" s="8"/>
    </row>
    <row r="6954">
      <c r="C6954" s="15"/>
      <c r="E6954" s="8"/>
      <c r="G6954" s="8"/>
      <c r="J6954" s="8"/>
    </row>
    <row r="6955">
      <c r="C6955" s="15"/>
      <c r="E6955" s="8"/>
      <c r="G6955" s="8"/>
      <c r="J6955" s="8"/>
    </row>
    <row r="6956">
      <c r="C6956" s="15"/>
      <c r="E6956" s="8"/>
      <c r="G6956" s="8"/>
      <c r="J6956" s="8"/>
    </row>
    <row r="6957">
      <c r="C6957" s="15"/>
      <c r="E6957" s="8"/>
      <c r="G6957" s="8"/>
      <c r="J6957" s="8"/>
    </row>
    <row r="6958">
      <c r="C6958" s="15"/>
      <c r="E6958" s="8"/>
      <c r="G6958" s="8"/>
      <c r="J6958" s="8"/>
    </row>
    <row r="6959">
      <c r="C6959" s="15"/>
      <c r="E6959" s="8"/>
      <c r="G6959" s="8"/>
      <c r="J6959" s="8"/>
    </row>
    <row r="6960">
      <c r="C6960" s="15"/>
      <c r="E6960" s="8"/>
      <c r="G6960" s="8"/>
      <c r="J6960" s="8"/>
    </row>
    <row r="6961">
      <c r="C6961" s="15"/>
      <c r="E6961" s="8"/>
      <c r="G6961" s="8"/>
      <c r="J6961" s="8"/>
    </row>
    <row r="6962">
      <c r="C6962" s="15"/>
      <c r="E6962" s="8"/>
      <c r="G6962" s="8"/>
      <c r="J6962" s="8"/>
    </row>
    <row r="6963">
      <c r="C6963" s="15"/>
      <c r="E6963" s="8"/>
      <c r="G6963" s="8"/>
      <c r="J6963" s="8"/>
    </row>
    <row r="6964">
      <c r="C6964" s="15"/>
      <c r="E6964" s="8"/>
      <c r="G6964" s="8"/>
      <c r="J6964" s="8"/>
    </row>
    <row r="6965">
      <c r="C6965" s="15"/>
      <c r="E6965" s="8"/>
      <c r="G6965" s="8"/>
      <c r="J6965" s="8"/>
    </row>
    <row r="6966">
      <c r="C6966" s="15"/>
      <c r="E6966" s="8"/>
      <c r="G6966" s="8"/>
      <c r="J6966" s="8"/>
    </row>
    <row r="6967">
      <c r="C6967" s="15"/>
      <c r="E6967" s="8"/>
      <c r="G6967" s="8"/>
      <c r="J6967" s="8"/>
    </row>
    <row r="6968">
      <c r="C6968" s="15"/>
      <c r="E6968" s="8"/>
      <c r="G6968" s="8"/>
      <c r="J6968" s="8"/>
    </row>
    <row r="6969">
      <c r="C6969" s="15"/>
      <c r="E6969" s="8"/>
      <c r="G6969" s="8"/>
      <c r="J6969" s="8"/>
    </row>
    <row r="6970">
      <c r="C6970" s="15"/>
      <c r="E6970" s="8"/>
      <c r="G6970" s="8"/>
      <c r="J6970" s="8"/>
    </row>
    <row r="6971">
      <c r="C6971" s="15"/>
      <c r="E6971" s="8"/>
      <c r="G6971" s="8"/>
      <c r="J6971" s="8"/>
    </row>
    <row r="6972">
      <c r="C6972" s="15"/>
      <c r="E6972" s="8"/>
      <c r="G6972" s="8"/>
      <c r="J6972" s="8"/>
    </row>
    <row r="6973">
      <c r="C6973" s="15"/>
      <c r="E6973" s="8"/>
      <c r="G6973" s="8"/>
      <c r="J6973" s="8"/>
    </row>
    <row r="6974">
      <c r="C6974" s="15"/>
      <c r="E6974" s="8"/>
      <c r="G6974" s="8"/>
      <c r="J6974" s="8"/>
    </row>
    <row r="6975">
      <c r="C6975" s="15"/>
      <c r="E6975" s="8"/>
      <c r="G6975" s="8"/>
      <c r="J6975" s="8"/>
    </row>
    <row r="6976">
      <c r="C6976" s="15"/>
      <c r="E6976" s="8"/>
      <c r="G6976" s="8"/>
      <c r="J6976" s="8"/>
    </row>
    <row r="6977">
      <c r="C6977" s="15"/>
      <c r="E6977" s="8"/>
      <c r="G6977" s="8"/>
      <c r="J6977" s="8"/>
    </row>
    <row r="6978">
      <c r="C6978" s="15"/>
      <c r="E6978" s="8"/>
      <c r="G6978" s="8"/>
      <c r="J6978" s="8"/>
    </row>
    <row r="6979">
      <c r="C6979" s="15"/>
      <c r="E6979" s="8"/>
      <c r="G6979" s="8"/>
      <c r="J6979" s="8"/>
    </row>
    <row r="6980">
      <c r="C6980" s="15"/>
      <c r="E6980" s="8"/>
      <c r="G6980" s="8"/>
      <c r="J6980" s="8"/>
    </row>
    <row r="6981">
      <c r="C6981" s="15"/>
      <c r="E6981" s="8"/>
      <c r="G6981" s="8"/>
      <c r="J6981" s="8"/>
    </row>
    <row r="6982">
      <c r="C6982" s="15"/>
      <c r="E6982" s="8"/>
      <c r="G6982" s="8"/>
      <c r="J6982" s="8"/>
    </row>
    <row r="6983">
      <c r="C6983" s="15"/>
      <c r="E6983" s="8"/>
      <c r="G6983" s="8"/>
      <c r="J6983" s="8"/>
    </row>
    <row r="6984">
      <c r="C6984" s="15"/>
      <c r="E6984" s="8"/>
      <c r="G6984" s="8"/>
      <c r="J6984" s="8"/>
    </row>
    <row r="6985">
      <c r="C6985" s="15"/>
      <c r="E6985" s="8"/>
      <c r="G6985" s="8"/>
      <c r="J6985" s="8"/>
    </row>
    <row r="6986">
      <c r="C6986" s="15"/>
      <c r="E6986" s="8"/>
      <c r="G6986" s="8"/>
      <c r="J6986" s="8"/>
    </row>
    <row r="6987">
      <c r="C6987" s="15"/>
      <c r="E6987" s="8"/>
      <c r="G6987" s="8"/>
      <c r="J6987" s="8"/>
    </row>
    <row r="6988">
      <c r="C6988" s="15"/>
      <c r="E6988" s="8"/>
      <c r="G6988" s="8"/>
      <c r="J6988" s="8"/>
    </row>
    <row r="6989">
      <c r="C6989" s="15"/>
      <c r="E6989" s="8"/>
      <c r="G6989" s="8"/>
      <c r="J6989" s="8"/>
    </row>
    <row r="6990">
      <c r="C6990" s="15"/>
      <c r="E6990" s="8"/>
      <c r="G6990" s="8"/>
      <c r="J6990" s="8"/>
    </row>
    <row r="6991">
      <c r="C6991" s="15"/>
      <c r="E6991" s="8"/>
      <c r="G6991" s="8"/>
      <c r="J6991" s="8"/>
    </row>
    <row r="6992">
      <c r="C6992" s="15"/>
      <c r="E6992" s="8"/>
      <c r="G6992" s="8"/>
      <c r="J6992" s="8"/>
    </row>
    <row r="6993">
      <c r="C6993" s="15"/>
      <c r="E6993" s="8"/>
      <c r="G6993" s="8"/>
      <c r="J6993" s="8"/>
    </row>
    <row r="6994">
      <c r="C6994" s="15"/>
      <c r="E6994" s="8"/>
      <c r="G6994" s="8"/>
      <c r="J6994" s="8"/>
    </row>
    <row r="6995">
      <c r="C6995" s="15"/>
      <c r="E6995" s="8"/>
      <c r="G6995" s="8"/>
      <c r="J6995" s="8"/>
    </row>
    <row r="6996">
      <c r="C6996" s="15"/>
      <c r="E6996" s="8"/>
      <c r="G6996" s="8"/>
      <c r="J6996" s="8"/>
    </row>
    <row r="6997">
      <c r="C6997" s="15"/>
      <c r="E6997" s="8"/>
      <c r="G6997" s="8"/>
      <c r="J6997" s="8"/>
    </row>
    <row r="6998">
      <c r="C6998" s="15"/>
      <c r="E6998" s="8"/>
      <c r="G6998" s="8"/>
      <c r="J6998" s="8"/>
    </row>
    <row r="6999">
      <c r="C6999" s="15"/>
      <c r="E6999" s="8"/>
      <c r="G6999" s="8"/>
      <c r="J6999" s="8"/>
    </row>
    <row r="7000">
      <c r="C7000" s="15"/>
      <c r="E7000" s="8"/>
      <c r="G7000" s="8"/>
      <c r="J7000" s="8"/>
    </row>
    <row r="7001">
      <c r="C7001" s="15"/>
      <c r="E7001" s="8"/>
      <c r="G7001" s="8"/>
      <c r="J7001" s="8"/>
    </row>
    <row r="7002">
      <c r="C7002" s="15"/>
      <c r="E7002" s="8"/>
      <c r="G7002" s="8"/>
      <c r="J7002" s="8"/>
    </row>
    <row r="7003">
      <c r="C7003" s="15"/>
      <c r="E7003" s="8"/>
      <c r="G7003" s="8"/>
      <c r="J7003" s="8"/>
    </row>
    <row r="7004">
      <c r="C7004" s="15"/>
      <c r="E7004" s="8"/>
      <c r="G7004" s="8"/>
      <c r="J7004" s="8"/>
    </row>
    <row r="7005">
      <c r="C7005" s="15"/>
      <c r="E7005" s="8"/>
      <c r="G7005" s="8"/>
      <c r="J7005" s="8"/>
    </row>
    <row r="7006">
      <c r="C7006" s="15"/>
      <c r="E7006" s="8"/>
      <c r="G7006" s="8"/>
      <c r="J7006" s="8"/>
    </row>
    <row r="7007">
      <c r="C7007" s="15"/>
      <c r="E7007" s="8"/>
      <c r="G7007" s="8"/>
      <c r="J7007" s="8"/>
    </row>
    <row r="7008">
      <c r="C7008" s="15"/>
      <c r="E7008" s="8"/>
      <c r="G7008" s="8"/>
      <c r="J7008" s="8"/>
    </row>
    <row r="7009">
      <c r="C7009" s="15"/>
      <c r="E7009" s="8"/>
      <c r="G7009" s="8"/>
      <c r="J7009" s="8"/>
    </row>
    <row r="7010">
      <c r="C7010" s="15"/>
      <c r="E7010" s="8"/>
      <c r="G7010" s="8"/>
      <c r="J7010" s="8"/>
    </row>
    <row r="7011">
      <c r="C7011" s="15"/>
      <c r="E7011" s="8"/>
      <c r="G7011" s="8"/>
      <c r="J7011" s="8"/>
    </row>
    <row r="7012">
      <c r="C7012" s="15"/>
      <c r="E7012" s="8"/>
      <c r="G7012" s="8"/>
      <c r="J7012" s="8"/>
    </row>
    <row r="7013">
      <c r="C7013" s="15"/>
      <c r="E7013" s="8"/>
      <c r="G7013" s="8"/>
      <c r="J7013" s="8"/>
    </row>
    <row r="7014">
      <c r="C7014" s="15"/>
      <c r="E7014" s="8"/>
      <c r="G7014" s="8"/>
      <c r="J7014" s="8"/>
    </row>
    <row r="7015">
      <c r="C7015" s="15"/>
      <c r="E7015" s="8"/>
      <c r="G7015" s="8"/>
      <c r="J7015" s="8"/>
    </row>
    <row r="7016">
      <c r="C7016" s="15"/>
      <c r="E7016" s="8"/>
      <c r="G7016" s="8"/>
      <c r="J7016" s="8"/>
    </row>
    <row r="7017">
      <c r="C7017" s="15"/>
      <c r="E7017" s="8"/>
      <c r="G7017" s="8"/>
      <c r="J7017" s="8"/>
    </row>
    <row r="7018">
      <c r="C7018" s="15"/>
      <c r="E7018" s="8"/>
      <c r="G7018" s="8"/>
      <c r="J7018" s="8"/>
    </row>
    <row r="7019">
      <c r="C7019" s="15"/>
      <c r="E7019" s="8"/>
      <c r="G7019" s="8"/>
      <c r="J7019" s="8"/>
    </row>
    <row r="7020">
      <c r="C7020" s="15"/>
      <c r="E7020" s="8"/>
      <c r="G7020" s="8"/>
      <c r="J7020" s="8"/>
    </row>
    <row r="7021">
      <c r="C7021" s="15"/>
      <c r="E7021" s="8"/>
      <c r="G7021" s="8"/>
      <c r="J7021" s="8"/>
    </row>
    <row r="7022">
      <c r="C7022" s="15"/>
      <c r="E7022" s="8"/>
      <c r="G7022" s="8"/>
      <c r="J7022" s="8"/>
    </row>
    <row r="7023">
      <c r="C7023" s="15"/>
      <c r="E7023" s="8"/>
      <c r="G7023" s="8"/>
      <c r="J7023" s="8"/>
    </row>
    <row r="7024">
      <c r="C7024" s="15"/>
      <c r="E7024" s="8"/>
      <c r="G7024" s="8"/>
      <c r="J7024" s="8"/>
    </row>
    <row r="7025">
      <c r="C7025" s="15"/>
      <c r="E7025" s="8"/>
      <c r="G7025" s="8"/>
      <c r="J7025" s="8"/>
    </row>
    <row r="7026">
      <c r="C7026" s="15"/>
      <c r="E7026" s="8"/>
      <c r="G7026" s="8"/>
      <c r="J7026" s="8"/>
    </row>
    <row r="7027">
      <c r="C7027" s="15"/>
      <c r="E7027" s="8"/>
      <c r="G7027" s="8"/>
      <c r="J7027" s="8"/>
    </row>
    <row r="7028">
      <c r="C7028" s="15"/>
      <c r="E7028" s="8"/>
      <c r="G7028" s="8"/>
      <c r="J7028" s="8"/>
    </row>
    <row r="7029">
      <c r="C7029" s="15"/>
      <c r="E7029" s="8"/>
      <c r="G7029" s="8"/>
      <c r="J7029" s="8"/>
    </row>
    <row r="7030">
      <c r="C7030" s="15"/>
      <c r="E7030" s="8"/>
      <c r="G7030" s="8"/>
      <c r="J7030" s="8"/>
    </row>
    <row r="7031">
      <c r="C7031" s="15"/>
      <c r="E7031" s="8"/>
      <c r="G7031" s="8"/>
      <c r="J7031" s="8"/>
    </row>
    <row r="7032">
      <c r="C7032" s="15"/>
      <c r="E7032" s="8"/>
      <c r="G7032" s="8"/>
      <c r="J7032" s="8"/>
    </row>
    <row r="7033">
      <c r="C7033" s="15"/>
      <c r="E7033" s="8"/>
      <c r="G7033" s="8"/>
      <c r="J7033" s="8"/>
    </row>
    <row r="7034">
      <c r="C7034" s="15"/>
      <c r="E7034" s="8"/>
      <c r="G7034" s="8"/>
      <c r="J7034" s="8"/>
    </row>
    <row r="7035">
      <c r="C7035" s="15"/>
      <c r="E7035" s="8"/>
      <c r="G7035" s="8"/>
      <c r="J7035" s="8"/>
    </row>
    <row r="7036">
      <c r="C7036" s="15"/>
      <c r="E7036" s="8"/>
      <c r="G7036" s="8"/>
      <c r="J7036" s="8"/>
    </row>
    <row r="7037">
      <c r="C7037" s="15"/>
      <c r="E7037" s="8"/>
      <c r="G7037" s="8"/>
      <c r="J7037" s="8"/>
    </row>
    <row r="7038">
      <c r="C7038" s="15"/>
      <c r="E7038" s="8"/>
      <c r="G7038" s="8"/>
      <c r="J7038" s="8"/>
    </row>
    <row r="7039">
      <c r="C7039" s="15"/>
      <c r="E7039" s="8"/>
      <c r="G7039" s="8"/>
      <c r="J7039" s="8"/>
    </row>
    <row r="7040">
      <c r="C7040" s="15"/>
      <c r="E7040" s="8"/>
      <c r="G7040" s="8"/>
      <c r="J7040" s="8"/>
    </row>
    <row r="7041">
      <c r="C7041" s="15"/>
      <c r="E7041" s="8"/>
      <c r="G7041" s="8"/>
      <c r="J7041" s="8"/>
    </row>
    <row r="7042">
      <c r="C7042" s="15"/>
      <c r="E7042" s="8"/>
      <c r="G7042" s="8"/>
      <c r="J7042" s="8"/>
    </row>
    <row r="7043">
      <c r="C7043" s="15"/>
      <c r="E7043" s="8"/>
      <c r="G7043" s="8"/>
      <c r="J7043" s="8"/>
    </row>
    <row r="7044">
      <c r="C7044" s="15"/>
      <c r="E7044" s="8"/>
      <c r="G7044" s="8"/>
      <c r="J7044" s="8"/>
    </row>
    <row r="7045">
      <c r="C7045" s="15"/>
      <c r="E7045" s="8"/>
      <c r="G7045" s="8"/>
      <c r="J7045" s="8"/>
    </row>
    <row r="7046">
      <c r="C7046" s="15"/>
      <c r="E7046" s="8"/>
      <c r="G7046" s="8"/>
      <c r="J7046" s="8"/>
    </row>
    <row r="7047">
      <c r="C7047" s="15"/>
      <c r="E7047" s="8"/>
      <c r="G7047" s="8"/>
      <c r="J7047" s="8"/>
    </row>
    <row r="7048">
      <c r="C7048" s="15"/>
      <c r="E7048" s="8"/>
      <c r="G7048" s="8"/>
      <c r="J7048" s="8"/>
    </row>
    <row r="7049">
      <c r="C7049" s="15"/>
      <c r="E7049" s="8"/>
      <c r="G7049" s="8"/>
      <c r="J7049" s="8"/>
    </row>
    <row r="7050">
      <c r="C7050" s="15"/>
      <c r="E7050" s="8"/>
      <c r="G7050" s="8"/>
      <c r="J7050" s="8"/>
    </row>
    <row r="7051">
      <c r="C7051" s="15"/>
      <c r="E7051" s="8"/>
      <c r="G7051" s="8"/>
      <c r="J7051" s="8"/>
    </row>
    <row r="7052">
      <c r="C7052" s="15"/>
      <c r="E7052" s="8"/>
      <c r="G7052" s="8"/>
      <c r="J7052" s="8"/>
    </row>
    <row r="7053">
      <c r="C7053" s="15"/>
      <c r="E7053" s="8"/>
      <c r="G7053" s="8"/>
      <c r="J7053" s="8"/>
    </row>
    <row r="7054">
      <c r="C7054" s="15"/>
      <c r="E7054" s="8"/>
      <c r="G7054" s="8"/>
      <c r="J7054" s="8"/>
    </row>
    <row r="7055">
      <c r="C7055" s="15"/>
      <c r="E7055" s="8"/>
      <c r="G7055" s="8"/>
      <c r="J7055" s="8"/>
    </row>
    <row r="7056">
      <c r="C7056" s="15"/>
      <c r="E7056" s="8"/>
      <c r="G7056" s="8"/>
      <c r="J7056" s="8"/>
    </row>
    <row r="7057">
      <c r="C7057" s="15"/>
      <c r="E7057" s="8"/>
      <c r="G7057" s="8"/>
      <c r="J7057" s="8"/>
    </row>
    <row r="7058">
      <c r="C7058" s="15"/>
      <c r="E7058" s="8"/>
      <c r="G7058" s="8"/>
      <c r="J7058" s="8"/>
    </row>
    <row r="7059">
      <c r="C7059" s="15"/>
      <c r="E7059" s="8"/>
      <c r="G7059" s="8"/>
      <c r="J7059" s="8"/>
    </row>
    <row r="7060">
      <c r="C7060" s="15"/>
      <c r="E7060" s="8"/>
      <c r="G7060" s="8"/>
      <c r="J7060" s="8"/>
    </row>
    <row r="7061">
      <c r="C7061" s="15"/>
      <c r="E7061" s="8"/>
      <c r="G7061" s="8"/>
      <c r="J7061" s="8"/>
    </row>
    <row r="7062">
      <c r="C7062" s="15"/>
      <c r="E7062" s="8"/>
      <c r="G7062" s="8"/>
      <c r="J7062" s="8"/>
    </row>
    <row r="7063">
      <c r="C7063" s="15"/>
      <c r="E7063" s="8"/>
      <c r="G7063" s="8"/>
      <c r="J7063" s="8"/>
    </row>
    <row r="7064">
      <c r="C7064" s="15"/>
      <c r="E7064" s="8"/>
      <c r="G7064" s="8"/>
      <c r="J7064" s="8"/>
    </row>
    <row r="7065">
      <c r="C7065" s="15"/>
      <c r="E7065" s="8"/>
      <c r="G7065" s="8"/>
      <c r="J7065" s="8"/>
    </row>
    <row r="7066">
      <c r="C7066" s="15"/>
      <c r="E7066" s="8"/>
      <c r="G7066" s="8"/>
      <c r="J7066" s="8"/>
    </row>
    <row r="7067">
      <c r="C7067" s="15"/>
      <c r="E7067" s="8"/>
      <c r="G7067" s="8"/>
      <c r="J7067" s="8"/>
    </row>
    <row r="7068">
      <c r="C7068" s="15"/>
      <c r="E7068" s="8"/>
      <c r="G7068" s="8"/>
      <c r="J7068" s="8"/>
    </row>
    <row r="7069">
      <c r="C7069" s="15"/>
      <c r="E7069" s="8"/>
      <c r="G7069" s="8"/>
      <c r="J7069" s="8"/>
    </row>
    <row r="7070">
      <c r="C7070" s="15"/>
      <c r="E7070" s="8"/>
      <c r="G7070" s="8"/>
      <c r="J7070" s="8"/>
    </row>
    <row r="7071">
      <c r="C7071" s="15"/>
      <c r="E7071" s="8"/>
      <c r="G7071" s="8"/>
      <c r="J7071" s="8"/>
    </row>
    <row r="7072">
      <c r="C7072" s="15"/>
      <c r="E7072" s="8"/>
      <c r="G7072" s="8"/>
      <c r="J7072" s="8"/>
    </row>
    <row r="7073">
      <c r="C7073" s="15"/>
      <c r="E7073" s="8"/>
      <c r="G7073" s="8"/>
      <c r="J7073" s="8"/>
    </row>
    <row r="7074">
      <c r="C7074" s="15"/>
      <c r="E7074" s="8"/>
      <c r="G7074" s="8"/>
      <c r="J7074" s="8"/>
    </row>
    <row r="7075">
      <c r="C7075" s="15"/>
      <c r="E7075" s="8"/>
      <c r="G7075" s="8"/>
      <c r="J7075" s="8"/>
    </row>
    <row r="7076">
      <c r="C7076" s="15"/>
      <c r="E7076" s="8"/>
      <c r="G7076" s="8"/>
      <c r="J7076" s="8"/>
    </row>
    <row r="7077">
      <c r="C7077" s="15"/>
      <c r="E7077" s="8"/>
      <c r="G7077" s="8"/>
      <c r="J7077" s="8"/>
    </row>
    <row r="7078">
      <c r="C7078" s="15"/>
      <c r="E7078" s="8"/>
      <c r="G7078" s="8"/>
      <c r="J7078" s="8"/>
    </row>
    <row r="7079">
      <c r="C7079" s="15"/>
      <c r="E7079" s="8"/>
      <c r="G7079" s="8"/>
      <c r="J7079" s="8"/>
    </row>
    <row r="7080">
      <c r="C7080" s="15"/>
      <c r="E7080" s="8"/>
      <c r="G7080" s="8"/>
      <c r="J7080" s="8"/>
    </row>
    <row r="7081">
      <c r="C7081" s="15"/>
      <c r="E7081" s="8"/>
      <c r="G7081" s="8"/>
      <c r="J7081" s="8"/>
    </row>
    <row r="7082">
      <c r="C7082" s="15"/>
      <c r="E7082" s="8"/>
      <c r="G7082" s="8"/>
      <c r="J7082" s="8"/>
    </row>
    <row r="7083">
      <c r="C7083" s="15"/>
      <c r="E7083" s="8"/>
      <c r="G7083" s="8"/>
      <c r="J7083" s="8"/>
    </row>
    <row r="7084">
      <c r="C7084" s="15"/>
      <c r="E7084" s="8"/>
      <c r="G7084" s="8"/>
      <c r="J7084" s="8"/>
    </row>
    <row r="7085">
      <c r="C7085" s="15"/>
      <c r="E7085" s="8"/>
      <c r="G7085" s="8"/>
      <c r="J7085" s="8"/>
    </row>
    <row r="7086">
      <c r="C7086" s="15"/>
      <c r="E7086" s="8"/>
      <c r="G7086" s="8"/>
      <c r="J7086" s="8"/>
    </row>
    <row r="7087">
      <c r="C7087" s="15"/>
      <c r="E7087" s="8"/>
      <c r="G7087" s="8"/>
      <c r="J7087" s="8"/>
    </row>
    <row r="7088">
      <c r="C7088" s="15"/>
      <c r="E7088" s="8"/>
      <c r="G7088" s="8"/>
      <c r="J7088" s="8"/>
    </row>
    <row r="7089">
      <c r="C7089" s="15"/>
      <c r="E7089" s="8"/>
      <c r="G7089" s="8"/>
      <c r="J7089" s="8"/>
    </row>
    <row r="7090">
      <c r="C7090" s="15"/>
      <c r="E7090" s="8"/>
      <c r="G7090" s="8"/>
      <c r="J7090" s="8"/>
    </row>
    <row r="7091">
      <c r="C7091" s="15"/>
      <c r="E7091" s="8"/>
      <c r="G7091" s="8"/>
      <c r="J7091" s="8"/>
    </row>
    <row r="7092">
      <c r="C7092" s="15"/>
      <c r="E7092" s="8"/>
      <c r="G7092" s="8"/>
      <c r="J7092" s="8"/>
    </row>
    <row r="7093">
      <c r="C7093" s="15"/>
      <c r="E7093" s="8"/>
      <c r="G7093" s="8"/>
      <c r="J7093" s="8"/>
    </row>
    <row r="7094">
      <c r="C7094" s="15"/>
      <c r="E7094" s="8"/>
      <c r="G7094" s="8"/>
      <c r="J7094" s="8"/>
    </row>
    <row r="7095">
      <c r="C7095" s="15"/>
      <c r="E7095" s="8"/>
      <c r="G7095" s="8"/>
      <c r="J7095" s="8"/>
    </row>
    <row r="7096">
      <c r="C7096" s="15"/>
      <c r="E7096" s="8"/>
      <c r="G7096" s="8"/>
      <c r="J7096" s="8"/>
    </row>
    <row r="7097">
      <c r="C7097" s="15"/>
      <c r="E7097" s="8"/>
      <c r="G7097" s="8"/>
      <c r="J7097" s="8"/>
    </row>
    <row r="7098">
      <c r="C7098" s="15"/>
      <c r="E7098" s="8"/>
      <c r="G7098" s="8"/>
      <c r="J7098" s="8"/>
    </row>
    <row r="7099">
      <c r="C7099" s="15"/>
      <c r="E7099" s="8"/>
      <c r="G7099" s="8"/>
      <c r="J7099" s="8"/>
    </row>
    <row r="7100">
      <c r="C7100" s="15"/>
      <c r="E7100" s="8"/>
      <c r="G7100" s="8"/>
      <c r="J7100" s="8"/>
    </row>
    <row r="7101">
      <c r="C7101" s="15"/>
      <c r="E7101" s="8"/>
      <c r="G7101" s="8"/>
      <c r="J7101" s="8"/>
    </row>
    <row r="7102">
      <c r="C7102" s="15"/>
      <c r="E7102" s="8"/>
      <c r="G7102" s="8"/>
      <c r="J7102" s="8"/>
    </row>
    <row r="7103">
      <c r="C7103" s="15"/>
      <c r="E7103" s="8"/>
      <c r="G7103" s="8"/>
      <c r="J7103" s="8"/>
    </row>
    <row r="7104">
      <c r="C7104" s="15"/>
      <c r="E7104" s="8"/>
      <c r="G7104" s="8"/>
      <c r="J7104" s="8"/>
    </row>
    <row r="7105">
      <c r="C7105" s="15"/>
      <c r="E7105" s="8"/>
      <c r="G7105" s="8"/>
      <c r="J7105" s="8"/>
    </row>
    <row r="7106">
      <c r="C7106" s="15"/>
      <c r="E7106" s="8"/>
      <c r="G7106" s="8"/>
      <c r="J7106" s="8"/>
    </row>
    <row r="7107">
      <c r="C7107" s="15"/>
      <c r="E7107" s="8"/>
      <c r="G7107" s="8"/>
      <c r="J7107" s="8"/>
    </row>
    <row r="7108">
      <c r="C7108" s="15"/>
      <c r="E7108" s="8"/>
      <c r="G7108" s="8"/>
      <c r="J7108" s="8"/>
    </row>
    <row r="7109">
      <c r="C7109" s="15"/>
      <c r="E7109" s="8"/>
      <c r="G7109" s="8"/>
      <c r="J7109" s="8"/>
    </row>
    <row r="7110">
      <c r="C7110" s="15"/>
      <c r="E7110" s="8"/>
      <c r="G7110" s="8"/>
      <c r="J7110" s="8"/>
    </row>
    <row r="7111">
      <c r="C7111" s="15"/>
      <c r="E7111" s="8"/>
      <c r="G7111" s="8"/>
      <c r="J7111" s="8"/>
    </row>
    <row r="7112">
      <c r="C7112" s="15"/>
      <c r="E7112" s="8"/>
      <c r="G7112" s="8"/>
      <c r="J7112" s="8"/>
    </row>
    <row r="7113">
      <c r="C7113" s="15"/>
      <c r="E7113" s="8"/>
      <c r="G7113" s="8"/>
      <c r="J7113" s="8"/>
    </row>
    <row r="7114">
      <c r="C7114" s="15"/>
      <c r="E7114" s="8"/>
      <c r="G7114" s="8"/>
      <c r="J7114" s="8"/>
    </row>
    <row r="7115">
      <c r="C7115" s="15"/>
      <c r="E7115" s="8"/>
      <c r="G7115" s="8"/>
      <c r="J7115" s="8"/>
    </row>
    <row r="7116">
      <c r="C7116" s="15"/>
      <c r="E7116" s="8"/>
      <c r="G7116" s="8"/>
      <c r="J7116" s="8"/>
    </row>
    <row r="7117">
      <c r="C7117" s="15"/>
      <c r="E7117" s="8"/>
      <c r="G7117" s="8"/>
      <c r="J7117" s="8"/>
    </row>
    <row r="7118">
      <c r="C7118" s="15"/>
      <c r="E7118" s="8"/>
      <c r="G7118" s="8"/>
      <c r="J7118" s="8"/>
    </row>
    <row r="7119">
      <c r="C7119" s="15"/>
      <c r="E7119" s="8"/>
      <c r="G7119" s="8"/>
      <c r="J7119" s="8"/>
    </row>
    <row r="7120">
      <c r="C7120" s="15"/>
      <c r="E7120" s="8"/>
      <c r="G7120" s="8"/>
      <c r="J7120" s="8"/>
    </row>
    <row r="7121">
      <c r="C7121" s="15"/>
      <c r="E7121" s="8"/>
      <c r="G7121" s="8"/>
      <c r="J7121" s="8"/>
    </row>
    <row r="7122">
      <c r="C7122" s="15"/>
      <c r="E7122" s="8"/>
      <c r="G7122" s="8"/>
      <c r="J7122" s="8"/>
    </row>
    <row r="7123">
      <c r="C7123" s="15"/>
      <c r="E7123" s="8"/>
      <c r="G7123" s="8"/>
      <c r="J7123" s="8"/>
    </row>
    <row r="7124">
      <c r="C7124" s="15"/>
      <c r="E7124" s="8"/>
      <c r="G7124" s="8"/>
      <c r="J7124" s="8"/>
    </row>
    <row r="7125">
      <c r="C7125" s="15"/>
      <c r="E7125" s="8"/>
      <c r="G7125" s="8"/>
      <c r="J7125" s="8"/>
    </row>
    <row r="7126">
      <c r="C7126" s="15"/>
      <c r="E7126" s="8"/>
      <c r="G7126" s="8"/>
      <c r="J7126" s="8"/>
    </row>
    <row r="7127">
      <c r="C7127" s="15"/>
      <c r="E7127" s="8"/>
      <c r="G7127" s="8"/>
      <c r="J7127" s="8"/>
    </row>
    <row r="7128">
      <c r="C7128" s="15"/>
      <c r="E7128" s="8"/>
      <c r="G7128" s="8"/>
      <c r="J7128" s="8"/>
    </row>
    <row r="7129">
      <c r="C7129" s="15"/>
      <c r="E7129" s="8"/>
      <c r="G7129" s="8"/>
      <c r="J7129" s="8"/>
    </row>
    <row r="7130">
      <c r="C7130" s="15"/>
      <c r="E7130" s="8"/>
      <c r="G7130" s="8"/>
      <c r="J7130" s="8"/>
    </row>
    <row r="7131">
      <c r="C7131" s="15"/>
      <c r="E7131" s="8"/>
      <c r="G7131" s="8"/>
      <c r="J7131" s="8"/>
    </row>
    <row r="7132">
      <c r="C7132" s="15"/>
      <c r="E7132" s="8"/>
      <c r="G7132" s="8"/>
      <c r="J7132" s="8"/>
    </row>
    <row r="7133">
      <c r="C7133" s="15"/>
      <c r="E7133" s="8"/>
      <c r="G7133" s="8"/>
      <c r="J7133" s="8"/>
    </row>
    <row r="7134">
      <c r="C7134" s="15"/>
      <c r="E7134" s="8"/>
      <c r="G7134" s="8"/>
      <c r="J7134" s="8"/>
    </row>
    <row r="7135">
      <c r="C7135" s="15"/>
      <c r="E7135" s="8"/>
      <c r="G7135" s="8"/>
      <c r="J7135" s="8"/>
    </row>
    <row r="7136">
      <c r="C7136" s="15"/>
      <c r="E7136" s="8"/>
      <c r="G7136" s="8"/>
      <c r="J7136" s="8"/>
    </row>
    <row r="7137">
      <c r="C7137" s="15"/>
      <c r="E7137" s="8"/>
      <c r="G7137" s="8"/>
      <c r="J7137" s="8"/>
    </row>
    <row r="7138">
      <c r="C7138" s="15"/>
      <c r="E7138" s="8"/>
      <c r="G7138" s="8"/>
      <c r="J7138" s="8"/>
    </row>
    <row r="7139">
      <c r="C7139" s="15"/>
      <c r="E7139" s="8"/>
      <c r="G7139" s="8"/>
      <c r="J7139" s="8"/>
    </row>
    <row r="7140">
      <c r="C7140" s="15"/>
      <c r="E7140" s="8"/>
      <c r="G7140" s="8"/>
      <c r="J7140" s="8"/>
    </row>
    <row r="7141">
      <c r="C7141" s="15"/>
      <c r="E7141" s="8"/>
      <c r="G7141" s="8"/>
      <c r="J7141" s="8"/>
    </row>
    <row r="7142">
      <c r="C7142" s="15"/>
      <c r="E7142" s="8"/>
      <c r="G7142" s="8"/>
      <c r="J7142" s="8"/>
    </row>
    <row r="7143">
      <c r="C7143" s="15"/>
      <c r="E7143" s="8"/>
      <c r="G7143" s="8"/>
      <c r="J7143" s="8"/>
    </row>
    <row r="7144">
      <c r="C7144" s="15"/>
      <c r="E7144" s="8"/>
      <c r="G7144" s="8"/>
      <c r="J7144" s="8"/>
    </row>
    <row r="7145">
      <c r="C7145" s="15"/>
      <c r="E7145" s="8"/>
      <c r="G7145" s="8"/>
      <c r="J7145" s="8"/>
    </row>
    <row r="7146">
      <c r="C7146" s="15"/>
      <c r="E7146" s="8"/>
      <c r="G7146" s="8"/>
      <c r="J7146" s="8"/>
    </row>
    <row r="7147">
      <c r="C7147" s="15"/>
      <c r="E7147" s="8"/>
      <c r="G7147" s="8"/>
      <c r="J7147" s="8"/>
    </row>
    <row r="7148">
      <c r="C7148" s="15"/>
      <c r="E7148" s="8"/>
      <c r="G7148" s="8"/>
      <c r="J7148" s="8"/>
    </row>
    <row r="7149">
      <c r="C7149" s="15"/>
      <c r="E7149" s="8"/>
      <c r="G7149" s="8"/>
      <c r="J7149" s="8"/>
    </row>
    <row r="7150">
      <c r="C7150" s="15"/>
      <c r="E7150" s="8"/>
      <c r="G7150" s="8"/>
      <c r="J7150" s="8"/>
    </row>
    <row r="7151">
      <c r="C7151" s="15"/>
      <c r="E7151" s="8"/>
      <c r="G7151" s="8"/>
      <c r="J7151" s="8"/>
    </row>
    <row r="7152">
      <c r="C7152" s="15"/>
      <c r="E7152" s="8"/>
      <c r="G7152" s="8"/>
      <c r="J7152" s="8"/>
    </row>
    <row r="7153">
      <c r="C7153" s="15"/>
      <c r="E7153" s="8"/>
      <c r="G7153" s="8"/>
      <c r="J7153" s="8"/>
    </row>
    <row r="7154">
      <c r="C7154" s="15"/>
      <c r="E7154" s="8"/>
      <c r="G7154" s="8"/>
      <c r="J7154" s="8"/>
    </row>
    <row r="7155">
      <c r="C7155" s="15"/>
      <c r="E7155" s="8"/>
      <c r="G7155" s="8"/>
      <c r="J7155" s="8"/>
    </row>
    <row r="7156">
      <c r="C7156" s="15"/>
      <c r="E7156" s="8"/>
      <c r="G7156" s="8"/>
      <c r="J7156" s="8"/>
    </row>
    <row r="7157">
      <c r="C7157" s="15"/>
      <c r="E7157" s="8"/>
      <c r="G7157" s="8"/>
      <c r="J7157" s="8"/>
    </row>
    <row r="7158">
      <c r="C7158" s="15"/>
      <c r="E7158" s="8"/>
      <c r="G7158" s="8"/>
      <c r="J7158" s="8"/>
    </row>
    <row r="7159">
      <c r="C7159" s="15"/>
      <c r="E7159" s="8"/>
      <c r="G7159" s="8"/>
      <c r="J7159" s="8"/>
    </row>
    <row r="7160">
      <c r="C7160" s="15"/>
      <c r="E7160" s="8"/>
      <c r="G7160" s="8"/>
      <c r="J7160" s="8"/>
    </row>
    <row r="7161">
      <c r="C7161" s="15"/>
      <c r="E7161" s="8"/>
      <c r="G7161" s="8"/>
      <c r="J7161" s="8"/>
    </row>
    <row r="7162">
      <c r="C7162" s="15"/>
      <c r="E7162" s="8"/>
      <c r="G7162" s="8"/>
      <c r="J7162" s="8"/>
    </row>
    <row r="7163">
      <c r="C7163" s="15"/>
      <c r="E7163" s="8"/>
      <c r="G7163" s="8"/>
      <c r="J7163" s="8"/>
    </row>
    <row r="7164">
      <c r="C7164" s="15"/>
      <c r="E7164" s="8"/>
      <c r="G7164" s="8"/>
      <c r="J7164" s="8"/>
    </row>
    <row r="7165">
      <c r="C7165" s="15"/>
      <c r="E7165" s="8"/>
      <c r="G7165" s="8"/>
      <c r="J7165" s="8"/>
    </row>
    <row r="7166">
      <c r="C7166" s="15"/>
      <c r="E7166" s="8"/>
      <c r="G7166" s="8"/>
      <c r="J7166" s="8"/>
    </row>
    <row r="7167">
      <c r="C7167" s="15"/>
      <c r="E7167" s="8"/>
      <c r="G7167" s="8"/>
      <c r="J7167" s="8"/>
    </row>
    <row r="7168">
      <c r="C7168" s="15"/>
      <c r="E7168" s="8"/>
      <c r="G7168" s="8"/>
      <c r="J7168" s="8"/>
    </row>
    <row r="7169">
      <c r="C7169" s="15"/>
      <c r="E7169" s="8"/>
      <c r="G7169" s="8"/>
      <c r="J7169" s="8"/>
    </row>
    <row r="7170">
      <c r="C7170" s="15"/>
      <c r="E7170" s="8"/>
      <c r="G7170" s="8"/>
      <c r="J7170" s="8"/>
    </row>
    <row r="7171">
      <c r="C7171" s="15"/>
      <c r="E7171" s="8"/>
      <c r="G7171" s="8"/>
      <c r="J7171" s="8"/>
    </row>
    <row r="7172">
      <c r="C7172" s="15"/>
      <c r="E7172" s="8"/>
      <c r="G7172" s="8"/>
      <c r="J7172" s="8"/>
    </row>
    <row r="7173">
      <c r="C7173" s="15"/>
      <c r="E7173" s="8"/>
      <c r="G7173" s="8"/>
      <c r="J7173" s="8"/>
    </row>
    <row r="7174">
      <c r="C7174" s="15"/>
      <c r="E7174" s="8"/>
      <c r="G7174" s="8"/>
      <c r="J7174" s="8"/>
    </row>
    <row r="7175">
      <c r="C7175" s="15"/>
      <c r="E7175" s="8"/>
      <c r="G7175" s="8"/>
      <c r="J7175" s="8"/>
    </row>
    <row r="7176">
      <c r="C7176" s="15"/>
      <c r="E7176" s="8"/>
      <c r="G7176" s="8"/>
      <c r="J7176" s="8"/>
    </row>
    <row r="7177">
      <c r="C7177" s="15"/>
      <c r="E7177" s="8"/>
      <c r="G7177" s="8"/>
      <c r="J7177" s="8"/>
    </row>
    <row r="7178">
      <c r="C7178" s="15"/>
      <c r="E7178" s="8"/>
      <c r="G7178" s="8"/>
      <c r="J7178" s="8"/>
    </row>
    <row r="7179">
      <c r="C7179" s="15"/>
      <c r="E7179" s="8"/>
      <c r="G7179" s="8"/>
      <c r="J7179" s="8"/>
    </row>
    <row r="7180">
      <c r="C7180" s="15"/>
      <c r="E7180" s="8"/>
      <c r="G7180" s="8"/>
      <c r="J7180" s="8"/>
    </row>
    <row r="7181">
      <c r="C7181" s="15"/>
      <c r="E7181" s="8"/>
      <c r="G7181" s="8"/>
      <c r="J7181" s="8"/>
    </row>
    <row r="7182">
      <c r="C7182" s="15"/>
      <c r="E7182" s="8"/>
      <c r="G7182" s="8"/>
      <c r="J7182" s="8"/>
    </row>
    <row r="7183">
      <c r="C7183" s="15"/>
      <c r="E7183" s="8"/>
      <c r="G7183" s="8"/>
      <c r="J7183" s="8"/>
    </row>
    <row r="7184">
      <c r="C7184" s="15"/>
      <c r="E7184" s="8"/>
      <c r="G7184" s="8"/>
      <c r="J7184" s="8"/>
    </row>
    <row r="7185">
      <c r="C7185" s="15"/>
      <c r="E7185" s="8"/>
      <c r="G7185" s="8"/>
      <c r="J7185" s="8"/>
    </row>
    <row r="7186">
      <c r="C7186" s="15"/>
      <c r="E7186" s="8"/>
      <c r="G7186" s="8"/>
      <c r="J7186" s="8"/>
    </row>
    <row r="7187">
      <c r="C7187" s="15"/>
      <c r="E7187" s="8"/>
      <c r="G7187" s="8"/>
      <c r="J7187" s="8"/>
    </row>
    <row r="7188">
      <c r="C7188" s="15"/>
      <c r="E7188" s="8"/>
      <c r="G7188" s="8"/>
      <c r="J7188" s="8"/>
    </row>
    <row r="7189">
      <c r="C7189" s="15"/>
      <c r="E7189" s="8"/>
      <c r="G7189" s="8"/>
      <c r="J7189" s="8"/>
    </row>
    <row r="7190">
      <c r="C7190" s="15"/>
      <c r="E7190" s="8"/>
      <c r="G7190" s="8"/>
      <c r="J7190" s="8"/>
    </row>
    <row r="7191">
      <c r="C7191" s="15"/>
      <c r="E7191" s="8"/>
      <c r="G7191" s="8"/>
      <c r="J7191" s="8"/>
    </row>
    <row r="7192">
      <c r="C7192" s="15"/>
      <c r="E7192" s="8"/>
      <c r="G7192" s="8"/>
      <c r="J7192" s="8"/>
    </row>
    <row r="7193">
      <c r="C7193" s="15"/>
      <c r="E7193" s="8"/>
      <c r="G7193" s="8"/>
      <c r="J7193" s="8"/>
    </row>
    <row r="7194">
      <c r="C7194" s="15"/>
      <c r="E7194" s="8"/>
      <c r="G7194" s="8"/>
      <c r="J7194" s="8"/>
    </row>
    <row r="7195">
      <c r="C7195" s="15"/>
      <c r="E7195" s="8"/>
      <c r="G7195" s="8"/>
      <c r="J7195" s="8"/>
    </row>
    <row r="7196">
      <c r="C7196" s="15"/>
      <c r="E7196" s="8"/>
      <c r="G7196" s="8"/>
      <c r="J7196" s="8"/>
    </row>
    <row r="7197">
      <c r="C7197" s="15"/>
      <c r="E7197" s="8"/>
      <c r="G7197" s="8"/>
      <c r="J7197" s="8"/>
    </row>
    <row r="7198">
      <c r="C7198" s="15"/>
      <c r="E7198" s="8"/>
      <c r="G7198" s="8"/>
      <c r="J7198" s="8"/>
    </row>
    <row r="7199">
      <c r="C7199" s="15"/>
      <c r="E7199" s="8"/>
      <c r="G7199" s="8"/>
      <c r="J7199" s="8"/>
    </row>
    <row r="7200">
      <c r="C7200" s="15"/>
      <c r="E7200" s="8"/>
      <c r="G7200" s="8"/>
      <c r="J7200" s="8"/>
    </row>
    <row r="7201">
      <c r="C7201" s="15"/>
      <c r="E7201" s="8"/>
      <c r="G7201" s="8"/>
      <c r="J7201" s="8"/>
    </row>
    <row r="7202">
      <c r="C7202" s="15"/>
      <c r="E7202" s="8"/>
      <c r="G7202" s="8"/>
      <c r="J7202" s="8"/>
    </row>
    <row r="7203">
      <c r="C7203" s="15"/>
      <c r="E7203" s="8"/>
      <c r="G7203" s="8"/>
      <c r="J7203" s="8"/>
    </row>
    <row r="7204">
      <c r="C7204" s="15"/>
      <c r="E7204" s="8"/>
      <c r="G7204" s="8"/>
      <c r="J7204" s="8"/>
    </row>
    <row r="7205">
      <c r="C7205" s="15"/>
      <c r="E7205" s="8"/>
      <c r="G7205" s="8"/>
      <c r="J7205" s="8"/>
    </row>
    <row r="7206">
      <c r="C7206" s="15"/>
      <c r="E7206" s="8"/>
      <c r="G7206" s="8"/>
      <c r="J7206" s="8"/>
    </row>
    <row r="7207">
      <c r="C7207" s="15"/>
      <c r="E7207" s="8"/>
      <c r="G7207" s="8"/>
      <c r="J7207" s="8"/>
    </row>
    <row r="7208">
      <c r="C7208" s="15"/>
      <c r="E7208" s="8"/>
      <c r="G7208" s="8"/>
      <c r="J7208" s="8"/>
    </row>
    <row r="7209">
      <c r="C7209" s="15"/>
      <c r="E7209" s="8"/>
      <c r="G7209" s="8"/>
      <c r="J7209" s="8"/>
    </row>
    <row r="7210">
      <c r="C7210" s="15"/>
      <c r="E7210" s="8"/>
      <c r="G7210" s="8"/>
      <c r="J7210" s="8"/>
    </row>
    <row r="7211">
      <c r="C7211" s="15"/>
      <c r="E7211" s="8"/>
      <c r="G7211" s="8"/>
      <c r="J7211" s="8"/>
    </row>
    <row r="7212">
      <c r="C7212" s="15"/>
      <c r="E7212" s="8"/>
      <c r="G7212" s="8"/>
      <c r="J7212" s="8"/>
    </row>
    <row r="7213">
      <c r="C7213" s="15"/>
      <c r="E7213" s="8"/>
      <c r="G7213" s="8"/>
      <c r="J7213" s="8"/>
    </row>
    <row r="7214">
      <c r="C7214" s="15"/>
      <c r="E7214" s="8"/>
      <c r="G7214" s="8"/>
      <c r="J7214" s="8"/>
    </row>
    <row r="7215">
      <c r="C7215" s="15"/>
      <c r="E7215" s="8"/>
      <c r="G7215" s="8"/>
      <c r="J7215" s="8"/>
    </row>
    <row r="7216">
      <c r="C7216" s="15"/>
      <c r="E7216" s="8"/>
      <c r="G7216" s="8"/>
      <c r="J7216" s="8"/>
    </row>
    <row r="7217">
      <c r="C7217" s="15"/>
      <c r="E7217" s="8"/>
      <c r="G7217" s="8"/>
      <c r="J7217" s="8"/>
    </row>
    <row r="7218">
      <c r="C7218" s="15"/>
      <c r="E7218" s="8"/>
      <c r="G7218" s="8"/>
      <c r="J7218" s="8"/>
    </row>
    <row r="7219">
      <c r="C7219" s="15"/>
      <c r="E7219" s="8"/>
      <c r="G7219" s="8"/>
      <c r="J7219" s="8"/>
    </row>
    <row r="7220">
      <c r="C7220" s="15"/>
      <c r="E7220" s="8"/>
      <c r="G7220" s="8"/>
      <c r="J7220" s="8"/>
    </row>
    <row r="7221">
      <c r="C7221" s="15"/>
      <c r="E7221" s="8"/>
      <c r="G7221" s="8"/>
      <c r="J7221" s="8"/>
    </row>
    <row r="7222">
      <c r="C7222" s="15"/>
      <c r="E7222" s="8"/>
      <c r="G7222" s="8"/>
      <c r="J7222" s="8"/>
    </row>
    <row r="7223">
      <c r="C7223" s="15"/>
      <c r="E7223" s="8"/>
      <c r="G7223" s="8"/>
      <c r="J7223" s="8"/>
    </row>
    <row r="7224">
      <c r="C7224" s="15"/>
      <c r="E7224" s="8"/>
      <c r="G7224" s="8"/>
      <c r="J7224" s="8"/>
    </row>
    <row r="7225">
      <c r="C7225" s="15"/>
      <c r="E7225" s="8"/>
      <c r="G7225" s="8"/>
      <c r="J7225" s="8"/>
    </row>
    <row r="7226">
      <c r="C7226" s="15"/>
      <c r="E7226" s="8"/>
      <c r="G7226" s="8"/>
      <c r="J7226" s="8"/>
    </row>
    <row r="7227">
      <c r="C7227" s="15"/>
      <c r="E7227" s="8"/>
      <c r="G7227" s="8"/>
      <c r="J7227" s="8"/>
    </row>
    <row r="7228">
      <c r="C7228" s="15"/>
      <c r="E7228" s="8"/>
      <c r="G7228" s="8"/>
      <c r="J7228" s="8"/>
    </row>
    <row r="7229">
      <c r="C7229" s="15"/>
      <c r="E7229" s="8"/>
      <c r="G7229" s="8"/>
      <c r="J7229" s="8"/>
    </row>
    <row r="7230">
      <c r="C7230" s="15"/>
      <c r="E7230" s="8"/>
      <c r="G7230" s="8"/>
      <c r="J7230" s="8"/>
    </row>
    <row r="7231">
      <c r="C7231" s="15"/>
      <c r="E7231" s="8"/>
      <c r="G7231" s="8"/>
      <c r="J7231" s="8"/>
    </row>
    <row r="7232">
      <c r="C7232" s="15"/>
      <c r="E7232" s="8"/>
      <c r="G7232" s="8"/>
      <c r="J7232" s="8"/>
    </row>
    <row r="7233">
      <c r="C7233" s="15"/>
      <c r="E7233" s="8"/>
      <c r="G7233" s="8"/>
      <c r="J7233" s="8"/>
    </row>
    <row r="7234">
      <c r="C7234" s="15"/>
      <c r="E7234" s="8"/>
      <c r="G7234" s="8"/>
      <c r="J7234" s="8"/>
    </row>
    <row r="7235">
      <c r="C7235" s="15"/>
      <c r="E7235" s="8"/>
      <c r="G7235" s="8"/>
      <c r="J7235" s="8"/>
    </row>
    <row r="7236">
      <c r="C7236" s="15"/>
      <c r="E7236" s="8"/>
      <c r="G7236" s="8"/>
      <c r="J7236" s="8"/>
    </row>
    <row r="7237">
      <c r="C7237" s="15"/>
      <c r="E7237" s="8"/>
      <c r="G7237" s="8"/>
      <c r="J7237" s="8"/>
    </row>
    <row r="7238">
      <c r="C7238" s="15"/>
      <c r="E7238" s="8"/>
      <c r="G7238" s="8"/>
      <c r="J7238" s="8"/>
    </row>
    <row r="7239">
      <c r="C7239" s="15"/>
      <c r="E7239" s="8"/>
      <c r="G7239" s="8"/>
      <c r="J7239" s="8"/>
    </row>
    <row r="7240">
      <c r="C7240" s="15"/>
      <c r="E7240" s="8"/>
      <c r="G7240" s="8"/>
      <c r="J7240" s="8"/>
    </row>
    <row r="7241">
      <c r="C7241" s="15"/>
      <c r="E7241" s="8"/>
      <c r="G7241" s="8"/>
      <c r="J7241" s="8"/>
    </row>
    <row r="7242">
      <c r="C7242" s="15"/>
      <c r="E7242" s="8"/>
      <c r="G7242" s="8"/>
      <c r="J7242" s="8"/>
    </row>
    <row r="7243">
      <c r="C7243" s="15"/>
      <c r="E7243" s="8"/>
      <c r="G7243" s="8"/>
      <c r="J7243" s="8"/>
    </row>
    <row r="7244">
      <c r="C7244" s="15"/>
      <c r="E7244" s="8"/>
      <c r="G7244" s="8"/>
      <c r="J7244" s="8"/>
    </row>
    <row r="7245">
      <c r="C7245" s="15"/>
      <c r="E7245" s="8"/>
      <c r="G7245" s="8"/>
      <c r="J7245" s="8"/>
    </row>
    <row r="7246">
      <c r="C7246" s="15"/>
      <c r="E7246" s="8"/>
      <c r="G7246" s="8"/>
      <c r="J7246" s="8"/>
    </row>
    <row r="7247">
      <c r="C7247" s="15"/>
      <c r="E7247" s="8"/>
      <c r="G7247" s="8"/>
      <c r="J7247" s="8"/>
    </row>
    <row r="7248">
      <c r="C7248" s="15"/>
      <c r="E7248" s="8"/>
      <c r="G7248" s="8"/>
      <c r="J7248" s="8"/>
    </row>
    <row r="7249">
      <c r="C7249" s="15"/>
      <c r="E7249" s="8"/>
      <c r="G7249" s="8"/>
      <c r="J7249" s="8"/>
    </row>
    <row r="7250">
      <c r="C7250" s="15"/>
      <c r="E7250" s="8"/>
      <c r="G7250" s="8"/>
      <c r="J7250" s="8"/>
    </row>
    <row r="7251">
      <c r="C7251" s="15"/>
      <c r="E7251" s="8"/>
      <c r="G7251" s="8"/>
      <c r="J7251" s="8"/>
    </row>
    <row r="7252">
      <c r="C7252" s="15"/>
      <c r="E7252" s="8"/>
      <c r="G7252" s="8"/>
      <c r="J7252" s="8"/>
    </row>
    <row r="7253">
      <c r="C7253" s="15"/>
      <c r="E7253" s="8"/>
      <c r="G7253" s="8"/>
      <c r="J7253" s="8"/>
    </row>
    <row r="7254">
      <c r="C7254" s="15"/>
      <c r="E7254" s="8"/>
      <c r="G7254" s="8"/>
      <c r="J7254" s="8"/>
    </row>
    <row r="7255">
      <c r="C7255" s="15"/>
      <c r="E7255" s="8"/>
      <c r="G7255" s="8"/>
      <c r="J7255" s="8"/>
    </row>
    <row r="7256">
      <c r="C7256" s="15"/>
      <c r="E7256" s="8"/>
      <c r="G7256" s="8"/>
      <c r="J7256" s="8"/>
    </row>
    <row r="7257">
      <c r="C7257" s="15"/>
      <c r="E7257" s="8"/>
      <c r="G7257" s="8"/>
      <c r="J7257" s="8"/>
    </row>
    <row r="7258">
      <c r="C7258" s="15"/>
      <c r="E7258" s="8"/>
      <c r="G7258" s="8"/>
      <c r="J7258" s="8"/>
    </row>
    <row r="7259">
      <c r="C7259" s="15"/>
      <c r="E7259" s="8"/>
      <c r="G7259" s="8"/>
      <c r="J7259" s="8"/>
    </row>
    <row r="7260">
      <c r="C7260" s="15"/>
      <c r="E7260" s="8"/>
      <c r="G7260" s="8"/>
      <c r="J7260" s="8"/>
    </row>
    <row r="7261">
      <c r="C7261" s="15"/>
      <c r="E7261" s="8"/>
      <c r="G7261" s="8"/>
      <c r="J7261" s="8"/>
    </row>
    <row r="7262">
      <c r="C7262" s="15"/>
      <c r="E7262" s="8"/>
      <c r="G7262" s="8"/>
      <c r="J7262" s="8"/>
    </row>
    <row r="7263">
      <c r="C7263" s="15"/>
      <c r="E7263" s="8"/>
      <c r="G7263" s="8"/>
      <c r="J7263" s="8"/>
    </row>
    <row r="7264">
      <c r="C7264" s="15"/>
      <c r="E7264" s="8"/>
      <c r="G7264" s="8"/>
      <c r="J7264" s="8"/>
    </row>
    <row r="7265">
      <c r="C7265" s="15"/>
      <c r="E7265" s="8"/>
      <c r="G7265" s="8"/>
      <c r="J7265" s="8"/>
    </row>
    <row r="7266">
      <c r="C7266" s="15"/>
      <c r="E7266" s="8"/>
      <c r="G7266" s="8"/>
      <c r="J7266" s="8"/>
    </row>
    <row r="7267">
      <c r="C7267" s="15"/>
      <c r="E7267" s="8"/>
      <c r="G7267" s="8"/>
      <c r="J7267" s="8"/>
    </row>
    <row r="7268">
      <c r="C7268" s="15"/>
      <c r="E7268" s="8"/>
      <c r="G7268" s="8"/>
      <c r="J7268" s="8"/>
    </row>
    <row r="7269">
      <c r="C7269" s="15"/>
      <c r="E7269" s="8"/>
      <c r="G7269" s="8"/>
      <c r="J7269" s="8"/>
    </row>
    <row r="7270">
      <c r="C7270" s="15"/>
      <c r="E7270" s="8"/>
      <c r="G7270" s="8"/>
      <c r="J7270" s="8"/>
    </row>
    <row r="7271">
      <c r="C7271" s="15"/>
      <c r="E7271" s="8"/>
      <c r="G7271" s="8"/>
      <c r="J7271" s="8"/>
    </row>
    <row r="7272">
      <c r="C7272" s="15"/>
      <c r="E7272" s="8"/>
      <c r="G7272" s="8"/>
      <c r="J7272" s="8"/>
    </row>
    <row r="7273">
      <c r="C7273" s="15"/>
      <c r="E7273" s="8"/>
      <c r="G7273" s="8"/>
      <c r="J7273" s="8"/>
    </row>
    <row r="7274">
      <c r="C7274" s="15"/>
      <c r="E7274" s="8"/>
      <c r="G7274" s="8"/>
      <c r="J7274" s="8"/>
    </row>
    <row r="7275">
      <c r="C7275" s="15"/>
      <c r="E7275" s="8"/>
      <c r="G7275" s="8"/>
      <c r="J7275" s="8"/>
    </row>
    <row r="7276">
      <c r="C7276" s="15"/>
      <c r="E7276" s="8"/>
      <c r="G7276" s="8"/>
      <c r="J7276" s="8"/>
    </row>
    <row r="7277">
      <c r="C7277" s="15"/>
      <c r="E7277" s="8"/>
      <c r="G7277" s="8"/>
      <c r="J7277" s="8"/>
    </row>
    <row r="7278">
      <c r="C7278" s="15"/>
      <c r="E7278" s="8"/>
      <c r="G7278" s="8"/>
      <c r="J7278" s="8"/>
    </row>
    <row r="7279">
      <c r="C7279" s="15"/>
      <c r="E7279" s="8"/>
      <c r="G7279" s="8"/>
      <c r="J7279" s="8"/>
    </row>
    <row r="7280">
      <c r="C7280" s="15"/>
      <c r="E7280" s="8"/>
      <c r="G7280" s="8"/>
      <c r="J7280" s="8"/>
    </row>
    <row r="7281">
      <c r="C7281" s="15"/>
      <c r="E7281" s="8"/>
      <c r="G7281" s="8"/>
      <c r="J7281" s="8"/>
    </row>
    <row r="7282">
      <c r="C7282" s="15"/>
      <c r="E7282" s="8"/>
      <c r="G7282" s="8"/>
      <c r="J7282" s="8"/>
    </row>
    <row r="7283">
      <c r="C7283" s="15"/>
      <c r="E7283" s="8"/>
      <c r="G7283" s="8"/>
      <c r="J7283" s="8"/>
    </row>
    <row r="7284">
      <c r="C7284" s="15"/>
      <c r="E7284" s="8"/>
      <c r="G7284" s="8"/>
      <c r="J7284" s="8"/>
    </row>
    <row r="7285">
      <c r="C7285" s="15"/>
      <c r="E7285" s="8"/>
      <c r="G7285" s="8"/>
      <c r="J7285" s="8"/>
    </row>
    <row r="7286">
      <c r="C7286" s="15"/>
      <c r="E7286" s="8"/>
      <c r="G7286" s="8"/>
      <c r="J7286" s="8"/>
    </row>
    <row r="7287">
      <c r="C7287" s="15"/>
      <c r="E7287" s="8"/>
      <c r="G7287" s="8"/>
      <c r="J7287" s="8"/>
    </row>
    <row r="7288">
      <c r="C7288" s="15"/>
      <c r="E7288" s="8"/>
      <c r="G7288" s="8"/>
      <c r="J7288" s="8"/>
    </row>
    <row r="7289">
      <c r="C7289" s="15"/>
      <c r="E7289" s="8"/>
      <c r="G7289" s="8"/>
      <c r="J7289" s="8"/>
    </row>
    <row r="7290">
      <c r="C7290" s="15"/>
      <c r="E7290" s="8"/>
      <c r="G7290" s="8"/>
      <c r="J7290" s="8"/>
    </row>
    <row r="7291">
      <c r="C7291" s="15"/>
      <c r="E7291" s="8"/>
      <c r="G7291" s="8"/>
      <c r="J7291" s="8"/>
    </row>
    <row r="7292">
      <c r="C7292" s="15"/>
      <c r="E7292" s="8"/>
      <c r="G7292" s="8"/>
      <c r="J7292" s="8"/>
    </row>
    <row r="7293">
      <c r="C7293" s="15"/>
      <c r="E7293" s="8"/>
      <c r="G7293" s="8"/>
      <c r="J7293" s="8"/>
    </row>
    <row r="7294">
      <c r="C7294" s="15"/>
      <c r="E7294" s="8"/>
      <c r="G7294" s="8"/>
      <c r="J7294" s="8"/>
    </row>
    <row r="7295">
      <c r="C7295" s="15"/>
      <c r="E7295" s="8"/>
      <c r="G7295" s="8"/>
      <c r="J7295" s="8"/>
    </row>
    <row r="7296">
      <c r="C7296" s="15"/>
      <c r="E7296" s="8"/>
      <c r="G7296" s="8"/>
      <c r="J7296" s="8"/>
    </row>
    <row r="7297">
      <c r="C7297" s="15"/>
      <c r="E7297" s="8"/>
      <c r="G7297" s="8"/>
      <c r="J7297" s="8"/>
    </row>
    <row r="7298">
      <c r="C7298" s="15"/>
      <c r="E7298" s="8"/>
      <c r="G7298" s="8"/>
      <c r="J7298" s="8"/>
    </row>
    <row r="7299">
      <c r="C7299" s="15"/>
      <c r="E7299" s="8"/>
      <c r="G7299" s="8"/>
      <c r="J7299" s="8"/>
    </row>
    <row r="7300">
      <c r="C7300" s="15"/>
      <c r="E7300" s="8"/>
      <c r="G7300" s="8"/>
      <c r="J7300" s="8"/>
    </row>
    <row r="7301">
      <c r="C7301" s="15"/>
      <c r="E7301" s="8"/>
      <c r="G7301" s="8"/>
      <c r="J7301" s="8"/>
    </row>
    <row r="7302">
      <c r="C7302" s="15"/>
      <c r="E7302" s="8"/>
      <c r="G7302" s="8"/>
      <c r="J7302" s="8"/>
    </row>
    <row r="7303">
      <c r="C7303" s="15"/>
      <c r="E7303" s="8"/>
      <c r="G7303" s="8"/>
      <c r="J7303" s="8"/>
    </row>
    <row r="7304">
      <c r="C7304" s="15"/>
      <c r="E7304" s="8"/>
      <c r="G7304" s="8"/>
      <c r="J7304" s="8"/>
    </row>
    <row r="7305">
      <c r="C7305" s="15"/>
      <c r="E7305" s="8"/>
      <c r="G7305" s="8"/>
      <c r="J7305" s="8"/>
    </row>
    <row r="7306">
      <c r="C7306" s="15"/>
      <c r="E7306" s="8"/>
      <c r="G7306" s="8"/>
      <c r="J7306" s="8"/>
    </row>
    <row r="7307">
      <c r="C7307" s="15"/>
      <c r="E7307" s="8"/>
      <c r="G7307" s="8"/>
      <c r="J7307" s="8"/>
    </row>
    <row r="7308">
      <c r="C7308" s="15"/>
      <c r="E7308" s="8"/>
      <c r="G7308" s="8"/>
      <c r="J7308" s="8"/>
    </row>
    <row r="7309">
      <c r="C7309" s="15"/>
      <c r="E7309" s="8"/>
      <c r="G7309" s="8"/>
      <c r="J7309" s="8"/>
    </row>
    <row r="7310">
      <c r="C7310" s="15"/>
      <c r="E7310" s="8"/>
      <c r="G7310" s="8"/>
      <c r="J7310" s="8"/>
    </row>
    <row r="7311">
      <c r="C7311" s="15"/>
      <c r="E7311" s="8"/>
      <c r="G7311" s="8"/>
      <c r="J7311" s="8"/>
    </row>
    <row r="7312">
      <c r="C7312" s="15"/>
      <c r="E7312" s="8"/>
      <c r="G7312" s="8"/>
      <c r="J7312" s="8"/>
    </row>
    <row r="7313">
      <c r="C7313" s="15"/>
      <c r="E7313" s="8"/>
      <c r="G7313" s="8"/>
      <c r="J7313" s="8"/>
    </row>
    <row r="7314">
      <c r="C7314" s="15"/>
      <c r="E7314" s="8"/>
      <c r="G7314" s="8"/>
      <c r="J7314" s="8"/>
    </row>
    <row r="7315">
      <c r="C7315" s="15"/>
      <c r="E7315" s="8"/>
      <c r="G7315" s="8"/>
      <c r="J7315" s="8"/>
    </row>
    <row r="7316">
      <c r="C7316" s="15"/>
      <c r="E7316" s="8"/>
      <c r="G7316" s="8"/>
      <c r="J7316" s="8"/>
    </row>
    <row r="7317">
      <c r="C7317" s="15"/>
      <c r="E7317" s="8"/>
      <c r="G7317" s="8"/>
      <c r="J7317" s="8"/>
    </row>
    <row r="7318">
      <c r="C7318" s="15"/>
      <c r="E7318" s="8"/>
      <c r="G7318" s="8"/>
      <c r="J7318" s="8"/>
    </row>
    <row r="7319">
      <c r="C7319" s="15"/>
      <c r="E7319" s="8"/>
      <c r="G7319" s="8"/>
      <c r="J7319" s="8"/>
    </row>
    <row r="7320">
      <c r="C7320" s="15"/>
      <c r="E7320" s="8"/>
      <c r="G7320" s="8"/>
      <c r="J7320" s="8"/>
    </row>
    <row r="7321">
      <c r="C7321" s="15"/>
      <c r="E7321" s="8"/>
      <c r="G7321" s="8"/>
      <c r="J7321" s="8"/>
    </row>
    <row r="7322">
      <c r="C7322" s="15"/>
      <c r="E7322" s="8"/>
      <c r="G7322" s="8"/>
      <c r="J7322" s="8"/>
    </row>
    <row r="7323">
      <c r="C7323" s="15"/>
      <c r="E7323" s="8"/>
      <c r="G7323" s="8"/>
      <c r="J7323" s="8"/>
    </row>
    <row r="7324">
      <c r="C7324" s="15"/>
      <c r="E7324" s="8"/>
      <c r="G7324" s="8"/>
      <c r="J7324" s="8"/>
    </row>
    <row r="7325">
      <c r="C7325" s="15"/>
      <c r="E7325" s="8"/>
      <c r="G7325" s="8"/>
      <c r="J7325" s="8"/>
    </row>
    <row r="7326">
      <c r="C7326" s="15"/>
      <c r="E7326" s="8"/>
      <c r="G7326" s="8"/>
      <c r="J7326" s="8"/>
    </row>
    <row r="7327">
      <c r="C7327" s="15"/>
      <c r="E7327" s="8"/>
      <c r="G7327" s="8"/>
      <c r="J7327" s="8"/>
    </row>
    <row r="7328">
      <c r="C7328" s="15"/>
      <c r="E7328" s="8"/>
      <c r="G7328" s="8"/>
      <c r="J7328" s="8"/>
    </row>
    <row r="7329">
      <c r="C7329" s="15"/>
      <c r="E7329" s="8"/>
      <c r="G7329" s="8"/>
      <c r="J7329" s="8"/>
    </row>
    <row r="7330">
      <c r="C7330" s="15"/>
      <c r="E7330" s="8"/>
      <c r="G7330" s="8"/>
      <c r="J7330" s="8"/>
    </row>
    <row r="7331">
      <c r="C7331" s="15"/>
      <c r="E7331" s="8"/>
      <c r="G7331" s="8"/>
      <c r="J7331" s="8"/>
    </row>
    <row r="7332">
      <c r="C7332" s="15"/>
      <c r="E7332" s="8"/>
      <c r="G7332" s="8"/>
      <c r="J7332" s="8"/>
    </row>
    <row r="7333">
      <c r="C7333" s="15"/>
      <c r="E7333" s="8"/>
      <c r="G7333" s="8"/>
      <c r="J7333" s="8"/>
    </row>
    <row r="7334">
      <c r="C7334" s="15"/>
      <c r="E7334" s="8"/>
      <c r="G7334" s="8"/>
      <c r="J7334" s="8"/>
    </row>
    <row r="7335">
      <c r="C7335" s="15"/>
      <c r="E7335" s="8"/>
      <c r="G7335" s="8"/>
      <c r="J7335" s="8"/>
    </row>
    <row r="7336">
      <c r="C7336" s="15"/>
      <c r="E7336" s="8"/>
      <c r="G7336" s="8"/>
      <c r="J7336" s="8"/>
    </row>
    <row r="7337">
      <c r="C7337" s="15"/>
      <c r="E7337" s="8"/>
      <c r="G7337" s="8"/>
      <c r="J7337" s="8"/>
    </row>
    <row r="7338">
      <c r="C7338" s="15"/>
      <c r="E7338" s="8"/>
      <c r="G7338" s="8"/>
      <c r="J7338" s="8"/>
    </row>
    <row r="7339">
      <c r="C7339" s="15"/>
      <c r="E7339" s="8"/>
      <c r="G7339" s="8"/>
      <c r="J7339" s="8"/>
    </row>
    <row r="7340">
      <c r="C7340" s="15"/>
      <c r="E7340" s="8"/>
      <c r="G7340" s="8"/>
      <c r="J7340" s="8"/>
    </row>
    <row r="7341">
      <c r="C7341" s="15"/>
      <c r="E7341" s="8"/>
      <c r="G7341" s="8"/>
      <c r="J7341" s="8"/>
    </row>
    <row r="7342">
      <c r="C7342" s="15"/>
      <c r="E7342" s="8"/>
      <c r="G7342" s="8"/>
      <c r="J7342" s="8"/>
    </row>
    <row r="7343">
      <c r="C7343" s="15"/>
      <c r="E7343" s="8"/>
      <c r="G7343" s="8"/>
      <c r="J7343" s="8"/>
    </row>
    <row r="7344">
      <c r="C7344" s="15"/>
      <c r="E7344" s="8"/>
      <c r="G7344" s="8"/>
      <c r="J7344" s="8"/>
    </row>
    <row r="7345">
      <c r="C7345" s="15"/>
      <c r="E7345" s="8"/>
      <c r="G7345" s="8"/>
      <c r="J7345" s="8"/>
    </row>
    <row r="7346">
      <c r="C7346" s="15"/>
      <c r="E7346" s="8"/>
      <c r="G7346" s="8"/>
      <c r="J7346" s="8"/>
    </row>
    <row r="7347">
      <c r="C7347" s="15"/>
      <c r="E7347" s="8"/>
      <c r="G7347" s="8"/>
      <c r="J7347" s="8"/>
    </row>
    <row r="7348">
      <c r="C7348" s="15"/>
      <c r="E7348" s="8"/>
      <c r="G7348" s="8"/>
      <c r="J7348" s="8"/>
    </row>
    <row r="7349">
      <c r="C7349" s="15"/>
      <c r="E7349" s="8"/>
      <c r="G7349" s="8"/>
      <c r="J7349" s="8"/>
    </row>
    <row r="7350">
      <c r="C7350" s="15"/>
      <c r="E7350" s="8"/>
      <c r="G7350" s="8"/>
      <c r="J7350" s="8"/>
    </row>
    <row r="7351">
      <c r="C7351" s="15"/>
      <c r="E7351" s="8"/>
      <c r="G7351" s="8"/>
      <c r="J7351" s="8"/>
    </row>
    <row r="7352">
      <c r="C7352" s="15"/>
      <c r="E7352" s="8"/>
      <c r="G7352" s="8"/>
      <c r="J7352" s="8"/>
    </row>
    <row r="7353">
      <c r="C7353" s="15"/>
      <c r="E7353" s="8"/>
      <c r="G7353" s="8"/>
      <c r="J7353" s="8"/>
    </row>
    <row r="7354">
      <c r="C7354" s="15"/>
      <c r="E7354" s="8"/>
      <c r="G7354" s="8"/>
      <c r="J7354" s="8"/>
    </row>
    <row r="7355">
      <c r="C7355" s="15"/>
      <c r="E7355" s="8"/>
      <c r="G7355" s="8"/>
      <c r="J7355" s="8"/>
    </row>
    <row r="7356">
      <c r="C7356" s="15"/>
      <c r="E7356" s="8"/>
      <c r="G7356" s="8"/>
      <c r="J7356" s="8"/>
    </row>
    <row r="7357">
      <c r="C7357" s="15"/>
      <c r="E7357" s="8"/>
      <c r="G7357" s="8"/>
      <c r="J7357" s="8"/>
    </row>
    <row r="7358">
      <c r="C7358" s="15"/>
      <c r="E7358" s="8"/>
      <c r="G7358" s="8"/>
      <c r="J7358" s="8"/>
    </row>
    <row r="7359">
      <c r="C7359" s="15"/>
      <c r="E7359" s="8"/>
      <c r="G7359" s="8"/>
      <c r="J7359" s="8"/>
    </row>
    <row r="7360">
      <c r="C7360" s="15"/>
      <c r="E7360" s="8"/>
      <c r="G7360" s="8"/>
      <c r="J7360" s="8"/>
    </row>
    <row r="7361">
      <c r="C7361" s="15"/>
      <c r="E7361" s="8"/>
      <c r="G7361" s="8"/>
      <c r="J7361" s="8"/>
    </row>
    <row r="7362">
      <c r="C7362" s="15"/>
      <c r="E7362" s="8"/>
      <c r="G7362" s="8"/>
      <c r="J7362" s="8"/>
    </row>
    <row r="7363">
      <c r="C7363" s="15"/>
      <c r="E7363" s="8"/>
      <c r="G7363" s="8"/>
      <c r="J7363" s="8"/>
    </row>
    <row r="7364">
      <c r="C7364" s="15"/>
      <c r="E7364" s="8"/>
      <c r="G7364" s="8"/>
      <c r="J7364" s="8"/>
    </row>
    <row r="7365">
      <c r="C7365" s="15"/>
      <c r="E7365" s="8"/>
      <c r="G7365" s="8"/>
      <c r="J7365" s="8"/>
    </row>
    <row r="7366">
      <c r="C7366" s="15"/>
      <c r="E7366" s="8"/>
      <c r="G7366" s="8"/>
      <c r="J7366" s="8"/>
    </row>
    <row r="7367">
      <c r="C7367" s="15"/>
      <c r="E7367" s="8"/>
      <c r="G7367" s="8"/>
      <c r="J7367" s="8"/>
    </row>
    <row r="7368">
      <c r="C7368" s="15"/>
      <c r="E7368" s="8"/>
      <c r="G7368" s="8"/>
      <c r="J7368" s="8"/>
    </row>
    <row r="7369">
      <c r="C7369" s="15"/>
      <c r="E7369" s="8"/>
      <c r="G7369" s="8"/>
      <c r="J7369" s="8"/>
    </row>
    <row r="7370">
      <c r="C7370" s="15"/>
      <c r="E7370" s="8"/>
      <c r="G7370" s="8"/>
      <c r="J7370" s="8"/>
    </row>
    <row r="7371">
      <c r="C7371" s="15"/>
      <c r="E7371" s="8"/>
      <c r="G7371" s="8"/>
      <c r="J7371" s="8"/>
    </row>
    <row r="7372">
      <c r="C7372" s="15"/>
      <c r="E7372" s="8"/>
      <c r="G7372" s="8"/>
      <c r="J7372" s="8"/>
    </row>
    <row r="7373">
      <c r="C7373" s="15"/>
      <c r="E7373" s="8"/>
      <c r="G7373" s="8"/>
      <c r="J7373" s="8"/>
    </row>
    <row r="7374">
      <c r="C7374" s="15"/>
      <c r="E7374" s="8"/>
      <c r="G7374" s="8"/>
      <c r="J7374" s="8"/>
    </row>
    <row r="7375">
      <c r="C7375" s="15"/>
      <c r="E7375" s="8"/>
      <c r="G7375" s="8"/>
      <c r="J7375" s="8"/>
    </row>
    <row r="7376">
      <c r="C7376" s="15"/>
      <c r="E7376" s="8"/>
      <c r="G7376" s="8"/>
      <c r="J7376" s="8"/>
    </row>
    <row r="7377">
      <c r="C7377" s="15"/>
      <c r="E7377" s="8"/>
      <c r="G7377" s="8"/>
      <c r="J7377" s="8"/>
    </row>
    <row r="7378">
      <c r="C7378" s="15"/>
      <c r="E7378" s="8"/>
      <c r="G7378" s="8"/>
      <c r="J7378" s="8"/>
    </row>
    <row r="7379">
      <c r="C7379" s="15"/>
      <c r="E7379" s="8"/>
      <c r="G7379" s="8"/>
      <c r="J7379" s="8"/>
    </row>
    <row r="7380">
      <c r="C7380" s="15"/>
      <c r="E7380" s="8"/>
      <c r="G7380" s="8"/>
      <c r="J7380" s="8"/>
    </row>
    <row r="7381">
      <c r="C7381" s="15"/>
      <c r="E7381" s="8"/>
      <c r="G7381" s="8"/>
      <c r="J7381" s="8"/>
    </row>
    <row r="7382">
      <c r="C7382" s="15"/>
      <c r="E7382" s="8"/>
      <c r="G7382" s="8"/>
      <c r="J7382" s="8"/>
    </row>
    <row r="7383">
      <c r="C7383" s="15"/>
      <c r="E7383" s="8"/>
      <c r="G7383" s="8"/>
      <c r="J7383" s="8"/>
    </row>
    <row r="7384">
      <c r="C7384" s="15"/>
      <c r="E7384" s="8"/>
      <c r="G7384" s="8"/>
      <c r="J7384" s="8"/>
    </row>
    <row r="7385">
      <c r="C7385" s="15"/>
      <c r="E7385" s="8"/>
      <c r="G7385" s="8"/>
      <c r="J7385" s="8"/>
    </row>
    <row r="7386">
      <c r="C7386" s="15"/>
      <c r="E7386" s="8"/>
      <c r="G7386" s="8"/>
      <c r="J7386" s="8"/>
    </row>
    <row r="7387">
      <c r="C7387" s="15"/>
      <c r="E7387" s="8"/>
      <c r="G7387" s="8"/>
      <c r="J7387" s="8"/>
    </row>
    <row r="7388">
      <c r="C7388" s="15"/>
      <c r="E7388" s="8"/>
      <c r="G7388" s="8"/>
      <c r="J7388" s="8"/>
    </row>
    <row r="7389">
      <c r="C7389" s="15"/>
      <c r="E7389" s="8"/>
      <c r="G7389" s="8"/>
      <c r="J7389" s="8"/>
    </row>
    <row r="7390">
      <c r="C7390" s="15"/>
      <c r="E7390" s="8"/>
      <c r="G7390" s="8"/>
      <c r="J7390" s="8"/>
    </row>
    <row r="7391">
      <c r="C7391" s="15"/>
      <c r="E7391" s="8"/>
      <c r="G7391" s="8"/>
      <c r="J7391" s="8"/>
    </row>
    <row r="7392">
      <c r="C7392" s="15"/>
      <c r="E7392" s="8"/>
      <c r="G7392" s="8"/>
      <c r="J7392" s="8"/>
    </row>
    <row r="7393">
      <c r="C7393" s="15"/>
      <c r="E7393" s="8"/>
      <c r="G7393" s="8"/>
      <c r="J7393" s="8"/>
    </row>
    <row r="7394">
      <c r="C7394" s="15"/>
      <c r="E7394" s="8"/>
      <c r="G7394" s="8"/>
      <c r="J7394" s="8"/>
    </row>
    <row r="7395">
      <c r="C7395" s="15"/>
      <c r="E7395" s="8"/>
      <c r="G7395" s="8"/>
      <c r="J7395" s="8"/>
    </row>
    <row r="7396">
      <c r="C7396" s="15"/>
      <c r="E7396" s="8"/>
      <c r="G7396" s="8"/>
      <c r="J7396" s="8"/>
    </row>
    <row r="7397">
      <c r="C7397" s="15"/>
      <c r="E7397" s="8"/>
      <c r="G7397" s="8"/>
      <c r="J7397" s="8"/>
    </row>
    <row r="7398">
      <c r="C7398" s="15"/>
      <c r="E7398" s="8"/>
      <c r="G7398" s="8"/>
      <c r="J7398" s="8"/>
    </row>
    <row r="7399">
      <c r="C7399" s="15"/>
      <c r="E7399" s="8"/>
      <c r="G7399" s="8"/>
      <c r="J7399" s="8"/>
    </row>
    <row r="7400">
      <c r="C7400" s="15"/>
      <c r="E7400" s="8"/>
      <c r="G7400" s="8"/>
      <c r="J7400" s="8"/>
    </row>
    <row r="7401">
      <c r="C7401" s="15"/>
      <c r="E7401" s="8"/>
      <c r="G7401" s="8"/>
      <c r="J7401" s="8"/>
    </row>
    <row r="7402">
      <c r="C7402" s="15"/>
      <c r="E7402" s="8"/>
      <c r="G7402" s="8"/>
      <c r="J7402" s="8"/>
    </row>
    <row r="7403">
      <c r="C7403" s="15"/>
      <c r="E7403" s="8"/>
      <c r="G7403" s="8"/>
      <c r="J7403" s="8"/>
    </row>
    <row r="7404">
      <c r="C7404" s="15"/>
      <c r="E7404" s="8"/>
      <c r="G7404" s="8"/>
      <c r="J7404" s="8"/>
    </row>
    <row r="7405">
      <c r="C7405" s="15"/>
      <c r="E7405" s="8"/>
      <c r="G7405" s="8"/>
      <c r="J7405" s="8"/>
    </row>
    <row r="7406">
      <c r="C7406" s="15"/>
      <c r="E7406" s="8"/>
      <c r="G7406" s="8"/>
      <c r="J7406" s="8"/>
    </row>
    <row r="7407">
      <c r="C7407" s="15"/>
      <c r="E7407" s="8"/>
      <c r="G7407" s="8"/>
      <c r="J7407" s="8"/>
    </row>
    <row r="7408">
      <c r="C7408" s="15"/>
      <c r="E7408" s="8"/>
      <c r="G7408" s="8"/>
      <c r="J7408" s="8"/>
    </row>
    <row r="7409">
      <c r="C7409" s="15"/>
      <c r="E7409" s="8"/>
      <c r="G7409" s="8"/>
      <c r="J7409" s="8"/>
    </row>
    <row r="7410">
      <c r="C7410" s="15"/>
      <c r="E7410" s="8"/>
      <c r="G7410" s="8"/>
      <c r="J7410" s="8"/>
    </row>
    <row r="7411">
      <c r="C7411" s="15"/>
      <c r="E7411" s="8"/>
      <c r="G7411" s="8"/>
      <c r="J7411" s="8"/>
    </row>
    <row r="7412">
      <c r="C7412" s="15"/>
      <c r="E7412" s="8"/>
      <c r="G7412" s="8"/>
      <c r="J7412" s="8"/>
    </row>
    <row r="7413">
      <c r="C7413" s="15"/>
      <c r="E7413" s="8"/>
      <c r="G7413" s="8"/>
      <c r="J7413" s="8"/>
    </row>
    <row r="7414">
      <c r="C7414" s="15"/>
      <c r="E7414" s="8"/>
      <c r="G7414" s="8"/>
      <c r="J7414" s="8"/>
    </row>
    <row r="7415">
      <c r="C7415" s="15"/>
      <c r="E7415" s="8"/>
      <c r="G7415" s="8"/>
      <c r="J7415" s="8"/>
    </row>
    <row r="7416">
      <c r="C7416" s="15"/>
      <c r="E7416" s="8"/>
      <c r="G7416" s="8"/>
      <c r="J7416" s="8"/>
    </row>
    <row r="7417">
      <c r="C7417" s="15"/>
      <c r="E7417" s="8"/>
      <c r="G7417" s="8"/>
      <c r="J7417" s="8"/>
    </row>
    <row r="7418">
      <c r="C7418" s="15"/>
      <c r="E7418" s="8"/>
      <c r="G7418" s="8"/>
      <c r="J7418" s="8"/>
    </row>
    <row r="7419">
      <c r="C7419" s="15"/>
      <c r="E7419" s="8"/>
      <c r="G7419" s="8"/>
      <c r="J7419" s="8"/>
    </row>
    <row r="7420">
      <c r="C7420" s="15"/>
      <c r="E7420" s="8"/>
      <c r="G7420" s="8"/>
      <c r="J7420" s="8"/>
    </row>
    <row r="7421">
      <c r="C7421" s="15"/>
      <c r="E7421" s="8"/>
      <c r="G7421" s="8"/>
      <c r="J7421" s="8"/>
    </row>
    <row r="7422">
      <c r="C7422" s="15"/>
      <c r="E7422" s="8"/>
      <c r="G7422" s="8"/>
      <c r="J7422" s="8"/>
    </row>
    <row r="7423">
      <c r="C7423" s="15"/>
      <c r="E7423" s="8"/>
      <c r="G7423" s="8"/>
      <c r="J7423" s="8"/>
    </row>
    <row r="7424">
      <c r="C7424" s="15"/>
      <c r="E7424" s="8"/>
      <c r="G7424" s="8"/>
      <c r="J7424" s="8"/>
    </row>
    <row r="7425">
      <c r="C7425" s="15"/>
      <c r="E7425" s="8"/>
      <c r="G7425" s="8"/>
      <c r="J7425" s="8"/>
    </row>
    <row r="7426">
      <c r="C7426" s="15"/>
      <c r="E7426" s="8"/>
      <c r="G7426" s="8"/>
      <c r="J7426" s="8"/>
    </row>
    <row r="7427">
      <c r="C7427" s="15"/>
      <c r="E7427" s="8"/>
      <c r="G7427" s="8"/>
      <c r="J7427" s="8"/>
    </row>
    <row r="7428">
      <c r="C7428" s="15"/>
      <c r="E7428" s="8"/>
      <c r="G7428" s="8"/>
      <c r="J7428" s="8"/>
    </row>
    <row r="7429">
      <c r="C7429" s="15"/>
      <c r="E7429" s="8"/>
      <c r="G7429" s="8"/>
      <c r="J7429" s="8"/>
    </row>
    <row r="7430">
      <c r="C7430" s="15"/>
      <c r="E7430" s="8"/>
      <c r="G7430" s="8"/>
      <c r="J7430" s="8"/>
    </row>
    <row r="7431">
      <c r="C7431" s="15"/>
      <c r="E7431" s="8"/>
      <c r="G7431" s="8"/>
      <c r="J7431" s="8"/>
    </row>
    <row r="7432">
      <c r="C7432" s="15"/>
      <c r="E7432" s="8"/>
      <c r="G7432" s="8"/>
      <c r="J7432" s="8"/>
    </row>
    <row r="7433">
      <c r="C7433" s="15"/>
      <c r="E7433" s="8"/>
      <c r="G7433" s="8"/>
      <c r="J7433" s="8"/>
    </row>
    <row r="7434">
      <c r="C7434" s="15"/>
      <c r="E7434" s="8"/>
      <c r="G7434" s="8"/>
      <c r="J7434" s="8"/>
    </row>
    <row r="7435">
      <c r="C7435" s="15"/>
      <c r="E7435" s="8"/>
      <c r="G7435" s="8"/>
      <c r="J7435" s="8"/>
    </row>
    <row r="7436">
      <c r="C7436" s="15"/>
      <c r="E7436" s="8"/>
      <c r="G7436" s="8"/>
      <c r="J7436" s="8"/>
    </row>
    <row r="7437">
      <c r="C7437" s="15"/>
      <c r="E7437" s="8"/>
      <c r="G7437" s="8"/>
      <c r="J7437" s="8"/>
    </row>
    <row r="7438">
      <c r="C7438" s="15"/>
      <c r="E7438" s="8"/>
      <c r="G7438" s="8"/>
      <c r="J7438" s="8"/>
    </row>
    <row r="7439">
      <c r="C7439" s="15"/>
      <c r="E7439" s="8"/>
      <c r="G7439" s="8"/>
      <c r="J7439" s="8"/>
    </row>
    <row r="7440">
      <c r="C7440" s="15"/>
      <c r="E7440" s="8"/>
      <c r="G7440" s="8"/>
      <c r="J7440" s="8"/>
    </row>
    <row r="7441">
      <c r="C7441" s="15"/>
      <c r="E7441" s="8"/>
      <c r="G7441" s="8"/>
      <c r="J7441" s="8"/>
    </row>
    <row r="7442">
      <c r="C7442" s="15"/>
      <c r="E7442" s="8"/>
      <c r="G7442" s="8"/>
      <c r="J7442" s="8"/>
    </row>
    <row r="7443">
      <c r="C7443" s="15"/>
      <c r="E7443" s="8"/>
      <c r="G7443" s="8"/>
      <c r="J7443" s="8"/>
    </row>
    <row r="7444">
      <c r="C7444" s="15"/>
      <c r="E7444" s="8"/>
      <c r="G7444" s="8"/>
      <c r="J7444" s="8"/>
    </row>
    <row r="7445">
      <c r="C7445" s="15"/>
      <c r="E7445" s="8"/>
      <c r="G7445" s="8"/>
      <c r="J7445" s="8"/>
    </row>
    <row r="7446">
      <c r="C7446" s="15"/>
      <c r="E7446" s="8"/>
      <c r="G7446" s="8"/>
      <c r="J7446" s="8"/>
    </row>
    <row r="7447">
      <c r="C7447" s="15"/>
      <c r="E7447" s="8"/>
      <c r="G7447" s="8"/>
      <c r="J7447" s="8"/>
    </row>
    <row r="7448">
      <c r="C7448" s="15"/>
      <c r="E7448" s="8"/>
      <c r="G7448" s="8"/>
      <c r="J7448" s="8"/>
    </row>
    <row r="7449">
      <c r="C7449" s="15"/>
      <c r="E7449" s="8"/>
      <c r="G7449" s="8"/>
      <c r="J7449" s="8"/>
    </row>
    <row r="7450">
      <c r="C7450" s="15"/>
      <c r="E7450" s="8"/>
      <c r="G7450" s="8"/>
      <c r="J7450" s="8"/>
    </row>
    <row r="7451">
      <c r="C7451" s="15"/>
      <c r="E7451" s="8"/>
      <c r="G7451" s="8"/>
      <c r="J7451" s="8"/>
    </row>
    <row r="7452">
      <c r="C7452" s="15"/>
      <c r="E7452" s="8"/>
      <c r="G7452" s="8"/>
      <c r="J7452" s="8"/>
    </row>
    <row r="7453">
      <c r="C7453" s="15"/>
      <c r="E7453" s="8"/>
      <c r="G7453" s="8"/>
      <c r="J7453" s="8"/>
    </row>
    <row r="7454">
      <c r="C7454" s="15"/>
      <c r="E7454" s="8"/>
      <c r="G7454" s="8"/>
      <c r="J7454" s="8"/>
    </row>
    <row r="7455">
      <c r="C7455" s="15"/>
      <c r="E7455" s="8"/>
      <c r="G7455" s="8"/>
      <c r="J7455" s="8"/>
    </row>
    <row r="7456">
      <c r="C7456" s="15"/>
      <c r="E7456" s="8"/>
      <c r="G7456" s="8"/>
      <c r="J7456" s="8"/>
    </row>
    <row r="7457">
      <c r="C7457" s="15"/>
      <c r="E7457" s="8"/>
      <c r="G7457" s="8"/>
      <c r="J7457" s="8"/>
    </row>
    <row r="7458">
      <c r="C7458" s="15"/>
      <c r="E7458" s="8"/>
      <c r="G7458" s="8"/>
      <c r="J7458" s="8"/>
    </row>
    <row r="7459">
      <c r="C7459" s="15"/>
      <c r="E7459" s="8"/>
      <c r="G7459" s="8"/>
      <c r="J7459" s="8"/>
    </row>
    <row r="7460">
      <c r="C7460" s="15"/>
      <c r="E7460" s="8"/>
      <c r="G7460" s="8"/>
      <c r="J7460" s="8"/>
    </row>
    <row r="7461">
      <c r="C7461" s="15"/>
      <c r="E7461" s="8"/>
      <c r="G7461" s="8"/>
      <c r="J7461" s="8"/>
    </row>
    <row r="7462">
      <c r="C7462" s="15"/>
      <c r="E7462" s="8"/>
      <c r="G7462" s="8"/>
      <c r="J7462" s="8"/>
    </row>
    <row r="7463">
      <c r="C7463" s="15"/>
      <c r="E7463" s="8"/>
      <c r="G7463" s="8"/>
      <c r="J7463" s="8"/>
    </row>
    <row r="7464">
      <c r="C7464" s="15"/>
      <c r="E7464" s="8"/>
      <c r="G7464" s="8"/>
      <c r="J7464" s="8"/>
    </row>
    <row r="7465">
      <c r="C7465" s="15"/>
      <c r="E7465" s="8"/>
      <c r="G7465" s="8"/>
      <c r="J7465" s="8"/>
    </row>
    <row r="7466">
      <c r="C7466" s="15"/>
      <c r="E7466" s="8"/>
      <c r="G7466" s="8"/>
      <c r="J7466" s="8"/>
    </row>
    <row r="7467">
      <c r="C7467" s="15"/>
      <c r="E7467" s="8"/>
      <c r="G7467" s="8"/>
      <c r="J7467" s="8"/>
    </row>
    <row r="7468">
      <c r="C7468" s="15"/>
      <c r="E7468" s="8"/>
      <c r="G7468" s="8"/>
      <c r="J7468" s="8"/>
    </row>
    <row r="7469">
      <c r="C7469" s="15"/>
      <c r="E7469" s="8"/>
      <c r="G7469" s="8"/>
      <c r="J7469" s="8"/>
    </row>
    <row r="7470">
      <c r="C7470" s="15"/>
      <c r="E7470" s="8"/>
      <c r="G7470" s="8"/>
      <c r="J7470" s="8"/>
    </row>
    <row r="7471">
      <c r="C7471" s="15"/>
      <c r="E7471" s="8"/>
      <c r="G7471" s="8"/>
      <c r="J7471" s="8"/>
    </row>
    <row r="7472">
      <c r="C7472" s="15"/>
      <c r="E7472" s="8"/>
      <c r="G7472" s="8"/>
      <c r="J7472" s="8"/>
    </row>
    <row r="7473">
      <c r="C7473" s="15"/>
      <c r="E7473" s="8"/>
      <c r="G7473" s="8"/>
      <c r="J7473" s="8"/>
    </row>
    <row r="7474">
      <c r="C7474" s="15"/>
      <c r="E7474" s="8"/>
      <c r="G7474" s="8"/>
      <c r="J7474" s="8"/>
    </row>
    <row r="7475">
      <c r="C7475" s="15"/>
      <c r="E7475" s="8"/>
      <c r="G7475" s="8"/>
      <c r="J7475" s="8"/>
    </row>
    <row r="7476">
      <c r="C7476" s="15"/>
      <c r="E7476" s="8"/>
      <c r="G7476" s="8"/>
      <c r="J7476" s="8"/>
    </row>
    <row r="7477">
      <c r="C7477" s="15"/>
      <c r="E7477" s="8"/>
      <c r="G7477" s="8"/>
      <c r="J7477" s="8"/>
    </row>
    <row r="7478">
      <c r="C7478" s="15"/>
      <c r="E7478" s="8"/>
      <c r="G7478" s="8"/>
      <c r="J7478" s="8"/>
    </row>
    <row r="7479">
      <c r="C7479" s="15"/>
      <c r="E7479" s="8"/>
      <c r="G7479" s="8"/>
      <c r="J7479" s="8"/>
    </row>
    <row r="7480">
      <c r="C7480" s="15"/>
      <c r="E7480" s="8"/>
      <c r="G7480" s="8"/>
      <c r="J7480" s="8"/>
    </row>
    <row r="7481">
      <c r="C7481" s="15"/>
      <c r="E7481" s="8"/>
      <c r="G7481" s="8"/>
      <c r="J7481" s="8"/>
    </row>
    <row r="7482">
      <c r="C7482" s="15"/>
      <c r="E7482" s="8"/>
      <c r="G7482" s="8"/>
      <c r="J7482" s="8"/>
    </row>
    <row r="7483">
      <c r="C7483" s="15"/>
      <c r="E7483" s="8"/>
      <c r="G7483" s="8"/>
      <c r="J7483" s="8"/>
    </row>
    <row r="7484">
      <c r="C7484" s="15"/>
      <c r="E7484" s="8"/>
      <c r="G7484" s="8"/>
      <c r="J7484" s="8"/>
    </row>
    <row r="7485">
      <c r="C7485" s="15"/>
      <c r="E7485" s="8"/>
      <c r="G7485" s="8"/>
      <c r="J7485" s="8"/>
    </row>
    <row r="7486">
      <c r="C7486" s="15"/>
      <c r="E7486" s="8"/>
      <c r="G7486" s="8"/>
      <c r="J7486" s="8"/>
    </row>
    <row r="7487">
      <c r="C7487" s="15"/>
      <c r="E7487" s="8"/>
      <c r="G7487" s="8"/>
      <c r="J7487" s="8"/>
    </row>
    <row r="7488">
      <c r="C7488" s="15"/>
      <c r="E7488" s="8"/>
      <c r="G7488" s="8"/>
      <c r="J7488" s="8"/>
    </row>
    <row r="7489">
      <c r="C7489" s="15"/>
      <c r="E7489" s="8"/>
      <c r="G7489" s="8"/>
      <c r="J7489" s="8"/>
    </row>
    <row r="7490">
      <c r="C7490" s="15"/>
      <c r="E7490" s="8"/>
      <c r="G7490" s="8"/>
      <c r="J7490" s="8"/>
    </row>
    <row r="7491">
      <c r="C7491" s="15"/>
      <c r="E7491" s="8"/>
      <c r="G7491" s="8"/>
      <c r="J7491" s="8"/>
    </row>
    <row r="7492">
      <c r="C7492" s="15"/>
      <c r="E7492" s="8"/>
      <c r="G7492" s="8"/>
      <c r="J7492" s="8"/>
    </row>
    <row r="7493">
      <c r="C7493" s="15"/>
      <c r="E7493" s="8"/>
      <c r="G7493" s="8"/>
      <c r="J7493" s="8"/>
    </row>
    <row r="7494">
      <c r="C7494" s="15"/>
      <c r="E7494" s="8"/>
      <c r="G7494" s="8"/>
      <c r="J7494" s="8"/>
    </row>
    <row r="7495">
      <c r="C7495" s="15"/>
      <c r="E7495" s="8"/>
      <c r="G7495" s="8"/>
      <c r="J7495" s="8"/>
    </row>
    <row r="7496">
      <c r="C7496" s="15"/>
      <c r="E7496" s="8"/>
      <c r="G7496" s="8"/>
      <c r="J7496" s="8"/>
    </row>
    <row r="7497">
      <c r="C7497" s="15"/>
      <c r="E7497" s="8"/>
      <c r="G7497" s="8"/>
      <c r="J7497" s="8"/>
    </row>
    <row r="7498">
      <c r="C7498" s="15"/>
      <c r="E7498" s="8"/>
      <c r="G7498" s="8"/>
      <c r="J7498" s="8"/>
    </row>
    <row r="7499">
      <c r="C7499" s="15"/>
      <c r="E7499" s="8"/>
      <c r="G7499" s="8"/>
      <c r="J7499" s="8"/>
    </row>
    <row r="7500">
      <c r="C7500" s="15"/>
      <c r="E7500" s="8"/>
      <c r="G7500" s="8"/>
      <c r="J7500" s="8"/>
    </row>
    <row r="7501">
      <c r="C7501" s="15"/>
      <c r="E7501" s="8"/>
      <c r="G7501" s="8"/>
      <c r="J7501" s="8"/>
    </row>
    <row r="7502">
      <c r="C7502" s="15"/>
      <c r="E7502" s="8"/>
      <c r="G7502" s="8"/>
      <c r="J7502" s="8"/>
    </row>
    <row r="7503">
      <c r="C7503" s="15"/>
      <c r="E7503" s="8"/>
      <c r="G7503" s="8"/>
      <c r="J7503" s="8"/>
    </row>
    <row r="7504">
      <c r="C7504" s="15"/>
      <c r="E7504" s="8"/>
      <c r="G7504" s="8"/>
      <c r="J7504" s="8"/>
    </row>
    <row r="7505">
      <c r="C7505" s="15"/>
      <c r="E7505" s="8"/>
      <c r="G7505" s="8"/>
      <c r="J7505" s="8"/>
    </row>
    <row r="7506">
      <c r="C7506" s="15"/>
      <c r="E7506" s="8"/>
      <c r="G7506" s="8"/>
      <c r="J7506" s="8"/>
    </row>
    <row r="7507">
      <c r="C7507" s="15"/>
      <c r="E7507" s="8"/>
      <c r="G7507" s="8"/>
      <c r="J7507" s="8"/>
    </row>
    <row r="7508">
      <c r="C7508" s="15"/>
      <c r="E7508" s="8"/>
      <c r="G7508" s="8"/>
      <c r="J7508" s="8"/>
    </row>
    <row r="7509">
      <c r="C7509" s="15"/>
      <c r="E7509" s="8"/>
      <c r="G7509" s="8"/>
      <c r="J7509" s="8"/>
    </row>
    <row r="7510">
      <c r="C7510" s="15"/>
      <c r="E7510" s="8"/>
      <c r="G7510" s="8"/>
      <c r="J7510" s="8"/>
    </row>
    <row r="7511">
      <c r="C7511" s="15"/>
      <c r="E7511" s="8"/>
      <c r="G7511" s="8"/>
      <c r="J7511" s="8"/>
    </row>
    <row r="7512">
      <c r="C7512" s="15"/>
      <c r="E7512" s="8"/>
      <c r="G7512" s="8"/>
      <c r="J7512" s="8"/>
    </row>
    <row r="7513">
      <c r="C7513" s="15"/>
      <c r="E7513" s="8"/>
      <c r="G7513" s="8"/>
      <c r="J7513" s="8"/>
    </row>
    <row r="7514">
      <c r="C7514" s="15"/>
      <c r="E7514" s="8"/>
      <c r="G7514" s="8"/>
      <c r="J7514" s="8"/>
    </row>
    <row r="7515">
      <c r="C7515" s="15"/>
      <c r="E7515" s="8"/>
      <c r="G7515" s="8"/>
      <c r="J7515" s="8"/>
    </row>
    <row r="7516">
      <c r="C7516" s="15"/>
      <c r="E7516" s="8"/>
      <c r="G7516" s="8"/>
      <c r="J7516" s="8"/>
    </row>
    <row r="7517">
      <c r="C7517" s="15"/>
      <c r="E7517" s="8"/>
      <c r="G7517" s="8"/>
      <c r="J7517" s="8"/>
    </row>
    <row r="7518">
      <c r="C7518" s="15"/>
      <c r="E7518" s="8"/>
      <c r="G7518" s="8"/>
      <c r="J7518" s="8"/>
    </row>
    <row r="7519">
      <c r="C7519" s="15"/>
      <c r="E7519" s="8"/>
      <c r="G7519" s="8"/>
      <c r="J7519" s="8"/>
    </row>
    <row r="7520">
      <c r="C7520" s="15"/>
      <c r="E7520" s="8"/>
      <c r="G7520" s="8"/>
      <c r="J7520" s="8"/>
    </row>
    <row r="7521">
      <c r="C7521" s="15"/>
      <c r="E7521" s="8"/>
      <c r="G7521" s="8"/>
      <c r="J7521" s="8"/>
    </row>
    <row r="7522">
      <c r="C7522" s="15"/>
      <c r="E7522" s="8"/>
      <c r="G7522" s="8"/>
      <c r="J7522" s="8"/>
    </row>
    <row r="7523">
      <c r="C7523" s="15"/>
      <c r="E7523" s="8"/>
      <c r="G7523" s="8"/>
      <c r="J7523" s="8"/>
    </row>
    <row r="7524">
      <c r="C7524" s="15"/>
      <c r="E7524" s="8"/>
      <c r="G7524" s="8"/>
      <c r="J7524" s="8"/>
    </row>
    <row r="7525">
      <c r="C7525" s="15"/>
      <c r="E7525" s="8"/>
      <c r="G7525" s="8"/>
      <c r="J7525" s="8"/>
    </row>
    <row r="7526">
      <c r="C7526" s="15"/>
      <c r="E7526" s="8"/>
      <c r="G7526" s="8"/>
      <c r="J7526" s="8"/>
    </row>
    <row r="7527">
      <c r="C7527" s="15"/>
      <c r="E7527" s="8"/>
      <c r="G7527" s="8"/>
      <c r="J7527" s="8"/>
    </row>
    <row r="7528">
      <c r="C7528" s="15"/>
      <c r="E7528" s="8"/>
      <c r="G7528" s="8"/>
      <c r="J7528" s="8"/>
    </row>
    <row r="7529">
      <c r="C7529" s="15"/>
      <c r="E7529" s="8"/>
      <c r="G7529" s="8"/>
      <c r="J7529" s="8"/>
    </row>
    <row r="7530">
      <c r="C7530" s="15"/>
      <c r="E7530" s="8"/>
      <c r="G7530" s="8"/>
      <c r="J7530" s="8"/>
    </row>
    <row r="7531">
      <c r="C7531" s="15"/>
      <c r="E7531" s="8"/>
      <c r="G7531" s="8"/>
      <c r="J7531" s="8"/>
    </row>
    <row r="7532">
      <c r="C7532" s="15"/>
      <c r="E7532" s="8"/>
      <c r="G7532" s="8"/>
      <c r="J7532" s="8"/>
    </row>
    <row r="7533">
      <c r="C7533" s="15"/>
      <c r="E7533" s="8"/>
      <c r="G7533" s="8"/>
      <c r="J7533" s="8"/>
    </row>
    <row r="7534">
      <c r="C7534" s="15"/>
      <c r="E7534" s="8"/>
      <c r="G7534" s="8"/>
      <c r="J7534" s="8"/>
    </row>
    <row r="7535">
      <c r="C7535" s="15"/>
      <c r="E7535" s="8"/>
      <c r="G7535" s="8"/>
      <c r="J7535" s="8"/>
    </row>
    <row r="7536">
      <c r="C7536" s="15"/>
      <c r="E7536" s="8"/>
      <c r="G7536" s="8"/>
      <c r="J7536" s="8"/>
    </row>
    <row r="7537">
      <c r="C7537" s="15"/>
      <c r="E7537" s="8"/>
      <c r="G7537" s="8"/>
      <c r="J7537" s="8"/>
    </row>
    <row r="7538">
      <c r="C7538" s="15"/>
      <c r="E7538" s="8"/>
      <c r="G7538" s="8"/>
      <c r="J7538" s="8"/>
    </row>
    <row r="7539">
      <c r="C7539" s="15"/>
      <c r="E7539" s="8"/>
      <c r="G7539" s="8"/>
      <c r="J7539" s="8"/>
    </row>
    <row r="7540">
      <c r="C7540" s="15"/>
      <c r="E7540" s="8"/>
      <c r="G7540" s="8"/>
      <c r="J7540" s="8"/>
    </row>
    <row r="7541">
      <c r="C7541" s="15"/>
      <c r="E7541" s="8"/>
      <c r="G7541" s="8"/>
      <c r="J7541" s="8"/>
    </row>
    <row r="7542">
      <c r="C7542" s="15"/>
      <c r="E7542" s="8"/>
      <c r="G7542" s="8"/>
      <c r="J7542" s="8"/>
    </row>
    <row r="7543">
      <c r="C7543" s="15"/>
      <c r="E7543" s="8"/>
      <c r="G7543" s="8"/>
      <c r="J7543" s="8"/>
    </row>
    <row r="7544">
      <c r="C7544" s="15"/>
      <c r="E7544" s="8"/>
      <c r="G7544" s="8"/>
      <c r="J7544" s="8"/>
    </row>
    <row r="7545">
      <c r="C7545" s="15"/>
      <c r="E7545" s="8"/>
      <c r="G7545" s="8"/>
      <c r="J7545" s="8"/>
    </row>
    <row r="7546">
      <c r="C7546" s="15"/>
      <c r="E7546" s="8"/>
      <c r="G7546" s="8"/>
      <c r="J7546" s="8"/>
    </row>
    <row r="7547">
      <c r="C7547" s="15"/>
      <c r="E7547" s="8"/>
      <c r="G7547" s="8"/>
      <c r="J7547" s="8"/>
    </row>
    <row r="7548">
      <c r="C7548" s="15"/>
      <c r="E7548" s="8"/>
      <c r="G7548" s="8"/>
      <c r="J7548" s="8"/>
    </row>
    <row r="7549">
      <c r="C7549" s="15"/>
      <c r="E7549" s="8"/>
      <c r="G7549" s="8"/>
      <c r="J7549" s="8"/>
    </row>
    <row r="7550">
      <c r="C7550" s="15"/>
      <c r="E7550" s="8"/>
      <c r="G7550" s="8"/>
      <c r="J7550" s="8"/>
    </row>
    <row r="7551">
      <c r="C7551" s="15"/>
      <c r="E7551" s="8"/>
      <c r="G7551" s="8"/>
      <c r="J7551" s="8"/>
    </row>
    <row r="7552">
      <c r="C7552" s="15"/>
      <c r="E7552" s="8"/>
      <c r="G7552" s="8"/>
      <c r="J7552" s="8"/>
    </row>
    <row r="7553">
      <c r="C7553" s="15"/>
      <c r="E7553" s="8"/>
      <c r="G7553" s="8"/>
      <c r="J7553" s="8"/>
    </row>
    <row r="7554">
      <c r="C7554" s="15"/>
      <c r="E7554" s="8"/>
      <c r="G7554" s="8"/>
      <c r="J7554" s="8"/>
    </row>
    <row r="7555">
      <c r="C7555" s="15"/>
      <c r="E7555" s="8"/>
      <c r="G7555" s="8"/>
      <c r="J7555" s="8"/>
    </row>
    <row r="7556">
      <c r="C7556" s="15"/>
      <c r="E7556" s="8"/>
      <c r="G7556" s="8"/>
      <c r="J7556" s="8"/>
    </row>
    <row r="7557">
      <c r="C7557" s="15"/>
      <c r="E7557" s="8"/>
      <c r="G7557" s="8"/>
      <c r="J7557" s="8"/>
    </row>
    <row r="7558">
      <c r="C7558" s="15"/>
      <c r="E7558" s="8"/>
      <c r="G7558" s="8"/>
      <c r="J7558" s="8"/>
    </row>
    <row r="7559">
      <c r="C7559" s="15"/>
      <c r="E7559" s="8"/>
      <c r="G7559" s="8"/>
      <c r="J7559" s="8"/>
    </row>
    <row r="7560">
      <c r="C7560" s="15"/>
      <c r="E7560" s="8"/>
      <c r="G7560" s="8"/>
      <c r="J7560" s="8"/>
    </row>
    <row r="7561">
      <c r="C7561" s="15"/>
      <c r="E7561" s="8"/>
      <c r="G7561" s="8"/>
      <c r="J7561" s="8"/>
    </row>
    <row r="7562">
      <c r="C7562" s="15"/>
      <c r="E7562" s="8"/>
      <c r="G7562" s="8"/>
      <c r="J7562" s="8"/>
    </row>
    <row r="7563">
      <c r="C7563" s="15"/>
      <c r="E7563" s="8"/>
      <c r="G7563" s="8"/>
      <c r="J7563" s="8"/>
    </row>
    <row r="7564">
      <c r="C7564" s="15"/>
      <c r="E7564" s="8"/>
      <c r="G7564" s="8"/>
      <c r="J7564" s="8"/>
    </row>
    <row r="7565">
      <c r="C7565" s="15"/>
      <c r="E7565" s="8"/>
      <c r="G7565" s="8"/>
      <c r="J7565" s="8"/>
    </row>
    <row r="7566">
      <c r="C7566" s="15"/>
      <c r="E7566" s="8"/>
      <c r="G7566" s="8"/>
      <c r="J7566" s="8"/>
    </row>
    <row r="7567">
      <c r="C7567" s="15"/>
      <c r="E7567" s="8"/>
      <c r="G7567" s="8"/>
      <c r="J7567" s="8"/>
    </row>
    <row r="7568">
      <c r="C7568" s="15"/>
      <c r="E7568" s="8"/>
      <c r="G7568" s="8"/>
      <c r="J7568" s="8"/>
    </row>
    <row r="7569">
      <c r="C7569" s="15"/>
      <c r="E7569" s="8"/>
      <c r="G7569" s="8"/>
      <c r="J7569" s="8"/>
    </row>
    <row r="7570">
      <c r="C7570" s="15"/>
      <c r="E7570" s="8"/>
      <c r="G7570" s="8"/>
      <c r="J7570" s="8"/>
    </row>
    <row r="7571">
      <c r="C7571" s="15"/>
      <c r="E7571" s="8"/>
      <c r="G7571" s="8"/>
      <c r="J7571" s="8"/>
    </row>
    <row r="7572">
      <c r="C7572" s="15"/>
      <c r="E7572" s="8"/>
      <c r="G7572" s="8"/>
      <c r="J7572" s="8"/>
    </row>
    <row r="7573">
      <c r="C7573" s="15"/>
      <c r="E7573" s="8"/>
      <c r="G7573" s="8"/>
      <c r="J7573" s="8"/>
    </row>
    <row r="7574">
      <c r="C7574" s="15"/>
      <c r="E7574" s="8"/>
      <c r="G7574" s="8"/>
      <c r="J7574" s="8"/>
    </row>
    <row r="7575">
      <c r="C7575" s="15"/>
      <c r="E7575" s="8"/>
      <c r="G7575" s="8"/>
      <c r="J7575" s="8"/>
    </row>
    <row r="7576">
      <c r="C7576" s="15"/>
      <c r="E7576" s="8"/>
      <c r="G7576" s="8"/>
      <c r="J7576" s="8"/>
    </row>
    <row r="7577">
      <c r="C7577" s="15"/>
      <c r="E7577" s="8"/>
      <c r="G7577" s="8"/>
      <c r="J7577" s="8"/>
    </row>
    <row r="7578">
      <c r="C7578" s="15"/>
      <c r="E7578" s="8"/>
      <c r="G7578" s="8"/>
      <c r="J7578" s="8"/>
    </row>
    <row r="7579">
      <c r="C7579" s="15"/>
      <c r="E7579" s="8"/>
      <c r="G7579" s="8"/>
      <c r="J7579" s="8"/>
    </row>
    <row r="7580">
      <c r="C7580" s="15"/>
      <c r="E7580" s="8"/>
      <c r="G7580" s="8"/>
      <c r="J7580" s="8"/>
    </row>
    <row r="7581">
      <c r="C7581" s="15"/>
      <c r="E7581" s="8"/>
      <c r="G7581" s="8"/>
      <c r="J7581" s="8"/>
    </row>
    <row r="7582">
      <c r="C7582" s="15"/>
      <c r="E7582" s="8"/>
      <c r="G7582" s="8"/>
      <c r="J7582" s="8"/>
    </row>
    <row r="7583">
      <c r="C7583" s="15"/>
      <c r="E7583" s="8"/>
      <c r="G7583" s="8"/>
      <c r="J7583" s="8"/>
    </row>
    <row r="7584">
      <c r="C7584" s="15"/>
      <c r="E7584" s="8"/>
      <c r="G7584" s="8"/>
      <c r="J7584" s="8"/>
    </row>
    <row r="7585">
      <c r="C7585" s="15"/>
      <c r="E7585" s="8"/>
      <c r="G7585" s="8"/>
      <c r="J7585" s="8"/>
    </row>
    <row r="7586">
      <c r="C7586" s="15"/>
      <c r="E7586" s="8"/>
      <c r="G7586" s="8"/>
      <c r="J7586" s="8"/>
    </row>
    <row r="7587">
      <c r="C7587" s="15"/>
      <c r="E7587" s="8"/>
      <c r="G7587" s="8"/>
      <c r="J7587" s="8"/>
    </row>
    <row r="7588">
      <c r="C7588" s="15"/>
      <c r="E7588" s="8"/>
      <c r="G7588" s="8"/>
      <c r="J7588" s="8"/>
    </row>
    <row r="7589">
      <c r="C7589" s="15"/>
      <c r="E7589" s="8"/>
      <c r="G7589" s="8"/>
      <c r="J7589" s="8"/>
    </row>
    <row r="7590">
      <c r="C7590" s="15"/>
      <c r="E7590" s="8"/>
      <c r="G7590" s="8"/>
      <c r="J7590" s="8"/>
    </row>
    <row r="7591">
      <c r="C7591" s="15"/>
      <c r="E7591" s="8"/>
      <c r="G7591" s="8"/>
      <c r="J7591" s="8"/>
    </row>
    <row r="7592">
      <c r="C7592" s="15"/>
      <c r="E7592" s="8"/>
      <c r="G7592" s="8"/>
      <c r="J7592" s="8"/>
    </row>
    <row r="7593">
      <c r="C7593" s="15"/>
      <c r="E7593" s="8"/>
      <c r="G7593" s="8"/>
      <c r="J7593" s="8"/>
    </row>
    <row r="7594">
      <c r="C7594" s="15"/>
      <c r="E7594" s="8"/>
      <c r="G7594" s="8"/>
      <c r="J7594" s="8"/>
    </row>
    <row r="7595">
      <c r="C7595" s="15"/>
      <c r="E7595" s="8"/>
      <c r="G7595" s="8"/>
      <c r="J7595" s="8"/>
    </row>
    <row r="7596">
      <c r="C7596" s="15"/>
      <c r="E7596" s="8"/>
      <c r="G7596" s="8"/>
      <c r="J7596" s="8"/>
    </row>
    <row r="7597">
      <c r="C7597" s="15"/>
      <c r="E7597" s="8"/>
      <c r="G7597" s="8"/>
      <c r="J7597" s="8"/>
    </row>
    <row r="7598">
      <c r="C7598" s="15"/>
      <c r="E7598" s="8"/>
      <c r="G7598" s="8"/>
      <c r="J7598" s="8"/>
    </row>
    <row r="7599">
      <c r="C7599" s="15"/>
      <c r="E7599" s="8"/>
      <c r="G7599" s="8"/>
      <c r="J7599" s="8"/>
    </row>
    <row r="7600">
      <c r="C7600" s="15"/>
      <c r="E7600" s="8"/>
      <c r="G7600" s="8"/>
      <c r="J7600" s="8"/>
    </row>
    <row r="7601">
      <c r="C7601" s="15"/>
      <c r="E7601" s="8"/>
      <c r="G7601" s="8"/>
      <c r="J7601" s="8"/>
    </row>
    <row r="7602">
      <c r="C7602" s="15"/>
      <c r="E7602" s="8"/>
      <c r="G7602" s="8"/>
      <c r="J7602" s="8"/>
    </row>
    <row r="7603">
      <c r="C7603" s="15"/>
      <c r="E7603" s="8"/>
      <c r="G7603" s="8"/>
      <c r="J7603" s="8"/>
    </row>
    <row r="7604">
      <c r="C7604" s="15"/>
      <c r="E7604" s="8"/>
      <c r="G7604" s="8"/>
      <c r="J7604" s="8"/>
    </row>
    <row r="7605">
      <c r="C7605" s="15"/>
      <c r="E7605" s="8"/>
      <c r="G7605" s="8"/>
      <c r="J7605" s="8"/>
    </row>
    <row r="7606">
      <c r="C7606" s="15"/>
      <c r="E7606" s="8"/>
      <c r="G7606" s="8"/>
      <c r="J7606" s="8"/>
    </row>
    <row r="7607">
      <c r="C7607" s="15"/>
      <c r="E7607" s="8"/>
      <c r="G7607" s="8"/>
      <c r="J7607" s="8"/>
    </row>
    <row r="7608">
      <c r="C7608" s="15"/>
      <c r="E7608" s="8"/>
      <c r="G7608" s="8"/>
      <c r="J7608" s="8"/>
    </row>
    <row r="7609">
      <c r="C7609" s="15"/>
      <c r="E7609" s="8"/>
      <c r="G7609" s="8"/>
      <c r="J7609" s="8"/>
    </row>
    <row r="7610">
      <c r="C7610" s="15"/>
      <c r="E7610" s="8"/>
      <c r="G7610" s="8"/>
      <c r="J7610" s="8"/>
    </row>
    <row r="7611">
      <c r="C7611" s="15"/>
      <c r="E7611" s="8"/>
      <c r="G7611" s="8"/>
      <c r="J7611" s="8"/>
    </row>
    <row r="7612">
      <c r="C7612" s="15"/>
      <c r="E7612" s="8"/>
      <c r="G7612" s="8"/>
      <c r="J7612" s="8"/>
    </row>
    <row r="7613">
      <c r="C7613" s="15"/>
      <c r="E7613" s="8"/>
      <c r="G7613" s="8"/>
      <c r="J7613" s="8"/>
    </row>
    <row r="7614">
      <c r="C7614" s="15"/>
      <c r="E7614" s="8"/>
      <c r="G7614" s="8"/>
      <c r="J7614" s="8"/>
    </row>
    <row r="7615">
      <c r="C7615" s="15"/>
      <c r="E7615" s="8"/>
      <c r="G7615" s="8"/>
      <c r="J7615" s="8"/>
    </row>
    <row r="7616">
      <c r="C7616" s="15"/>
      <c r="E7616" s="8"/>
      <c r="G7616" s="8"/>
      <c r="J7616" s="8"/>
    </row>
    <row r="7617">
      <c r="C7617" s="15"/>
      <c r="E7617" s="8"/>
      <c r="G7617" s="8"/>
      <c r="J7617" s="8"/>
    </row>
    <row r="7618">
      <c r="C7618" s="15"/>
      <c r="E7618" s="8"/>
      <c r="G7618" s="8"/>
      <c r="J7618" s="8"/>
    </row>
    <row r="7619">
      <c r="C7619" s="15"/>
      <c r="E7619" s="8"/>
      <c r="G7619" s="8"/>
      <c r="J7619" s="8"/>
    </row>
    <row r="7620">
      <c r="C7620" s="15"/>
      <c r="E7620" s="8"/>
      <c r="G7620" s="8"/>
      <c r="J7620" s="8"/>
    </row>
    <row r="7621">
      <c r="C7621" s="15"/>
      <c r="E7621" s="8"/>
      <c r="G7621" s="8"/>
      <c r="J7621" s="8"/>
    </row>
    <row r="7622">
      <c r="C7622" s="15"/>
      <c r="E7622" s="8"/>
      <c r="G7622" s="8"/>
      <c r="J7622" s="8"/>
    </row>
    <row r="7623">
      <c r="C7623" s="15"/>
      <c r="E7623" s="8"/>
      <c r="G7623" s="8"/>
      <c r="J7623" s="8"/>
    </row>
    <row r="7624">
      <c r="C7624" s="15"/>
      <c r="E7624" s="8"/>
      <c r="G7624" s="8"/>
      <c r="J7624" s="8"/>
    </row>
    <row r="7625">
      <c r="C7625" s="15"/>
      <c r="E7625" s="8"/>
      <c r="G7625" s="8"/>
      <c r="J7625" s="8"/>
    </row>
    <row r="7626">
      <c r="C7626" s="15"/>
      <c r="E7626" s="8"/>
      <c r="G7626" s="8"/>
      <c r="J7626" s="8"/>
    </row>
    <row r="7627">
      <c r="C7627" s="15"/>
      <c r="E7627" s="8"/>
      <c r="G7627" s="8"/>
      <c r="J7627" s="8"/>
    </row>
    <row r="7628">
      <c r="C7628" s="15"/>
      <c r="E7628" s="8"/>
      <c r="G7628" s="8"/>
      <c r="J7628" s="8"/>
    </row>
    <row r="7629">
      <c r="C7629" s="15"/>
      <c r="E7629" s="8"/>
      <c r="G7629" s="8"/>
      <c r="J7629" s="8"/>
    </row>
    <row r="7630">
      <c r="C7630" s="15"/>
      <c r="E7630" s="8"/>
      <c r="G7630" s="8"/>
      <c r="J7630" s="8"/>
    </row>
    <row r="7631">
      <c r="C7631" s="15"/>
      <c r="E7631" s="8"/>
      <c r="G7631" s="8"/>
      <c r="J7631" s="8"/>
    </row>
    <row r="7632">
      <c r="C7632" s="15"/>
      <c r="E7632" s="8"/>
      <c r="G7632" s="8"/>
      <c r="J7632" s="8"/>
    </row>
    <row r="7633">
      <c r="C7633" s="15"/>
      <c r="E7633" s="8"/>
      <c r="G7633" s="8"/>
      <c r="J7633" s="8"/>
    </row>
    <row r="7634">
      <c r="C7634" s="15"/>
      <c r="E7634" s="8"/>
      <c r="G7634" s="8"/>
      <c r="J7634" s="8"/>
    </row>
    <row r="7635">
      <c r="C7635" s="15"/>
      <c r="E7635" s="8"/>
      <c r="G7635" s="8"/>
      <c r="J7635" s="8"/>
    </row>
    <row r="7636">
      <c r="C7636" s="15"/>
      <c r="E7636" s="8"/>
      <c r="G7636" s="8"/>
      <c r="J7636" s="8"/>
    </row>
    <row r="7637">
      <c r="C7637" s="15"/>
      <c r="E7637" s="8"/>
      <c r="G7637" s="8"/>
      <c r="J7637" s="8"/>
    </row>
    <row r="7638">
      <c r="C7638" s="15"/>
      <c r="E7638" s="8"/>
      <c r="G7638" s="8"/>
      <c r="J7638" s="8"/>
    </row>
    <row r="7639">
      <c r="C7639" s="15"/>
      <c r="E7639" s="8"/>
      <c r="G7639" s="8"/>
      <c r="J7639" s="8"/>
    </row>
    <row r="7640">
      <c r="C7640" s="15"/>
      <c r="E7640" s="8"/>
      <c r="G7640" s="8"/>
      <c r="J7640" s="8"/>
    </row>
    <row r="7641">
      <c r="C7641" s="15"/>
      <c r="E7641" s="8"/>
      <c r="G7641" s="8"/>
      <c r="J7641" s="8"/>
    </row>
    <row r="7642">
      <c r="C7642" s="15"/>
      <c r="E7642" s="8"/>
      <c r="G7642" s="8"/>
      <c r="J7642" s="8"/>
    </row>
    <row r="7643">
      <c r="C7643" s="15"/>
      <c r="E7643" s="8"/>
      <c r="G7643" s="8"/>
      <c r="J7643" s="8"/>
    </row>
    <row r="7644">
      <c r="C7644" s="15"/>
      <c r="E7644" s="8"/>
      <c r="G7644" s="8"/>
      <c r="J7644" s="8"/>
    </row>
    <row r="7645">
      <c r="C7645" s="15"/>
      <c r="E7645" s="8"/>
      <c r="G7645" s="8"/>
      <c r="J7645" s="8"/>
    </row>
    <row r="7646">
      <c r="C7646" s="15"/>
      <c r="E7646" s="8"/>
      <c r="G7646" s="8"/>
      <c r="J7646" s="8"/>
    </row>
    <row r="7647">
      <c r="C7647" s="15"/>
      <c r="E7647" s="8"/>
      <c r="G7647" s="8"/>
      <c r="J7647" s="8"/>
    </row>
    <row r="7648">
      <c r="C7648" s="15"/>
      <c r="E7648" s="8"/>
      <c r="G7648" s="8"/>
      <c r="J7648" s="8"/>
    </row>
    <row r="7649">
      <c r="C7649" s="15"/>
      <c r="E7649" s="8"/>
      <c r="G7649" s="8"/>
      <c r="J7649" s="8"/>
    </row>
    <row r="7650">
      <c r="C7650" s="15"/>
      <c r="E7650" s="8"/>
      <c r="G7650" s="8"/>
      <c r="J7650" s="8"/>
    </row>
    <row r="7651">
      <c r="C7651" s="15"/>
      <c r="E7651" s="8"/>
      <c r="G7651" s="8"/>
      <c r="J7651" s="8"/>
    </row>
    <row r="7652">
      <c r="C7652" s="15"/>
      <c r="E7652" s="8"/>
      <c r="G7652" s="8"/>
      <c r="J7652" s="8"/>
    </row>
    <row r="7653">
      <c r="C7653" s="15"/>
      <c r="E7653" s="8"/>
      <c r="G7653" s="8"/>
      <c r="J7653" s="8"/>
    </row>
    <row r="7654">
      <c r="C7654" s="15"/>
      <c r="E7654" s="8"/>
      <c r="G7654" s="8"/>
      <c r="J7654" s="8"/>
    </row>
    <row r="7655">
      <c r="C7655" s="15"/>
      <c r="E7655" s="8"/>
      <c r="G7655" s="8"/>
      <c r="J7655" s="8"/>
    </row>
    <row r="7656">
      <c r="C7656" s="15"/>
      <c r="E7656" s="8"/>
      <c r="G7656" s="8"/>
      <c r="J7656" s="8"/>
    </row>
    <row r="7657">
      <c r="C7657" s="15"/>
      <c r="E7657" s="8"/>
      <c r="G7657" s="8"/>
      <c r="J7657" s="8"/>
    </row>
    <row r="7658">
      <c r="C7658" s="15"/>
      <c r="E7658" s="8"/>
      <c r="G7658" s="8"/>
      <c r="J7658" s="8"/>
    </row>
    <row r="7659">
      <c r="C7659" s="15"/>
      <c r="E7659" s="8"/>
      <c r="G7659" s="8"/>
      <c r="J7659" s="8"/>
    </row>
    <row r="7660">
      <c r="C7660" s="15"/>
      <c r="E7660" s="8"/>
      <c r="G7660" s="8"/>
      <c r="J7660" s="8"/>
    </row>
    <row r="7661">
      <c r="C7661" s="15"/>
      <c r="E7661" s="8"/>
      <c r="G7661" s="8"/>
      <c r="J7661" s="8"/>
    </row>
    <row r="7662">
      <c r="C7662" s="15"/>
      <c r="E7662" s="8"/>
      <c r="G7662" s="8"/>
      <c r="J7662" s="8"/>
    </row>
    <row r="7663">
      <c r="C7663" s="15"/>
      <c r="E7663" s="8"/>
      <c r="G7663" s="8"/>
      <c r="J7663" s="8"/>
    </row>
    <row r="7664">
      <c r="C7664" s="15"/>
      <c r="E7664" s="8"/>
      <c r="G7664" s="8"/>
      <c r="J7664" s="8"/>
    </row>
    <row r="7665">
      <c r="C7665" s="15"/>
      <c r="E7665" s="8"/>
      <c r="G7665" s="8"/>
      <c r="J7665" s="8"/>
    </row>
    <row r="7666">
      <c r="C7666" s="15"/>
      <c r="E7666" s="8"/>
      <c r="G7666" s="8"/>
      <c r="J7666" s="8"/>
    </row>
    <row r="7667">
      <c r="C7667" s="15"/>
      <c r="E7667" s="8"/>
      <c r="G7667" s="8"/>
      <c r="J7667" s="8"/>
    </row>
    <row r="7668">
      <c r="C7668" s="15"/>
      <c r="E7668" s="8"/>
      <c r="G7668" s="8"/>
      <c r="J7668" s="8"/>
    </row>
    <row r="7669">
      <c r="C7669" s="15"/>
      <c r="E7669" s="8"/>
      <c r="G7669" s="8"/>
      <c r="J7669" s="8"/>
    </row>
    <row r="7670">
      <c r="C7670" s="15"/>
      <c r="E7670" s="8"/>
      <c r="G7670" s="8"/>
      <c r="J7670" s="8"/>
    </row>
    <row r="7671">
      <c r="C7671" s="15"/>
      <c r="E7671" s="8"/>
      <c r="G7671" s="8"/>
      <c r="J7671" s="8"/>
    </row>
    <row r="7672">
      <c r="C7672" s="15"/>
      <c r="E7672" s="8"/>
      <c r="G7672" s="8"/>
      <c r="J7672" s="8"/>
    </row>
    <row r="7673">
      <c r="C7673" s="15"/>
      <c r="E7673" s="8"/>
      <c r="G7673" s="8"/>
      <c r="J7673" s="8"/>
    </row>
    <row r="7674">
      <c r="C7674" s="15"/>
      <c r="E7674" s="8"/>
      <c r="G7674" s="8"/>
      <c r="J7674" s="8"/>
    </row>
    <row r="7675">
      <c r="C7675" s="15"/>
      <c r="E7675" s="8"/>
      <c r="G7675" s="8"/>
      <c r="J7675" s="8"/>
    </row>
    <row r="7676">
      <c r="C7676" s="15"/>
      <c r="E7676" s="8"/>
      <c r="G7676" s="8"/>
      <c r="J7676" s="8"/>
    </row>
    <row r="7677">
      <c r="C7677" s="15"/>
      <c r="E7677" s="8"/>
      <c r="G7677" s="8"/>
      <c r="J7677" s="8"/>
    </row>
    <row r="7678">
      <c r="C7678" s="15"/>
      <c r="E7678" s="8"/>
      <c r="G7678" s="8"/>
      <c r="J7678" s="8"/>
    </row>
    <row r="7679">
      <c r="C7679" s="15"/>
      <c r="E7679" s="8"/>
      <c r="G7679" s="8"/>
      <c r="J7679" s="8"/>
    </row>
    <row r="7680">
      <c r="C7680" s="15"/>
      <c r="E7680" s="8"/>
      <c r="G7680" s="8"/>
      <c r="J7680" s="8"/>
    </row>
    <row r="7681">
      <c r="C7681" s="15"/>
      <c r="E7681" s="8"/>
      <c r="G7681" s="8"/>
      <c r="J7681" s="8"/>
    </row>
    <row r="7682">
      <c r="C7682" s="15"/>
      <c r="E7682" s="8"/>
      <c r="G7682" s="8"/>
      <c r="J7682" s="8"/>
    </row>
    <row r="7683">
      <c r="C7683" s="15"/>
      <c r="E7683" s="8"/>
      <c r="G7683" s="8"/>
      <c r="J7683" s="8"/>
    </row>
    <row r="7684">
      <c r="C7684" s="15"/>
      <c r="E7684" s="8"/>
      <c r="G7684" s="8"/>
      <c r="J7684" s="8"/>
    </row>
    <row r="7685">
      <c r="C7685" s="15"/>
      <c r="E7685" s="8"/>
      <c r="G7685" s="8"/>
      <c r="J7685" s="8"/>
    </row>
    <row r="7686">
      <c r="C7686" s="15"/>
      <c r="E7686" s="8"/>
      <c r="G7686" s="8"/>
      <c r="J7686" s="8"/>
    </row>
    <row r="7687">
      <c r="C7687" s="15"/>
      <c r="E7687" s="8"/>
      <c r="G7687" s="8"/>
      <c r="J7687" s="8"/>
    </row>
    <row r="7688">
      <c r="C7688" s="15"/>
      <c r="E7688" s="8"/>
      <c r="G7688" s="8"/>
      <c r="J7688" s="8"/>
    </row>
    <row r="7689">
      <c r="C7689" s="15"/>
      <c r="E7689" s="8"/>
      <c r="G7689" s="8"/>
      <c r="J7689" s="8"/>
    </row>
    <row r="7690">
      <c r="C7690" s="15"/>
      <c r="E7690" s="8"/>
      <c r="G7690" s="8"/>
      <c r="J7690" s="8"/>
    </row>
    <row r="7691">
      <c r="C7691" s="15"/>
      <c r="E7691" s="8"/>
      <c r="G7691" s="8"/>
      <c r="J7691" s="8"/>
    </row>
    <row r="7692">
      <c r="C7692" s="15"/>
      <c r="E7692" s="8"/>
      <c r="G7692" s="8"/>
      <c r="J7692" s="8"/>
    </row>
    <row r="7693">
      <c r="C7693" s="15"/>
      <c r="E7693" s="8"/>
      <c r="G7693" s="8"/>
      <c r="J7693" s="8"/>
    </row>
    <row r="7694">
      <c r="C7694" s="15"/>
      <c r="E7694" s="8"/>
      <c r="G7694" s="8"/>
      <c r="J7694" s="8"/>
    </row>
    <row r="7695">
      <c r="C7695" s="15"/>
      <c r="E7695" s="8"/>
      <c r="G7695" s="8"/>
      <c r="J7695" s="8"/>
    </row>
    <row r="7696">
      <c r="C7696" s="15"/>
      <c r="E7696" s="8"/>
      <c r="G7696" s="8"/>
      <c r="J7696" s="8"/>
    </row>
    <row r="7697">
      <c r="C7697" s="15"/>
      <c r="E7697" s="8"/>
      <c r="G7697" s="8"/>
      <c r="J7697" s="8"/>
    </row>
    <row r="7698">
      <c r="C7698" s="15"/>
      <c r="E7698" s="8"/>
      <c r="G7698" s="8"/>
      <c r="J7698" s="8"/>
    </row>
    <row r="7699">
      <c r="C7699" s="15"/>
      <c r="E7699" s="8"/>
      <c r="G7699" s="8"/>
      <c r="J7699" s="8"/>
    </row>
    <row r="7700">
      <c r="C7700" s="15"/>
      <c r="E7700" s="8"/>
      <c r="G7700" s="8"/>
      <c r="J7700" s="8"/>
    </row>
    <row r="7701">
      <c r="C7701" s="15"/>
      <c r="E7701" s="8"/>
      <c r="G7701" s="8"/>
      <c r="J7701" s="8"/>
    </row>
    <row r="7702">
      <c r="C7702" s="15"/>
      <c r="E7702" s="8"/>
      <c r="G7702" s="8"/>
      <c r="J7702" s="8"/>
    </row>
    <row r="7703">
      <c r="C7703" s="15"/>
      <c r="E7703" s="8"/>
      <c r="G7703" s="8"/>
      <c r="J7703" s="8"/>
    </row>
    <row r="7704">
      <c r="C7704" s="15"/>
      <c r="E7704" s="8"/>
      <c r="G7704" s="8"/>
      <c r="J7704" s="8"/>
    </row>
    <row r="7705">
      <c r="C7705" s="15"/>
      <c r="E7705" s="8"/>
      <c r="G7705" s="8"/>
      <c r="J7705" s="8"/>
    </row>
    <row r="7706">
      <c r="C7706" s="15"/>
      <c r="E7706" s="8"/>
      <c r="G7706" s="8"/>
      <c r="J7706" s="8"/>
    </row>
    <row r="7707">
      <c r="C7707" s="15"/>
      <c r="E7707" s="8"/>
      <c r="G7707" s="8"/>
      <c r="J7707" s="8"/>
    </row>
    <row r="7708">
      <c r="C7708" s="15"/>
      <c r="E7708" s="8"/>
      <c r="G7708" s="8"/>
      <c r="J7708" s="8"/>
    </row>
    <row r="7709">
      <c r="C7709" s="15"/>
      <c r="E7709" s="8"/>
      <c r="G7709" s="8"/>
      <c r="J7709" s="8"/>
    </row>
    <row r="7710">
      <c r="C7710" s="15"/>
      <c r="E7710" s="8"/>
      <c r="G7710" s="8"/>
      <c r="J7710" s="8"/>
    </row>
    <row r="7711">
      <c r="C7711" s="15"/>
      <c r="E7711" s="8"/>
      <c r="G7711" s="8"/>
      <c r="J7711" s="8"/>
    </row>
    <row r="7712">
      <c r="C7712" s="15"/>
      <c r="E7712" s="8"/>
      <c r="G7712" s="8"/>
      <c r="J7712" s="8"/>
    </row>
    <row r="7713">
      <c r="C7713" s="15"/>
      <c r="E7713" s="8"/>
      <c r="G7713" s="8"/>
      <c r="J7713" s="8"/>
    </row>
    <row r="7714">
      <c r="C7714" s="15"/>
      <c r="E7714" s="8"/>
      <c r="G7714" s="8"/>
      <c r="J7714" s="8"/>
    </row>
    <row r="7715">
      <c r="C7715" s="15"/>
      <c r="E7715" s="8"/>
      <c r="G7715" s="8"/>
      <c r="J7715" s="8"/>
    </row>
    <row r="7716">
      <c r="C7716" s="15"/>
      <c r="E7716" s="8"/>
      <c r="G7716" s="8"/>
      <c r="J7716" s="8"/>
    </row>
    <row r="7717">
      <c r="C7717" s="15"/>
      <c r="E7717" s="8"/>
      <c r="G7717" s="8"/>
      <c r="J7717" s="8"/>
    </row>
    <row r="7718">
      <c r="C7718" s="15"/>
      <c r="E7718" s="8"/>
      <c r="G7718" s="8"/>
      <c r="J7718" s="8"/>
    </row>
    <row r="7719">
      <c r="C7719" s="15"/>
      <c r="E7719" s="8"/>
      <c r="G7719" s="8"/>
      <c r="J7719" s="8"/>
    </row>
    <row r="7720">
      <c r="C7720" s="15"/>
      <c r="E7720" s="8"/>
      <c r="G7720" s="8"/>
      <c r="J7720" s="8"/>
    </row>
    <row r="7721">
      <c r="C7721" s="15"/>
      <c r="E7721" s="8"/>
      <c r="G7721" s="8"/>
      <c r="J7721" s="8"/>
    </row>
    <row r="7722">
      <c r="C7722" s="15"/>
      <c r="E7722" s="8"/>
      <c r="G7722" s="8"/>
      <c r="J7722" s="8"/>
    </row>
    <row r="7723">
      <c r="C7723" s="15"/>
      <c r="E7723" s="8"/>
      <c r="G7723" s="8"/>
      <c r="J7723" s="8"/>
    </row>
    <row r="7724">
      <c r="C7724" s="15"/>
      <c r="E7724" s="8"/>
      <c r="G7724" s="8"/>
      <c r="J7724" s="8"/>
    </row>
    <row r="7725">
      <c r="C7725" s="15"/>
      <c r="E7725" s="8"/>
      <c r="G7725" s="8"/>
      <c r="J7725" s="8"/>
    </row>
    <row r="7726">
      <c r="C7726" s="15"/>
      <c r="E7726" s="8"/>
      <c r="G7726" s="8"/>
      <c r="J7726" s="8"/>
    </row>
    <row r="7727">
      <c r="C7727" s="15"/>
      <c r="E7727" s="8"/>
      <c r="G7727" s="8"/>
      <c r="J7727" s="8"/>
    </row>
    <row r="7728">
      <c r="C7728" s="15"/>
      <c r="E7728" s="8"/>
      <c r="G7728" s="8"/>
      <c r="J7728" s="8"/>
    </row>
    <row r="7729">
      <c r="C7729" s="15"/>
      <c r="E7729" s="8"/>
      <c r="G7729" s="8"/>
      <c r="J7729" s="8"/>
    </row>
    <row r="7730">
      <c r="C7730" s="15"/>
      <c r="E7730" s="8"/>
      <c r="G7730" s="8"/>
      <c r="J7730" s="8"/>
    </row>
    <row r="7731">
      <c r="C7731" s="15"/>
      <c r="E7731" s="8"/>
      <c r="G7731" s="8"/>
      <c r="J7731" s="8"/>
    </row>
    <row r="7732">
      <c r="C7732" s="15"/>
      <c r="E7732" s="8"/>
      <c r="G7732" s="8"/>
      <c r="J7732" s="8"/>
    </row>
    <row r="7733">
      <c r="C7733" s="15"/>
      <c r="E7733" s="8"/>
      <c r="G7733" s="8"/>
      <c r="J7733" s="8"/>
    </row>
    <row r="7734">
      <c r="C7734" s="15"/>
      <c r="E7734" s="8"/>
      <c r="G7734" s="8"/>
      <c r="J7734" s="8"/>
    </row>
    <row r="7735">
      <c r="C7735" s="15"/>
      <c r="E7735" s="8"/>
      <c r="G7735" s="8"/>
      <c r="J7735" s="8"/>
    </row>
    <row r="7736">
      <c r="C7736" s="15"/>
      <c r="E7736" s="8"/>
      <c r="G7736" s="8"/>
      <c r="J7736" s="8"/>
    </row>
    <row r="7737">
      <c r="C7737" s="15"/>
      <c r="E7737" s="8"/>
      <c r="G7737" s="8"/>
      <c r="J7737" s="8"/>
    </row>
    <row r="7738">
      <c r="C7738" s="15"/>
      <c r="E7738" s="8"/>
      <c r="G7738" s="8"/>
      <c r="J7738" s="8"/>
    </row>
    <row r="7739">
      <c r="C7739" s="15"/>
      <c r="E7739" s="8"/>
      <c r="G7739" s="8"/>
      <c r="J7739" s="8"/>
    </row>
    <row r="7740">
      <c r="C7740" s="15"/>
      <c r="E7740" s="8"/>
      <c r="G7740" s="8"/>
      <c r="J7740" s="8"/>
    </row>
    <row r="7741">
      <c r="C7741" s="15"/>
      <c r="E7741" s="8"/>
      <c r="G7741" s="8"/>
      <c r="J7741" s="8"/>
    </row>
    <row r="7742">
      <c r="C7742" s="15"/>
      <c r="E7742" s="8"/>
      <c r="G7742" s="8"/>
      <c r="J7742" s="8"/>
    </row>
    <row r="7743">
      <c r="C7743" s="15"/>
      <c r="E7743" s="8"/>
      <c r="G7743" s="8"/>
      <c r="J7743" s="8"/>
    </row>
    <row r="7744">
      <c r="C7744" s="15"/>
      <c r="E7744" s="8"/>
      <c r="G7744" s="8"/>
      <c r="J7744" s="8"/>
    </row>
    <row r="7745">
      <c r="C7745" s="15"/>
      <c r="E7745" s="8"/>
      <c r="G7745" s="8"/>
      <c r="J7745" s="8"/>
    </row>
    <row r="7746">
      <c r="C7746" s="15"/>
      <c r="E7746" s="8"/>
      <c r="G7746" s="8"/>
      <c r="J7746" s="8"/>
    </row>
    <row r="7747">
      <c r="C7747" s="15"/>
      <c r="E7747" s="8"/>
      <c r="G7747" s="8"/>
      <c r="J7747" s="8"/>
    </row>
    <row r="7748">
      <c r="C7748" s="15"/>
      <c r="E7748" s="8"/>
      <c r="G7748" s="8"/>
      <c r="J7748" s="8"/>
    </row>
    <row r="7749">
      <c r="C7749" s="15"/>
      <c r="E7749" s="8"/>
      <c r="G7749" s="8"/>
      <c r="J7749" s="8"/>
    </row>
    <row r="7750">
      <c r="C7750" s="15"/>
      <c r="E7750" s="8"/>
      <c r="G7750" s="8"/>
      <c r="J7750" s="8"/>
    </row>
    <row r="7751">
      <c r="C7751" s="15"/>
      <c r="E7751" s="8"/>
      <c r="G7751" s="8"/>
      <c r="J7751" s="8"/>
    </row>
    <row r="7752">
      <c r="C7752" s="15"/>
      <c r="E7752" s="8"/>
      <c r="G7752" s="8"/>
      <c r="J7752" s="8"/>
    </row>
    <row r="7753">
      <c r="C7753" s="15"/>
      <c r="E7753" s="8"/>
      <c r="G7753" s="8"/>
      <c r="J7753" s="8"/>
    </row>
    <row r="7754">
      <c r="C7754" s="15"/>
      <c r="E7754" s="8"/>
      <c r="G7754" s="8"/>
      <c r="J7754" s="8"/>
    </row>
    <row r="7755">
      <c r="C7755" s="15"/>
      <c r="E7755" s="8"/>
      <c r="G7755" s="8"/>
      <c r="J7755" s="8"/>
    </row>
    <row r="7756">
      <c r="C7756" s="15"/>
      <c r="E7756" s="8"/>
      <c r="G7756" s="8"/>
      <c r="J7756" s="8"/>
    </row>
    <row r="7757">
      <c r="C7757" s="15"/>
      <c r="E7757" s="8"/>
      <c r="G7757" s="8"/>
      <c r="J7757" s="8"/>
    </row>
    <row r="7758">
      <c r="C7758" s="15"/>
      <c r="E7758" s="8"/>
      <c r="G7758" s="8"/>
      <c r="J7758" s="8"/>
    </row>
    <row r="7759">
      <c r="C7759" s="15"/>
      <c r="E7759" s="8"/>
      <c r="G7759" s="8"/>
      <c r="J7759" s="8"/>
    </row>
    <row r="7760">
      <c r="C7760" s="15"/>
      <c r="E7760" s="8"/>
      <c r="G7760" s="8"/>
      <c r="J7760" s="8"/>
    </row>
    <row r="7761">
      <c r="C7761" s="15"/>
      <c r="E7761" s="8"/>
      <c r="G7761" s="8"/>
      <c r="J7761" s="8"/>
    </row>
    <row r="7762">
      <c r="C7762" s="15"/>
      <c r="E7762" s="8"/>
      <c r="G7762" s="8"/>
      <c r="J7762" s="8"/>
    </row>
    <row r="7763">
      <c r="C7763" s="15"/>
      <c r="E7763" s="8"/>
      <c r="G7763" s="8"/>
      <c r="J7763" s="8"/>
    </row>
    <row r="7764">
      <c r="C7764" s="15"/>
      <c r="E7764" s="8"/>
      <c r="G7764" s="8"/>
      <c r="J7764" s="8"/>
    </row>
    <row r="7765">
      <c r="C7765" s="15"/>
      <c r="E7765" s="8"/>
      <c r="G7765" s="8"/>
      <c r="J7765" s="8"/>
    </row>
    <row r="7766">
      <c r="C7766" s="15"/>
      <c r="E7766" s="8"/>
      <c r="G7766" s="8"/>
      <c r="J7766" s="8"/>
    </row>
    <row r="7767">
      <c r="C7767" s="15"/>
      <c r="E7767" s="8"/>
      <c r="G7767" s="8"/>
      <c r="J7767" s="8"/>
    </row>
    <row r="7768">
      <c r="C7768" s="15"/>
      <c r="E7768" s="8"/>
      <c r="G7768" s="8"/>
      <c r="J7768" s="8"/>
    </row>
    <row r="7769">
      <c r="C7769" s="15"/>
      <c r="E7769" s="8"/>
      <c r="G7769" s="8"/>
      <c r="J7769" s="8"/>
    </row>
    <row r="7770">
      <c r="C7770" s="15"/>
      <c r="E7770" s="8"/>
      <c r="G7770" s="8"/>
      <c r="J7770" s="8"/>
    </row>
    <row r="7771">
      <c r="C7771" s="15"/>
      <c r="E7771" s="8"/>
      <c r="G7771" s="8"/>
      <c r="J7771" s="8"/>
    </row>
    <row r="7772">
      <c r="C7772" s="15"/>
      <c r="E7772" s="8"/>
      <c r="G7772" s="8"/>
      <c r="J7772" s="8"/>
    </row>
    <row r="7773">
      <c r="C7773" s="15"/>
      <c r="E7773" s="8"/>
      <c r="G7773" s="8"/>
      <c r="J7773" s="8"/>
    </row>
    <row r="7774">
      <c r="C7774" s="15"/>
      <c r="E7774" s="8"/>
      <c r="G7774" s="8"/>
      <c r="J7774" s="8"/>
    </row>
    <row r="7775">
      <c r="C7775" s="15"/>
      <c r="E7775" s="8"/>
      <c r="G7775" s="8"/>
      <c r="J7775" s="8"/>
    </row>
    <row r="7776">
      <c r="C7776" s="15"/>
      <c r="E7776" s="8"/>
      <c r="G7776" s="8"/>
      <c r="J7776" s="8"/>
    </row>
    <row r="7777">
      <c r="C7777" s="15"/>
      <c r="E7777" s="8"/>
      <c r="G7777" s="8"/>
      <c r="J7777" s="8"/>
    </row>
    <row r="7778">
      <c r="C7778" s="15"/>
      <c r="E7778" s="8"/>
      <c r="G7778" s="8"/>
      <c r="J7778" s="8"/>
    </row>
    <row r="7779">
      <c r="C7779" s="15"/>
      <c r="E7779" s="8"/>
      <c r="G7779" s="8"/>
      <c r="J7779" s="8"/>
    </row>
    <row r="7780">
      <c r="C7780" s="15"/>
      <c r="E7780" s="8"/>
      <c r="G7780" s="8"/>
      <c r="J7780" s="8"/>
    </row>
    <row r="7781">
      <c r="C7781" s="15"/>
      <c r="E7781" s="8"/>
      <c r="G7781" s="8"/>
      <c r="J7781" s="8"/>
    </row>
    <row r="7782">
      <c r="C7782" s="15"/>
      <c r="E7782" s="8"/>
      <c r="G7782" s="8"/>
      <c r="J7782" s="8"/>
    </row>
    <row r="7783">
      <c r="C7783" s="15"/>
      <c r="E7783" s="8"/>
      <c r="G7783" s="8"/>
      <c r="J7783" s="8"/>
    </row>
    <row r="7784">
      <c r="C7784" s="15"/>
      <c r="E7784" s="8"/>
      <c r="G7784" s="8"/>
      <c r="J7784" s="8"/>
    </row>
    <row r="7785">
      <c r="C7785" s="15"/>
      <c r="E7785" s="8"/>
      <c r="G7785" s="8"/>
      <c r="J7785" s="8"/>
    </row>
    <row r="7786">
      <c r="C7786" s="15"/>
      <c r="E7786" s="8"/>
      <c r="G7786" s="8"/>
      <c r="J7786" s="8"/>
    </row>
    <row r="7787">
      <c r="C7787" s="15"/>
      <c r="E7787" s="8"/>
      <c r="G7787" s="8"/>
      <c r="J7787" s="8"/>
    </row>
    <row r="7788">
      <c r="C7788" s="15"/>
      <c r="E7788" s="8"/>
      <c r="G7788" s="8"/>
      <c r="J7788" s="8"/>
    </row>
    <row r="7789">
      <c r="C7789" s="15"/>
      <c r="E7789" s="8"/>
      <c r="G7789" s="8"/>
      <c r="J7789" s="8"/>
    </row>
    <row r="7790">
      <c r="C7790" s="15"/>
      <c r="E7790" s="8"/>
      <c r="G7790" s="8"/>
      <c r="J7790" s="8"/>
    </row>
    <row r="7791">
      <c r="C7791" s="15"/>
      <c r="E7791" s="8"/>
      <c r="G7791" s="8"/>
      <c r="J7791" s="8"/>
    </row>
    <row r="7792">
      <c r="C7792" s="15"/>
      <c r="E7792" s="8"/>
      <c r="G7792" s="8"/>
      <c r="J7792" s="8"/>
    </row>
    <row r="7793">
      <c r="C7793" s="15"/>
      <c r="E7793" s="8"/>
      <c r="G7793" s="8"/>
      <c r="J7793" s="8"/>
    </row>
    <row r="7794">
      <c r="C7794" s="15"/>
      <c r="E7794" s="8"/>
      <c r="G7794" s="8"/>
      <c r="J7794" s="8"/>
    </row>
    <row r="7795">
      <c r="C7795" s="15"/>
      <c r="E7795" s="8"/>
      <c r="G7795" s="8"/>
      <c r="J7795" s="8"/>
    </row>
    <row r="7796">
      <c r="C7796" s="15"/>
      <c r="E7796" s="8"/>
      <c r="G7796" s="8"/>
      <c r="J7796" s="8"/>
    </row>
    <row r="7797">
      <c r="C7797" s="15"/>
      <c r="E7797" s="8"/>
      <c r="G7797" s="8"/>
      <c r="J7797" s="8"/>
    </row>
    <row r="7798">
      <c r="C7798" s="15"/>
      <c r="E7798" s="8"/>
      <c r="G7798" s="8"/>
      <c r="J7798" s="8"/>
    </row>
    <row r="7799">
      <c r="C7799" s="15"/>
      <c r="E7799" s="8"/>
      <c r="G7799" s="8"/>
      <c r="J7799" s="8"/>
    </row>
    <row r="7800">
      <c r="C7800" s="15"/>
      <c r="E7800" s="8"/>
      <c r="G7800" s="8"/>
      <c r="J7800" s="8"/>
    </row>
    <row r="7801">
      <c r="C7801" s="15"/>
      <c r="E7801" s="8"/>
      <c r="G7801" s="8"/>
      <c r="J7801" s="8"/>
    </row>
    <row r="7802">
      <c r="C7802" s="15"/>
      <c r="E7802" s="8"/>
      <c r="G7802" s="8"/>
      <c r="J7802" s="8"/>
    </row>
    <row r="7803">
      <c r="C7803" s="15"/>
      <c r="E7803" s="8"/>
      <c r="G7803" s="8"/>
      <c r="J7803" s="8"/>
    </row>
    <row r="7804">
      <c r="C7804" s="15"/>
      <c r="E7804" s="8"/>
      <c r="G7804" s="8"/>
      <c r="J7804" s="8"/>
    </row>
    <row r="7805">
      <c r="C7805" s="15"/>
      <c r="E7805" s="8"/>
      <c r="G7805" s="8"/>
      <c r="J7805" s="8"/>
    </row>
    <row r="7806">
      <c r="C7806" s="15"/>
      <c r="E7806" s="8"/>
      <c r="G7806" s="8"/>
      <c r="J7806" s="8"/>
    </row>
    <row r="7807">
      <c r="C7807" s="15"/>
      <c r="E7807" s="8"/>
      <c r="G7807" s="8"/>
      <c r="J7807" s="8"/>
    </row>
    <row r="7808">
      <c r="C7808" s="15"/>
      <c r="E7808" s="8"/>
      <c r="G7808" s="8"/>
      <c r="J7808" s="8"/>
    </row>
    <row r="7809">
      <c r="C7809" s="15"/>
      <c r="E7809" s="8"/>
      <c r="G7809" s="8"/>
      <c r="J7809" s="8"/>
    </row>
    <row r="7810">
      <c r="C7810" s="15"/>
      <c r="E7810" s="8"/>
      <c r="G7810" s="8"/>
      <c r="J7810" s="8"/>
    </row>
    <row r="7811">
      <c r="C7811" s="15"/>
      <c r="E7811" s="8"/>
      <c r="G7811" s="8"/>
      <c r="J7811" s="8"/>
    </row>
    <row r="7812">
      <c r="C7812" s="15"/>
      <c r="E7812" s="8"/>
      <c r="G7812" s="8"/>
      <c r="J7812" s="8"/>
    </row>
    <row r="7813">
      <c r="C7813" s="15"/>
      <c r="E7813" s="8"/>
      <c r="G7813" s="8"/>
      <c r="J7813" s="8"/>
    </row>
    <row r="7814">
      <c r="C7814" s="15"/>
      <c r="E7814" s="8"/>
      <c r="G7814" s="8"/>
      <c r="J7814" s="8"/>
    </row>
    <row r="7815">
      <c r="C7815" s="15"/>
      <c r="E7815" s="8"/>
      <c r="G7815" s="8"/>
      <c r="J7815" s="8"/>
    </row>
    <row r="7816">
      <c r="C7816" s="15"/>
      <c r="E7816" s="8"/>
      <c r="G7816" s="8"/>
      <c r="J7816" s="8"/>
    </row>
    <row r="7817">
      <c r="C7817" s="15"/>
      <c r="E7817" s="8"/>
      <c r="G7817" s="8"/>
      <c r="J7817" s="8"/>
    </row>
    <row r="7818">
      <c r="C7818" s="15"/>
      <c r="E7818" s="8"/>
      <c r="G7818" s="8"/>
      <c r="J7818" s="8"/>
    </row>
    <row r="7819">
      <c r="C7819" s="15"/>
      <c r="E7819" s="8"/>
      <c r="G7819" s="8"/>
      <c r="J7819" s="8"/>
    </row>
    <row r="7820">
      <c r="C7820" s="15"/>
      <c r="E7820" s="8"/>
      <c r="G7820" s="8"/>
      <c r="J7820" s="8"/>
    </row>
    <row r="7821">
      <c r="C7821" s="15"/>
      <c r="E7821" s="8"/>
      <c r="G7821" s="8"/>
      <c r="J7821" s="8"/>
    </row>
    <row r="7822">
      <c r="C7822" s="15"/>
      <c r="E7822" s="8"/>
      <c r="G7822" s="8"/>
      <c r="J7822" s="8"/>
    </row>
    <row r="7823">
      <c r="C7823" s="15"/>
      <c r="E7823" s="8"/>
      <c r="G7823" s="8"/>
      <c r="J7823" s="8"/>
    </row>
    <row r="7824">
      <c r="C7824" s="15"/>
      <c r="E7824" s="8"/>
      <c r="G7824" s="8"/>
      <c r="J7824" s="8"/>
    </row>
    <row r="7825">
      <c r="C7825" s="15"/>
      <c r="E7825" s="8"/>
      <c r="G7825" s="8"/>
      <c r="J7825" s="8"/>
    </row>
    <row r="7826">
      <c r="C7826" s="15"/>
      <c r="E7826" s="8"/>
      <c r="G7826" s="8"/>
      <c r="J7826" s="8"/>
    </row>
    <row r="7827">
      <c r="C7827" s="15"/>
      <c r="E7827" s="8"/>
      <c r="G7827" s="8"/>
      <c r="J7827" s="8"/>
    </row>
    <row r="7828">
      <c r="C7828" s="15"/>
      <c r="E7828" s="8"/>
      <c r="G7828" s="8"/>
      <c r="J7828" s="8"/>
    </row>
    <row r="7829">
      <c r="C7829" s="15"/>
      <c r="E7829" s="8"/>
      <c r="G7829" s="8"/>
      <c r="J7829" s="8"/>
    </row>
    <row r="7830">
      <c r="C7830" s="15"/>
      <c r="E7830" s="8"/>
      <c r="G7830" s="8"/>
      <c r="J7830" s="8"/>
    </row>
    <row r="7831">
      <c r="C7831" s="15"/>
      <c r="E7831" s="8"/>
      <c r="G7831" s="8"/>
      <c r="J7831" s="8"/>
    </row>
    <row r="7832">
      <c r="C7832" s="15"/>
      <c r="E7832" s="8"/>
      <c r="G7832" s="8"/>
      <c r="J7832" s="8"/>
    </row>
    <row r="7833">
      <c r="C7833" s="15"/>
      <c r="E7833" s="8"/>
      <c r="G7833" s="8"/>
      <c r="J7833" s="8"/>
    </row>
    <row r="7834">
      <c r="C7834" s="15"/>
      <c r="E7834" s="8"/>
      <c r="G7834" s="8"/>
      <c r="J7834" s="8"/>
    </row>
    <row r="7835">
      <c r="C7835" s="15"/>
      <c r="E7835" s="8"/>
      <c r="G7835" s="8"/>
      <c r="J7835" s="8"/>
    </row>
    <row r="7836">
      <c r="C7836" s="15"/>
      <c r="E7836" s="8"/>
      <c r="G7836" s="8"/>
      <c r="J7836" s="8"/>
    </row>
    <row r="7837">
      <c r="C7837" s="15"/>
      <c r="E7837" s="8"/>
      <c r="G7837" s="8"/>
      <c r="J7837" s="8"/>
    </row>
    <row r="7838">
      <c r="C7838" s="15"/>
      <c r="E7838" s="8"/>
      <c r="G7838" s="8"/>
      <c r="J7838" s="8"/>
    </row>
    <row r="7839">
      <c r="C7839" s="15"/>
      <c r="E7839" s="8"/>
      <c r="G7839" s="8"/>
      <c r="J7839" s="8"/>
    </row>
    <row r="7840">
      <c r="C7840" s="15"/>
      <c r="E7840" s="8"/>
      <c r="G7840" s="8"/>
      <c r="J7840" s="8"/>
    </row>
    <row r="7841">
      <c r="C7841" s="15"/>
      <c r="E7841" s="8"/>
      <c r="G7841" s="8"/>
      <c r="J7841" s="8"/>
    </row>
    <row r="7842">
      <c r="C7842" s="15"/>
      <c r="E7842" s="8"/>
      <c r="G7842" s="8"/>
      <c r="J7842" s="8"/>
    </row>
    <row r="7843">
      <c r="C7843" s="15"/>
      <c r="E7843" s="8"/>
      <c r="G7843" s="8"/>
      <c r="J7843" s="8"/>
    </row>
    <row r="7844">
      <c r="C7844" s="15"/>
      <c r="E7844" s="8"/>
      <c r="G7844" s="8"/>
      <c r="J7844" s="8"/>
    </row>
    <row r="7845">
      <c r="C7845" s="15"/>
      <c r="E7845" s="8"/>
      <c r="G7845" s="8"/>
      <c r="J7845" s="8"/>
    </row>
    <row r="7846">
      <c r="C7846" s="15"/>
      <c r="E7846" s="8"/>
      <c r="G7846" s="8"/>
      <c r="J7846" s="8"/>
    </row>
    <row r="7847">
      <c r="C7847" s="15"/>
      <c r="E7847" s="8"/>
      <c r="G7847" s="8"/>
      <c r="J7847" s="8"/>
    </row>
    <row r="7848">
      <c r="C7848" s="15"/>
      <c r="E7848" s="8"/>
      <c r="G7848" s="8"/>
      <c r="J7848" s="8"/>
    </row>
    <row r="7849">
      <c r="C7849" s="15"/>
      <c r="E7849" s="8"/>
      <c r="G7849" s="8"/>
      <c r="J7849" s="8"/>
    </row>
    <row r="7850">
      <c r="C7850" s="15"/>
      <c r="E7850" s="8"/>
      <c r="G7850" s="8"/>
      <c r="J7850" s="8"/>
    </row>
    <row r="7851">
      <c r="C7851" s="15"/>
      <c r="E7851" s="8"/>
      <c r="G7851" s="8"/>
      <c r="J7851" s="8"/>
    </row>
    <row r="7852">
      <c r="C7852" s="15"/>
      <c r="E7852" s="8"/>
      <c r="G7852" s="8"/>
      <c r="J7852" s="8"/>
    </row>
    <row r="7853">
      <c r="C7853" s="15"/>
      <c r="E7853" s="8"/>
      <c r="G7853" s="8"/>
      <c r="J7853" s="8"/>
    </row>
    <row r="7854">
      <c r="C7854" s="15"/>
      <c r="E7854" s="8"/>
      <c r="G7854" s="8"/>
      <c r="J7854" s="8"/>
    </row>
    <row r="7855">
      <c r="C7855" s="15"/>
      <c r="E7855" s="8"/>
      <c r="G7855" s="8"/>
      <c r="J7855" s="8"/>
    </row>
    <row r="7856">
      <c r="C7856" s="15"/>
      <c r="E7856" s="8"/>
      <c r="G7856" s="8"/>
      <c r="J7856" s="8"/>
    </row>
    <row r="7857">
      <c r="C7857" s="15"/>
      <c r="E7857" s="8"/>
      <c r="G7857" s="8"/>
      <c r="J7857" s="8"/>
    </row>
    <row r="7858">
      <c r="C7858" s="15"/>
      <c r="E7858" s="8"/>
      <c r="G7858" s="8"/>
      <c r="J7858" s="8"/>
    </row>
    <row r="7859">
      <c r="C7859" s="15"/>
      <c r="E7859" s="8"/>
      <c r="G7859" s="8"/>
      <c r="J7859" s="8"/>
    </row>
    <row r="7860">
      <c r="C7860" s="15"/>
      <c r="E7860" s="8"/>
      <c r="G7860" s="8"/>
      <c r="J7860" s="8"/>
    </row>
    <row r="7861">
      <c r="C7861" s="15"/>
      <c r="E7861" s="8"/>
      <c r="G7861" s="8"/>
      <c r="J7861" s="8"/>
    </row>
    <row r="7862">
      <c r="C7862" s="15"/>
      <c r="E7862" s="8"/>
      <c r="G7862" s="8"/>
      <c r="J7862" s="8"/>
    </row>
    <row r="7863">
      <c r="C7863" s="15"/>
      <c r="E7863" s="8"/>
      <c r="G7863" s="8"/>
      <c r="J7863" s="8"/>
    </row>
    <row r="7864">
      <c r="C7864" s="15"/>
      <c r="E7864" s="8"/>
      <c r="G7864" s="8"/>
      <c r="J7864" s="8"/>
    </row>
    <row r="7865">
      <c r="C7865" s="15"/>
      <c r="E7865" s="8"/>
      <c r="G7865" s="8"/>
      <c r="J7865" s="8"/>
    </row>
    <row r="7866">
      <c r="C7866" s="15"/>
      <c r="E7866" s="8"/>
      <c r="G7866" s="8"/>
      <c r="J7866" s="8"/>
    </row>
    <row r="7867">
      <c r="C7867" s="15"/>
      <c r="E7867" s="8"/>
      <c r="G7867" s="8"/>
      <c r="J7867" s="8"/>
    </row>
    <row r="7868">
      <c r="C7868" s="15"/>
      <c r="E7868" s="8"/>
      <c r="G7868" s="8"/>
      <c r="J7868" s="8"/>
    </row>
    <row r="7869">
      <c r="C7869" s="15"/>
      <c r="E7869" s="8"/>
      <c r="G7869" s="8"/>
      <c r="J7869" s="8"/>
    </row>
    <row r="7870">
      <c r="C7870" s="15"/>
      <c r="E7870" s="8"/>
      <c r="G7870" s="8"/>
      <c r="J7870" s="8"/>
    </row>
    <row r="7871">
      <c r="C7871" s="15"/>
      <c r="E7871" s="8"/>
      <c r="G7871" s="8"/>
      <c r="J7871" s="8"/>
    </row>
    <row r="7872">
      <c r="C7872" s="15"/>
      <c r="E7872" s="8"/>
      <c r="G7872" s="8"/>
      <c r="J7872" s="8"/>
    </row>
    <row r="7873">
      <c r="C7873" s="15"/>
      <c r="E7873" s="8"/>
      <c r="G7873" s="8"/>
      <c r="J7873" s="8"/>
    </row>
    <row r="7874">
      <c r="C7874" s="15"/>
      <c r="E7874" s="8"/>
      <c r="G7874" s="8"/>
      <c r="J7874" s="8"/>
    </row>
    <row r="7875">
      <c r="C7875" s="15"/>
      <c r="E7875" s="8"/>
      <c r="G7875" s="8"/>
      <c r="J7875" s="8"/>
    </row>
    <row r="7876">
      <c r="C7876" s="15"/>
      <c r="E7876" s="8"/>
      <c r="G7876" s="8"/>
      <c r="J7876" s="8"/>
    </row>
    <row r="7877">
      <c r="C7877" s="15"/>
      <c r="E7877" s="8"/>
      <c r="G7877" s="8"/>
      <c r="J7877" s="8"/>
    </row>
    <row r="7878">
      <c r="C7878" s="15"/>
      <c r="E7878" s="8"/>
      <c r="G7878" s="8"/>
      <c r="J7878" s="8"/>
    </row>
    <row r="7879">
      <c r="C7879" s="15"/>
      <c r="E7879" s="8"/>
      <c r="G7879" s="8"/>
      <c r="J7879" s="8"/>
    </row>
    <row r="7880">
      <c r="C7880" s="15"/>
      <c r="E7880" s="8"/>
      <c r="G7880" s="8"/>
      <c r="J7880" s="8"/>
    </row>
    <row r="7881">
      <c r="C7881" s="15"/>
      <c r="E7881" s="8"/>
      <c r="G7881" s="8"/>
      <c r="J7881" s="8"/>
    </row>
    <row r="7882">
      <c r="C7882" s="15"/>
      <c r="E7882" s="8"/>
      <c r="G7882" s="8"/>
      <c r="J7882" s="8"/>
    </row>
    <row r="7883">
      <c r="C7883" s="15"/>
      <c r="E7883" s="8"/>
      <c r="G7883" s="8"/>
      <c r="J7883" s="8"/>
    </row>
    <row r="7884">
      <c r="C7884" s="15"/>
      <c r="E7884" s="8"/>
      <c r="G7884" s="8"/>
      <c r="J7884" s="8"/>
    </row>
    <row r="7885">
      <c r="C7885" s="15"/>
      <c r="E7885" s="8"/>
      <c r="G7885" s="8"/>
      <c r="J7885" s="8"/>
    </row>
    <row r="7886">
      <c r="C7886" s="15"/>
      <c r="E7886" s="8"/>
      <c r="G7886" s="8"/>
      <c r="J7886" s="8"/>
    </row>
    <row r="7887">
      <c r="C7887" s="15"/>
      <c r="E7887" s="8"/>
      <c r="G7887" s="8"/>
      <c r="J7887" s="8"/>
    </row>
    <row r="7888">
      <c r="C7888" s="15"/>
      <c r="E7888" s="8"/>
      <c r="G7888" s="8"/>
      <c r="J7888" s="8"/>
    </row>
    <row r="7889">
      <c r="C7889" s="15"/>
      <c r="E7889" s="8"/>
      <c r="G7889" s="8"/>
      <c r="J7889" s="8"/>
    </row>
    <row r="7890">
      <c r="C7890" s="15"/>
      <c r="E7890" s="8"/>
      <c r="G7890" s="8"/>
      <c r="J7890" s="8"/>
    </row>
    <row r="7891">
      <c r="C7891" s="15"/>
      <c r="E7891" s="8"/>
      <c r="G7891" s="8"/>
      <c r="J7891" s="8"/>
    </row>
    <row r="7892">
      <c r="C7892" s="15"/>
      <c r="E7892" s="8"/>
      <c r="G7892" s="8"/>
      <c r="J7892" s="8"/>
    </row>
    <row r="7893">
      <c r="C7893" s="15"/>
      <c r="E7893" s="8"/>
      <c r="G7893" s="8"/>
      <c r="J7893" s="8"/>
    </row>
    <row r="7894">
      <c r="C7894" s="15"/>
      <c r="E7894" s="8"/>
      <c r="G7894" s="8"/>
      <c r="J7894" s="8"/>
    </row>
    <row r="7895">
      <c r="C7895" s="15"/>
      <c r="E7895" s="8"/>
      <c r="G7895" s="8"/>
      <c r="J7895" s="8"/>
    </row>
    <row r="7896">
      <c r="C7896" s="15"/>
      <c r="E7896" s="8"/>
      <c r="G7896" s="8"/>
      <c r="J7896" s="8"/>
    </row>
    <row r="7897">
      <c r="C7897" s="15"/>
      <c r="E7897" s="8"/>
      <c r="G7897" s="8"/>
      <c r="J7897" s="8"/>
    </row>
    <row r="7898">
      <c r="C7898" s="15"/>
      <c r="E7898" s="8"/>
      <c r="G7898" s="8"/>
      <c r="J7898" s="8"/>
    </row>
    <row r="7899">
      <c r="C7899" s="15"/>
      <c r="E7899" s="8"/>
      <c r="G7899" s="8"/>
      <c r="J7899" s="8"/>
    </row>
    <row r="7900">
      <c r="C7900" s="15"/>
      <c r="E7900" s="8"/>
      <c r="G7900" s="8"/>
      <c r="J7900" s="8"/>
    </row>
    <row r="7901">
      <c r="C7901" s="15"/>
      <c r="E7901" s="8"/>
      <c r="G7901" s="8"/>
      <c r="J7901" s="8"/>
    </row>
    <row r="7902">
      <c r="C7902" s="15"/>
      <c r="E7902" s="8"/>
      <c r="G7902" s="8"/>
      <c r="J7902" s="8"/>
    </row>
    <row r="7903">
      <c r="C7903" s="15"/>
      <c r="E7903" s="8"/>
      <c r="G7903" s="8"/>
      <c r="J7903" s="8"/>
    </row>
    <row r="7904">
      <c r="C7904" s="15"/>
      <c r="E7904" s="8"/>
      <c r="G7904" s="8"/>
      <c r="J7904" s="8"/>
    </row>
    <row r="7905">
      <c r="C7905" s="15"/>
      <c r="E7905" s="8"/>
      <c r="G7905" s="8"/>
      <c r="J7905" s="8"/>
    </row>
    <row r="7906">
      <c r="C7906" s="15"/>
      <c r="E7906" s="8"/>
      <c r="G7906" s="8"/>
      <c r="J7906" s="8"/>
    </row>
    <row r="7907">
      <c r="C7907" s="15"/>
      <c r="E7907" s="8"/>
      <c r="G7907" s="8"/>
      <c r="J7907" s="8"/>
    </row>
    <row r="7908">
      <c r="C7908" s="15"/>
      <c r="E7908" s="8"/>
      <c r="G7908" s="8"/>
      <c r="J7908" s="8"/>
    </row>
    <row r="7909">
      <c r="C7909" s="15"/>
      <c r="E7909" s="8"/>
      <c r="G7909" s="8"/>
      <c r="J7909" s="8"/>
    </row>
    <row r="7910">
      <c r="C7910" s="15"/>
      <c r="E7910" s="8"/>
      <c r="G7910" s="8"/>
      <c r="J7910" s="8"/>
    </row>
    <row r="7911">
      <c r="C7911" s="15"/>
      <c r="E7911" s="8"/>
      <c r="G7911" s="8"/>
      <c r="J7911" s="8"/>
    </row>
    <row r="7912">
      <c r="C7912" s="15"/>
      <c r="E7912" s="8"/>
      <c r="G7912" s="8"/>
      <c r="J7912" s="8"/>
    </row>
    <row r="7913">
      <c r="C7913" s="15"/>
      <c r="E7913" s="8"/>
      <c r="G7913" s="8"/>
      <c r="J7913" s="8"/>
    </row>
    <row r="7914">
      <c r="C7914" s="15"/>
      <c r="E7914" s="8"/>
      <c r="G7914" s="8"/>
      <c r="J7914" s="8"/>
    </row>
    <row r="7915">
      <c r="C7915" s="15"/>
      <c r="E7915" s="8"/>
      <c r="G7915" s="8"/>
      <c r="J7915" s="8"/>
    </row>
    <row r="7916">
      <c r="C7916" s="15"/>
      <c r="E7916" s="8"/>
      <c r="G7916" s="8"/>
      <c r="J7916" s="8"/>
    </row>
    <row r="7917">
      <c r="C7917" s="15"/>
      <c r="E7917" s="8"/>
      <c r="G7917" s="8"/>
      <c r="J7917" s="8"/>
    </row>
    <row r="7918">
      <c r="C7918" s="15"/>
      <c r="E7918" s="8"/>
      <c r="G7918" s="8"/>
      <c r="J7918" s="8"/>
    </row>
    <row r="7919">
      <c r="C7919" s="15"/>
      <c r="E7919" s="8"/>
      <c r="G7919" s="8"/>
      <c r="J7919" s="8"/>
    </row>
    <row r="7920">
      <c r="C7920" s="15"/>
      <c r="E7920" s="8"/>
      <c r="G7920" s="8"/>
      <c r="J7920" s="8"/>
    </row>
    <row r="7921">
      <c r="C7921" s="15"/>
      <c r="E7921" s="8"/>
      <c r="G7921" s="8"/>
      <c r="J7921" s="8"/>
    </row>
    <row r="7922">
      <c r="C7922" s="15"/>
      <c r="E7922" s="8"/>
      <c r="G7922" s="8"/>
      <c r="J7922" s="8"/>
    </row>
    <row r="7923">
      <c r="C7923" s="15"/>
      <c r="E7923" s="8"/>
      <c r="G7923" s="8"/>
      <c r="J7923" s="8"/>
    </row>
    <row r="7924">
      <c r="C7924" s="15"/>
      <c r="E7924" s="8"/>
      <c r="G7924" s="8"/>
      <c r="J7924" s="8"/>
    </row>
    <row r="7925">
      <c r="C7925" s="15"/>
      <c r="E7925" s="8"/>
      <c r="G7925" s="8"/>
      <c r="J7925" s="8"/>
    </row>
    <row r="7926">
      <c r="C7926" s="15"/>
      <c r="E7926" s="8"/>
      <c r="G7926" s="8"/>
      <c r="J7926" s="8"/>
    </row>
    <row r="7927">
      <c r="C7927" s="15"/>
      <c r="E7927" s="8"/>
      <c r="G7927" s="8"/>
      <c r="J7927" s="8"/>
    </row>
    <row r="7928">
      <c r="C7928" s="15"/>
      <c r="E7928" s="8"/>
      <c r="G7928" s="8"/>
      <c r="J7928" s="8"/>
    </row>
    <row r="7929">
      <c r="C7929" s="15"/>
      <c r="E7929" s="8"/>
      <c r="G7929" s="8"/>
      <c r="J7929" s="8"/>
    </row>
    <row r="7930">
      <c r="C7930" s="15"/>
      <c r="E7930" s="8"/>
      <c r="G7930" s="8"/>
      <c r="J7930" s="8"/>
    </row>
    <row r="7931">
      <c r="C7931" s="15"/>
      <c r="E7931" s="8"/>
      <c r="G7931" s="8"/>
      <c r="J7931" s="8"/>
    </row>
    <row r="7932">
      <c r="C7932" s="15"/>
      <c r="E7932" s="8"/>
      <c r="G7932" s="8"/>
      <c r="J7932" s="8"/>
    </row>
    <row r="7933">
      <c r="C7933" s="15"/>
      <c r="E7933" s="8"/>
      <c r="G7933" s="8"/>
      <c r="J7933" s="8"/>
    </row>
    <row r="7934">
      <c r="C7934" s="15"/>
      <c r="E7934" s="8"/>
      <c r="G7934" s="8"/>
      <c r="J7934" s="8"/>
    </row>
    <row r="7935">
      <c r="C7935" s="15"/>
      <c r="E7935" s="8"/>
      <c r="G7935" s="8"/>
      <c r="J7935" s="8"/>
    </row>
    <row r="7936">
      <c r="C7936" s="15"/>
      <c r="E7936" s="8"/>
      <c r="G7936" s="8"/>
      <c r="J7936" s="8"/>
    </row>
    <row r="7937">
      <c r="C7937" s="15"/>
      <c r="E7937" s="8"/>
      <c r="G7937" s="8"/>
      <c r="J7937" s="8"/>
    </row>
    <row r="7938">
      <c r="C7938" s="15"/>
      <c r="E7938" s="8"/>
      <c r="G7938" s="8"/>
      <c r="J7938" s="8"/>
    </row>
    <row r="7939">
      <c r="C7939" s="15"/>
      <c r="E7939" s="8"/>
      <c r="G7939" s="8"/>
      <c r="J7939" s="8"/>
    </row>
    <row r="7940">
      <c r="C7940" s="15"/>
      <c r="E7940" s="8"/>
      <c r="G7940" s="8"/>
      <c r="J7940" s="8"/>
    </row>
    <row r="7941">
      <c r="C7941" s="15"/>
      <c r="E7941" s="8"/>
      <c r="G7941" s="8"/>
      <c r="J7941" s="8"/>
    </row>
    <row r="7942">
      <c r="C7942" s="15"/>
      <c r="E7942" s="8"/>
      <c r="G7942" s="8"/>
      <c r="J7942" s="8"/>
    </row>
    <row r="7943">
      <c r="C7943" s="15"/>
      <c r="E7943" s="8"/>
      <c r="G7943" s="8"/>
      <c r="J7943" s="8"/>
    </row>
    <row r="7944">
      <c r="C7944" s="15"/>
      <c r="E7944" s="8"/>
      <c r="G7944" s="8"/>
      <c r="J7944" s="8"/>
    </row>
    <row r="7945">
      <c r="C7945" s="15"/>
      <c r="E7945" s="8"/>
      <c r="G7945" s="8"/>
      <c r="J7945" s="8"/>
    </row>
    <row r="7946">
      <c r="C7946" s="15"/>
      <c r="E7946" s="8"/>
      <c r="G7946" s="8"/>
      <c r="J7946" s="8"/>
    </row>
    <row r="7947">
      <c r="C7947" s="15"/>
      <c r="E7947" s="8"/>
      <c r="G7947" s="8"/>
      <c r="J7947" s="8"/>
    </row>
    <row r="7948">
      <c r="C7948" s="15"/>
      <c r="E7948" s="8"/>
      <c r="G7948" s="8"/>
      <c r="J7948" s="8"/>
    </row>
    <row r="7949">
      <c r="C7949" s="15"/>
      <c r="E7949" s="8"/>
      <c r="G7949" s="8"/>
      <c r="J7949" s="8"/>
    </row>
    <row r="7950">
      <c r="C7950" s="15"/>
      <c r="E7950" s="8"/>
      <c r="G7950" s="8"/>
      <c r="J7950" s="8"/>
    </row>
    <row r="7951">
      <c r="C7951" s="15"/>
      <c r="E7951" s="8"/>
      <c r="G7951" s="8"/>
      <c r="J7951" s="8"/>
    </row>
    <row r="7952">
      <c r="C7952" s="15"/>
      <c r="E7952" s="8"/>
      <c r="G7952" s="8"/>
      <c r="J7952" s="8"/>
    </row>
    <row r="7953">
      <c r="C7953" s="15"/>
      <c r="E7953" s="8"/>
      <c r="G7953" s="8"/>
      <c r="J7953" s="8"/>
    </row>
    <row r="7954">
      <c r="C7954" s="15"/>
      <c r="E7954" s="8"/>
      <c r="G7954" s="8"/>
      <c r="J7954" s="8"/>
    </row>
    <row r="7955">
      <c r="C7955" s="15"/>
      <c r="E7955" s="8"/>
      <c r="G7955" s="8"/>
      <c r="J7955" s="8"/>
    </row>
    <row r="7956">
      <c r="C7956" s="15"/>
      <c r="E7956" s="8"/>
      <c r="G7956" s="8"/>
      <c r="J7956" s="8"/>
    </row>
    <row r="7957">
      <c r="C7957" s="15"/>
      <c r="E7957" s="8"/>
      <c r="G7957" s="8"/>
      <c r="J7957" s="8"/>
    </row>
    <row r="7958">
      <c r="C7958" s="15"/>
      <c r="E7958" s="8"/>
      <c r="G7958" s="8"/>
      <c r="J7958" s="8"/>
    </row>
    <row r="7959">
      <c r="C7959" s="15"/>
      <c r="E7959" s="8"/>
      <c r="G7959" s="8"/>
      <c r="J7959" s="8"/>
    </row>
    <row r="7960">
      <c r="C7960" s="15"/>
      <c r="E7960" s="8"/>
      <c r="G7960" s="8"/>
      <c r="J7960" s="8"/>
    </row>
    <row r="7961">
      <c r="C7961" s="15"/>
      <c r="E7961" s="8"/>
      <c r="G7961" s="8"/>
      <c r="J7961" s="8"/>
    </row>
    <row r="7962">
      <c r="C7962" s="15"/>
      <c r="E7962" s="8"/>
      <c r="G7962" s="8"/>
      <c r="J7962" s="8"/>
    </row>
    <row r="7963">
      <c r="C7963" s="15"/>
      <c r="E7963" s="8"/>
      <c r="G7963" s="8"/>
      <c r="J7963" s="8"/>
    </row>
    <row r="7964">
      <c r="C7964" s="15"/>
      <c r="E7964" s="8"/>
      <c r="G7964" s="8"/>
      <c r="J7964" s="8"/>
    </row>
    <row r="7965">
      <c r="C7965" s="15"/>
      <c r="E7965" s="8"/>
      <c r="G7965" s="8"/>
      <c r="J7965" s="8"/>
    </row>
    <row r="7966">
      <c r="C7966" s="15"/>
      <c r="E7966" s="8"/>
      <c r="G7966" s="8"/>
      <c r="J7966" s="8"/>
    </row>
    <row r="7967">
      <c r="C7967" s="15"/>
      <c r="E7967" s="8"/>
      <c r="G7967" s="8"/>
      <c r="J7967" s="8"/>
    </row>
    <row r="7968">
      <c r="C7968" s="15"/>
      <c r="E7968" s="8"/>
      <c r="G7968" s="8"/>
      <c r="J7968" s="8"/>
    </row>
    <row r="7969">
      <c r="C7969" s="15"/>
      <c r="E7969" s="8"/>
      <c r="G7969" s="8"/>
      <c r="J7969" s="8"/>
    </row>
    <row r="7970">
      <c r="C7970" s="15"/>
      <c r="E7970" s="8"/>
      <c r="G7970" s="8"/>
      <c r="J7970" s="8"/>
    </row>
    <row r="7971">
      <c r="C7971" s="15"/>
      <c r="E7971" s="8"/>
      <c r="G7971" s="8"/>
      <c r="J7971" s="8"/>
    </row>
    <row r="7972">
      <c r="C7972" s="15"/>
      <c r="E7972" s="8"/>
      <c r="G7972" s="8"/>
      <c r="J7972" s="8"/>
    </row>
    <row r="7973">
      <c r="C7973" s="15"/>
      <c r="E7973" s="8"/>
      <c r="G7973" s="8"/>
      <c r="J7973" s="8"/>
    </row>
    <row r="7974">
      <c r="C7974" s="15"/>
      <c r="E7974" s="8"/>
      <c r="G7974" s="8"/>
      <c r="J7974" s="8"/>
    </row>
    <row r="7975">
      <c r="C7975" s="15"/>
      <c r="E7975" s="8"/>
      <c r="G7975" s="8"/>
      <c r="J7975" s="8"/>
    </row>
    <row r="7976">
      <c r="C7976" s="15"/>
      <c r="E7976" s="8"/>
      <c r="G7976" s="8"/>
      <c r="J7976" s="8"/>
    </row>
    <row r="7977">
      <c r="C7977" s="15"/>
      <c r="E7977" s="8"/>
      <c r="G7977" s="8"/>
      <c r="J7977" s="8"/>
    </row>
    <row r="7978">
      <c r="C7978" s="15"/>
      <c r="E7978" s="8"/>
      <c r="G7978" s="8"/>
      <c r="J7978" s="8"/>
    </row>
    <row r="7979">
      <c r="C7979" s="15"/>
      <c r="E7979" s="8"/>
      <c r="G7979" s="8"/>
      <c r="J7979" s="8"/>
    </row>
    <row r="7980">
      <c r="C7980" s="15"/>
      <c r="E7980" s="8"/>
      <c r="G7980" s="8"/>
      <c r="J7980" s="8"/>
    </row>
    <row r="7981">
      <c r="C7981" s="15"/>
      <c r="E7981" s="8"/>
      <c r="G7981" s="8"/>
      <c r="J7981" s="8"/>
    </row>
    <row r="7982">
      <c r="C7982" s="15"/>
      <c r="E7982" s="8"/>
      <c r="G7982" s="8"/>
      <c r="J7982" s="8"/>
    </row>
    <row r="7983">
      <c r="C7983" s="15"/>
      <c r="E7983" s="8"/>
      <c r="G7983" s="8"/>
      <c r="J7983" s="8"/>
    </row>
    <row r="7984">
      <c r="C7984" s="15"/>
      <c r="E7984" s="8"/>
      <c r="G7984" s="8"/>
      <c r="J7984" s="8"/>
    </row>
    <row r="7985">
      <c r="C7985" s="15"/>
      <c r="E7985" s="8"/>
      <c r="G7985" s="8"/>
      <c r="J7985" s="8"/>
    </row>
    <row r="7986">
      <c r="C7986" s="15"/>
      <c r="E7986" s="8"/>
      <c r="G7986" s="8"/>
      <c r="J7986" s="8"/>
    </row>
    <row r="7987">
      <c r="C7987" s="15"/>
      <c r="E7987" s="8"/>
      <c r="G7987" s="8"/>
      <c r="J7987" s="8"/>
    </row>
    <row r="7988">
      <c r="C7988" s="15"/>
      <c r="E7988" s="8"/>
      <c r="G7988" s="8"/>
      <c r="J7988" s="8"/>
    </row>
    <row r="7989">
      <c r="C7989" s="15"/>
      <c r="E7989" s="8"/>
      <c r="G7989" s="8"/>
      <c r="J7989" s="8"/>
    </row>
    <row r="7990">
      <c r="C7990" s="15"/>
      <c r="E7990" s="8"/>
      <c r="G7990" s="8"/>
      <c r="J7990" s="8"/>
    </row>
    <row r="7991">
      <c r="C7991" s="15"/>
      <c r="E7991" s="8"/>
      <c r="G7991" s="8"/>
      <c r="J7991" s="8"/>
    </row>
    <row r="7992">
      <c r="C7992" s="15"/>
      <c r="E7992" s="8"/>
      <c r="G7992" s="8"/>
      <c r="J7992" s="8"/>
    </row>
    <row r="7993">
      <c r="C7993" s="15"/>
      <c r="E7993" s="8"/>
      <c r="G7993" s="8"/>
      <c r="J7993" s="8"/>
    </row>
    <row r="7994">
      <c r="C7994" s="15"/>
      <c r="E7994" s="8"/>
      <c r="G7994" s="8"/>
      <c r="J7994" s="8"/>
    </row>
    <row r="7995">
      <c r="C7995" s="15"/>
      <c r="E7995" s="8"/>
      <c r="G7995" s="8"/>
      <c r="J7995" s="8"/>
    </row>
    <row r="7996">
      <c r="C7996" s="15"/>
      <c r="E7996" s="8"/>
      <c r="G7996" s="8"/>
      <c r="J7996" s="8"/>
    </row>
    <row r="7997">
      <c r="C7997" s="15"/>
      <c r="E7997" s="8"/>
      <c r="G7997" s="8"/>
      <c r="J7997" s="8"/>
    </row>
    <row r="7998">
      <c r="C7998" s="15"/>
      <c r="E7998" s="8"/>
      <c r="G7998" s="8"/>
      <c r="J7998" s="8"/>
    </row>
    <row r="7999">
      <c r="C7999" s="15"/>
      <c r="E7999" s="8"/>
      <c r="G7999" s="8"/>
      <c r="J7999" s="8"/>
    </row>
    <row r="8000">
      <c r="C8000" s="15"/>
      <c r="E8000" s="8"/>
      <c r="G8000" s="8"/>
      <c r="J8000" s="8"/>
    </row>
    <row r="8001">
      <c r="C8001" s="15"/>
      <c r="E8001" s="8"/>
      <c r="G8001" s="8"/>
      <c r="J8001" s="8"/>
    </row>
    <row r="8002">
      <c r="C8002" s="15"/>
      <c r="E8002" s="8"/>
      <c r="G8002" s="8"/>
      <c r="J8002" s="8"/>
    </row>
    <row r="8003">
      <c r="C8003" s="15"/>
      <c r="E8003" s="8"/>
      <c r="G8003" s="8"/>
      <c r="J8003" s="8"/>
    </row>
    <row r="8004">
      <c r="C8004" s="15"/>
      <c r="E8004" s="8"/>
      <c r="G8004" s="8"/>
      <c r="J8004" s="8"/>
    </row>
    <row r="8005">
      <c r="C8005" s="15"/>
      <c r="E8005" s="8"/>
      <c r="G8005" s="8"/>
      <c r="J8005" s="8"/>
    </row>
    <row r="8006">
      <c r="C8006" s="15"/>
      <c r="E8006" s="8"/>
      <c r="G8006" s="8"/>
      <c r="J8006" s="8"/>
    </row>
    <row r="8007">
      <c r="C8007" s="15"/>
      <c r="E8007" s="8"/>
      <c r="G8007" s="8"/>
      <c r="J8007" s="8"/>
    </row>
    <row r="8008">
      <c r="C8008" s="15"/>
      <c r="E8008" s="8"/>
      <c r="G8008" s="8"/>
      <c r="J8008" s="8"/>
    </row>
    <row r="8009">
      <c r="C8009" s="15"/>
      <c r="E8009" s="8"/>
      <c r="G8009" s="8"/>
      <c r="J8009" s="8"/>
    </row>
    <row r="8010">
      <c r="C8010" s="15"/>
      <c r="E8010" s="8"/>
      <c r="G8010" s="8"/>
      <c r="J8010" s="8"/>
    </row>
    <row r="8011">
      <c r="C8011" s="15"/>
      <c r="E8011" s="8"/>
      <c r="G8011" s="8"/>
      <c r="J8011" s="8"/>
    </row>
    <row r="8012">
      <c r="C8012" s="15"/>
      <c r="E8012" s="8"/>
      <c r="G8012" s="8"/>
      <c r="J8012" s="8"/>
    </row>
    <row r="8013">
      <c r="C8013" s="15"/>
      <c r="E8013" s="8"/>
      <c r="G8013" s="8"/>
      <c r="J8013" s="8"/>
    </row>
    <row r="8014">
      <c r="C8014" s="15"/>
      <c r="E8014" s="8"/>
      <c r="G8014" s="8"/>
      <c r="J8014" s="8"/>
    </row>
    <row r="8015">
      <c r="C8015" s="15"/>
      <c r="E8015" s="8"/>
      <c r="G8015" s="8"/>
      <c r="J8015" s="8"/>
    </row>
    <row r="8016">
      <c r="C8016" s="15"/>
      <c r="E8016" s="8"/>
      <c r="G8016" s="8"/>
      <c r="J8016" s="8"/>
    </row>
    <row r="8017">
      <c r="C8017" s="15"/>
      <c r="E8017" s="8"/>
      <c r="G8017" s="8"/>
      <c r="J8017" s="8"/>
    </row>
    <row r="8018">
      <c r="C8018" s="15"/>
      <c r="E8018" s="8"/>
      <c r="G8018" s="8"/>
      <c r="J8018" s="8"/>
    </row>
    <row r="8019">
      <c r="C8019" s="15"/>
      <c r="E8019" s="8"/>
      <c r="G8019" s="8"/>
      <c r="J8019" s="8"/>
    </row>
    <row r="8020">
      <c r="C8020" s="15"/>
      <c r="E8020" s="8"/>
      <c r="G8020" s="8"/>
      <c r="J8020" s="8"/>
    </row>
    <row r="8021">
      <c r="C8021" s="15"/>
      <c r="E8021" s="8"/>
      <c r="G8021" s="8"/>
      <c r="J8021" s="8"/>
    </row>
    <row r="8022">
      <c r="C8022" s="15"/>
      <c r="E8022" s="8"/>
      <c r="G8022" s="8"/>
      <c r="J8022" s="8"/>
    </row>
    <row r="8023">
      <c r="C8023" s="15"/>
      <c r="E8023" s="8"/>
      <c r="G8023" s="8"/>
      <c r="J8023" s="8"/>
    </row>
    <row r="8024">
      <c r="C8024" s="15"/>
      <c r="E8024" s="8"/>
      <c r="G8024" s="8"/>
      <c r="J8024" s="8"/>
    </row>
    <row r="8025">
      <c r="C8025" s="15"/>
      <c r="E8025" s="8"/>
      <c r="G8025" s="8"/>
      <c r="J8025" s="8"/>
    </row>
    <row r="8026">
      <c r="C8026" s="15"/>
      <c r="E8026" s="8"/>
      <c r="G8026" s="8"/>
      <c r="J8026" s="8"/>
    </row>
    <row r="8027">
      <c r="C8027" s="15"/>
      <c r="E8027" s="8"/>
      <c r="G8027" s="8"/>
      <c r="J8027" s="8"/>
    </row>
    <row r="8028">
      <c r="C8028" s="15"/>
      <c r="E8028" s="8"/>
      <c r="G8028" s="8"/>
      <c r="J8028" s="8"/>
    </row>
    <row r="8029">
      <c r="C8029" s="15"/>
      <c r="E8029" s="8"/>
      <c r="G8029" s="8"/>
      <c r="J8029" s="8"/>
    </row>
    <row r="8030">
      <c r="C8030" s="15"/>
      <c r="E8030" s="8"/>
      <c r="G8030" s="8"/>
      <c r="J8030" s="8"/>
    </row>
    <row r="8031">
      <c r="C8031" s="15"/>
      <c r="E8031" s="8"/>
      <c r="G8031" s="8"/>
      <c r="J8031" s="8"/>
    </row>
    <row r="8032">
      <c r="C8032" s="15"/>
      <c r="E8032" s="8"/>
      <c r="G8032" s="8"/>
      <c r="J8032" s="8"/>
    </row>
    <row r="8033">
      <c r="C8033" s="15"/>
      <c r="E8033" s="8"/>
      <c r="G8033" s="8"/>
      <c r="J8033" s="8"/>
    </row>
    <row r="8034">
      <c r="C8034" s="15"/>
      <c r="E8034" s="8"/>
      <c r="G8034" s="8"/>
      <c r="J8034" s="8"/>
    </row>
    <row r="8035">
      <c r="C8035" s="15"/>
      <c r="E8035" s="8"/>
      <c r="G8035" s="8"/>
      <c r="J8035" s="8"/>
    </row>
    <row r="8036">
      <c r="C8036" s="15"/>
      <c r="E8036" s="8"/>
      <c r="G8036" s="8"/>
      <c r="J8036" s="8"/>
    </row>
    <row r="8037">
      <c r="C8037" s="15"/>
      <c r="E8037" s="8"/>
      <c r="G8037" s="8"/>
      <c r="J8037" s="8"/>
    </row>
    <row r="8038">
      <c r="C8038" s="15"/>
      <c r="E8038" s="8"/>
      <c r="G8038" s="8"/>
      <c r="J8038" s="8"/>
    </row>
    <row r="8039">
      <c r="C8039" s="15"/>
      <c r="E8039" s="8"/>
      <c r="G8039" s="8"/>
      <c r="J8039" s="8"/>
    </row>
    <row r="8040">
      <c r="C8040" s="15"/>
      <c r="E8040" s="8"/>
      <c r="G8040" s="8"/>
      <c r="J8040" s="8"/>
    </row>
    <row r="8041">
      <c r="C8041" s="15"/>
      <c r="E8041" s="8"/>
      <c r="G8041" s="8"/>
      <c r="J8041" s="8"/>
    </row>
    <row r="8042">
      <c r="C8042" s="15"/>
      <c r="E8042" s="8"/>
      <c r="G8042" s="8"/>
      <c r="J8042" s="8"/>
    </row>
    <row r="8043">
      <c r="C8043" s="15"/>
      <c r="E8043" s="8"/>
      <c r="G8043" s="8"/>
      <c r="J8043" s="8"/>
    </row>
    <row r="8044">
      <c r="C8044" s="15"/>
      <c r="E8044" s="8"/>
      <c r="G8044" s="8"/>
      <c r="J8044" s="8"/>
    </row>
    <row r="8045">
      <c r="C8045" s="15"/>
      <c r="E8045" s="8"/>
      <c r="G8045" s="8"/>
      <c r="J8045" s="8"/>
    </row>
    <row r="8046">
      <c r="C8046" s="15"/>
      <c r="E8046" s="8"/>
      <c r="G8046" s="8"/>
      <c r="J8046" s="8"/>
    </row>
    <row r="8047">
      <c r="C8047" s="15"/>
      <c r="E8047" s="8"/>
      <c r="G8047" s="8"/>
      <c r="J8047" s="8"/>
    </row>
    <row r="8048">
      <c r="C8048" s="15"/>
      <c r="E8048" s="8"/>
      <c r="G8048" s="8"/>
      <c r="J8048" s="8"/>
    </row>
    <row r="8049">
      <c r="C8049" s="15"/>
      <c r="E8049" s="8"/>
      <c r="G8049" s="8"/>
      <c r="J8049" s="8"/>
    </row>
    <row r="8050">
      <c r="C8050" s="15"/>
      <c r="E8050" s="8"/>
      <c r="G8050" s="8"/>
      <c r="J8050" s="8"/>
    </row>
    <row r="8051">
      <c r="C8051" s="15"/>
      <c r="E8051" s="8"/>
      <c r="G8051" s="8"/>
      <c r="J8051" s="8"/>
    </row>
    <row r="8052">
      <c r="C8052" s="15"/>
      <c r="E8052" s="8"/>
      <c r="G8052" s="8"/>
      <c r="J8052" s="8"/>
    </row>
    <row r="8053">
      <c r="C8053" s="15"/>
      <c r="E8053" s="8"/>
      <c r="G8053" s="8"/>
      <c r="J8053" s="8"/>
    </row>
    <row r="8054">
      <c r="C8054" s="15"/>
      <c r="E8054" s="8"/>
      <c r="G8054" s="8"/>
      <c r="J8054" s="8"/>
    </row>
    <row r="8055">
      <c r="C8055" s="15"/>
      <c r="E8055" s="8"/>
      <c r="G8055" s="8"/>
      <c r="J8055" s="8"/>
    </row>
    <row r="8056">
      <c r="C8056" s="15"/>
      <c r="E8056" s="8"/>
      <c r="G8056" s="8"/>
      <c r="J8056" s="8"/>
    </row>
    <row r="8057">
      <c r="C8057" s="15"/>
      <c r="E8057" s="8"/>
      <c r="G8057" s="8"/>
      <c r="J8057" s="8"/>
    </row>
    <row r="8058">
      <c r="C8058" s="15"/>
      <c r="E8058" s="8"/>
      <c r="G8058" s="8"/>
      <c r="J8058" s="8"/>
    </row>
    <row r="8059">
      <c r="C8059" s="15"/>
      <c r="E8059" s="8"/>
      <c r="G8059" s="8"/>
      <c r="J8059" s="8"/>
    </row>
    <row r="8060">
      <c r="C8060" s="15"/>
      <c r="E8060" s="8"/>
      <c r="G8060" s="8"/>
      <c r="J8060" s="8"/>
    </row>
    <row r="8061">
      <c r="C8061" s="15"/>
      <c r="E8061" s="8"/>
      <c r="G8061" s="8"/>
      <c r="J8061" s="8"/>
    </row>
    <row r="8062">
      <c r="C8062" s="15"/>
      <c r="E8062" s="8"/>
      <c r="G8062" s="8"/>
      <c r="J8062" s="8"/>
    </row>
    <row r="8063">
      <c r="C8063" s="15"/>
      <c r="E8063" s="8"/>
      <c r="G8063" s="8"/>
      <c r="J8063" s="8"/>
    </row>
    <row r="8064">
      <c r="C8064" s="15"/>
      <c r="E8064" s="8"/>
      <c r="G8064" s="8"/>
      <c r="J8064" s="8"/>
    </row>
    <row r="8065">
      <c r="C8065" s="15"/>
      <c r="E8065" s="8"/>
      <c r="G8065" s="8"/>
      <c r="J8065" s="8"/>
    </row>
    <row r="8066">
      <c r="C8066" s="15"/>
      <c r="E8066" s="8"/>
      <c r="G8066" s="8"/>
      <c r="J8066" s="8"/>
    </row>
    <row r="8067">
      <c r="C8067" s="15"/>
      <c r="E8067" s="8"/>
      <c r="G8067" s="8"/>
      <c r="J8067" s="8"/>
    </row>
    <row r="8068">
      <c r="C8068" s="15"/>
      <c r="E8068" s="8"/>
      <c r="G8068" s="8"/>
      <c r="J8068" s="8"/>
    </row>
    <row r="8069">
      <c r="C8069" s="15"/>
      <c r="E8069" s="8"/>
      <c r="G8069" s="8"/>
      <c r="J8069" s="8"/>
    </row>
    <row r="8070">
      <c r="C8070" s="15"/>
      <c r="E8070" s="8"/>
      <c r="G8070" s="8"/>
      <c r="J8070" s="8"/>
    </row>
    <row r="8071">
      <c r="C8071" s="15"/>
      <c r="E8071" s="8"/>
      <c r="G8071" s="8"/>
      <c r="J8071" s="8"/>
    </row>
    <row r="8072">
      <c r="C8072" s="15"/>
      <c r="E8072" s="8"/>
      <c r="G8072" s="8"/>
      <c r="J8072" s="8"/>
    </row>
    <row r="8073">
      <c r="C8073" s="15"/>
      <c r="E8073" s="8"/>
      <c r="G8073" s="8"/>
      <c r="J8073" s="8"/>
    </row>
    <row r="8074">
      <c r="C8074" s="15"/>
      <c r="E8074" s="8"/>
      <c r="G8074" s="8"/>
      <c r="J8074" s="8"/>
    </row>
    <row r="8075">
      <c r="C8075" s="15"/>
      <c r="E8075" s="8"/>
      <c r="G8075" s="8"/>
      <c r="J8075" s="8"/>
    </row>
    <row r="8076">
      <c r="C8076" s="15"/>
      <c r="E8076" s="8"/>
      <c r="G8076" s="8"/>
      <c r="J8076" s="8"/>
    </row>
    <row r="8077">
      <c r="C8077" s="15"/>
      <c r="E8077" s="8"/>
      <c r="G8077" s="8"/>
      <c r="J8077" s="8"/>
    </row>
    <row r="8078">
      <c r="C8078" s="15"/>
      <c r="E8078" s="8"/>
      <c r="G8078" s="8"/>
      <c r="J8078" s="8"/>
    </row>
    <row r="8079">
      <c r="C8079" s="15"/>
      <c r="E8079" s="8"/>
      <c r="G8079" s="8"/>
      <c r="J8079" s="8"/>
    </row>
    <row r="8080">
      <c r="C8080" s="15"/>
      <c r="E8080" s="8"/>
      <c r="G8080" s="8"/>
      <c r="J8080" s="8"/>
    </row>
    <row r="8081">
      <c r="C8081" s="15"/>
      <c r="E8081" s="8"/>
      <c r="G8081" s="8"/>
      <c r="J8081" s="8"/>
    </row>
    <row r="8082">
      <c r="C8082" s="15"/>
      <c r="E8082" s="8"/>
      <c r="G8082" s="8"/>
      <c r="J8082" s="8"/>
    </row>
    <row r="8083">
      <c r="C8083" s="15"/>
      <c r="E8083" s="8"/>
      <c r="G8083" s="8"/>
      <c r="J8083" s="8"/>
    </row>
    <row r="8084">
      <c r="C8084" s="15"/>
      <c r="E8084" s="8"/>
      <c r="G8084" s="8"/>
      <c r="J8084" s="8"/>
    </row>
    <row r="8085">
      <c r="C8085" s="15"/>
      <c r="E8085" s="8"/>
      <c r="G8085" s="8"/>
      <c r="J8085" s="8"/>
    </row>
    <row r="8086">
      <c r="C8086" s="15"/>
      <c r="E8086" s="8"/>
      <c r="G8086" s="8"/>
      <c r="J8086" s="8"/>
    </row>
    <row r="8087">
      <c r="C8087" s="15"/>
      <c r="E8087" s="8"/>
      <c r="G8087" s="8"/>
      <c r="J8087" s="8"/>
    </row>
    <row r="8088">
      <c r="C8088" s="15"/>
      <c r="E8088" s="8"/>
      <c r="G8088" s="8"/>
      <c r="J8088" s="8"/>
    </row>
    <row r="8089">
      <c r="C8089" s="15"/>
      <c r="E8089" s="8"/>
      <c r="G8089" s="8"/>
      <c r="J8089" s="8"/>
    </row>
    <row r="8090">
      <c r="C8090" s="15"/>
      <c r="E8090" s="8"/>
      <c r="G8090" s="8"/>
      <c r="J8090" s="8"/>
    </row>
    <row r="8091">
      <c r="C8091" s="15"/>
      <c r="E8091" s="8"/>
      <c r="G8091" s="8"/>
      <c r="J8091" s="8"/>
    </row>
    <row r="8092">
      <c r="C8092" s="15"/>
      <c r="E8092" s="8"/>
      <c r="G8092" s="8"/>
      <c r="J8092" s="8"/>
    </row>
    <row r="8093">
      <c r="C8093" s="15"/>
      <c r="E8093" s="8"/>
      <c r="G8093" s="8"/>
      <c r="J8093" s="8"/>
    </row>
    <row r="8094">
      <c r="C8094" s="15"/>
      <c r="E8094" s="8"/>
      <c r="G8094" s="8"/>
      <c r="J8094" s="8"/>
    </row>
    <row r="8095">
      <c r="C8095" s="15"/>
      <c r="E8095" s="8"/>
      <c r="G8095" s="8"/>
      <c r="J8095" s="8"/>
    </row>
    <row r="8096">
      <c r="C8096" s="15"/>
      <c r="E8096" s="8"/>
      <c r="G8096" s="8"/>
      <c r="J8096" s="8"/>
    </row>
    <row r="8097">
      <c r="C8097" s="15"/>
      <c r="E8097" s="8"/>
      <c r="G8097" s="8"/>
      <c r="J8097" s="8"/>
    </row>
    <row r="8098">
      <c r="C8098" s="15"/>
      <c r="E8098" s="8"/>
      <c r="G8098" s="8"/>
      <c r="J8098" s="8"/>
    </row>
    <row r="8099">
      <c r="C8099" s="15"/>
      <c r="E8099" s="8"/>
      <c r="G8099" s="8"/>
      <c r="J8099" s="8"/>
    </row>
    <row r="8100">
      <c r="C8100" s="15"/>
      <c r="E8100" s="8"/>
      <c r="G8100" s="8"/>
      <c r="J8100" s="8"/>
    </row>
    <row r="8101">
      <c r="C8101" s="15"/>
      <c r="E8101" s="8"/>
      <c r="G8101" s="8"/>
      <c r="J8101" s="8"/>
    </row>
    <row r="8102">
      <c r="C8102" s="15"/>
      <c r="E8102" s="8"/>
      <c r="G8102" s="8"/>
      <c r="J8102" s="8"/>
    </row>
    <row r="8103">
      <c r="C8103" s="15"/>
      <c r="E8103" s="8"/>
      <c r="G8103" s="8"/>
      <c r="J8103" s="8"/>
    </row>
    <row r="8104">
      <c r="C8104" s="15"/>
      <c r="E8104" s="8"/>
      <c r="G8104" s="8"/>
      <c r="J8104" s="8"/>
    </row>
    <row r="8105">
      <c r="C8105" s="15"/>
      <c r="E8105" s="8"/>
      <c r="G8105" s="8"/>
      <c r="J8105" s="8"/>
    </row>
    <row r="8106">
      <c r="C8106" s="15"/>
      <c r="E8106" s="8"/>
      <c r="G8106" s="8"/>
      <c r="J8106" s="8"/>
    </row>
    <row r="8107">
      <c r="C8107" s="15"/>
      <c r="E8107" s="8"/>
      <c r="G8107" s="8"/>
      <c r="J8107" s="8"/>
    </row>
    <row r="8108">
      <c r="C8108" s="15"/>
      <c r="E8108" s="8"/>
      <c r="G8108" s="8"/>
      <c r="J8108" s="8"/>
    </row>
    <row r="8109">
      <c r="C8109" s="15"/>
      <c r="E8109" s="8"/>
      <c r="G8109" s="8"/>
      <c r="J8109" s="8"/>
    </row>
    <row r="8110">
      <c r="C8110" s="15"/>
      <c r="E8110" s="8"/>
      <c r="G8110" s="8"/>
      <c r="J8110" s="8"/>
    </row>
    <row r="8111">
      <c r="C8111" s="15"/>
      <c r="E8111" s="8"/>
      <c r="G8111" s="8"/>
      <c r="J8111" s="8"/>
    </row>
    <row r="8112">
      <c r="C8112" s="15"/>
      <c r="E8112" s="8"/>
      <c r="G8112" s="8"/>
      <c r="J8112" s="8"/>
    </row>
    <row r="8113">
      <c r="C8113" s="15"/>
      <c r="E8113" s="8"/>
      <c r="G8113" s="8"/>
      <c r="J8113" s="8"/>
    </row>
    <row r="8114">
      <c r="C8114" s="15"/>
      <c r="E8114" s="8"/>
      <c r="G8114" s="8"/>
      <c r="J8114" s="8"/>
    </row>
    <row r="8115">
      <c r="C8115" s="15"/>
      <c r="E8115" s="8"/>
      <c r="G8115" s="8"/>
      <c r="J8115" s="8"/>
    </row>
    <row r="8116">
      <c r="C8116" s="15"/>
      <c r="E8116" s="8"/>
      <c r="G8116" s="8"/>
      <c r="J8116" s="8"/>
    </row>
    <row r="8117">
      <c r="C8117" s="15"/>
      <c r="E8117" s="8"/>
      <c r="G8117" s="8"/>
      <c r="J8117" s="8"/>
    </row>
    <row r="8118">
      <c r="C8118" s="15"/>
      <c r="E8118" s="8"/>
      <c r="G8118" s="8"/>
      <c r="J8118" s="8"/>
    </row>
    <row r="8119">
      <c r="C8119" s="15"/>
      <c r="E8119" s="8"/>
      <c r="G8119" s="8"/>
      <c r="J8119" s="8"/>
    </row>
    <row r="8120">
      <c r="C8120" s="15"/>
      <c r="E8120" s="8"/>
      <c r="G8120" s="8"/>
      <c r="J8120" s="8"/>
    </row>
    <row r="8121">
      <c r="C8121" s="15"/>
      <c r="E8121" s="8"/>
      <c r="G8121" s="8"/>
      <c r="J8121" s="8"/>
    </row>
    <row r="8122">
      <c r="C8122" s="15"/>
      <c r="E8122" s="8"/>
      <c r="G8122" s="8"/>
      <c r="J8122" s="8"/>
    </row>
    <row r="8123">
      <c r="C8123" s="15"/>
      <c r="E8123" s="8"/>
      <c r="G8123" s="8"/>
      <c r="J8123" s="8"/>
    </row>
    <row r="8124">
      <c r="C8124" s="15"/>
      <c r="E8124" s="8"/>
      <c r="G8124" s="8"/>
      <c r="J8124" s="8"/>
    </row>
    <row r="8125">
      <c r="C8125" s="15"/>
      <c r="E8125" s="8"/>
      <c r="G8125" s="8"/>
      <c r="J8125" s="8"/>
    </row>
    <row r="8126">
      <c r="C8126" s="15"/>
      <c r="E8126" s="8"/>
      <c r="G8126" s="8"/>
      <c r="J8126" s="8"/>
    </row>
    <row r="8127">
      <c r="C8127" s="15"/>
      <c r="E8127" s="8"/>
      <c r="G8127" s="8"/>
      <c r="J8127" s="8"/>
    </row>
    <row r="8128">
      <c r="C8128" s="15"/>
      <c r="E8128" s="8"/>
      <c r="G8128" s="8"/>
      <c r="J8128" s="8"/>
    </row>
    <row r="8129">
      <c r="C8129" s="15"/>
      <c r="E8129" s="8"/>
      <c r="G8129" s="8"/>
      <c r="J8129" s="8"/>
    </row>
    <row r="8130">
      <c r="C8130" s="15"/>
      <c r="E8130" s="8"/>
      <c r="G8130" s="8"/>
      <c r="J8130" s="8"/>
    </row>
    <row r="8131">
      <c r="C8131" s="15"/>
      <c r="E8131" s="8"/>
      <c r="G8131" s="8"/>
      <c r="J8131" s="8"/>
    </row>
    <row r="8132">
      <c r="C8132" s="15"/>
      <c r="E8132" s="8"/>
      <c r="G8132" s="8"/>
      <c r="J8132" s="8"/>
    </row>
    <row r="8133">
      <c r="C8133" s="15"/>
      <c r="E8133" s="8"/>
      <c r="G8133" s="8"/>
      <c r="J8133" s="8"/>
    </row>
    <row r="8134">
      <c r="C8134" s="15"/>
      <c r="E8134" s="8"/>
      <c r="G8134" s="8"/>
      <c r="J8134" s="8"/>
    </row>
    <row r="8135">
      <c r="C8135" s="15"/>
      <c r="E8135" s="8"/>
      <c r="G8135" s="8"/>
      <c r="J8135" s="8"/>
    </row>
    <row r="8136">
      <c r="C8136" s="15"/>
      <c r="E8136" s="8"/>
      <c r="G8136" s="8"/>
      <c r="J8136" s="8"/>
    </row>
    <row r="8137">
      <c r="C8137" s="15"/>
      <c r="E8137" s="8"/>
      <c r="G8137" s="8"/>
      <c r="J8137" s="8"/>
    </row>
    <row r="8138">
      <c r="C8138" s="15"/>
      <c r="E8138" s="8"/>
      <c r="G8138" s="8"/>
      <c r="J8138" s="8"/>
    </row>
    <row r="8139">
      <c r="C8139" s="15"/>
      <c r="E8139" s="8"/>
      <c r="G8139" s="8"/>
      <c r="J8139" s="8"/>
    </row>
    <row r="8140">
      <c r="C8140" s="15"/>
      <c r="E8140" s="8"/>
      <c r="G8140" s="8"/>
      <c r="J8140" s="8"/>
    </row>
    <row r="8141">
      <c r="C8141" s="15"/>
      <c r="E8141" s="8"/>
      <c r="G8141" s="8"/>
      <c r="J8141" s="8"/>
    </row>
    <row r="8142">
      <c r="C8142" s="15"/>
      <c r="E8142" s="8"/>
      <c r="G8142" s="8"/>
      <c r="J8142" s="8"/>
    </row>
    <row r="8143">
      <c r="C8143" s="15"/>
      <c r="E8143" s="8"/>
      <c r="G8143" s="8"/>
      <c r="J8143" s="8"/>
    </row>
    <row r="8144">
      <c r="C8144" s="15"/>
      <c r="E8144" s="8"/>
      <c r="G8144" s="8"/>
      <c r="J8144" s="8"/>
    </row>
    <row r="8145">
      <c r="C8145" s="15"/>
      <c r="E8145" s="8"/>
      <c r="G8145" s="8"/>
      <c r="J8145" s="8"/>
    </row>
    <row r="8146">
      <c r="C8146" s="15"/>
      <c r="E8146" s="8"/>
      <c r="G8146" s="8"/>
      <c r="J8146" s="8"/>
    </row>
    <row r="8147">
      <c r="C8147" s="15"/>
      <c r="E8147" s="8"/>
      <c r="G8147" s="8"/>
      <c r="J8147" s="8"/>
    </row>
    <row r="8148">
      <c r="C8148" s="15"/>
      <c r="E8148" s="8"/>
      <c r="G8148" s="8"/>
      <c r="J8148" s="8"/>
    </row>
    <row r="8149">
      <c r="C8149" s="15"/>
      <c r="E8149" s="8"/>
      <c r="G8149" s="8"/>
      <c r="J8149" s="8"/>
    </row>
    <row r="8150">
      <c r="C8150" s="15"/>
      <c r="E8150" s="8"/>
      <c r="G8150" s="8"/>
      <c r="J8150" s="8"/>
    </row>
    <row r="8151">
      <c r="C8151" s="15"/>
      <c r="E8151" s="8"/>
      <c r="G8151" s="8"/>
      <c r="J8151" s="8"/>
    </row>
    <row r="8152">
      <c r="C8152" s="15"/>
      <c r="E8152" s="8"/>
      <c r="G8152" s="8"/>
      <c r="J8152" s="8"/>
    </row>
    <row r="8153">
      <c r="C8153" s="15"/>
      <c r="E8153" s="8"/>
      <c r="G8153" s="8"/>
      <c r="J8153" s="8"/>
    </row>
    <row r="8154">
      <c r="C8154" s="15"/>
      <c r="E8154" s="8"/>
      <c r="G8154" s="8"/>
      <c r="J8154" s="8"/>
    </row>
    <row r="8155">
      <c r="C8155" s="15"/>
      <c r="E8155" s="8"/>
      <c r="G8155" s="8"/>
      <c r="J8155" s="8"/>
    </row>
    <row r="8156">
      <c r="C8156" s="15"/>
      <c r="E8156" s="8"/>
      <c r="G8156" s="8"/>
      <c r="J8156" s="8"/>
    </row>
    <row r="8157">
      <c r="C8157" s="15"/>
      <c r="E8157" s="8"/>
      <c r="G8157" s="8"/>
      <c r="J8157" s="8"/>
    </row>
    <row r="8158">
      <c r="C8158" s="15"/>
      <c r="E8158" s="8"/>
      <c r="G8158" s="8"/>
      <c r="J8158" s="8"/>
    </row>
    <row r="8159">
      <c r="C8159" s="15"/>
      <c r="E8159" s="8"/>
      <c r="G8159" s="8"/>
      <c r="J8159" s="8"/>
    </row>
    <row r="8160">
      <c r="C8160" s="15"/>
      <c r="E8160" s="8"/>
      <c r="G8160" s="8"/>
      <c r="J8160" s="8"/>
    </row>
    <row r="8161">
      <c r="C8161" s="15"/>
      <c r="E8161" s="8"/>
      <c r="G8161" s="8"/>
      <c r="J8161" s="8"/>
    </row>
    <row r="8162">
      <c r="C8162" s="15"/>
      <c r="E8162" s="8"/>
      <c r="G8162" s="8"/>
      <c r="J8162" s="8"/>
    </row>
    <row r="8163">
      <c r="C8163" s="15"/>
      <c r="E8163" s="8"/>
      <c r="G8163" s="8"/>
      <c r="J8163" s="8"/>
    </row>
    <row r="8164">
      <c r="C8164" s="15"/>
      <c r="E8164" s="8"/>
      <c r="G8164" s="8"/>
      <c r="J8164" s="8"/>
    </row>
    <row r="8165">
      <c r="C8165" s="15"/>
      <c r="E8165" s="8"/>
      <c r="G8165" s="8"/>
      <c r="J8165" s="8"/>
    </row>
    <row r="8166">
      <c r="C8166" s="15"/>
      <c r="E8166" s="8"/>
      <c r="G8166" s="8"/>
      <c r="J8166" s="8"/>
    </row>
    <row r="8167">
      <c r="C8167" s="15"/>
      <c r="E8167" s="8"/>
      <c r="G8167" s="8"/>
      <c r="J8167" s="8"/>
    </row>
    <row r="8168">
      <c r="C8168" s="15"/>
      <c r="E8168" s="8"/>
      <c r="G8168" s="8"/>
      <c r="J8168" s="8"/>
    </row>
    <row r="8169">
      <c r="C8169" s="15"/>
      <c r="E8169" s="8"/>
      <c r="G8169" s="8"/>
      <c r="J8169" s="8"/>
    </row>
    <row r="8170">
      <c r="C8170" s="15"/>
      <c r="E8170" s="8"/>
      <c r="G8170" s="8"/>
      <c r="J8170" s="8"/>
    </row>
    <row r="8171">
      <c r="C8171" s="15"/>
      <c r="E8171" s="8"/>
      <c r="G8171" s="8"/>
      <c r="J8171" s="8"/>
    </row>
    <row r="8172">
      <c r="C8172" s="15"/>
      <c r="E8172" s="8"/>
      <c r="G8172" s="8"/>
      <c r="J8172" s="8"/>
    </row>
    <row r="8173">
      <c r="C8173" s="15"/>
      <c r="E8173" s="8"/>
      <c r="G8173" s="8"/>
      <c r="J8173" s="8"/>
    </row>
    <row r="8174">
      <c r="C8174" s="15"/>
      <c r="E8174" s="8"/>
      <c r="G8174" s="8"/>
      <c r="J8174" s="8"/>
    </row>
    <row r="8175">
      <c r="C8175" s="15"/>
      <c r="E8175" s="8"/>
      <c r="G8175" s="8"/>
      <c r="J8175" s="8"/>
    </row>
    <row r="8176">
      <c r="C8176" s="15"/>
      <c r="E8176" s="8"/>
      <c r="G8176" s="8"/>
      <c r="J8176" s="8"/>
    </row>
    <row r="8177">
      <c r="C8177" s="15"/>
      <c r="E8177" s="8"/>
      <c r="G8177" s="8"/>
      <c r="J8177" s="8"/>
    </row>
    <row r="8178">
      <c r="C8178" s="15"/>
      <c r="E8178" s="8"/>
      <c r="G8178" s="8"/>
      <c r="J8178" s="8"/>
    </row>
    <row r="8179">
      <c r="C8179" s="15"/>
      <c r="E8179" s="8"/>
      <c r="G8179" s="8"/>
      <c r="J8179" s="8"/>
    </row>
    <row r="8180">
      <c r="C8180" s="15"/>
      <c r="E8180" s="8"/>
      <c r="G8180" s="8"/>
      <c r="J8180" s="8"/>
    </row>
    <row r="8181">
      <c r="C8181" s="15"/>
      <c r="E8181" s="8"/>
      <c r="G8181" s="8"/>
      <c r="J8181" s="8"/>
    </row>
    <row r="8182">
      <c r="C8182" s="15"/>
      <c r="E8182" s="8"/>
      <c r="G8182" s="8"/>
      <c r="J8182" s="8"/>
    </row>
    <row r="8183">
      <c r="C8183" s="15"/>
      <c r="E8183" s="8"/>
      <c r="G8183" s="8"/>
      <c r="J8183" s="8"/>
    </row>
    <row r="8184">
      <c r="C8184" s="15"/>
      <c r="E8184" s="8"/>
      <c r="G8184" s="8"/>
      <c r="J8184" s="8"/>
    </row>
    <row r="8185">
      <c r="C8185" s="15"/>
      <c r="E8185" s="8"/>
      <c r="G8185" s="8"/>
      <c r="J8185" s="8"/>
    </row>
    <row r="8186">
      <c r="C8186" s="15"/>
      <c r="E8186" s="8"/>
      <c r="G8186" s="8"/>
      <c r="J8186" s="8"/>
    </row>
    <row r="8187">
      <c r="C8187" s="15"/>
      <c r="E8187" s="8"/>
      <c r="G8187" s="8"/>
      <c r="J8187" s="8"/>
    </row>
    <row r="8188">
      <c r="C8188" s="15"/>
      <c r="E8188" s="8"/>
      <c r="G8188" s="8"/>
      <c r="J8188" s="8"/>
    </row>
    <row r="8189">
      <c r="C8189" s="15"/>
      <c r="E8189" s="8"/>
      <c r="G8189" s="8"/>
      <c r="J8189" s="8"/>
    </row>
    <row r="8190">
      <c r="C8190" s="15"/>
      <c r="E8190" s="8"/>
      <c r="G8190" s="8"/>
      <c r="J8190" s="8"/>
    </row>
    <row r="8191">
      <c r="C8191" s="15"/>
      <c r="E8191" s="8"/>
      <c r="G8191" s="8"/>
      <c r="J8191" s="8"/>
    </row>
    <row r="8192">
      <c r="C8192" s="15"/>
      <c r="E8192" s="8"/>
      <c r="G8192" s="8"/>
      <c r="J8192" s="8"/>
    </row>
    <row r="8193">
      <c r="C8193" s="15"/>
      <c r="E8193" s="8"/>
      <c r="G8193" s="8"/>
      <c r="J8193" s="8"/>
    </row>
    <row r="8194">
      <c r="C8194" s="15"/>
      <c r="E8194" s="8"/>
      <c r="G8194" s="8"/>
      <c r="J8194" s="8"/>
    </row>
    <row r="8195">
      <c r="C8195" s="15"/>
      <c r="E8195" s="8"/>
      <c r="G8195" s="8"/>
      <c r="J8195" s="8"/>
    </row>
    <row r="8196">
      <c r="C8196" s="15"/>
      <c r="E8196" s="8"/>
      <c r="G8196" s="8"/>
      <c r="J8196" s="8"/>
    </row>
    <row r="8197">
      <c r="C8197" s="15"/>
      <c r="E8197" s="8"/>
      <c r="G8197" s="8"/>
      <c r="J8197" s="8"/>
    </row>
    <row r="8198">
      <c r="C8198" s="15"/>
      <c r="E8198" s="8"/>
      <c r="G8198" s="8"/>
      <c r="J8198" s="8"/>
    </row>
    <row r="8199">
      <c r="C8199" s="15"/>
      <c r="E8199" s="8"/>
      <c r="G8199" s="8"/>
      <c r="J8199" s="8"/>
    </row>
    <row r="8200">
      <c r="C8200" s="15"/>
      <c r="E8200" s="8"/>
      <c r="G8200" s="8"/>
      <c r="J8200" s="8"/>
    </row>
    <row r="8201">
      <c r="C8201" s="15"/>
      <c r="E8201" s="8"/>
      <c r="G8201" s="8"/>
      <c r="J8201" s="8"/>
    </row>
    <row r="8202">
      <c r="C8202" s="15"/>
      <c r="E8202" s="8"/>
      <c r="G8202" s="8"/>
      <c r="J8202" s="8"/>
    </row>
    <row r="8203">
      <c r="C8203" s="15"/>
      <c r="E8203" s="8"/>
      <c r="G8203" s="8"/>
      <c r="J8203" s="8"/>
    </row>
    <row r="8204">
      <c r="C8204" s="15"/>
      <c r="E8204" s="8"/>
      <c r="G8204" s="8"/>
      <c r="J8204" s="8"/>
    </row>
    <row r="8205">
      <c r="C8205" s="15"/>
      <c r="E8205" s="8"/>
      <c r="G8205" s="8"/>
      <c r="J8205" s="8"/>
    </row>
    <row r="8206">
      <c r="C8206" s="15"/>
      <c r="E8206" s="8"/>
      <c r="G8206" s="8"/>
      <c r="J8206" s="8"/>
    </row>
    <row r="8207">
      <c r="C8207" s="15"/>
      <c r="E8207" s="8"/>
      <c r="G8207" s="8"/>
      <c r="J8207" s="8"/>
    </row>
    <row r="8208">
      <c r="C8208" s="15"/>
      <c r="E8208" s="8"/>
      <c r="G8208" s="8"/>
      <c r="J8208" s="8"/>
    </row>
    <row r="8209">
      <c r="C8209" s="15"/>
      <c r="E8209" s="8"/>
      <c r="G8209" s="8"/>
      <c r="J8209" s="8"/>
    </row>
    <row r="8210">
      <c r="C8210" s="15"/>
      <c r="E8210" s="8"/>
      <c r="G8210" s="8"/>
      <c r="J8210" s="8"/>
    </row>
    <row r="8211">
      <c r="C8211" s="15"/>
      <c r="E8211" s="8"/>
      <c r="G8211" s="8"/>
      <c r="J8211" s="8"/>
    </row>
    <row r="8212">
      <c r="C8212" s="15"/>
      <c r="E8212" s="8"/>
      <c r="G8212" s="8"/>
      <c r="J8212" s="8"/>
    </row>
    <row r="8213">
      <c r="C8213" s="15"/>
      <c r="E8213" s="8"/>
      <c r="G8213" s="8"/>
      <c r="J8213" s="8"/>
    </row>
    <row r="8214">
      <c r="C8214" s="15"/>
      <c r="E8214" s="8"/>
      <c r="G8214" s="8"/>
      <c r="J8214" s="8"/>
    </row>
    <row r="8215">
      <c r="C8215" s="15"/>
      <c r="E8215" s="8"/>
      <c r="G8215" s="8"/>
      <c r="J8215" s="8"/>
    </row>
    <row r="8216">
      <c r="C8216" s="15"/>
      <c r="E8216" s="8"/>
      <c r="G8216" s="8"/>
      <c r="J8216" s="8"/>
    </row>
    <row r="8217">
      <c r="C8217" s="15"/>
      <c r="E8217" s="8"/>
      <c r="G8217" s="8"/>
      <c r="J8217" s="8"/>
    </row>
    <row r="8218">
      <c r="C8218" s="15"/>
      <c r="E8218" s="8"/>
      <c r="G8218" s="8"/>
      <c r="J8218" s="8"/>
    </row>
    <row r="8219">
      <c r="C8219" s="15"/>
      <c r="E8219" s="8"/>
      <c r="G8219" s="8"/>
      <c r="J8219" s="8"/>
    </row>
    <row r="8220">
      <c r="C8220" s="15"/>
      <c r="E8220" s="8"/>
      <c r="G8220" s="8"/>
      <c r="J8220" s="8"/>
    </row>
    <row r="8221">
      <c r="C8221" s="15"/>
      <c r="E8221" s="8"/>
      <c r="G8221" s="8"/>
      <c r="J8221" s="8"/>
    </row>
    <row r="8222">
      <c r="C8222" s="15"/>
      <c r="E8222" s="8"/>
      <c r="G8222" s="8"/>
      <c r="J8222" s="8"/>
    </row>
    <row r="8223">
      <c r="C8223" s="15"/>
      <c r="E8223" s="8"/>
      <c r="G8223" s="8"/>
      <c r="J8223" s="8"/>
    </row>
    <row r="8224">
      <c r="C8224" s="15"/>
      <c r="E8224" s="8"/>
      <c r="G8224" s="8"/>
      <c r="J8224" s="8"/>
    </row>
    <row r="8225">
      <c r="C8225" s="15"/>
      <c r="E8225" s="8"/>
      <c r="G8225" s="8"/>
      <c r="J8225" s="8"/>
    </row>
    <row r="8226">
      <c r="C8226" s="15"/>
      <c r="E8226" s="8"/>
      <c r="G8226" s="8"/>
      <c r="J8226" s="8"/>
    </row>
    <row r="8227">
      <c r="C8227" s="15"/>
      <c r="E8227" s="8"/>
      <c r="G8227" s="8"/>
      <c r="J8227" s="8"/>
    </row>
    <row r="8228">
      <c r="C8228" s="15"/>
      <c r="E8228" s="8"/>
      <c r="G8228" s="8"/>
      <c r="J8228" s="8"/>
    </row>
    <row r="8229">
      <c r="C8229" s="15"/>
      <c r="E8229" s="8"/>
      <c r="G8229" s="8"/>
      <c r="J8229" s="8"/>
    </row>
    <row r="8230">
      <c r="C8230" s="15"/>
      <c r="E8230" s="8"/>
      <c r="G8230" s="8"/>
      <c r="J8230" s="8"/>
    </row>
    <row r="8231">
      <c r="C8231" s="15"/>
      <c r="E8231" s="8"/>
      <c r="G8231" s="8"/>
      <c r="J8231" s="8"/>
    </row>
    <row r="8232">
      <c r="C8232" s="15"/>
      <c r="E8232" s="8"/>
      <c r="G8232" s="8"/>
      <c r="J8232" s="8"/>
    </row>
    <row r="8233">
      <c r="C8233" s="15"/>
      <c r="E8233" s="8"/>
      <c r="G8233" s="8"/>
      <c r="J8233" s="8"/>
    </row>
    <row r="8234">
      <c r="C8234" s="15"/>
      <c r="E8234" s="8"/>
      <c r="G8234" s="8"/>
      <c r="J8234" s="8"/>
    </row>
    <row r="8235">
      <c r="C8235" s="15"/>
      <c r="E8235" s="8"/>
      <c r="G8235" s="8"/>
      <c r="J8235" s="8"/>
    </row>
    <row r="8236">
      <c r="C8236" s="15"/>
      <c r="E8236" s="8"/>
      <c r="G8236" s="8"/>
      <c r="J8236" s="8"/>
    </row>
    <row r="8237">
      <c r="C8237" s="15"/>
      <c r="E8237" s="8"/>
      <c r="G8237" s="8"/>
      <c r="J8237" s="8"/>
    </row>
    <row r="8238">
      <c r="C8238" s="15"/>
      <c r="E8238" s="8"/>
      <c r="G8238" s="8"/>
      <c r="J8238" s="8"/>
    </row>
    <row r="8239">
      <c r="C8239" s="15"/>
      <c r="E8239" s="8"/>
      <c r="G8239" s="8"/>
      <c r="J8239" s="8"/>
    </row>
    <row r="8240">
      <c r="C8240" s="15"/>
      <c r="E8240" s="8"/>
      <c r="G8240" s="8"/>
      <c r="J8240" s="8"/>
    </row>
    <row r="8241">
      <c r="C8241" s="15"/>
      <c r="E8241" s="8"/>
      <c r="G8241" s="8"/>
      <c r="J8241" s="8"/>
    </row>
    <row r="8242">
      <c r="C8242" s="15"/>
      <c r="E8242" s="8"/>
      <c r="G8242" s="8"/>
      <c r="J8242" s="8"/>
    </row>
    <row r="8243">
      <c r="C8243" s="15"/>
      <c r="E8243" s="8"/>
      <c r="G8243" s="8"/>
      <c r="J8243" s="8"/>
    </row>
    <row r="8244">
      <c r="C8244" s="15"/>
      <c r="E8244" s="8"/>
      <c r="G8244" s="8"/>
      <c r="J8244" s="8"/>
    </row>
    <row r="8245">
      <c r="C8245" s="15"/>
      <c r="E8245" s="8"/>
      <c r="G8245" s="8"/>
      <c r="J8245" s="8"/>
    </row>
    <row r="8246">
      <c r="C8246" s="15"/>
      <c r="E8246" s="8"/>
      <c r="G8246" s="8"/>
      <c r="J8246" s="8"/>
    </row>
    <row r="8247">
      <c r="C8247" s="15"/>
      <c r="E8247" s="8"/>
      <c r="G8247" s="8"/>
      <c r="J8247" s="8"/>
    </row>
    <row r="8248">
      <c r="C8248" s="15"/>
      <c r="E8248" s="8"/>
      <c r="G8248" s="8"/>
      <c r="J8248" s="8"/>
    </row>
    <row r="8249">
      <c r="C8249" s="15"/>
      <c r="E8249" s="8"/>
      <c r="G8249" s="8"/>
      <c r="J8249" s="8"/>
    </row>
    <row r="8250">
      <c r="C8250" s="15"/>
      <c r="E8250" s="8"/>
      <c r="G8250" s="8"/>
      <c r="J8250" s="8"/>
    </row>
    <row r="8251">
      <c r="C8251" s="15"/>
      <c r="E8251" s="8"/>
      <c r="G8251" s="8"/>
      <c r="J8251" s="8"/>
    </row>
    <row r="8252">
      <c r="C8252" s="15"/>
      <c r="E8252" s="8"/>
      <c r="G8252" s="8"/>
      <c r="J8252" s="8"/>
    </row>
    <row r="8253">
      <c r="C8253" s="15"/>
      <c r="E8253" s="8"/>
      <c r="G8253" s="8"/>
      <c r="J8253" s="8"/>
    </row>
    <row r="8254">
      <c r="C8254" s="15"/>
      <c r="E8254" s="8"/>
      <c r="G8254" s="8"/>
      <c r="J8254" s="8"/>
    </row>
    <row r="8255">
      <c r="C8255" s="15"/>
      <c r="E8255" s="8"/>
      <c r="G8255" s="8"/>
      <c r="J8255" s="8"/>
    </row>
    <row r="8256">
      <c r="C8256" s="15"/>
      <c r="E8256" s="8"/>
      <c r="G8256" s="8"/>
      <c r="J8256" s="8"/>
    </row>
    <row r="8257">
      <c r="C8257" s="15"/>
      <c r="E8257" s="8"/>
      <c r="G8257" s="8"/>
      <c r="J8257" s="8"/>
    </row>
    <row r="8258">
      <c r="C8258" s="15"/>
      <c r="E8258" s="8"/>
      <c r="G8258" s="8"/>
      <c r="J8258" s="8"/>
    </row>
    <row r="8259">
      <c r="C8259" s="15"/>
      <c r="E8259" s="8"/>
      <c r="G8259" s="8"/>
      <c r="J8259" s="8"/>
    </row>
    <row r="8260">
      <c r="C8260" s="15"/>
      <c r="E8260" s="8"/>
      <c r="G8260" s="8"/>
      <c r="J8260" s="8"/>
    </row>
    <row r="8261">
      <c r="C8261" s="15"/>
      <c r="E8261" s="8"/>
      <c r="G8261" s="8"/>
      <c r="J8261" s="8"/>
    </row>
    <row r="8262">
      <c r="C8262" s="15"/>
      <c r="E8262" s="8"/>
      <c r="G8262" s="8"/>
      <c r="J8262" s="8"/>
    </row>
    <row r="8263">
      <c r="C8263" s="15"/>
      <c r="E8263" s="8"/>
      <c r="G8263" s="8"/>
      <c r="J8263" s="8"/>
    </row>
    <row r="8264">
      <c r="C8264" s="15"/>
      <c r="E8264" s="8"/>
      <c r="G8264" s="8"/>
      <c r="J8264" s="8"/>
    </row>
    <row r="8265">
      <c r="C8265" s="15"/>
      <c r="E8265" s="8"/>
      <c r="G8265" s="8"/>
      <c r="J8265" s="8"/>
    </row>
    <row r="8266">
      <c r="C8266" s="15"/>
      <c r="E8266" s="8"/>
      <c r="G8266" s="8"/>
      <c r="J8266" s="8"/>
    </row>
    <row r="8267">
      <c r="C8267" s="15"/>
      <c r="E8267" s="8"/>
      <c r="G8267" s="8"/>
      <c r="J8267" s="8"/>
    </row>
    <row r="8268">
      <c r="C8268" s="15"/>
      <c r="E8268" s="8"/>
      <c r="G8268" s="8"/>
      <c r="J8268" s="8"/>
    </row>
    <row r="8269">
      <c r="C8269" s="15"/>
      <c r="E8269" s="8"/>
      <c r="G8269" s="8"/>
      <c r="J8269" s="8"/>
    </row>
    <row r="8270">
      <c r="C8270" s="15"/>
      <c r="E8270" s="8"/>
      <c r="G8270" s="8"/>
      <c r="J8270" s="8"/>
    </row>
    <row r="8271">
      <c r="C8271" s="15"/>
      <c r="E8271" s="8"/>
      <c r="G8271" s="8"/>
      <c r="J8271" s="8"/>
    </row>
    <row r="8272">
      <c r="C8272" s="15"/>
      <c r="E8272" s="8"/>
      <c r="G8272" s="8"/>
      <c r="J8272" s="8"/>
    </row>
    <row r="8273">
      <c r="C8273" s="15"/>
      <c r="E8273" s="8"/>
      <c r="G8273" s="8"/>
      <c r="J8273" s="8"/>
    </row>
    <row r="8274">
      <c r="C8274" s="15"/>
      <c r="E8274" s="8"/>
      <c r="G8274" s="8"/>
      <c r="J8274" s="8"/>
    </row>
    <row r="8275">
      <c r="C8275" s="15"/>
      <c r="E8275" s="8"/>
      <c r="G8275" s="8"/>
      <c r="J8275" s="8"/>
    </row>
    <row r="8276">
      <c r="C8276" s="15"/>
      <c r="E8276" s="8"/>
      <c r="G8276" s="8"/>
      <c r="J8276" s="8"/>
    </row>
    <row r="8277">
      <c r="C8277" s="15"/>
      <c r="E8277" s="8"/>
      <c r="G8277" s="8"/>
      <c r="J8277" s="8"/>
    </row>
    <row r="8278">
      <c r="C8278" s="15"/>
      <c r="E8278" s="8"/>
      <c r="G8278" s="8"/>
      <c r="J8278" s="8"/>
    </row>
    <row r="8279">
      <c r="C8279" s="15"/>
      <c r="E8279" s="8"/>
      <c r="G8279" s="8"/>
      <c r="J8279" s="8"/>
    </row>
    <row r="8280">
      <c r="C8280" s="15"/>
      <c r="E8280" s="8"/>
      <c r="G8280" s="8"/>
      <c r="J8280" s="8"/>
    </row>
    <row r="8281">
      <c r="C8281" s="15"/>
      <c r="E8281" s="8"/>
      <c r="G8281" s="8"/>
      <c r="J8281" s="8"/>
    </row>
    <row r="8282">
      <c r="C8282" s="15"/>
      <c r="E8282" s="8"/>
      <c r="G8282" s="8"/>
      <c r="J8282" s="8"/>
    </row>
    <row r="8283">
      <c r="C8283" s="15"/>
      <c r="E8283" s="8"/>
      <c r="G8283" s="8"/>
      <c r="J8283" s="8"/>
    </row>
    <row r="8284">
      <c r="C8284" s="15"/>
      <c r="E8284" s="8"/>
      <c r="G8284" s="8"/>
      <c r="J8284" s="8"/>
    </row>
    <row r="8285">
      <c r="C8285" s="15"/>
      <c r="E8285" s="8"/>
      <c r="G8285" s="8"/>
      <c r="J8285" s="8"/>
    </row>
    <row r="8286">
      <c r="C8286" s="15"/>
      <c r="E8286" s="8"/>
      <c r="G8286" s="8"/>
      <c r="J8286" s="8"/>
    </row>
    <row r="8287">
      <c r="C8287" s="15"/>
      <c r="E8287" s="8"/>
      <c r="G8287" s="8"/>
      <c r="J8287" s="8"/>
    </row>
    <row r="8288">
      <c r="C8288" s="15"/>
      <c r="E8288" s="8"/>
      <c r="G8288" s="8"/>
      <c r="J8288" s="8"/>
    </row>
    <row r="8289">
      <c r="C8289" s="15"/>
      <c r="E8289" s="8"/>
      <c r="G8289" s="8"/>
      <c r="J8289" s="8"/>
    </row>
    <row r="8290">
      <c r="C8290" s="15"/>
      <c r="E8290" s="8"/>
      <c r="G8290" s="8"/>
      <c r="J8290" s="8"/>
    </row>
    <row r="8291">
      <c r="C8291" s="15"/>
      <c r="E8291" s="8"/>
      <c r="G8291" s="8"/>
      <c r="J8291" s="8"/>
    </row>
    <row r="8292">
      <c r="C8292" s="15"/>
      <c r="E8292" s="8"/>
      <c r="G8292" s="8"/>
      <c r="J8292" s="8"/>
    </row>
    <row r="8293">
      <c r="C8293" s="15"/>
      <c r="E8293" s="8"/>
      <c r="G8293" s="8"/>
      <c r="J8293" s="8"/>
    </row>
    <row r="8294">
      <c r="C8294" s="15"/>
      <c r="E8294" s="8"/>
      <c r="G8294" s="8"/>
      <c r="J8294" s="8"/>
    </row>
    <row r="8295">
      <c r="C8295" s="15"/>
      <c r="E8295" s="8"/>
      <c r="G8295" s="8"/>
      <c r="J8295" s="8"/>
    </row>
    <row r="8296">
      <c r="C8296" s="15"/>
      <c r="E8296" s="8"/>
      <c r="G8296" s="8"/>
      <c r="J8296" s="8"/>
    </row>
    <row r="8297">
      <c r="C8297" s="15"/>
      <c r="E8297" s="8"/>
      <c r="G8297" s="8"/>
      <c r="J8297" s="8"/>
    </row>
    <row r="8298">
      <c r="C8298" s="15"/>
      <c r="E8298" s="8"/>
      <c r="G8298" s="8"/>
      <c r="J8298" s="8"/>
    </row>
    <row r="8299">
      <c r="C8299" s="15"/>
      <c r="E8299" s="8"/>
      <c r="G8299" s="8"/>
      <c r="J8299" s="8"/>
    </row>
    <row r="8300">
      <c r="C8300" s="15"/>
      <c r="E8300" s="8"/>
      <c r="G8300" s="8"/>
      <c r="J8300" s="8"/>
    </row>
    <row r="8301">
      <c r="C8301" s="15"/>
      <c r="E8301" s="8"/>
      <c r="G8301" s="8"/>
      <c r="J8301" s="8"/>
    </row>
    <row r="8302">
      <c r="C8302" s="15"/>
      <c r="E8302" s="8"/>
      <c r="G8302" s="8"/>
      <c r="J8302" s="8"/>
    </row>
    <row r="8303">
      <c r="C8303" s="15"/>
      <c r="E8303" s="8"/>
      <c r="G8303" s="8"/>
      <c r="J8303" s="8"/>
    </row>
    <row r="8304">
      <c r="C8304" s="15"/>
      <c r="E8304" s="8"/>
      <c r="G8304" s="8"/>
      <c r="J8304" s="8"/>
    </row>
    <row r="8305">
      <c r="C8305" s="15"/>
      <c r="E8305" s="8"/>
      <c r="G8305" s="8"/>
      <c r="J8305" s="8"/>
    </row>
    <row r="8306">
      <c r="C8306" s="15"/>
      <c r="E8306" s="8"/>
      <c r="G8306" s="8"/>
      <c r="J8306" s="8"/>
    </row>
    <row r="8307">
      <c r="C8307" s="15"/>
      <c r="E8307" s="8"/>
      <c r="G8307" s="8"/>
      <c r="J8307" s="8"/>
    </row>
    <row r="8308">
      <c r="C8308" s="15"/>
      <c r="E8308" s="8"/>
      <c r="G8308" s="8"/>
      <c r="J8308" s="8"/>
    </row>
    <row r="8309">
      <c r="C8309" s="15"/>
      <c r="E8309" s="8"/>
      <c r="G8309" s="8"/>
      <c r="J8309" s="8"/>
    </row>
    <row r="8310">
      <c r="C8310" s="15"/>
      <c r="E8310" s="8"/>
      <c r="G8310" s="8"/>
      <c r="J8310" s="8"/>
    </row>
    <row r="8311">
      <c r="C8311" s="15"/>
      <c r="E8311" s="8"/>
      <c r="G8311" s="8"/>
      <c r="J8311" s="8"/>
    </row>
    <row r="8312">
      <c r="C8312" s="15"/>
      <c r="E8312" s="8"/>
      <c r="G8312" s="8"/>
      <c r="J8312" s="8"/>
    </row>
    <row r="8313">
      <c r="C8313" s="15"/>
      <c r="E8313" s="8"/>
      <c r="G8313" s="8"/>
      <c r="J8313" s="8"/>
    </row>
    <row r="8314">
      <c r="C8314" s="15"/>
      <c r="E8314" s="8"/>
      <c r="G8314" s="8"/>
      <c r="J8314" s="8"/>
    </row>
    <row r="8315">
      <c r="C8315" s="15"/>
      <c r="E8315" s="8"/>
      <c r="G8315" s="8"/>
      <c r="J8315" s="8"/>
    </row>
    <row r="8316">
      <c r="C8316" s="15"/>
      <c r="E8316" s="8"/>
      <c r="G8316" s="8"/>
      <c r="J8316" s="8"/>
    </row>
    <row r="8317">
      <c r="C8317" s="15"/>
      <c r="E8317" s="8"/>
      <c r="G8317" s="8"/>
      <c r="J8317" s="8"/>
    </row>
    <row r="8318">
      <c r="C8318" s="15"/>
      <c r="E8318" s="8"/>
      <c r="G8318" s="8"/>
      <c r="J8318" s="8"/>
    </row>
    <row r="8319">
      <c r="C8319" s="15"/>
      <c r="E8319" s="8"/>
      <c r="G8319" s="8"/>
      <c r="J8319" s="8"/>
    </row>
    <row r="8320">
      <c r="C8320" s="15"/>
      <c r="E8320" s="8"/>
      <c r="G8320" s="8"/>
      <c r="J8320" s="8"/>
    </row>
    <row r="8321">
      <c r="C8321" s="15"/>
      <c r="E8321" s="8"/>
      <c r="G8321" s="8"/>
      <c r="J8321" s="8"/>
    </row>
    <row r="8322">
      <c r="C8322" s="15"/>
      <c r="E8322" s="8"/>
      <c r="G8322" s="8"/>
      <c r="J8322" s="8"/>
    </row>
    <row r="8323">
      <c r="C8323" s="15"/>
      <c r="E8323" s="8"/>
      <c r="G8323" s="8"/>
      <c r="J8323" s="8"/>
    </row>
    <row r="8324">
      <c r="C8324" s="15"/>
      <c r="E8324" s="8"/>
      <c r="G8324" s="8"/>
      <c r="J8324" s="8"/>
    </row>
    <row r="8325">
      <c r="C8325" s="15"/>
      <c r="E8325" s="8"/>
      <c r="G8325" s="8"/>
      <c r="J8325" s="8"/>
    </row>
    <row r="8326">
      <c r="C8326" s="15"/>
      <c r="E8326" s="8"/>
      <c r="G8326" s="8"/>
      <c r="J8326" s="8"/>
    </row>
    <row r="8327">
      <c r="C8327" s="15"/>
      <c r="E8327" s="8"/>
      <c r="G8327" s="8"/>
      <c r="J8327" s="8"/>
    </row>
    <row r="8328">
      <c r="C8328" s="15"/>
      <c r="E8328" s="8"/>
      <c r="G8328" s="8"/>
      <c r="J8328" s="8"/>
    </row>
    <row r="8329">
      <c r="C8329" s="15"/>
      <c r="E8329" s="8"/>
      <c r="G8329" s="8"/>
      <c r="J8329" s="8"/>
    </row>
    <row r="8330">
      <c r="C8330" s="15"/>
      <c r="E8330" s="8"/>
      <c r="G8330" s="8"/>
      <c r="J8330" s="8"/>
    </row>
    <row r="8331">
      <c r="C8331" s="15"/>
      <c r="E8331" s="8"/>
      <c r="G8331" s="8"/>
      <c r="J8331" s="8"/>
    </row>
    <row r="8332">
      <c r="C8332" s="15"/>
      <c r="E8332" s="8"/>
      <c r="G8332" s="8"/>
      <c r="J8332" s="8"/>
    </row>
    <row r="8333">
      <c r="C8333" s="15"/>
      <c r="E8333" s="8"/>
      <c r="G8333" s="8"/>
      <c r="J8333" s="8"/>
    </row>
    <row r="8334">
      <c r="C8334" s="15"/>
      <c r="E8334" s="8"/>
      <c r="G8334" s="8"/>
      <c r="J8334" s="8"/>
    </row>
    <row r="8335">
      <c r="C8335" s="15"/>
      <c r="E8335" s="8"/>
      <c r="G8335" s="8"/>
      <c r="J8335" s="8"/>
    </row>
    <row r="8336">
      <c r="C8336" s="15"/>
      <c r="E8336" s="8"/>
      <c r="G8336" s="8"/>
      <c r="J8336" s="8"/>
    </row>
    <row r="8337">
      <c r="C8337" s="15"/>
      <c r="E8337" s="8"/>
      <c r="G8337" s="8"/>
      <c r="J8337" s="8"/>
    </row>
    <row r="8338">
      <c r="C8338" s="15"/>
      <c r="E8338" s="8"/>
      <c r="G8338" s="8"/>
      <c r="J8338" s="8"/>
    </row>
    <row r="8339">
      <c r="C8339" s="15"/>
      <c r="E8339" s="8"/>
      <c r="G8339" s="8"/>
      <c r="J8339" s="8"/>
    </row>
    <row r="8340">
      <c r="C8340" s="15"/>
      <c r="E8340" s="8"/>
      <c r="G8340" s="8"/>
      <c r="J8340" s="8"/>
    </row>
    <row r="8341">
      <c r="C8341" s="15"/>
      <c r="E8341" s="8"/>
      <c r="G8341" s="8"/>
      <c r="J8341" s="8"/>
    </row>
    <row r="8342">
      <c r="C8342" s="15"/>
      <c r="E8342" s="8"/>
      <c r="G8342" s="8"/>
      <c r="J8342" s="8"/>
    </row>
    <row r="8343">
      <c r="C8343" s="15"/>
      <c r="E8343" s="8"/>
      <c r="G8343" s="8"/>
      <c r="J8343" s="8"/>
    </row>
    <row r="8344">
      <c r="C8344" s="15"/>
      <c r="E8344" s="8"/>
      <c r="G8344" s="8"/>
      <c r="J8344" s="8"/>
    </row>
    <row r="8345">
      <c r="C8345" s="15"/>
      <c r="E8345" s="8"/>
      <c r="G8345" s="8"/>
      <c r="J8345" s="8"/>
    </row>
    <row r="8346">
      <c r="C8346" s="15"/>
      <c r="E8346" s="8"/>
      <c r="G8346" s="8"/>
      <c r="J8346" s="8"/>
    </row>
    <row r="8347">
      <c r="C8347" s="15"/>
      <c r="E8347" s="8"/>
      <c r="G8347" s="8"/>
      <c r="J8347" s="8"/>
    </row>
    <row r="8348">
      <c r="C8348" s="15"/>
      <c r="E8348" s="8"/>
      <c r="G8348" s="8"/>
      <c r="J8348" s="8"/>
    </row>
    <row r="8349">
      <c r="C8349" s="15"/>
      <c r="E8349" s="8"/>
      <c r="G8349" s="8"/>
      <c r="J8349" s="8"/>
    </row>
    <row r="8350">
      <c r="C8350" s="15"/>
      <c r="E8350" s="8"/>
      <c r="G8350" s="8"/>
      <c r="J8350" s="8"/>
    </row>
    <row r="8351">
      <c r="C8351" s="15"/>
      <c r="E8351" s="8"/>
      <c r="G8351" s="8"/>
      <c r="J8351" s="8"/>
    </row>
    <row r="8352">
      <c r="C8352" s="15"/>
      <c r="E8352" s="8"/>
      <c r="G8352" s="8"/>
      <c r="J8352" s="8"/>
    </row>
    <row r="8353">
      <c r="C8353" s="15"/>
      <c r="E8353" s="8"/>
      <c r="G8353" s="8"/>
      <c r="J8353" s="8"/>
    </row>
    <row r="8354">
      <c r="C8354" s="15"/>
      <c r="E8354" s="8"/>
      <c r="G8354" s="8"/>
      <c r="J8354" s="8"/>
    </row>
    <row r="8355">
      <c r="C8355" s="15"/>
      <c r="E8355" s="8"/>
      <c r="G8355" s="8"/>
      <c r="J8355" s="8"/>
    </row>
    <row r="8356">
      <c r="C8356" s="15"/>
      <c r="E8356" s="8"/>
      <c r="G8356" s="8"/>
      <c r="J8356" s="8"/>
    </row>
    <row r="8357">
      <c r="C8357" s="15"/>
      <c r="E8357" s="8"/>
      <c r="G8357" s="8"/>
      <c r="J8357" s="8"/>
    </row>
    <row r="8358">
      <c r="C8358" s="15"/>
      <c r="E8358" s="8"/>
      <c r="G8358" s="8"/>
      <c r="J8358" s="8"/>
    </row>
    <row r="8359">
      <c r="C8359" s="15"/>
      <c r="E8359" s="8"/>
      <c r="G8359" s="8"/>
      <c r="J8359" s="8"/>
    </row>
    <row r="8360">
      <c r="C8360" s="15"/>
      <c r="E8360" s="8"/>
      <c r="G8360" s="8"/>
      <c r="J8360" s="8"/>
    </row>
    <row r="8361">
      <c r="C8361" s="15"/>
      <c r="E8361" s="8"/>
      <c r="G8361" s="8"/>
      <c r="J8361" s="8"/>
    </row>
    <row r="8362">
      <c r="C8362" s="15"/>
      <c r="E8362" s="8"/>
      <c r="G8362" s="8"/>
      <c r="J8362" s="8"/>
    </row>
    <row r="8363">
      <c r="C8363" s="15"/>
      <c r="E8363" s="8"/>
      <c r="G8363" s="8"/>
      <c r="J8363" s="8"/>
    </row>
    <row r="8364">
      <c r="C8364" s="15"/>
      <c r="E8364" s="8"/>
      <c r="G8364" s="8"/>
      <c r="J8364" s="8"/>
    </row>
    <row r="8365">
      <c r="C8365" s="15"/>
      <c r="E8365" s="8"/>
      <c r="G8365" s="8"/>
      <c r="J8365" s="8"/>
    </row>
    <row r="8366">
      <c r="C8366" s="15"/>
      <c r="E8366" s="8"/>
      <c r="G8366" s="8"/>
      <c r="J8366" s="8"/>
    </row>
    <row r="8367">
      <c r="C8367" s="15"/>
      <c r="E8367" s="8"/>
      <c r="G8367" s="8"/>
      <c r="J8367" s="8"/>
    </row>
    <row r="8368">
      <c r="C8368" s="15"/>
      <c r="E8368" s="8"/>
      <c r="G8368" s="8"/>
      <c r="J8368" s="8"/>
    </row>
    <row r="8369">
      <c r="C8369" s="15"/>
      <c r="E8369" s="8"/>
      <c r="G8369" s="8"/>
      <c r="J8369" s="8"/>
    </row>
    <row r="8370">
      <c r="C8370" s="15"/>
      <c r="E8370" s="8"/>
      <c r="G8370" s="8"/>
      <c r="J8370" s="8"/>
    </row>
    <row r="8371">
      <c r="C8371" s="15"/>
      <c r="E8371" s="8"/>
      <c r="G8371" s="8"/>
      <c r="J8371" s="8"/>
    </row>
    <row r="8372">
      <c r="C8372" s="15"/>
      <c r="E8372" s="8"/>
      <c r="G8372" s="8"/>
      <c r="J8372" s="8"/>
    </row>
    <row r="8373">
      <c r="C8373" s="15"/>
      <c r="E8373" s="8"/>
      <c r="G8373" s="8"/>
      <c r="J8373" s="8"/>
    </row>
    <row r="8374">
      <c r="C8374" s="15"/>
      <c r="E8374" s="8"/>
      <c r="G8374" s="8"/>
      <c r="J8374" s="8"/>
    </row>
    <row r="8375">
      <c r="C8375" s="15"/>
      <c r="E8375" s="8"/>
      <c r="G8375" s="8"/>
      <c r="J8375" s="8"/>
    </row>
    <row r="8376">
      <c r="C8376" s="15"/>
      <c r="E8376" s="8"/>
      <c r="G8376" s="8"/>
      <c r="J8376" s="8"/>
    </row>
    <row r="8377">
      <c r="C8377" s="15"/>
      <c r="E8377" s="8"/>
      <c r="G8377" s="8"/>
      <c r="J8377" s="8"/>
    </row>
    <row r="8378">
      <c r="C8378" s="15"/>
      <c r="E8378" s="8"/>
      <c r="G8378" s="8"/>
      <c r="J8378" s="8"/>
    </row>
    <row r="8379">
      <c r="C8379" s="15"/>
      <c r="E8379" s="8"/>
      <c r="G8379" s="8"/>
      <c r="J8379" s="8"/>
    </row>
    <row r="8380">
      <c r="C8380" s="15"/>
      <c r="E8380" s="8"/>
      <c r="G8380" s="8"/>
      <c r="J8380" s="8"/>
    </row>
    <row r="8381">
      <c r="C8381" s="15"/>
      <c r="E8381" s="8"/>
      <c r="G8381" s="8"/>
      <c r="J8381" s="8"/>
    </row>
    <row r="8382">
      <c r="C8382" s="15"/>
      <c r="E8382" s="8"/>
      <c r="G8382" s="8"/>
      <c r="J8382" s="8"/>
    </row>
    <row r="8383">
      <c r="C8383" s="15"/>
      <c r="E8383" s="8"/>
      <c r="G8383" s="8"/>
      <c r="J8383" s="8"/>
    </row>
    <row r="8384">
      <c r="C8384" s="15"/>
      <c r="E8384" s="8"/>
      <c r="G8384" s="8"/>
      <c r="J8384" s="8"/>
    </row>
    <row r="8385">
      <c r="C8385" s="15"/>
      <c r="E8385" s="8"/>
      <c r="G8385" s="8"/>
      <c r="J8385" s="8"/>
    </row>
    <row r="8386">
      <c r="C8386" s="15"/>
      <c r="E8386" s="8"/>
      <c r="G8386" s="8"/>
      <c r="J8386" s="8"/>
    </row>
    <row r="8387">
      <c r="C8387" s="15"/>
      <c r="E8387" s="8"/>
      <c r="G8387" s="8"/>
      <c r="J8387" s="8"/>
    </row>
    <row r="8388">
      <c r="C8388" s="15"/>
      <c r="E8388" s="8"/>
      <c r="G8388" s="8"/>
      <c r="J8388" s="8"/>
    </row>
    <row r="8389">
      <c r="C8389" s="15"/>
      <c r="E8389" s="8"/>
      <c r="G8389" s="8"/>
      <c r="J8389" s="8"/>
    </row>
    <row r="8390">
      <c r="C8390" s="15"/>
      <c r="E8390" s="8"/>
      <c r="G8390" s="8"/>
      <c r="J8390" s="8"/>
    </row>
    <row r="8391">
      <c r="C8391" s="15"/>
      <c r="E8391" s="8"/>
      <c r="G8391" s="8"/>
      <c r="J8391" s="8"/>
    </row>
    <row r="8392">
      <c r="C8392" s="15"/>
      <c r="E8392" s="8"/>
      <c r="G8392" s="8"/>
      <c r="J8392" s="8"/>
    </row>
    <row r="8393">
      <c r="C8393" s="15"/>
      <c r="E8393" s="8"/>
      <c r="G8393" s="8"/>
      <c r="J8393" s="8"/>
    </row>
    <row r="8394">
      <c r="C8394" s="15"/>
      <c r="E8394" s="8"/>
      <c r="G8394" s="8"/>
      <c r="J8394" s="8"/>
    </row>
    <row r="8395">
      <c r="C8395" s="15"/>
      <c r="E8395" s="8"/>
      <c r="G8395" s="8"/>
      <c r="J8395" s="8"/>
    </row>
    <row r="8396">
      <c r="C8396" s="15"/>
      <c r="E8396" s="8"/>
      <c r="G8396" s="8"/>
      <c r="J8396" s="8"/>
    </row>
    <row r="8397">
      <c r="C8397" s="15"/>
      <c r="E8397" s="8"/>
      <c r="G8397" s="8"/>
      <c r="J8397" s="8"/>
    </row>
    <row r="8398">
      <c r="C8398" s="15"/>
      <c r="E8398" s="8"/>
      <c r="G8398" s="8"/>
      <c r="J8398" s="8"/>
    </row>
    <row r="8399">
      <c r="C8399" s="15"/>
      <c r="E8399" s="8"/>
      <c r="G8399" s="8"/>
      <c r="J8399" s="8"/>
    </row>
    <row r="8400">
      <c r="C8400" s="15"/>
      <c r="E8400" s="8"/>
      <c r="G8400" s="8"/>
      <c r="J8400" s="8"/>
    </row>
    <row r="8401">
      <c r="C8401" s="15"/>
      <c r="E8401" s="8"/>
      <c r="G8401" s="8"/>
      <c r="J8401" s="8"/>
    </row>
    <row r="8402">
      <c r="C8402" s="15"/>
      <c r="E8402" s="8"/>
      <c r="G8402" s="8"/>
      <c r="J8402" s="8"/>
    </row>
    <row r="8403">
      <c r="C8403" s="15"/>
      <c r="E8403" s="8"/>
      <c r="G8403" s="8"/>
      <c r="J8403" s="8"/>
    </row>
    <row r="8404">
      <c r="C8404" s="15"/>
      <c r="E8404" s="8"/>
      <c r="G8404" s="8"/>
      <c r="J8404" s="8"/>
    </row>
    <row r="8405">
      <c r="C8405" s="15"/>
      <c r="E8405" s="8"/>
      <c r="G8405" s="8"/>
      <c r="J8405" s="8"/>
    </row>
    <row r="8406">
      <c r="C8406" s="15"/>
      <c r="E8406" s="8"/>
      <c r="G8406" s="8"/>
      <c r="J8406" s="8"/>
    </row>
    <row r="8407">
      <c r="C8407" s="15"/>
      <c r="E8407" s="8"/>
      <c r="G8407" s="8"/>
      <c r="J8407" s="8"/>
    </row>
    <row r="8408">
      <c r="C8408" s="15"/>
      <c r="E8408" s="8"/>
      <c r="G8408" s="8"/>
      <c r="J8408" s="8"/>
    </row>
    <row r="8409">
      <c r="C8409" s="15"/>
      <c r="E8409" s="8"/>
      <c r="G8409" s="8"/>
      <c r="J8409" s="8"/>
    </row>
    <row r="8410">
      <c r="C8410" s="15"/>
      <c r="E8410" s="8"/>
      <c r="G8410" s="8"/>
      <c r="J8410" s="8"/>
    </row>
    <row r="8411">
      <c r="C8411" s="15"/>
      <c r="E8411" s="8"/>
      <c r="G8411" s="8"/>
      <c r="J8411" s="8"/>
    </row>
    <row r="8412">
      <c r="C8412" s="15"/>
      <c r="E8412" s="8"/>
      <c r="G8412" s="8"/>
      <c r="J8412" s="8"/>
    </row>
    <row r="8413">
      <c r="C8413" s="15"/>
      <c r="E8413" s="8"/>
      <c r="G8413" s="8"/>
      <c r="J8413" s="8"/>
    </row>
    <row r="8414">
      <c r="C8414" s="15"/>
      <c r="E8414" s="8"/>
      <c r="G8414" s="8"/>
      <c r="J8414" s="8"/>
    </row>
    <row r="8415">
      <c r="C8415" s="15"/>
      <c r="E8415" s="8"/>
      <c r="G8415" s="8"/>
      <c r="J8415" s="8"/>
    </row>
    <row r="8416">
      <c r="C8416" s="15"/>
      <c r="E8416" s="8"/>
      <c r="G8416" s="8"/>
      <c r="J8416" s="8"/>
    </row>
    <row r="8417">
      <c r="C8417" s="15"/>
      <c r="E8417" s="8"/>
      <c r="G8417" s="8"/>
      <c r="J8417" s="8"/>
    </row>
    <row r="8418">
      <c r="C8418" s="15"/>
      <c r="E8418" s="8"/>
      <c r="G8418" s="8"/>
      <c r="J8418" s="8"/>
    </row>
    <row r="8419">
      <c r="C8419" s="15"/>
      <c r="E8419" s="8"/>
      <c r="G8419" s="8"/>
      <c r="J8419" s="8"/>
    </row>
    <row r="8420">
      <c r="C8420" s="15"/>
      <c r="E8420" s="8"/>
      <c r="G8420" s="8"/>
      <c r="J8420" s="8"/>
    </row>
    <row r="8421">
      <c r="C8421" s="15"/>
      <c r="E8421" s="8"/>
      <c r="G8421" s="8"/>
      <c r="J8421" s="8"/>
    </row>
    <row r="8422">
      <c r="C8422" s="15"/>
      <c r="E8422" s="8"/>
      <c r="G8422" s="8"/>
      <c r="J8422" s="8"/>
    </row>
    <row r="8423">
      <c r="C8423" s="15"/>
      <c r="E8423" s="8"/>
      <c r="G8423" s="8"/>
      <c r="J8423" s="8"/>
    </row>
    <row r="8424">
      <c r="C8424" s="15"/>
      <c r="E8424" s="8"/>
      <c r="G8424" s="8"/>
      <c r="J8424" s="8"/>
    </row>
    <row r="8425">
      <c r="C8425" s="15"/>
      <c r="E8425" s="8"/>
      <c r="G8425" s="8"/>
      <c r="J8425" s="8"/>
    </row>
    <row r="8426">
      <c r="C8426" s="15"/>
      <c r="E8426" s="8"/>
      <c r="G8426" s="8"/>
      <c r="J8426" s="8"/>
    </row>
    <row r="8427">
      <c r="C8427" s="15"/>
      <c r="E8427" s="8"/>
      <c r="G8427" s="8"/>
      <c r="J8427" s="8"/>
    </row>
    <row r="8428">
      <c r="C8428" s="15"/>
      <c r="E8428" s="8"/>
      <c r="G8428" s="8"/>
      <c r="J8428" s="8"/>
    </row>
    <row r="8429">
      <c r="C8429" s="15"/>
      <c r="E8429" s="8"/>
      <c r="G8429" s="8"/>
      <c r="J8429" s="8"/>
    </row>
    <row r="8430">
      <c r="C8430" s="15"/>
      <c r="E8430" s="8"/>
      <c r="G8430" s="8"/>
      <c r="J8430" s="8"/>
    </row>
    <row r="8431">
      <c r="C8431" s="15"/>
      <c r="E8431" s="8"/>
      <c r="G8431" s="8"/>
      <c r="J8431" s="8"/>
    </row>
    <row r="8432">
      <c r="C8432" s="15"/>
      <c r="E8432" s="8"/>
      <c r="G8432" s="8"/>
      <c r="J8432" s="8"/>
    </row>
    <row r="8433">
      <c r="C8433" s="15"/>
      <c r="E8433" s="8"/>
      <c r="G8433" s="8"/>
      <c r="J8433" s="8"/>
    </row>
    <row r="8434">
      <c r="C8434" s="15"/>
      <c r="E8434" s="8"/>
      <c r="G8434" s="8"/>
      <c r="J8434" s="8"/>
    </row>
    <row r="8435">
      <c r="C8435" s="15"/>
      <c r="E8435" s="8"/>
      <c r="G8435" s="8"/>
      <c r="J8435" s="8"/>
    </row>
    <row r="8436">
      <c r="C8436" s="15"/>
      <c r="E8436" s="8"/>
      <c r="G8436" s="8"/>
      <c r="J8436" s="8"/>
    </row>
    <row r="8437">
      <c r="C8437" s="15"/>
      <c r="E8437" s="8"/>
      <c r="G8437" s="8"/>
      <c r="J8437" s="8"/>
    </row>
    <row r="8438">
      <c r="C8438" s="15"/>
      <c r="E8438" s="8"/>
      <c r="G8438" s="8"/>
      <c r="J8438" s="8"/>
    </row>
    <row r="8439">
      <c r="C8439" s="15"/>
      <c r="E8439" s="8"/>
      <c r="G8439" s="8"/>
      <c r="J8439" s="8"/>
    </row>
    <row r="8440">
      <c r="C8440" s="15"/>
      <c r="E8440" s="8"/>
      <c r="G8440" s="8"/>
      <c r="J8440" s="8"/>
    </row>
    <row r="8441">
      <c r="C8441" s="15"/>
      <c r="E8441" s="8"/>
      <c r="G8441" s="8"/>
      <c r="J8441" s="8"/>
    </row>
    <row r="8442">
      <c r="C8442" s="15"/>
      <c r="E8442" s="8"/>
      <c r="G8442" s="8"/>
      <c r="J8442" s="8"/>
    </row>
    <row r="8443">
      <c r="C8443" s="15"/>
      <c r="E8443" s="8"/>
      <c r="G8443" s="8"/>
      <c r="J8443" s="8"/>
    </row>
    <row r="8444">
      <c r="C8444" s="15"/>
      <c r="E8444" s="8"/>
      <c r="G8444" s="8"/>
      <c r="J8444" s="8"/>
    </row>
    <row r="8445">
      <c r="C8445" s="15"/>
      <c r="E8445" s="8"/>
      <c r="G8445" s="8"/>
      <c r="J8445" s="8"/>
    </row>
    <row r="8446">
      <c r="C8446" s="15"/>
      <c r="E8446" s="8"/>
      <c r="G8446" s="8"/>
      <c r="J8446" s="8"/>
    </row>
    <row r="8447">
      <c r="C8447" s="15"/>
      <c r="E8447" s="8"/>
      <c r="G8447" s="8"/>
      <c r="J8447" s="8"/>
    </row>
    <row r="8448">
      <c r="C8448" s="15"/>
      <c r="E8448" s="8"/>
      <c r="G8448" s="8"/>
      <c r="J8448" s="8"/>
    </row>
    <row r="8449">
      <c r="C8449" s="15"/>
      <c r="E8449" s="8"/>
      <c r="G8449" s="8"/>
      <c r="J8449" s="8"/>
    </row>
    <row r="8450">
      <c r="C8450" s="15"/>
      <c r="E8450" s="8"/>
      <c r="G8450" s="8"/>
      <c r="J8450" s="8"/>
    </row>
    <row r="8451">
      <c r="C8451" s="15"/>
      <c r="E8451" s="8"/>
      <c r="G8451" s="8"/>
      <c r="J8451" s="8"/>
    </row>
    <row r="8452">
      <c r="C8452" s="15"/>
      <c r="E8452" s="8"/>
      <c r="G8452" s="8"/>
      <c r="J8452" s="8"/>
    </row>
    <row r="8453">
      <c r="C8453" s="15"/>
      <c r="E8453" s="8"/>
      <c r="G8453" s="8"/>
      <c r="J8453" s="8"/>
    </row>
    <row r="8454">
      <c r="C8454" s="15"/>
      <c r="E8454" s="8"/>
      <c r="G8454" s="8"/>
      <c r="J8454" s="8"/>
    </row>
    <row r="8455">
      <c r="C8455" s="15"/>
      <c r="E8455" s="8"/>
      <c r="G8455" s="8"/>
      <c r="J8455" s="8"/>
    </row>
    <row r="8456">
      <c r="C8456" s="15"/>
      <c r="E8456" s="8"/>
      <c r="G8456" s="8"/>
      <c r="J8456" s="8"/>
    </row>
    <row r="8457">
      <c r="C8457" s="15"/>
      <c r="E8457" s="8"/>
      <c r="G8457" s="8"/>
      <c r="J8457" s="8"/>
    </row>
    <row r="8458">
      <c r="C8458" s="15"/>
      <c r="E8458" s="8"/>
      <c r="G8458" s="8"/>
      <c r="J8458" s="8"/>
    </row>
    <row r="8459">
      <c r="C8459" s="15"/>
      <c r="E8459" s="8"/>
      <c r="G8459" s="8"/>
      <c r="J8459" s="8"/>
    </row>
    <row r="8460">
      <c r="C8460" s="15"/>
      <c r="E8460" s="8"/>
      <c r="G8460" s="8"/>
      <c r="J8460" s="8"/>
    </row>
    <row r="8461">
      <c r="C8461" s="15"/>
      <c r="E8461" s="8"/>
      <c r="G8461" s="8"/>
      <c r="J8461" s="8"/>
    </row>
    <row r="8462">
      <c r="C8462" s="15"/>
      <c r="E8462" s="8"/>
      <c r="G8462" s="8"/>
      <c r="J8462" s="8"/>
    </row>
    <row r="8463">
      <c r="C8463" s="15"/>
      <c r="E8463" s="8"/>
      <c r="G8463" s="8"/>
      <c r="J8463" s="8"/>
    </row>
    <row r="8464">
      <c r="C8464" s="15"/>
      <c r="E8464" s="8"/>
      <c r="G8464" s="8"/>
      <c r="J8464" s="8"/>
    </row>
    <row r="8465">
      <c r="C8465" s="15"/>
      <c r="E8465" s="8"/>
      <c r="G8465" s="8"/>
      <c r="J8465" s="8"/>
    </row>
    <row r="8466">
      <c r="C8466" s="15"/>
      <c r="E8466" s="8"/>
      <c r="G8466" s="8"/>
      <c r="J8466" s="8"/>
    </row>
    <row r="8467">
      <c r="C8467" s="15"/>
      <c r="E8467" s="8"/>
      <c r="G8467" s="8"/>
      <c r="J8467" s="8"/>
    </row>
    <row r="8468">
      <c r="C8468" s="15"/>
      <c r="E8468" s="8"/>
      <c r="G8468" s="8"/>
      <c r="J8468" s="8"/>
    </row>
    <row r="8469">
      <c r="C8469" s="15"/>
      <c r="E8469" s="8"/>
      <c r="G8469" s="8"/>
      <c r="J8469" s="8"/>
    </row>
    <row r="8470">
      <c r="C8470" s="15"/>
      <c r="E8470" s="8"/>
      <c r="G8470" s="8"/>
      <c r="J8470" s="8"/>
    </row>
    <row r="8471">
      <c r="C8471" s="15"/>
      <c r="E8471" s="8"/>
      <c r="G8471" s="8"/>
      <c r="J8471" s="8"/>
    </row>
    <row r="8472">
      <c r="C8472" s="15"/>
      <c r="E8472" s="8"/>
      <c r="G8472" s="8"/>
      <c r="J8472" s="8"/>
    </row>
    <row r="8473">
      <c r="C8473" s="15"/>
      <c r="E8473" s="8"/>
      <c r="G8473" s="8"/>
      <c r="J8473" s="8"/>
    </row>
    <row r="8474">
      <c r="C8474" s="15"/>
      <c r="E8474" s="8"/>
      <c r="G8474" s="8"/>
      <c r="J8474" s="8"/>
    </row>
    <row r="8475">
      <c r="C8475" s="15"/>
      <c r="E8475" s="8"/>
      <c r="G8475" s="8"/>
      <c r="J8475" s="8"/>
    </row>
    <row r="8476">
      <c r="C8476" s="15"/>
      <c r="E8476" s="8"/>
      <c r="G8476" s="8"/>
      <c r="J8476" s="8"/>
    </row>
    <row r="8477">
      <c r="C8477" s="15"/>
      <c r="E8477" s="8"/>
      <c r="G8477" s="8"/>
      <c r="J8477" s="8"/>
    </row>
    <row r="8478">
      <c r="C8478" s="15"/>
      <c r="E8478" s="8"/>
      <c r="G8478" s="8"/>
      <c r="J8478" s="8"/>
    </row>
    <row r="8479">
      <c r="C8479" s="15"/>
      <c r="E8479" s="8"/>
      <c r="G8479" s="8"/>
      <c r="J8479" s="8"/>
    </row>
    <row r="8480">
      <c r="C8480" s="15"/>
      <c r="E8480" s="8"/>
      <c r="G8480" s="8"/>
      <c r="J8480" s="8"/>
    </row>
    <row r="8481">
      <c r="C8481" s="15"/>
      <c r="E8481" s="8"/>
      <c r="G8481" s="8"/>
      <c r="J8481" s="8"/>
    </row>
    <row r="8482">
      <c r="C8482" s="15"/>
      <c r="E8482" s="8"/>
      <c r="G8482" s="8"/>
      <c r="J8482" s="8"/>
    </row>
    <row r="8483">
      <c r="C8483" s="15"/>
      <c r="E8483" s="8"/>
      <c r="G8483" s="8"/>
      <c r="J8483" s="8"/>
    </row>
    <row r="8484">
      <c r="C8484" s="15"/>
      <c r="E8484" s="8"/>
      <c r="G8484" s="8"/>
      <c r="J8484" s="8"/>
    </row>
    <row r="8485">
      <c r="C8485" s="15"/>
      <c r="E8485" s="8"/>
      <c r="G8485" s="8"/>
      <c r="J8485" s="8"/>
    </row>
    <row r="8486">
      <c r="C8486" s="15"/>
      <c r="E8486" s="8"/>
      <c r="G8486" s="8"/>
      <c r="J8486" s="8"/>
    </row>
    <row r="8487">
      <c r="C8487" s="15"/>
      <c r="E8487" s="8"/>
      <c r="G8487" s="8"/>
      <c r="J8487" s="8"/>
    </row>
    <row r="8488">
      <c r="C8488" s="15"/>
      <c r="E8488" s="8"/>
      <c r="G8488" s="8"/>
      <c r="J8488" s="8"/>
    </row>
    <row r="8489">
      <c r="C8489" s="15"/>
      <c r="E8489" s="8"/>
      <c r="G8489" s="8"/>
      <c r="J8489" s="8"/>
    </row>
    <row r="8490">
      <c r="C8490" s="15"/>
      <c r="E8490" s="8"/>
      <c r="G8490" s="8"/>
      <c r="J8490" s="8"/>
    </row>
    <row r="8491">
      <c r="C8491" s="15"/>
      <c r="E8491" s="8"/>
      <c r="G8491" s="8"/>
      <c r="J8491" s="8"/>
    </row>
    <row r="8492">
      <c r="C8492" s="15"/>
      <c r="E8492" s="8"/>
      <c r="G8492" s="8"/>
      <c r="J8492" s="8"/>
    </row>
    <row r="8493">
      <c r="C8493" s="15"/>
      <c r="E8493" s="8"/>
      <c r="G8493" s="8"/>
      <c r="J8493" s="8"/>
    </row>
    <row r="8494">
      <c r="C8494" s="15"/>
      <c r="E8494" s="8"/>
      <c r="G8494" s="8"/>
      <c r="J8494" s="8"/>
    </row>
    <row r="8495">
      <c r="C8495" s="15"/>
      <c r="E8495" s="8"/>
      <c r="G8495" s="8"/>
      <c r="J8495" s="8"/>
    </row>
    <row r="8496">
      <c r="C8496" s="15"/>
      <c r="E8496" s="8"/>
      <c r="G8496" s="8"/>
      <c r="J8496" s="8"/>
    </row>
    <row r="8497">
      <c r="C8497" s="15"/>
      <c r="E8497" s="8"/>
      <c r="G8497" s="8"/>
      <c r="J8497" s="8"/>
    </row>
    <row r="8498">
      <c r="C8498" s="15"/>
      <c r="E8498" s="8"/>
      <c r="G8498" s="8"/>
      <c r="J8498" s="8"/>
    </row>
    <row r="8499">
      <c r="C8499" s="15"/>
      <c r="E8499" s="8"/>
      <c r="G8499" s="8"/>
      <c r="J8499" s="8"/>
    </row>
    <row r="8500">
      <c r="C8500" s="15"/>
      <c r="E8500" s="8"/>
      <c r="G8500" s="8"/>
      <c r="J8500" s="8"/>
    </row>
    <row r="8501">
      <c r="C8501" s="15"/>
      <c r="E8501" s="8"/>
      <c r="G8501" s="8"/>
      <c r="J8501" s="8"/>
    </row>
    <row r="8502">
      <c r="C8502" s="15"/>
      <c r="E8502" s="8"/>
      <c r="G8502" s="8"/>
      <c r="J8502" s="8"/>
    </row>
    <row r="8503">
      <c r="C8503" s="15"/>
      <c r="E8503" s="8"/>
      <c r="G8503" s="8"/>
      <c r="J8503" s="8"/>
    </row>
    <row r="8504">
      <c r="C8504" s="15"/>
      <c r="E8504" s="8"/>
      <c r="G8504" s="8"/>
      <c r="J8504" s="8"/>
    </row>
    <row r="8505">
      <c r="C8505" s="15"/>
      <c r="E8505" s="8"/>
      <c r="G8505" s="8"/>
      <c r="J8505" s="8"/>
    </row>
    <row r="8506">
      <c r="C8506" s="15"/>
      <c r="E8506" s="8"/>
      <c r="G8506" s="8"/>
      <c r="J8506" s="8"/>
    </row>
    <row r="8507">
      <c r="C8507" s="15"/>
      <c r="E8507" s="8"/>
      <c r="G8507" s="8"/>
      <c r="J8507" s="8"/>
    </row>
    <row r="8508">
      <c r="C8508" s="15"/>
      <c r="E8508" s="8"/>
      <c r="G8508" s="8"/>
      <c r="J8508" s="8"/>
    </row>
    <row r="8509">
      <c r="C8509" s="15"/>
      <c r="E8509" s="8"/>
      <c r="G8509" s="8"/>
      <c r="J8509" s="8"/>
    </row>
    <row r="8510">
      <c r="C8510" s="15"/>
      <c r="E8510" s="8"/>
      <c r="G8510" s="8"/>
      <c r="J8510" s="8"/>
    </row>
    <row r="8511">
      <c r="C8511" s="15"/>
      <c r="E8511" s="8"/>
      <c r="G8511" s="8"/>
      <c r="J8511" s="8"/>
    </row>
    <row r="8512">
      <c r="C8512" s="15"/>
      <c r="E8512" s="8"/>
      <c r="G8512" s="8"/>
      <c r="J8512" s="8"/>
    </row>
    <row r="8513">
      <c r="C8513" s="15"/>
      <c r="E8513" s="8"/>
      <c r="G8513" s="8"/>
      <c r="J8513" s="8"/>
    </row>
    <row r="8514">
      <c r="C8514" s="15"/>
      <c r="E8514" s="8"/>
      <c r="G8514" s="8"/>
      <c r="J8514" s="8"/>
    </row>
    <row r="8515">
      <c r="C8515" s="15"/>
      <c r="E8515" s="8"/>
      <c r="G8515" s="8"/>
      <c r="J8515" s="8"/>
    </row>
    <row r="8516">
      <c r="C8516" s="15"/>
      <c r="E8516" s="8"/>
      <c r="G8516" s="8"/>
      <c r="J8516" s="8"/>
    </row>
    <row r="8517">
      <c r="C8517" s="15"/>
      <c r="E8517" s="8"/>
      <c r="G8517" s="8"/>
      <c r="J8517" s="8"/>
    </row>
    <row r="8518">
      <c r="C8518" s="15"/>
      <c r="E8518" s="8"/>
      <c r="G8518" s="8"/>
      <c r="J8518" s="8"/>
    </row>
    <row r="8519">
      <c r="C8519" s="15"/>
      <c r="E8519" s="8"/>
      <c r="G8519" s="8"/>
      <c r="J8519" s="8"/>
    </row>
    <row r="8520">
      <c r="C8520" s="15"/>
      <c r="E8520" s="8"/>
      <c r="G8520" s="8"/>
      <c r="J8520" s="8"/>
    </row>
    <row r="8521">
      <c r="C8521" s="15"/>
      <c r="E8521" s="8"/>
      <c r="G8521" s="8"/>
      <c r="J8521" s="8"/>
    </row>
    <row r="8522">
      <c r="C8522" s="15"/>
      <c r="E8522" s="8"/>
      <c r="G8522" s="8"/>
      <c r="J8522" s="8"/>
    </row>
    <row r="8523">
      <c r="C8523" s="15"/>
      <c r="E8523" s="8"/>
      <c r="G8523" s="8"/>
      <c r="J8523" s="8"/>
    </row>
    <row r="8524">
      <c r="C8524" s="15"/>
      <c r="E8524" s="8"/>
      <c r="G8524" s="8"/>
      <c r="J8524" s="8"/>
    </row>
    <row r="8525">
      <c r="C8525" s="15"/>
      <c r="E8525" s="8"/>
      <c r="G8525" s="8"/>
      <c r="J8525" s="8"/>
    </row>
    <row r="8526">
      <c r="C8526" s="15"/>
      <c r="E8526" s="8"/>
      <c r="G8526" s="8"/>
      <c r="J8526" s="8"/>
    </row>
    <row r="8527">
      <c r="C8527" s="15"/>
      <c r="E8527" s="8"/>
      <c r="G8527" s="8"/>
      <c r="J8527" s="8"/>
    </row>
    <row r="8528">
      <c r="C8528" s="15"/>
      <c r="E8528" s="8"/>
      <c r="G8528" s="8"/>
      <c r="J8528" s="8"/>
    </row>
    <row r="8529">
      <c r="C8529" s="15"/>
      <c r="E8529" s="8"/>
      <c r="G8529" s="8"/>
      <c r="J8529" s="8"/>
    </row>
    <row r="8530">
      <c r="C8530" s="15"/>
      <c r="E8530" s="8"/>
      <c r="G8530" s="8"/>
      <c r="J8530" s="8"/>
    </row>
    <row r="8531">
      <c r="C8531" s="15"/>
      <c r="E8531" s="8"/>
      <c r="G8531" s="8"/>
      <c r="J8531" s="8"/>
    </row>
    <row r="8532">
      <c r="C8532" s="15"/>
      <c r="E8532" s="8"/>
      <c r="G8532" s="8"/>
      <c r="J8532" s="8"/>
    </row>
    <row r="8533">
      <c r="C8533" s="15"/>
      <c r="E8533" s="8"/>
      <c r="G8533" s="8"/>
      <c r="J8533" s="8"/>
    </row>
    <row r="8534">
      <c r="C8534" s="15"/>
      <c r="E8534" s="8"/>
      <c r="G8534" s="8"/>
      <c r="J8534" s="8"/>
    </row>
    <row r="8535">
      <c r="C8535" s="15"/>
      <c r="E8535" s="8"/>
      <c r="G8535" s="8"/>
      <c r="J8535" s="8"/>
    </row>
    <row r="8536">
      <c r="C8536" s="15"/>
      <c r="E8536" s="8"/>
      <c r="G8536" s="8"/>
      <c r="J8536" s="8"/>
    </row>
    <row r="8537">
      <c r="C8537" s="15"/>
      <c r="E8537" s="8"/>
      <c r="G8537" s="8"/>
      <c r="J8537" s="8"/>
    </row>
    <row r="8538">
      <c r="C8538" s="15"/>
      <c r="E8538" s="8"/>
      <c r="G8538" s="8"/>
      <c r="J8538" s="8"/>
    </row>
    <row r="8539">
      <c r="C8539" s="15"/>
      <c r="E8539" s="8"/>
      <c r="G8539" s="8"/>
      <c r="J8539" s="8"/>
    </row>
    <row r="8540">
      <c r="C8540" s="15"/>
      <c r="E8540" s="8"/>
      <c r="G8540" s="8"/>
      <c r="J8540" s="8"/>
    </row>
    <row r="8541">
      <c r="C8541" s="15"/>
      <c r="E8541" s="8"/>
      <c r="G8541" s="8"/>
      <c r="J8541" s="8"/>
    </row>
    <row r="8542">
      <c r="C8542" s="15"/>
      <c r="E8542" s="8"/>
      <c r="G8542" s="8"/>
      <c r="J8542" s="8"/>
    </row>
    <row r="8543">
      <c r="C8543" s="15"/>
      <c r="E8543" s="8"/>
      <c r="G8543" s="8"/>
      <c r="J8543" s="8"/>
    </row>
    <row r="8544">
      <c r="C8544" s="15"/>
      <c r="E8544" s="8"/>
      <c r="G8544" s="8"/>
      <c r="J8544" s="8"/>
    </row>
    <row r="8545">
      <c r="C8545" s="15"/>
      <c r="E8545" s="8"/>
      <c r="G8545" s="8"/>
      <c r="J8545" s="8"/>
    </row>
    <row r="8546">
      <c r="C8546" s="15"/>
      <c r="E8546" s="8"/>
      <c r="G8546" s="8"/>
      <c r="J8546" s="8"/>
    </row>
    <row r="8547">
      <c r="C8547" s="15"/>
      <c r="E8547" s="8"/>
      <c r="G8547" s="8"/>
      <c r="J8547" s="8"/>
    </row>
    <row r="8548">
      <c r="C8548" s="15"/>
      <c r="E8548" s="8"/>
      <c r="G8548" s="8"/>
      <c r="J8548" s="8"/>
    </row>
    <row r="8549">
      <c r="C8549" s="15"/>
      <c r="E8549" s="8"/>
      <c r="G8549" s="8"/>
      <c r="J8549" s="8"/>
    </row>
    <row r="8550">
      <c r="C8550" s="15"/>
      <c r="E8550" s="8"/>
      <c r="G8550" s="8"/>
      <c r="J8550" s="8"/>
    </row>
    <row r="8551">
      <c r="C8551" s="15"/>
      <c r="E8551" s="8"/>
      <c r="G8551" s="8"/>
      <c r="J8551" s="8"/>
    </row>
    <row r="8552">
      <c r="C8552" s="15"/>
      <c r="E8552" s="8"/>
      <c r="G8552" s="8"/>
      <c r="J8552" s="8"/>
    </row>
    <row r="8553">
      <c r="C8553" s="15"/>
      <c r="E8553" s="8"/>
      <c r="G8553" s="8"/>
      <c r="J8553" s="8"/>
    </row>
    <row r="8554">
      <c r="C8554" s="15"/>
      <c r="E8554" s="8"/>
      <c r="G8554" s="8"/>
      <c r="J8554" s="8"/>
    </row>
    <row r="8555">
      <c r="C8555" s="15"/>
      <c r="E8555" s="8"/>
      <c r="G8555" s="8"/>
      <c r="J8555" s="8"/>
    </row>
    <row r="8556">
      <c r="C8556" s="15"/>
      <c r="E8556" s="8"/>
      <c r="G8556" s="8"/>
      <c r="J8556" s="8"/>
    </row>
    <row r="8557">
      <c r="C8557" s="15"/>
      <c r="E8557" s="8"/>
      <c r="G8557" s="8"/>
      <c r="J8557" s="8"/>
    </row>
    <row r="8558">
      <c r="C8558" s="15"/>
      <c r="E8558" s="8"/>
      <c r="G8558" s="8"/>
      <c r="J8558" s="8"/>
    </row>
    <row r="8559">
      <c r="C8559" s="15"/>
      <c r="E8559" s="8"/>
      <c r="G8559" s="8"/>
      <c r="J8559" s="8"/>
    </row>
    <row r="8560">
      <c r="C8560" s="15"/>
      <c r="E8560" s="8"/>
      <c r="G8560" s="8"/>
      <c r="J8560" s="8"/>
    </row>
    <row r="8561">
      <c r="C8561" s="15"/>
      <c r="E8561" s="8"/>
      <c r="G8561" s="8"/>
      <c r="J8561" s="8"/>
    </row>
    <row r="8562">
      <c r="C8562" s="15"/>
      <c r="E8562" s="8"/>
      <c r="G8562" s="8"/>
      <c r="J8562" s="8"/>
    </row>
    <row r="8563">
      <c r="C8563" s="15"/>
      <c r="E8563" s="8"/>
      <c r="G8563" s="8"/>
      <c r="J8563" s="8"/>
    </row>
    <row r="8564">
      <c r="C8564" s="15"/>
      <c r="E8564" s="8"/>
      <c r="G8564" s="8"/>
      <c r="J8564" s="8"/>
    </row>
    <row r="8565">
      <c r="C8565" s="15"/>
      <c r="E8565" s="8"/>
      <c r="G8565" s="8"/>
      <c r="J8565" s="8"/>
    </row>
    <row r="8566">
      <c r="C8566" s="15"/>
      <c r="E8566" s="8"/>
      <c r="G8566" s="8"/>
      <c r="J8566" s="8"/>
    </row>
    <row r="8567">
      <c r="C8567" s="15"/>
      <c r="E8567" s="8"/>
      <c r="G8567" s="8"/>
      <c r="J8567" s="8"/>
    </row>
    <row r="8568">
      <c r="C8568" s="15"/>
      <c r="E8568" s="8"/>
      <c r="G8568" s="8"/>
      <c r="J8568" s="8"/>
    </row>
    <row r="8569">
      <c r="C8569" s="15"/>
      <c r="E8569" s="8"/>
      <c r="G8569" s="8"/>
      <c r="J8569" s="8"/>
    </row>
    <row r="8570">
      <c r="C8570" s="15"/>
      <c r="E8570" s="8"/>
      <c r="G8570" s="8"/>
      <c r="J8570" s="8"/>
    </row>
    <row r="8571">
      <c r="C8571" s="15"/>
      <c r="E8571" s="8"/>
      <c r="G8571" s="8"/>
      <c r="J8571" s="8"/>
    </row>
    <row r="8572">
      <c r="C8572" s="15"/>
      <c r="E8572" s="8"/>
      <c r="G8572" s="8"/>
      <c r="J8572" s="8"/>
    </row>
    <row r="8573">
      <c r="C8573" s="15"/>
      <c r="E8573" s="8"/>
      <c r="G8573" s="8"/>
      <c r="J8573" s="8"/>
    </row>
    <row r="8574">
      <c r="C8574" s="15"/>
      <c r="E8574" s="8"/>
      <c r="G8574" s="8"/>
      <c r="J8574" s="8"/>
    </row>
    <row r="8575">
      <c r="C8575" s="15"/>
      <c r="E8575" s="8"/>
      <c r="G8575" s="8"/>
      <c r="J8575" s="8"/>
    </row>
    <row r="8576">
      <c r="C8576" s="15"/>
      <c r="E8576" s="8"/>
      <c r="G8576" s="8"/>
      <c r="J8576" s="8"/>
    </row>
    <row r="8577">
      <c r="C8577" s="15"/>
      <c r="E8577" s="8"/>
      <c r="G8577" s="8"/>
      <c r="J8577" s="8"/>
    </row>
    <row r="8578">
      <c r="C8578" s="15"/>
      <c r="E8578" s="8"/>
      <c r="G8578" s="8"/>
      <c r="J8578" s="8"/>
    </row>
    <row r="8579">
      <c r="C8579" s="15"/>
      <c r="E8579" s="8"/>
      <c r="G8579" s="8"/>
      <c r="J8579" s="8"/>
    </row>
    <row r="8580">
      <c r="C8580" s="15"/>
      <c r="E8580" s="8"/>
      <c r="G8580" s="8"/>
      <c r="J8580" s="8"/>
    </row>
    <row r="8581">
      <c r="C8581" s="15"/>
      <c r="E8581" s="8"/>
      <c r="G8581" s="8"/>
      <c r="J8581" s="8"/>
    </row>
    <row r="8582">
      <c r="C8582" s="15"/>
      <c r="E8582" s="8"/>
      <c r="G8582" s="8"/>
      <c r="J8582" s="8"/>
    </row>
    <row r="8583">
      <c r="C8583" s="15"/>
      <c r="E8583" s="8"/>
      <c r="G8583" s="8"/>
      <c r="J8583" s="8"/>
    </row>
    <row r="8584">
      <c r="C8584" s="15"/>
      <c r="E8584" s="8"/>
      <c r="G8584" s="8"/>
      <c r="J8584" s="8"/>
    </row>
    <row r="8585">
      <c r="C8585" s="15"/>
      <c r="E8585" s="8"/>
      <c r="G8585" s="8"/>
      <c r="J8585" s="8"/>
    </row>
    <row r="8586">
      <c r="C8586" s="15"/>
      <c r="E8586" s="8"/>
      <c r="G8586" s="8"/>
      <c r="J8586" s="8"/>
    </row>
    <row r="8587">
      <c r="C8587" s="15"/>
      <c r="E8587" s="8"/>
      <c r="G8587" s="8"/>
      <c r="J8587" s="8"/>
    </row>
    <row r="8588">
      <c r="C8588" s="15"/>
      <c r="E8588" s="8"/>
      <c r="G8588" s="8"/>
      <c r="J8588" s="8"/>
    </row>
    <row r="8589">
      <c r="C8589" s="15"/>
      <c r="E8589" s="8"/>
      <c r="G8589" s="8"/>
      <c r="J8589" s="8"/>
    </row>
    <row r="8590">
      <c r="C8590" s="15"/>
      <c r="E8590" s="8"/>
      <c r="G8590" s="8"/>
      <c r="J8590" s="8"/>
    </row>
    <row r="8591">
      <c r="C8591" s="15"/>
      <c r="E8591" s="8"/>
      <c r="G8591" s="8"/>
      <c r="J8591" s="8"/>
    </row>
    <row r="8592">
      <c r="C8592" s="15"/>
      <c r="E8592" s="8"/>
      <c r="G8592" s="8"/>
      <c r="J8592" s="8"/>
    </row>
    <row r="8593">
      <c r="C8593" s="15"/>
      <c r="E8593" s="8"/>
      <c r="G8593" s="8"/>
      <c r="J8593" s="8"/>
    </row>
    <row r="8594">
      <c r="C8594" s="15"/>
      <c r="E8594" s="8"/>
      <c r="G8594" s="8"/>
      <c r="J8594" s="8"/>
    </row>
    <row r="8595">
      <c r="C8595" s="15"/>
      <c r="E8595" s="8"/>
      <c r="G8595" s="8"/>
      <c r="J8595" s="8"/>
    </row>
    <row r="8596">
      <c r="C8596" s="15"/>
      <c r="E8596" s="8"/>
      <c r="G8596" s="8"/>
      <c r="J8596" s="8"/>
    </row>
    <row r="8597">
      <c r="C8597" s="15"/>
      <c r="E8597" s="8"/>
      <c r="G8597" s="8"/>
      <c r="J8597" s="8"/>
    </row>
    <row r="8598">
      <c r="C8598" s="15"/>
      <c r="E8598" s="8"/>
      <c r="G8598" s="8"/>
      <c r="J8598" s="8"/>
    </row>
    <row r="8599">
      <c r="C8599" s="15"/>
      <c r="E8599" s="8"/>
      <c r="G8599" s="8"/>
      <c r="J8599" s="8"/>
    </row>
    <row r="8600">
      <c r="C8600" s="15"/>
      <c r="E8600" s="8"/>
      <c r="G8600" s="8"/>
      <c r="J8600" s="8"/>
    </row>
    <row r="8601">
      <c r="C8601" s="15"/>
      <c r="E8601" s="8"/>
      <c r="G8601" s="8"/>
      <c r="J8601" s="8"/>
    </row>
    <row r="8602">
      <c r="C8602" s="15"/>
      <c r="E8602" s="8"/>
      <c r="G8602" s="8"/>
      <c r="J8602" s="8"/>
    </row>
    <row r="8603">
      <c r="C8603" s="15"/>
      <c r="E8603" s="8"/>
      <c r="G8603" s="8"/>
      <c r="J8603" s="8"/>
    </row>
    <row r="8604">
      <c r="C8604" s="15"/>
      <c r="E8604" s="8"/>
      <c r="G8604" s="8"/>
      <c r="J8604" s="8"/>
    </row>
    <row r="8605">
      <c r="C8605" s="15"/>
      <c r="E8605" s="8"/>
      <c r="G8605" s="8"/>
      <c r="J8605" s="8"/>
    </row>
    <row r="8606">
      <c r="C8606" s="15"/>
      <c r="E8606" s="8"/>
      <c r="G8606" s="8"/>
      <c r="J8606" s="8"/>
    </row>
    <row r="8607">
      <c r="C8607" s="15"/>
      <c r="E8607" s="8"/>
      <c r="G8607" s="8"/>
      <c r="J8607" s="8"/>
    </row>
    <row r="8608">
      <c r="C8608" s="15"/>
      <c r="E8608" s="8"/>
      <c r="G8608" s="8"/>
      <c r="J8608" s="8"/>
    </row>
    <row r="8609">
      <c r="C8609" s="15"/>
      <c r="E8609" s="8"/>
      <c r="G8609" s="8"/>
      <c r="J8609" s="8"/>
    </row>
    <row r="8610">
      <c r="C8610" s="15"/>
      <c r="E8610" s="8"/>
      <c r="G8610" s="8"/>
      <c r="J8610" s="8"/>
    </row>
    <row r="8611">
      <c r="C8611" s="15"/>
      <c r="E8611" s="8"/>
      <c r="G8611" s="8"/>
      <c r="J8611" s="8"/>
    </row>
    <row r="8612">
      <c r="C8612" s="15"/>
      <c r="E8612" s="8"/>
      <c r="G8612" s="8"/>
      <c r="J8612" s="8"/>
    </row>
    <row r="8613">
      <c r="C8613" s="15"/>
      <c r="E8613" s="8"/>
      <c r="G8613" s="8"/>
      <c r="J8613" s="8"/>
    </row>
    <row r="8614">
      <c r="C8614" s="15"/>
      <c r="E8614" s="8"/>
      <c r="G8614" s="8"/>
      <c r="J8614" s="8"/>
    </row>
    <row r="8615">
      <c r="C8615" s="15"/>
      <c r="E8615" s="8"/>
      <c r="G8615" s="8"/>
      <c r="J8615" s="8"/>
    </row>
    <row r="8616">
      <c r="C8616" s="15"/>
      <c r="E8616" s="8"/>
      <c r="G8616" s="8"/>
      <c r="J8616" s="8"/>
    </row>
    <row r="8617">
      <c r="C8617" s="15"/>
      <c r="E8617" s="8"/>
      <c r="G8617" s="8"/>
      <c r="J8617" s="8"/>
    </row>
    <row r="8618">
      <c r="C8618" s="15"/>
      <c r="E8618" s="8"/>
      <c r="G8618" s="8"/>
      <c r="J8618" s="8"/>
    </row>
    <row r="8619">
      <c r="C8619" s="15"/>
      <c r="E8619" s="8"/>
      <c r="G8619" s="8"/>
      <c r="J8619" s="8"/>
    </row>
    <row r="8620">
      <c r="C8620" s="15"/>
      <c r="E8620" s="8"/>
      <c r="G8620" s="8"/>
      <c r="J8620" s="8"/>
    </row>
    <row r="8621">
      <c r="C8621" s="15"/>
      <c r="E8621" s="8"/>
      <c r="G8621" s="8"/>
      <c r="J8621" s="8"/>
    </row>
    <row r="8622">
      <c r="C8622" s="15"/>
      <c r="E8622" s="8"/>
      <c r="G8622" s="8"/>
      <c r="J8622" s="8"/>
    </row>
    <row r="8623">
      <c r="C8623" s="15"/>
      <c r="E8623" s="8"/>
      <c r="G8623" s="8"/>
      <c r="J8623" s="8"/>
    </row>
    <row r="8624">
      <c r="C8624" s="15"/>
      <c r="E8624" s="8"/>
      <c r="G8624" s="8"/>
      <c r="J8624" s="8"/>
    </row>
    <row r="8625">
      <c r="C8625" s="15"/>
      <c r="E8625" s="8"/>
      <c r="G8625" s="8"/>
      <c r="J8625" s="8"/>
    </row>
    <row r="8626">
      <c r="C8626" s="15"/>
      <c r="E8626" s="8"/>
      <c r="G8626" s="8"/>
      <c r="J8626" s="8"/>
    </row>
    <row r="8627">
      <c r="C8627" s="15"/>
      <c r="E8627" s="8"/>
      <c r="G8627" s="8"/>
      <c r="J8627" s="8"/>
    </row>
    <row r="8628">
      <c r="C8628" s="15"/>
      <c r="E8628" s="8"/>
      <c r="G8628" s="8"/>
      <c r="J8628" s="8"/>
    </row>
    <row r="8629">
      <c r="C8629" s="15"/>
      <c r="E8629" s="8"/>
      <c r="G8629" s="8"/>
      <c r="J8629" s="8"/>
    </row>
    <row r="8630">
      <c r="C8630" s="15"/>
      <c r="E8630" s="8"/>
      <c r="G8630" s="8"/>
      <c r="J8630" s="8"/>
    </row>
    <row r="8631">
      <c r="C8631" s="15"/>
      <c r="E8631" s="8"/>
      <c r="G8631" s="8"/>
      <c r="J8631" s="8"/>
    </row>
    <row r="8632">
      <c r="C8632" s="15"/>
      <c r="E8632" s="8"/>
      <c r="G8632" s="8"/>
      <c r="J8632" s="8"/>
    </row>
    <row r="8633">
      <c r="C8633" s="15"/>
      <c r="E8633" s="8"/>
      <c r="G8633" s="8"/>
      <c r="J8633" s="8"/>
    </row>
    <row r="8634">
      <c r="C8634" s="15"/>
      <c r="E8634" s="8"/>
      <c r="G8634" s="8"/>
      <c r="J8634" s="8"/>
    </row>
    <row r="8635">
      <c r="C8635" s="15"/>
      <c r="E8635" s="8"/>
      <c r="G8635" s="8"/>
      <c r="J8635" s="8"/>
    </row>
    <row r="8636">
      <c r="C8636" s="15"/>
      <c r="E8636" s="8"/>
      <c r="G8636" s="8"/>
      <c r="J8636" s="8"/>
    </row>
    <row r="8637">
      <c r="C8637" s="15"/>
      <c r="E8637" s="8"/>
      <c r="G8637" s="8"/>
      <c r="J8637" s="8"/>
    </row>
    <row r="8638">
      <c r="C8638" s="15"/>
      <c r="E8638" s="8"/>
      <c r="G8638" s="8"/>
      <c r="J8638" s="8"/>
    </row>
    <row r="8639">
      <c r="C8639" s="15"/>
      <c r="E8639" s="8"/>
      <c r="G8639" s="8"/>
      <c r="J8639" s="8"/>
    </row>
    <row r="8640">
      <c r="C8640" s="15"/>
      <c r="E8640" s="8"/>
      <c r="G8640" s="8"/>
      <c r="J8640" s="8"/>
    </row>
    <row r="8641">
      <c r="C8641" s="15"/>
      <c r="E8641" s="8"/>
      <c r="G8641" s="8"/>
      <c r="J8641" s="8"/>
    </row>
    <row r="8642">
      <c r="C8642" s="15"/>
      <c r="E8642" s="8"/>
      <c r="G8642" s="8"/>
      <c r="J8642" s="8"/>
    </row>
    <row r="8643">
      <c r="C8643" s="15"/>
      <c r="E8643" s="8"/>
      <c r="G8643" s="8"/>
      <c r="J8643" s="8"/>
    </row>
    <row r="8644">
      <c r="C8644" s="15"/>
      <c r="E8644" s="8"/>
      <c r="G8644" s="8"/>
      <c r="J8644" s="8"/>
    </row>
    <row r="8645">
      <c r="C8645" s="15"/>
      <c r="E8645" s="8"/>
      <c r="G8645" s="8"/>
      <c r="J8645" s="8"/>
    </row>
    <row r="8646">
      <c r="C8646" s="15"/>
      <c r="E8646" s="8"/>
      <c r="G8646" s="8"/>
      <c r="J8646" s="8"/>
    </row>
    <row r="8647">
      <c r="C8647" s="15"/>
      <c r="E8647" s="8"/>
      <c r="G8647" s="8"/>
      <c r="J8647" s="8"/>
    </row>
    <row r="8648">
      <c r="C8648" s="15"/>
      <c r="E8648" s="8"/>
      <c r="G8648" s="8"/>
      <c r="J8648" s="8"/>
    </row>
    <row r="8649">
      <c r="C8649" s="15"/>
      <c r="E8649" s="8"/>
      <c r="G8649" s="8"/>
      <c r="J8649" s="8"/>
    </row>
    <row r="8650">
      <c r="C8650" s="15"/>
      <c r="E8650" s="8"/>
      <c r="G8650" s="8"/>
      <c r="J8650" s="8"/>
    </row>
    <row r="8651">
      <c r="C8651" s="15"/>
      <c r="E8651" s="8"/>
      <c r="G8651" s="8"/>
      <c r="J8651" s="8"/>
    </row>
    <row r="8652">
      <c r="C8652" s="15"/>
      <c r="E8652" s="8"/>
      <c r="G8652" s="8"/>
      <c r="J8652" s="8"/>
    </row>
    <row r="8653">
      <c r="C8653" s="15"/>
      <c r="E8653" s="8"/>
      <c r="G8653" s="8"/>
      <c r="J8653" s="8"/>
    </row>
    <row r="8654">
      <c r="C8654" s="15"/>
      <c r="E8654" s="8"/>
      <c r="G8654" s="8"/>
      <c r="J8654" s="8"/>
    </row>
    <row r="8655">
      <c r="C8655" s="15"/>
      <c r="E8655" s="8"/>
      <c r="G8655" s="8"/>
      <c r="J8655" s="8"/>
    </row>
    <row r="8656">
      <c r="C8656" s="15"/>
      <c r="E8656" s="8"/>
      <c r="G8656" s="8"/>
      <c r="J8656" s="8"/>
    </row>
    <row r="8657">
      <c r="C8657" s="15"/>
      <c r="E8657" s="8"/>
      <c r="G8657" s="8"/>
      <c r="J8657" s="8"/>
    </row>
    <row r="8658">
      <c r="C8658" s="15"/>
      <c r="E8658" s="8"/>
      <c r="G8658" s="8"/>
      <c r="J8658" s="8"/>
    </row>
    <row r="8659">
      <c r="C8659" s="15"/>
      <c r="E8659" s="8"/>
      <c r="G8659" s="8"/>
      <c r="J8659" s="8"/>
    </row>
    <row r="8660">
      <c r="C8660" s="15"/>
      <c r="E8660" s="8"/>
      <c r="G8660" s="8"/>
      <c r="J8660" s="8"/>
    </row>
    <row r="8661">
      <c r="C8661" s="15"/>
      <c r="E8661" s="8"/>
      <c r="G8661" s="8"/>
      <c r="J8661" s="8"/>
    </row>
    <row r="8662">
      <c r="C8662" s="15"/>
      <c r="E8662" s="8"/>
      <c r="G8662" s="8"/>
      <c r="J8662" s="8"/>
    </row>
    <row r="8663">
      <c r="C8663" s="15"/>
      <c r="E8663" s="8"/>
      <c r="G8663" s="8"/>
      <c r="J8663" s="8"/>
    </row>
    <row r="8664">
      <c r="C8664" s="15"/>
      <c r="E8664" s="8"/>
      <c r="G8664" s="8"/>
      <c r="J8664" s="8"/>
    </row>
    <row r="8665">
      <c r="C8665" s="15"/>
      <c r="E8665" s="8"/>
      <c r="G8665" s="8"/>
      <c r="J8665" s="8"/>
    </row>
    <row r="8666">
      <c r="C8666" s="15"/>
      <c r="E8666" s="8"/>
      <c r="G8666" s="8"/>
      <c r="J8666" s="8"/>
    </row>
    <row r="8667">
      <c r="C8667" s="15"/>
      <c r="E8667" s="8"/>
      <c r="G8667" s="8"/>
      <c r="J8667" s="8"/>
    </row>
    <row r="8668">
      <c r="C8668" s="15"/>
      <c r="E8668" s="8"/>
      <c r="G8668" s="8"/>
      <c r="J8668" s="8"/>
    </row>
    <row r="8669">
      <c r="C8669" s="15"/>
      <c r="E8669" s="8"/>
      <c r="G8669" s="8"/>
      <c r="J8669" s="8"/>
    </row>
    <row r="8670">
      <c r="C8670" s="15"/>
      <c r="E8670" s="8"/>
      <c r="G8670" s="8"/>
      <c r="J8670" s="8"/>
    </row>
    <row r="8671">
      <c r="C8671" s="15"/>
      <c r="E8671" s="8"/>
      <c r="G8671" s="8"/>
      <c r="J8671" s="8"/>
    </row>
    <row r="8672">
      <c r="C8672" s="15"/>
      <c r="E8672" s="8"/>
      <c r="G8672" s="8"/>
      <c r="J8672" s="8"/>
    </row>
    <row r="8673">
      <c r="C8673" s="15"/>
      <c r="E8673" s="8"/>
      <c r="G8673" s="8"/>
      <c r="J8673" s="8"/>
    </row>
    <row r="8674">
      <c r="C8674" s="15"/>
      <c r="E8674" s="8"/>
      <c r="G8674" s="8"/>
      <c r="J8674" s="8"/>
    </row>
    <row r="8675">
      <c r="C8675" s="15"/>
      <c r="E8675" s="8"/>
      <c r="G8675" s="8"/>
      <c r="J8675" s="8"/>
    </row>
    <row r="8676">
      <c r="C8676" s="15"/>
      <c r="E8676" s="8"/>
      <c r="G8676" s="8"/>
      <c r="J8676" s="8"/>
    </row>
    <row r="8677">
      <c r="C8677" s="15"/>
      <c r="E8677" s="8"/>
      <c r="G8677" s="8"/>
      <c r="J8677" s="8"/>
    </row>
    <row r="8678">
      <c r="C8678" s="15"/>
      <c r="E8678" s="8"/>
      <c r="G8678" s="8"/>
      <c r="J8678" s="8"/>
    </row>
    <row r="8679">
      <c r="C8679" s="15"/>
      <c r="E8679" s="8"/>
      <c r="G8679" s="8"/>
      <c r="J8679" s="8"/>
    </row>
    <row r="8680">
      <c r="C8680" s="15"/>
      <c r="E8680" s="8"/>
      <c r="G8680" s="8"/>
      <c r="J8680" s="8"/>
    </row>
    <row r="8681">
      <c r="C8681" s="15"/>
      <c r="E8681" s="8"/>
      <c r="G8681" s="8"/>
      <c r="J8681" s="8"/>
    </row>
    <row r="8682">
      <c r="C8682" s="15"/>
      <c r="E8682" s="8"/>
      <c r="G8682" s="8"/>
      <c r="J8682" s="8"/>
    </row>
    <row r="8683">
      <c r="C8683" s="15"/>
      <c r="E8683" s="8"/>
      <c r="G8683" s="8"/>
      <c r="J8683" s="8"/>
    </row>
    <row r="8684">
      <c r="C8684" s="15"/>
      <c r="E8684" s="8"/>
      <c r="G8684" s="8"/>
      <c r="J8684" s="8"/>
    </row>
    <row r="8685">
      <c r="C8685" s="15"/>
      <c r="E8685" s="8"/>
      <c r="G8685" s="8"/>
      <c r="J8685" s="8"/>
    </row>
    <row r="8686">
      <c r="C8686" s="15"/>
      <c r="E8686" s="8"/>
      <c r="G8686" s="8"/>
      <c r="J8686" s="8"/>
    </row>
    <row r="8687">
      <c r="C8687" s="15"/>
      <c r="E8687" s="8"/>
      <c r="G8687" s="8"/>
      <c r="J8687" s="8"/>
    </row>
    <row r="8688">
      <c r="C8688" s="15"/>
      <c r="E8688" s="8"/>
      <c r="G8688" s="8"/>
      <c r="J8688" s="8"/>
    </row>
    <row r="8689">
      <c r="C8689" s="15"/>
      <c r="E8689" s="8"/>
      <c r="G8689" s="8"/>
      <c r="J8689" s="8"/>
    </row>
    <row r="8690">
      <c r="C8690" s="15"/>
      <c r="E8690" s="8"/>
      <c r="G8690" s="8"/>
      <c r="J8690" s="8"/>
    </row>
    <row r="8691">
      <c r="C8691" s="15"/>
      <c r="E8691" s="8"/>
      <c r="G8691" s="8"/>
      <c r="J8691" s="8"/>
    </row>
    <row r="8692">
      <c r="C8692" s="15"/>
      <c r="E8692" s="8"/>
      <c r="G8692" s="8"/>
      <c r="J8692" s="8"/>
    </row>
    <row r="8693">
      <c r="C8693" s="15"/>
      <c r="E8693" s="8"/>
      <c r="G8693" s="8"/>
      <c r="J8693" s="8"/>
    </row>
    <row r="8694">
      <c r="C8694" s="15"/>
      <c r="E8694" s="8"/>
      <c r="G8694" s="8"/>
      <c r="J8694" s="8"/>
    </row>
    <row r="8695">
      <c r="C8695" s="15"/>
      <c r="E8695" s="8"/>
      <c r="G8695" s="8"/>
      <c r="J8695" s="8"/>
    </row>
    <row r="8696">
      <c r="C8696" s="15"/>
      <c r="E8696" s="8"/>
      <c r="G8696" s="8"/>
      <c r="J8696" s="8"/>
    </row>
    <row r="8697">
      <c r="C8697" s="15"/>
      <c r="E8697" s="8"/>
      <c r="G8697" s="8"/>
      <c r="J8697" s="8"/>
    </row>
    <row r="8698">
      <c r="C8698" s="15"/>
      <c r="E8698" s="8"/>
      <c r="G8698" s="8"/>
      <c r="J8698" s="8"/>
    </row>
    <row r="8699">
      <c r="C8699" s="15"/>
      <c r="E8699" s="8"/>
      <c r="G8699" s="8"/>
      <c r="J8699" s="8"/>
    </row>
    <row r="8700">
      <c r="C8700" s="15"/>
      <c r="E8700" s="8"/>
      <c r="G8700" s="8"/>
      <c r="J8700" s="8"/>
    </row>
    <row r="8701">
      <c r="C8701" s="15"/>
      <c r="E8701" s="8"/>
      <c r="G8701" s="8"/>
      <c r="J8701" s="8"/>
    </row>
    <row r="8702">
      <c r="C8702" s="15"/>
      <c r="E8702" s="8"/>
      <c r="G8702" s="8"/>
      <c r="J8702" s="8"/>
    </row>
    <row r="8703">
      <c r="C8703" s="15"/>
      <c r="E8703" s="8"/>
      <c r="G8703" s="8"/>
      <c r="J8703" s="8"/>
    </row>
    <row r="8704">
      <c r="C8704" s="15"/>
      <c r="E8704" s="8"/>
      <c r="G8704" s="8"/>
      <c r="J8704" s="8"/>
    </row>
    <row r="8705">
      <c r="C8705" s="15"/>
      <c r="E8705" s="8"/>
      <c r="G8705" s="8"/>
      <c r="J8705" s="8"/>
    </row>
    <row r="8706">
      <c r="C8706" s="15"/>
      <c r="E8706" s="8"/>
      <c r="G8706" s="8"/>
      <c r="J8706" s="8"/>
    </row>
    <row r="8707">
      <c r="C8707" s="15"/>
      <c r="E8707" s="8"/>
      <c r="G8707" s="8"/>
      <c r="J8707" s="8"/>
    </row>
    <row r="8708">
      <c r="C8708" s="15"/>
      <c r="E8708" s="8"/>
      <c r="G8708" s="8"/>
      <c r="J8708" s="8"/>
    </row>
    <row r="8709">
      <c r="C8709" s="15"/>
      <c r="E8709" s="8"/>
      <c r="G8709" s="8"/>
      <c r="J8709" s="8"/>
    </row>
    <row r="8710">
      <c r="C8710" s="15"/>
      <c r="E8710" s="8"/>
      <c r="G8710" s="8"/>
      <c r="J8710" s="8"/>
    </row>
    <row r="8711">
      <c r="C8711" s="15"/>
      <c r="E8711" s="8"/>
      <c r="G8711" s="8"/>
      <c r="J8711" s="8"/>
    </row>
    <row r="8712">
      <c r="C8712" s="15"/>
      <c r="E8712" s="8"/>
      <c r="G8712" s="8"/>
      <c r="J8712" s="8"/>
    </row>
    <row r="8713">
      <c r="C8713" s="15"/>
      <c r="E8713" s="8"/>
      <c r="G8713" s="8"/>
      <c r="J8713" s="8"/>
    </row>
    <row r="8714">
      <c r="C8714" s="15"/>
      <c r="E8714" s="8"/>
      <c r="G8714" s="8"/>
      <c r="J8714" s="8"/>
    </row>
    <row r="8715">
      <c r="C8715" s="15"/>
      <c r="E8715" s="8"/>
      <c r="G8715" s="8"/>
      <c r="J8715" s="8"/>
    </row>
    <row r="8716">
      <c r="C8716" s="15"/>
      <c r="E8716" s="8"/>
      <c r="G8716" s="8"/>
      <c r="J8716" s="8"/>
    </row>
    <row r="8717">
      <c r="C8717" s="15"/>
      <c r="E8717" s="8"/>
      <c r="G8717" s="8"/>
      <c r="J8717" s="8"/>
    </row>
    <row r="8718">
      <c r="C8718" s="15"/>
      <c r="E8718" s="8"/>
      <c r="G8718" s="8"/>
      <c r="J8718" s="8"/>
    </row>
    <row r="8719">
      <c r="C8719" s="15"/>
      <c r="E8719" s="8"/>
      <c r="G8719" s="8"/>
      <c r="J8719" s="8"/>
    </row>
    <row r="8720">
      <c r="C8720" s="15"/>
      <c r="E8720" s="8"/>
      <c r="G8720" s="8"/>
      <c r="J8720" s="8"/>
    </row>
    <row r="8721">
      <c r="C8721" s="15"/>
      <c r="E8721" s="8"/>
      <c r="G8721" s="8"/>
      <c r="J8721" s="8"/>
    </row>
    <row r="8722">
      <c r="C8722" s="15"/>
      <c r="E8722" s="8"/>
      <c r="G8722" s="8"/>
      <c r="J8722" s="8"/>
    </row>
    <row r="8723">
      <c r="C8723" s="15"/>
      <c r="E8723" s="8"/>
      <c r="G8723" s="8"/>
      <c r="J8723" s="8"/>
    </row>
    <row r="8724">
      <c r="C8724" s="15"/>
      <c r="E8724" s="8"/>
      <c r="G8724" s="8"/>
      <c r="J8724" s="8"/>
    </row>
    <row r="8725">
      <c r="C8725" s="15"/>
      <c r="E8725" s="8"/>
      <c r="G8725" s="8"/>
      <c r="J8725" s="8"/>
    </row>
    <row r="8726">
      <c r="C8726" s="15"/>
      <c r="E8726" s="8"/>
      <c r="G8726" s="8"/>
      <c r="J8726" s="8"/>
    </row>
    <row r="8727">
      <c r="C8727" s="15"/>
      <c r="E8727" s="8"/>
      <c r="G8727" s="8"/>
      <c r="J8727" s="8"/>
    </row>
    <row r="8728">
      <c r="C8728" s="15"/>
      <c r="E8728" s="8"/>
      <c r="G8728" s="8"/>
      <c r="J8728" s="8"/>
    </row>
    <row r="8729">
      <c r="C8729" s="15"/>
      <c r="E8729" s="8"/>
      <c r="G8729" s="8"/>
      <c r="J8729" s="8"/>
    </row>
    <row r="8730">
      <c r="C8730" s="15"/>
      <c r="E8730" s="8"/>
      <c r="G8730" s="8"/>
      <c r="J8730" s="8"/>
    </row>
    <row r="8731">
      <c r="C8731" s="15"/>
      <c r="E8731" s="8"/>
      <c r="G8731" s="8"/>
      <c r="J8731" s="8"/>
    </row>
    <row r="8732">
      <c r="C8732" s="15"/>
      <c r="E8732" s="8"/>
      <c r="G8732" s="8"/>
      <c r="J8732" s="8"/>
    </row>
    <row r="8733">
      <c r="C8733" s="15"/>
      <c r="E8733" s="8"/>
      <c r="G8733" s="8"/>
      <c r="J8733" s="8"/>
    </row>
    <row r="8734">
      <c r="C8734" s="15"/>
      <c r="E8734" s="8"/>
      <c r="G8734" s="8"/>
      <c r="J8734" s="8"/>
    </row>
    <row r="8735">
      <c r="C8735" s="15"/>
      <c r="E8735" s="8"/>
      <c r="G8735" s="8"/>
      <c r="J8735" s="8"/>
    </row>
    <row r="8736">
      <c r="C8736" s="15"/>
      <c r="E8736" s="8"/>
      <c r="G8736" s="8"/>
      <c r="J8736" s="8"/>
    </row>
    <row r="8737">
      <c r="C8737" s="15"/>
      <c r="E8737" s="8"/>
      <c r="G8737" s="8"/>
      <c r="J8737" s="8"/>
    </row>
    <row r="8738">
      <c r="C8738" s="15"/>
      <c r="E8738" s="8"/>
      <c r="G8738" s="8"/>
      <c r="J8738" s="8"/>
    </row>
    <row r="8739">
      <c r="C8739" s="15"/>
      <c r="E8739" s="8"/>
      <c r="G8739" s="8"/>
      <c r="J8739" s="8"/>
    </row>
    <row r="8740">
      <c r="C8740" s="15"/>
      <c r="E8740" s="8"/>
      <c r="G8740" s="8"/>
      <c r="J8740" s="8"/>
    </row>
    <row r="8741">
      <c r="C8741" s="15"/>
      <c r="E8741" s="8"/>
      <c r="G8741" s="8"/>
      <c r="J8741" s="8"/>
    </row>
    <row r="8742">
      <c r="C8742" s="15"/>
      <c r="E8742" s="8"/>
      <c r="G8742" s="8"/>
      <c r="J8742" s="8"/>
    </row>
    <row r="8743">
      <c r="C8743" s="15"/>
      <c r="E8743" s="8"/>
      <c r="G8743" s="8"/>
      <c r="J8743" s="8"/>
    </row>
    <row r="8744">
      <c r="C8744" s="15"/>
      <c r="E8744" s="8"/>
      <c r="G8744" s="8"/>
      <c r="J8744" s="8"/>
    </row>
    <row r="8745">
      <c r="C8745" s="15"/>
      <c r="E8745" s="8"/>
      <c r="G8745" s="8"/>
      <c r="J8745" s="8"/>
    </row>
    <row r="8746">
      <c r="C8746" s="15"/>
      <c r="E8746" s="8"/>
      <c r="G8746" s="8"/>
      <c r="J8746" s="8"/>
    </row>
    <row r="8747">
      <c r="C8747" s="15"/>
      <c r="E8747" s="8"/>
      <c r="G8747" s="8"/>
      <c r="J8747" s="8"/>
    </row>
    <row r="8748">
      <c r="C8748" s="15"/>
      <c r="E8748" s="8"/>
      <c r="G8748" s="8"/>
      <c r="J8748" s="8"/>
    </row>
    <row r="8749">
      <c r="C8749" s="15"/>
      <c r="E8749" s="8"/>
      <c r="G8749" s="8"/>
      <c r="J8749" s="8"/>
    </row>
    <row r="8750">
      <c r="C8750" s="15"/>
      <c r="E8750" s="8"/>
      <c r="G8750" s="8"/>
      <c r="J8750" s="8"/>
    </row>
    <row r="8751">
      <c r="C8751" s="15"/>
      <c r="E8751" s="8"/>
      <c r="G8751" s="8"/>
      <c r="J8751" s="8"/>
    </row>
    <row r="8752">
      <c r="C8752" s="15"/>
      <c r="E8752" s="8"/>
      <c r="G8752" s="8"/>
      <c r="J8752" s="8"/>
    </row>
    <row r="8753">
      <c r="C8753" s="15"/>
      <c r="E8753" s="8"/>
      <c r="G8753" s="8"/>
      <c r="J8753" s="8"/>
    </row>
    <row r="8754">
      <c r="C8754" s="15"/>
      <c r="E8754" s="8"/>
      <c r="G8754" s="8"/>
      <c r="J8754" s="8"/>
    </row>
    <row r="8755">
      <c r="C8755" s="15"/>
      <c r="E8755" s="8"/>
      <c r="G8755" s="8"/>
      <c r="J8755" s="8"/>
    </row>
    <row r="8756">
      <c r="C8756" s="15"/>
      <c r="E8756" s="8"/>
      <c r="G8756" s="8"/>
      <c r="J8756" s="8"/>
    </row>
    <row r="8757">
      <c r="C8757" s="15"/>
      <c r="E8757" s="8"/>
      <c r="G8757" s="8"/>
      <c r="J8757" s="8"/>
    </row>
    <row r="8758">
      <c r="C8758" s="15"/>
      <c r="E8758" s="8"/>
      <c r="G8758" s="8"/>
      <c r="J8758" s="8"/>
    </row>
    <row r="8759">
      <c r="C8759" s="15"/>
      <c r="E8759" s="8"/>
      <c r="G8759" s="8"/>
      <c r="J8759" s="8"/>
    </row>
    <row r="8760">
      <c r="C8760" s="15"/>
      <c r="E8760" s="8"/>
      <c r="G8760" s="8"/>
      <c r="J8760" s="8"/>
    </row>
    <row r="8761">
      <c r="C8761" s="15"/>
      <c r="E8761" s="8"/>
      <c r="G8761" s="8"/>
      <c r="J8761" s="8"/>
    </row>
    <row r="8762">
      <c r="C8762" s="15"/>
      <c r="E8762" s="8"/>
      <c r="G8762" s="8"/>
      <c r="J8762" s="8"/>
    </row>
    <row r="8763">
      <c r="C8763" s="15"/>
      <c r="E8763" s="8"/>
      <c r="G8763" s="8"/>
      <c r="J8763" s="8"/>
    </row>
    <row r="8764">
      <c r="C8764" s="15"/>
      <c r="E8764" s="8"/>
      <c r="G8764" s="8"/>
      <c r="J8764" s="8"/>
    </row>
    <row r="8765">
      <c r="C8765" s="15"/>
      <c r="E8765" s="8"/>
      <c r="G8765" s="8"/>
      <c r="J8765" s="8"/>
    </row>
    <row r="8766">
      <c r="C8766" s="15"/>
      <c r="E8766" s="8"/>
      <c r="G8766" s="8"/>
      <c r="J8766" s="8"/>
    </row>
    <row r="8767">
      <c r="C8767" s="15"/>
      <c r="E8767" s="8"/>
      <c r="G8767" s="8"/>
      <c r="J8767" s="8"/>
    </row>
    <row r="8768">
      <c r="C8768" s="15"/>
      <c r="E8768" s="8"/>
      <c r="G8768" s="8"/>
      <c r="J8768" s="8"/>
    </row>
    <row r="8769">
      <c r="C8769" s="15"/>
      <c r="E8769" s="8"/>
      <c r="G8769" s="8"/>
      <c r="J8769" s="8"/>
    </row>
    <row r="8770">
      <c r="C8770" s="15"/>
      <c r="E8770" s="8"/>
      <c r="G8770" s="8"/>
      <c r="J8770" s="8"/>
    </row>
    <row r="8771">
      <c r="C8771" s="15"/>
      <c r="E8771" s="8"/>
      <c r="G8771" s="8"/>
      <c r="J8771" s="8"/>
    </row>
    <row r="8772">
      <c r="C8772" s="15"/>
      <c r="E8772" s="8"/>
      <c r="G8772" s="8"/>
      <c r="J8772" s="8"/>
    </row>
    <row r="8773">
      <c r="C8773" s="15"/>
      <c r="E8773" s="8"/>
      <c r="G8773" s="8"/>
      <c r="J8773" s="8"/>
    </row>
    <row r="8774">
      <c r="C8774" s="15"/>
      <c r="E8774" s="8"/>
      <c r="G8774" s="8"/>
      <c r="J8774" s="8"/>
    </row>
    <row r="8775">
      <c r="C8775" s="15"/>
      <c r="E8775" s="8"/>
      <c r="G8775" s="8"/>
      <c r="J8775" s="8"/>
    </row>
    <row r="8776">
      <c r="C8776" s="15"/>
      <c r="E8776" s="8"/>
      <c r="G8776" s="8"/>
      <c r="J8776" s="8"/>
    </row>
    <row r="8777">
      <c r="C8777" s="15"/>
      <c r="E8777" s="8"/>
      <c r="G8777" s="8"/>
      <c r="J8777" s="8"/>
    </row>
    <row r="8778">
      <c r="C8778" s="15"/>
      <c r="E8778" s="8"/>
      <c r="G8778" s="8"/>
      <c r="J8778" s="8"/>
    </row>
    <row r="8779">
      <c r="C8779" s="15"/>
      <c r="E8779" s="8"/>
      <c r="G8779" s="8"/>
      <c r="J8779" s="8"/>
    </row>
    <row r="8780">
      <c r="C8780" s="15"/>
      <c r="E8780" s="8"/>
      <c r="G8780" s="8"/>
      <c r="J8780" s="8"/>
    </row>
    <row r="8781">
      <c r="C8781" s="15"/>
      <c r="E8781" s="8"/>
      <c r="G8781" s="8"/>
      <c r="J8781" s="8"/>
    </row>
    <row r="8782">
      <c r="C8782" s="15"/>
      <c r="E8782" s="8"/>
      <c r="G8782" s="8"/>
      <c r="J8782" s="8"/>
    </row>
    <row r="8783">
      <c r="C8783" s="15"/>
      <c r="E8783" s="8"/>
      <c r="G8783" s="8"/>
      <c r="J8783" s="8"/>
    </row>
    <row r="8784">
      <c r="C8784" s="15"/>
      <c r="E8784" s="8"/>
      <c r="G8784" s="8"/>
      <c r="J8784" s="8"/>
    </row>
    <row r="8785">
      <c r="C8785" s="15"/>
      <c r="E8785" s="8"/>
      <c r="G8785" s="8"/>
      <c r="J8785" s="8"/>
    </row>
    <row r="8786">
      <c r="C8786" s="15"/>
      <c r="E8786" s="8"/>
      <c r="G8786" s="8"/>
      <c r="J8786" s="8"/>
    </row>
    <row r="8787">
      <c r="C8787" s="15"/>
      <c r="E8787" s="8"/>
      <c r="G8787" s="8"/>
      <c r="J8787" s="8"/>
    </row>
    <row r="8788">
      <c r="C8788" s="15"/>
      <c r="E8788" s="8"/>
      <c r="G8788" s="8"/>
      <c r="J8788" s="8"/>
    </row>
    <row r="8789">
      <c r="C8789" s="15"/>
      <c r="E8789" s="8"/>
      <c r="G8789" s="8"/>
      <c r="J8789" s="8"/>
    </row>
    <row r="8790">
      <c r="C8790" s="15"/>
      <c r="E8790" s="8"/>
      <c r="G8790" s="8"/>
      <c r="J8790" s="8"/>
    </row>
    <row r="8791">
      <c r="C8791" s="15"/>
      <c r="E8791" s="8"/>
      <c r="G8791" s="8"/>
      <c r="J8791" s="8"/>
    </row>
    <row r="8792">
      <c r="C8792" s="15"/>
      <c r="E8792" s="8"/>
      <c r="G8792" s="8"/>
      <c r="J8792" s="8"/>
    </row>
    <row r="8793">
      <c r="C8793" s="15"/>
      <c r="E8793" s="8"/>
      <c r="G8793" s="8"/>
      <c r="J8793" s="8"/>
    </row>
    <row r="8794">
      <c r="C8794" s="15"/>
      <c r="E8794" s="8"/>
      <c r="G8794" s="8"/>
      <c r="J8794" s="8"/>
    </row>
    <row r="8795">
      <c r="C8795" s="15"/>
      <c r="E8795" s="8"/>
      <c r="G8795" s="8"/>
      <c r="J8795" s="8"/>
    </row>
    <row r="8796">
      <c r="C8796" s="15"/>
      <c r="E8796" s="8"/>
      <c r="G8796" s="8"/>
      <c r="J8796" s="8"/>
    </row>
    <row r="8797">
      <c r="C8797" s="15"/>
      <c r="E8797" s="8"/>
      <c r="G8797" s="8"/>
      <c r="J8797" s="8"/>
    </row>
    <row r="8798">
      <c r="C8798" s="15"/>
      <c r="E8798" s="8"/>
      <c r="G8798" s="8"/>
      <c r="J8798" s="8"/>
    </row>
    <row r="8799">
      <c r="C8799" s="15"/>
      <c r="E8799" s="8"/>
      <c r="G8799" s="8"/>
      <c r="J8799" s="8"/>
    </row>
    <row r="8800">
      <c r="C8800" s="15"/>
      <c r="E8800" s="8"/>
      <c r="G8800" s="8"/>
      <c r="J8800" s="8"/>
    </row>
    <row r="8801">
      <c r="C8801" s="15"/>
      <c r="E8801" s="8"/>
      <c r="G8801" s="8"/>
      <c r="J8801" s="8"/>
    </row>
    <row r="8802">
      <c r="C8802" s="15"/>
      <c r="E8802" s="8"/>
      <c r="G8802" s="8"/>
      <c r="J8802" s="8"/>
    </row>
    <row r="8803">
      <c r="C8803" s="15"/>
      <c r="E8803" s="8"/>
      <c r="G8803" s="8"/>
      <c r="J8803" s="8"/>
    </row>
    <row r="8804">
      <c r="C8804" s="15"/>
      <c r="E8804" s="8"/>
      <c r="G8804" s="8"/>
      <c r="J8804" s="8"/>
    </row>
    <row r="8805">
      <c r="C8805" s="15"/>
      <c r="E8805" s="8"/>
      <c r="G8805" s="8"/>
      <c r="J8805" s="8"/>
    </row>
    <row r="8806">
      <c r="C8806" s="15"/>
      <c r="E8806" s="8"/>
      <c r="G8806" s="8"/>
      <c r="J8806" s="8"/>
    </row>
    <row r="8807">
      <c r="C8807" s="15"/>
      <c r="E8807" s="8"/>
      <c r="G8807" s="8"/>
      <c r="J8807" s="8"/>
    </row>
    <row r="8808">
      <c r="C8808" s="15"/>
      <c r="E8808" s="8"/>
      <c r="G8808" s="8"/>
      <c r="J8808" s="8"/>
    </row>
    <row r="8809">
      <c r="C8809" s="15"/>
      <c r="E8809" s="8"/>
      <c r="G8809" s="8"/>
      <c r="J8809" s="8"/>
    </row>
    <row r="8810">
      <c r="C8810" s="15"/>
      <c r="E8810" s="8"/>
      <c r="G8810" s="8"/>
      <c r="J8810" s="8"/>
    </row>
    <row r="8811">
      <c r="C8811" s="15"/>
      <c r="E8811" s="8"/>
      <c r="G8811" s="8"/>
      <c r="J8811" s="8"/>
    </row>
    <row r="8812">
      <c r="C8812" s="15"/>
      <c r="E8812" s="8"/>
      <c r="G8812" s="8"/>
      <c r="J8812" s="8"/>
    </row>
    <row r="8813">
      <c r="C8813" s="15"/>
      <c r="E8813" s="8"/>
      <c r="G8813" s="8"/>
      <c r="J8813" s="8"/>
    </row>
    <row r="8814">
      <c r="C8814" s="15"/>
      <c r="E8814" s="8"/>
      <c r="G8814" s="8"/>
      <c r="J8814" s="8"/>
    </row>
    <row r="8815">
      <c r="C8815" s="15"/>
      <c r="E8815" s="8"/>
      <c r="G8815" s="8"/>
      <c r="J8815" s="8"/>
    </row>
    <row r="8816">
      <c r="C8816" s="15"/>
      <c r="E8816" s="8"/>
      <c r="G8816" s="8"/>
      <c r="J8816" s="8"/>
    </row>
    <row r="8817">
      <c r="C8817" s="15"/>
      <c r="E8817" s="8"/>
      <c r="G8817" s="8"/>
      <c r="J8817" s="8"/>
    </row>
    <row r="8818">
      <c r="C8818" s="15"/>
      <c r="E8818" s="8"/>
      <c r="G8818" s="8"/>
      <c r="J8818" s="8"/>
    </row>
    <row r="8819">
      <c r="C8819" s="15"/>
      <c r="E8819" s="8"/>
      <c r="G8819" s="8"/>
      <c r="J8819" s="8"/>
    </row>
    <row r="8820">
      <c r="C8820" s="15"/>
      <c r="E8820" s="8"/>
      <c r="G8820" s="8"/>
      <c r="J8820" s="8"/>
    </row>
    <row r="8821">
      <c r="C8821" s="15"/>
      <c r="E8821" s="8"/>
      <c r="G8821" s="8"/>
      <c r="J8821" s="8"/>
    </row>
    <row r="8822">
      <c r="C8822" s="15"/>
      <c r="E8822" s="8"/>
      <c r="G8822" s="8"/>
      <c r="J8822" s="8"/>
    </row>
    <row r="8823">
      <c r="C8823" s="15"/>
      <c r="E8823" s="8"/>
      <c r="G8823" s="8"/>
      <c r="J8823" s="8"/>
    </row>
    <row r="8824">
      <c r="C8824" s="15"/>
      <c r="E8824" s="8"/>
      <c r="G8824" s="8"/>
      <c r="J8824" s="8"/>
    </row>
    <row r="8825">
      <c r="C8825" s="15"/>
      <c r="E8825" s="8"/>
      <c r="G8825" s="8"/>
      <c r="J8825" s="8"/>
    </row>
    <row r="8826">
      <c r="C8826" s="15"/>
      <c r="E8826" s="8"/>
      <c r="G8826" s="8"/>
      <c r="J8826" s="8"/>
    </row>
    <row r="8827">
      <c r="C8827" s="15"/>
      <c r="E8827" s="8"/>
      <c r="G8827" s="8"/>
      <c r="J8827" s="8"/>
    </row>
    <row r="8828">
      <c r="C8828" s="15"/>
      <c r="E8828" s="8"/>
      <c r="G8828" s="8"/>
      <c r="J8828" s="8"/>
    </row>
    <row r="8829">
      <c r="C8829" s="15"/>
      <c r="E8829" s="8"/>
      <c r="G8829" s="8"/>
      <c r="J8829" s="8"/>
    </row>
    <row r="8830">
      <c r="C8830" s="15"/>
      <c r="E8830" s="8"/>
      <c r="G8830" s="8"/>
      <c r="J8830" s="8"/>
    </row>
    <row r="8831">
      <c r="C8831" s="15"/>
      <c r="E8831" s="8"/>
      <c r="G8831" s="8"/>
      <c r="J8831" s="8"/>
    </row>
    <row r="8832">
      <c r="C8832" s="15"/>
      <c r="E8832" s="8"/>
      <c r="G8832" s="8"/>
      <c r="J8832" s="8"/>
    </row>
    <row r="8833">
      <c r="C8833" s="15"/>
      <c r="E8833" s="8"/>
      <c r="G8833" s="8"/>
      <c r="J8833" s="8"/>
    </row>
    <row r="8834">
      <c r="C8834" s="15"/>
      <c r="E8834" s="8"/>
      <c r="G8834" s="8"/>
      <c r="J8834" s="8"/>
    </row>
    <row r="8835">
      <c r="C8835" s="15"/>
      <c r="E8835" s="8"/>
      <c r="G8835" s="8"/>
      <c r="J8835" s="8"/>
    </row>
    <row r="8836">
      <c r="C8836" s="15"/>
      <c r="E8836" s="8"/>
      <c r="G8836" s="8"/>
      <c r="J8836" s="8"/>
    </row>
    <row r="8837">
      <c r="C8837" s="15"/>
      <c r="E8837" s="8"/>
      <c r="G8837" s="8"/>
      <c r="J8837" s="8"/>
    </row>
    <row r="8838">
      <c r="C8838" s="15"/>
      <c r="E8838" s="8"/>
      <c r="G8838" s="8"/>
      <c r="J8838" s="8"/>
    </row>
    <row r="8839">
      <c r="C8839" s="15"/>
      <c r="E8839" s="8"/>
      <c r="G8839" s="8"/>
      <c r="J8839" s="8"/>
    </row>
    <row r="8840">
      <c r="C8840" s="15"/>
      <c r="E8840" s="8"/>
      <c r="G8840" s="8"/>
      <c r="J8840" s="8"/>
    </row>
    <row r="8841">
      <c r="C8841" s="15"/>
      <c r="E8841" s="8"/>
      <c r="G8841" s="8"/>
      <c r="J8841" s="8"/>
    </row>
    <row r="8842">
      <c r="C8842" s="15"/>
      <c r="E8842" s="8"/>
      <c r="G8842" s="8"/>
      <c r="J8842" s="8"/>
    </row>
    <row r="8843">
      <c r="C8843" s="15"/>
      <c r="E8843" s="8"/>
      <c r="G8843" s="8"/>
      <c r="J8843" s="8"/>
    </row>
    <row r="8844">
      <c r="C8844" s="15"/>
      <c r="E8844" s="8"/>
      <c r="G8844" s="8"/>
      <c r="J8844" s="8"/>
    </row>
    <row r="8845">
      <c r="C8845" s="15"/>
      <c r="E8845" s="8"/>
      <c r="G8845" s="8"/>
      <c r="J8845" s="8"/>
    </row>
    <row r="8846">
      <c r="C8846" s="15"/>
      <c r="E8846" s="8"/>
      <c r="G8846" s="8"/>
      <c r="J8846" s="8"/>
    </row>
    <row r="8847">
      <c r="C8847" s="15"/>
      <c r="E8847" s="8"/>
      <c r="G8847" s="8"/>
      <c r="J8847" s="8"/>
    </row>
    <row r="8848">
      <c r="C8848" s="15"/>
      <c r="E8848" s="8"/>
      <c r="G8848" s="8"/>
      <c r="J8848" s="8"/>
    </row>
    <row r="8849">
      <c r="C8849" s="15"/>
      <c r="E8849" s="8"/>
      <c r="G8849" s="8"/>
      <c r="J8849" s="8"/>
    </row>
    <row r="8850">
      <c r="C8850" s="15"/>
      <c r="E8850" s="8"/>
      <c r="G8850" s="8"/>
      <c r="J8850" s="8"/>
    </row>
    <row r="8851">
      <c r="C8851" s="15"/>
      <c r="E8851" s="8"/>
      <c r="G8851" s="8"/>
      <c r="J8851" s="8"/>
    </row>
    <row r="8852">
      <c r="C8852" s="15"/>
      <c r="E8852" s="8"/>
      <c r="G8852" s="8"/>
      <c r="J8852" s="8"/>
    </row>
    <row r="8853">
      <c r="C8853" s="15"/>
      <c r="E8853" s="8"/>
      <c r="G8853" s="8"/>
      <c r="J8853" s="8"/>
    </row>
    <row r="8854">
      <c r="C8854" s="15"/>
      <c r="E8854" s="8"/>
      <c r="G8854" s="8"/>
      <c r="J8854" s="8"/>
    </row>
    <row r="8855">
      <c r="C8855" s="15"/>
      <c r="E8855" s="8"/>
      <c r="G8855" s="8"/>
      <c r="J8855" s="8"/>
    </row>
    <row r="8856">
      <c r="C8856" s="15"/>
      <c r="E8856" s="8"/>
      <c r="G8856" s="8"/>
      <c r="J8856" s="8"/>
    </row>
    <row r="8857">
      <c r="C8857" s="15"/>
      <c r="E8857" s="8"/>
      <c r="G8857" s="8"/>
      <c r="J8857" s="8"/>
    </row>
    <row r="8858">
      <c r="C8858" s="15"/>
      <c r="E8858" s="8"/>
      <c r="G8858" s="8"/>
      <c r="J8858" s="8"/>
    </row>
    <row r="8859">
      <c r="C8859" s="15"/>
      <c r="E8859" s="8"/>
      <c r="G8859" s="8"/>
      <c r="J8859" s="8"/>
    </row>
    <row r="8860">
      <c r="C8860" s="15"/>
      <c r="E8860" s="8"/>
      <c r="G8860" s="8"/>
      <c r="J8860" s="8"/>
    </row>
    <row r="8861">
      <c r="C8861" s="15"/>
      <c r="E8861" s="8"/>
      <c r="G8861" s="8"/>
      <c r="J8861" s="8"/>
    </row>
    <row r="8862">
      <c r="C8862" s="15"/>
      <c r="E8862" s="8"/>
      <c r="G8862" s="8"/>
      <c r="J8862" s="8"/>
    </row>
    <row r="8863">
      <c r="C8863" s="15"/>
      <c r="E8863" s="8"/>
      <c r="G8863" s="8"/>
      <c r="J8863" s="8"/>
    </row>
    <row r="8864">
      <c r="C8864" s="15"/>
      <c r="E8864" s="8"/>
      <c r="G8864" s="8"/>
      <c r="J8864" s="8"/>
    </row>
    <row r="8865">
      <c r="C8865" s="15"/>
      <c r="E8865" s="8"/>
      <c r="G8865" s="8"/>
      <c r="J8865" s="8"/>
    </row>
    <row r="8866">
      <c r="C8866" s="15"/>
      <c r="E8866" s="8"/>
      <c r="G8866" s="8"/>
      <c r="J8866" s="8"/>
    </row>
    <row r="8867">
      <c r="C8867" s="15"/>
      <c r="E8867" s="8"/>
      <c r="G8867" s="8"/>
      <c r="J8867" s="8"/>
    </row>
    <row r="8868">
      <c r="C8868" s="15"/>
      <c r="E8868" s="8"/>
      <c r="G8868" s="8"/>
      <c r="J8868" s="8"/>
    </row>
    <row r="8869">
      <c r="C8869" s="15"/>
      <c r="E8869" s="8"/>
      <c r="G8869" s="8"/>
      <c r="J8869" s="8"/>
    </row>
    <row r="8870">
      <c r="C8870" s="15"/>
      <c r="E8870" s="8"/>
      <c r="G8870" s="8"/>
      <c r="J8870" s="8"/>
    </row>
    <row r="8871">
      <c r="C8871" s="15"/>
      <c r="E8871" s="8"/>
      <c r="G8871" s="8"/>
      <c r="J8871" s="8"/>
    </row>
    <row r="8872">
      <c r="C8872" s="15"/>
      <c r="E8872" s="8"/>
      <c r="G8872" s="8"/>
      <c r="J8872" s="8"/>
    </row>
    <row r="8873">
      <c r="C8873" s="15"/>
      <c r="E8873" s="8"/>
      <c r="G8873" s="8"/>
      <c r="J8873" s="8"/>
    </row>
    <row r="8874">
      <c r="C8874" s="15"/>
      <c r="E8874" s="8"/>
      <c r="G8874" s="8"/>
      <c r="J8874" s="8"/>
    </row>
    <row r="8875">
      <c r="C8875" s="15"/>
      <c r="E8875" s="8"/>
      <c r="G8875" s="8"/>
      <c r="J8875" s="8"/>
    </row>
    <row r="8876">
      <c r="C8876" s="15"/>
      <c r="E8876" s="8"/>
      <c r="G8876" s="8"/>
      <c r="J8876" s="8"/>
    </row>
    <row r="8877">
      <c r="C8877" s="15"/>
      <c r="E8877" s="8"/>
      <c r="G8877" s="8"/>
      <c r="J8877" s="8"/>
    </row>
    <row r="8878">
      <c r="C8878" s="15"/>
      <c r="E8878" s="8"/>
      <c r="G8878" s="8"/>
      <c r="J8878" s="8"/>
    </row>
    <row r="8879">
      <c r="C8879" s="15"/>
      <c r="E8879" s="8"/>
      <c r="G8879" s="8"/>
      <c r="J8879" s="8"/>
    </row>
    <row r="8880">
      <c r="C8880" s="15"/>
      <c r="E8880" s="8"/>
      <c r="G8880" s="8"/>
      <c r="J8880" s="8"/>
    </row>
    <row r="8881">
      <c r="C8881" s="15"/>
      <c r="E8881" s="8"/>
      <c r="G8881" s="8"/>
      <c r="J8881" s="8"/>
    </row>
    <row r="8882">
      <c r="C8882" s="15"/>
      <c r="E8882" s="8"/>
      <c r="G8882" s="8"/>
      <c r="J8882" s="8"/>
    </row>
    <row r="8883">
      <c r="C8883" s="15"/>
      <c r="E8883" s="8"/>
      <c r="G8883" s="8"/>
      <c r="J8883" s="8"/>
    </row>
    <row r="8884">
      <c r="C8884" s="15"/>
      <c r="E8884" s="8"/>
      <c r="G8884" s="8"/>
      <c r="J8884" s="8"/>
    </row>
    <row r="8885">
      <c r="C8885" s="15"/>
      <c r="E8885" s="8"/>
      <c r="G8885" s="8"/>
      <c r="J8885" s="8"/>
    </row>
    <row r="8886">
      <c r="C8886" s="15"/>
      <c r="E8886" s="8"/>
      <c r="G8886" s="8"/>
      <c r="J8886" s="8"/>
    </row>
    <row r="8887">
      <c r="C8887" s="15"/>
      <c r="E8887" s="8"/>
      <c r="G8887" s="8"/>
      <c r="J8887" s="8"/>
    </row>
    <row r="8888">
      <c r="C8888" s="15"/>
      <c r="E8888" s="8"/>
      <c r="G8888" s="8"/>
      <c r="J8888" s="8"/>
    </row>
    <row r="8889">
      <c r="C8889" s="15"/>
      <c r="E8889" s="8"/>
      <c r="G8889" s="8"/>
      <c r="J8889" s="8"/>
    </row>
    <row r="8890">
      <c r="C8890" s="15"/>
      <c r="E8890" s="8"/>
      <c r="G8890" s="8"/>
      <c r="J8890" s="8"/>
    </row>
    <row r="8891">
      <c r="C8891" s="15"/>
      <c r="E8891" s="8"/>
      <c r="G8891" s="8"/>
      <c r="J8891" s="8"/>
    </row>
    <row r="8892">
      <c r="C8892" s="15"/>
      <c r="E8892" s="8"/>
      <c r="G8892" s="8"/>
      <c r="J8892" s="8"/>
    </row>
    <row r="8893">
      <c r="C8893" s="15"/>
      <c r="E8893" s="8"/>
      <c r="G8893" s="8"/>
      <c r="J8893" s="8"/>
    </row>
    <row r="8894">
      <c r="C8894" s="15"/>
      <c r="E8894" s="8"/>
      <c r="G8894" s="8"/>
      <c r="J8894" s="8"/>
    </row>
    <row r="8895">
      <c r="C8895" s="15"/>
      <c r="E8895" s="8"/>
      <c r="G8895" s="8"/>
      <c r="J8895" s="8"/>
    </row>
    <row r="8896">
      <c r="C8896" s="15"/>
      <c r="E8896" s="8"/>
      <c r="G8896" s="8"/>
      <c r="J8896" s="8"/>
    </row>
    <row r="8897">
      <c r="C8897" s="15"/>
      <c r="E8897" s="8"/>
      <c r="G8897" s="8"/>
      <c r="J8897" s="8"/>
    </row>
    <row r="8898">
      <c r="C8898" s="15"/>
      <c r="E8898" s="8"/>
      <c r="G8898" s="8"/>
      <c r="J8898" s="8"/>
    </row>
    <row r="8899">
      <c r="C8899" s="15"/>
      <c r="E8899" s="8"/>
      <c r="G8899" s="8"/>
      <c r="J8899" s="8"/>
    </row>
    <row r="8900">
      <c r="C8900" s="15"/>
      <c r="E8900" s="8"/>
      <c r="G8900" s="8"/>
      <c r="J8900" s="8"/>
    </row>
    <row r="8901">
      <c r="C8901" s="15"/>
      <c r="E8901" s="8"/>
      <c r="G8901" s="8"/>
      <c r="J8901" s="8"/>
    </row>
    <row r="8902">
      <c r="C8902" s="15"/>
      <c r="E8902" s="8"/>
      <c r="G8902" s="8"/>
      <c r="J8902" s="8"/>
    </row>
    <row r="8903">
      <c r="C8903" s="15"/>
      <c r="E8903" s="8"/>
      <c r="G8903" s="8"/>
      <c r="J8903" s="8"/>
    </row>
    <row r="8904">
      <c r="C8904" s="15"/>
      <c r="E8904" s="8"/>
      <c r="G8904" s="8"/>
      <c r="J8904" s="8"/>
    </row>
    <row r="8905">
      <c r="C8905" s="15"/>
      <c r="E8905" s="8"/>
      <c r="G8905" s="8"/>
      <c r="J8905" s="8"/>
    </row>
    <row r="8906">
      <c r="C8906" s="15"/>
      <c r="E8906" s="8"/>
      <c r="G8906" s="8"/>
      <c r="J8906" s="8"/>
    </row>
    <row r="8907">
      <c r="C8907" s="15"/>
      <c r="E8907" s="8"/>
      <c r="G8907" s="8"/>
      <c r="J8907" s="8"/>
    </row>
    <row r="8908">
      <c r="C8908" s="15"/>
      <c r="E8908" s="8"/>
      <c r="G8908" s="8"/>
      <c r="J8908" s="8"/>
    </row>
    <row r="8909">
      <c r="C8909" s="15"/>
      <c r="E8909" s="8"/>
      <c r="G8909" s="8"/>
      <c r="J8909" s="8"/>
    </row>
    <row r="8910">
      <c r="C8910" s="15"/>
      <c r="E8910" s="8"/>
      <c r="G8910" s="8"/>
      <c r="J8910" s="8"/>
    </row>
    <row r="8911">
      <c r="C8911" s="15"/>
      <c r="E8911" s="8"/>
      <c r="G8911" s="8"/>
      <c r="J8911" s="8"/>
    </row>
    <row r="8912">
      <c r="C8912" s="15"/>
      <c r="E8912" s="8"/>
      <c r="G8912" s="8"/>
      <c r="J8912" s="8"/>
    </row>
    <row r="8913">
      <c r="C8913" s="15"/>
      <c r="E8913" s="8"/>
      <c r="G8913" s="8"/>
      <c r="J8913" s="8"/>
    </row>
    <row r="8914">
      <c r="C8914" s="15"/>
      <c r="E8914" s="8"/>
      <c r="G8914" s="8"/>
      <c r="J8914" s="8"/>
    </row>
    <row r="8915">
      <c r="C8915" s="15"/>
      <c r="E8915" s="8"/>
      <c r="G8915" s="8"/>
      <c r="J8915" s="8"/>
    </row>
    <row r="8916">
      <c r="C8916" s="15"/>
      <c r="E8916" s="8"/>
      <c r="G8916" s="8"/>
      <c r="J8916" s="8"/>
    </row>
    <row r="8917">
      <c r="C8917" s="15"/>
      <c r="E8917" s="8"/>
      <c r="G8917" s="8"/>
      <c r="J8917" s="8"/>
    </row>
    <row r="8918">
      <c r="C8918" s="15"/>
      <c r="E8918" s="8"/>
      <c r="G8918" s="8"/>
      <c r="J8918" s="8"/>
    </row>
    <row r="8919">
      <c r="C8919" s="15"/>
      <c r="E8919" s="8"/>
      <c r="G8919" s="8"/>
      <c r="J8919" s="8"/>
    </row>
    <row r="8920">
      <c r="C8920" s="15"/>
      <c r="E8920" s="8"/>
      <c r="G8920" s="8"/>
      <c r="J8920" s="8"/>
    </row>
    <row r="8921">
      <c r="C8921" s="15"/>
      <c r="E8921" s="8"/>
      <c r="G8921" s="8"/>
      <c r="J8921" s="8"/>
    </row>
    <row r="8922">
      <c r="C8922" s="15"/>
      <c r="E8922" s="8"/>
      <c r="G8922" s="8"/>
      <c r="J8922" s="8"/>
    </row>
    <row r="8923">
      <c r="C8923" s="15"/>
      <c r="E8923" s="8"/>
      <c r="G8923" s="8"/>
      <c r="J8923" s="8"/>
    </row>
    <row r="8924">
      <c r="C8924" s="15"/>
      <c r="E8924" s="8"/>
      <c r="G8924" s="8"/>
      <c r="J8924" s="8"/>
    </row>
    <row r="8925">
      <c r="C8925" s="15"/>
      <c r="E8925" s="8"/>
      <c r="G8925" s="8"/>
      <c r="J8925" s="8"/>
    </row>
    <row r="8926">
      <c r="C8926" s="15"/>
      <c r="E8926" s="8"/>
      <c r="G8926" s="8"/>
      <c r="J8926" s="8"/>
    </row>
    <row r="8927">
      <c r="C8927" s="15"/>
      <c r="E8927" s="8"/>
      <c r="G8927" s="8"/>
      <c r="J8927" s="8"/>
    </row>
    <row r="8928">
      <c r="C8928" s="15"/>
      <c r="E8928" s="8"/>
      <c r="G8928" s="8"/>
      <c r="J8928" s="8"/>
    </row>
    <row r="8929">
      <c r="C8929" s="15"/>
      <c r="E8929" s="8"/>
      <c r="G8929" s="8"/>
      <c r="J8929" s="8"/>
    </row>
    <row r="8930">
      <c r="C8930" s="15"/>
      <c r="E8930" s="8"/>
      <c r="G8930" s="8"/>
      <c r="J8930" s="8"/>
    </row>
    <row r="8931">
      <c r="C8931" s="15"/>
      <c r="E8931" s="8"/>
      <c r="G8931" s="8"/>
      <c r="J8931" s="8"/>
    </row>
    <row r="8932">
      <c r="C8932" s="15"/>
      <c r="E8932" s="8"/>
      <c r="G8932" s="8"/>
      <c r="J8932" s="8"/>
    </row>
    <row r="8933">
      <c r="C8933" s="15"/>
      <c r="E8933" s="8"/>
      <c r="G8933" s="8"/>
      <c r="J8933" s="8"/>
    </row>
    <row r="8934">
      <c r="C8934" s="15"/>
      <c r="E8934" s="8"/>
      <c r="G8934" s="8"/>
      <c r="J8934" s="8"/>
    </row>
    <row r="8935">
      <c r="C8935" s="15"/>
      <c r="E8935" s="8"/>
      <c r="G8935" s="8"/>
      <c r="J8935" s="8"/>
    </row>
    <row r="8936">
      <c r="C8936" s="15"/>
      <c r="E8936" s="8"/>
      <c r="G8936" s="8"/>
      <c r="J8936" s="8"/>
    </row>
    <row r="8937">
      <c r="C8937" s="15"/>
      <c r="E8937" s="8"/>
      <c r="G8937" s="8"/>
      <c r="J8937" s="8"/>
    </row>
    <row r="8938">
      <c r="C8938" s="15"/>
      <c r="E8938" s="8"/>
      <c r="G8938" s="8"/>
      <c r="J8938" s="8"/>
    </row>
    <row r="8939">
      <c r="C8939" s="15"/>
      <c r="E8939" s="8"/>
      <c r="G8939" s="8"/>
      <c r="J8939" s="8"/>
    </row>
    <row r="8940">
      <c r="C8940" s="15"/>
      <c r="E8940" s="8"/>
      <c r="G8940" s="8"/>
      <c r="J8940" s="8"/>
    </row>
    <row r="8941">
      <c r="C8941" s="15"/>
      <c r="E8941" s="8"/>
      <c r="G8941" s="8"/>
      <c r="J8941" s="8"/>
    </row>
    <row r="8942">
      <c r="C8942" s="15"/>
      <c r="E8942" s="8"/>
      <c r="G8942" s="8"/>
      <c r="J8942" s="8"/>
    </row>
    <row r="8943">
      <c r="C8943" s="15"/>
      <c r="E8943" s="8"/>
      <c r="G8943" s="8"/>
      <c r="J8943" s="8"/>
    </row>
    <row r="8944">
      <c r="C8944" s="15"/>
      <c r="E8944" s="8"/>
      <c r="G8944" s="8"/>
      <c r="J8944" s="8"/>
    </row>
    <row r="8945">
      <c r="C8945" s="15"/>
      <c r="E8945" s="8"/>
      <c r="G8945" s="8"/>
      <c r="J8945" s="8"/>
    </row>
    <row r="8946">
      <c r="C8946" s="15"/>
      <c r="E8946" s="8"/>
      <c r="G8946" s="8"/>
      <c r="J8946" s="8"/>
    </row>
    <row r="8947">
      <c r="C8947" s="15"/>
      <c r="E8947" s="8"/>
      <c r="G8947" s="8"/>
      <c r="J8947" s="8"/>
    </row>
    <row r="8948">
      <c r="C8948" s="15"/>
      <c r="E8948" s="8"/>
      <c r="G8948" s="8"/>
      <c r="J8948" s="8"/>
    </row>
    <row r="8949">
      <c r="C8949" s="15"/>
      <c r="E8949" s="8"/>
      <c r="G8949" s="8"/>
      <c r="J8949" s="8"/>
    </row>
    <row r="8950">
      <c r="C8950" s="15"/>
      <c r="E8950" s="8"/>
      <c r="G8950" s="8"/>
      <c r="J8950" s="8"/>
    </row>
    <row r="8951">
      <c r="C8951" s="15"/>
      <c r="E8951" s="8"/>
      <c r="G8951" s="8"/>
      <c r="J8951" s="8"/>
    </row>
    <row r="8952">
      <c r="C8952" s="15"/>
      <c r="E8952" s="8"/>
      <c r="G8952" s="8"/>
      <c r="J8952" s="8"/>
    </row>
    <row r="8953">
      <c r="C8953" s="15"/>
      <c r="E8953" s="8"/>
      <c r="G8953" s="8"/>
      <c r="J8953" s="8"/>
    </row>
    <row r="8954">
      <c r="C8954" s="15"/>
      <c r="E8954" s="8"/>
      <c r="G8954" s="8"/>
      <c r="J8954" s="8"/>
    </row>
    <row r="8955">
      <c r="C8955" s="15"/>
      <c r="E8955" s="8"/>
      <c r="G8955" s="8"/>
      <c r="J8955" s="8"/>
    </row>
    <row r="8956">
      <c r="C8956" s="15"/>
      <c r="E8956" s="8"/>
      <c r="G8956" s="8"/>
      <c r="J8956" s="8"/>
    </row>
    <row r="8957">
      <c r="C8957" s="15"/>
      <c r="E8957" s="8"/>
      <c r="G8957" s="8"/>
      <c r="J8957" s="8"/>
    </row>
    <row r="8958">
      <c r="C8958" s="15"/>
      <c r="E8958" s="8"/>
      <c r="G8958" s="8"/>
      <c r="J8958" s="8"/>
    </row>
    <row r="8959">
      <c r="C8959" s="15"/>
      <c r="E8959" s="8"/>
      <c r="G8959" s="8"/>
      <c r="J8959" s="8"/>
    </row>
    <row r="8960">
      <c r="C8960" s="15"/>
      <c r="E8960" s="8"/>
      <c r="G8960" s="8"/>
      <c r="J8960" s="8"/>
    </row>
    <row r="8961">
      <c r="C8961" s="15"/>
      <c r="E8961" s="8"/>
      <c r="G8961" s="8"/>
      <c r="J8961" s="8"/>
    </row>
    <row r="8962">
      <c r="C8962" s="15"/>
      <c r="E8962" s="8"/>
      <c r="G8962" s="8"/>
      <c r="J8962" s="8"/>
    </row>
    <row r="8963">
      <c r="C8963" s="15"/>
      <c r="E8963" s="8"/>
      <c r="G8963" s="8"/>
      <c r="J8963" s="8"/>
    </row>
    <row r="8964">
      <c r="C8964" s="15"/>
      <c r="E8964" s="8"/>
      <c r="G8964" s="8"/>
      <c r="J8964" s="8"/>
    </row>
    <row r="8965">
      <c r="C8965" s="15"/>
      <c r="E8965" s="8"/>
      <c r="G8965" s="8"/>
      <c r="J8965" s="8"/>
    </row>
    <row r="8966">
      <c r="C8966" s="15"/>
      <c r="E8966" s="8"/>
      <c r="G8966" s="8"/>
      <c r="J8966" s="8"/>
    </row>
    <row r="8967">
      <c r="C8967" s="15"/>
      <c r="E8967" s="8"/>
      <c r="G8967" s="8"/>
      <c r="J8967" s="8"/>
    </row>
    <row r="8968">
      <c r="C8968" s="15"/>
      <c r="E8968" s="8"/>
      <c r="G8968" s="8"/>
      <c r="J8968" s="8"/>
    </row>
    <row r="8969">
      <c r="C8969" s="15"/>
      <c r="E8969" s="8"/>
      <c r="G8969" s="8"/>
      <c r="J8969" s="8"/>
    </row>
    <row r="8970">
      <c r="C8970" s="15"/>
      <c r="E8970" s="8"/>
      <c r="G8970" s="8"/>
      <c r="J8970" s="8"/>
    </row>
    <row r="8971">
      <c r="C8971" s="15"/>
      <c r="E8971" s="8"/>
      <c r="G8971" s="8"/>
      <c r="J8971" s="8"/>
    </row>
    <row r="8972">
      <c r="C8972" s="15"/>
      <c r="E8972" s="8"/>
      <c r="G8972" s="8"/>
      <c r="J8972" s="8"/>
    </row>
    <row r="8973">
      <c r="C8973" s="15"/>
      <c r="E8973" s="8"/>
      <c r="G8973" s="8"/>
      <c r="J8973" s="8"/>
    </row>
    <row r="8974">
      <c r="C8974" s="15"/>
      <c r="E8974" s="8"/>
      <c r="G8974" s="8"/>
      <c r="J8974" s="8"/>
    </row>
    <row r="8975">
      <c r="C8975" s="15"/>
      <c r="E8975" s="8"/>
      <c r="G8975" s="8"/>
      <c r="J8975" s="8"/>
    </row>
    <row r="8976">
      <c r="C8976" s="15"/>
      <c r="E8976" s="8"/>
      <c r="G8976" s="8"/>
      <c r="J8976" s="8"/>
    </row>
    <row r="8977">
      <c r="C8977" s="15"/>
      <c r="E8977" s="8"/>
      <c r="G8977" s="8"/>
      <c r="J8977" s="8"/>
    </row>
    <row r="8978">
      <c r="C8978" s="15"/>
      <c r="E8978" s="8"/>
      <c r="G8978" s="8"/>
      <c r="J8978" s="8"/>
    </row>
    <row r="8979">
      <c r="C8979" s="15"/>
      <c r="E8979" s="8"/>
      <c r="G8979" s="8"/>
      <c r="J8979" s="8"/>
    </row>
    <row r="8980">
      <c r="C8980" s="15"/>
      <c r="E8980" s="8"/>
      <c r="G8980" s="8"/>
      <c r="J8980" s="8"/>
    </row>
    <row r="8981">
      <c r="C8981" s="15"/>
      <c r="E8981" s="8"/>
      <c r="G8981" s="8"/>
      <c r="J8981" s="8"/>
    </row>
    <row r="8982">
      <c r="C8982" s="15"/>
      <c r="E8982" s="8"/>
      <c r="G8982" s="8"/>
      <c r="J8982" s="8"/>
    </row>
    <row r="8983">
      <c r="C8983" s="15"/>
      <c r="E8983" s="8"/>
      <c r="G8983" s="8"/>
      <c r="J8983" s="8"/>
    </row>
    <row r="8984">
      <c r="C8984" s="15"/>
      <c r="E8984" s="8"/>
      <c r="G8984" s="8"/>
      <c r="J8984" s="8"/>
    </row>
    <row r="8985">
      <c r="C8985" s="15"/>
      <c r="E8985" s="8"/>
      <c r="G8985" s="8"/>
      <c r="J8985" s="8"/>
    </row>
    <row r="8986">
      <c r="C8986" s="15"/>
      <c r="E8986" s="8"/>
      <c r="G8986" s="8"/>
      <c r="J8986" s="8"/>
    </row>
    <row r="8987">
      <c r="C8987" s="15"/>
      <c r="E8987" s="8"/>
      <c r="G8987" s="8"/>
      <c r="J8987" s="8"/>
    </row>
    <row r="8988">
      <c r="C8988" s="15"/>
      <c r="E8988" s="8"/>
      <c r="G8988" s="8"/>
      <c r="J8988" s="8"/>
    </row>
    <row r="8989">
      <c r="C8989" s="15"/>
      <c r="E8989" s="8"/>
      <c r="G8989" s="8"/>
      <c r="J8989" s="8"/>
    </row>
    <row r="8990">
      <c r="C8990" s="15"/>
      <c r="E8990" s="8"/>
      <c r="G8990" s="8"/>
      <c r="J8990" s="8"/>
    </row>
    <row r="8991">
      <c r="C8991" s="15"/>
      <c r="E8991" s="8"/>
      <c r="G8991" s="8"/>
      <c r="J8991" s="8"/>
    </row>
    <row r="8992">
      <c r="C8992" s="15"/>
      <c r="E8992" s="8"/>
      <c r="G8992" s="8"/>
      <c r="J8992" s="8"/>
    </row>
    <row r="8993">
      <c r="C8993" s="15"/>
      <c r="E8993" s="8"/>
      <c r="G8993" s="8"/>
      <c r="J8993" s="8"/>
    </row>
    <row r="8994">
      <c r="C8994" s="15"/>
      <c r="E8994" s="8"/>
      <c r="G8994" s="8"/>
      <c r="J8994" s="8"/>
    </row>
    <row r="8995">
      <c r="C8995" s="15"/>
      <c r="E8995" s="8"/>
      <c r="G8995" s="8"/>
      <c r="J8995" s="8"/>
    </row>
    <row r="8996">
      <c r="C8996" s="15"/>
      <c r="E8996" s="8"/>
      <c r="G8996" s="8"/>
      <c r="J8996" s="8"/>
    </row>
    <row r="8997">
      <c r="C8997" s="15"/>
      <c r="E8997" s="8"/>
      <c r="G8997" s="8"/>
      <c r="J8997" s="8"/>
    </row>
    <row r="8998">
      <c r="C8998" s="15"/>
      <c r="E8998" s="8"/>
      <c r="G8998" s="8"/>
      <c r="J8998" s="8"/>
    </row>
    <row r="8999">
      <c r="C8999" s="15"/>
      <c r="E8999" s="8"/>
      <c r="G8999" s="8"/>
      <c r="J8999" s="8"/>
    </row>
    <row r="9000">
      <c r="C9000" s="15"/>
      <c r="E9000" s="8"/>
      <c r="G9000" s="8"/>
      <c r="J9000" s="8"/>
    </row>
    <row r="9001">
      <c r="C9001" s="15"/>
      <c r="E9001" s="8"/>
      <c r="G9001" s="8"/>
      <c r="J9001" s="8"/>
    </row>
    <row r="9002">
      <c r="C9002" s="15"/>
      <c r="E9002" s="8"/>
      <c r="G9002" s="8"/>
      <c r="J9002" s="8"/>
    </row>
    <row r="9003">
      <c r="C9003" s="15"/>
      <c r="E9003" s="8"/>
      <c r="G9003" s="8"/>
      <c r="J9003" s="8"/>
    </row>
    <row r="9004">
      <c r="C9004" s="15"/>
      <c r="E9004" s="8"/>
      <c r="G9004" s="8"/>
      <c r="J9004" s="8"/>
    </row>
    <row r="9005">
      <c r="C9005" s="15"/>
      <c r="E9005" s="8"/>
      <c r="G9005" s="8"/>
      <c r="J9005" s="8"/>
    </row>
    <row r="9006">
      <c r="C9006" s="15"/>
      <c r="E9006" s="8"/>
      <c r="G9006" s="8"/>
      <c r="J9006" s="8"/>
    </row>
    <row r="9007">
      <c r="C9007" s="15"/>
      <c r="E9007" s="8"/>
      <c r="G9007" s="8"/>
      <c r="J9007" s="8"/>
    </row>
    <row r="9008">
      <c r="C9008" s="15"/>
      <c r="E9008" s="8"/>
      <c r="G9008" s="8"/>
      <c r="J9008" s="8"/>
    </row>
    <row r="9009">
      <c r="C9009" s="15"/>
      <c r="E9009" s="8"/>
      <c r="G9009" s="8"/>
      <c r="J9009" s="8"/>
    </row>
    <row r="9010">
      <c r="C9010" s="15"/>
      <c r="E9010" s="8"/>
      <c r="G9010" s="8"/>
      <c r="J9010" s="8"/>
    </row>
    <row r="9011">
      <c r="C9011" s="15"/>
      <c r="E9011" s="8"/>
      <c r="G9011" s="8"/>
      <c r="J9011" s="8"/>
    </row>
    <row r="9012">
      <c r="C9012" s="15"/>
      <c r="E9012" s="8"/>
      <c r="G9012" s="8"/>
      <c r="J9012" s="8"/>
    </row>
    <row r="9013">
      <c r="C9013" s="15"/>
      <c r="E9013" s="8"/>
      <c r="G9013" s="8"/>
      <c r="J9013" s="8"/>
    </row>
    <row r="9014">
      <c r="C9014" s="15"/>
      <c r="E9014" s="8"/>
      <c r="G9014" s="8"/>
      <c r="J9014" s="8"/>
    </row>
    <row r="9015">
      <c r="C9015" s="15"/>
      <c r="E9015" s="8"/>
      <c r="G9015" s="8"/>
      <c r="J9015" s="8"/>
    </row>
    <row r="9016">
      <c r="C9016" s="15"/>
      <c r="E9016" s="8"/>
      <c r="G9016" s="8"/>
      <c r="J9016" s="8"/>
    </row>
    <row r="9017">
      <c r="C9017" s="15"/>
      <c r="E9017" s="8"/>
      <c r="G9017" s="8"/>
      <c r="J9017" s="8"/>
    </row>
    <row r="9018">
      <c r="C9018" s="15"/>
      <c r="E9018" s="8"/>
      <c r="G9018" s="8"/>
      <c r="J9018" s="8"/>
    </row>
    <row r="9019">
      <c r="C9019" s="15"/>
      <c r="E9019" s="8"/>
      <c r="G9019" s="8"/>
      <c r="J9019" s="8"/>
    </row>
    <row r="9020">
      <c r="C9020" s="15"/>
      <c r="E9020" s="8"/>
      <c r="G9020" s="8"/>
      <c r="J9020" s="8"/>
    </row>
    <row r="9021">
      <c r="C9021" s="15"/>
      <c r="E9021" s="8"/>
      <c r="G9021" s="8"/>
      <c r="J9021" s="8"/>
    </row>
    <row r="9022">
      <c r="C9022" s="15"/>
      <c r="E9022" s="8"/>
      <c r="G9022" s="8"/>
      <c r="J9022" s="8"/>
    </row>
    <row r="9023">
      <c r="C9023" s="15"/>
      <c r="E9023" s="8"/>
      <c r="G9023" s="8"/>
      <c r="J9023" s="8"/>
    </row>
    <row r="9024">
      <c r="C9024" s="15"/>
      <c r="E9024" s="8"/>
      <c r="G9024" s="8"/>
      <c r="J9024" s="8"/>
    </row>
    <row r="9025">
      <c r="C9025" s="15"/>
      <c r="E9025" s="8"/>
      <c r="G9025" s="8"/>
      <c r="J9025" s="8"/>
    </row>
    <row r="9026">
      <c r="C9026" s="15"/>
      <c r="E9026" s="8"/>
      <c r="G9026" s="8"/>
      <c r="J9026" s="8"/>
    </row>
    <row r="9027">
      <c r="C9027" s="15"/>
      <c r="E9027" s="8"/>
      <c r="G9027" s="8"/>
      <c r="J9027" s="8"/>
    </row>
    <row r="9028">
      <c r="C9028" s="15"/>
      <c r="E9028" s="8"/>
      <c r="G9028" s="8"/>
      <c r="J9028" s="8"/>
    </row>
    <row r="9029">
      <c r="C9029" s="15"/>
      <c r="E9029" s="8"/>
      <c r="G9029" s="8"/>
      <c r="J9029" s="8"/>
    </row>
    <row r="9030">
      <c r="C9030" s="15"/>
      <c r="E9030" s="8"/>
      <c r="G9030" s="8"/>
      <c r="J9030" s="8"/>
    </row>
    <row r="9031">
      <c r="C9031" s="15"/>
      <c r="E9031" s="8"/>
      <c r="G9031" s="8"/>
      <c r="J9031" s="8"/>
    </row>
    <row r="9032">
      <c r="C9032" s="15"/>
      <c r="E9032" s="8"/>
      <c r="G9032" s="8"/>
      <c r="J9032" s="8"/>
    </row>
    <row r="9033">
      <c r="C9033" s="15"/>
      <c r="E9033" s="8"/>
      <c r="G9033" s="8"/>
      <c r="J9033" s="8"/>
    </row>
    <row r="9034">
      <c r="C9034" s="15"/>
      <c r="E9034" s="8"/>
      <c r="G9034" s="8"/>
      <c r="J9034" s="8"/>
    </row>
    <row r="9035">
      <c r="C9035" s="15"/>
      <c r="E9035" s="8"/>
      <c r="G9035" s="8"/>
      <c r="J9035" s="8"/>
    </row>
    <row r="9036">
      <c r="C9036" s="15"/>
      <c r="E9036" s="8"/>
      <c r="G9036" s="8"/>
      <c r="J9036" s="8"/>
    </row>
    <row r="9037">
      <c r="C9037" s="15"/>
      <c r="E9037" s="8"/>
      <c r="G9037" s="8"/>
      <c r="J9037" s="8"/>
    </row>
    <row r="9038">
      <c r="C9038" s="15"/>
      <c r="E9038" s="8"/>
      <c r="G9038" s="8"/>
      <c r="J9038" s="8"/>
    </row>
    <row r="9039">
      <c r="C9039" s="15"/>
      <c r="E9039" s="8"/>
      <c r="G9039" s="8"/>
      <c r="J9039" s="8"/>
    </row>
    <row r="9040">
      <c r="C9040" s="15"/>
      <c r="E9040" s="8"/>
      <c r="G9040" s="8"/>
      <c r="J9040" s="8"/>
    </row>
    <row r="9041">
      <c r="C9041" s="15"/>
      <c r="E9041" s="8"/>
      <c r="G9041" s="8"/>
      <c r="J9041" s="8"/>
    </row>
    <row r="9042">
      <c r="C9042" s="15"/>
      <c r="E9042" s="8"/>
      <c r="G9042" s="8"/>
      <c r="J9042" s="8"/>
    </row>
    <row r="9043">
      <c r="C9043" s="15"/>
      <c r="E9043" s="8"/>
      <c r="G9043" s="8"/>
      <c r="J9043" s="8"/>
    </row>
    <row r="9044">
      <c r="C9044" s="15"/>
      <c r="E9044" s="8"/>
      <c r="G9044" s="8"/>
      <c r="J9044" s="8"/>
    </row>
    <row r="9045">
      <c r="C9045" s="15"/>
      <c r="E9045" s="8"/>
      <c r="G9045" s="8"/>
      <c r="J9045" s="8"/>
    </row>
    <row r="9046">
      <c r="C9046" s="15"/>
      <c r="E9046" s="8"/>
      <c r="G9046" s="8"/>
      <c r="J9046" s="8"/>
    </row>
    <row r="9047">
      <c r="C9047" s="15"/>
      <c r="E9047" s="8"/>
      <c r="G9047" s="8"/>
      <c r="J9047" s="8"/>
    </row>
    <row r="9048">
      <c r="C9048" s="15"/>
      <c r="E9048" s="8"/>
      <c r="G9048" s="8"/>
      <c r="J9048" s="8"/>
    </row>
    <row r="9049">
      <c r="C9049" s="15"/>
      <c r="E9049" s="8"/>
      <c r="G9049" s="8"/>
      <c r="J9049" s="8"/>
    </row>
    <row r="9050">
      <c r="C9050" s="15"/>
      <c r="E9050" s="8"/>
      <c r="G9050" s="8"/>
      <c r="J9050" s="8"/>
    </row>
    <row r="9051">
      <c r="C9051" s="15"/>
      <c r="E9051" s="8"/>
      <c r="G9051" s="8"/>
      <c r="J9051" s="8"/>
    </row>
    <row r="9052">
      <c r="C9052" s="15"/>
      <c r="E9052" s="8"/>
      <c r="G9052" s="8"/>
      <c r="J9052" s="8"/>
    </row>
    <row r="9053">
      <c r="C9053" s="15"/>
      <c r="E9053" s="8"/>
      <c r="G9053" s="8"/>
      <c r="J9053" s="8"/>
    </row>
    <row r="9054">
      <c r="C9054" s="15"/>
      <c r="E9054" s="8"/>
      <c r="G9054" s="8"/>
      <c r="J9054" s="8"/>
    </row>
    <row r="9055">
      <c r="C9055" s="15"/>
      <c r="E9055" s="8"/>
      <c r="G9055" s="8"/>
      <c r="J9055" s="8"/>
    </row>
    <row r="9056">
      <c r="C9056" s="15"/>
      <c r="E9056" s="8"/>
      <c r="G9056" s="8"/>
      <c r="J9056" s="8"/>
    </row>
    <row r="9057">
      <c r="C9057" s="15"/>
      <c r="E9057" s="8"/>
      <c r="G9057" s="8"/>
      <c r="J9057" s="8"/>
    </row>
    <row r="9058">
      <c r="C9058" s="15"/>
      <c r="E9058" s="8"/>
      <c r="G9058" s="8"/>
      <c r="J9058" s="8"/>
    </row>
    <row r="9059">
      <c r="C9059" s="15"/>
      <c r="E9059" s="8"/>
      <c r="G9059" s="8"/>
      <c r="J9059" s="8"/>
    </row>
    <row r="9060">
      <c r="C9060" s="15"/>
      <c r="E9060" s="8"/>
      <c r="G9060" s="8"/>
      <c r="J9060" s="8"/>
    </row>
    <row r="9061">
      <c r="C9061" s="15"/>
      <c r="E9061" s="8"/>
      <c r="G9061" s="8"/>
      <c r="J9061" s="8"/>
    </row>
    <row r="9062">
      <c r="C9062" s="15"/>
      <c r="E9062" s="8"/>
      <c r="G9062" s="8"/>
      <c r="J9062" s="8"/>
    </row>
    <row r="9063">
      <c r="C9063" s="15"/>
      <c r="E9063" s="8"/>
      <c r="G9063" s="8"/>
      <c r="J9063" s="8"/>
    </row>
    <row r="9064">
      <c r="C9064" s="15"/>
      <c r="E9064" s="8"/>
      <c r="G9064" s="8"/>
      <c r="J9064" s="8"/>
    </row>
    <row r="9065">
      <c r="C9065" s="15"/>
      <c r="E9065" s="8"/>
      <c r="G9065" s="8"/>
      <c r="J9065" s="8"/>
    </row>
    <row r="9066">
      <c r="C9066" s="15"/>
      <c r="E9066" s="8"/>
      <c r="G9066" s="8"/>
      <c r="J9066" s="8"/>
    </row>
    <row r="9067">
      <c r="C9067" s="15"/>
      <c r="E9067" s="8"/>
      <c r="G9067" s="8"/>
      <c r="J9067" s="8"/>
    </row>
    <row r="9068">
      <c r="C9068" s="15"/>
      <c r="E9068" s="8"/>
      <c r="G9068" s="8"/>
      <c r="J9068" s="8"/>
    </row>
    <row r="9069">
      <c r="C9069" s="15"/>
      <c r="E9069" s="8"/>
      <c r="G9069" s="8"/>
      <c r="J9069" s="8"/>
    </row>
    <row r="9070">
      <c r="C9070" s="15"/>
      <c r="E9070" s="8"/>
      <c r="G9070" s="8"/>
      <c r="J9070" s="8"/>
    </row>
    <row r="9071">
      <c r="C9071" s="15"/>
      <c r="E9071" s="8"/>
      <c r="G9071" s="8"/>
      <c r="J9071" s="8"/>
    </row>
    <row r="9072">
      <c r="C9072" s="15"/>
      <c r="E9072" s="8"/>
      <c r="G9072" s="8"/>
      <c r="J9072" s="8"/>
    </row>
    <row r="9073">
      <c r="C9073" s="15"/>
      <c r="E9073" s="8"/>
      <c r="G9073" s="8"/>
      <c r="J9073" s="8"/>
    </row>
    <row r="9074">
      <c r="C9074" s="15"/>
      <c r="E9074" s="8"/>
      <c r="G9074" s="8"/>
      <c r="J9074" s="8"/>
    </row>
    <row r="9075">
      <c r="C9075" s="15"/>
      <c r="E9075" s="8"/>
      <c r="G9075" s="8"/>
      <c r="J9075" s="8"/>
    </row>
    <row r="9076">
      <c r="C9076" s="15"/>
      <c r="E9076" s="8"/>
      <c r="G9076" s="8"/>
      <c r="J9076" s="8"/>
    </row>
    <row r="9077">
      <c r="C9077" s="15"/>
      <c r="E9077" s="8"/>
      <c r="G9077" s="8"/>
      <c r="J9077" s="8"/>
    </row>
    <row r="9078">
      <c r="C9078" s="15"/>
      <c r="E9078" s="8"/>
      <c r="G9078" s="8"/>
      <c r="J9078" s="8"/>
    </row>
    <row r="9079">
      <c r="C9079" s="15"/>
      <c r="E9079" s="8"/>
      <c r="G9079" s="8"/>
      <c r="J9079" s="8"/>
    </row>
    <row r="9080">
      <c r="C9080" s="15"/>
      <c r="E9080" s="8"/>
      <c r="G9080" s="8"/>
      <c r="J9080" s="8"/>
    </row>
    <row r="9081">
      <c r="C9081" s="15"/>
      <c r="E9081" s="8"/>
      <c r="G9081" s="8"/>
      <c r="J9081" s="8"/>
    </row>
    <row r="9082">
      <c r="C9082" s="15"/>
      <c r="E9082" s="8"/>
      <c r="G9082" s="8"/>
      <c r="J9082" s="8"/>
    </row>
    <row r="9083">
      <c r="C9083" s="15"/>
      <c r="E9083" s="8"/>
      <c r="G9083" s="8"/>
      <c r="J9083" s="8"/>
    </row>
    <row r="9084">
      <c r="C9084" s="15"/>
      <c r="E9084" s="8"/>
      <c r="G9084" s="8"/>
      <c r="J9084" s="8"/>
    </row>
    <row r="9085">
      <c r="C9085" s="15"/>
      <c r="E9085" s="8"/>
      <c r="G9085" s="8"/>
      <c r="J9085" s="8"/>
    </row>
    <row r="9086">
      <c r="C9086" s="15"/>
      <c r="E9086" s="8"/>
      <c r="G9086" s="8"/>
      <c r="J9086" s="8"/>
    </row>
    <row r="9087">
      <c r="C9087" s="15"/>
      <c r="E9087" s="8"/>
      <c r="G9087" s="8"/>
      <c r="J9087" s="8"/>
    </row>
    <row r="9088">
      <c r="C9088" s="15"/>
      <c r="E9088" s="8"/>
      <c r="G9088" s="8"/>
      <c r="J9088" s="8"/>
    </row>
    <row r="9089">
      <c r="C9089" s="15"/>
      <c r="E9089" s="8"/>
      <c r="G9089" s="8"/>
      <c r="J9089" s="8"/>
    </row>
    <row r="9090">
      <c r="C9090" s="15"/>
      <c r="E9090" s="8"/>
      <c r="G9090" s="8"/>
      <c r="J9090" s="8"/>
    </row>
    <row r="9091">
      <c r="C9091" s="15"/>
      <c r="E9091" s="8"/>
      <c r="G9091" s="8"/>
      <c r="J9091" s="8"/>
    </row>
    <row r="9092">
      <c r="C9092" s="15"/>
      <c r="E9092" s="8"/>
      <c r="G9092" s="8"/>
      <c r="J9092" s="8"/>
    </row>
    <row r="9093">
      <c r="C9093" s="15"/>
      <c r="E9093" s="8"/>
      <c r="G9093" s="8"/>
      <c r="J9093" s="8"/>
    </row>
    <row r="9094">
      <c r="C9094" s="15"/>
      <c r="E9094" s="8"/>
      <c r="G9094" s="8"/>
      <c r="J9094" s="8"/>
    </row>
    <row r="9095">
      <c r="C9095" s="15"/>
      <c r="E9095" s="8"/>
      <c r="G9095" s="8"/>
      <c r="J9095" s="8"/>
    </row>
    <row r="9096">
      <c r="C9096" s="15"/>
      <c r="E9096" s="8"/>
      <c r="G9096" s="8"/>
      <c r="J9096" s="8"/>
    </row>
    <row r="9097">
      <c r="C9097" s="15"/>
      <c r="E9097" s="8"/>
      <c r="G9097" s="8"/>
      <c r="J9097" s="8"/>
    </row>
    <row r="9098">
      <c r="C9098" s="15"/>
      <c r="E9098" s="8"/>
      <c r="G9098" s="8"/>
      <c r="J9098" s="8"/>
    </row>
    <row r="9099">
      <c r="C9099" s="15"/>
      <c r="E9099" s="8"/>
      <c r="G9099" s="8"/>
      <c r="J9099" s="8"/>
    </row>
    <row r="9100">
      <c r="C9100" s="15"/>
      <c r="E9100" s="8"/>
      <c r="G9100" s="8"/>
      <c r="J9100" s="8"/>
    </row>
    <row r="9101">
      <c r="C9101" s="15"/>
      <c r="E9101" s="8"/>
      <c r="G9101" s="8"/>
      <c r="J9101" s="8"/>
    </row>
    <row r="9102">
      <c r="C9102" s="15"/>
      <c r="E9102" s="8"/>
      <c r="G9102" s="8"/>
      <c r="J9102" s="8"/>
    </row>
    <row r="9103">
      <c r="C9103" s="15"/>
      <c r="E9103" s="8"/>
      <c r="G9103" s="8"/>
      <c r="J9103" s="8"/>
    </row>
    <row r="9104">
      <c r="C9104" s="15"/>
      <c r="E9104" s="8"/>
      <c r="G9104" s="8"/>
      <c r="J9104" s="8"/>
    </row>
    <row r="9105">
      <c r="C9105" s="15"/>
      <c r="E9105" s="8"/>
      <c r="G9105" s="8"/>
      <c r="J9105" s="8"/>
    </row>
    <row r="9106">
      <c r="C9106" s="15"/>
      <c r="E9106" s="8"/>
      <c r="G9106" s="8"/>
      <c r="J9106" s="8"/>
    </row>
    <row r="9107">
      <c r="C9107" s="15"/>
      <c r="E9107" s="8"/>
      <c r="G9107" s="8"/>
      <c r="J9107" s="8"/>
    </row>
    <row r="9108">
      <c r="C9108" s="15"/>
      <c r="E9108" s="8"/>
      <c r="G9108" s="8"/>
      <c r="J9108" s="8"/>
    </row>
    <row r="9109">
      <c r="C9109" s="15"/>
      <c r="E9109" s="8"/>
      <c r="G9109" s="8"/>
      <c r="J9109" s="8"/>
    </row>
    <row r="9110">
      <c r="C9110" s="15"/>
      <c r="E9110" s="8"/>
      <c r="G9110" s="8"/>
      <c r="J9110" s="8"/>
    </row>
    <row r="9111">
      <c r="C9111" s="15"/>
      <c r="E9111" s="8"/>
      <c r="G9111" s="8"/>
      <c r="J9111" s="8"/>
    </row>
    <row r="9112">
      <c r="C9112" s="15"/>
      <c r="E9112" s="8"/>
      <c r="G9112" s="8"/>
      <c r="J9112" s="8"/>
    </row>
    <row r="9113">
      <c r="C9113" s="15"/>
      <c r="E9113" s="8"/>
      <c r="G9113" s="8"/>
      <c r="J9113" s="8"/>
    </row>
    <row r="9114">
      <c r="C9114" s="15"/>
      <c r="E9114" s="8"/>
      <c r="G9114" s="8"/>
      <c r="J9114" s="8"/>
    </row>
    <row r="9115">
      <c r="C9115" s="15"/>
      <c r="E9115" s="8"/>
      <c r="G9115" s="8"/>
      <c r="J9115" s="8"/>
    </row>
    <row r="9116">
      <c r="C9116" s="15"/>
      <c r="E9116" s="8"/>
      <c r="G9116" s="8"/>
      <c r="J9116" s="8"/>
    </row>
    <row r="9117">
      <c r="C9117" s="15"/>
      <c r="E9117" s="8"/>
      <c r="G9117" s="8"/>
      <c r="J9117" s="8"/>
    </row>
    <row r="9118">
      <c r="C9118" s="15"/>
      <c r="E9118" s="8"/>
      <c r="G9118" s="8"/>
      <c r="J9118" s="8"/>
    </row>
    <row r="9119">
      <c r="C9119" s="15"/>
      <c r="E9119" s="8"/>
      <c r="G9119" s="8"/>
      <c r="J9119" s="8"/>
    </row>
    <row r="9120">
      <c r="C9120" s="15"/>
      <c r="E9120" s="8"/>
      <c r="G9120" s="8"/>
      <c r="J9120" s="8"/>
    </row>
    <row r="9121">
      <c r="C9121" s="15"/>
      <c r="E9121" s="8"/>
      <c r="G9121" s="8"/>
      <c r="J9121" s="8"/>
    </row>
    <row r="9122">
      <c r="C9122" s="15"/>
      <c r="E9122" s="8"/>
      <c r="G9122" s="8"/>
      <c r="J9122" s="8"/>
    </row>
    <row r="9123">
      <c r="C9123" s="15"/>
      <c r="E9123" s="8"/>
      <c r="G9123" s="8"/>
      <c r="J9123" s="8"/>
    </row>
    <row r="9124">
      <c r="C9124" s="15"/>
      <c r="E9124" s="8"/>
      <c r="G9124" s="8"/>
      <c r="J9124" s="8"/>
    </row>
    <row r="9125">
      <c r="C9125" s="15"/>
      <c r="E9125" s="8"/>
      <c r="G9125" s="8"/>
      <c r="J9125" s="8"/>
    </row>
    <row r="9126">
      <c r="C9126" s="15"/>
      <c r="E9126" s="8"/>
      <c r="G9126" s="8"/>
      <c r="J9126" s="8"/>
    </row>
    <row r="9127">
      <c r="C9127" s="15"/>
      <c r="E9127" s="8"/>
      <c r="G9127" s="8"/>
      <c r="J9127" s="8"/>
    </row>
    <row r="9128">
      <c r="C9128" s="15"/>
      <c r="E9128" s="8"/>
      <c r="G9128" s="8"/>
      <c r="J9128" s="8"/>
    </row>
    <row r="9129">
      <c r="C9129" s="15"/>
      <c r="E9129" s="8"/>
      <c r="G9129" s="8"/>
      <c r="J9129" s="8"/>
    </row>
    <row r="9130">
      <c r="C9130" s="15"/>
      <c r="E9130" s="8"/>
      <c r="G9130" s="8"/>
      <c r="J9130" s="8"/>
    </row>
    <row r="9131">
      <c r="C9131" s="15"/>
      <c r="E9131" s="8"/>
      <c r="G9131" s="8"/>
      <c r="J9131" s="8"/>
    </row>
    <row r="9132">
      <c r="C9132" s="15"/>
      <c r="E9132" s="8"/>
      <c r="G9132" s="8"/>
      <c r="J9132" s="8"/>
    </row>
    <row r="9133">
      <c r="C9133" s="15"/>
      <c r="E9133" s="8"/>
      <c r="G9133" s="8"/>
      <c r="J9133" s="8"/>
    </row>
    <row r="9134">
      <c r="C9134" s="15"/>
      <c r="E9134" s="8"/>
      <c r="G9134" s="8"/>
      <c r="J9134" s="8"/>
    </row>
    <row r="9135">
      <c r="C9135" s="15"/>
      <c r="E9135" s="8"/>
      <c r="G9135" s="8"/>
      <c r="J9135" s="8"/>
    </row>
    <row r="9136">
      <c r="C9136" s="15"/>
      <c r="E9136" s="8"/>
      <c r="G9136" s="8"/>
      <c r="J9136" s="8"/>
    </row>
    <row r="9137">
      <c r="C9137" s="15"/>
      <c r="E9137" s="8"/>
      <c r="G9137" s="8"/>
      <c r="J9137" s="8"/>
    </row>
    <row r="9138">
      <c r="C9138" s="15"/>
      <c r="E9138" s="8"/>
      <c r="G9138" s="8"/>
      <c r="J9138" s="8"/>
    </row>
    <row r="9139">
      <c r="C9139" s="15"/>
      <c r="E9139" s="8"/>
      <c r="G9139" s="8"/>
      <c r="J9139" s="8"/>
    </row>
    <row r="9140">
      <c r="C9140" s="15"/>
      <c r="E9140" s="8"/>
      <c r="G9140" s="8"/>
      <c r="J9140" s="8"/>
    </row>
    <row r="9141">
      <c r="C9141" s="15"/>
      <c r="E9141" s="8"/>
      <c r="G9141" s="8"/>
      <c r="J9141" s="8"/>
    </row>
    <row r="9142">
      <c r="C9142" s="15"/>
      <c r="E9142" s="8"/>
      <c r="G9142" s="8"/>
      <c r="J9142" s="8"/>
    </row>
    <row r="9143">
      <c r="C9143" s="15"/>
      <c r="E9143" s="8"/>
      <c r="G9143" s="8"/>
      <c r="J9143" s="8"/>
    </row>
    <row r="9144">
      <c r="C9144" s="15"/>
      <c r="E9144" s="8"/>
      <c r="G9144" s="8"/>
      <c r="J9144" s="8"/>
    </row>
    <row r="9145">
      <c r="C9145" s="15"/>
      <c r="E9145" s="8"/>
      <c r="G9145" s="8"/>
      <c r="J9145" s="8"/>
    </row>
    <row r="9146">
      <c r="C9146" s="15"/>
      <c r="E9146" s="8"/>
      <c r="G9146" s="8"/>
      <c r="J9146" s="8"/>
    </row>
    <row r="9147">
      <c r="C9147" s="15"/>
      <c r="E9147" s="8"/>
      <c r="G9147" s="8"/>
      <c r="J9147" s="8"/>
    </row>
    <row r="9148">
      <c r="C9148" s="15"/>
      <c r="E9148" s="8"/>
      <c r="G9148" s="8"/>
      <c r="J9148" s="8"/>
    </row>
    <row r="9149">
      <c r="C9149" s="15"/>
      <c r="E9149" s="8"/>
      <c r="G9149" s="8"/>
      <c r="J9149" s="8"/>
    </row>
    <row r="9150">
      <c r="C9150" s="15"/>
      <c r="E9150" s="8"/>
      <c r="G9150" s="8"/>
      <c r="J9150" s="8"/>
    </row>
    <row r="9151">
      <c r="C9151" s="15"/>
      <c r="E9151" s="8"/>
      <c r="G9151" s="8"/>
      <c r="J9151" s="8"/>
    </row>
    <row r="9152">
      <c r="C9152" s="15"/>
      <c r="E9152" s="8"/>
      <c r="G9152" s="8"/>
      <c r="J9152" s="8"/>
    </row>
    <row r="9153">
      <c r="C9153" s="15"/>
      <c r="E9153" s="8"/>
      <c r="G9153" s="8"/>
      <c r="J9153" s="8"/>
    </row>
    <row r="9154">
      <c r="C9154" s="15"/>
      <c r="E9154" s="8"/>
      <c r="G9154" s="8"/>
      <c r="J9154" s="8"/>
    </row>
    <row r="9155">
      <c r="C9155" s="15"/>
      <c r="E9155" s="8"/>
      <c r="G9155" s="8"/>
      <c r="J9155" s="8"/>
    </row>
    <row r="9156">
      <c r="C9156" s="15"/>
      <c r="E9156" s="8"/>
      <c r="G9156" s="8"/>
      <c r="J9156" s="8"/>
    </row>
    <row r="9157">
      <c r="C9157" s="15"/>
      <c r="E9157" s="8"/>
      <c r="G9157" s="8"/>
      <c r="J9157" s="8"/>
    </row>
    <row r="9158">
      <c r="C9158" s="15"/>
      <c r="E9158" s="8"/>
      <c r="G9158" s="8"/>
      <c r="J9158" s="8"/>
    </row>
    <row r="9159">
      <c r="C9159" s="15"/>
      <c r="E9159" s="8"/>
      <c r="G9159" s="8"/>
      <c r="J9159" s="8"/>
    </row>
    <row r="9160">
      <c r="C9160" s="15"/>
      <c r="E9160" s="8"/>
      <c r="G9160" s="8"/>
      <c r="J9160" s="8"/>
    </row>
    <row r="9161">
      <c r="C9161" s="15"/>
      <c r="E9161" s="8"/>
      <c r="G9161" s="8"/>
      <c r="J9161" s="8"/>
    </row>
    <row r="9162">
      <c r="C9162" s="15"/>
      <c r="E9162" s="8"/>
      <c r="G9162" s="8"/>
      <c r="J9162" s="8"/>
    </row>
    <row r="9163">
      <c r="C9163" s="15"/>
      <c r="E9163" s="8"/>
      <c r="G9163" s="8"/>
      <c r="J9163" s="8"/>
    </row>
    <row r="9164">
      <c r="C9164" s="15"/>
      <c r="E9164" s="8"/>
      <c r="G9164" s="8"/>
      <c r="J9164" s="8"/>
    </row>
    <row r="9165">
      <c r="C9165" s="15"/>
      <c r="E9165" s="8"/>
      <c r="G9165" s="8"/>
      <c r="J9165" s="8"/>
    </row>
    <row r="9166">
      <c r="C9166" s="15"/>
      <c r="E9166" s="8"/>
      <c r="G9166" s="8"/>
      <c r="J9166" s="8"/>
    </row>
    <row r="9167">
      <c r="C9167" s="15"/>
      <c r="E9167" s="8"/>
      <c r="G9167" s="8"/>
      <c r="J9167" s="8"/>
    </row>
    <row r="9168">
      <c r="C9168" s="15"/>
      <c r="E9168" s="8"/>
      <c r="G9168" s="8"/>
      <c r="J9168" s="8"/>
    </row>
    <row r="9169">
      <c r="C9169" s="15"/>
      <c r="E9169" s="8"/>
      <c r="G9169" s="8"/>
      <c r="J9169" s="8"/>
    </row>
    <row r="9170">
      <c r="C9170" s="15"/>
      <c r="E9170" s="8"/>
      <c r="G9170" s="8"/>
      <c r="J9170" s="8"/>
    </row>
    <row r="9171">
      <c r="C9171" s="15"/>
      <c r="E9171" s="8"/>
      <c r="G9171" s="8"/>
      <c r="J9171" s="8"/>
    </row>
    <row r="9172">
      <c r="C9172" s="15"/>
      <c r="E9172" s="8"/>
      <c r="G9172" s="8"/>
      <c r="J9172" s="8"/>
    </row>
    <row r="9173">
      <c r="C9173" s="15"/>
      <c r="E9173" s="8"/>
      <c r="G9173" s="8"/>
      <c r="J9173" s="8"/>
    </row>
    <row r="9174">
      <c r="C9174" s="15"/>
      <c r="E9174" s="8"/>
      <c r="G9174" s="8"/>
      <c r="J9174" s="8"/>
    </row>
    <row r="9175">
      <c r="C9175" s="15"/>
      <c r="E9175" s="8"/>
      <c r="G9175" s="8"/>
      <c r="J9175" s="8"/>
    </row>
    <row r="9176">
      <c r="C9176" s="15"/>
      <c r="E9176" s="8"/>
      <c r="G9176" s="8"/>
      <c r="J9176" s="8"/>
    </row>
    <row r="9177">
      <c r="C9177" s="15"/>
      <c r="E9177" s="8"/>
      <c r="G9177" s="8"/>
      <c r="J9177" s="8"/>
    </row>
    <row r="9178">
      <c r="C9178" s="15"/>
      <c r="E9178" s="8"/>
      <c r="G9178" s="8"/>
      <c r="J9178" s="8"/>
    </row>
    <row r="9179">
      <c r="C9179" s="15"/>
      <c r="E9179" s="8"/>
      <c r="G9179" s="8"/>
      <c r="J9179" s="8"/>
    </row>
    <row r="9180">
      <c r="C9180" s="15"/>
      <c r="E9180" s="8"/>
      <c r="G9180" s="8"/>
      <c r="J9180" s="8"/>
    </row>
    <row r="9181">
      <c r="C9181" s="15"/>
      <c r="E9181" s="8"/>
      <c r="G9181" s="8"/>
      <c r="J9181" s="8"/>
    </row>
    <row r="9182">
      <c r="C9182" s="15"/>
      <c r="E9182" s="8"/>
      <c r="G9182" s="8"/>
      <c r="J9182" s="8"/>
    </row>
    <row r="9183">
      <c r="C9183" s="15"/>
      <c r="E9183" s="8"/>
      <c r="G9183" s="8"/>
      <c r="J9183" s="8"/>
    </row>
    <row r="9184">
      <c r="C9184" s="15"/>
      <c r="E9184" s="8"/>
      <c r="G9184" s="8"/>
      <c r="J9184" s="8"/>
    </row>
    <row r="9185">
      <c r="C9185" s="15"/>
      <c r="E9185" s="8"/>
      <c r="G9185" s="8"/>
      <c r="J9185" s="8"/>
    </row>
    <row r="9186">
      <c r="C9186" s="15"/>
      <c r="E9186" s="8"/>
      <c r="G9186" s="8"/>
      <c r="J9186" s="8"/>
    </row>
    <row r="9187">
      <c r="C9187" s="15"/>
      <c r="E9187" s="8"/>
      <c r="G9187" s="8"/>
      <c r="J9187" s="8"/>
    </row>
    <row r="9188">
      <c r="C9188" s="15"/>
      <c r="E9188" s="8"/>
      <c r="G9188" s="8"/>
      <c r="J9188" s="8"/>
    </row>
    <row r="9189">
      <c r="C9189" s="15"/>
      <c r="E9189" s="8"/>
      <c r="G9189" s="8"/>
      <c r="J9189" s="8"/>
    </row>
    <row r="9190">
      <c r="C9190" s="15"/>
      <c r="E9190" s="8"/>
      <c r="G9190" s="8"/>
      <c r="J9190" s="8"/>
    </row>
    <row r="9191">
      <c r="C9191" s="15"/>
      <c r="E9191" s="8"/>
      <c r="G9191" s="8"/>
      <c r="J9191" s="8"/>
    </row>
    <row r="9192">
      <c r="C9192" s="15"/>
      <c r="E9192" s="8"/>
      <c r="G9192" s="8"/>
      <c r="J9192" s="8"/>
    </row>
    <row r="9193">
      <c r="C9193" s="15"/>
      <c r="E9193" s="8"/>
      <c r="G9193" s="8"/>
      <c r="J9193" s="8"/>
    </row>
    <row r="9194">
      <c r="C9194" s="15"/>
      <c r="E9194" s="8"/>
      <c r="G9194" s="8"/>
      <c r="J9194" s="8"/>
    </row>
    <row r="9195">
      <c r="C9195" s="15"/>
      <c r="E9195" s="8"/>
      <c r="G9195" s="8"/>
      <c r="J9195" s="8"/>
    </row>
    <row r="9196">
      <c r="C9196" s="15"/>
      <c r="E9196" s="8"/>
      <c r="G9196" s="8"/>
      <c r="J9196" s="8"/>
    </row>
    <row r="9197">
      <c r="C9197" s="15"/>
      <c r="E9197" s="8"/>
      <c r="G9197" s="8"/>
      <c r="J9197" s="8"/>
    </row>
    <row r="9198">
      <c r="C9198" s="15"/>
      <c r="E9198" s="8"/>
      <c r="G9198" s="8"/>
      <c r="J9198" s="8"/>
    </row>
    <row r="9199">
      <c r="C9199" s="15"/>
      <c r="E9199" s="8"/>
      <c r="G9199" s="8"/>
      <c r="J9199" s="8"/>
    </row>
    <row r="9200">
      <c r="C9200" s="15"/>
      <c r="E9200" s="8"/>
      <c r="G9200" s="8"/>
      <c r="J9200" s="8"/>
    </row>
    <row r="9201">
      <c r="C9201" s="15"/>
      <c r="E9201" s="8"/>
      <c r="G9201" s="8"/>
      <c r="J9201" s="8"/>
    </row>
    <row r="9202">
      <c r="C9202" s="15"/>
      <c r="E9202" s="8"/>
      <c r="G9202" s="8"/>
      <c r="J9202" s="8"/>
    </row>
    <row r="9203">
      <c r="C9203" s="15"/>
      <c r="E9203" s="8"/>
      <c r="G9203" s="8"/>
      <c r="J9203" s="8"/>
    </row>
    <row r="9204">
      <c r="C9204" s="15"/>
      <c r="E9204" s="8"/>
      <c r="G9204" s="8"/>
      <c r="J9204" s="8"/>
    </row>
    <row r="9205">
      <c r="C9205" s="15"/>
      <c r="E9205" s="8"/>
      <c r="G9205" s="8"/>
      <c r="J9205" s="8"/>
    </row>
    <row r="9206">
      <c r="C9206" s="15"/>
      <c r="E9206" s="8"/>
      <c r="G9206" s="8"/>
      <c r="J9206" s="8"/>
    </row>
    <row r="9207">
      <c r="C9207" s="15"/>
      <c r="E9207" s="8"/>
      <c r="G9207" s="8"/>
      <c r="J9207" s="8"/>
    </row>
    <row r="9208">
      <c r="C9208" s="15"/>
      <c r="E9208" s="8"/>
      <c r="G9208" s="8"/>
      <c r="J9208" s="8"/>
    </row>
    <row r="9209">
      <c r="C9209" s="15"/>
      <c r="E9209" s="8"/>
      <c r="G9209" s="8"/>
      <c r="J9209" s="8"/>
    </row>
    <row r="9210">
      <c r="C9210" s="15"/>
      <c r="E9210" s="8"/>
      <c r="G9210" s="8"/>
      <c r="J9210" s="8"/>
    </row>
    <row r="9211">
      <c r="C9211" s="15"/>
      <c r="E9211" s="8"/>
      <c r="G9211" s="8"/>
      <c r="J9211" s="8"/>
    </row>
    <row r="9212">
      <c r="C9212" s="15"/>
      <c r="E9212" s="8"/>
      <c r="G9212" s="8"/>
      <c r="J9212" s="8"/>
    </row>
    <row r="9213">
      <c r="C9213" s="15"/>
      <c r="E9213" s="8"/>
      <c r="G9213" s="8"/>
      <c r="J9213" s="8"/>
    </row>
    <row r="9214">
      <c r="C9214" s="15"/>
      <c r="E9214" s="8"/>
      <c r="G9214" s="8"/>
      <c r="J9214" s="8"/>
    </row>
    <row r="9215">
      <c r="C9215" s="15"/>
      <c r="E9215" s="8"/>
      <c r="G9215" s="8"/>
      <c r="J9215" s="8"/>
    </row>
    <row r="9216">
      <c r="C9216" s="15"/>
      <c r="E9216" s="8"/>
      <c r="G9216" s="8"/>
      <c r="J9216" s="8"/>
    </row>
    <row r="9217">
      <c r="C9217" s="15"/>
      <c r="E9217" s="8"/>
      <c r="G9217" s="8"/>
      <c r="J9217" s="8"/>
    </row>
    <row r="9218">
      <c r="C9218" s="15"/>
      <c r="E9218" s="8"/>
      <c r="G9218" s="8"/>
      <c r="J9218" s="8"/>
    </row>
    <row r="9219">
      <c r="C9219" s="15"/>
      <c r="E9219" s="8"/>
      <c r="G9219" s="8"/>
      <c r="J9219" s="8"/>
    </row>
    <row r="9220">
      <c r="C9220" s="15"/>
      <c r="E9220" s="8"/>
      <c r="G9220" s="8"/>
      <c r="J9220" s="8"/>
    </row>
    <row r="9221">
      <c r="C9221" s="15"/>
      <c r="E9221" s="8"/>
      <c r="G9221" s="8"/>
      <c r="J9221" s="8"/>
    </row>
    <row r="9222">
      <c r="C9222" s="15"/>
      <c r="E9222" s="8"/>
      <c r="G9222" s="8"/>
      <c r="J9222" s="8"/>
    </row>
    <row r="9223">
      <c r="C9223" s="15"/>
      <c r="E9223" s="8"/>
      <c r="G9223" s="8"/>
      <c r="J9223" s="8"/>
    </row>
    <row r="9224">
      <c r="C9224" s="15"/>
      <c r="E9224" s="8"/>
      <c r="G9224" s="8"/>
      <c r="J9224" s="8"/>
    </row>
    <row r="9225">
      <c r="C9225" s="15"/>
      <c r="E9225" s="8"/>
      <c r="G9225" s="8"/>
      <c r="J9225" s="8"/>
    </row>
    <row r="9226">
      <c r="C9226" s="15"/>
      <c r="E9226" s="8"/>
      <c r="G9226" s="8"/>
      <c r="J9226" s="8"/>
    </row>
    <row r="9227">
      <c r="C9227" s="15"/>
      <c r="E9227" s="8"/>
      <c r="G9227" s="8"/>
      <c r="J9227" s="8"/>
    </row>
    <row r="9228">
      <c r="C9228" s="15"/>
      <c r="E9228" s="8"/>
      <c r="G9228" s="8"/>
      <c r="J9228" s="8"/>
    </row>
    <row r="9229">
      <c r="C9229" s="15"/>
      <c r="E9229" s="8"/>
      <c r="G9229" s="8"/>
      <c r="J9229" s="8"/>
    </row>
    <row r="9230">
      <c r="C9230" s="15"/>
      <c r="E9230" s="8"/>
      <c r="G9230" s="8"/>
      <c r="J9230" s="8"/>
    </row>
    <row r="9231">
      <c r="C9231" s="15"/>
      <c r="E9231" s="8"/>
      <c r="G9231" s="8"/>
      <c r="J9231" s="8"/>
    </row>
    <row r="9232">
      <c r="C9232" s="15"/>
      <c r="E9232" s="8"/>
      <c r="G9232" s="8"/>
      <c r="J9232" s="8"/>
    </row>
    <row r="9233">
      <c r="C9233" s="15"/>
      <c r="E9233" s="8"/>
      <c r="G9233" s="8"/>
      <c r="J9233" s="8"/>
    </row>
    <row r="9234">
      <c r="C9234" s="15"/>
      <c r="E9234" s="8"/>
      <c r="G9234" s="8"/>
      <c r="J9234" s="8"/>
    </row>
    <row r="9235">
      <c r="C9235" s="15"/>
      <c r="E9235" s="8"/>
      <c r="G9235" s="8"/>
      <c r="J9235" s="8"/>
    </row>
    <row r="9236">
      <c r="C9236" s="15"/>
      <c r="E9236" s="8"/>
      <c r="G9236" s="8"/>
      <c r="J9236" s="8"/>
    </row>
    <row r="9237">
      <c r="C9237" s="15"/>
      <c r="E9237" s="8"/>
      <c r="G9237" s="8"/>
      <c r="J9237" s="8"/>
    </row>
    <row r="9238">
      <c r="C9238" s="15"/>
      <c r="E9238" s="8"/>
      <c r="G9238" s="8"/>
      <c r="J9238" s="8"/>
    </row>
    <row r="9239">
      <c r="C9239" s="15"/>
      <c r="E9239" s="8"/>
      <c r="G9239" s="8"/>
      <c r="J9239" s="8"/>
    </row>
    <row r="9240">
      <c r="C9240" s="15"/>
      <c r="E9240" s="8"/>
      <c r="G9240" s="8"/>
      <c r="J9240" s="8"/>
    </row>
    <row r="9241">
      <c r="C9241" s="15"/>
      <c r="E9241" s="8"/>
      <c r="G9241" s="8"/>
      <c r="J9241" s="8"/>
    </row>
    <row r="9242">
      <c r="C9242" s="15"/>
      <c r="E9242" s="8"/>
      <c r="G9242" s="8"/>
      <c r="J9242" s="8"/>
    </row>
    <row r="9243">
      <c r="C9243" s="15"/>
      <c r="E9243" s="8"/>
      <c r="G9243" s="8"/>
      <c r="J9243" s="8"/>
    </row>
    <row r="9244">
      <c r="C9244" s="15"/>
      <c r="E9244" s="8"/>
      <c r="G9244" s="8"/>
      <c r="J9244" s="8"/>
    </row>
    <row r="9245">
      <c r="C9245" s="15"/>
      <c r="E9245" s="8"/>
      <c r="G9245" s="8"/>
      <c r="J9245" s="8"/>
    </row>
    <row r="9246">
      <c r="C9246" s="15"/>
      <c r="E9246" s="8"/>
      <c r="G9246" s="8"/>
      <c r="J9246" s="8"/>
    </row>
    <row r="9247">
      <c r="C9247" s="15"/>
      <c r="E9247" s="8"/>
      <c r="G9247" s="8"/>
      <c r="J9247" s="8"/>
    </row>
    <row r="9248">
      <c r="C9248" s="15"/>
      <c r="E9248" s="8"/>
      <c r="G9248" s="8"/>
      <c r="J9248" s="8"/>
    </row>
    <row r="9249">
      <c r="C9249" s="15"/>
      <c r="E9249" s="8"/>
      <c r="G9249" s="8"/>
      <c r="J9249" s="8"/>
    </row>
    <row r="9250">
      <c r="C9250" s="15"/>
      <c r="E9250" s="8"/>
      <c r="G9250" s="8"/>
      <c r="J9250" s="8"/>
    </row>
    <row r="9251">
      <c r="C9251" s="15"/>
      <c r="E9251" s="8"/>
      <c r="G9251" s="8"/>
      <c r="J9251" s="8"/>
    </row>
    <row r="9252">
      <c r="C9252" s="15"/>
      <c r="E9252" s="8"/>
      <c r="G9252" s="8"/>
      <c r="J9252" s="8"/>
    </row>
    <row r="9253">
      <c r="C9253" s="15"/>
      <c r="E9253" s="8"/>
      <c r="G9253" s="8"/>
      <c r="J9253" s="8"/>
    </row>
    <row r="9254">
      <c r="C9254" s="15"/>
      <c r="E9254" s="8"/>
      <c r="G9254" s="8"/>
      <c r="J9254" s="8"/>
    </row>
    <row r="9255">
      <c r="C9255" s="15"/>
      <c r="E9255" s="8"/>
      <c r="G9255" s="8"/>
      <c r="J9255" s="8"/>
    </row>
    <row r="9256">
      <c r="C9256" s="15"/>
      <c r="E9256" s="8"/>
      <c r="G9256" s="8"/>
      <c r="J9256" s="8"/>
    </row>
    <row r="9257">
      <c r="C9257" s="15"/>
      <c r="E9257" s="8"/>
      <c r="G9257" s="8"/>
      <c r="J9257" s="8"/>
    </row>
    <row r="9258">
      <c r="C9258" s="15"/>
      <c r="E9258" s="8"/>
      <c r="G9258" s="8"/>
      <c r="J9258" s="8"/>
    </row>
    <row r="9259">
      <c r="C9259" s="15"/>
      <c r="E9259" s="8"/>
      <c r="G9259" s="8"/>
      <c r="J9259" s="8"/>
    </row>
    <row r="9260">
      <c r="C9260" s="15"/>
      <c r="E9260" s="8"/>
      <c r="G9260" s="8"/>
      <c r="J9260" s="8"/>
    </row>
    <row r="9261">
      <c r="C9261" s="15"/>
      <c r="E9261" s="8"/>
      <c r="G9261" s="8"/>
      <c r="J9261" s="8"/>
    </row>
    <row r="9262">
      <c r="C9262" s="15"/>
      <c r="E9262" s="8"/>
      <c r="G9262" s="8"/>
      <c r="J9262" s="8"/>
    </row>
    <row r="9263">
      <c r="C9263" s="15"/>
      <c r="E9263" s="8"/>
      <c r="G9263" s="8"/>
      <c r="J9263" s="8"/>
    </row>
    <row r="9264">
      <c r="C9264" s="15"/>
      <c r="E9264" s="8"/>
      <c r="G9264" s="8"/>
      <c r="J9264" s="8"/>
    </row>
    <row r="9265">
      <c r="C9265" s="15"/>
      <c r="E9265" s="8"/>
      <c r="G9265" s="8"/>
      <c r="J9265" s="8"/>
    </row>
    <row r="9266">
      <c r="C9266" s="15"/>
      <c r="E9266" s="8"/>
      <c r="G9266" s="8"/>
      <c r="J9266" s="8"/>
    </row>
    <row r="9267">
      <c r="C9267" s="15"/>
      <c r="E9267" s="8"/>
      <c r="G9267" s="8"/>
      <c r="J9267" s="8"/>
    </row>
    <row r="9268">
      <c r="C9268" s="15"/>
      <c r="E9268" s="8"/>
      <c r="G9268" s="8"/>
      <c r="J9268" s="8"/>
    </row>
    <row r="9269">
      <c r="C9269" s="15"/>
      <c r="E9269" s="8"/>
      <c r="G9269" s="8"/>
      <c r="J9269" s="8"/>
    </row>
    <row r="9270">
      <c r="C9270" s="15"/>
      <c r="E9270" s="8"/>
      <c r="G9270" s="8"/>
      <c r="J9270" s="8"/>
    </row>
    <row r="9271">
      <c r="C9271" s="15"/>
      <c r="E9271" s="8"/>
      <c r="G9271" s="8"/>
      <c r="J9271" s="8"/>
    </row>
    <row r="9272">
      <c r="C9272" s="15"/>
      <c r="E9272" s="8"/>
      <c r="G9272" s="8"/>
      <c r="J9272" s="8"/>
    </row>
    <row r="9273">
      <c r="C9273" s="15"/>
      <c r="E9273" s="8"/>
      <c r="G9273" s="8"/>
      <c r="J9273" s="8"/>
    </row>
    <row r="9274">
      <c r="C9274" s="15"/>
      <c r="E9274" s="8"/>
      <c r="G9274" s="8"/>
      <c r="J9274" s="8"/>
    </row>
    <row r="9275">
      <c r="C9275" s="15"/>
      <c r="E9275" s="8"/>
      <c r="G9275" s="8"/>
      <c r="J9275" s="8"/>
    </row>
    <row r="9276">
      <c r="C9276" s="15"/>
      <c r="E9276" s="8"/>
      <c r="G9276" s="8"/>
      <c r="J9276" s="8"/>
    </row>
    <row r="9277">
      <c r="C9277" s="15"/>
      <c r="E9277" s="8"/>
      <c r="G9277" s="8"/>
      <c r="J9277" s="8"/>
    </row>
    <row r="9278">
      <c r="C9278" s="15"/>
      <c r="E9278" s="8"/>
      <c r="G9278" s="8"/>
      <c r="J9278" s="8"/>
    </row>
    <row r="9279">
      <c r="C9279" s="15"/>
      <c r="E9279" s="8"/>
      <c r="G9279" s="8"/>
      <c r="J9279" s="8"/>
    </row>
    <row r="9280">
      <c r="C9280" s="15"/>
      <c r="E9280" s="8"/>
      <c r="G9280" s="8"/>
      <c r="J9280" s="8"/>
    </row>
    <row r="9281">
      <c r="C9281" s="15"/>
      <c r="E9281" s="8"/>
      <c r="G9281" s="8"/>
      <c r="J9281" s="8"/>
    </row>
    <row r="9282">
      <c r="C9282" s="15"/>
      <c r="E9282" s="8"/>
      <c r="G9282" s="8"/>
      <c r="J9282" s="8"/>
    </row>
    <row r="9283">
      <c r="C9283" s="15"/>
      <c r="E9283" s="8"/>
      <c r="G9283" s="8"/>
      <c r="J9283" s="8"/>
    </row>
    <row r="9284">
      <c r="C9284" s="15"/>
      <c r="E9284" s="8"/>
      <c r="G9284" s="8"/>
      <c r="J9284" s="8"/>
    </row>
    <row r="9285">
      <c r="C9285" s="15"/>
      <c r="E9285" s="8"/>
      <c r="G9285" s="8"/>
      <c r="J9285" s="8"/>
    </row>
    <row r="9286">
      <c r="C9286" s="15"/>
      <c r="E9286" s="8"/>
      <c r="G9286" s="8"/>
      <c r="J9286" s="8"/>
    </row>
    <row r="9287">
      <c r="C9287" s="15"/>
      <c r="E9287" s="8"/>
      <c r="G9287" s="8"/>
      <c r="J9287" s="8"/>
    </row>
    <row r="9288">
      <c r="C9288" s="15"/>
      <c r="E9288" s="8"/>
      <c r="G9288" s="8"/>
      <c r="J9288" s="8"/>
    </row>
    <row r="9289">
      <c r="C9289" s="15"/>
      <c r="E9289" s="8"/>
      <c r="G9289" s="8"/>
      <c r="J9289" s="8"/>
    </row>
    <row r="9290">
      <c r="C9290" s="15"/>
      <c r="E9290" s="8"/>
      <c r="G9290" s="8"/>
      <c r="J9290" s="8"/>
    </row>
    <row r="9291">
      <c r="C9291" s="15"/>
      <c r="E9291" s="8"/>
      <c r="G9291" s="8"/>
      <c r="J9291" s="8"/>
    </row>
    <row r="9292">
      <c r="C9292" s="15"/>
      <c r="E9292" s="8"/>
      <c r="G9292" s="8"/>
      <c r="J9292" s="8"/>
    </row>
    <row r="9293">
      <c r="C9293" s="15"/>
      <c r="E9293" s="8"/>
      <c r="G9293" s="8"/>
      <c r="J9293" s="8"/>
    </row>
    <row r="9294">
      <c r="C9294" s="15"/>
      <c r="E9294" s="8"/>
      <c r="G9294" s="8"/>
      <c r="J9294" s="8"/>
    </row>
    <row r="9295">
      <c r="C9295" s="15"/>
      <c r="E9295" s="8"/>
      <c r="G9295" s="8"/>
      <c r="J9295" s="8"/>
    </row>
    <row r="9296">
      <c r="C9296" s="15"/>
      <c r="E9296" s="8"/>
      <c r="G9296" s="8"/>
      <c r="J9296" s="8"/>
    </row>
    <row r="9297">
      <c r="C9297" s="15"/>
      <c r="E9297" s="8"/>
      <c r="G9297" s="8"/>
      <c r="J9297" s="8"/>
    </row>
    <row r="9298">
      <c r="C9298" s="15"/>
      <c r="E9298" s="8"/>
      <c r="G9298" s="8"/>
      <c r="J9298" s="8"/>
    </row>
    <row r="9299">
      <c r="C9299" s="15"/>
      <c r="E9299" s="8"/>
      <c r="G9299" s="8"/>
      <c r="J9299" s="8"/>
    </row>
    <row r="9300">
      <c r="C9300" s="15"/>
      <c r="E9300" s="8"/>
      <c r="G9300" s="8"/>
      <c r="J9300" s="8"/>
    </row>
    <row r="9301">
      <c r="C9301" s="15"/>
      <c r="E9301" s="8"/>
      <c r="G9301" s="8"/>
      <c r="J9301" s="8"/>
    </row>
    <row r="9302">
      <c r="C9302" s="15"/>
      <c r="E9302" s="8"/>
      <c r="G9302" s="8"/>
      <c r="J9302" s="8"/>
    </row>
    <row r="9303">
      <c r="C9303" s="15"/>
      <c r="E9303" s="8"/>
      <c r="G9303" s="8"/>
      <c r="J9303" s="8"/>
    </row>
    <row r="9304">
      <c r="C9304" s="15"/>
      <c r="E9304" s="8"/>
      <c r="G9304" s="8"/>
      <c r="J9304" s="8"/>
    </row>
    <row r="9305">
      <c r="C9305" s="15"/>
      <c r="E9305" s="8"/>
      <c r="G9305" s="8"/>
      <c r="J9305" s="8"/>
    </row>
    <row r="9306">
      <c r="C9306" s="15"/>
      <c r="E9306" s="8"/>
      <c r="G9306" s="8"/>
      <c r="J9306" s="8"/>
    </row>
    <row r="9307">
      <c r="C9307" s="15"/>
      <c r="E9307" s="8"/>
      <c r="G9307" s="8"/>
      <c r="J9307" s="8"/>
    </row>
    <row r="9308">
      <c r="C9308" s="15"/>
      <c r="E9308" s="8"/>
      <c r="G9308" s="8"/>
      <c r="J9308" s="8"/>
    </row>
    <row r="9309">
      <c r="C9309" s="15"/>
      <c r="E9309" s="8"/>
      <c r="G9309" s="8"/>
      <c r="J9309" s="8"/>
    </row>
    <row r="9310">
      <c r="C9310" s="15"/>
      <c r="E9310" s="8"/>
      <c r="G9310" s="8"/>
      <c r="J9310" s="8"/>
    </row>
    <row r="9311">
      <c r="C9311" s="15"/>
      <c r="E9311" s="8"/>
      <c r="G9311" s="8"/>
      <c r="J9311" s="8"/>
    </row>
    <row r="9312">
      <c r="C9312" s="15"/>
      <c r="E9312" s="8"/>
      <c r="G9312" s="8"/>
      <c r="J9312" s="8"/>
    </row>
    <row r="9313">
      <c r="C9313" s="15"/>
      <c r="E9313" s="8"/>
      <c r="G9313" s="8"/>
      <c r="J9313" s="8"/>
    </row>
    <row r="9314">
      <c r="C9314" s="15"/>
      <c r="E9314" s="8"/>
      <c r="G9314" s="8"/>
      <c r="J9314" s="8"/>
    </row>
    <row r="9315">
      <c r="C9315" s="15"/>
      <c r="E9315" s="8"/>
      <c r="G9315" s="8"/>
      <c r="J9315" s="8"/>
    </row>
    <row r="9316">
      <c r="C9316" s="15"/>
      <c r="E9316" s="8"/>
      <c r="G9316" s="8"/>
      <c r="J9316" s="8"/>
    </row>
    <row r="9317">
      <c r="C9317" s="15"/>
      <c r="E9317" s="8"/>
      <c r="G9317" s="8"/>
      <c r="J9317" s="8"/>
    </row>
    <row r="9318">
      <c r="C9318" s="15"/>
      <c r="E9318" s="8"/>
      <c r="G9318" s="8"/>
      <c r="J9318" s="8"/>
    </row>
    <row r="9319">
      <c r="C9319" s="15"/>
      <c r="E9319" s="8"/>
      <c r="G9319" s="8"/>
      <c r="J9319" s="8"/>
    </row>
    <row r="9320">
      <c r="C9320" s="15"/>
      <c r="E9320" s="8"/>
      <c r="G9320" s="8"/>
      <c r="J9320" s="8"/>
    </row>
    <row r="9321">
      <c r="C9321" s="15"/>
      <c r="E9321" s="8"/>
      <c r="G9321" s="8"/>
      <c r="J9321" s="8"/>
    </row>
    <row r="9322">
      <c r="C9322" s="15"/>
      <c r="E9322" s="8"/>
      <c r="G9322" s="8"/>
      <c r="J9322" s="8"/>
    </row>
    <row r="9323">
      <c r="C9323" s="15"/>
      <c r="E9323" s="8"/>
      <c r="G9323" s="8"/>
      <c r="J9323" s="8"/>
    </row>
    <row r="9324">
      <c r="C9324" s="15"/>
      <c r="E9324" s="8"/>
      <c r="G9324" s="8"/>
      <c r="J9324" s="8"/>
    </row>
    <row r="9325">
      <c r="C9325" s="15"/>
      <c r="E9325" s="8"/>
      <c r="G9325" s="8"/>
      <c r="J9325" s="8"/>
    </row>
    <row r="9326">
      <c r="C9326" s="15"/>
      <c r="E9326" s="8"/>
      <c r="G9326" s="8"/>
      <c r="J9326" s="8"/>
    </row>
    <row r="9327">
      <c r="C9327" s="15"/>
      <c r="E9327" s="8"/>
      <c r="G9327" s="8"/>
      <c r="J9327" s="8"/>
    </row>
    <row r="9328">
      <c r="C9328" s="15"/>
      <c r="E9328" s="8"/>
      <c r="G9328" s="8"/>
      <c r="J9328" s="8"/>
    </row>
    <row r="9329">
      <c r="C9329" s="15"/>
      <c r="E9329" s="8"/>
      <c r="G9329" s="8"/>
      <c r="J9329" s="8"/>
    </row>
    <row r="9330">
      <c r="C9330" s="15"/>
      <c r="E9330" s="8"/>
      <c r="G9330" s="8"/>
      <c r="J9330" s="8"/>
    </row>
    <row r="9331">
      <c r="C9331" s="15"/>
      <c r="E9331" s="8"/>
      <c r="G9331" s="8"/>
      <c r="J9331" s="8"/>
    </row>
    <row r="9332">
      <c r="C9332" s="15"/>
      <c r="E9332" s="8"/>
      <c r="G9332" s="8"/>
      <c r="J9332" s="8"/>
    </row>
    <row r="9333">
      <c r="C9333" s="15"/>
      <c r="E9333" s="8"/>
      <c r="G9333" s="8"/>
      <c r="J9333" s="8"/>
    </row>
    <row r="9334">
      <c r="C9334" s="15"/>
      <c r="E9334" s="8"/>
      <c r="G9334" s="8"/>
      <c r="J9334" s="8"/>
    </row>
    <row r="9335">
      <c r="C9335" s="15"/>
      <c r="E9335" s="8"/>
      <c r="G9335" s="8"/>
      <c r="J9335" s="8"/>
    </row>
    <row r="9336">
      <c r="C9336" s="15"/>
      <c r="E9336" s="8"/>
      <c r="G9336" s="8"/>
      <c r="J9336" s="8"/>
    </row>
    <row r="9337">
      <c r="C9337" s="15"/>
      <c r="E9337" s="8"/>
      <c r="G9337" s="8"/>
      <c r="J9337" s="8"/>
    </row>
    <row r="9338">
      <c r="C9338" s="15"/>
      <c r="E9338" s="8"/>
      <c r="G9338" s="8"/>
      <c r="J9338" s="8"/>
    </row>
    <row r="9339">
      <c r="C9339" s="15"/>
      <c r="E9339" s="8"/>
      <c r="G9339" s="8"/>
      <c r="J9339" s="8"/>
    </row>
    <row r="9340">
      <c r="C9340" s="15"/>
      <c r="E9340" s="8"/>
      <c r="G9340" s="8"/>
      <c r="J9340" s="8"/>
    </row>
    <row r="9341">
      <c r="C9341" s="15"/>
      <c r="E9341" s="8"/>
      <c r="G9341" s="8"/>
      <c r="J9341" s="8"/>
    </row>
    <row r="9342">
      <c r="C9342" s="15"/>
      <c r="E9342" s="8"/>
      <c r="G9342" s="8"/>
      <c r="J9342" s="8"/>
    </row>
    <row r="9343">
      <c r="C9343" s="15"/>
      <c r="E9343" s="8"/>
      <c r="G9343" s="8"/>
      <c r="J9343" s="8"/>
    </row>
    <row r="9344">
      <c r="C9344" s="15"/>
      <c r="E9344" s="8"/>
      <c r="G9344" s="8"/>
      <c r="J9344" s="8"/>
    </row>
    <row r="9345">
      <c r="C9345" s="15"/>
      <c r="E9345" s="8"/>
      <c r="G9345" s="8"/>
      <c r="J9345" s="8"/>
    </row>
    <row r="9346">
      <c r="C9346" s="15"/>
      <c r="E9346" s="8"/>
      <c r="G9346" s="8"/>
      <c r="J9346" s="8"/>
    </row>
    <row r="9347">
      <c r="C9347" s="15"/>
      <c r="E9347" s="8"/>
      <c r="G9347" s="8"/>
      <c r="J9347" s="8"/>
    </row>
    <row r="9348">
      <c r="C9348" s="15"/>
      <c r="E9348" s="8"/>
      <c r="G9348" s="8"/>
      <c r="J9348" s="8"/>
    </row>
    <row r="9349">
      <c r="C9349" s="15"/>
      <c r="E9349" s="8"/>
      <c r="G9349" s="8"/>
      <c r="J9349" s="8"/>
    </row>
    <row r="9350">
      <c r="C9350" s="15"/>
      <c r="E9350" s="8"/>
      <c r="G9350" s="8"/>
      <c r="J9350" s="8"/>
    </row>
    <row r="9351">
      <c r="C9351" s="15"/>
      <c r="E9351" s="8"/>
      <c r="G9351" s="8"/>
      <c r="J9351" s="8"/>
    </row>
    <row r="9352">
      <c r="C9352" s="15"/>
      <c r="E9352" s="8"/>
      <c r="G9352" s="8"/>
      <c r="J9352" s="8"/>
    </row>
    <row r="9353">
      <c r="C9353" s="15"/>
      <c r="E9353" s="8"/>
      <c r="G9353" s="8"/>
      <c r="J9353" s="8"/>
    </row>
    <row r="9354">
      <c r="C9354" s="15"/>
      <c r="E9354" s="8"/>
      <c r="G9354" s="8"/>
      <c r="J9354" s="8"/>
    </row>
    <row r="9355">
      <c r="C9355" s="15"/>
      <c r="E9355" s="8"/>
      <c r="G9355" s="8"/>
      <c r="J9355" s="8"/>
    </row>
    <row r="9356">
      <c r="C9356" s="15"/>
      <c r="E9356" s="8"/>
      <c r="G9356" s="8"/>
      <c r="J9356" s="8"/>
    </row>
    <row r="9357">
      <c r="C9357" s="15"/>
      <c r="E9357" s="8"/>
      <c r="G9357" s="8"/>
      <c r="J9357" s="8"/>
    </row>
    <row r="9358">
      <c r="C9358" s="15"/>
      <c r="E9358" s="8"/>
      <c r="G9358" s="8"/>
      <c r="J9358" s="8"/>
    </row>
    <row r="9359">
      <c r="C9359" s="15"/>
      <c r="E9359" s="8"/>
      <c r="G9359" s="8"/>
      <c r="J9359" s="8"/>
    </row>
    <row r="9360">
      <c r="C9360" s="15"/>
      <c r="E9360" s="8"/>
      <c r="G9360" s="8"/>
      <c r="J9360" s="8"/>
    </row>
    <row r="9361">
      <c r="C9361" s="15"/>
      <c r="E9361" s="8"/>
      <c r="G9361" s="8"/>
      <c r="J9361" s="8"/>
    </row>
    <row r="9362">
      <c r="C9362" s="15"/>
      <c r="E9362" s="8"/>
      <c r="G9362" s="8"/>
      <c r="J9362" s="8"/>
    </row>
    <row r="9363">
      <c r="C9363" s="15"/>
      <c r="E9363" s="8"/>
      <c r="G9363" s="8"/>
      <c r="J9363" s="8"/>
    </row>
    <row r="9364">
      <c r="C9364" s="15"/>
      <c r="E9364" s="8"/>
      <c r="G9364" s="8"/>
      <c r="J9364" s="8"/>
    </row>
    <row r="9365">
      <c r="C9365" s="15"/>
      <c r="E9365" s="8"/>
      <c r="G9365" s="8"/>
      <c r="J9365" s="8"/>
    </row>
    <row r="9366">
      <c r="C9366" s="15"/>
      <c r="E9366" s="8"/>
      <c r="G9366" s="8"/>
      <c r="J9366" s="8"/>
    </row>
    <row r="9367">
      <c r="C9367" s="15"/>
      <c r="E9367" s="8"/>
      <c r="G9367" s="8"/>
      <c r="J9367" s="8"/>
    </row>
    <row r="9368">
      <c r="C9368" s="15"/>
      <c r="E9368" s="8"/>
      <c r="G9368" s="8"/>
      <c r="J9368" s="8"/>
    </row>
    <row r="9369">
      <c r="C9369" s="15"/>
      <c r="E9369" s="8"/>
      <c r="G9369" s="8"/>
      <c r="J9369" s="8"/>
    </row>
    <row r="9370">
      <c r="C9370" s="15"/>
      <c r="E9370" s="8"/>
      <c r="G9370" s="8"/>
      <c r="J9370" s="8"/>
    </row>
    <row r="9371">
      <c r="C9371" s="15"/>
      <c r="E9371" s="8"/>
      <c r="G9371" s="8"/>
      <c r="J9371" s="8"/>
    </row>
    <row r="9372">
      <c r="C9372" s="15"/>
      <c r="E9372" s="8"/>
      <c r="G9372" s="8"/>
      <c r="J9372" s="8"/>
    </row>
    <row r="9373">
      <c r="C9373" s="15"/>
      <c r="E9373" s="8"/>
      <c r="G9373" s="8"/>
      <c r="J9373" s="8"/>
    </row>
    <row r="9374">
      <c r="C9374" s="15"/>
      <c r="E9374" s="8"/>
      <c r="G9374" s="8"/>
      <c r="J9374" s="8"/>
    </row>
    <row r="9375">
      <c r="C9375" s="15"/>
      <c r="E9375" s="8"/>
      <c r="G9375" s="8"/>
      <c r="J9375" s="8"/>
    </row>
    <row r="9376">
      <c r="C9376" s="15"/>
      <c r="E9376" s="8"/>
      <c r="G9376" s="8"/>
      <c r="J9376" s="8"/>
    </row>
    <row r="9377">
      <c r="C9377" s="15"/>
      <c r="E9377" s="8"/>
      <c r="G9377" s="8"/>
      <c r="J9377" s="8"/>
    </row>
    <row r="9378">
      <c r="C9378" s="15"/>
      <c r="E9378" s="8"/>
      <c r="G9378" s="8"/>
      <c r="J9378" s="8"/>
    </row>
    <row r="9379">
      <c r="C9379" s="15"/>
      <c r="E9379" s="8"/>
      <c r="G9379" s="8"/>
      <c r="J9379" s="8"/>
    </row>
    <row r="9380">
      <c r="C9380" s="15"/>
      <c r="E9380" s="8"/>
      <c r="G9380" s="8"/>
      <c r="J9380" s="8"/>
    </row>
    <row r="9381">
      <c r="C9381" s="15"/>
      <c r="E9381" s="8"/>
      <c r="G9381" s="8"/>
      <c r="J9381" s="8"/>
    </row>
    <row r="9382">
      <c r="C9382" s="15"/>
      <c r="E9382" s="8"/>
      <c r="G9382" s="8"/>
      <c r="J9382" s="8"/>
    </row>
    <row r="9383">
      <c r="C9383" s="15"/>
      <c r="E9383" s="8"/>
      <c r="G9383" s="8"/>
      <c r="J9383" s="8"/>
    </row>
    <row r="9384">
      <c r="C9384" s="15"/>
      <c r="E9384" s="8"/>
      <c r="G9384" s="8"/>
      <c r="J9384" s="8"/>
    </row>
    <row r="9385">
      <c r="C9385" s="15"/>
      <c r="E9385" s="8"/>
      <c r="G9385" s="8"/>
      <c r="J9385" s="8"/>
    </row>
    <row r="9386">
      <c r="C9386" s="15"/>
      <c r="E9386" s="8"/>
      <c r="G9386" s="8"/>
      <c r="J9386" s="8"/>
    </row>
    <row r="9387">
      <c r="C9387" s="15"/>
      <c r="E9387" s="8"/>
      <c r="G9387" s="8"/>
      <c r="J9387" s="8"/>
    </row>
    <row r="9388">
      <c r="C9388" s="15"/>
      <c r="E9388" s="8"/>
      <c r="G9388" s="8"/>
      <c r="J9388" s="8"/>
    </row>
    <row r="9389">
      <c r="C9389" s="15"/>
      <c r="E9389" s="8"/>
      <c r="G9389" s="8"/>
      <c r="J9389" s="8"/>
    </row>
    <row r="9390">
      <c r="C9390" s="15"/>
      <c r="E9390" s="8"/>
      <c r="G9390" s="8"/>
      <c r="J9390" s="8"/>
    </row>
    <row r="9391">
      <c r="C9391" s="15"/>
      <c r="E9391" s="8"/>
      <c r="G9391" s="8"/>
      <c r="J9391" s="8"/>
    </row>
    <row r="9392">
      <c r="C9392" s="15"/>
      <c r="E9392" s="8"/>
      <c r="G9392" s="8"/>
      <c r="J9392" s="8"/>
    </row>
    <row r="9393">
      <c r="C9393" s="15"/>
      <c r="E9393" s="8"/>
      <c r="G9393" s="8"/>
      <c r="J9393" s="8"/>
    </row>
    <row r="9394">
      <c r="C9394" s="15"/>
      <c r="E9394" s="8"/>
      <c r="G9394" s="8"/>
      <c r="J9394" s="8"/>
    </row>
    <row r="9395">
      <c r="C9395" s="15"/>
      <c r="E9395" s="8"/>
      <c r="G9395" s="8"/>
      <c r="J9395" s="8"/>
    </row>
    <row r="9396">
      <c r="C9396" s="15"/>
      <c r="E9396" s="8"/>
      <c r="G9396" s="8"/>
      <c r="J9396" s="8"/>
    </row>
    <row r="9397">
      <c r="C9397" s="15"/>
      <c r="E9397" s="8"/>
      <c r="G9397" s="8"/>
      <c r="J9397" s="8"/>
    </row>
    <row r="9398">
      <c r="C9398" s="15"/>
      <c r="E9398" s="8"/>
      <c r="G9398" s="8"/>
      <c r="J9398" s="8"/>
    </row>
    <row r="9399">
      <c r="C9399" s="15"/>
      <c r="E9399" s="8"/>
      <c r="G9399" s="8"/>
      <c r="J9399" s="8"/>
    </row>
    <row r="9400">
      <c r="C9400" s="15"/>
      <c r="E9400" s="8"/>
      <c r="G9400" s="8"/>
      <c r="J9400" s="8"/>
    </row>
    <row r="9401">
      <c r="C9401" s="15"/>
      <c r="E9401" s="8"/>
      <c r="G9401" s="8"/>
      <c r="J9401" s="8"/>
    </row>
    <row r="9402">
      <c r="C9402" s="15"/>
      <c r="E9402" s="8"/>
      <c r="G9402" s="8"/>
      <c r="J9402" s="8"/>
    </row>
    <row r="9403">
      <c r="C9403" s="15"/>
      <c r="E9403" s="8"/>
      <c r="G9403" s="8"/>
      <c r="J9403" s="8"/>
    </row>
    <row r="9404">
      <c r="C9404" s="15"/>
      <c r="E9404" s="8"/>
      <c r="G9404" s="8"/>
      <c r="J9404" s="8"/>
    </row>
    <row r="9405">
      <c r="C9405" s="15"/>
      <c r="E9405" s="8"/>
      <c r="G9405" s="8"/>
      <c r="J9405" s="8"/>
    </row>
    <row r="9406">
      <c r="C9406" s="15"/>
      <c r="E9406" s="8"/>
      <c r="G9406" s="8"/>
      <c r="J9406" s="8"/>
    </row>
    <row r="9407">
      <c r="C9407" s="15"/>
      <c r="E9407" s="8"/>
      <c r="G9407" s="8"/>
      <c r="J9407" s="8"/>
    </row>
    <row r="9408">
      <c r="C9408" s="15"/>
      <c r="E9408" s="8"/>
      <c r="G9408" s="8"/>
      <c r="J9408" s="8"/>
    </row>
    <row r="9409">
      <c r="C9409" s="15"/>
      <c r="E9409" s="8"/>
      <c r="G9409" s="8"/>
      <c r="J9409" s="8"/>
    </row>
    <row r="9410">
      <c r="C9410" s="15"/>
      <c r="E9410" s="8"/>
      <c r="G9410" s="8"/>
      <c r="J9410" s="8"/>
    </row>
    <row r="9411">
      <c r="C9411" s="15"/>
      <c r="E9411" s="8"/>
      <c r="G9411" s="8"/>
      <c r="J9411" s="8"/>
    </row>
    <row r="9412">
      <c r="C9412" s="15"/>
      <c r="E9412" s="8"/>
      <c r="G9412" s="8"/>
      <c r="J9412" s="8"/>
    </row>
    <row r="9413">
      <c r="C9413" s="15"/>
      <c r="E9413" s="8"/>
      <c r="G9413" s="8"/>
      <c r="J9413" s="8"/>
    </row>
    <row r="9414">
      <c r="C9414" s="15"/>
      <c r="E9414" s="8"/>
      <c r="G9414" s="8"/>
      <c r="J9414" s="8"/>
    </row>
    <row r="9415">
      <c r="C9415" s="15"/>
      <c r="E9415" s="8"/>
      <c r="G9415" s="8"/>
      <c r="J9415" s="8"/>
    </row>
    <row r="9416">
      <c r="C9416" s="15"/>
      <c r="E9416" s="8"/>
      <c r="G9416" s="8"/>
      <c r="J9416" s="8"/>
    </row>
    <row r="9417">
      <c r="C9417" s="15"/>
      <c r="E9417" s="8"/>
      <c r="G9417" s="8"/>
      <c r="J9417" s="8"/>
    </row>
    <row r="9418">
      <c r="C9418" s="15"/>
      <c r="E9418" s="8"/>
      <c r="G9418" s="8"/>
      <c r="J9418" s="8"/>
    </row>
    <row r="9419">
      <c r="C9419" s="15"/>
      <c r="E9419" s="8"/>
      <c r="G9419" s="8"/>
      <c r="J9419" s="8"/>
    </row>
    <row r="9420">
      <c r="C9420" s="15"/>
      <c r="E9420" s="8"/>
      <c r="G9420" s="8"/>
      <c r="J9420" s="8"/>
    </row>
    <row r="9421">
      <c r="C9421" s="15"/>
      <c r="E9421" s="8"/>
      <c r="G9421" s="8"/>
      <c r="J9421" s="8"/>
    </row>
    <row r="9422">
      <c r="C9422" s="15"/>
      <c r="E9422" s="8"/>
      <c r="G9422" s="8"/>
      <c r="J9422" s="8"/>
    </row>
    <row r="9423">
      <c r="C9423" s="15"/>
      <c r="E9423" s="8"/>
      <c r="G9423" s="8"/>
      <c r="J9423" s="8"/>
    </row>
    <row r="9424">
      <c r="C9424" s="15"/>
      <c r="E9424" s="8"/>
      <c r="G9424" s="8"/>
      <c r="J9424" s="8"/>
    </row>
    <row r="9425">
      <c r="C9425" s="15"/>
      <c r="E9425" s="8"/>
      <c r="G9425" s="8"/>
      <c r="J9425" s="8"/>
    </row>
    <row r="9426">
      <c r="C9426" s="15"/>
      <c r="E9426" s="8"/>
      <c r="G9426" s="8"/>
      <c r="J9426" s="8"/>
    </row>
    <row r="9427">
      <c r="C9427" s="15"/>
      <c r="E9427" s="8"/>
      <c r="G9427" s="8"/>
      <c r="J9427" s="8"/>
    </row>
    <row r="9428">
      <c r="C9428" s="15"/>
      <c r="E9428" s="8"/>
      <c r="G9428" s="8"/>
      <c r="J9428" s="8"/>
    </row>
    <row r="9429">
      <c r="C9429" s="15"/>
      <c r="E9429" s="8"/>
      <c r="G9429" s="8"/>
      <c r="J9429" s="8"/>
    </row>
    <row r="9430">
      <c r="C9430" s="15"/>
      <c r="E9430" s="8"/>
      <c r="G9430" s="8"/>
      <c r="J9430" s="8"/>
    </row>
    <row r="9431">
      <c r="C9431" s="15"/>
      <c r="E9431" s="8"/>
      <c r="G9431" s="8"/>
      <c r="J9431" s="8"/>
    </row>
    <row r="9432">
      <c r="C9432" s="15"/>
      <c r="E9432" s="8"/>
      <c r="G9432" s="8"/>
      <c r="J9432" s="8"/>
    </row>
    <row r="9433">
      <c r="C9433" s="15"/>
      <c r="E9433" s="8"/>
      <c r="G9433" s="8"/>
      <c r="J9433" s="8"/>
    </row>
    <row r="9434">
      <c r="C9434" s="15"/>
      <c r="E9434" s="8"/>
      <c r="G9434" s="8"/>
      <c r="J9434" s="8"/>
    </row>
    <row r="9435">
      <c r="C9435" s="15"/>
      <c r="E9435" s="8"/>
      <c r="G9435" s="8"/>
      <c r="J9435" s="8"/>
    </row>
    <row r="9436">
      <c r="C9436" s="15"/>
      <c r="E9436" s="8"/>
      <c r="G9436" s="8"/>
      <c r="J9436" s="8"/>
    </row>
    <row r="9437">
      <c r="C9437" s="15"/>
      <c r="E9437" s="8"/>
      <c r="G9437" s="8"/>
      <c r="J9437" s="8"/>
    </row>
    <row r="9438">
      <c r="C9438" s="15"/>
      <c r="E9438" s="8"/>
      <c r="G9438" s="8"/>
      <c r="J9438" s="8"/>
    </row>
    <row r="9439">
      <c r="C9439" s="15"/>
      <c r="E9439" s="8"/>
      <c r="G9439" s="8"/>
      <c r="J9439" s="8"/>
    </row>
    <row r="9440">
      <c r="C9440" s="15"/>
      <c r="E9440" s="8"/>
      <c r="G9440" s="8"/>
      <c r="J9440" s="8"/>
    </row>
    <row r="9441">
      <c r="C9441" s="15"/>
      <c r="E9441" s="8"/>
      <c r="G9441" s="8"/>
      <c r="J9441" s="8"/>
    </row>
    <row r="9442">
      <c r="C9442" s="15"/>
      <c r="E9442" s="8"/>
      <c r="G9442" s="8"/>
      <c r="J9442" s="8"/>
    </row>
    <row r="9443">
      <c r="C9443" s="15"/>
      <c r="E9443" s="8"/>
      <c r="G9443" s="8"/>
      <c r="J9443" s="8"/>
    </row>
    <row r="9444">
      <c r="C9444" s="15"/>
      <c r="E9444" s="8"/>
      <c r="G9444" s="8"/>
      <c r="J9444" s="8"/>
    </row>
    <row r="9445">
      <c r="C9445" s="15"/>
      <c r="E9445" s="8"/>
      <c r="G9445" s="8"/>
      <c r="J9445" s="8"/>
    </row>
    <row r="9446">
      <c r="C9446" s="15"/>
      <c r="E9446" s="8"/>
      <c r="G9446" s="8"/>
      <c r="J9446" s="8"/>
    </row>
    <row r="9447">
      <c r="C9447" s="15"/>
      <c r="E9447" s="8"/>
      <c r="G9447" s="8"/>
      <c r="J9447" s="8"/>
    </row>
    <row r="9448">
      <c r="C9448" s="15"/>
      <c r="E9448" s="8"/>
      <c r="G9448" s="8"/>
      <c r="J9448" s="8"/>
    </row>
    <row r="9449">
      <c r="C9449" s="15"/>
      <c r="E9449" s="8"/>
      <c r="G9449" s="8"/>
      <c r="J9449" s="8"/>
    </row>
    <row r="9450">
      <c r="C9450" s="15"/>
      <c r="E9450" s="8"/>
      <c r="G9450" s="8"/>
      <c r="J9450" s="8"/>
    </row>
    <row r="9451">
      <c r="C9451" s="15"/>
      <c r="E9451" s="8"/>
      <c r="G9451" s="8"/>
      <c r="J9451" s="8"/>
    </row>
    <row r="9452">
      <c r="C9452" s="15"/>
      <c r="E9452" s="8"/>
      <c r="G9452" s="8"/>
      <c r="J9452" s="8"/>
    </row>
    <row r="9453">
      <c r="C9453" s="15"/>
      <c r="E9453" s="8"/>
      <c r="G9453" s="8"/>
      <c r="J9453" s="8"/>
    </row>
    <row r="9454">
      <c r="C9454" s="15"/>
      <c r="E9454" s="8"/>
      <c r="G9454" s="8"/>
      <c r="J9454" s="8"/>
    </row>
    <row r="9455">
      <c r="C9455" s="15"/>
      <c r="E9455" s="8"/>
      <c r="G9455" s="8"/>
      <c r="J9455" s="8"/>
    </row>
    <row r="9456">
      <c r="C9456" s="15"/>
      <c r="E9456" s="8"/>
      <c r="G9456" s="8"/>
      <c r="J9456" s="8"/>
    </row>
    <row r="9457">
      <c r="C9457" s="15"/>
      <c r="E9457" s="8"/>
      <c r="G9457" s="8"/>
      <c r="J9457" s="8"/>
    </row>
    <row r="9458">
      <c r="C9458" s="15"/>
      <c r="E9458" s="8"/>
      <c r="G9458" s="8"/>
      <c r="J9458" s="8"/>
    </row>
    <row r="9459">
      <c r="C9459" s="15"/>
      <c r="E9459" s="8"/>
      <c r="G9459" s="8"/>
      <c r="J9459" s="8"/>
    </row>
    <row r="9460">
      <c r="C9460" s="15"/>
      <c r="E9460" s="8"/>
      <c r="G9460" s="8"/>
      <c r="J9460" s="8"/>
    </row>
    <row r="9461">
      <c r="C9461" s="15"/>
      <c r="E9461" s="8"/>
      <c r="G9461" s="8"/>
      <c r="J9461" s="8"/>
    </row>
    <row r="9462">
      <c r="C9462" s="15"/>
      <c r="E9462" s="8"/>
      <c r="G9462" s="8"/>
      <c r="J9462" s="8"/>
    </row>
    <row r="9463">
      <c r="C9463" s="15"/>
      <c r="E9463" s="8"/>
      <c r="G9463" s="8"/>
      <c r="J9463" s="8"/>
    </row>
    <row r="9464">
      <c r="C9464" s="15"/>
      <c r="E9464" s="8"/>
      <c r="G9464" s="8"/>
      <c r="J9464" s="8"/>
    </row>
    <row r="9465">
      <c r="C9465" s="15"/>
      <c r="E9465" s="8"/>
      <c r="G9465" s="8"/>
      <c r="J9465" s="8"/>
    </row>
    <row r="9466">
      <c r="C9466" s="15"/>
      <c r="E9466" s="8"/>
      <c r="G9466" s="8"/>
      <c r="J9466" s="8"/>
    </row>
    <row r="9467">
      <c r="C9467" s="15"/>
      <c r="E9467" s="8"/>
      <c r="G9467" s="8"/>
      <c r="J9467" s="8"/>
    </row>
    <row r="9468">
      <c r="C9468" s="15"/>
      <c r="E9468" s="8"/>
      <c r="G9468" s="8"/>
      <c r="J9468" s="8"/>
    </row>
    <row r="9469">
      <c r="C9469" s="15"/>
      <c r="E9469" s="8"/>
      <c r="G9469" s="8"/>
      <c r="J9469" s="8"/>
    </row>
    <row r="9470">
      <c r="C9470" s="15"/>
      <c r="E9470" s="8"/>
      <c r="G9470" s="8"/>
      <c r="J9470" s="8"/>
    </row>
    <row r="9471">
      <c r="C9471" s="15"/>
      <c r="E9471" s="8"/>
      <c r="G9471" s="8"/>
      <c r="J9471" s="8"/>
    </row>
    <row r="9472">
      <c r="C9472" s="15"/>
      <c r="E9472" s="8"/>
      <c r="G9472" s="8"/>
      <c r="J9472" s="8"/>
    </row>
    <row r="9473">
      <c r="C9473" s="15"/>
      <c r="E9473" s="8"/>
      <c r="G9473" s="8"/>
      <c r="J9473" s="8"/>
    </row>
    <row r="9474">
      <c r="C9474" s="15"/>
      <c r="E9474" s="8"/>
      <c r="G9474" s="8"/>
      <c r="J9474" s="8"/>
    </row>
    <row r="9475">
      <c r="C9475" s="15"/>
      <c r="E9475" s="8"/>
      <c r="G9475" s="8"/>
      <c r="J9475" s="8"/>
    </row>
    <row r="9476">
      <c r="C9476" s="15"/>
      <c r="E9476" s="8"/>
      <c r="G9476" s="8"/>
      <c r="J9476" s="8"/>
    </row>
    <row r="9477">
      <c r="C9477" s="15"/>
      <c r="E9477" s="8"/>
      <c r="G9477" s="8"/>
      <c r="J9477" s="8"/>
    </row>
    <row r="9478">
      <c r="C9478" s="15"/>
      <c r="E9478" s="8"/>
      <c r="G9478" s="8"/>
      <c r="J9478" s="8"/>
    </row>
    <row r="9479">
      <c r="C9479" s="15"/>
      <c r="E9479" s="8"/>
      <c r="G9479" s="8"/>
      <c r="J9479" s="8"/>
    </row>
    <row r="9480">
      <c r="C9480" s="15"/>
      <c r="E9480" s="8"/>
      <c r="G9480" s="8"/>
      <c r="J9480" s="8"/>
    </row>
    <row r="9481">
      <c r="C9481" s="15"/>
      <c r="E9481" s="8"/>
      <c r="G9481" s="8"/>
      <c r="J9481" s="8"/>
    </row>
    <row r="9482">
      <c r="C9482" s="15"/>
      <c r="E9482" s="8"/>
      <c r="G9482" s="8"/>
      <c r="J9482" s="8"/>
    </row>
    <row r="9483">
      <c r="C9483" s="15"/>
      <c r="E9483" s="8"/>
      <c r="G9483" s="8"/>
      <c r="J9483" s="8"/>
    </row>
    <row r="9484">
      <c r="C9484" s="15"/>
      <c r="E9484" s="8"/>
      <c r="G9484" s="8"/>
      <c r="J9484" s="8"/>
    </row>
    <row r="9485">
      <c r="C9485" s="15"/>
      <c r="E9485" s="8"/>
      <c r="G9485" s="8"/>
      <c r="J9485" s="8"/>
    </row>
    <row r="9486">
      <c r="C9486" s="15"/>
      <c r="E9486" s="8"/>
      <c r="G9486" s="8"/>
      <c r="J9486" s="8"/>
    </row>
    <row r="9487">
      <c r="C9487" s="15"/>
      <c r="E9487" s="8"/>
      <c r="G9487" s="8"/>
      <c r="J9487" s="8"/>
    </row>
    <row r="9488">
      <c r="C9488" s="15"/>
      <c r="E9488" s="8"/>
      <c r="G9488" s="8"/>
      <c r="J9488" s="8"/>
    </row>
    <row r="9489">
      <c r="C9489" s="15"/>
      <c r="E9489" s="8"/>
      <c r="G9489" s="8"/>
      <c r="J9489" s="8"/>
    </row>
    <row r="9490">
      <c r="C9490" s="15"/>
      <c r="E9490" s="8"/>
      <c r="G9490" s="8"/>
      <c r="J9490" s="8"/>
    </row>
    <row r="9491">
      <c r="C9491" s="15"/>
      <c r="E9491" s="8"/>
      <c r="G9491" s="8"/>
      <c r="J9491" s="8"/>
    </row>
    <row r="9492">
      <c r="C9492" s="15"/>
      <c r="E9492" s="8"/>
      <c r="G9492" s="8"/>
      <c r="J9492" s="8"/>
    </row>
    <row r="9493">
      <c r="C9493" s="15"/>
      <c r="E9493" s="8"/>
      <c r="G9493" s="8"/>
      <c r="J9493" s="8"/>
    </row>
    <row r="9494">
      <c r="C9494" s="15"/>
      <c r="E9494" s="8"/>
      <c r="G9494" s="8"/>
      <c r="J9494" s="8"/>
    </row>
    <row r="9495">
      <c r="C9495" s="15"/>
      <c r="E9495" s="8"/>
      <c r="G9495" s="8"/>
      <c r="J9495" s="8"/>
    </row>
    <row r="9496">
      <c r="C9496" s="15"/>
      <c r="E9496" s="8"/>
      <c r="G9496" s="8"/>
      <c r="J9496" s="8"/>
    </row>
    <row r="9497">
      <c r="C9497" s="15"/>
      <c r="E9497" s="8"/>
      <c r="G9497" s="8"/>
      <c r="J9497" s="8"/>
    </row>
    <row r="9498">
      <c r="C9498" s="15"/>
      <c r="E9498" s="8"/>
      <c r="G9498" s="8"/>
      <c r="J9498" s="8"/>
    </row>
    <row r="9499">
      <c r="C9499" s="15"/>
      <c r="E9499" s="8"/>
      <c r="G9499" s="8"/>
      <c r="J9499" s="8"/>
    </row>
    <row r="9500">
      <c r="C9500" s="15"/>
      <c r="E9500" s="8"/>
      <c r="G9500" s="8"/>
      <c r="J9500" s="8"/>
    </row>
    <row r="9501">
      <c r="C9501" s="15"/>
      <c r="E9501" s="8"/>
      <c r="G9501" s="8"/>
      <c r="J9501" s="8"/>
    </row>
    <row r="9502">
      <c r="C9502" s="15"/>
      <c r="E9502" s="8"/>
      <c r="G9502" s="8"/>
      <c r="J9502" s="8"/>
    </row>
    <row r="9503">
      <c r="C9503" s="15"/>
      <c r="E9503" s="8"/>
      <c r="G9503" s="8"/>
      <c r="J9503" s="8"/>
    </row>
    <row r="9504">
      <c r="C9504" s="15"/>
      <c r="E9504" s="8"/>
      <c r="G9504" s="8"/>
      <c r="J9504" s="8"/>
    </row>
    <row r="9505">
      <c r="C9505" s="15"/>
      <c r="E9505" s="8"/>
      <c r="G9505" s="8"/>
      <c r="J9505" s="8"/>
    </row>
    <row r="9506">
      <c r="C9506" s="15"/>
      <c r="E9506" s="8"/>
      <c r="G9506" s="8"/>
      <c r="J9506" s="8"/>
    </row>
    <row r="9507">
      <c r="C9507" s="15"/>
      <c r="E9507" s="8"/>
      <c r="G9507" s="8"/>
      <c r="J9507" s="8"/>
    </row>
    <row r="9508">
      <c r="C9508" s="15"/>
      <c r="E9508" s="8"/>
      <c r="G9508" s="8"/>
      <c r="J9508" s="8"/>
    </row>
    <row r="9509">
      <c r="C9509" s="15"/>
      <c r="E9509" s="8"/>
      <c r="G9509" s="8"/>
      <c r="J9509" s="8"/>
    </row>
    <row r="9510">
      <c r="C9510" s="15"/>
      <c r="E9510" s="8"/>
      <c r="G9510" s="8"/>
      <c r="J9510" s="8"/>
    </row>
    <row r="9511">
      <c r="C9511" s="15"/>
      <c r="E9511" s="8"/>
      <c r="G9511" s="8"/>
      <c r="J9511" s="8"/>
    </row>
    <row r="9512">
      <c r="C9512" s="15"/>
      <c r="E9512" s="8"/>
      <c r="G9512" s="8"/>
      <c r="J9512" s="8"/>
    </row>
    <row r="9513">
      <c r="C9513" s="15"/>
      <c r="E9513" s="8"/>
      <c r="G9513" s="8"/>
      <c r="J9513" s="8"/>
    </row>
    <row r="9514">
      <c r="C9514" s="15"/>
      <c r="E9514" s="8"/>
      <c r="G9514" s="8"/>
      <c r="J9514" s="8"/>
    </row>
    <row r="9515">
      <c r="C9515" s="15"/>
      <c r="E9515" s="8"/>
      <c r="G9515" s="8"/>
      <c r="J9515" s="8"/>
    </row>
    <row r="9516">
      <c r="C9516" s="15"/>
      <c r="E9516" s="8"/>
      <c r="G9516" s="8"/>
      <c r="J9516" s="8"/>
    </row>
    <row r="9517">
      <c r="C9517" s="15"/>
      <c r="E9517" s="8"/>
      <c r="G9517" s="8"/>
      <c r="J9517" s="8"/>
    </row>
    <row r="9518">
      <c r="C9518" s="15"/>
      <c r="E9518" s="8"/>
      <c r="G9518" s="8"/>
      <c r="J9518" s="8"/>
    </row>
    <row r="9519">
      <c r="C9519" s="15"/>
      <c r="E9519" s="8"/>
      <c r="G9519" s="8"/>
      <c r="J9519" s="8"/>
    </row>
    <row r="9520">
      <c r="C9520" s="15"/>
      <c r="E9520" s="8"/>
      <c r="G9520" s="8"/>
      <c r="J9520" s="8"/>
    </row>
    <row r="9521">
      <c r="C9521" s="15"/>
      <c r="E9521" s="8"/>
      <c r="G9521" s="8"/>
      <c r="J9521" s="8"/>
    </row>
    <row r="9522">
      <c r="C9522" s="15"/>
      <c r="E9522" s="8"/>
      <c r="G9522" s="8"/>
      <c r="J9522" s="8"/>
    </row>
    <row r="9523">
      <c r="C9523" s="15"/>
      <c r="E9523" s="8"/>
      <c r="G9523" s="8"/>
      <c r="J9523" s="8"/>
    </row>
    <row r="9524">
      <c r="C9524" s="15"/>
      <c r="E9524" s="8"/>
      <c r="G9524" s="8"/>
      <c r="J9524" s="8"/>
    </row>
    <row r="9525">
      <c r="C9525" s="15"/>
      <c r="E9525" s="8"/>
      <c r="G9525" s="8"/>
      <c r="J9525" s="8"/>
    </row>
    <row r="9526">
      <c r="C9526" s="15"/>
      <c r="E9526" s="8"/>
      <c r="G9526" s="8"/>
      <c r="J9526" s="8"/>
    </row>
    <row r="9527">
      <c r="C9527" s="15"/>
      <c r="E9527" s="8"/>
      <c r="G9527" s="8"/>
      <c r="J9527" s="8"/>
    </row>
    <row r="9528">
      <c r="C9528" s="15"/>
      <c r="E9528" s="8"/>
      <c r="G9528" s="8"/>
      <c r="J9528" s="8"/>
    </row>
    <row r="9529">
      <c r="C9529" s="15"/>
      <c r="E9529" s="8"/>
      <c r="G9529" s="8"/>
      <c r="J9529" s="8"/>
    </row>
    <row r="9530">
      <c r="C9530" s="15"/>
      <c r="E9530" s="8"/>
      <c r="G9530" s="8"/>
      <c r="J9530" s="8"/>
    </row>
    <row r="9531">
      <c r="C9531" s="15"/>
      <c r="E9531" s="8"/>
      <c r="G9531" s="8"/>
      <c r="J9531" s="8"/>
    </row>
    <row r="9532">
      <c r="C9532" s="15"/>
      <c r="E9532" s="8"/>
      <c r="G9532" s="8"/>
      <c r="J9532" s="8"/>
    </row>
    <row r="9533">
      <c r="C9533" s="15"/>
      <c r="E9533" s="8"/>
      <c r="G9533" s="8"/>
      <c r="J9533" s="8"/>
    </row>
    <row r="9534">
      <c r="C9534" s="15"/>
      <c r="E9534" s="8"/>
      <c r="G9534" s="8"/>
      <c r="J9534" s="8"/>
    </row>
    <row r="9535">
      <c r="C9535" s="15"/>
      <c r="E9535" s="8"/>
      <c r="G9535" s="8"/>
      <c r="J9535" s="8"/>
    </row>
    <row r="9536">
      <c r="C9536" s="15"/>
      <c r="E9536" s="8"/>
      <c r="G9536" s="8"/>
      <c r="J9536" s="8"/>
    </row>
    <row r="9537">
      <c r="C9537" s="15"/>
      <c r="E9537" s="8"/>
      <c r="G9537" s="8"/>
      <c r="J9537" s="8"/>
    </row>
    <row r="9538">
      <c r="C9538" s="15"/>
      <c r="E9538" s="8"/>
      <c r="G9538" s="8"/>
      <c r="J9538" s="8"/>
    </row>
    <row r="9539">
      <c r="C9539" s="15"/>
      <c r="E9539" s="8"/>
      <c r="G9539" s="8"/>
      <c r="J9539" s="8"/>
    </row>
    <row r="9540">
      <c r="C9540" s="15"/>
      <c r="E9540" s="8"/>
      <c r="G9540" s="8"/>
      <c r="J9540" s="8"/>
    </row>
    <row r="9541">
      <c r="C9541" s="15"/>
      <c r="E9541" s="8"/>
      <c r="G9541" s="8"/>
      <c r="J9541" s="8"/>
    </row>
    <row r="9542">
      <c r="C9542" s="15"/>
      <c r="E9542" s="8"/>
      <c r="G9542" s="8"/>
      <c r="J9542" s="8"/>
    </row>
    <row r="9543">
      <c r="C9543" s="15"/>
      <c r="E9543" s="8"/>
      <c r="G9543" s="8"/>
      <c r="J9543" s="8"/>
    </row>
    <row r="9544">
      <c r="C9544" s="15"/>
      <c r="E9544" s="8"/>
      <c r="G9544" s="8"/>
      <c r="J9544" s="8"/>
    </row>
    <row r="9545">
      <c r="C9545" s="15"/>
      <c r="E9545" s="8"/>
      <c r="G9545" s="8"/>
      <c r="J9545" s="8"/>
    </row>
    <row r="9546">
      <c r="C9546" s="15"/>
      <c r="E9546" s="8"/>
      <c r="G9546" s="8"/>
      <c r="J9546" s="8"/>
    </row>
    <row r="9547">
      <c r="C9547" s="15"/>
      <c r="E9547" s="8"/>
      <c r="G9547" s="8"/>
      <c r="J9547" s="8"/>
    </row>
    <row r="9548">
      <c r="C9548" s="15"/>
      <c r="E9548" s="8"/>
      <c r="G9548" s="8"/>
      <c r="J9548" s="8"/>
    </row>
    <row r="9549">
      <c r="C9549" s="15"/>
      <c r="E9549" s="8"/>
      <c r="G9549" s="8"/>
      <c r="J9549" s="8"/>
    </row>
    <row r="9550">
      <c r="C9550" s="15"/>
      <c r="E9550" s="8"/>
      <c r="G9550" s="8"/>
      <c r="J9550" s="8"/>
    </row>
    <row r="9551">
      <c r="C9551" s="15"/>
      <c r="E9551" s="8"/>
      <c r="G9551" s="8"/>
      <c r="J9551" s="8"/>
    </row>
    <row r="9552">
      <c r="C9552" s="15"/>
      <c r="E9552" s="8"/>
      <c r="G9552" s="8"/>
      <c r="J9552" s="8"/>
    </row>
    <row r="9553">
      <c r="C9553" s="15"/>
      <c r="E9553" s="8"/>
      <c r="G9553" s="8"/>
      <c r="J9553" s="8"/>
    </row>
    <row r="9554">
      <c r="C9554" s="15"/>
      <c r="E9554" s="8"/>
      <c r="G9554" s="8"/>
      <c r="J9554" s="8"/>
    </row>
    <row r="9555">
      <c r="C9555" s="15"/>
      <c r="E9555" s="8"/>
      <c r="G9555" s="8"/>
      <c r="J9555" s="8"/>
    </row>
    <row r="9556">
      <c r="C9556" s="15"/>
      <c r="E9556" s="8"/>
      <c r="G9556" s="8"/>
      <c r="J9556" s="8"/>
    </row>
    <row r="9557">
      <c r="C9557" s="15"/>
      <c r="E9557" s="8"/>
      <c r="G9557" s="8"/>
      <c r="J9557" s="8"/>
    </row>
    <row r="9558">
      <c r="C9558" s="15"/>
      <c r="E9558" s="8"/>
      <c r="G9558" s="8"/>
      <c r="J9558" s="8"/>
    </row>
    <row r="9559">
      <c r="C9559" s="15"/>
      <c r="E9559" s="8"/>
      <c r="G9559" s="8"/>
      <c r="J9559" s="8"/>
    </row>
    <row r="9560">
      <c r="C9560" s="15"/>
      <c r="E9560" s="8"/>
      <c r="G9560" s="8"/>
      <c r="J9560" s="8"/>
    </row>
    <row r="9561">
      <c r="C9561" s="15"/>
      <c r="E9561" s="8"/>
      <c r="G9561" s="8"/>
      <c r="J9561" s="8"/>
    </row>
    <row r="9562">
      <c r="C9562" s="15"/>
      <c r="E9562" s="8"/>
      <c r="G9562" s="8"/>
      <c r="J9562" s="8"/>
    </row>
    <row r="9563">
      <c r="C9563" s="15"/>
      <c r="E9563" s="8"/>
      <c r="G9563" s="8"/>
      <c r="J9563" s="8"/>
    </row>
    <row r="9564">
      <c r="C9564" s="15"/>
      <c r="E9564" s="8"/>
      <c r="G9564" s="8"/>
      <c r="J9564" s="8"/>
    </row>
    <row r="9565">
      <c r="C9565" s="15"/>
      <c r="E9565" s="8"/>
      <c r="G9565" s="8"/>
      <c r="J9565" s="8"/>
    </row>
    <row r="9566">
      <c r="C9566" s="15"/>
      <c r="E9566" s="8"/>
      <c r="G9566" s="8"/>
      <c r="J9566" s="8"/>
    </row>
    <row r="9567">
      <c r="C9567" s="15"/>
      <c r="E9567" s="8"/>
      <c r="G9567" s="8"/>
      <c r="J9567" s="8"/>
    </row>
    <row r="9568">
      <c r="C9568" s="15"/>
      <c r="E9568" s="8"/>
      <c r="G9568" s="8"/>
      <c r="J9568" s="8"/>
    </row>
    <row r="9569">
      <c r="C9569" s="15"/>
      <c r="E9569" s="8"/>
      <c r="G9569" s="8"/>
      <c r="J9569" s="8"/>
    </row>
    <row r="9570">
      <c r="C9570" s="15"/>
      <c r="E9570" s="8"/>
      <c r="G9570" s="8"/>
      <c r="J9570" s="8"/>
    </row>
    <row r="9571">
      <c r="C9571" s="15"/>
      <c r="E9571" s="8"/>
      <c r="G9571" s="8"/>
      <c r="J9571" s="8"/>
    </row>
    <row r="9572">
      <c r="C9572" s="15"/>
      <c r="E9572" s="8"/>
      <c r="G9572" s="8"/>
      <c r="J9572" s="8"/>
    </row>
    <row r="9573">
      <c r="C9573" s="15"/>
      <c r="E9573" s="8"/>
      <c r="G9573" s="8"/>
      <c r="J9573" s="8"/>
    </row>
    <row r="9574">
      <c r="C9574" s="15"/>
      <c r="E9574" s="8"/>
      <c r="G9574" s="8"/>
      <c r="J9574" s="8"/>
    </row>
    <row r="9575">
      <c r="C9575" s="15"/>
      <c r="E9575" s="8"/>
      <c r="G9575" s="8"/>
      <c r="J9575" s="8"/>
    </row>
    <row r="9576">
      <c r="C9576" s="15"/>
      <c r="E9576" s="8"/>
      <c r="G9576" s="8"/>
      <c r="J9576" s="8"/>
    </row>
    <row r="9577">
      <c r="C9577" s="15"/>
      <c r="E9577" s="8"/>
      <c r="G9577" s="8"/>
      <c r="J9577" s="8"/>
    </row>
    <row r="9578">
      <c r="C9578" s="15"/>
      <c r="E9578" s="8"/>
      <c r="G9578" s="8"/>
      <c r="J9578" s="8"/>
    </row>
    <row r="9579">
      <c r="C9579" s="15"/>
      <c r="E9579" s="8"/>
      <c r="G9579" s="8"/>
      <c r="J9579" s="8"/>
    </row>
    <row r="9580">
      <c r="C9580" s="15"/>
      <c r="E9580" s="8"/>
      <c r="G9580" s="8"/>
      <c r="J9580" s="8"/>
    </row>
    <row r="9581">
      <c r="C9581" s="15"/>
      <c r="E9581" s="8"/>
      <c r="G9581" s="8"/>
      <c r="J9581" s="8"/>
    </row>
    <row r="9582">
      <c r="C9582" s="15"/>
      <c r="E9582" s="8"/>
      <c r="G9582" s="8"/>
      <c r="J9582" s="8"/>
    </row>
    <row r="9583">
      <c r="C9583" s="15"/>
      <c r="E9583" s="8"/>
      <c r="G9583" s="8"/>
      <c r="J9583" s="8"/>
    </row>
    <row r="9584">
      <c r="C9584" s="15"/>
      <c r="E9584" s="8"/>
      <c r="G9584" s="8"/>
      <c r="J9584" s="8"/>
    </row>
    <row r="9585">
      <c r="C9585" s="15"/>
      <c r="E9585" s="8"/>
      <c r="G9585" s="8"/>
      <c r="J9585" s="8"/>
    </row>
    <row r="9586">
      <c r="C9586" s="15"/>
      <c r="E9586" s="8"/>
      <c r="G9586" s="8"/>
      <c r="J9586" s="8"/>
    </row>
    <row r="9587">
      <c r="C9587" s="15"/>
      <c r="E9587" s="8"/>
      <c r="G9587" s="8"/>
      <c r="J9587" s="8"/>
    </row>
    <row r="9588">
      <c r="C9588" s="15"/>
      <c r="E9588" s="8"/>
      <c r="G9588" s="8"/>
      <c r="J9588" s="8"/>
    </row>
    <row r="9589">
      <c r="C9589" s="15"/>
      <c r="E9589" s="8"/>
      <c r="G9589" s="8"/>
      <c r="J9589" s="8"/>
    </row>
    <row r="9590">
      <c r="C9590" s="15"/>
      <c r="E9590" s="8"/>
      <c r="G9590" s="8"/>
      <c r="J9590" s="8"/>
    </row>
    <row r="9591">
      <c r="C9591" s="15"/>
      <c r="E9591" s="8"/>
      <c r="G9591" s="8"/>
      <c r="J9591" s="8"/>
    </row>
    <row r="9592">
      <c r="C9592" s="15"/>
      <c r="E9592" s="8"/>
      <c r="G9592" s="8"/>
      <c r="J9592" s="8"/>
    </row>
    <row r="9593">
      <c r="C9593" s="15"/>
      <c r="E9593" s="8"/>
      <c r="G9593" s="8"/>
      <c r="J9593" s="8"/>
    </row>
    <row r="9594">
      <c r="C9594" s="15"/>
      <c r="E9594" s="8"/>
      <c r="G9594" s="8"/>
      <c r="J9594" s="8"/>
    </row>
    <row r="9595">
      <c r="C9595" s="15"/>
      <c r="E9595" s="8"/>
      <c r="G9595" s="8"/>
      <c r="J9595" s="8"/>
    </row>
    <row r="9596">
      <c r="C9596" s="15"/>
      <c r="E9596" s="8"/>
      <c r="G9596" s="8"/>
      <c r="J9596" s="8"/>
    </row>
    <row r="9597">
      <c r="C9597" s="15"/>
      <c r="E9597" s="8"/>
      <c r="G9597" s="8"/>
      <c r="J9597" s="8"/>
    </row>
    <row r="9598">
      <c r="C9598" s="15"/>
      <c r="E9598" s="8"/>
      <c r="G9598" s="8"/>
      <c r="J9598" s="8"/>
    </row>
    <row r="9599">
      <c r="C9599" s="15"/>
      <c r="E9599" s="8"/>
      <c r="G9599" s="8"/>
      <c r="J9599" s="8"/>
    </row>
    <row r="9600">
      <c r="C9600" s="15"/>
      <c r="E9600" s="8"/>
      <c r="G9600" s="8"/>
      <c r="J9600" s="8"/>
    </row>
    <row r="9601">
      <c r="C9601" s="15"/>
      <c r="E9601" s="8"/>
      <c r="G9601" s="8"/>
      <c r="J9601" s="8"/>
    </row>
    <row r="9602">
      <c r="C9602" s="15"/>
      <c r="E9602" s="8"/>
      <c r="G9602" s="8"/>
      <c r="J9602" s="8"/>
    </row>
    <row r="9603">
      <c r="C9603" s="15"/>
      <c r="E9603" s="8"/>
      <c r="G9603" s="8"/>
      <c r="J9603" s="8"/>
    </row>
    <row r="9604">
      <c r="C9604" s="15"/>
      <c r="E9604" s="8"/>
      <c r="G9604" s="8"/>
      <c r="J9604" s="8"/>
    </row>
    <row r="9605">
      <c r="C9605" s="15"/>
      <c r="E9605" s="8"/>
      <c r="G9605" s="8"/>
      <c r="J9605" s="8"/>
    </row>
    <row r="9606">
      <c r="C9606" s="15"/>
      <c r="E9606" s="8"/>
      <c r="G9606" s="8"/>
      <c r="J9606" s="8"/>
    </row>
    <row r="9607">
      <c r="C9607" s="15"/>
      <c r="E9607" s="8"/>
      <c r="G9607" s="8"/>
      <c r="J9607" s="8"/>
    </row>
    <row r="9608">
      <c r="C9608" s="15"/>
      <c r="E9608" s="8"/>
      <c r="G9608" s="8"/>
      <c r="J9608" s="8"/>
    </row>
    <row r="9609">
      <c r="C9609" s="15"/>
      <c r="E9609" s="8"/>
      <c r="G9609" s="8"/>
      <c r="J9609" s="8"/>
    </row>
    <row r="9610">
      <c r="C9610" s="15"/>
      <c r="E9610" s="8"/>
      <c r="G9610" s="8"/>
      <c r="J9610" s="8"/>
    </row>
    <row r="9611">
      <c r="C9611" s="15"/>
      <c r="E9611" s="8"/>
      <c r="G9611" s="8"/>
      <c r="J9611" s="8"/>
    </row>
    <row r="9612">
      <c r="C9612" s="15"/>
      <c r="E9612" s="8"/>
      <c r="G9612" s="8"/>
      <c r="J9612" s="8"/>
    </row>
    <row r="9613">
      <c r="C9613" s="15"/>
      <c r="E9613" s="8"/>
      <c r="G9613" s="8"/>
      <c r="J9613" s="8"/>
    </row>
    <row r="9614">
      <c r="C9614" s="15"/>
      <c r="E9614" s="8"/>
      <c r="G9614" s="8"/>
      <c r="J9614" s="8"/>
    </row>
    <row r="9615">
      <c r="C9615" s="15"/>
      <c r="E9615" s="8"/>
      <c r="G9615" s="8"/>
      <c r="J9615" s="8"/>
    </row>
    <row r="9616">
      <c r="C9616" s="15"/>
      <c r="E9616" s="8"/>
      <c r="G9616" s="8"/>
      <c r="J9616" s="8"/>
    </row>
    <row r="9617">
      <c r="C9617" s="15"/>
      <c r="E9617" s="8"/>
      <c r="G9617" s="8"/>
      <c r="J9617" s="8"/>
    </row>
    <row r="9618">
      <c r="C9618" s="15"/>
      <c r="E9618" s="8"/>
      <c r="G9618" s="8"/>
      <c r="J9618" s="8"/>
    </row>
    <row r="9619">
      <c r="C9619" s="15"/>
      <c r="E9619" s="8"/>
      <c r="G9619" s="8"/>
      <c r="J9619" s="8"/>
    </row>
    <row r="9620">
      <c r="C9620" s="15"/>
      <c r="E9620" s="8"/>
      <c r="G9620" s="8"/>
      <c r="J9620" s="8"/>
    </row>
    <row r="9621">
      <c r="C9621" s="15"/>
      <c r="E9621" s="8"/>
      <c r="G9621" s="8"/>
      <c r="J9621" s="8"/>
    </row>
    <row r="9622">
      <c r="C9622" s="15"/>
      <c r="E9622" s="8"/>
      <c r="G9622" s="8"/>
      <c r="J9622" s="8"/>
    </row>
    <row r="9623">
      <c r="C9623" s="15"/>
      <c r="E9623" s="8"/>
      <c r="G9623" s="8"/>
      <c r="J9623" s="8"/>
    </row>
    <row r="9624">
      <c r="C9624" s="15"/>
      <c r="E9624" s="8"/>
      <c r="G9624" s="8"/>
      <c r="J9624" s="8"/>
    </row>
    <row r="9625">
      <c r="C9625" s="15"/>
      <c r="E9625" s="8"/>
      <c r="G9625" s="8"/>
      <c r="J9625" s="8"/>
    </row>
    <row r="9626">
      <c r="C9626" s="15"/>
      <c r="E9626" s="8"/>
      <c r="G9626" s="8"/>
      <c r="J9626" s="8"/>
    </row>
    <row r="9627">
      <c r="C9627" s="15"/>
      <c r="E9627" s="8"/>
      <c r="G9627" s="8"/>
      <c r="J9627" s="8"/>
    </row>
    <row r="9628">
      <c r="C9628" s="15"/>
      <c r="E9628" s="8"/>
      <c r="G9628" s="8"/>
      <c r="J9628" s="8"/>
    </row>
    <row r="9629">
      <c r="C9629" s="15"/>
      <c r="E9629" s="8"/>
      <c r="G9629" s="8"/>
      <c r="J9629" s="8"/>
    </row>
    <row r="9630">
      <c r="C9630" s="15"/>
      <c r="E9630" s="8"/>
      <c r="G9630" s="8"/>
      <c r="J9630" s="8"/>
    </row>
    <row r="9631">
      <c r="C9631" s="15"/>
      <c r="E9631" s="8"/>
      <c r="G9631" s="8"/>
      <c r="J9631" s="8"/>
    </row>
    <row r="9632">
      <c r="C9632" s="15"/>
      <c r="E9632" s="8"/>
      <c r="G9632" s="8"/>
      <c r="J9632" s="8"/>
    </row>
    <row r="9633">
      <c r="C9633" s="15"/>
      <c r="E9633" s="8"/>
      <c r="G9633" s="8"/>
      <c r="J9633" s="8"/>
    </row>
    <row r="9634">
      <c r="C9634" s="15"/>
      <c r="E9634" s="8"/>
      <c r="G9634" s="8"/>
      <c r="J9634" s="8"/>
    </row>
    <row r="9635">
      <c r="C9635" s="15"/>
      <c r="E9635" s="8"/>
      <c r="G9635" s="8"/>
      <c r="J9635" s="8"/>
    </row>
    <row r="9636">
      <c r="C9636" s="15"/>
      <c r="E9636" s="8"/>
      <c r="G9636" s="8"/>
      <c r="J9636" s="8"/>
    </row>
    <row r="9637">
      <c r="C9637" s="15"/>
      <c r="E9637" s="8"/>
      <c r="G9637" s="8"/>
      <c r="J9637" s="8"/>
    </row>
    <row r="9638">
      <c r="C9638" s="15"/>
      <c r="E9638" s="8"/>
      <c r="G9638" s="8"/>
      <c r="J9638" s="8"/>
    </row>
    <row r="9639">
      <c r="C9639" s="15"/>
      <c r="E9639" s="8"/>
      <c r="G9639" s="8"/>
      <c r="J9639" s="8"/>
    </row>
    <row r="9640">
      <c r="C9640" s="15"/>
      <c r="E9640" s="8"/>
      <c r="G9640" s="8"/>
      <c r="J9640" s="8"/>
    </row>
    <row r="9641">
      <c r="C9641" s="15"/>
      <c r="E9641" s="8"/>
      <c r="G9641" s="8"/>
      <c r="J9641" s="8"/>
    </row>
    <row r="9642">
      <c r="C9642" s="15"/>
      <c r="E9642" s="8"/>
      <c r="G9642" s="8"/>
      <c r="J9642" s="8"/>
    </row>
    <row r="9643">
      <c r="C9643" s="15"/>
      <c r="E9643" s="8"/>
      <c r="G9643" s="8"/>
      <c r="J9643" s="8"/>
    </row>
    <row r="9644">
      <c r="C9644" s="15"/>
      <c r="E9644" s="8"/>
      <c r="G9644" s="8"/>
      <c r="J9644" s="8"/>
    </row>
    <row r="9645">
      <c r="C9645" s="15"/>
      <c r="E9645" s="8"/>
      <c r="G9645" s="8"/>
      <c r="J9645" s="8"/>
    </row>
    <row r="9646">
      <c r="C9646" s="15"/>
      <c r="E9646" s="8"/>
      <c r="G9646" s="8"/>
      <c r="J9646" s="8"/>
    </row>
    <row r="9647">
      <c r="C9647" s="15"/>
      <c r="E9647" s="8"/>
      <c r="G9647" s="8"/>
      <c r="J9647" s="8"/>
    </row>
    <row r="9648">
      <c r="C9648" s="15"/>
      <c r="E9648" s="8"/>
      <c r="G9648" s="8"/>
      <c r="J9648" s="8"/>
    </row>
    <row r="9649">
      <c r="C9649" s="15"/>
      <c r="E9649" s="8"/>
      <c r="G9649" s="8"/>
      <c r="J9649" s="8"/>
    </row>
    <row r="9650">
      <c r="C9650" s="15"/>
      <c r="E9650" s="8"/>
      <c r="G9650" s="8"/>
      <c r="J9650" s="8"/>
    </row>
    <row r="9651">
      <c r="C9651" s="15"/>
      <c r="E9651" s="8"/>
      <c r="G9651" s="8"/>
      <c r="J9651" s="8"/>
    </row>
    <row r="9652">
      <c r="C9652" s="15"/>
      <c r="E9652" s="8"/>
      <c r="G9652" s="8"/>
      <c r="J9652" s="8"/>
    </row>
    <row r="9653">
      <c r="C9653" s="15"/>
      <c r="E9653" s="8"/>
      <c r="G9653" s="8"/>
      <c r="J9653" s="8"/>
    </row>
    <row r="9654">
      <c r="C9654" s="15"/>
      <c r="E9654" s="8"/>
      <c r="G9654" s="8"/>
      <c r="J9654" s="8"/>
    </row>
    <row r="9655">
      <c r="C9655" s="15"/>
      <c r="E9655" s="8"/>
      <c r="G9655" s="8"/>
      <c r="J9655" s="8"/>
    </row>
    <row r="9656">
      <c r="C9656" s="15"/>
      <c r="E9656" s="8"/>
      <c r="G9656" s="8"/>
      <c r="J9656" s="8"/>
    </row>
    <row r="9657">
      <c r="C9657" s="15"/>
      <c r="E9657" s="8"/>
      <c r="G9657" s="8"/>
      <c r="J9657" s="8"/>
    </row>
    <row r="9658">
      <c r="C9658" s="15"/>
      <c r="E9658" s="8"/>
      <c r="G9658" s="8"/>
      <c r="J9658" s="8"/>
    </row>
    <row r="9659">
      <c r="C9659" s="15"/>
      <c r="E9659" s="8"/>
      <c r="G9659" s="8"/>
      <c r="J9659" s="8"/>
    </row>
    <row r="9660">
      <c r="C9660" s="15"/>
      <c r="E9660" s="8"/>
      <c r="G9660" s="8"/>
      <c r="J9660" s="8"/>
    </row>
    <row r="9661">
      <c r="C9661" s="15"/>
      <c r="E9661" s="8"/>
      <c r="G9661" s="8"/>
      <c r="J9661" s="8"/>
    </row>
    <row r="9662">
      <c r="C9662" s="15"/>
      <c r="E9662" s="8"/>
      <c r="G9662" s="8"/>
      <c r="J9662" s="8"/>
    </row>
    <row r="9663">
      <c r="C9663" s="15"/>
      <c r="E9663" s="8"/>
      <c r="G9663" s="8"/>
      <c r="J9663" s="8"/>
    </row>
    <row r="9664">
      <c r="C9664" s="15"/>
      <c r="E9664" s="8"/>
      <c r="G9664" s="8"/>
      <c r="J9664" s="8"/>
    </row>
    <row r="9665">
      <c r="C9665" s="15"/>
      <c r="E9665" s="8"/>
      <c r="G9665" s="8"/>
      <c r="J9665" s="8"/>
    </row>
    <row r="9666">
      <c r="C9666" s="15"/>
      <c r="E9666" s="8"/>
      <c r="G9666" s="8"/>
      <c r="J9666" s="8"/>
    </row>
    <row r="9667">
      <c r="C9667" s="15"/>
      <c r="E9667" s="8"/>
      <c r="G9667" s="8"/>
      <c r="J9667" s="8"/>
    </row>
    <row r="9668">
      <c r="C9668" s="15"/>
      <c r="E9668" s="8"/>
      <c r="G9668" s="8"/>
      <c r="J9668" s="8"/>
    </row>
    <row r="9669">
      <c r="C9669" s="15"/>
      <c r="E9669" s="8"/>
      <c r="G9669" s="8"/>
      <c r="J9669" s="8"/>
    </row>
    <row r="9670">
      <c r="C9670" s="15"/>
      <c r="E9670" s="8"/>
      <c r="G9670" s="8"/>
      <c r="J9670" s="8"/>
    </row>
    <row r="9671">
      <c r="C9671" s="15"/>
      <c r="E9671" s="8"/>
      <c r="G9671" s="8"/>
      <c r="J9671" s="8"/>
    </row>
    <row r="9672">
      <c r="C9672" s="15"/>
      <c r="E9672" s="8"/>
      <c r="G9672" s="8"/>
      <c r="J9672" s="8"/>
    </row>
    <row r="9673">
      <c r="C9673" s="15"/>
      <c r="E9673" s="8"/>
      <c r="G9673" s="8"/>
      <c r="J9673" s="8"/>
    </row>
    <row r="9674">
      <c r="C9674" s="15"/>
      <c r="E9674" s="8"/>
      <c r="G9674" s="8"/>
      <c r="J9674" s="8"/>
    </row>
    <row r="9675">
      <c r="C9675" s="15"/>
      <c r="E9675" s="8"/>
      <c r="G9675" s="8"/>
      <c r="J9675" s="8"/>
    </row>
    <row r="9676">
      <c r="C9676" s="15"/>
      <c r="E9676" s="8"/>
      <c r="G9676" s="8"/>
      <c r="J9676" s="8"/>
    </row>
    <row r="9677">
      <c r="C9677" s="15"/>
      <c r="E9677" s="8"/>
      <c r="G9677" s="8"/>
      <c r="J9677" s="8"/>
    </row>
    <row r="9678">
      <c r="C9678" s="15"/>
      <c r="E9678" s="8"/>
      <c r="G9678" s="8"/>
      <c r="J9678" s="8"/>
    </row>
    <row r="9679">
      <c r="C9679" s="15"/>
      <c r="E9679" s="8"/>
      <c r="G9679" s="8"/>
      <c r="J9679" s="8"/>
    </row>
    <row r="9680">
      <c r="C9680" s="15"/>
      <c r="E9680" s="8"/>
      <c r="G9680" s="8"/>
      <c r="J9680" s="8"/>
    </row>
    <row r="9681">
      <c r="C9681" s="15"/>
      <c r="E9681" s="8"/>
      <c r="G9681" s="8"/>
      <c r="J9681" s="8"/>
    </row>
    <row r="9682">
      <c r="C9682" s="15"/>
      <c r="E9682" s="8"/>
      <c r="G9682" s="8"/>
      <c r="J9682" s="8"/>
    </row>
    <row r="9683">
      <c r="C9683" s="15"/>
      <c r="E9683" s="8"/>
      <c r="G9683" s="8"/>
      <c r="J9683" s="8"/>
    </row>
    <row r="9684">
      <c r="C9684" s="15"/>
      <c r="E9684" s="8"/>
      <c r="G9684" s="8"/>
      <c r="J9684" s="8"/>
    </row>
    <row r="9685">
      <c r="C9685" s="15"/>
      <c r="E9685" s="8"/>
      <c r="G9685" s="8"/>
      <c r="J9685" s="8"/>
    </row>
    <row r="9686">
      <c r="C9686" s="15"/>
      <c r="E9686" s="8"/>
      <c r="G9686" s="8"/>
      <c r="J9686" s="8"/>
    </row>
    <row r="9687">
      <c r="C9687" s="15"/>
      <c r="E9687" s="8"/>
      <c r="G9687" s="8"/>
      <c r="J9687" s="8"/>
    </row>
    <row r="9688">
      <c r="C9688" s="15"/>
      <c r="E9688" s="8"/>
      <c r="G9688" s="8"/>
      <c r="J9688" s="8"/>
    </row>
    <row r="9689">
      <c r="C9689" s="15"/>
      <c r="E9689" s="8"/>
      <c r="G9689" s="8"/>
      <c r="J9689" s="8"/>
    </row>
    <row r="9690">
      <c r="C9690" s="15"/>
      <c r="E9690" s="8"/>
      <c r="G9690" s="8"/>
      <c r="J9690" s="8"/>
    </row>
    <row r="9691">
      <c r="C9691" s="15"/>
      <c r="E9691" s="8"/>
      <c r="G9691" s="8"/>
      <c r="J9691" s="8"/>
    </row>
    <row r="9692">
      <c r="C9692" s="15"/>
      <c r="E9692" s="8"/>
      <c r="G9692" s="8"/>
      <c r="J9692" s="8"/>
    </row>
    <row r="9693">
      <c r="C9693" s="15"/>
      <c r="E9693" s="8"/>
      <c r="G9693" s="8"/>
      <c r="J9693" s="8"/>
    </row>
    <row r="9694">
      <c r="C9694" s="15"/>
      <c r="E9694" s="8"/>
      <c r="G9694" s="8"/>
      <c r="J9694" s="8"/>
    </row>
    <row r="9695">
      <c r="C9695" s="15"/>
      <c r="E9695" s="8"/>
      <c r="G9695" s="8"/>
      <c r="J9695" s="8"/>
    </row>
    <row r="9696">
      <c r="C9696" s="15"/>
      <c r="E9696" s="8"/>
      <c r="G9696" s="8"/>
      <c r="J9696" s="8"/>
    </row>
    <row r="9697">
      <c r="C9697" s="15"/>
      <c r="E9697" s="8"/>
      <c r="G9697" s="8"/>
      <c r="J9697" s="8"/>
    </row>
    <row r="9698">
      <c r="C9698" s="15"/>
      <c r="E9698" s="8"/>
      <c r="G9698" s="8"/>
      <c r="J9698" s="8"/>
    </row>
    <row r="9699">
      <c r="C9699" s="15"/>
      <c r="E9699" s="8"/>
      <c r="G9699" s="8"/>
      <c r="J9699" s="8"/>
    </row>
    <row r="9700">
      <c r="C9700" s="15"/>
      <c r="E9700" s="8"/>
      <c r="G9700" s="8"/>
      <c r="J9700" s="8"/>
    </row>
    <row r="9701">
      <c r="C9701" s="15"/>
      <c r="E9701" s="8"/>
      <c r="G9701" s="8"/>
      <c r="J9701" s="8"/>
    </row>
    <row r="9702">
      <c r="C9702" s="15"/>
      <c r="E9702" s="8"/>
      <c r="G9702" s="8"/>
      <c r="J9702" s="8"/>
    </row>
    <row r="9703">
      <c r="C9703" s="15"/>
      <c r="E9703" s="8"/>
      <c r="G9703" s="8"/>
      <c r="J9703" s="8"/>
    </row>
    <row r="9704">
      <c r="C9704" s="15"/>
      <c r="E9704" s="8"/>
      <c r="G9704" s="8"/>
      <c r="J9704" s="8"/>
    </row>
    <row r="9705">
      <c r="C9705" s="15"/>
      <c r="E9705" s="8"/>
      <c r="G9705" s="8"/>
      <c r="J9705" s="8"/>
    </row>
    <row r="9706">
      <c r="C9706" s="15"/>
      <c r="E9706" s="8"/>
      <c r="G9706" s="8"/>
      <c r="J9706" s="8"/>
    </row>
    <row r="9707">
      <c r="C9707" s="15"/>
      <c r="E9707" s="8"/>
      <c r="G9707" s="8"/>
      <c r="J9707" s="8"/>
    </row>
    <row r="9708">
      <c r="C9708" s="15"/>
      <c r="E9708" s="8"/>
      <c r="G9708" s="8"/>
      <c r="J9708" s="8"/>
    </row>
    <row r="9709">
      <c r="C9709" s="15"/>
      <c r="E9709" s="8"/>
      <c r="G9709" s="8"/>
      <c r="J9709" s="8"/>
    </row>
    <row r="9710">
      <c r="C9710" s="15"/>
      <c r="E9710" s="8"/>
      <c r="G9710" s="8"/>
      <c r="J9710" s="8"/>
    </row>
    <row r="9711">
      <c r="C9711" s="15"/>
      <c r="E9711" s="8"/>
      <c r="G9711" s="8"/>
      <c r="J9711" s="8"/>
    </row>
    <row r="9712">
      <c r="C9712" s="15"/>
      <c r="E9712" s="8"/>
      <c r="G9712" s="8"/>
      <c r="J9712" s="8"/>
    </row>
    <row r="9713">
      <c r="C9713" s="15"/>
      <c r="E9713" s="8"/>
      <c r="G9713" s="8"/>
      <c r="J9713" s="8"/>
    </row>
    <row r="9714">
      <c r="C9714" s="15"/>
      <c r="E9714" s="8"/>
      <c r="G9714" s="8"/>
      <c r="J9714" s="8"/>
    </row>
    <row r="9715">
      <c r="C9715" s="15"/>
      <c r="E9715" s="8"/>
      <c r="G9715" s="8"/>
      <c r="J9715" s="8"/>
    </row>
    <row r="9716">
      <c r="C9716" s="15"/>
      <c r="E9716" s="8"/>
      <c r="G9716" s="8"/>
      <c r="J9716" s="8"/>
    </row>
    <row r="9717">
      <c r="C9717" s="15"/>
      <c r="E9717" s="8"/>
      <c r="G9717" s="8"/>
      <c r="J9717" s="8"/>
    </row>
    <row r="9718">
      <c r="C9718" s="15"/>
      <c r="E9718" s="8"/>
      <c r="G9718" s="8"/>
      <c r="J9718" s="8"/>
    </row>
    <row r="9719">
      <c r="C9719" s="15"/>
      <c r="E9719" s="8"/>
      <c r="G9719" s="8"/>
      <c r="J9719" s="8"/>
    </row>
    <row r="9720">
      <c r="C9720" s="15"/>
      <c r="E9720" s="8"/>
      <c r="G9720" s="8"/>
      <c r="J9720" s="8"/>
    </row>
    <row r="9721">
      <c r="C9721" s="15"/>
      <c r="E9721" s="8"/>
      <c r="G9721" s="8"/>
      <c r="J9721" s="8"/>
    </row>
    <row r="9722">
      <c r="C9722" s="15"/>
      <c r="E9722" s="8"/>
      <c r="G9722" s="8"/>
      <c r="J9722" s="8"/>
    </row>
    <row r="9723">
      <c r="C9723" s="15"/>
      <c r="E9723" s="8"/>
      <c r="G9723" s="8"/>
      <c r="J9723" s="8"/>
    </row>
    <row r="9724">
      <c r="C9724" s="15"/>
      <c r="E9724" s="8"/>
      <c r="G9724" s="8"/>
      <c r="J9724" s="8"/>
    </row>
    <row r="9725">
      <c r="C9725" s="15"/>
      <c r="E9725" s="8"/>
      <c r="G9725" s="8"/>
      <c r="J9725" s="8"/>
    </row>
    <row r="9726">
      <c r="C9726" s="15"/>
      <c r="E9726" s="8"/>
      <c r="G9726" s="8"/>
      <c r="J9726" s="8"/>
    </row>
    <row r="9727">
      <c r="C9727" s="15"/>
      <c r="E9727" s="8"/>
      <c r="G9727" s="8"/>
      <c r="J9727" s="8"/>
    </row>
    <row r="9728">
      <c r="C9728" s="15"/>
      <c r="E9728" s="8"/>
      <c r="G9728" s="8"/>
      <c r="J9728" s="8"/>
    </row>
    <row r="9729">
      <c r="C9729" s="15"/>
      <c r="E9729" s="8"/>
      <c r="G9729" s="8"/>
      <c r="J9729" s="8"/>
    </row>
    <row r="9730">
      <c r="C9730" s="15"/>
      <c r="E9730" s="8"/>
      <c r="G9730" s="8"/>
      <c r="J9730" s="8"/>
    </row>
    <row r="9731">
      <c r="C9731" s="15"/>
      <c r="E9731" s="8"/>
      <c r="G9731" s="8"/>
      <c r="J9731" s="8"/>
    </row>
    <row r="9732">
      <c r="C9732" s="15"/>
      <c r="E9732" s="8"/>
      <c r="G9732" s="8"/>
      <c r="J9732" s="8"/>
    </row>
    <row r="9733">
      <c r="C9733" s="15"/>
      <c r="E9733" s="8"/>
      <c r="G9733" s="8"/>
      <c r="J9733" s="8"/>
    </row>
    <row r="9734">
      <c r="C9734" s="15"/>
      <c r="E9734" s="8"/>
      <c r="G9734" s="8"/>
      <c r="J9734" s="8"/>
    </row>
    <row r="9735">
      <c r="C9735" s="15"/>
      <c r="E9735" s="8"/>
      <c r="G9735" s="8"/>
      <c r="J9735" s="8"/>
    </row>
    <row r="9736">
      <c r="C9736" s="15"/>
      <c r="E9736" s="8"/>
      <c r="G9736" s="8"/>
      <c r="J9736" s="8"/>
    </row>
    <row r="9737">
      <c r="C9737" s="15"/>
      <c r="E9737" s="8"/>
      <c r="G9737" s="8"/>
      <c r="J9737" s="8"/>
    </row>
    <row r="9738">
      <c r="C9738" s="15"/>
      <c r="E9738" s="8"/>
      <c r="G9738" s="8"/>
      <c r="J9738" s="8"/>
    </row>
    <row r="9739">
      <c r="C9739" s="15"/>
      <c r="E9739" s="8"/>
      <c r="G9739" s="8"/>
      <c r="J9739" s="8"/>
    </row>
    <row r="9740">
      <c r="C9740" s="15"/>
      <c r="E9740" s="8"/>
      <c r="G9740" s="8"/>
      <c r="J9740" s="8"/>
    </row>
    <row r="9741">
      <c r="C9741" s="15"/>
      <c r="E9741" s="8"/>
      <c r="G9741" s="8"/>
      <c r="J9741" s="8"/>
    </row>
    <row r="9742">
      <c r="C9742" s="15"/>
      <c r="E9742" s="8"/>
      <c r="G9742" s="8"/>
      <c r="J9742" s="8"/>
    </row>
    <row r="9743">
      <c r="C9743" s="15"/>
      <c r="E9743" s="8"/>
      <c r="G9743" s="8"/>
      <c r="J9743" s="8"/>
    </row>
    <row r="9744">
      <c r="C9744" s="15"/>
      <c r="E9744" s="8"/>
      <c r="G9744" s="8"/>
      <c r="J9744" s="8"/>
    </row>
    <row r="9745">
      <c r="C9745" s="15"/>
      <c r="E9745" s="8"/>
      <c r="G9745" s="8"/>
      <c r="J9745" s="8"/>
    </row>
    <row r="9746">
      <c r="C9746" s="15"/>
      <c r="E9746" s="8"/>
      <c r="G9746" s="8"/>
      <c r="J9746" s="8"/>
    </row>
    <row r="9747">
      <c r="C9747" s="15"/>
      <c r="E9747" s="8"/>
      <c r="G9747" s="8"/>
      <c r="J9747" s="8"/>
    </row>
    <row r="9748">
      <c r="C9748" s="15"/>
      <c r="E9748" s="8"/>
      <c r="G9748" s="8"/>
      <c r="J9748" s="8"/>
    </row>
    <row r="9749">
      <c r="C9749" s="15"/>
      <c r="E9749" s="8"/>
      <c r="G9749" s="8"/>
      <c r="J9749" s="8"/>
    </row>
    <row r="9750">
      <c r="C9750" s="15"/>
      <c r="E9750" s="8"/>
      <c r="G9750" s="8"/>
      <c r="J9750" s="8"/>
    </row>
    <row r="9751">
      <c r="C9751" s="15"/>
      <c r="E9751" s="8"/>
      <c r="G9751" s="8"/>
      <c r="J9751" s="8"/>
    </row>
    <row r="9752">
      <c r="C9752" s="15"/>
      <c r="E9752" s="8"/>
      <c r="G9752" s="8"/>
      <c r="J9752" s="8"/>
    </row>
    <row r="9753">
      <c r="C9753" s="15"/>
      <c r="E9753" s="8"/>
      <c r="G9753" s="8"/>
      <c r="J9753" s="8"/>
    </row>
    <row r="9754">
      <c r="C9754" s="15"/>
      <c r="E9754" s="8"/>
      <c r="G9754" s="8"/>
      <c r="J9754" s="8"/>
    </row>
    <row r="9755">
      <c r="C9755" s="15"/>
      <c r="E9755" s="8"/>
      <c r="G9755" s="8"/>
      <c r="J9755" s="8"/>
    </row>
    <row r="9756">
      <c r="C9756" s="15"/>
      <c r="E9756" s="8"/>
      <c r="G9756" s="8"/>
      <c r="J9756" s="8"/>
    </row>
    <row r="9757">
      <c r="C9757" s="15"/>
      <c r="E9757" s="8"/>
      <c r="G9757" s="8"/>
      <c r="J9757" s="8"/>
    </row>
    <row r="9758">
      <c r="C9758" s="15"/>
      <c r="E9758" s="8"/>
      <c r="G9758" s="8"/>
      <c r="J9758" s="8"/>
    </row>
    <row r="9759">
      <c r="C9759" s="15"/>
      <c r="E9759" s="8"/>
      <c r="G9759" s="8"/>
      <c r="J9759" s="8"/>
    </row>
    <row r="9760">
      <c r="C9760" s="15"/>
      <c r="E9760" s="8"/>
      <c r="G9760" s="8"/>
      <c r="J9760" s="8"/>
    </row>
    <row r="9761">
      <c r="C9761" s="15"/>
      <c r="E9761" s="8"/>
      <c r="G9761" s="8"/>
      <c r="J9761" s="8"/>
    </row>
    <row r="9762">
      <c r="C9762" s="15"/>
      <c r="E9762" s="8"/>
      <c r="G9762" s="8"/>
      <c r="J9762" s="8"/>
    </row>
    <row r="9763">
      <c r="C9763" s="15"/>
      <c r="E9763" s="8"/>
      <c r="G9763" s="8"/>
      <c r="J9763" s="8"/>
    </row>
    <row r="9764">
      <c r="C9764" s="15"/>
      <c r="E9764" s="8"/>
      <c r="G9764" s="8"/>
      <c r="J9764" s="8"/>
    </row>
    <row r="9765">
      <c r="C9765" s="15"/>
      <c r="E9765" s="8"/>
      <c r="G9765" s="8"/>
      <c r="J9765" s="8"/>
    </row>
    <row r="9766">
      <c r="C9766" s="15"/>
      <c r="E9766" s="8"/>
      <c r="G9766" s="8"/>
      <c r="J9766" s="8"/>
    </row>
    <row r="9767">
      <c r="C9767" s="15"/>
      <c r="E9767" s="8"/>
      <c r="G9767" s="8"/>
      <c r="J9767" s="8"/>
    </row>
    <row r="9768">
      <c r="C9768" s="15"/>
      <c r="E9768" s="8"/>
      <c r="G9768" s="8"/>
      <c r="J9768" s="8"/>
    </row>
    <row r="9769">
      <c r="C9769" s="15"/>
      <c r="E9769" s="8"/>
      <c r="G9769" s="8"/>
      <c r="J9769" s="8"/>
    </row>
    <row r="9770">
      <c r="C9770" s="15"/>
      <c r="E9770" s="8"/>
      <c r="G9770" s="8"/>
      <c r="J9770" s="8"/>
    </row>
    <row r="9771">
      <c r="C9771" s="15"/>
      <c r="E9771" s="8"/>
      <c r="G9771" s="8"/>
      <c r="J9771" s="8"/>
    </row>
    <row r="9772">
      <c r="C9772" s="15"/>
      <c r="E9772" s="8"/>
      <c r="G9772" s="8"/>
      <c r="J9772" s="8"/>
    </row>
    <row r="9773">
      <c r="C9773" s="15"/>
      <c r="E9773" s="8"/>
      <c r="G9773" s="8"/>
      <c r="J9773" s="8"/>
    </row>
    <row r="9774">
      <c r="C9774" s="15"/>
      <c r="E9774" s="8"/>
      <c r="G9774" s="8"/>
      <c r="J9774" s="8"/>
    </row>
    <row r="9775">
      <c r="C9775" s="15"/>
      <c r="E9775" s="8"/>
      <c r="G9775" s="8"/>
      <c r="J9775" s="8"/>
    </row>
    <row r="9776">
      <c r="C9776" s="15"/>
      <c r="E9776" s="8"/>
      <c r="G9776" s="8"/>
      <c r="J9776" s="8"/>
    </row>
    <row r="9777">
      <c r="C9777" s="15"/>
      <c r="E9777" s="8"/>
      <c r="G9777" s="8"/>
      <c r="J9777" s="8"/>
    </row>
    <row r="9778">
      <c r="C9778" s="15"/>
      <c r="E9778" s="8"/>
      <c r="G9778" s="8"/>
      <c r="J9778" s="8"/>
    </row>
    <row r="9779">
      <c r="C9779" s="15"/>
      <c r="E9779" s="8"/>
      <c r="G9779" s="8"/>
      <c r="J9779" s="8"/>
    </row>
    <row r="9780">
      <c r="C9780" s="15"/>
      <c r="E9780" s="8"/>
      <c r="G9780" s="8"/>
      <c r="J9780" s="8"/>
    </row>
    <row r="9781">
      <c r="C9781" s="15"/>
      <c r="E9781" s="8"/>
      <c r="G9781" s="8"/>
      <c r="J9781" s="8"/>
    </row>
    <row r="9782">
      <c r="C9782" s="15"/>
      <c r="E9782" s="8"/>
      <c r="G9782" s="8"/>
      <c r="J9782" s="8"/>
    </row>
    <row r="9783">
      <c r="C9783" s="15"/>
      <c r="E9783" s="8"/>
      <c r="G9783" s="8"/>
      <c r="J9783" s="8"/>
    </row>
    <row r="9784">
      <c r="C9784" s="15"/>
      <c r="E9784" s="8"/>
      <c r="G9784" s="8"/>
      <c r="J9784" s="8"/>
    </row>
    <row r="9785">
      <c r="C9785" s="15"/>
      <c r="E9785" s="8"/>
      <c r="G9785" s="8"/>
      <c r="J9785" s="8"/>
    </row>
    <row r="9786">
      <c r="C9786" s="15"/>
      <c r="E9786" s="8"/>
      <c r="G9786" s="8"/>
      <c r="J9786" s="8"/>
    </row>
    <row r="9787">
      <c r="C9787" s="15"/>
      <c r="E9787" s="8"/>
      <c r="G9787" s="8"/>
      <c r="J9787" s="8"/>
    </row>
    <row r="9788">
      <c r="C9788" s="15"/>
      <c r="E9788" s="8"/>
      <c r="G9788" s="8"/>
      <c r="J9788" s="8"/>
    </row>
    <row r="9789">
      <c r="C9789" s="15"/>
      <c r="E9789" s="8"/>
      <c r="G9789" s="8"/>
      <c r="J9789" s="8"/>
    </row>
    <row r="9790">
      <c r="C9790" s="15"/>
      <c r="E9790" s="8"/>
      <c r="G9790" s="8"/>
      <c r="J9790" s="8"/>
    </row>
    <row r="9791">
      <c r="C9791" s="15"/>
      <c r="E9791" s="8"/>
      <c r="G9791" s="8"/>
      <c r="J9791" s="8"/>
    </row>
    <row r="9792">
      <c r="C9792" s="15"/>
      <c r="E9792" s="8"/>
      <c r="G9792" s="8"/>
      <c r="J9792" s="8"/>
    </row>
    <row r="9793">
      <c r="C9793" s="15"/>
      <c r="E9793" s="8"/>
      <c r="G9793" s="8"/>
      <c r="J9793" s="8"/>
    </row>
    <row r="9794">
      <c r="C9794" s="15"/>
      <c r="E9794" s="8"/>
      <c r="G9794" s="8"/>
      <c r="J9794" s="8"/>
    </row>
    <row r="9795">
      <c r="C9795" s="15"/>
      <c r="E9795" s="8"/>
      <c r="G9795" s="8"/>
      <c r="J9795" s="8"/>
    </row>
    <row r="9796">
      <c r="C9796" s="15"/>
      <c r="E9796" s="8"/>
      <c r="G9796" s="8"/>
      <c r="J9796" s="8"/>
    </row>
    <row r="9797">
      <c r="C9797" s="15"/>
      <c r="E9797" s="8"/>
      <c r="G9797" s="8"/>
      <c r="J9797" s="8"/>
    </row>
    <row r="9798">
      <c r="C9798" s="15"/>
      <c r="E9798" s="8"/>
      <c r="G9798" s="8"/>
      <c r="J9798" s="8"/>
    </row>
    <row r="9799">
      <c r="C9799" s="15"/>
      <c r="E9799" s="8"/>
      <c r="G9799" s="8"/>
      <c r="J9799" s="8"/>
    </row>
    <row r="9800">
      <c r="C9800" s="15"/>
      <c r="E9800" s="8"/>
      <c r="G9800" s="8"/>
      <c r="J9800" s="8"/>
    </row>
    <row r="9801">
      <c r="C9801" s="15"/>
      <c r="E9801" s="8"/>
      <c r="G9801" s="8"/>
      <c r="J9801" s="8"/>
    </row>
    <row r="9802">
      <c r="C9802" s="15"/>
      <c r="E9802" s="8"/>
      <c r="G9802" s="8"/>
      <c r="J9802" s="8"/>
    </row>
    <row r="9803">
      <c r="C9803" s="15"/>
      <c r="E9803" s="8"/>
      <c r="G9803" s="8"/>
      <c r="J9803" s="8"/>
    </row>
    <row r="9804">
      <c r="C9804" s="15"/>
      <c r="E9804" s="8"/>
      <c r="G9804" s="8"/>
      <c r="J9804" s="8"/>
    </row>
    <row r="9805">
      <c r="C9805" s="15"/>
      <c r="E9805" s="8"/>
      <c r="G9805" s="8"/>
      <c r="J9805" s="8"/>
    </row>
    <row r="9806">
      <c r="C9806" s="15"/>
      <c r="E9806" s="8"/>
      <c r="G9806" s="8"/>
      <c r="J9806" s="8"/>
    </row>
    <row r="9807">
      <c r="C9807" s="15"/>
      <c r="E9807" s="8"/>
      <c r="G9807" s="8"/>
      <c r="J9807" s="8"/>
    </row>
    <row r="9808">
      <c r="C9808" s="15"/>
      <c r="E9808" s="8"/>
      <c r="G9808" s="8"/>
      <c r="J9808" s="8"/>
    </row>
    <row r="9809">
      <c r="C9809" s="15"/>
      <c r="E9809" s="8"/>
      <c r="G9809" s="8"/>
      <c r="J9809" s="8"/>
    </row>
    <row r="9810">
      <c r="C9810" s="15"/>
      <c r="E9810" s="8"/>
      <c r="G9810" s="8"/>
      <c r="J9810" s="8"/>
    </row>
    <row r="9811">
      <c r="C9811" s="15"/>
      <c r="E9811" s="8"/>
      <c r="G9811" s="8"/>
      <c r="J9811" s="8"/>
    </row>
    <row r="9812">
      <c r="C9812" s="15"/>
      <c r="E9812" s="8"/>
      <c r="G9812" s="8"/>
      <c r="J9812" s="8"/>
    </row>
    <row r="9813">
      <c r="C9813" s="15"/>
      <c r="E9813" s="8"/>
      <c r="G9813" s="8"/>
      <c r="J9813" s="8"/>
    </row>
    <row r="9814">
      <c r="C9814" s="15"/>
      <c r="E9814" s="8"/>
      <c r="G9814" s="8"/>
      <c r="J9814" s="8"/>
    </row>
    <row r="9815">
      <c r="C9815" s="15"/>
      <c r="E9815" s="8"/>
      <c r="G9815" s="8"/>
      <c r="J9815" s="8"/>
    </row>
    <row r="9816">
      <c r="C9816" s="15"/>
      <c r="E9816" s="8"/>
      <c r="G9816" s="8"/>
      <c r="J9816" s="8"/>
    </row>
    <row r="9817">
      <c r="C9817" s="15"/>
      <c r="E9817" s="8"/>
      <c r="G9817" s="8"/>
      <c r="J9817" s="8"/>
    </row>
    <row r="9818">
      <c r="C9818" s="15"/>
      <c r="E9818" s="8"/>
      <c r="G9818" s="8"/>
      <c r="J9818" s="8"/>
    </row>
    <row r="9819">
      <c r="C9819" s="15"/>
      <c r="E9819" s="8"/>
      <c r="G9819" s="8"/>
      <c r="J9819" s="8"/>
    </row>
    <row r="9820">
      <c r="C9820" s="15"/>
      <c r="E9820" s="8"/>
      <c r="G9820" s="8"/>
      <c r="J9820" s="8"/>
    </row>
    <row r="9821">
      <c r="C9821" s="15"/>
      <c r="E9821" s="8"/>
      <c r="G9821" s="8"/>
      <c r="J9821" s="8"/>
    </row>
    <row r="9822">
      <c r="C9822" s="15"/>
      <c r="E9822" s="8"/>
      <c r="G9822" s="8"/>
      <c r="J9822" s="8"/>
    </row>
    <row r="9823">
      <c r="C9823" s="15"/>
      <c r="E9823" s="8"/>
      <c r="G9823" s="8"/>
      <c r="J9823" s="8"/>
    </row>
    <row r="9824">
      <c r="C9824" s="15"/>
      <c r="E9824" s="8"/>
      <c r="G9824" s="8"/>
      <c r="J9824" s="8"/>
    </row>
    <row r="9825">
      <c r="C9825" s="15"/>
      <c r="E9825" s="8"/>
      <c r="G9825" s="8"/>
      <c r="J9825" s="8"/>
    </row>
    <row r="9826">
      <c r="C9826" s="15"/>
      <c r="E9826" s="8"/>
      <c r="G9826" s="8"/>
      <c r="J9826" s="8"/>
    </row>
    <row r="9827">
      <c r="C9827" s="15"/>
      <c r="E9827" s="8"/>
      <c r="G9827" s="8"/>
      <c r="J9827" s="8"/>
    </row>
    <row r="9828">
      <c r="C9828" s="15"/>
      <c r="E9828" s="8"/>
      <c r="G9828" s="8"/>
      <c r="J9828" s="8"/>
    </row>
    <row r="9829">
      <c r="C9829" s="15"/>
      <c r="E9829" s="8"/>
      <c r="G9829" s="8"/>
      <c r="J9829" s="8"/>
    </row>
    <row r="9830">
      <c r="C9830" s="15"/>
      <c r="E9830" s="8"/>
      <c r="G9830" s="8"/>
      <c r="J9830" s="8"/>
    </row>
    <row r="9831">
      <c r="C9831" s="15"/>
      <c r="E9831" s="8"/>
      <c r="G9831" s="8"/>
      <c r="J9831" s="8"/>
    </row>
    <row r="9832">
      <c r="C9832" s="15"/>
      <c r="E9832" s="8"/>
      <c r="G9832" s="8"/>
      <c r="J9832" s="8"/>
    </row>
    <row r="9833">
      <c r="C9833" s="15"/>
      <c r="E9833" s="8"/>
      <c r="G9833" s="8"/>
      <c r="J9833" s="8"/>
    </row>
    <row r="9834">
      <c r="C9834" s="15"/>
      <c r="E9834" s="8"/>
      <c r="G9834" s="8"/>
      <c r="J9834" s="8"/>
    </row>
    <row r="9835">
      <c r="C9835" s="15"/>
      <c r="E9835" s="8"/>
      <c r="G9835" s="8"/>
      <c r="J9835" s="8"/>
    </row>
    <row r="9836">
      <c r="C9836" s="15"/>
      <c r="E9836" s="8"/>
      <c r="G9836" s="8"/>
      <c r="J9836" s="8"/>
    </row>
    <row r="9837">
      <c r="C9837" s="15"/>
      <c r="E9837" s="8"/>
      <c r="G9837" s="8"/>
      <c r="J9837" s="8"/>
    </row>
    <row r="9838">
      <c r="C9838" s="15"/>
      <c r="E9838" s="8"/>
      <c r="G9838" s="8"/>
      <c r="J9838" s="8"/>
    </row>
    <row r="9839">
      <c r="C9839" s="15"/>
      <c r="E9839" s="8"/>
      <c r="G9839" s="8"/>
      <c r="J9839" s="8"/>
    </row>
    <row r="9840">
      <c r="C9840" s="15"/>
      <c r="E9840" s="8"/>
      <c r="G9840" s="8"/>
      <c r="J9840" s="8"/>
    </row>
    <row r="9841">
      <c r="C9841" s="15"/>
      <c r="E9841" s="8"/>
      <c r="G9841" s="8"/>
      <c r="J9841" s="8"/>
    </row>
    <row r="9842">
      <c r="C9842" s="15"/>
      <c r="E9842" s="8"/>
      <c r="G9842" s="8"/>
      <c r="J9842" s="8"/>
    </row>
    <row r="9843">
      <c r="C9843" s="15"/>
      <c r="E9843" s="8"/>
      <c r="G9843" s="8"/>
      <c r="J9843" s="8"/>
    </row>
    <row r="9844">
      <c r="C9844" s="15"/>
      <c r="E9844" s="8"/>
      <c r="G9844" s="8"/>
      <c r="J9844" s="8"/>
    </row>
    <row r="9845">
      <c r="C9845" s="15"/>
      <c r="E9845" s="8"/>
      <c r="G9845" s="8"/>
      <c r="J9845" s="8"/>
    </row>
    <row r="9846">
      <c r="C9846" s="15"/>
      <c r="E9846" s="8"/>
      <c r="G9846" s="8"/>
      <c r="J9846" s="8"/>
    </row>
    <row r="9847">
      <c r="C9847" s="15"/>
      <c r="E9847" s="8"/>
      <c r="G9847" s="8"/>
      <c r="J9847" s="8"/>
    </row>
    <row r="9848">
      <c r="C9848" s="15"/>
      <c r="E9848" s="8"/>
      <c r="G9848" s="8"/>
      <c r="J9848" s="8"/>
    </row>
    <row r="9849">
      <c r="C9849" s="15"/>
      <c r="E9849" s="8"/>
      <c r="G9849" s="8"/>
      <c r="J9849" s="8"/>
    </row>
    <row r="9850">
      <c r="C9850" s="15"/>
      <c r="E9850" s="8"/>
      <c r="G9850" s="8"/>
      <c r="J9850" s="8"/>
    </row>
    <row r="9851">
      <c r="C9851" s="15"/>
      <c r="E9851" s="8"/>
      <c r="G9851" s="8"/>
      <c r="J9851" s="8"/>
    </row>
    <row r="9852">
      <c r="C9852" s="15"/>
      <c r="E9852" s="8"/>
      <c r="G9852" s="8"/>
      <c r="J9852" s="8"/>
    </row>
    <row r="9853">
      <c r="C9853" s="15"/>
      <c r="E9853" s="8"/>
      <c r="G9853" s="8"/>
      <c r="J9853" s="8"/>
    </row>
    <row r="9854">
      <c r="C9854" s="15"/>
      <c r="E9854" s="8"/>
      <c r="G9854" s="8"/>
      <c r="J9854" s="8"/>
    </row>
    <row r="9855">
      <c r="C9855" s="15"/>
      <c r="E9855" s="8"/>
      <c r="G9855" s="8"/>
      <c r="J9855" s="8"/>
    </row>
    <row r="9856">
      <c r="C9856" s="15"/>
      <c r="E9856" s="8"/>
      <c r="G9856" s="8"/>
      <c r="J9856" s="8"/>
    </row>
    <row r="9857">
      <c r="C9857" s="15"/>
      <c r="E9857" s="8"/>
      <c r="G9857" s="8"/>
      <c r="J9857" s="8"/>
    </row>
    <row r="9858">
      <c r="C9858" s="15"/>
      <c r="E9858" s="8"/>
      <c r="G9858" s="8"/>
      <c r="J9858" s="8"/>
    </row>
    <row r="9859">
      <c r="C9859" s="15"/>
      <c r="E9859" s="8"/>
      <c r="G9859" s="8"/>
      <c r="J9859" s="8"/>
    </row>
    <row r="9860">
      <c r="C9860" s="15"/>
      <c r="E9860" s="8"/>
      <c r="G9860" s="8"/>
      <c r="J9860" s="8"/>
    </row>
    <row r="9861">
      <c r="C9861" s="15"/>
      <c r="E9861" s="8"/>
      <c r="G9861" s="8"/>
      <c r="J9861" s="8"/>
    </row>
    <row r="9862">
      <c r="C9862" s="15"/>
      <c r="E9862" s="8"/>
      <c r="G9862" s="8"/>
      <c r="J9862" s="8"/>
    </row>
    <row r="9863">
      <c r="C9863" s="15"/>
      <c r="E9863" s="8"/>
      <c r="G9863" s="8"/>
      <c r="J9863" s="8"/>
    </row>
    <row r="9864">
      <c r="C9864" s="15"/>
      <c r="E9864" s="8"/>
      <c r="G9864" s="8"/>
      <c r="J9864" s="8"/>
    </row>
    <row r="9865">
      <c r="C9865" s="15"/>
      <c r="E9865" s="8"/>
      <c r="G9865" s="8"/>
      <c r="J9865" s="8"/>
    </row>
    <row r="9866">
      <c r="C9866" s="15"/>
      <c r="E9866" s="8"/>
      <c r="G9866" s="8"/>
      <c r="J9866" s="8"/>
    </row>
    <row r="9867">
      <c r="C9867" s="15"/>
      <c r="E9867" s="8"/>
      <c r="G9867" s="8"/>
      <c r="J9867" s="8"/>
    </row>
    <row r="9868">
      <c r="C9868" s="15"/>
      <c r="E9868" s="8"/>
      <c r="G9868" s="8"/>
      <c r="J9868" s="8"/>
    </row>
    <row r="9869">
      <c r="C9869" s="15"/>
      <c r="E9869" s="8"/>
      <c r="G9869" s="8"/>
      <c r="J9869" s="8"/>
    </row>
    <row r="9870">
      <c r="C9870" s="15"/>
      <c r="E9870" s="8"/>
      <c r="G9870" s="8"/>
      <c r="J9870" s="8"/>
    </row>
    <row r="9871">
      <c r="C9871" s="15"/>
      <c r="E9871" s="8"/>
      <c r="G9871" s="8"/>
      <c r="J9871" s="8"/>
    </row>
    <row r="9872">
      <c r="C9872" s="15"/>
      <c r="E9872" s="8"/>
      <c r="G9872" s="8"/>
      <c r="J9872" s="8"/>
    </row>
    <row r="9873">
      <c r="C9873" s="15"/>
      <c r="E9873" s="8"/>
      <c r="G9873" s="8"/>
      <c r="J9873" s="8"/>
    </row>
    <row r="9874">
      <c r="C9874" s="15"/>
      <c r="E9874" s="8"/>
      <c r="G9874" s="8"/>
      <c r="J9874" s="8"/>
    </row>
    <row r="9875">
      <c r="C9875" s="15"/>
      <c r="E9875" s="8"/>
      <c r="G9875" s="8"/>
      <c r="J9875" s="8"/>
    </row>
    <row r="9876">
      <c r="C9876" s="15"/>
      <c r="E9876" s="8"/>
      <c r="G9876" s="8"/>
      <c r="J9876" s="8"/>
    </row>
    <row r="9877">
      <c r="C9877" s="15"/>
      <c r="E9877" s="8"/>
      <c r="G9877" s="8"/>
      <c r="J9877" s="8"/>
    </row>
    <row r="9878">
      <c r="C9878" s="15"/>
      <c r="E9878" s="8"/>
      <c r="G9878" s="8"/>
      <c r="J9878" s="8"/>
    </row>
    <row r="9879">
      <c r="C9879" s="15"/>
      <c r="E9879" s="8"/>
      <c r="G9879" s="8"/>
      <c r="J9879" s="8"/>
    </row>
    <row r="9880">
      <c r="C9880" s="15"/>
      <c r="E9880" s="8"/>
      <c r="G9880" s="8"/>
      <c r="J9880" s="8"/>
    </row>
    <row r="9881">
      <c r="C9881" s="15"/>
      <c r="E9881" s="8"/>
      <c r="G9881" s="8"/>
      <c r="J9881" s="8"/>
    </row>
    <row r="9882">
      <c r="C9882" s="15"/>
      <c r="E9882" s="8"/>
      <c r="G9882" s="8"/>
      <c r="J9882" s="8"/>
    </row>
    <row r="9883">
      <c r="C9883" s="15"/>
      <c r="E9883" s="8"/>
      <c r="G9883" s="8"/>
      <c r="J9883" s="8"/>
    </row>
    <row r="9884">
      <c r="C9884" s="15"/>
      <c r="E9884" s="8"/>
      <c r="G9884" s="8"/>
      <c r="J9884" s="8"/>
    </row>
    <row r="9885">
      <c r="C9885" s="15"/>
      <c r="E9885" s="8"/>
      <c r="G9885" s="8"/>
      <c r="J9885" s="8"/>
    </row>
    <row r="9886">
      <c r="C9886" s="15"/>
      <c r="E9886" s="8"/>
      <c r="G9886" s="8"/>
      <c r="J9886" s="8"/>
    </row>
    <row r="9887">
      <c r="C9887" s="15"/>
      <c r="E9887" s="8"/>
      <c r="G9887" s="8"/>
      <c r="J9887" s="8"/>
    </row>
    <row r="9888">
      <c r="C9888" s="15"/>
      <c r="E9888" s="8"/>
      <c r="G9888" s="8"/>
      <c r="J9888" s="8"/>
    </row>
    <row r="9889">
      <c r="C9889" s="15"/>
      <c r="E9889" s="8"/>
      <c r="G9889" s="8"/>
      <c r="J9889" s="8"/>
    </row>
    <row r="9890">
      <c r="C9890" s="15"/>
      <c r="E9890" s="8"/>
      <c r="G9890" s="8"/>
      <c r="J9890" s="8"/>
    </row>
    <row r="9891">
      <c r="C9891" s="15"/>
      <c r="E9891" s="8"/>
      <c r="G9891" s="8"/>
      <c r="J9891" s="8"/>
    </row>
    <row r="9892">
      <c r="C9892" s="15"/>
      <c r="E9892" s="8"/>
      <c r="G9892" s="8"/>
      <c r="J9892" s="8"/>
    </row>
    <row r="9893">
      <c r="C9893" s="15"/>
      <c r="E9893" s="8"/>
      <c r="G9893" s="8"/>
      <c r="J9893" s="8"/>
    </row>
    <row r="9894">
      <c r="C9894" s="15"/>
      <c r="E9894" s="8"/>
      <c r="G9894" s="8"/>
      <c r="J9894" s="8"/>
    </row>
    <row r="9895">
      <c r="C9895" s="15"/>
      <c r="E9895" s="8"/>
      <c r="G9895" s="8"/>
      <c r="J9895" s="8"/>
    </row>
    <row r="9896">
      <c r="C9896" s="15"/>
      <c r="E9896" s="8"/>
      <c r="G9896" s="8"/>
      <c r="J9896" s="8"/>
    </row>
    <row r="9897">
      <c r="C9897" s="15"/>
      <c r="E9897" s="8"/>
      <c r="G9897" s="8"/>
      <c r="J9897" s="8"/>
    </row>
    <row r="9898">
      <c r="C9898" s="15"/>
      <c r="E9898" s="8"/>
      <c r="G9898" s="8"/>
      <c r="J9898" s="8"/>
    </row>
    <row r="9899">
      <c r="C9899" s="15"/>
      <c r="E9899" s="8"/>
      <c r="G9899" s="8"/>
      <c r="J9899" s="8"/>
    </row>
    <row r="9900">
      <c r="C9900" s="15"/>
      <c r="E9900" s="8"/>
      <c r="G9900" s="8"/>
      <c r="J9900" s="8"/>
    </row>
    <row r="9901">
      <c r="C9901" s="15"/>
      <c r="E9901" s="8"/>
      <c r="G9901" s="8"/>
      <c r="J9901" s="8"/>
    </row>
    <row r="9902">
      <c r="C9902" s="15"/>
      <c r="E9902" s="8"/>
      <c r="G9902" s="8"/>
      <c r="J9902" s="8"/>
    </row>
    <row r="9903">
      <c r="C9903" s="15"/>
      <c r="E9903" s="8"/>
      <c r="G9903" s="8"/>
      <c r="J9903" s="8"/>
    </row>
    <row r="9904">
      <c r="C9904" s="15"/>
      <c r="E9904" s="8"/>
      <c r="G9904" s="8"/>
      <c r="J9904" s="8"/>
    </row>
    <row r="9905">
      <c r="C9905" s="15"/>
      <c r="E9905" s="8"/>
      <c r="G9905" s="8"/>
      <c r="J9905" s="8"/>
    </row>
    <row r="9906">
      <c r="C9906" s="15"/>
      <c r="E9906" s="8"/>
      <c r="G9906" s="8"/>
      <c r="J9906" s="8"/>
    </row>
    <row r="9907">
      <c r="C9907" s="15"/>
      <c r="E9907" s="8"/>
      <c r="G9907" s="8"/>
      <c r="J9907" s="8"/>
    </row>
    <row r="9908">
      <c r="C9908" s="15"/>
      <c r="E9908" s="8"/>
      <c r="G9908" s="8"/>
      <c r="J9908" s="8"/>
    </row>
    <row r="9909">
      <c r="C9909" s="15"/>
      <c r="E9909" s="8"/>
      <c r="G9909" s="8"/>
      <c r="J9909" s="8"/>
    </row>
    <row r="9910">
      <c r="C9910" s="15"/>
      <c r="E9910" s="8"/>
      <c r="G9910" s="8"/>
      <c r="J9910" s="8"/>
    </row>
    <row r="9911">
      <c r="C9911" s="15"/>
      <c r="E9911" s="8"/>
      <c r="G9911" s="8"/>
      <c r="J9911" s="8"/>
    </row>
    <row r="9912">
      <c r="C9912" s="15"/>
      <c r="E9912" s="8"/>
      <c r="G9912" s="8"/>
      <c r="J9912" s="8"/>
    </row>
    <row r="9913">
      <c r="C9913" s="15"/>
      <c r="E9913" s="8"/>
      <c r="G9913" s="8"/>
      <c r="J9913" s="8"/>
    </row>
    <row r="9914">
      <c r="C9914" s="15"/>
      <c r="E9914" s="8"/>
      <c r="G9914" s="8"/>
      <c r="J9914" s="8"/>
    </row>
    <row r="9915">
      <c r="C9915" s="15"/>
      <c r="E9915" s="8"/>
      <c r="G9915" s="8"/>
      <c r="J9915" s="8"/>
    </row>
    <row r="9916">
      <c r="C9916" s="15"/>
      <c r="E9916" s="8"/>
      <c r="G9916" s="8"/>
      <c r="J9916" s="8"/>
    </row>
    <row r="9917">
      <c r="C9917" s="15"/>
      <c r="E9917" s="8"/>
      <c r="G9917" s="8"/>
      <c r="J9917" s="8"/>
    </row>
    <row r="9918">
      <c r="C9918" s="15"/>
      <c r="E9918" s="8"/>
      <c r="G9918" s="8"/>
      <c r="J9918" s="8"/>
    </row>
    <row r="9919">
      <c r="C9919" s="15"/>
      <c r="E9919" s="8"/>
      <c r="G9919" s="8"/>
      <c r="J9919" s="8"/>
    </row>
    <row r="9920">
      <c r="C9920" s="15"/>
      <c r="E9920" s="8"/>
      <c r="G9920" s="8"/>
      <c r="J9920" s="8"/>
    </row>
    <row r="9921">
      <c r="C9921" s="15"/>
      <c r="E9921" s="8"/>
      <c r="G9921" s="8"/>
      <c r="J9921" s="8"/>
    </row>
    <row r="9922">
      <c r="C9922" s="15"/>
      <c r="E9922" s="8"/>
      <c r="G9922" s="8"/>
      <c r="J9922" s="8"/>
    </row>
    <row r="9923">
      <c r="C9923" s="15"/>
      <c r="E9923" s="8"/>
      <c r="G9923" s="8"/>
      <c r="J9923" s="8"/>
    </row>
    <row r="9924">
      <c r="C9924" s="15"/>
      <c r="E9924" s="8"/>
      <c r="G9924" s="8"/>
      <c r="J9924" s="8"/>
    </row>
    <row r="9925">
      <c r="C9925" s="15"/>
      <c r="E9925" s="8"/>
      <c r="G9925" s="8"/>
      <c r="J9925" s="8"/>
    </row>
    <row r="9926">
      <c r="C9926" s="15"/>
      <c r="E9926" s="8"/>
      <c r="G9926" s="8"/>
      <c r="J9926" s="8"/>
    </row>
    <row r="9927">
      <c r="C9927" s="15"/>
      <c r="E9927" s="8"/>
      <c r="G9927" s="8"/>
      <c r="J9927" s="8"/>
    </row>
    <row r="9928">
      <c r="C9928" s="15"/>
      <c r="E9928" s="8"/>
      <c r="G9928" s="8"/>
      <c r="J9928" s="8"/>
    </row>
    <row r="9929">
      <c r="C9929" s="15"/>
      <c r="E9929" s="8"/>
      <c r="G9929" s="8"/>
      <c r="J9929" s="8"/>
    </row>
    <row r="9930">
      <c r="C9930" s="15"/>
      <c r="E9930" s="8"/>
      <c r="G9930" s="8"/>
      <c r="J9930" s="8"/>
    </row>
    <row r="9931">
      <c r="C9931" s="15"/>
      <c r="E9931" s="8"/>
      <c r="G9931" s="8"/>
      <c r="J9931" s="8"/>
    </row>
    <row r="9932">
      <c r="C9932" s="15"/>
      <c r="E9932" s="8"/>
      <c r="G9932" s="8"/>
      <c r="J9932" s="8"/>
    </row>
    <row r="9933">
      <c r="C9933" s="15"/>
      <c r="E9933" s="8"/>
      <c r="G9933" s="8"/>
      <c r="J9933" s="8"/>
    </row>
    <row r="9934">
      <c r="C9934" s="15"/>
      <c r="E9934" s="8"/>
      <c r="G9934" s="8"/>
      <c r="J9934" s="8"/>
    </row>
    <row r="9935">
      <c r="C9935" s="15"/>
      <c r="E9935" s="8"/>
      <c r="G9935" s="8"/>
      <c r="J9935" s="8"/>
    </row>
    <row r="9936">
      <c r="C9936" s="15"/>
      <c r="E9936" s="8"/>
      <c r="G9936" s="8"/>
      <c r="J9936" s="8"/>
    </row>
    <row r="9937">
      <c r="C9937" s="15"/>
      <c r="E9937" s="8"/>
      <c r="G9937" s="8"/>
      <c r="J9937" s="8"/>
    </row>
    <row r="9938">
      <c r="C9938" s="15"/>
      <c r="E9938" s="8"/>
      <c r="G9938" s="8"/>
      <c r="J9938" s="8"/>
    </row>
    <row r="9939">
      <c r="C9939" s="15"/>
      <c r="E9939" s="8"/>
      <c r="G9939" s="8"/>
      <c r="J9939" s="8"/>
    </row>
    <row r="9940">
      <c r="C9940" s="15"/>
      <c r="E9940" s="8"/>
      <c r="G9940" s="8"/>
      <c r="J9940" s="8"/>
    </row>
    <row r="9941">
      <c r="C9941" s="15"/>
      <c r="E9941" s="8"/>
      <c r="G9941" s="8"/>
      <c r="J9941" s="8"/>
    </row>
    <row r="9942">
      <c r="C9942" s="15"/>
      <c r="E9942" s="8"/>
      <c r="G9942" s="8"/>
      <c r="J9942" s="8"/>
    </row>
    <row r="9943">
      <c r="C9943" s="15"/>
      <c r="E9943" s="8"/>
      <c r="G9943" s="8"/>
      <c r="J9943" s="8"/>
    </row>
    <row r="9944">
      <c r="C9944" s="15"/>
      <c r="E9944" s="8"/>
      <c r="G9944" s="8"/>
      <c r="J9944" s="8"/>
    </row>
    <row r="9945">
      <c r="C9945" s="15"/>
      <c r="E9945" s="8"/>
      <c r="G9945" s="8"/>
      <c r="J9945" s="8"/>
    </row>
    <row r="9946">
      <c r="C9946" s="15"/>
      <c r="E9946" s="8"/>
      <c r="G9946" s="8"/>
      <c r="J9946" s="8"/>
    </row>
    <row r="9947">
      <c r="C9947" s="15"/>
      <c r="E9947" s="8"/>
      <c r="G9947" s="8"/>
      <c r="J9947" s="8"/>
    </row>
    <row r="9948">
      <c r="C9948" s="15"/>
      <c r="E9948" s="8"/>
      <c r="G9948" s="8"/>
      <c r="J9948" s="8"/>
    </row>
    <row r="9949">
      <c r="C9949" s="15"/>
      <c r="E9949" s="8"/>
      <c r="G9949" s="8"/>
      <c r="J9949" s="8"/>
    </row>
    <row r="9950">
      <c r="C9950" s="15"/>
      <c r="E9950" s="8"/>
      <c r="G9950" s="8"/>
      <c r="J9950" s="8"/>
    </row>
    <row r="9951">
      <c r="C9951" s="15"/>
      <c r="E9951" s="8"/>
      <c r="G9951" s="8"/>
      <c r="J9951" s="8"/>
    </row>
    <row r="9952">
      <c r="C9952" s="15"/>
      <c r="E9952" s="8"/>
      <c r="G9952" s="8"/>
      <c r="J9952" s="8"/>
    </row>
    <row r="9953">
      <c r="C9953" s="15"/>
      <c r="E9953" s="8"/>
      <c r="G9953" s="8"/>
      <c r="J9953" s="8"/>
    </row>
    <row r="9954">
      <c r="C9954" s="15"/>
      <c r="E9954" s="8"/>
      <c r="G9954" s="8"/>
      <c r="J9954" s="8"/>
    </row>
    <row r="9955">
      <c r="C9955" s="15"/>
      <c r="E9955" s="8"/>
      <c r="G9955" s="8"/>
      <c r="J9955" s="8"/>
    </row>
    <row r="9956">
      <c r="C9956" s="15"/>
      <c r="E9956" s="8"/>
      <c r="G9956" s="8"/>
      <c r="J9956" s="8"/>
    </row>
    <row r="9957">
      <c r="C9957" s="15"/>
      <c r="E9957" s="8"/>
      <c r="G9957" s="8"/>
      <c r="J9957" s="8"/>
    </row>
    <row r="9958">
      <c r="C9958" s="15"/>
      <c r="E9958" s="8"/>
      <c r="G9958" s="8"/>
      <c r="J9958" s="8"/>
    </row>
    <row r="9959">
      <c r="C9959" s="15"/>
      <c r="E9959" s="8"/>
      <c r="G9959" s="8"/>
      <c r="J9959" s="8"/>
    </row>
    <row r="9960">
      <c r="C9960" s="15"/>
      <c r="E9960" s="8"/>
      <c r="G9960" s="8"/>
      <c r="J9960" s="8"/>
    </row>
    <row r="9961">
      <c r="C9961" s="15"/>
      <c r="E9961" s="8"/>
      <c r="G9961" s="8"/>
      <c r="J9961" s="8"/>
    </row>
    <row r="9962">
      <c r="C9962" s="15"/>
      <c r="E9962" s="8"/>
      <c r="G9962" s="8"/>
      <c r="J9962" s="8"/>
    </row>
    <row r="9963">
      <c r="C9963" s="15"/>
      <c r="E9963" s="8"/>
      <c r="G9963" s="8"/>
      <c r="J9963" s="8"/>
    </row>
    <row r="9964">
      <c r="C9964" s="15"/>
      <c r="E9964" s="8"/>
      <c r="G9964" s="8"/>
      <c r="J9964" s="8"/>
    </row>
    <row r="9965">
      <c r="C9965" s="15"/>
      <c r="E9965" s="8"/>
      <c r="G9965" s="8"/>
      <c r="J9965" s="8"/>
    </row>
    <row r="9966">
      <c r="C9966" s="15"/>
      <c r="E9966" s="8"/>
      <c r="G9966" s="8"/>
      <c r="J9966" s="8"/>
    </row>
    <row r="9967">
      <c r="C9967" s="15"/>
      <c r="E9967" s="8"/>
      <c r="G9967" s="8"/>
      <c r="J9967" s="8"/>
    </row>
    <row r="9968">
      <c r="C9968" s="15"/>
      <c r="E9968" s="8"/>
      <c r="G9968" s="8"/>
      <c r="J9968" s="8"/>
    </row>
    <row r="9969">
      <c r="C9969" s="15"/>
      <c r="E9969" s="8"/>
      <c r="G9969" s="8"/>
      <c r="J9969" s="8"/>
    </row>
    <row r="9970">
      <c r="C9970" s="15"/>
      <c r="E9970" s="8"/>
      <c r="G9970" s="8"/>
      <c r="J9970" s="8"/>
    </row>
    <row r="9971">
      <c r="C9971" s="15"/>
      <c r="E9971" s="8"/>
      <c r="G9971" s="8"/>
      <c r="J9971" s="8"/>
    </row>
    <row r="9972">
      <c r="C9972" s="15"/>
      <c r="E9972" s="8"/>
      <c r="G9972" s="8"/>
      <c r="J9972" s="8"/>
    </row>
    <row r="9973">
      <c r="C9973" s="15"/>
      <c r="E9973" s="8"/>
      <c r="G9973" s="8"/>
      <c r="J9973" s="8"/>
    </row>
    <row r="9974">
      <c r="C9974" s="15"/>
      <c r="E9974" s="8"/>
      <c r="G9974" s="8"/>
      <c r="J9974" s="8"/>
    </row>
    <row r="9975">
      <c r="C9975" s="15"/>
      <c r="E9975" s="8"/>
      <c r="G9975" s="8"/>
      <c r="J9975" s="8"/>
    </row>
    <row r="9976">
      <c r="C9976" s="15"/>
      <c r="E9976" s="8"/>
      <c r="G9976" s="8"/>
      <c r="J9976" s="8"/>
    </row>
    <row r="9977">
      <c r="C9977" s="15"/>
      <c r="E9977" s="8"/>
      <c r="G9977" s="8"/>
      <c r="J9977" s="8"/>
    </row>
    <row r="9978">
      <c r="C9978" s="15"/>
      <c r="E9978" s="8"/>
      <c r="G9978" s="8"/>
      <c r="J9978" s="8"/>
    </row>
    <row r="9979">
      <c r="C9979" s="15"/>
      <c r="E9979" s="8"/>
      <c r="G9979" s="8"/>
      <c r="J9979" s="8"/>
    </row>
    <row r="9980">
      <c r="C9980" s="15"/>
      <c r="E9980" s="8"/>
      <c r="G9980" s="8"/>
      <c r="J9980" s="8"/>
    </row>
    <row r="9981">
      <c r="C9981" s="15"/>
      <c r="E9981" s="8"/>
      <c r="G9981" s="8"/>
      <c r="J9981" s="8"/>
    </row>
    <row r="9982">
      <c r="C9982" s="15"/>
      <c r="E9982" s="8"/>
      <c r="G9982" s="8"/>
      <c r="J9982" s="8"/>
    </row>
    <row r="9983">
      <c r="C9983" s="15"/>
      <c r="E9983" s="8"/>
      <c r="G9983" s="8"/>
      <c r="J9983" s="8"/>
    </row>
    <row r="9984">
      <c r="C9984" s="15"/>
      <c r="E9984" s="8"/>
      <c r="G9984" s="8"/>
      <c r="J9984" s="8"/>
    </row>
    <row r="9985">
      <c r="C9985" s="15"/>
      <c r="E9985" s="8"/>
      <c r="G9985" s="8"/>
      <c r="J9985" s="8"/>
    </row>
    <row r="9986">
      <c r="C9986" s="15"/>
      <c r="E9986" s="8"/>
      <c r="G9986" s="8"/>
      <c r="J9986" s="8"/>
    </row>
    <row r="9987">
      <c r="C9987" s="15"/>
      <c r="E9987" s="8"/>
      <c r="G9987" s="8"/>
      <c r="J9987" s="8"/>
    </row>
    <row r="9988">
      <c r="C9988" s="15"/>
      <c r="E9988" s="8"/>
      <c r="G9988" s="8"/>
      <c r="J9988" s="8"/>
    </row>
    <row r="9989">
      <c r="C9989" s="15"/>
      <c r="E9989" s="8"/>
      <c r="G9989" s="8"/>
      <c r="J9989" s="8"/>
    </row>
    <row r="9990">
      <c r="C9990" s="15"/>
      <c r="E9990" s="8"/>
      <c r="G9990" s="8"/>
      <c r="J9990" s="8"/>
    </row>
    <row r="9991">
      <c r="C9991" s="15"/>
      <c r="E9991" s="8"/>
      <c r="G9991" s="8"/>
      <c r="J9991" s="8"/>
    </row>
    <row r="9992">
      <c r="C9992" s="15"/>
      <c r="E9992" s="8"/>
      <c r="G9992" s="8"/>
      <c r="J9992" s="8"/>
    </row>
    <row r="9993">
      <c r="C9993" s="15"/>
      <c r="E9993" s="8"/>
      <c r="G9993" s="8"/>
      <c r="J9993" s="8"/>
    </row>
    <row r="9994">
      <c r="C9994" s="15"/>
      <c r="E9994" s="8"/>
      <c r="G9994" s="8"/>
      <c r="J9994" s="8"/>
    </row>
    <row r="9995">
      <c r="C9995" s="15"/>
      <c r="E9995" s="8"/>
      <c r="G9995" s="8"/>
      <c r="J9995" s="8"/>
    </row>
    <row r="9996">
      <c r="C9996" s="15"/>
      <c r="E9996" s="8"/>
      <c r="G9996" s="8"/>
      <c r="J9996" s="8"/>
    </row>
    <row r="9997">
      <c r="C9997" s="15"/>
      <c r="E9997" s="8"/>
      <c r="G9997" s="8"/>
      <c r="J9997" s="8"/>
    </row>
    <row r="9998">
      <c r="C9998" s="15"/>
      <c r="E9998" s="8"/>
      <c r="G9998" s="8"/>
      <c r="J9998" s="8"/>
    </row>
    <row r="9999">
      <c r="C9999" s="15"/>
      <c r="E9999" s="8"/>
      <c r="G9999" s="8"/>
      <c r="J9999" s="8"/>
    </row>
    <row r="10000">
      <c r="C10000" s="15"/>
      <c r="E10000" s="8"/>
      <c r="G10000" s="8"/>
      <c r="J10000" s="8"/>
    </row>
    <row r="10001">
      <c r="C10001" s="15"/>
      <c r="E10001" s="8"/>
      <c r="G10001" s="8"/>
      <c r="J10001" s="8"/>
    </row>
    <row r="10002">
      <c r="C10002" s="15"/>
      <c r="E10002" s="8"/>
      <c r="G10002" s="8"/>
      <c r="J10002" s="8"/>
    </row>
    <row r="10003">
      <c r="C10003" s="15"/>
      <c r="E10003" s="8"/>
      <c r="G10003" s="8"/>
      <c r="J10003" s="8"/>
    </row>
    <row r="10004">
      <c r="C10004" s="15"/>
      <c r="E10004" s="8"/>
      <c r="G10004" s="8"/>
      <c r="J10004" s="8"/>
    </row>
    <row r="10005">
      <c r="C10005" s="15"/>
      <c r="E10005" s="8"/>
      <c r="G10005" s="8"/>
      <c r="J10005" s="8"/>
    </row>
    <row r="10006">
      <c r="C10006" s="15"/>
      <c r="E10006" s="8"/>
      <c r="G10006" s="8"/>
      <c r="J10006" s="8"/>
    </row>
    <row r="10007">
      <c r="C10007" s="15"/>
      <c r="E10007" s="8"/>
      <c r="G10007" s="8"/>
      <c r="J10007" s="8"/>
    </row>
    <row r="10008">
      <c r="C10008" s="15"/>
      <c r="E10008" s="8"/>
      <c r="G10008" s="8"/>
      <c r="J10008" s="8"/>
    </row>
    <row r="10009">
      <c r="C10009" s="15"/>
      <c r="E10009" s="8"/>
      <c r="G10009" s="8"/>
      <c r="J10009" s="8"/>
    </row>
    <row r="10010">
      <c r="C10010" s="15"/>
      <c r="E10010" s="8"/>
      <c r="G10010" s="8"/>
      <c r="J10010" s="8"/>
    </row>
    <row r="10011">
      <c r="C10011" s="15"/>
      <c r="E10011" s="8"/>
      <c r="G10011" s="8"/>
      <c r="J10011" s="8"/>
    </row>
    <row r="10012">
      <c r="C10012" s="15"/>
      <c r="E10012" s="8"/>
      <c r="G10012" s="8"/>
      <c r="J10012" s="8"/>
    </row>
    <row r="10013">
      <c r="C10013" s="15"/>
      <c r="E10013" s="8"/>
      <c r="G10013" s="8"/>
      <c r="J10013" s="8"/>
    </row>
    <row r="10014">
      <c r="C10014" s="15"/>
      <c r="E10014" s="8"/>
      <c r="G10014" s="8"/>
      <c r="J10014" s="8"/>
    </row>
    <row r="10015">
      <c r="C10015" s="15"/>
      <c r="E10015" s="8"/>
      <c r="G10015" s="8"/>
      <c r="J10015" s="8"/>
    </row>
    <row r="10016">
      <c r="C10016" s="15"/>
      <c r="E10016" s="8"/>
      <c r="G10016" s="8"/>
      <c r="J10016" s="8"/>
    </row>
    <row r="10017">
      <c r="C10017" s="15"/>
      <c r="E10017" s="8"/>
      <c r="G10017" s="8"/>
      <c r="J10017" s="8"/>
    </row>
    <row r="10018">
      <c r="C10018" s="15"/>
      <c r="E10018" s="8"/>
      <c r="G10018" s="8"/>
      <c r="J10018" s="8"/>
    </row>
    <row r="10019">
      <c r="C10019" s="15"/>
      <c r="E10019" s="8"/>
      <c r="G10019" s="8"/>
      <c r="J10019" s="8"/>
    </row>
    <row r="10020">
      <c r="C10020" s="15"/>
      <c r="E10020" s="8"/>
      <c r="G10020" s="8"/>
      <c r="J10020" s="8"/>
    </row>
    <row r="10021">
      <c r="C10021" s="15"/>
      <c r="E10021" s="8"/>
      <c r="G10021" s="8"/>
      <c r="J10021" s="8"/>
    </row>
    <row r="10022">
      <c r="C10022" s="15"/>
      <c r="E10022" s="8"/>
      <c r="G10022" s="8"/>
      <c r="J10022" s="8"/>
    </row>
    <row r="10023">
      <c r="C10023" s="15"/>
      <c r="E10023" s="8"/>
      <c r="G10023" s="8"/>
      <c r="J10023" s="8"/>
    </row>
    <row r="10024">
      <c r="C10024" s="15"/>
      <c r="E10024" s="8"/>
      <c r="G10024" s="8"/>
      <c r="J10024" s="8"/>
    </row>
    <row r="10025">
      <c r="C10025" s="15"/>
      <c r="E10025" s="8"/>
      <c r="G10025" s="8"/>
      <c r="J10025" s="8"/>
    </row>
    <row r="10026">
      <c r="C10026" s="15"/>
      <c r="E10026" s="8"/>
      <c r="G10026" s="8"/>
      <c r="J10026" s="8"/>
    </row>
    <row r="10027">
      <c r="C10027" s="15"/>
      <c r="E10027" s="8"/>
      <c r="G10027" s="8"/>
      <c r="J10027" s="8"/>
    </row>
    <row r="10028">
      <c r="C10028" s="15"/>
      <c r="E10028" s="8"/>
      <c r="G10028" s="8"/>
      <c r="J10028" s="8"/>
    </row>
    <row r="10029">
      <c r="C10029" s="15"/>
      <c r="E10029" s="8"/>
      <c r="G10029" s="8"/>
      <c r="J10029" s="8"/>
    </row>
    <row r="10030">
      <c r="C10030" s="15"/>
      <c r="E10030" s="8"/>
      <c r="G10030" s="8"/>
      <c r="J10030" s="8"/>
    </row>
    <row r="10031">
      <c r="C10031" s="15"/>
      <c r="E10031" s="8"/>
      <c r="G10031" s="8"/>
      <c r="J10031" s="8"/>
    </row>
    <row r="10032">
      <c r="C10032" s="15"/>
      <c r="E10032" s="8"/>
      <c r="G10032" s="8"/>
      <c r="J10032" s="8"/>
    </row>
    <row r="10033">
      <c r="C10033" s="15"/>
      <c r="E10033" s="8"/>
      <c r="G10033" s="8"/>
      <c r="J10033" s="8"/>
    </row>
    <row r="10034">
      <c r="C10034" s="15"/>
      <c r="E10034" s="8"/>
      <c r="G10034" s="8"/>
      <c r="J10034" s="8"/>
    </row>
    <row r="10035">
      <c r="C10035" s="15"/>
      <c r="E10035" s="8"/>
      <c r="G10035" s="8"/>
      <c r="J10035" s="8"/>
    </row>
    <row r="10036">
      <c r="C10036" s="15"/>
      <c r="E10036" s="8"/>
      <c r="G10036" s="8"/>
      <c r="J10036" s="8"/>
    </row>
    <row r="10037">
      <c r="C10037" s="15"/>
      <c r="E10037" s="8"/>
      <c r="G10037" s="8"/>
      <c r="J10037" s="8"/>
    </row>
    <row r="10038">
      <c r="C10038" s="15"/>
      <c r="E10038" s="8"/>
      <c r="G10038" s="8"/>
      <c r="J10038" s="8"/>
    </row>
    <row r="10039">
      <c r="C10039" s="15"/>
      <c r="E10039" s="8"/>
      <c r="G10039" s="8"/>
      <c r="J10039" s="8"/>
    </row>
    <row r="10040">
      <c r="C10040" s="15"/>
      <c r="E10040" s="8"/>
      <c r="G10040" s="8"/>
      <c r="J10040" s="8"/>
    </row>
    <row r="10041">
      <c r="C10041" s="15"/>
      <c r="E10041" s="8"/>
      <c r="G10041" s="8"/>
      <c r="J10041" s="8"/>
    </row>
    <row r="10042">
      <c r="C10042" s="15"/>
      <c r="E10042" s="8"/>
      <c r="G10042" s="8"/>
      <c r="J10042" s="8"/>
    </row>
    <row r="10043">
      <c r="C10043" s="15"/>
      <c r="E10043" s="8"/>
      <c r="G10043" s="8"/>
      <c r="J10043" s="8"/>
    </row>
    <row r="10044">
      <c r="C10044" s="15"/>
      <c r="E10044" s="8"/>
      <c r="G10044" s="8"/>
      <c r="J10044" s="8"/>
    </row>
    <row r="10045">
      <c r="C10045" s="15"/>
      <c r="E10045" s="8"/>
      <c r="G10045" s="8"/>
      <c r="J10045" s="8"/>
    </row>
    <row r="10046">
      <c r="C10046" s="15"/>
      <c r="E10046" s="8"/>
      <c r="G10046" s="8"/>
      <c r="J10046" s="8"/>
    </row>
    <row r="10047">
      <c r="C10047" s="15"/>
      <c r="E10047" s="8"/>
      <c r="G10047" s="8"/>
      <c r="J10047" s="8"/>
    </row>
    <row r="10048">
      <c r="C10048" s="15"/>
      <c r="E10048" s="8"/>
      <c r="G10048" s="8"/>
      <c r="J10048" s="8"/>
    </row>
    <row r="10049">
      <c r="C10049" s="15"/>
      <c r="E10049" s="8"/>
      <c r="G10049" s="8"/>
      <c r="J10049" s="8"/>
    </row>
    <row r="10050">
      <c r="C10050" s="15"/>
      <c r="E10050" s="8"/>
      <c r="G10050" s="8"/>
      <c r="J10050" s="8"/>
    </row>
    <row r="10051">
      <c r="C10051" s="15"/>
      <c r="E10051" s="8"/>
      <c r="G10051" s="8"/>
      <c r="J10051" s="8"/>
    </row>
    <row r="10052">
      <c r="C10052" s="15"/>
      <c r="E10052" s="8"/>
      <c r="G10052" s="8"/>
      <c r="J10052" s="8"/>
    </row>
    <row r="10053">
      <c r="C10053" s="15"/>
      <c r="E10053" s="8"/>
      <c r="G10053" s="8"/>
      <c r="J10053" s="8"/>
    </row>
    <row r="10054">
      <c r="C10054" s="15"/>
      <c r="E10054" s="8"/>
      <c r="G10054" s="8"/>
      <c r="J10054" s="8"/>
    </row>
    <row r="10055">
      <c r="C10055" s="15"/>
      <c r="E10055" s="8"/>
      <c r="G10055" s="8"/>
      <c r="J10055" s="8"/>
    </row>
    <row r="10056">
      <c r="C10056" s="15"/>
      <c r="E10056" s="8"/>
      <c r="G10056" s="8"/>
      <c r="J10056" s="8"/>
    </row>
    <row r="10057">
      <c r="C10057" s="15"/>
      <c r="E10057" s="8"/>
      <c r="G10057" s="8"/>
      <c r="J10057" s="8"/>
    </row>
    <row r="10058">
      <c r="C10058" s="15"/>
      <c r="E10058" s="8"/>
      <c r="G10058" s="8"/>
      <c r="J10058" s="8"/>
    </row>
    <row r="10059">
      <c r="C10059" s="15"/>
      <c r="E10059" s="8"/>
      <c r="G10059" s="8"/>
      <c r="J10059" s="8"/>
    </row>
    <row r="10060">
      <c r="C10060" s="15"/>
      <c r="E10060" s="8"/>
      <c r="G10060" s="8"/>
      <c r="J10060" s="8"/>
    </row>
    <row r="10061">
      <c r="C10061" s="15"/>
      <c r="E10061" s="8"/>
      <c r="G10061" s="8"/>
      <c r="J10061" s="8"/>
    </row>
    <row r="10062">
      <c r="C10062" s="15"/>
      <c r="E10062" s="8"/>
      <c r="G10062" s="8"/>
      <c r="J10062" s="8"/>
    </row>
    <row r="10063">
      <c r="C10063" s="15"/>
      <c r="E10063" s="8"/>
      <c r="G10063" s="8"/>
      <c r="J10063" s="8"/>
    </row>
    <row r="10064">
      <c r="C10064" s="15"/>
      <c r="E10064" s="8"/>
      <c r="G10064" s="8"/>
      <c r="J10064" s="8"/>
    </row>
    <row r="10065">
      <c r="C10065" s="15"/>
      <c r="E10065" s="8"/>
      <c r="G10065" s="8"/>
      <c r="J10065" s="8"/>
    </row>
    <row r="10066">
      <c r="C10066" s="15"/>
      <c r="E10066" s="8"/>
      <c r="G10066" s="8"/>
      <c r="J10066" s="8"/>
    </row>
    <row r="10067">
      <c r="C10067" s="15"/>
      <c r="E10067" s="8"/>
      <c r="G10067" s="8"/>
      <c r="J10067" s="8"/>
    </row>
    <row r="10068">
      <c r="C10068" s="15"/>
      <c r="E10068" s="8"/>
      <c r="G10068" s="8"/>
      <c r="J10068" s="8"/>
    </row>
    <row r="10069">
      <c r="C10069" s="15"/>
      <c r="E10069" s="8"/>
      <c r="G10069" s="8"/>
      <c r="J10069" s="8"/>
    </row>
    <row r="10070">
      <c r="C10070" s="15"/>
      <c r="E10070" s="8"/>
      <c r="G10070" s="8"/>
      <c r="J10070" s="8"/>
    </row>
    <row r="10071">
      <c r="C10071" s="15"/>
      <c r="E10071" s="8"/>
      <c r="G10071" s="8"/>
      <c r="J10071" s="8"/>
    </row>
    <row r="10072">
      <c r="C10072" s="15"/>
      <c r="E10072" s="8"/>
      <c r="G10072" s="8"/>
      <c r="J10072" s="8"/>
    </row>
    <row r="10073">
      <c r="C10073" s="15"/>
      <c r="E10073" s="8"/>
      <c r="G10073" s="8"/>
      <c r="J10073" s="8"/>
    </row>
    <row r="10074">
      <c r="C10074" s="15"/>
      <c r="E10074" s="8"/>
      <c r="G10074" s="8"/>
      <c r="J10074" s="8"/>
    </row>
    <row r="10075">
      <c r="C10075" s="15"/>
      <c r="E10075" s="8"/>
      <c r="G10075" s="8"/>
      <c r="J10075" s="8"/>
    </row>
    <row r="10076">
      <c r="C10076" s="15"/>
      <c r="E10076" s="8"/>
      <c r="G10076" s="8"/>
      <c r="J10076" s="8"/>
    </row>
    <row r="10077">
      <c r="C10077" s="15"/>
      <c r="E10077" s="8"/>
      <c r="G10077" s="8"/>
      <c r="J10077" s="8"/>
    </row>
    <row r="10078">
      <c r="C10078" s="15"/>
      <c r="E10078" s="8"/>
      <c r="G10078" s="8"/>
      <c r="J10078" s="8"/>
    </row>
    <row r="10079">
      <c r="C10079" s="15"/>
      <c r="E10079" s="8"/>
      <c r="G10079" s="8"/>
      <c r="J10079" s="8"/>
    </row>
    <row r="10080">
      <c r="C10080" s="15"/>
      <c r="E10080" s="8"/>
      <c r="G10080" s="8"/>
      <c r="J10080" s="8"/>
    </row>
    <row r="10081">
      <c r="C10081" s="15"/>
      <c r="E10081" s="8"/>
      <c r="G10081" s="8"/>
      <c r="J10081" s="8"/>
    </row>
    <row r="10082">
      <c r="C10082" s="15"/>
      <c r="E10082" s="8"/>
      <c r="G10082" s="8"/>
      <c r="J10082" s="8"/>
    </row>
    <row r="10083">
      <c r="C10083" s="15"/>
      <c r="E10083" s="8"/>
      <c r="G10083" s="8"/>
      <c r="J10083" s="8"/>
    </row>
    <row r="10084">
      <c r="C10084" s="15"/>
      <c r="E10084" s="8"/>
      <c r="G10084" s="8"/>
      <c r="J10084" s="8"/>
    </row>
    <row r="10085">
      <c r="C10085" s="15"/>
      <c r="E10085" s="8"/>
      <c r="G10085" s="8"/>
      <c r="J10085" s="8"/>
    </row>
    <row r="10086">
      <c r="C10086" s="15"/>
      <c r="E10086" s="8"/>
      <c r="G10086" s="8"/>
      <c r="J10086" s="8"/>
    </row>
    <row r="10087">
      <c r="C10087" s="15"/>
      <c r="E10087" s="8"/>
      <c r="G10087" s="8"/>
      <c r="J10087" s="8"/>
    </row>
    <row r="10088">
      <c r="C10088" s="15"/>
      <c r="E10088" s="8"/>
      <c r="G10088" s="8"/>
      <c r="J10088" s="8"/>
    </row>
    <row r="10089">
      <c r="C10089" s="15"/>
      <c r="E10089" s="8"/>
      <c r="G10089" s="8"/>
      <c r="J10089" s="8"/>
    </row>
    <row r="10090">
      <c r="C10090" s="15"/>
      <c r="E10090" s="8"/>
      <c r="G10090" s="8"/>
      <c r="J10090" s="8"/>
    </row>
    <row r="10091">
      <c r="C10091" s="15"/>
      <c r="E10091" s="8"/>
      <c r="G10091" s="8"/>
      <c r="J10091" s="8"/>
    </row>
    <row r="10092">
      <c r="C10092" s="15"/>
      <c r="E10092" s="8"/>
      <c r="G10092" s="8"/>
      <c r="J10092" s="8"/>
    </row>
    <row r="10093">
      <c r="C10093" s="15"/>
      <c r="E10093" s="8"/>
      <c r="G10093" s="8"/>
      <c r="J10093" s="8"/>
    </row>
    <row r="10094">
      <c r="C10094" s="15"/>
      <c r="E10094" s="8"/>
      <c r="G10094" s="8"/>
      <c r="J10094" s="8"/>
    </row>
    <row r="10095">
      <c r="C10095" s="15"/>
      <c r="E10095" s="8"/>
      <c r="G10095" s="8"/>
      <c r="J10095" s="8"/>
    </row>
    <row r="10096">
      <c r="C10096" s="15"/>
      <c r="E10096" s="8"/>
      <c r="G10096" s="8"/>
      <c r="J10096" s="8"/>
    </row>
    <row r="10097">
      <c r="C10097" s="15"/>
      <c r="E10097" s="8"/>
      <c r="G10097" s="8"/>
      <c r="J10097" s="8"/>
    </row>
    <row r="10098">
      <c r="C10098" s="15"/>
      <c r="E10098" s="8"/>
      <c r="G10098" s="8"/>
      <c r="J10098" s="8"/>
    </row>
    <row r="10099">
      <c r="C10099" s="15"/>
      <c r="E10099" s="8"/>
      <c r="G10099" s="8"/>
      <c r="J10099" s="8"/>
    </row>
    <row r="10100">
      <c r="C10100" s="15"/>
      <c r="E10100" s="8"/>
      <c r="G10100" s="8"/>
      <c r="J10100" s="8"/>
    </row>
    <row r="10101">
      <c r="C10101" s="15"/>
      <c r="E10101" s="8"/>
      <c r="G10101" s="8"/>
      <c r="J10101" s="8"/>
    </row>
    <row r="10102">
      <c r="C10102" s="15"/>
      <c r="E10102" s="8"/>
      <c r="G10102" s="8"/>
      <c r="J10102" s="8"/>
    </row>
    <row r="10103">
      <c r="C10103" s="15"/>
      <c r="E10103" s="8"/>
      <c r="G10103" s="8"/>
      <c r="J10103" s="8"/>
    </row>
    <row r="10104">
      <c r="C10104" s="15"/>
      <c r="E10104" s="8"/>
      <c r="G10104" s="8"/>
      <c r="J10104" s="8"/>
    </row>
    <row r="10105">
      <c r="C10105" s="15"/>
      <c r="E10105" s="8"/>
      <c r="G10105" s="8"/>
      <c r="J10105" s="8"/>
    </row>
    <row r="10106">
      <c r="C10106" s="15"/>
      <c r="E10106" s="8"/>
      <c r="G10106" s="8"/>
      <c r="J10106" s="8"/>
    </row>
    <row r="10107">
      <c r="C10107" s="15"/>
      <c r="E10107" s="8"/>
      <c r="G10107" s="8"/>
      <c r="J10107" s="8"/>
    </row>
    <row r="10108">
      <c r="C10108" s="15"/>
      <c r="E10108" s="8"/>
      <c r="G10108" s="8"/>
      <c r="J10108" s="8"/>
    </row>
    <row r="10109">
      <c r="C10109" s="15"/>
      <c r="E10109" s="8"/>
      <c r="G10109" s="8"/>
      <c r="J10109" s="8"/>
    </row>
    <row r="10110">
      <c r="C10110" s="15"/>
      <c r="E10110" s="8"/>
      <c r="G10110" s="8"/>
      <c r="J10110" s="8"/>
    </row>
    <row r="10111">
      <c r="C10111" s="15"/>
      <c r="E10111" s="8"/>
      <c r="G10111" s="8"/>
      <c r="J10111" s="8"/>
    </row>
    <row r="10112">
      <c r="C10112" s="15"/>
      <c r="E10112" s="8"/>
      <c r="G10112" s="8"/>
      <c r="J10112" s="8"/>
    </row>
    <row r="10113">
      <c r="C10113" s="15"/>
      <c r="E10113" s="8"/>
      <c r="G10113" s="8"/>
      <c r="J10113" s="8"/>
    </row>
    <row r="10114">
      <c r="C10114" s="15"/>
      <c r="E10114" s="8"/>
      <c r="G10114" s="8"/>
      <c r="J10114" s="8"/>
    </row>
    <row r="10115">
      <c r="C10115" s="15"/>
      <c r="E10115" s="8"/>
      <c r="G10115" s="8"/>
      <c r="J10115" s="8"/>
    </row>
    <row r="10116">
      <c r="C10116" s="15"/>
      <c r="E10116" s="8"/>
      <c r="G10116" s="8"/>
      <c r="J10116" s="8"/>
    </row>
    <row r="10117">
      <c r="C10117" s="15"/>
      <c r="E10117" s="8"/>
      <c r="G10117" s="8"/>
      <c r="J10117" s="8"/>
    </row>
    <row r="10118">
      <c r="C10118" s="15"/>
      <c r="E10118" s="8"/>
      <c r="G10118" s="8"/>
      <c r="J10118" s="8"/>
    </row>
    <row r="10119">
      <c r="C10119" s="15"/>
      <c r="E10119" s="8"/>
      <c r="G10119" s="8"/>
      <c r="J10119" s="8"/>
    </row>
    <row r="10120">
      <c r="C10120" s="15"/>
      <c r="E10120" s="8"/>
      <c r="G10120" s="8"/>
      <c r="J10120" s="8"/>
    </row>
    <row r="10121">
      <c r="C10121" s="15"/>
      <c r="E10121" s="8"/>
      <c r="G10121" s="8"/>
      <c r="J10121" s="8"/>
    </row>
    <row r="10122">
      <c r="C10122" s="15"/>
      <c r="E10122" s="8"/>
      <c r="G10122" s="8"/>
      <c r="J10122" s="8"/>
    </row>
    <row r="10123">
      <c r="C10123" s="15"/>
      <c r="E10123" s="8"/>
      <c r="G10123" s="8"/>
      <c r="J10123" s="8"/>
    </row>
    <row r="10124">
      <c r="C10124" s="15"/>
      <c r="E10124" s="8"/>
      <c r="G10124" s="8"/>
      <c r="J10124" s="8"/>
    </row>
    <row r="10125">
      <c r="C10125" s="15"/>
      <c r="E10125" s="8"/>
      <c r="G10125" s="8"/>
      <c r="J10125" s="8"/>
    </row>
    <row r="10126">
      <c r="C10126" s="15"/>
      <c r="E10126" s="8"/>
      <c r="G10126" s="8"/>
      <c r="J10126" s="8"/>
    </row>
    <row r="10127">
      <c r="C10127" s="15"/>
      <c r="E10127" s="8"/>
      <c r="G10127" s="8"/>
      <c r="J10127" s="8"/>
    </row>
    <row r="10128">
      <c r="C10128" s="15"/>
      <c r="E10128" s="8"/>
      <c r="G10128" s="8"/>
      <c r="J10128" s="8"/>
    </row>
    <row r="10129">
      <c r="C10129" s="15"/>
      <c r="E10129" s="8"/>
      <c r="G10129" s="8"/>
      <c r="J10129" s="8"/>
    </row>
    <row r="10130">
      <c r="C10130" s="15"/>
      <c r="E10130" s="8"/>
      <c r="G10130" s="8"/>
      <c r="J10130" s="8"/>
    </row>
    <row r="10131">
      <c r="C10131" s="15"/>
      <c r="E10131" s="8"/>
      <c r="G10131" s="8"/>
      <c r="J10131" s="8"/>
    </row>
    <row r="10132">
      <c r="C10132" s="15"/>
      <c r="E10132" s="8"/>
      <c r="G10132" s="8"/>
      <c r="J10132" s="8"/>
    </row>
    <row r="10133">
      <c r="C10133" s="15"/>
      <c r="E10133" s="8"/>
      <c r="G10133" s="8"/>
      <c r="J10133" s="8"/>
    </row>
    <row r="10134">
      <c r="C10134" s="15"/>
      <c r="E10134" s="8"/>
      <c r="G10134" s="8"/>
      <c r="J10134" s="8"/>
    </row>
    <row r="10135">
      <c r="C10135" s="15"/>
      <c r="E10135" s="8"/>
      <c r="G10135" s="8"/>
      <c r="J10135" s="8"/>
    </row>
    <row r="10136">
      <c r="C10136" s="15"/>
      <c r="E10136" s="8"/>
      <c r="G10136" s="8"/>
      <c r="J10136" s="8"/>
    </row>
    <row r="10137">
      <c r="C10137" s="15"/>
      <c r="E10137" s="8"/>
      <c r="G10137" s="8"/>
      <c r="J10137" s="8"/>
    </row>
    <row r="10138">
      <c r="C10138" s="15"/>
      <c r="E10138" s="8"/>
      <c r="G10138" s="8"/>
      <c r="J10138" s="8"/>
    </row>
    <row r="10139">
      <c r="C10139" s="15"/>
      <c r="E10139" s="8"/>
      <c r="G10139" s="8"/>
      <c r="J10139" s="8"/>
    </row>
    <row r="10140">
      <c r="C10140" s="15"/>
      <c r="E10140" s="8"/>
      <c r="G10140" s="8"/>
      <c r="J10140" s="8"/>
    </row>
    <row r="10141">
      <c r="C10141" s="15"/>
      <c r="E10141" s="8"/>
      <c r="G10141" s="8"/>
      <c r="J10141" s="8"/>
    </row>
    <row r="10142">
      <c r="C10142" s="15"/>
      <c r="E10142" s="8"/>
      <c r="G10142" s="8"/>
      <c r="J10142" s="8"/>
    </row>
    <row r="10143">
      <c r="C10143" s="15"/>
      <c r="E10143" s="8"/>
      <c r="G10143" s="8"/>
      <c r="J10143" s="8"/>
    </row>
    <row r="10144">
      <c r="C10144" s="15"/>
      <c r="E10144" s="8"/>
      <c r="G10144" s="8"/>
      <c r="J10144" s="8"/>
    </row>
    <row r="10145">
      <c r="C10145" s="15"/>
      <c r="E10145" s="8"/>
      <c r="G10145" s="8"/>
      <c r="J10145" s="8"/>
    </row>
    <row r="10146">
      <c r="C10146" s="15"/>
      <c r="E10146" s="8"/>
      <c r="G10146" s="8"/>
      <c r="J10146" s="8"/>
    </row>
    <row r="10147">
      <c r="C10147" s="15"/>
      <c r="E10147" s="8"/>
      <c r="G10147" s="8"/>
      <c r="J10147" s="8"/>
    </row>
    <row r="10148">
      <c r="C10148" s="15"/>
      <c r="E10148" s="8"/>
      <c r="G10148" s="8"/>
      <c r="J10148" s="8"/>
    </row>
    <row r="10149">
      <c r="C10149" s="15"/>
      <c r="E10149" s="8"/>
      <c r="G10149" s="8"/>
      <c r="J10149" s="8"/>
    </row>
    <row r="10150">
      <c r="C10150" s="15"/>
      <c r="E10150" s="8"/>
      <c r="G10150" s="8"/>
      <c r="J10150" s="8"/>
    </row>
    <row r="10151">
      <c r="C10151" s="15"/>
      <c r="E10151" s="8"/>
      <c r="G10151" s="8"/>
      <c r="J10151" s="8"/>
    </row>
    <row r="10152">
      <c r="C10152" s="15"/>
      <c r="E10152" s="8"/>
      <c r="G10152" s="8"/>
      <c r="J10152" s="8"/>
    </row>
    <row r="10153">
      <c r="C10153" s="15"/>
      <c r="E10153" s="8"/>
      <c r="G10153" s="8"/>
      <c r="J10153" s="8"/>
    </row>
    <row r="10154">
      <c r="C10154" s="15"/>
      <c r="E10154" s="8"/>
      <c r="G10154" s="8"/>
      <c r="J10154" s="8"/>
    </row>
    <row r="10155">
      <c r="C10155" s="15"/>
      <c r="E10155" s="8"/>
      <c r="G10155" s="8"/>
      <c r="J10155" s="8"/>
    </row>
    <row r="10156">
      <c r="C10156" s="15"/>
      <c r="E10156" s="8"/>
      <c r="G10156" s="8"/>
      <c r="J10156" s="8"/>
    </row>
    <row r="10157">
      <c r="C10157" s="15"/>
      <c r="E10157" s="8"/>
      <c r="G10157" s="8"/>
      <c r="J10157" s="8"/>
    </row>
    <row r="10158">
      <c r="C10158" s="15"/>
      <c r="E10158" s="8"/>
      <c r="G10158" s="8"/>
      <c r="J10158" s="8"/>
    </row>
    <row r="10159">
      <c r="C10159" s="15"/>
      <c r="E10159" s="8"/>
      <c r="G10159" s="8"/>
      <c r="J10159" s="8"/>
    </row>
    <row r="10160">
      <c r="C10160" s="15"/>
      <c r="E10160" s="8"/>
      <c r="G10160" s="8"/>
      <c r="J10160" s="8"/>
    </row>
    <row r="10161">
      <c r="C10161" s="15"/>
      <c r="E10161" s="8"/>
      <c r="G10161" s="8"/>
      <c r="J10161" s="8"/>
    </row>
    <row r="10162">
      <c r="C10162" s="15"/>
      <c r="E10162" s="8"/>
      <c r="G10162" s="8"/>
      <c r="J10162" s="8"/>
    </row>
    <row r="10163">
      <c r="C10163" s="15"/>
      <c r="E10163" s="8"/>
      <c r="G10163" s="8"/>
      <c r="J10163" s="8"/>
    </row>
    <row r="10164">
      <c r="C10164" s="15"/>
      <c r="E10164" s="8"/>
      <c r="G10164" s="8"/>
      <c r="J10164" s="8"/>
    </row>
    <row r="10165">
      <c r="C10165" s="15"/>
      <c r="E10165" s="8"/>
      <c r="G10165" s="8"/>
      <c r="J10165" s="8"/>
    </row>
    <row r="10166">
      <c r="C10166" s="15"/>
      <c r="E10166" s="8"/>
      <c r="G10166" s="8"/>
      <c r="J10166" s="8"/>
    </row>
    <row r="10167">
      <c r="C10167" s="15"/>
      <c r="E10167" s="8"/>
      <c r="G10167" s="8"/>
      <c r="J10167" s="8"/>
    </row>
    <row r="10168">
      <c r="C10168" s="15"/>
      <c r="E10168" s="8"/>
      <c r="G10168" s="8"/>
      <c r="J10168" s="8"/>
    </row>
    <row r="10169">
      <c r="C10169" s="15"/>
      <c r="E10169" s="8"/>
      <c r="G10169" s="8"/>
      <c r="J10169" s="8"/>
    </row>
    <row r="10170">
      <c r="C10170" s="15"/>
      <c r="E10170" s="8"/>
      <c r="G10170" s="8"/>
      <c r="J10170" s="8"/>
    </row>
    <row r="10171">
      <c r="C10171" s="15"/>
      <c r="E10171" s="8"/>
      <c r="G10171" s="8"/>
      <c r="J10171" s="8"/>
    </row>
    <row r="10172">
      <c r="C10172" s="15"/>
      <c r="E10172" s="8"/>
      <c r="G10172" s="8"/>
      <c r="J10172" s="8"/>
    </row>
    <row r="10173">
      <c r="C10173" s="15"/>
      <c r="E10173" s="8"/>
      <c r="G10173" s="8"/>
      <c r="J10173" s="8"/>
    </row>
    <row r="10174">
      <c r="C10174" s="15"/>
      <c r="E10174" s="8"/>
      <c r="G10174" s="8"/>
      <c r="J10174" s="8"/>
    </row>
    <row r="10175">
      <c r="C10175" s="15"/>
      <c r="E10175" s="8"/>
      <c r="G10175" s="8"/>
      <c r="J10175" s="8"/>
    </row>
    <row r="10176">
      <c r="C10176" s="15"/>
      <c r="E10176" s="8"/>
      <c r="G10176" s="8"/>
      <c r="J10176" s="8"/>
    </row>
    <row r="10177">
      <c r="C10177" s="15"/>
      <c r="E10177" s="8"/>
      <c r="G10177" s="8"/>
      <c r="J10177" s="8"/>
    </row>
    <row r="10178">
      <c r="C10178" s="15"/>
      <c r="E10178" s="8"/>
      <c r="G10178" s="8"/>
      <c r="J10178" s="8"/>
    </row>
    <row r="10179">
      <c r="C10179" s="15"/>
      <c r="E10179" s="8"/>
      <c r="G10179" s="8"/>
      <c r="J10179" s="8"/>
    </row>
    <row r="10180">
      <c r="C10180" s="15"/>
      <c r="E10180" s="8"/>
      <c r="G10180" s="8"/>
      <c r="J10180" s="8"/>
    </row>
    <row r="10181">
      <c r="C10181" s="15"/>
      <c r="E10181" s="8"/>
      <c r="G10181" s="8"/>
      <c r="J10181" s="8"/>
    </row>
    <row r="10182">
      <c r="C10182" s="15"/>
      <c r="E10182" s="8"/>
      <c r="G10182" s="8"/>
      <c r="J10182" s="8"/>
    </row>
    <row r="10183">
      <c r="C10183" s="15"/>
      <c r="E10183" s="8"/>
      <c r="G10183" s="8"/>
      <c r="J10183" s="8"/>
    </row>
    <row r="10184">
      <c r="C10184" s="15"/>
      <c r="E10184" s="8"/>
      <c r="G10184" s="8"/>
      <c r="J10184" s="8"/>
    </row>
    <row r="10185">
      <c r="C10185" s="15"/>
      <c r="E10185" s="8"/>
      <c r="G10185" s="8"/>
      <c r="J10185" s="8"/>
    </row>
    <row r="10186">
      <c r="C10186" s="15"/>
      <c r="E10186" s="8"/>
      <c r="G10186" s="8"/>
      <c r="J10186" s="8"/>
    </row>
    <row r="10187">
      <c r="C10187" s="15"/>
      <c r="E10187" s="8"/>
      <c r="G10187" s="8"/>
      <c r="J10187" s="8"/>
    </row>
    <row r="10188">
      <c r="C10188" s="15"/>
      <c r="E10188" s="8"/>
      <c r="G10188" s="8"/>
      <c r="J10188" s="8"/>
    </row>
    <row r="10189">
      <c r="C10189" s="15"/>
      <c r="E10189" s="8"/>
      <c r="G10189" s="8"/>
      <c r="J10189" s="8"/>
    </row>
    <row r="10190">
      <c r="C10190" s="15"/>
      <c r="E10190" s="8"/>
      <c r="G10190" s="8"/>
      <c r="J10190" s="8"/>
    </row>
    <row r="10191">
      <c r="C10191" s="15"/>
      <c r="E10191" s="8"/>
      <c r="G10191" s="8"/>
      <c r="J10191" s="8"/>
    </row>
    <row r="10192">
      <c r="C10192" s="15"/>
      <c r="E10192" s="8"/>
      <c r="G10192" s="8"/>
      <c r="J10192" s="8"/>
    </row>
    <row r="10193">
      <c r="C10193" s="15"/>
      <c r="E10193" s="8"/>
      <c r="G10193" s="8"/>
      <c r="J10193" s="8"/>
    </row>
    <row r="10194">
      <c r="C10194" s="15"/>
      <c r="E10194" s="8"/>
      <c r="G10194" s="8"/>
      <c r="J10194" s="8"/>
    </row>
    <row r="10195">
      <c r="C10195" s="15"/>
      <c r="E10195" s="8"/>
      <c r="G10195" s="8"/>
      <c r="J10195" s="8"/>
    </row>
    <row r="10196">
      <c r="C10196" s="15"/>
      <c r="E10196" s="8"/>
      <c r="G10196" s="8"/>
      <c r="J10196" s="8"/>
    </row>
    <row r="10197">
      <c r="C10197" s="15"/>
      <c r="E10197" s="8"/>
      <c r="G10197" s="8"/>
      <c r="J10197" s="8"/>
    </row>
    <row r="10198">
      <c r="C10198" s="15"/>
      <c r="E10198" s="8"/>
      <c r="G10198" s="8"/>
      <c r="J10198" s="8"/>
    </row>
    <row r="10199">
      <c r="C10199" s="15"/>
      <c r="E10199" s="8"/>
      <c r="G10199" s="8"/>
      <c r="J10199" s="8"/>
    </row>
    <row r="10200">
      <c r="C10200" s="15"/>
      <c r="E10200" s="8"/>
      <c r="G10200" s="8"/>
      <c r="J10200" s="8"/>
    </row>
    <row r="10201">
      <c r="C10201" s="15"/>
      <c r="E10201" s="8"/>
      <c r="G10201" s="8"/>
      <c r="J10201" s="8"/>
    </row>
    <row r="10202">
      <c r="C10202" s="15"/>
      <c r="E10202" s="8"/>
      <c r="G10202" s="8"/>
      <c r="J10202" s="8"/>
    </row>
    <row r="10203">
      <c r="C10203" s="15"/>
      <c r="E10203" s="8"/>
      <c r="G10203" s="8"/>
      <c r="J10203" s="8"/>
    </row>
    <row r="10204">
      <c r="C10204" s="15"/>
      <c r="E10204" s="8"/>
      <c r="G10204" s="8"/>
      <c r="J10204" s="8"/>
    </row>
    <row r="10205">
      <c r="C10205" s="15"/>
      <c r="E10205" s="8"/>
      <c r="G10205" s="8"/>
      <c r="J10205" s="8"/>
    </row>
    <row r="10206">
      <c r="C10206" s="15"/>
      <c r="E10206" s="8"/>
      <c r="G10206" s="8"/>
      <c r="J10206" s="8"/>
    </row>
    <row r="10207">
      <c r="C10207" s="15"/>
      <c r="E10207" s="8"/>
      <c r="G10207" s="8"/>
      <c r="J10207" s="8"/>
    </row>
    <row r="10208">
      <c r="C10208" s="15"/>
      <c r="E10208" s="8"/>
      <c r="G10208" s="8"/>
      <c r="J10208" s="8"/>
    </row>
    <row r="10209">
      <c r="C10209" s="15"/>
      <c r="E10209" s="8"/>
      <c r="G10209" s="8"/>
      <c r="J10209" s="8"/>
    </row>
    <row r="10210">
      <c r="C10210" s="15"/>
      <c r="E10210" s="8"/>
      <c r="G10210" s="8"/>
      <c r="J10210" s="8"/>
    </row>
    <row r="10211">
      <c r="C10211" s="15"/>
      <c r="E10211" s="8"/>
      <c r="G10211" s="8"/>
      <c r="J10211" s="8"/>
    </row>
    <row r="10212">
      <c r="C10212" s="15"/>
      <c r="E10212" s="8"/>
      <c r="G10212" s="8"/>
      <c r="J10212" s="8"/>
    </row>
    <row r="10213">
      <c r="C10213" s="15"/>
      <c r="E10213" s="8"/>
      <c r="G10213" s="8"/>
      <c r="J10213" s="8"/>
    </row>
    <row r="10214">
      <c r="C10214" s="15"/>
      <c r="E10214" s="8"/>
      <c r="G10214" s="8"/>
      <c r="J10214" s="8"/>
    </row>
    <row r="10215">
      <c r="C10215" s="15"/>
      <c r="E10215" s="8"/>
      <c r="G10215" s="8"/>
      <c r="J10215" s="8"/>
    </row>
    <row r="10216">
      <c r="C10216" s="15"/>
      <c r="E10216" s="8"/>
      <c r="G10216" s="8"/>
      <c r="J10216" s="8"/>
    </row>
    <row r="10217">
      <c r="C10217" s="15"/>
      <c r="E10217" s="8"/>
      <c r="G10217" s="8"/>
      <c r="J10217" s="8"/>
    </row>
    <row r="10218">
      <c r="C10218" s="15"/>
      <c r="E10218" s="8"/>
      <c r="G10218" s="8"/>
      <c r="J10218" s="8"/>
    </row>
    <row r="10219">
      <c r="C10219" s="15"/>
      <c r="E10219" s="8"/>
      <c r="G10219" s="8"/>
      <c r="J10219" s="8"/>
    </row>
    <row r="10220">
      <c r="C10220" s="15"/>
      <c r="E10220" s="8"/>
      <c r="G10220" s="8"/>
      <c r="J10220" s="8"/>
    </row>
    <row r="10221">
      <c r="C10221" s="15"/>
      <c r="E10221" s="8"/>
      <c r="G10221" s="8"/>
      <c r="J10221" s="8"/>
    </row>
    <row r="10222">
      <c r="C10222" s="15"/>
      <c r="E10222" s="8"/>
      <c r="G10222" s="8"/>
      <c r="J10222" s="8"/>
    </row>
    <row r="10223">
      <c r="C10223" s="15"/>
      <c r="E10223" s="8"/>
      <c r="G10223" s="8"/>
      <c r="J10223" s="8"/>
    </row>
    <row r="10224">
      <c r="C10224" s="15"/>
      <c r="E10224" s="8"/>
      <c r="G10224" s="8"/>
      <c r="J10224" s="8"/>
    </row>
    <row r="10225">
      <c r="C10225" s="15"/>
      <c r="E10225" s="8"/>
      <c r="G10225" s="8"/>
      <c r="J10225" s="8"/>
    </row>
    <row r="10226">
      <c r="C10226" s="15"/>
      <c r="E10226" s="8"/>
      <c r="G10226" s="8"/>
      <c r="J10226" s="8"/>
    </row>
    <row r="10227">
      <c r="C10227" s="15"/>
      <c r="E10227" s="8"/>
      <c r="G10227" s="8"/>
      <c r="J10227" s="8"/>
    </row>
    <row r="10228">
      <c r="C10228" s="15"/>
      <c r="E10228" s="8"/>
      <c r="G10228" s="8"/>
      <c r="J10228" s="8"/>
    </row>
    <row r="10229">
      <c r="C10229" s="15"/>
      <c r="E10229" s="8"/>
      <c r="G10229" s="8"/>
      <c r="J10229" s="8"/>
    </row>
    <row r="10230">
      <c r="C10230" s="15"/>
      <c r="E10230" s="8"/>
      <c r="G10230" s="8"/>
      <c r="J10230" s="8"/>
    </row>
    <row r="10231">
      <c r="C10231" s="15"/>
      <c r="E10231" s="8"/>
      <c r="G10231" s="8"/>
      <c r="J10231" s="8"/>
    </row>
    <row r="10232">
      <c r="C10232" s="15"/>
      <c r="E10232" s="8"/>
      <c r="G10232" s="8"/>
      <c r="J10232" s="8"/>
    </row>
    <row r="10233">
      <c r="C10233" s="15"/>
      <c r="E10233" s="8"/>
      <c r="G10233" s="8"/>
      <c r="J10233" s="8"/>
    </row>
    <row r="10234">
      <c r="C10234" s="15"/>
      <c r="E10234" s="8"/>
      <c r="G10234" s="8"/>
      <c r="J10234" s="8"/>
    </row>
    <row r="10235">
      <c r="C10235" s="15"/>
      <c r="E10235" s="8"/>
      <c r="G10235" s="8"/>
      <c r="J10235" s="8"/>
    </row>
    <row r="10236">
      <c r="C10236" s="15"/>
      <c r="E10236" s="8"/>
      <c r="G10236" s="8"/>
      <c r="J10236" s="8"/>
    </row>
    <row r="10237">
      <c r="C10237" s="15"/>
      <c r="E10237" s="8"/>
      <c r="G10237" s="8"/>
      <c r="J10237" s="8"/>
    </row>
    <row r="10238">
      <c r="C10238" s="15"/>
      <c r="E10238" s="8"/>
      <c r="G10238" s="8"/>
      <c r="J10238" s="8"/>
    </row>
    <row r="10239">
      <c r="C10239" s="15"/>
      <c r="E10239" s="8"/>
      <c r="G10239" s="8"/>
      <c r="J10239" s="8"/>
    </row>
    <row r="10240">
      <c r="C10240" s="15"/>
      <c r="E10240" s="8"/>
      <c r="G10240" s="8"/>
      <c r="J10240" s="8"/>
    </row>
    <row r="10241">
      <c r="C10241" s="15"/>
      <c r="E10241" s="8"/>
      <c r="G10241" s="8"/>
      <c r="J10241" s="8"/>
    </row>
    <row r="10242">
      <c r="C10242" s="15"/>
      <c r="E10242" s="8"/>
      <c r="G10242" s="8"/>
      <c r="J10242" s="8"/>
    </row>
    <row r="10243">
      <c r="C10243" s="15"/>
      <c r="E10243" s="8"/>
      <c r="G10243" s="8"/>
      <c r="J10243" s="8"/>
    </row>
    <row r="10244">
      <c r="C10244" s="15"/>
      <c r="E10244" s="8"/>
      <c r="G10244" s="8"/>
      <c r="J10244" s="8"/>
    </row>
    <row r="10245">
      <c r="C10245" s="15"/>
      <c r="E10245" s="8"/>
      <c r="G10245" s="8"/>
      <c r="J10245" s="8"/>
    </row>
    <row r="10246">
      <c r="C10246" s="15"/>
      <c r="E10246" s="8"/>
      <c r="G10246" s="8"/>
      <c r="J10246" s="8"/>
    </row>
    <row r="10247">
      <c r="C10247" s="15"/>
      <c r="E10247" s="8"/>
      <c r="G10247" s="8"/>
      <c r="J10247" s="8"/>
    </row>
    <row r="10248">
      <c r="C10248" s="15"/>
      <c r="E10248" s="8"/>
      <c r="G10248" s="8"/>
      <c r="J10248" s="8"/>
    </row>
    <row r="10249">
      <c r="C10249" s="15"/>
      <c r="E10249" s="8"/>
      <c r="G10249" s="8"/>
      <c r="J10249" s="8"/>
    </row>
    <row r="10250">
      <c r="C10250" s="15"/>
      <c r="E10250" s="8"/>
      <c r="G10250" s="8"/>
      <c r="J10250" s="8"/>
    </row>
    <row r="10251">
      <c r="C10251" s="15"/>
      <c r="E10251" s="8"/>
      <c r="G10251" s="8"/>
      <c r="J10251" s="8"/>
    </row>
    <row r="10252">
      <c r="C10252" s="15"/>
      <c r="E10252" s="8"/>
      <c r="G10252" s="8"/>
      <c r="J10252" s="8"/>
    </row>
    <row r="10253">
      <c r="C10253" s="15"/>
      <c r="E10253" s="8"/>
      <c r="G10253" s="8"/>
      <c r="J10253" s="8"/>
    </row>
    <row r="10254">
      <c r="C10254" s="15"/>
      <c r="E10254" s="8"/>
      <c r="G10254" s="8"/>
      <c r="J10254" s="8"/>
    </row>
    <row r="10255">
      <c r="C10255" s="15"/>
      <c r="E10255" s="8"/>
      <c r="G10255" s="8"/>
      <c r="J10255" s="8"/>
    </row>
    <row r="10256">
      <c r="C10256" s="15"/>
      <c r="E10256" s="8"/>
      <c r="G10256" s="8"/>
      <c r="J10256" s="8"/>
    </row>
    <row r="10257">
      <c r="C10257" s="15"/>
      <c r="E10257" s="8"/>
      <c r="G10257" s="8"/>
      <c r="J10257" s="8"/>
    </row>
    <row r="10258">
      <c r="C10258" s="15"/>
      <c r="E10258" s="8"/>
      <c r="G10258" s="8"/>
      <c r="J10258" s="8"/>
    </row>
    <row r="10259">
      <c r="C10259" s="15"/>
      <c r="E10259" s="8"/>
      <c r="G10259" s="8"/>
      <c r="J10259" s="8"/>
    </row>
    <row r="10260">
      <c r="C10260" s="15"/>
      <c r="E10260" s="8"/>
      <c r="G10260" s="8"/>
      <c r="J10260" s="8"/>
    </row>
    <row r="10261">
      <c r="C10261" s="15"/>
      <c r="E10261" s="8"/>
      <c r="G10261" s="8"/>
      <c r="J10261" s="8"/>
    </row>
    <row r="10262">
      <c r="C10262" s="15"/>
      <c r="E10262" s="8"/>
      <c r="G10262" s="8"/>
      <c r="J10262" s="8"/>
    </row>
    <row r="10263">
      <c r="C10263" s="15"/>
      <c r="E10263" s="8"/>
      <c r="G10263" s="8"/>
      <c r="J10263" s="8"/>
    </row>
    <row r="10264">
      <c r="C10264" s="15"/>
      <c r="E10264" s="8"/>
      <c r="G10264" s="8"/>
      <c r="J10264" s="8"/>
    </row>
    <row r="10265">
      <c r="C10265" s="15"/>
      <c r="E10265" s="8"/>
      <c r="G10265" s="8"/>
      <c r="J10265" s="8"/>
    </row>
    <row r="10266">
      <c r="C10266" s="15"/>
      <c r="E10266" s="8"/>
      <c r="G10266" s="8"/>
      <c r="J10266" s="8"/>
    </row>
    <row r="10267">
      <c r="C10267" s="15"/>
      <c r="E10267" s="8"/>
      <c r="G10267" s="8"/>
      <c r="J10267" s="8"/>
    </row>
    <row r="10268">
      <c r="C10268" s="15"/>
      <c r="E10268" s="8"/>
      <c r="G10268" s="8"/>
      <c r="J10268" s="8"/>
    </row>
    <row r="10269">
      <c r="C10269" s="15"/>
      <c r="E10269" s="8"/>
      <c r="G10269" s="8"/>
      <c r="J10269" s="8"/>
    </row>
    <row r="10270">
      <c r="C10270" s="15"/>
      <c r="E10270" s="8"/>
      <c r="G10270" s="8"/>
      <c r="J10270" s="8"/>
    </row>
    <row r="10271">
      <c r="C10271" s="15"/>
      <c r="E10271" s="8"/>
      <c r="G10271" s="8"/>
      <c r="J10271" s="8"/>
    </row>
    <row r="10272">
      <c r="C10272" s="15"/>
      <c r="E10272" s="8"/>
      <c r="G10272" s="8"/>
      <c r="J10272" s="8"/>
    </row>
    <row r="10273">
      <c r="C10273" s="15"/>
      <c r="E10273" s="8"/>
      <c r="G10273" s="8"/>
      <c r="J10273" s="8"/>
    </row>
    <row r="10274">
      <c r="C10274" s="15"/>
      <c r="E10274" s="8"/>
      <c r="G10274" s="8"/>
      <c r="J10274" s="8"/>
    </row>
    <row r="10275">
      <c r="C10275" s="15"/>
      <c r="E10275" s="8"/>
      <c r="G10275" s="8"/>
      <c r="J10275" s="8"/>
    </row>
    <row r="10276">
      <c r="C10276" s="15"/>
      <c r="E10276" s="8"/>
      <c r="G10276" s="8"/>
      <c r="J10276" s="8"/>
    </row>
    <row r="10277">
      <c r="C10277" s="15"/>
      <c r="E10277" s="8"/>
      <c r="G10277" s="8"/>
      <c r="J10277" s="8"/>
    </row>
    <row r="10278">
      <c r="C10278" s="15"/>
      <c r="E10278" s="8"/>
      <c r="G10278" s="8"/>
      <c r="J10278" s="8"/>
    </row>
    <row r="10279">
      <c r="C10279" s="15"/>
      <c r="E10279" s="8"/>
      <c r="G10279" s="8"/>
      <c r="J10279" s="8"/>
    </row>
    <row r="10280">
      <c r="C10280" s="15"/>
      <c r="E10280" s="8"/>
      <c r="G10280" s="8"/>
      <c r="J10280" s="8"/>
    </row>
    <row r="10281">
      <c r="C10281" s="15"/>
      <c r="E10281" s="8"/>
      <c r="G10281" s="8"/>
      <c r="J10281" s="8"/>
    </row>
    <row r="10282">
      <c r="C10282" s="15"/>
      <c r="E10282" s="8"/>
      <c r="G10282" s="8"/>
      <c r="J10282" s="8"/>
    </row>
    <row r="10283">
      <c r="C10283" s="15"/>
      <c r="E10283" s="8"/>
      <c r="G10283" s="8"/>
      <c r="J10283" s="8"/>
    </row>
    <row r="10284">
      <c r="C10284" s="15"/>
      <c r="E10284" s="8"/>
      <c r="G10284" s="8"/>
      <c r="J10284" s="8"/>
    </row>
    <row r="10285">
      <c r="C10285" s="15"/>
      <c r="E10285" s="8"/>
      <c r="G10285" s="8"/>
      <c r="J10285" s="8"/>
    </row>
    <row r="10286">
      <c r="C10286" s="15"/>
      <c r="E10286" s="8"/>
      <c r="G10286" s="8"/>
      <c r="J10286" s="8"/>
    </row>
    <row r="10287">
      <c r="C10287" s="15"/>
      <c r="E10287" s="8"/>
      <c r="G10287" s="8"/>
      <c r="J10287" s="8"/>
    </row>
    <row r="10288">
      <c r="C10288" s="15"/>
      <c r="E10288" s="8"/>
      <c r="G10288" s="8"/>
      <c r="J10288" s="8"/>
    </row>
    <row r="10289">
      <c r="C10289" s="15"/>
      <c r="E10289" s="8"/>
      <c r="G10289" s="8"/>
      <c r="J10289" s="8"/>
    </row>
    <row r="10290">
      <c r="C10290" s="15"/>
      <c r="E10290" s="8"/>
      <c r="G10290" s="8"/>
      <c r="J10290" s="8"/>
    </row>
    <row r="10291">
      <c r="C10291" s="15"/>
      <c r="E10291" s="8"/>
      <c r="G10291" s="8"/>
      <c r="J10291" s="8"/>
    </row>
    <row r="10292">
      <c r="C10292" s="15"/>
      <c r="E10292" s="8"/>
      <c r="G10292" s="8"/>
      <c r="J10292" s="8"/>
    </row>
    <row r="10293">
      <c r="C10293" s="15"/>
      <c r="E10293" s="8"/>
      <c r="G10293" s="8"/>
      <c r="J10293" s="8"/>
    </row>
    <row r="10294">
      <c r="C10294" s="15"/>
      <c r="E10294" s="8"/>
      <c r="G10294" s="8"/>
      <c r="J10294" s="8"/>
    </row>
    <row r="10295">
      <c r="C10295" s="15"/>
      <c r="E10295" s="8"/>
      <c r="G10295" s="8"/>
      <c r="J10295" s="8"/>
    </row>
    <row r="10296">
      <c r="C10296" s="15"/>
      <c r="E10296" s="8"/>
      <c r="G10296" s="8"/>
      <c r="J10296" s="8"/>
    </row>
    <row r="10297">
      <c r="C10297" s="15"/>
      <c r="E10297" s="8"/>
      <c r="G10297" s="8"/>
      <c r="J10297" s="8"/>
    </row>
    <row r="10298">
      <c r="C10298" s="15"/>
      <c r="E10298" s="8"/>
      <c r="G10298" s="8"/>
      <c r="J10298" s="8"/>
    </row>
    <row r="10299">
      <c r="C10299" s="15"/>
      <c r="E10299" s="8"/>
      <c r="G10299" s="8"/>
      <c r="J10299" s="8"/>
    </row>
    <row r="10300">
      <c r="C10300" s="15"/>
      <c r="E10300" s="8"/>
      <c r="G10300" s="8"/>
      <c r="J10300" s="8"/>
    </row>
    <row r="10301">
      <c r="C10301" s="15"/>
      <c r="E10301" s="8"/>
      <c r="G10301" s="8"/>
      <c r="J10301" s="8"/>
    </row>
    <row r="10302">
      <c r="C10302" s="15"/>
      <c r="E10302" s="8"/>
      <c r="G10302" s="8"/>
      <c r="J10302" s="8"/>
    </row>
    <row r="10303">
      <c r="C10303" s="15"/>
      <c r="E10303" s="8"/>
      <c r="G10303" s="8"/>
      <c r="J10303" s="8"/>
    </row>
    <row r="10304">
      <c r="C10304" s="15"/>
      <c r="E10304" s="8"/>
      <c r="G10304" s="8"/>
      <c r="J10304" s="8"/>
    </row>
    <row r="10305">
      <c r="C10305" s="15"/>
      <c r="E10305" s="8"/>
      <c r="G10305" s="8"/>
      <c r="J10305" s="8"/>
    </row>
    <row r="10306">
      <c r="C10306" s="15"/>
      <c r="E10306" s="8"/>
      <c r="G10306" s="8"/>
      <c r="J10306" s="8"/>
    </row>
    <row r="10307">
      <c r="C10307" s="15"/>
      <c r="E10307" s="8"/>
      <c r="G10307" s="8"/>
      <c r="J10307" s="8"/>
    </row>
    <row r="10308">
      <c r="C10308" s="15"/>
      <c r="E10308" s="8"/>
      <c r="G10308" s="8"/>
      <c r="J10308" s="8"/>
    </row>
    <row r="10309">
      <c r="C10309" s="15"/>
      <c r="E10309" s="8"/>
      <c r="G10309" s="8"/>
      <c r="J10309" s="8"/>
    </row>
    <row r="10310">
      <c r="C10310" s="15"/>
      <c r="E10310" s="8"/>
      <c r="G10310" s="8"/>
      <c r="J10310" s="8"/>
    </row>
    <row r="10311">
      <c r="C10311" s="15"/>
      <c r="E10311" s="8"/>
      <c r="G10311" s="8"/>
      <c r="J10311" s="8"/>
    </row>
    <row r="10312">
      <c r="C10312" s="15"/>
      <c r="E10312" s="8"/>
      <c r="G10312" s="8"/>
      <c r="J10312" s="8"/>
    </row>
    <row r="10313">
      <c r="C10313" s="15"/>
      <c r="E10313" s="8"/>
      <c r="G10313" s="8"/>
      <c r="J10313" s="8"/>
    </row>
    <row r="10314">
      <c r="C10314" s="15"/>
      <c r="E10314" s="8"/>
      <c r="G10314" s="8"/>
      <c r="J10314" s="8"/>
    </row>
    <row r="10315">
      <c r="C10315" s="15"/>
      <c r="E10315" s="8"/>
      <c r="G10315" s="8"/>
      <c r="J10315" s="8"/>
    </row>
    <row r="10316">
      <c r="C10316" s="15"/>
      <c r="E10316" s="8"/>
      <c r="G10316" s="8"/>
      <c r="J10316" s="8"/>
    </row>
    <row r="10317">
      <c r="C10317" s="15"/>
      <c r="E10317" s="8"/>
      <c r="G10317" s="8"/>
      <c r="J10317" s="8"/>
    </row>
    <row r="10318">
      <c r="C10318" s="15"/>
      <c r="E10318" s="8"/>
      <c r="G10318" s="8"/>
      <c r="J10318" s="8"/>
    </row>
    <row r="10319">
      <c r="C10319" s="15"/>
      <c r="E10319" s="8"/>
      <c r="G10319" s="8"/>
      <c r="J10319" s="8"/>
    </row>
    <row r="10320">
      <c r="C10320" s="15"/>
      <c r="E10320" s="8"/>
      <c r="G10320" s="8"/>
      <c r="J10320" s="8"/>
    </row>
    <row r="10321">
      <c r="C10321" s="15"/>
      <c r="E10321" s="8"/>
      <c r="G10321" s="8"/>
      <c r="J10321" s="8"/>
    </row>
    <row r="10322">
      <c r="C10322" s="15"/>
      <c r="E10322" s="8"/>
      <c r="G10322" s="8"/>
      <c r="J10322" s="8"/>
    </row>
    <row r="10323">
      <c r="C10323" s="15"/>
      <c r="E10323" s="8"/>
      <c r="G10323" s="8"/>
      <c r="J10323" s="8"/>
    </row>
    <row r="10324">
      <c r="C10324" s="15"/>
      <c r="E10324" s="8"/>
      <c r="G10324" s="8"/>
      <c r="J10324" s="8"/>
    </row>
    <row r="10325">
      <c r="C10325" s="15"/>
      <c r="E10325" s="8"/>
      <c r="G10325" s="8"/>
      <c r="J10325" s="8"/>
    </row>
    <row r="10326">
      <c r="C10326" s="15"/>
      <c r="E10326" s="8"/>
      <c r="G10326" s="8"/>
      <c r="J10326" s="8"/>
    </row>
    <row r="10327">
      <c r="C10327" s="15"/>
      <c r="E10327" s="8"/>
      <c r="G10327" s="8"/>
      <c r="J10327" s="8"/>
    </row>
    <row r="10328">
      <c r="C10328" s="15"/>
      <c r="E10328" s="8"/>
      <c r="G10328" s="8"/>
      <c r="J10328" s="8"/>
    </row>
    <row r="10329">
      <c r="C10329" s="15"/>
      <c r="E10329" s="8"/>
      <c r="G10329" s="8"/>
      <c r="J10329" s="8"/>
    </row>
    <row r="10330">
      <c r="C10330" s="15"/>
      <c r="E10330" s="8"/>
      <c r="G10330" s="8"/>
      <c r="J10330" s="8"/>
    </row>
    <row r="10331">
      <c r="C10331" s="15"/>
      <c r="E10331" s="8"/>
      <c r="G10331" s="8"/>
      <c r="J10331" s="8"/>
    </row>
    <row r="10332">
      <c r="C10332" s="15"/>
      <c r="E10332" s="8"/>
      <c r="G10332" s="8"/>
      <c r="J10332" s="8"/>
    </row>
    <row r="10333">
      <c r="C10333" s="15"/>
      <c r="E10333" s="8"/>
      <c r="G10333" s="8"/>
      <c r="J10333" s="8"/>
    </row>
    <row r="10334">
      <c r="C10334" s="15"/>
      <c r="E10334" s="8"/>
      <c r="G10334" s="8"/>
      <c r="J10334" s="8"/>
    </row>
    <row r="10335">
      <c r="C10335" s="15"/>
      <c r="E10335" s="8"/>
      <c r="G10335" s="8"/>
      <c r="J10335" s="8"/>
    </row>
    <row r="10336">
      <c r="C10336" s="15"/>
      <c r="E10336" s="8"/>
      <c r="G10336" s="8"/>
      <c r="J10336" s="8"/>
    </row>
    <row r="10337">
      <c r="C10337" s="15"/>
      <c r="E10337" s="8"/>
      <c r="G10337" s="8"/>
      <c r="J10337" s="8"/>
    </row>
    <row r="10338">
      <c r="C10338" s="15"/>
      <c r="E10338" s="8"/>
      <c r="G10338" s="8"/>
      <c r="J10338" s="8"/>
    </row>
    <row r="10339">
      <c r="C10339" s="15"/>
      <c r="E10339" s="8"/>
      <c r="G10339" s="8"/>
      <c r="J10339" s="8"/>
    </row>
    <row r="10340">
      <c r="C10340" s="15"/>
      <c r="E10340" s="8"/>
      <c r="G10340" s="8"/>
      <c r="J10340" s="8"/>
    </row>
    <row r="10341">
      <c r="C10341" s="15"/>
      <c r="E10341" s="8"/>
      <c r="G10341" s="8"/>
      <c r="J10341" s="8"/>
    </row>
    <row r="10342">
      <c r="C10342" s="15"/>
      <c r="E10342" s="8"/>
      <c r="G10342" s="8"/>
      <c r="J10342" s="8"/>
    </row>
    <row r="10343">
      <c r="C10343" s="15"/>
      <c r="E10343" s="8"/>
      <c r="G10343" s="8"/>
      <c r="J10343" s="8"/>
    </row>
    <row r="10344">
      <c r="C10344" s="15"/>
      <c r="E10344" s="8"/>
      <c r="G10344" s="8"/>
      <c r="J10344" s="8"/>
    </row>
    <row r="10345">
      <c r="C10345" s="15"/>
      <c r="E10345" s="8"/>
      <c r="G10345" s="8"/>
      <c r="J10345" s="8"/>
    </row>
    <row r="10346">
      <c r="C10346" s="15"/>
      <c r="E10346" s="8"/>
      <c r="G10346" s="8"/>
      <c r="J10346" s="8"/>
    </row>
    <row r="10347">
      <c r="C10347" s="15"/>
      <c r="E10347" s="8"/>
      <c r="G10347" s="8"/>
      <c r="J10347" s="8"/>
    </row>
    <row r="10348">
      <c r="C10348" s="15"/>
      <c r="E10348" s="8"/>
      <c r="G10348" s="8"/>
      <c r="J10348" s="8"/>
    </row>
    <row r="10349">
      <c r="C10349" s="15"/>
      <c r="E10349" s="8"/>
      <c r="G10349" s="8"/>
      <c r="J10349" s="8"/>
    </row>
    <row r="10350">
      <c r="C10350" s="15"/>
      <c r="E10350" s="8"/>
      <c r="G10350" s="8"/>
      <c r="J10350" s="8"/>
    </row>
    <row r="10351">
      <c r="C10351" s="15"/>
      <c r="E10351" s="8"/>
      <c r="G10351" s="8"/>
      <c r="J10351" s="8"/>
    </row>
    <row r="10352">
      <c r="C10352" s="15"/>
      <c r="E10352" s="8"/>
      <c r="G10352" s="8"/>
      <c r="J10352" s="8"/>
    </row>
    <row r="10353">
      <c r="C10353" s="15"/>
      <c r="E10353" s="8"/>
      <c r="G10353" s="8"/>
      <c r="J10353" s="8"/>
    </row>
    <row r="10354">
      <c r="C10354" s="15"/>
      <c r="E10354" s="8"/>
      <c r="G10354" s="8"/>
      <c r="J10354" s="8"/>
    </row>
    <row r="10355">
      <c r="C10355" s="15"/>
      <c r="E10355" s="8"/>
      <c r="G10355" s="8"/>
      <c r="J10355" s="8"/>
    </row>
    <row r="10356">
      <c r="C10356" s="15"/>
      <c r="E10356" s="8"/>
      <c r="G10356" s="8"/>
      <c r="J10356" s="8"/>
    </row>
    <row r="10357">
      <c r="C10357" s="15"/>
      <c r="E10357" s="8"/>
      <c r="G10357" s="8"/>
      <c r="J10357" s="8"/>
    </row>
    <row r="10358">
      <c r="C10358" s="15"/>
      <c r="E10358" s="8"/>
      <c r="G10358" s="8"/>
      <c r="J10358" s="8"/>
    </row>
    <row r="10359">
      <c r="C10359" s="15"/>
      <c r="E10359" s="8"/>
      <c r="G10359" s="8"/>
      <c r="J10359" s="8"/>
    </row>
    <row r="10360">
      <c r="C10360" s="15"/>
      <c r="E10360" s="8"/>
      <c r="G10360" s="8"/>
      <c r="J10360" s="8"/>
    </row>
    <row r="10361">
      <c r="C10361" s="15"/>
      <c r="E10361" s="8"/>
      <c r="G10361" s="8"/>
      <c r="J10361" s="8"/>
    </row>
    <row r="10362">
      <c r="C10362" s="15"/>
      <c r="E10362" s="8"/>
      <c r="G10362" s="8"/>
      <c r="J10362" s="8"/>
    </row>
    <row r="10363">
      <c r="C10363" s="15"/>
      <c r="E10363" s="8"/>
      <c r="G10363" s="8"/>
      <c r="J10363" s="8"/>
    </row>
    <row r="10364">
      <c r="C10364" s="15"/>
      <c r="E10364" s="8"/>
      <c r="G10364" s="8"/>
      <c r="J10364" s="8"/>
    </row>
    <row r="10365">
      <c r="C10365" s="15"/>
      <c r="E10365" s="8"/>
      <c r="G10365" s="8"/>
      <c r="J10365" s="8"/>
    </row>
    <row r="10366">
      <c r="C10366" s="15"/>
      <c r="E10366" s="8"/>
      <c r="G10366" s="8"/>
      <c r="J10366" s="8"/>
    </row>
    <row r="10367">
      <c r="C10367" s="15"/>
      <c r="E10367" s="8"/>
      <c r="G10367" s="8"/>
      <c r="J10367" s="8"/>
    </row>
    <row r="10368">
      <c r="C10368" s="15"/>
      <c r="E10368" s="8"/>
      <c r="G10368" s="8"/>
      <c r="J10368" s="8"/>
    </row>
    <row r="10369">
      <c r="C10369" s="15"/>
      <c r="E10369" s="8"/>
      <c r="G10369" s="8"/>
      <c r="J10369" s="8"/>
    </row>
    <row r="10370">
      <c r="C10370" s="15"/>
      <c r="E10370" s="8"/>
      <c r="G10370" s="8"/>
      <c r="J10370" s="8"/>
    </row>
    <row r="10371">
      <c r="C10371" s="15"/>
      <c r="E10371" s="8"/>
      <c r="G10371" s="8"/>
      <c r="J10371" s="8"/>
    </row>
    <row r="10372">
      <c r="C10372" s="15"/>
      <c r="E10372" s="8"/>
      <c r="G10372" s="8"/>
      <c r="J10372" s="8"/>
    </row>
    <row r="10373">
      <c r="C10373" s="15"/>
      <c r="E10373" s="8"/>
      <c r="G10373" s="8"/>
      <c r="J10373" s="8"/>
    </row>
    <row r="10374">
      <c r="C10374" s="15"/>
      <c r="E10374" s="8"/>
      <c r="G10374" s="8"/>
      <c r="J10374" s="8"/>
    </row>
    <row r="10375">
      <c r="C10375" s="15"/>
      <c r="E10375" s="8"/>
      <c r="G10375" s="8"/>
      <c r="J10375" s="8"/>
    </row>
    <row r="10376">
      <c r="C10376" s="15"/>
      <c r="E10376" s="8"/>
      <c r="G10376" s="8"/>
      <c r="J10376" s="8"/>
    </row>
    <row r="10377">
      <c r="C10377" s="15"/>
      <c r="E10377" s="8"/>
      <c r="G10377" s="8"/>
      <c r="J10377" s="8"/>
    </row>
    <row r="10378">
      <c r="C10378" s="15"/>
      <c r="E10378" s="8"/>
      <c r="G10378" s="8"/>
      <c r="J10378" s="8"/>
    </row>
    <row r="10379">
      <c r="C10379" s="15"/>
      <c r="E10379" s="8"/>
      <c r="G10379" s="8"/>
      <c r="J10379" s="8"/>
    </row>
    <row r="10380">
      <c r="C10380" s="15"/>
      <c r="E10380" s="8"/>
      <c r="G10380" s="8"/>
      <c r="J10380" s="8"/>
    </row>
    <row r="10381">
      <c r="C10381" s="15"/>
      <c r="E10381" s="8"/>
      <c r="G10381" s="8"/>
      <c r="J10381" s="8"/>
    </row>
    <row r="10382">
      <c r="C10382" s="15"/>
      <c r="E10382" s="8"/>
      <c r="G10382" s="8"/>
      <c r="J10382" s="8"/>
    </row>
    <row r="10383">
      <c r="C10383" s="15"/>
      <c r="E10383" s="8"/>
      <c r="G10383" s="8"/>
      <c r="J10383" s="8"/>
    </row>
    <row r="10384">
      <c r="C10384" s="15"/>
      <c r="E10384" s="8"/>
      <c r="G10384" s="8"/>
      <c r="J10384" s="8"/>
    </row>
    <row r="10385">
      <c r="C10385" s="15"/>
      <c r="E10385" s="8"/>
      <c r="G10385" s="8"/>
      <c r="J10385" s="8"/>
    </row>
    <row r="10386">
      <c r="C10386" s="15"/>
      <c r="E10386" s="8"/>
      <c r="G10386" s="8"/>
      <c r="J10386" s="8"/>
    </row>
    <row r="10387">
      <c r="C10387" s="15"/>
      <c r="E10387" s="8"/>
      <c r="G10387" s="8"/>
      <c r="J10387" s="8"/>
    </row>
    <row r="10388">
      <c r="C10388" s="15"/>
      <c r="E10388" s="8"/>
      <c r="G10388" s="8"/>
      <c r="J10388" s="8"/>
    </row>
    <row r="10389">
      <c r="C10389" s="15"/>
      <c r="E10389" s="8"/>
      <c r="G10389" s="8"/>
      <c r="J10389" s="8"/>
    </row>
    <row r="10390">
      <c r="C10390" s="15"/>
      <c r="E10390" s="8"/>
      <c r="G10390" s="8"/>
      <c r="J10390" s="8"/>
    </row>
    <row r="10391">
      <c r="C10391" s="15"/>
      <c r="E10391" s="8"/>
      <c r="G10391" s="8"/>
      <c r="J10391" s="8"/>
    </row>
    <row r="10392">
      <c r="C10392" s="15"/>
      <c r="E10392" s="8"/>
      <c r="G10392" s="8"/>
      <c r="J10392" s="8"/>
    </row>
    <row r="10393">
      <c r="C10393" s="15"/>
      <c r="E10393" s="8"/>
      <c r="G10393" s="8"/>
      <c r="J10393" s="8"/>
    </row>
    <row r="10394">
      <c r="C10394" s="15"/>
      <c r="E10394" s="8"/>
      <c r="G10394" s="8"/>
      <c r="J10394" s="8"/>
    </row>
    <row r="10395">
      <c r="C10395" s="15"/>
      <c r="E10395" s="8"/>
      <c r="G10395" s="8"/>
      <c r="J10395" s="8"/>
    </row>
    <row r="10396">
      <c r="C10396" s="15"/>
      <c r="E10396" s="8"/>
      <c r="G10396" s="8"/>
      <c r="J10396" s="8"/>
    </row>
    <row r="10397">
      <c r="C10397" s="15"/>
      <c r="E10397" s="8"/>
      <c r="G10397" s="8"/>
      <c r="J10397" s="8"/>
    </row>
    <row r="10398">
      <c r="C10398" s="15"/>
      <c r="E10398" s="8"/>
      <c r="G10398" s="8"/>
      <c r="J10398" s="8"/>
    </row>
    <row r="10399">
      <c r="C10399" s="15"/>
      <c r="E10399" s="8"/>
      <c r="G10399" s="8"/>
      <c r="J10399" s="8"/>
    </row>
    <row r="10400">
      <c r="C10400" s="15"/>
      <c r="E10400" s="8"/>
      <c r="G10400" s="8"/>
      <c r="J10400" s="8"/>
    </row>
    <row r="10401">
      <c r="C10401" s="15"/>
      <c r="E10401" s="8"/>
      <c r="G10401" s="8"/>
      <c r="J10401" s="8"/>
    </row>
    <row r="10402">
      <c r="C10402" s="15"/>
      <c r="E10402" s="8"/>
      <c r="G10402" s="8"/>
      <c r="J10402" s="8"/>
    </row>
    <row r="10403">
      <c r="C10403" s="15"/>
      <c r="E10403" s="8"/>
      <c r="G10403" s="8"/>
      <c r="J10403" s="8"/>
    </row>
    <row r="10404">
      <c r="C10404" s="15"/>
      <c r="E10404" s="8"/>
      <c r="G10404" s="8"/>
      <c r="J10404" s="8"/>
    </row>
    <row r="10405">
      <c r="C10405" s="15"/>
      <c r="E10405" s="8"/>
      <c r="G10405" s="8"/>
      <c r="J10405" s="8"/>
    </row>
    <row r="10406">
      <c r="C10406" s="15"/>
      <c r="E10406" s="8"/>
      <c r="G10406" s="8"/>
      <c r="J10406" s="8"/>
    </row>
    <row r="10407">
      <c r="C10407" s="15"/>
      <c r="E10407" s="8"/>
      <c r="G10407" s="8"/>
      <c r="J10407" s="8"/>
    </row>
    <row r="10408">
      <c r="C10408" s="15"/>
      <c r="E10408" s="8"/>
      <c r="G10408" s="8"/>
      <c r="J10408" s="8"/>
    </row>
    <row r="10409">
      <c r="C10409" s="15"/>
      <c r="E10409" s="8"/>
      <c r="G10409" s="8"/>
      <c r="J10409" s="8"/>
    </row>
    <row r="10410">
      <c r="C10410" s="15"/>
      <c r="E10410" s="8"/>
      <c r="G10410" s="8"/>
      <c r="J10410" s="8"/>
    </row>
    <row r="10411">
      <c r="C10411" s="15"/>
      <c r="E10411" s="8"/>
      <c r="G10411" s="8"/>
      <c r="J10411" s="8"/>
    </row>
    <row r="10412">
      <c r="C10412" s="15"/>
      <c r="E10412" s="8"/>
      <c r="G10412" s="8"/>
      <c r="J10412" s="8"/>
    </row>
    <row r="10413">
      <c r="C10413" s="15"/>
      <c r="E10413" s="8"/>
      <c r="G10413" s="8"/>
      <c r="J10413" s="8"/>
    </row>
    <row r="10414">
      <c r="C10414" s="15"/>
      <c r="E10414" s="8"/>
      <c r="G10414" s="8"/>
      <c r="J10414" s="8"/>
    </row>
    <row r="10415">
      <c r="C10415" s="15"/>
      <c r="E10415" s="8"/>
      <c r="G10415" s="8"/>
      <c r="J10415" s="8"/>
    </row>
    <row r="10416">
      <c r="C10416" s="15"/>
      <c r="E10416" s="8"/>
      <c r="G10416" s="8"/>
      <c r="J10416" s="8"/>
    </row>
    <row r="10417">
      <c r="C10417" s="15"/>
      <c r="E10417" s="8"/>
      <c r="G10417" s="8"/>
      <c r="J10417" s="8"/>
    </row>
    <row r="10418">
      <c r="C10418" s="15"/>
      <c r="E10418" s="8"/>
      <c r="G10418" s="8"/>
      <c r="J10418" s="8"/>
    </row>
    <row r="10419">
      <c r="C10419" s="15"/>
      <c r="E10419" s="8"/>
      <c r="G10419" s="8"/>
      <c r="J10419" s="8"/>
    </row>
    <row r="10420">
      <c r="C10420" s="15"/>
      <c r="E10420" s="8"/>
      <c r="G10420" s="8"/>
      <c r="J10420" s="8"/>
    </row>
    <row r="10421">
      <c r="C10421" s="15"/>
      <c r="E10421" s="8"/>
      <c r="G10421" s="8"/>
      <c r="J10421" s="8"/>
    </row>
    <row r="10422">
      <c r="C10422" s="15"/>
      <c r="E10422" s="8"/>
      <c r="G10422" s="8"/>
      <c r="J10422" s="8"/>
    </row>
    <row r="10423">
      <c r="C10423" s="15"/>
      <c r="E10423" s="8"/>
      <c r="G10423" s="8"/>
      <c r="J10423" s="8"/>
    </row>
    <row r="10424">
      <c r="C10424" s="15"/>
      <c r="E10424" s="8"/>
      <c r="G10424" s="8"/>
      <c r="J10424" s="8"/>
    </row>
    <row r="10425">
      <c r="C10425" s="15"/>
      <c r="E10425" s="8"/>
      <c r="G10425" s="8"/>
      <c r="J10425" s="8"/>
    </row>
    <row r="10426">
      <c r="C10426" s="15"/>
      <c r="E10426" s="8"/>
      <c r="G10426" s="8"/>
      <c r="J10426" s="8"/>
    </row>
    <row r="10427">
      <c r="C10427" s="15"/>
      <c r="E10427" s="8"/>
      <c r="G10427" s="8"/>
      <c r="J10427" s="8"/>
    </row>
    <row r="10428">
      <c r="C10428" s="15"/>
      <c r="E10428" s="8"/>
      <c r="G10428" s="8"/>
      <c r="J10428" s="8"/>
    </row>
    <row r="10429">
      <c r="C10429" s="15"/>
      <c r="E10429" s="8"/>
      <c r="G10429" s="8"/>
      <c r="J10429" s="8"/>
    </row>
    <row r="10430">
      <c r="C10430" s="15"/>
      <c r="E10430" s="8"/>
      <c r="G10430" s="8"/>
      <c r="J10430" s="8"/>
    </row>
    <row r="10431">
      <c r="C10431" s="15"/>
      <c r="E10431" s="8"/>
      <c r="G10431" s="8"/>
      <c r="J10431" s="8"/>
    </row>
    <row r="10432">
      <c r="C10432" s="15"/>
      <c r="E10432" s="8"/>
      <c r="G10432" s="8"/>
      <c r="J10432" s="8"/>
    </row>
    <row r="10433">
      <c r="C10433" s="15"/>
      <c r="E10433" s="8"/>
      <c r="G10433" s="8"/>
      <c r="J10433" s="8"/>
    </row>
    <row r="10434">
      <c r="C10434" s="15"/>
      <c r="E10434" s="8"/>
      <c r="G10434" s="8"/>
      <c r="J10434" s="8"/>
    </row>
    <row r="10435">
      <c r="C10435" s="15"/>
      <c r="E10435" s="8"/>
      <c r="G10435" s="8"/>
      <c r="J10435" s="8"/>
    </row>
    <row r="10436">
      <c r="C10436" s="15"/>
      <c r="E10436" s="8"/>
      <c r="G10436" s="8"/>
      <c r="J10436" s="8"/>
    </row>
    <row r="10437">
      <c r="C10437" s="15"/>
      <c r="E10437" s="8"/>
      <c r="G10437" s="8"/>
      <c r="J10437" s="8"/>
    </row>
    <row r="10438">
      <c r="C10438" s="15"/>
      <c r="E10438" s="8"/>
      <c r="G10438" s="8"/>
      <c r="J10438" s="8"/>
    </row>
    <row r="10439">
      <c r="C10439" s="15"/>
      <c r="E10439" s="8"/>
      <c r="G10439" s="8"/>
      <c r="J10439" s="8"/>
    </row>
    <row r="10440">
      <c r="C10440" s="15"/>
      <c r="E10440" s="8"/>
      <c r="G10440" s="8"/>
      <c r="J10440" s="8"/>
    </row>
    <row r="10441">
      <c r="C10441" s="15"/>
      <c r="E10441" s="8"/>
      <c r="G10441" s="8"/>
      <c r="J10441" s="8"/>
    </row>
    <row r="10442">
      <c r="C10442" s="15"/>
      <c r="E10442" s="8"/>
      <c r="G10442" s="8"/>
      <c r="J10442" s="8"/>
    </row>
    <row r="10443">
      <c r="C10443" s="15"/>
      <c r="E10443" s="8"/>
      <c r="G10443" s="8"/>
      <c r="J10443" s="8"/>
    </row>
    <row r="10444">
      <c r="C10444" s="15"/>
      <c r="E10444" s="8"/>
      <c r="G10444" s="8"/>
      <c r="J10444" s="8"/>
    </row>
    <row r="10445">
      <c r="C10445" s="15"/>
      <c r="E10445" s="8"/>
      <c r="G10445" s="8"/>
      <c r="J10445" s="8"/>
    </row>
    <row r="10446">
      <c r="C10446" s="15"/>
      <c r="E10446" s="8"/>
      <c r="G10446" s="8"/>
      <c r="J10446" s="8"/>
    </row>
    <row r="10447">
      <c r="C10447" s="15"/>
      <c r="E10447" s="8"/>
      <c r="G10447" s="8"/>
      <c r="J10447" s="8"/>
    </row>
    <row r="10448">
      <c r="C10448" s="15"/>
      <c r="E10448" s="8"/>
      <c r="G10448" s="8"/>
      <c r="J10448" s="8"/>
    </row>
    <row r="10449">
      <c r="C10449" s="15"/>
      <c r="E10449" s="8"/>
      <c r="G10449" s="8"/>
      <c r="J10449" s="8"/>
    </row>
    <row r="10450">
      <c r="C10450" s="15"/>
      <c r="E10450" s="8"/>
      <c r="G10450" s="8"/>
      <c r="J10450" s="8"/>
    </row>
    <row r="10451">
      <c r="C10451" s="15"/>
      <c r="E10451" s="8"/>
      <c r="G10451" s="8"/>
      <c r="J10451" s="8"/>
    </row>
    <row r="10452">
      <c r="C10452" s="15"/>
      <c r="E10452" s="8"/>
      <c r="G10452" s="8"/>
      <c r="J10452" s="8"/>
    </row>
    <row r="10453">
      <c r="C10453" s="15"/>
      <c r="E10453" s="8"/>
      <c r="G10453" s="8"/>
      <c r="J10453" s="8"/>
    </row>
    <row r="10454">
      <c r="C10454" s="15"/>
      <c r="E10454" s="8"/>
      <c r="G10454" s="8"/>
      <c r="J10454" s="8"/>
    </row>
    <row r="10455">
      <c r="C10455" s="15"/>
      <c r="E10455" s="8"/>
      <c r="G10455" s="8"/>
      <c r="J10455" s="8"/>
    </row>
    <row r="10456">
      <c r="C10456" s="15"/>
      <c r="E10456" s="8"/>
      <c r="G10456" s="8"/>
      <c r="J10456" s="8"/>
    </row>
    <row r="10457">
      <c r="C10457" s="15"/>
      <c r="E10457" s="8"/>
      <c r="G10457" s="8"/>
      <c r="J10457" s="8"/>
    </row>
    <row r="10458">
      <c r="C10458" s="15"/>
      <c r="E10458" s="8"/>
      <c r="G10458" s="8"/>
      <c r="J10458" s="8"/>
    </row>
    <row r="10459">
      <c r="C10459" s="15"/>
      <c r="E10459" s="8"/>
      <c r="G10459" s="8"/>
      <c r="J10459" s="8"/>
    </row>
    <row r="10460">
      <c r="C10460" s="15"/>
      <c r="E10460" s="8"/>
      <c r="G10460" s="8"/>
      <c r="J10460" s="8"/>
    </row>
    <row r="10461">
      <c r="C10461" s="15"/>
      <c r="E10461" s="8"/>
      <c r="G10461" s="8"/>
      <c r="J10461" s="8"/>
    </row>
    <row r="10462">
      <c r="C10462" s="15"/>
      <c r="E10462" s="8"/>
      <c r="G10462" s="8"/>
      <c r="J10462" s="8"/>
    </row>
    <row r="10463">
      <c r="C10463" s="15"/>
      <c r="E10463" s="8"/>
      <c r="G10463" s="8"/>
      <c r="J10463" s="8"/>
    </row>
    <row r="10464">
      <c r="C10464" s="15"/>
      <c r="E10464" s="8"/>
      <c r="G10464" s="8"/>
      <c r="J10464" s="8"/>
    </row>
    <row r="10465">
      <c r="C10465" s="15"/>
      <c r="E10465" s="8"/>
      <c r="G10465" s="8"/>
      <c r="J10465" s="8"/>
    </row>
    <row r="10466">
      <c r="C10466" s="15"/>
      <c r="E10466" s="8"/>
      <c r="G10466" s="8"/>
      <c r="J10466" s="8"/>
    </row>
    <row r="10467">
      <c r="C10467" s="15"/>
      <c r="E10467" s="8"/>
      <c r="G10467" s="8"/>
      <c r="J10467" s="8"/>
    </row>
    <row r="10468">
      <c r="C10468" s="15"/>
      <c r="E10468" s="8"/>
      <c r="G10468" s="8"/>
      <c r="J10468" s="8"/>
    </row>
    <row r="10469">
      <c r="C10469" s="15"/>
      <c r="E10469" s="8"/>
      <c r="G10469" s="8"/>
      <c r="J10469" s="8"/>
    </row>
    <row r="10470">
      <c r="C10470" s="15"/>
      <c r="E10470" s="8"/>
      <c r="G10470" s="8"/>
      <c r="J10470" s="8"/>
    </row>
    <row r="10471">
      <c r="C10471" s="15"/>
      <c r="E10471" s="8"/>
      <c r="G10471" s="8"/>
      <c r="J10471" s="8"/>
    </row>
    <row r="10472">
      <c r="C10472" s="15"/>
      <c r="E10472" s="8"/>
      <c r="G10472" s="8"/>
      <c r="J10472" s="8"/>
    </row>
    <row r="10473">
      <c r="C10473" s="15"/>
      <c r="E10473" s="8"/>
      <c r="G10473" s="8"/>
      <c r="J10473" s="8"/>
    </row>
    <row r="10474">
      <c r="C10474" s="15"/>
      <c r="E10474" s="8"/>
      <c r="G10474" s="8"/>
      <c r="J10474" s="8"/>
    </row>
    <row r="10475">
      <c r="C10475" s="15"/>
      <c r="E10475" s="8"/>
      <c r="G10475" s="8"/>
      <c r="J10475" s="8"/>
    </row>
    <row r="10476">
      <c r="C10476" s="15"/>
      <c r="E10476" s="8"/>
      <c r="G10476" s="8"/>
      <c r="J10476" s="8"/>
    </row>
    <row r="10477">
      <c r="C10477" s="15"/>
      <c r="E10477" s="8"/>
      <c r="G10477" s="8"/>
      <c r="J10477" s="8"/>
    </row>
    <row r="10478">
      <c r="C10478" s="15"/>
      <c r="E10478" s="8"/>
      <c r="G10478" s="8"/>
      <c r="J10478" s="8"/>
    </row>
    <row r="10479">
      <c r="C10479" s="15"/>
      <c r="E10479" s="8"/>
      <c r="G10479" s="8"/>
      <c r="J10479" s="8"/>
    </row>
    <row r="10480">
      <c r="C10480" s="15"/>
      <c r="E10480" s="8"/>
      <c r="G10480" s="8"/>
      <c r="J10480" s="8"/>
    </row>
    <row r="10481">
      <c r="C10481" s="15"/>
      <c r="E10481" s="8"/>
      <c r="G10481" s="8"/>
      <c r="J10481" s="8"/>
    </row>
    <row r="10482">
      <c r="C10482" s="15"/>
      <c r="E10482" s="8"/>
      <c r="G10482" s="8"/>
      <c r="J10482" s="8"/>
    </row>
    <row r="10483">
      <c r="C10483" s="15"/>
      <c r="E10483" s="8"/>
      <c r="G10483" s="8"/>
      <c r="J10483" s="8"/>
    </row>
    <row r="10484">
      <c r="C10484" s="15"/>
      <c r="E10484" s="8"/>
      <c r="G10484" s="8"/>
      <c r="J10484" s="8"/>
    </row>
    <row r="10485">
      <c r="C10485" s="15"/>
      <c r="E10485" s="8"/>
      <c r="G10485" s="8"/>
      <c r="J10485" s="8"/>
    </row>
    <row r="10486">
      <c r="C10486" s="15"/>
      <c r="E10486" s="8"/>
      <c r="G10486" s="8"/>
      <c r="J10486" s="8"/>
    </row>
    <row r="10487">
      <c r="C10487" s="15"/>
      <c r="E10487" s="8"/>
      <c r="G10487" s="8"/>
      <c r="J10487" s="8"/>
    </row>
    <row r="10488">
      <c r="C10488" s="15"/>
      <c r="E10488" s="8"/>
      <c r="G10488" s="8"/>
      <c r="J10488" s="8"/>
    </row>
    <row r="10489">
      <c r="C10489" s="15"/>
      <c r="E10489" s="8"/>
      <c r="G10489" s="8"/>
      <c r="J10489" s="8"/>
    </row>
    <row r="10490">
      <c r="C10490" s="15"/>
      <c r="E10490" s="8"/>
      <c r="G10490" s="8"/>
      <c r="J10490" s="8"/>
    </row>
    <row r="10491">
      <c r="C10491" s="15"/>
      <c r="E10491" s="8"/>
      <c r="G10491" s="8"/>
      <c r="J10491" s="8"/>
    </row>
    <row r="10492">
      <c r="C10492" s="15"/>
      <c r="E10492" s="8"/>
      <c r="G10492" s="8"/>
      <c r="J10492" s="8"/>
    </row>
    <row r="10493">
      <c r="C10493" s="15"/>
      <c r="E10493" s="8"/>
      <c r="G10493" s="8"/>
      <c r="J10493" s="8"/>
    </row>
    <row r="10494">
      <c r="C10494" s="15"/>
      <c r="E10494" s="8"/>
      <c r="G10494" s="8"/>
      <c r="J10494" s="8"/>
    </row>
    <row r="10495">
      <c r="C10495" s="15"/>
      <c r="E10495" s="8"/>
      <c r="G10495" s="8"/>
      <c r="J10495" s="8"/>
    </row>
    <row r="10496">
      <c r="C10496" s="15"/>
      <c r="E10496" s="8"/>
      <c r="G10496" s="8"/>
      <c r="J10496" s="8"/>
    </row>
    <row r="10497">
      <c r="C10497" s="15"/>
      <c r="E10497" s="8"/>
      <c r="G10497" s="8"/>
      <c r="J10497" s="8"/>
    </row>
    <row r="10498">
      <c r="C10498" s="15"/>
      <c r="E10498" s="8"/>
      <c r="G10498" s="8"/>
      <c r="J10498" s="8"/>
    </row>
    <row r="10499">
      <c r="C10499" s="15"/>
      <c r="E10499" s="8"/>
      <c r="G10499" s="8"/>
      <c r="J10499" s="8"/>
    </row>
    <row r="10500">
      <c r="C10500" s="15"/>
      <c r="E10500" s="8"/>
      <c r="G10500" s="8"/>
      <c r="J10500" s="8"/>
    </row>
    <row r="10501">
      <c r="C10501" s="15"/>
      <c r="E10501" s="8"/>
      <c r="G10501" s="8"/>
      <c r="J10501" s="8"/>
    </row>
    <row r="10502">
      <c r="C10502" s="15"/>
      <c r="E10502" s="8"/>
      <c r="G10502" s="8"/>
      <c r="J10502" s="8"/>
    </row>
    <row r="10503">
      <c r="C10503" s="15"/>
      <c r="E10503" s="8"/>
      <c r="G10503" s="8"/>
      <c r="J10503" s="8"/>
    </row>
    <row r="10504">
      <c r="C10504" s="15"/>
      <c r="E10504" s="8"/>
      <c r="G10504" s="8"/>
      <c r="J10504" s="8"/>
    </row>
    <row r="10505">
      <c r="C10505" s="15"/>
      <c r="E10505" s="8"/>
      <c r="G10505" s="8"/>
      <c r="J10505" s="8"/>
    </row>
    <row r="10506">
      <c r="C10506" s="15"/>
      <c r="E10506" s="8"/>
      <c r="G10506" s="8"/>
      <c r="J10506" s="8"/>
    </row>
    <row r="10507">
      <c r="C10507" s="15"/>
      <c r="E10507" s="8"/>
      <c r="G10507" s="8"/>
      <c r="J10507" s="8"/>
    </row>
    <row r="10508">
      <c r="C10508" s="15"/>
      <c r="E10508" s="8"/>
      <c r="G10508" s="8"/>
      <c r="J10508" s="8"/>
    </row>
    <row r="10509">
      <c r="C10509" s="15"/>
      <c r="E10509" s="8"/>
      <c r="G10509" s="8"/>
      <c r="J10509" s="8"/>
    </row>
    <row r="10510">
      <c r="C10510" s="15"/>
      <c r="E10510" s="8"/>
      <c r="G10510" s="8"/>
      <c r="J10510" s="8"/>
    </row>
    <row r="10511">
      <c r="C10511" s="15"/>
      <c r="E10511" s="8"/>
      <c r="G10511" s="8"/>
      <c r="J10511" s="8"/>
    </row>
    <row r="10512">
      <c r="C10512" s="15"/>
      <c r="E10512" s="8"/>
      <c r="G10512" s="8"/>
      <c r="J10512" s="8"/>
    </row>
    <row r="10513">
      <c r="C10513" s="15"/>
      <c r="E10513" s="8"/>
      <c r="G10513" s="8"/>
      <c r="J10513" s="8"/>
    </row>
    <row r="10514">
      <c r="C10514" s="15"/>
      <c r="E10514" s="8"/>
      <c r="G10514" s="8"/>
      <c r="J10514" s="8"/>
    </row>
    <row r="10515">
      <c r="C10515" s="15"/>
      <c r="E10515" s="8"/>
      <c r="G10515" s="8"/>
      <c r="J10515" s="8"/>
    </row>
    <row r="10516">
      <c r="C10516" s="15"/>
      <c r="E10516" s="8"/>
      <c r="G10516" s="8"/>
      <c r="J10516" s="8"/>
    </row>
    <row r="10517">
      <c r="C10517" s="15"/>
      <c r="E10517" s="8"/>
      <c r="G10517" s="8"/>
      <c r="J10517" s="8"/>
    </row>
    <row r="10518">
      <c r="C10518" s="15"/>
      <c r="E10518" s="8"/>
      <c r="G10518" s="8"/>
      <c r="J10518" s="8"/>
    </row>
    <row r="10519">
      <c r="C10519" s="15"/>
      <c r="E10519" s="8"/>
      <c r="G10519" s="8"/>
      <c r="J10519" s="8"/>
    </row>
    <row r="10520">
      <c r="C10520" s="15"/>
      <c r="E10520" s="8"/>
      <c r="G10520" s="8"/>
      <c r="J10520" s="8"/>
    </row>
    <row r="10521">
      <c r="C10521" s="15"/>
      <c r="E10521" s="8"/>
      <c r="G10521" s="8"/>
      <c r="J10521" s="8"/>
    </row>
    <row r="10522">
      <c r="C10522" s="15"/>
      <c r="E10522" s="8"/>
      <c r="G10522" s="8"/>
      <c r="J10522" s="8"/>
    </row>
    <row r="10523">
      <c r="C10523" s="15"/>
      <c r="E10523" s="8"/>
      <c r="G10523" s="8"/>
      <c r="J10523" s="8"/>
    </row>
    <row r="10524">
      <c r="C10524" s="15"/>
      <c r="E10524" s="8"/>
      <c r="G10524" s="8"/>
      <c r="J10524" s="8"/>
    </row>
    <row r="10525">
      <c r="C10525" s="15"/>
      <c r="E10525" s="8"/>
      <c r="G10525" s="8"/>
      <c r="J10525" s="8"/>
    </row>
    <row r="10526">
      <c r="C10526" s="15"/>
      <c r="E10526" s="8"/>
      <c r="G10526" s="8"/>
      <c r="J10526" s="8"/>
    </row>
    <row r="10527">
      <c r="C10527" s="15"/>
      <c r="E10527" s="8"/>
      <c r="G10527" s="8"/>
      <c r="J10527" s="8"/>
    </row>
    <row r="10528">
      <c r="C10528" s="15"/>
      <c r="E10528" s="8"/>
      <c r="G10528" s="8"/>
      <c r="J10528" s="8"/>
    </row>
    <row r="10529">
      <c r="C10529" s="15"/>
      <c r="E10529" s="8"/>
      <c r="G10529" s="8"/>
      <c r="J10529" s="8"/>
    </row>
    <row r="10530">
      <c r="C10530" s="15"/>
      <c r="E10530" s="8"/>
      <c r="G10530" s="8"/>
      <c r="J10530" s="8"/>
    </row>
    <row r="10531">
      <c r="C10531" s="15"/>
      <c r="E10531" s="8"/>
      <c r="G10531" s="8"/>
      <c r="J10531" s="8"/>
    </row>
    <row r="10532">
      <c r="C10532" s="15"/>
      <c r="E10532" s="8"/>
      <c r="G10532" s="8"/>
      <c r="J10532" s="8"/>
    </row>
    <row r="10533">
      <c r="C10533" s="15"/>
      <c r="E10533" s="8"/>
      <c r="G10533" s="8"/>
      <c r="J10533" s="8"/>
    </row>
    <row r="10534">
      <c r="C10534" s="15"/>
      <c r="E10534" s="8"/>
      <c r="G10534" s="8"/>
      <c r="J10534" s="8"/>
    </row>
    <row r="10535">
      <c r="C10535" s="15"/>
      <c r="E10535" s="8"/>
      <c r="G10535" s="8"/>
      <c r="J10535" s="8"/>
    </row>
    <row r="10536">
      <c r="C10536" s="15"/>
      <c r="E10536" s="8"/>
      <c r="G10536" s="8"/>
      <c r="J10536" s="8"/>
    </row>
    <row r="10537">
      <c r="C10537" s="15"/>
      <c r="E10537" s="8"/>
      <c r="G10537" s="8"/>
      <c r="J10537" s="8"/>
    </row>
    <row r="10538">
      <c r="C10538" s="15"/>
      <c r="E10538" s="8"/>
      <c r="G10538" s="8"/>
      <c r="J10538" s="8"/>
    </row>
    <row r="10539">
      <c r="C10539" s="15"/>
      <c r="E10539" s="8"/>
      <c r="G10539" s="8"/>
      <c r="J10539" s="8"/>
    </row>
    <row r="10540">
      <c r="C10540" s="15"/>
      <c r="E10540" s="8"/>
      <c r="G10540" s="8"/>
      <c r="J10540" s="8"/>
    </row>
    <row r="10541">
      <c r="C10541" s="15"/>
      <c r="E10541" s="8"/>
      <c r="G10541" s="8"/>
      <c r="J10541" s="8"/>
    </row>
    <row r="10542">
      <c r="C10542" s="15"/>
      <c r="E10542" s="8"/>
      <c r="G10542" s="8"/>
      <c r="J10542" s="8"/>
    </row>
    <row r="10543">
      <c r="C10543" s="15"/>
      <c r="E10543" s="8"/>
      <c r="G10543" s="8"/>
      <c r="J10543" s="8"/>
    </row>
    <row r="10544">
      <c r="C10544" s="15"/>
      <c r="E10544" s="8"/>
      <c r="G10544" s="8"/>
      <c r="J10544" s="8"/>
    </row>
    <row r="10545">
      <c r="C10545" s="15"/>
      <c r="E10545" s="8"/>
      <c r="G10545" s="8"/>
      <c r="J10545" s="8"/>
    </row>
    <row r="10546">
      <c r="C10546" s="15"/>
      <c r="E10546" s="8"/>
      <c r="G10546" s="8"/>
      <c r="J10546" s="8"/>
    </row>
    <row r="10547">
      <c r="C10547" s="15"/>
      <c r="E10547" s="8"/>
      <c r="G10547" s="8"/>
      <c r="J10547" s="8"/>
    </row>
    <row r="10548">
      <c r="C10548" s="15"/>
      <c r="E10548" s="8"/>
      <c r="G10548" s="8"/>
      <c r="J10548" s="8"/>
    </row>
    <row r="10549">
      <c r="C10549" s="15"/>
      <c r="E10549" s="8"/>
      <c r="G10549" s="8"/>
      <c r="J10549" s="8"/>
    </row>
    <row r="10550">
      <c r="C10550" s="15"/>
      <c r="E10550" s="8"/>
      <c r="G10550" s="8"/>
      <c r="J10550" s="8"/>
    </row>
    <row r="10551">
      <c r="C10551" s="15"/>
      <c r="E10551" s="8"/>
      <c r="G10551" s="8"/>
      <c r="J10551" s="8"/>
    </row>
    <row r="10552">
      <c r="C10552" s="15"/>
      <c r="E10552" s="8"/>
      <c r="G10552" s="8"/>
      <c r="J10552" s="8"/>
    </row>
    <row r="10553">
      <c r="C10553" s="15"/>
      <c r="E10553" s="8"/>
      <c r="G10553" s="8"/>
      <c r="J10553" s="8"/>
    </row>
    <row r="10554">
      <c r="C10554" s="15"/>
      <c r="E10554" s="8"/>
      <c r="G10554" s="8"/>
      <c r="J10554" s="8"/>
    </row>
    <row r="10555">
      <c r="C10555" s="15"/>
      <c r="E10555" s="8"/>
      <c r="G10555" s="8"/>
      <c r="J10555" s="8"/>
    </row>
    <row r="10556">
      <c r="C10556" s="15"/>
      <c r="E10556" s="8"/>
      <c r="G10556" s="8"/>
      <c r="J10556" s="8"/>
    </row>
    <row r="10557">
      <c r="C10557" s="15"/>
      <c r="E10557" s="8"/>
      <c r="G10557" s="8"/>
      <c r="J10557" s="8"/>
    </row>
    <row r="10558">
      <c r="C10558" s="15"/>
      <c r="E10558" s="8"/>
      <c r="G10558" s="8"/>
      <c r="J10558" s="8"/>
    </row>
    <row r="10559">
      <c r="C10559" s="15"/>
      <c r="E10559" s="8"/>
      <c r="G10559" s="8"/>
      <c r="J10559" s="8"/>
    </row>
    <row r="10560">
      <c r="C10560" s="15"/>
      <c r="E10560" s="8"/>
      <c r="G10560" s="8"/>
      <c r="J10560" s="8"/>
    </row>
    <row r="10561">
      <c r="C10561" s="15"/>
      <c r="E10561" s="8"/>
      <c r="G10561" s="8"/>
      <c r="J10561" s="8"/>
    </row>
    <row r="10562">
      <c r="C10562" s="15"/>
      <c r="E10562" s="8"/>
      <c r="G10562" s="8"/>
      <c r="J10562" s="8"/>
    </row>
    <row r="10563">
      <c r="C10563" s="15"/>
      <c r="E10563" s="8"/>
      <c r="G10563" s="8"/>
      <c r="J10563" s="8"/>
    </row>
    <row r="10564">
      <c r="C10564" s="15"/>
      <c r="E10564" s="8"/>
      <c r="G10564" s="8"/>
      <c r="J10564" s="8"/>
    </row>
    <row r="10565">
      <c r="C10565" s="15"/>
      <c r="E10565" s="8"/>
      <c r="G10565" s="8"/>
      <c r="J10565" s="8"/>
    </row>
    <row r="10566">
      <c r="C10566" s="15"/>
      <c r="E10566" s="8"/>
      <c r="G10566" s="8"/>
      <c r="J10566" s="8"/>
    </row>
    <row r="10567">
      <c r="C10567" s="15"/>
      <c r="E10567" s="8"/>
      <c r="G10567" s="8"/>
      <c r="J10567" s="8"/>
    </row>
    <row r="10568">
      <c r="C10568" s="15"/>
      <c r="E10568" s="8"/>
      <c r="G10568" s="8"/>
      <c r="J10568" s="8"/>
    </row>
    <row r="10569">
      <c r="C10569" s="15"/>
      <c r="E10569" s="8"/>
      <c r="G10569" s="8"/>
      <c r="J10569" s="8"/>
    </row>
    <row r="10570">
      <c r="C10570" s="15"/>
      <c r="E10570" s="8"/>
      <c r="G10570" s="8"/>
      <c r="J10570" s="8"/>
    </row>
    <row r="10571">
      <c r="C10571" s="15"/>
      <c r="E10571" s="8"/>
      <c r="G10571" s="8"/>
      <c r="J10571" s="8"/>
    </row>
    <row r="10572">
      <c r="C10572" s="15"/>
      <c r="E10572" s="8"/>
      <c r="G10572" s="8"/>
      <c r="J10572" s="8"/>
    </row>
    <row r="10573">
      <c r="C10573" s="15"/>
      <c r="E10573" s="8"/>
      <c r="G10573" s="8"/>
      <c r="J10573" s="8"/>
    </row>
    <row r="10574">
      <c r="C10574" s="15"/>
      <c r="E10574" s="8"/>
      <c r="G10574" s="8"/>
      <c r="J10574" s="8"/>
    </row>
    <row r="10575">
      <c r="C10575" s="15"/>
      <c r="E10575" s="8"/>
      <c r="G10575" s="8"/>
      <c r="J10575" s="8"/>
    </row>
    <row r="10576">
      <c r="C10576" s="15"/>
      <c r="E10576" s="8"/>
      <c r="G10576" s="8"/>
      <c r="J10576" s="8"/>
    </row>
    <row r="10577">
      <c r="C10577" s="15"/>
      <c r="E10577" s="8"/>
      <c r="G10577" s="8"/>
      <c r="J10577" s="8"/>
    </row>
    <row r="10578">
      <c r="C10578" s="15"/>
      <c r="E10578" s="8"/>
      <c r="G10578" s="8"/>
      <c r="J10578" s="8"/>
    </row>
    <row r="10579">
      <c r="C10579" s="15"/>
      <c r="E10579" s="8"/>
      <c r="G10579" s="8"/>
      <c r="J10579" s="8"/>
    </row>
    <row r="10580">
      <c r="C10580" s="15"/>
      <c r="E10580" s="8"/>
      <c r="G10580" s="8"/>
      <c r="J10580" s="8"/>
    </row>
    <row r="10581">
      <c r="C10581" s="15"/>
      <c r="E10581" s="8"/>
      <c r="G10581" s="8"/>
      <c r="J10581" s="8"/>
    </row>
    <row r="10582">
      <c r="C10582" s="15"/>
      <c r="E10582" s="8"/>
      <c r="G10582" s="8"/>
      <c r="J10582" s="8"/>
    </row>
    <row r="10583">
      <c r="C10583" s="15"/>
      <c r="E10583" s="8"/>
      <c r="G10583" s="8"/>
      <c r="J10583" s="8"/>
    </row>
    <row r="10584">
      <c r="C10584" s="15"/>
      <c r="E10584" s="8"/>
      <c r="G10584" s="8"/>
      <c r="J10584" s="8"/>
    </row>
    <row r="10585">
      <c r="C10585" s="15"/>
      <c r="E10585" s="8"/>
      <c r="G10585" s="8"/>
      <c r="J10585" s="8"/>
    </row>
    <row r="10586">
      <c r="C10586" s="15"/>
      <c r="E10586" s="8"/>
      <c r="G10586" s="8"/>
      <c r="J10586" s="8"/>
    </row>
    <row r="10587">
      <c r="C10587" s="15"/>
      <c r="E10587" s="8"/>
      <c r="G10587" s="8"/>
      <c r="J10587" s="8"/>
    </row>
    <row r="10588">
      <c r="C10588" s="15"/>
      <c r="E10588" s="8"/>
      <c r="G10588" s="8"/>
      <c r="J10588" s="8"/>
    </row>
    <row r="10589">
      <c r="C10589" s="15"/>
      <c r="E10589" s="8"/>
      <c r="G10589" s="8"/>
      <c r="J10589" s="8"/>
    </row>
    <row r="10590">
      <c r="C10590" s="15"/>
      <c r="E10590" s="8"/>
      <c r="G10590" s="8"/>
      <c r="J10590" s="8"/>
    </row>
    <row r="10591">
      <c r="C10591" s="15"/>
      <c r="E10591" s="8"/>
      <c r="G10591" s="8"/>
      <c r="J10591" s="8"/>
    </row>
    <row r="10592">
      <c r="C10592" s="15"/>
      <c r="E10592" s="8"/>
      <c r="G10592" s="8"/>
      <c r="J10592" s="8"/>
    </row>
    <row r="10593">
      <c r="C10593" s="15"/>
      <c r="E10593" s="8"/>
      <c r="G10593" s="8"/>
      <c r="J10593" s="8"/>
    </row>
    <row r="10594">
      <c r="C10594" s="15"/>
      <c r="E10594" s="8"/>
      <c r="G10594" s="8"/>
      <c r="J10594" s="8"/>
    </row>
    <row r="10595">
      <c r="C10595" s="15"/>
      <c r="E10595" s="8"/>
      <c r="G10595" s="8"/>
      <c r="J10595" s="8"/>
    </row>
    <row r="10596">
      <c r="C10596" s="15"/>
      <c r="E10596" s="8"/>
      <c r="G10596" s="8"/>
      <c r="J10596" s="8"/>
    </row>
    <row r="10597">
      <c r="C10597" s="15"/>
      <c r="E10597" s="8"/>
      <c r="G10597" s="8"/>
      <c r="J10597" s="8"/>
    </row>
    <row r="10598">
      <c r="C10598" s="15"/>
      <c r="E10598" s="8"/>
      <c r="G10598" s="8"/>
      <c r="J10598" s="8"/>
    </row>
    <row r="10599">
      <c r="C10599" s="15"/>
      <c r="E10599" s="8"/>
      <c r="G10599" s="8"/>
      <c r="J10599" s="8"/>
    </row>
    <row r="10600">
      <c r="C10600" s="15"/>
      <c r="E10600" s="8"/>
      <c r="G10600" s="8"/>
      <c r="J10600" s="8"/>
    </row>
    <row r="10601">
      <c r="C10601" s="15"/>
      <c r="E10601" s="8"/>
      <c r="G10601" s="8"/>
      <c r="J10601" s="8"/>
    </row>
    <row r="10602">
      <c r="C10602" s="15"/>
      <c r="E10602" s="8"/>
      <c r="G10602" s="8"/>
      <c r="J10602" s="8"/>
    </row>
    <row r="10603">
      <c r="C10603" s="15"/>
      <c r="E10603" s="8"/>
      <c r="G10603" s="8"/>
      <c r="J10603" s="8"/>
    </row>
    <row r="10604">
      <c r="C10604" s="15"/>
      <c r="E10604" s="8"/>
      <c r="G10604" s="8"/>
      <c r="J10604" s="8"/>
    </row>
    <row r="10605">
      <c r="C10605" s="15"/>
      <c r="E10605" s="8"/>
      <c r="G10605" s="8"/>
      <c r="J10605" s="8"/>
    </row>
    <row r="10606">
      <c r="C10606" s="15"/>
      <c r="E10606" s="8"/>
      <c r="G10606" s="8"/>
      <c r="J10606" s="8"/>
    </row>
    <row r="10607">
      <c r="C10607" s="15"/>
      <c r="E10607" s="8"/>
      <c r="G10607" s="8"/>
      <c r="J10607" s="8"/>
    </row>
    <row r="10608">
      <c r="C10608" s="15"/>
      <c r="E10608" s="8"/>
      <c r="G10608" s="8"/>
      <c r="J10608" s="8"/>
    </row>
    <row r="10609">
      <c r="C10609" s="15"/>
      <c r="E10609" s="8"/>
      <c r="G10609" s="8"/>
      <c r="J10609" s="8"/>
    </row>
    <row r="10610">
      <c r="C10610" s="15"/>
      <c r="E10610" s="8"/>
      <c r="G10610" s="8"/>
      <c r="J10610" s="8"/>
    </row>
    <row r="10611">
      <c r="C10611" s="15"/>
      <c r="E10611" s="8"/>
      <c r="G10611" s="8"/>
      <c r="J10611" s="8"/>
    </row>
    <row r="10612">
      <c r="C10612" s="15"/>
      <c r="E10612" s="8"/>
      <c r="G10612" s="8"/>
      <c r="J10612" s="8"/>
    </row>
    <row r="10613">
      <c r="C10613" s="15"/>
      <c r="E10613" s="8"/>
      <c r="G10613" s="8"/>
      <c r="J10613" s="8"/>
    </row>
    <row r="10614">
      <c r="C10614" s="15"/>
      <c r="E10614" s="8"/>
      <c r="G10614" s="8"/>
      <c r="J10614" s="8"/>
    </row>
    <row r="10615">
      <c r="C10615" s="15"/>
      <c r="E10615" s="8"/>
      <c r="G10615" s="8"/>
      <c r="J10615" s="8"/>
    </row>
    <row r="10616">
      <c r="C10616" s="15"/>
      <c r="E10616" s="8"/>
      <c r="G10616" s="8"/>
      <c r="J10616" s="8"/>
    </row>
    <row r="10617">
      <c r="C10617" s="15"/>
      <c r="E10617" s="8"/>
      <c r="G10617" s="8"/>
      <c r="J10617" s="8"/>
    </row>
    <row r="10618">
      <c r="C10618" s="15"/>
      <c r="E10618" s="8"/>
      <c r="G10618" s="8"/>
      <c r="J10618" s="8"/>
    </row>
    <row r="10619">
      <c r="C10619" s="15"/>
      <c r="E10619" s="8"/>
      <c r="G10619" s="8"/>
      <c r="J10619" s="8"/>
    </row>
    <row r="10620">
      <c r="C10620" s="15"/>
      <c r="E10620" s="8"/>
      <c r="G10620" s="8"/>
      <c r="J10620" s="8"/>
    </row>
    <row r="10621">
      <c r="C10621" s="15"/>
      <c r="E10621" s="8"/>
      <c r="G10621" s="8"/>
      <c r="J10621" s="8"/>
    </row>
    <row r="10622">
      <c r="C10622" s="15"/>
      <c r="E10622" s="8"/>
      <c r="G10622" s="8"/>
      <c r="J10622" s="8"/>
    </row>
    <row r="10623">
      <c r="C10623" s="15"/>
      <c r="E10623" s="8"/>
      <c r="G10623" s="8"/>
      <c r="J10623" s="8"/>
    </row>
    <row r="10624">
      <c r="C10624" s="15"/>
      <c r="E10624" s="8"/>
      <c r="G10624" s="8"/>
      <c r="J10624" s="8"/>
    </row>
    <row r="10625">
      <c r="C10625" s="15"/>
      <c r="E10625" s="8"/>
      <c r="G10625" s="8"/>
      <c r="J10625" s="8"/>
    </row>
    <row r="10626">
      <c r="C10626" s="15"/>
      <c r="E10626" s="8"/>
      <c r="G10626" s="8"/>
      <c r="J10626" s="8"/>
    </row>
    <row r="10627">
      <c r="C10627" s="15"/>
      <c r="E10627" s="8"/>
      <c r="G10627" s="8"/>
      <c r="J10627" s="8"/>
    </row>
    <row r="10628">
      <c r="C10628" s="15"/>
      <c r="E10628" s="8"/>
      <c r="G10628" s="8"/>
      <c r="J10628" s="8"/>
    </row>
    <row r="10629">
      <c r="C10629" s="15"/>
      <c r="E10629" s="8"/>
      <c r="G10629" s="8"/>
      <c r="J10629" s="8"/>
    </row>
    <row r="10630">
      <c r="C10630" s="15"/>
      <c r="E10630" s="8"/>
      <c r="G10630" s="8"/>
      <c r="J10630" s="8"/>
    </row>
    <row r="10631">
      <c r="C10631" s="15"/>
      <c r="E10631" s="8"/>
      <c r="G10631" s="8"/>
      <c r="J10631" s="8"/>
    </row>
    <row r="10632">
      <c r="C10632" s="15"/>
      <c r="E10632" s="8"/>
      <c r="G10632" s="8"/>
      <c r="J10632" s="8"/>
    </row>
    <row r="10633">
      <c r="C10633" s="15"/>
      <c r="E10633" s="8"/>
      <c r="G10633" s="8"/>
      <c r="J10633" s="8"/>
    </row>
    <row r="10634">
      <c r="C10634" s="15"/>
      <c r="E10634" s="8"/>
      <c r="G10634" s="8"/>
      <c r="J10634" s="8"/>
    </row>
    <row r="10635">
      <c r="C10635" s="15"/>
      <c r="E10635" s="8"/>
      <c r="G10635" s="8"/>
      <c r="J10635" s="8"/>
    </row>
    <row r="10636">
      <c r="C10636" s="15"/>
      <c r="E10636" s="8"/>
      <c r="G10636" s="8"/>
      <c r="J10636" s="8"/>
    </row>
    <row r="10637">
      <c r="C10637" s="15"/>
      <c r="E10637" s="8"/>
      <c r="G10637" s="8"/>
      <c r="J10637" s="8"/>
    </row>
    <row r="10638">
      <c r="C10638" s="15"/>
      <c r="E10638" s="8"/>
      <c r="G10638" s="8"/>
      <c r="J10638" s="8"/>
    </row>
    <row r="10639">
      <c r="C10639" s="15"/>
      <c r="E10639" s="8"/>
      <c r="G10639" s="8"/>
      <c r="J10639" s="8"/>
    </row>
    <row r="10640">
      <c r="C10640" s="15"/>
      <c r="E10640" s="8"/>
      <c r="G10640" s="8"/>
      <c r="J10640" s="8"/>
    </row>
    <row r="10641">
      <c r="C10641" s="15"/>
      <c r="E10641" s="8"/>
      <c r="G10641" s="8"/>
      <c r="J10641" s="8"/>
    </row>
    <row r="10642">
      <c r="C10642" s="15"/>
      <c r="E10642" s="8"/>
      <c r="G10642" s="8"/>
      <c r="J10642" s="8"/>
    </row>
    <row r="10643">
      <c r="C10643" s="15"/>
      <c r="E10643" s="8"/>
      <c r="G10643" s="8"/>
      <c r="J10643" s="8"/>
    </row>
    <row r="10644">
      <c r="C10644" s="15"/>
      <c r="E10644" s="8"/>
      <c r="G10644" s="8"/>
      <c r="J10644" s="8"/>
    </row>
    <row r="10645">
      <c r="C10645" s="15"/>
      <c r="E10645" s="8"/>
      <c r="G10645" s="8"/>
      <c r="J10645" s="8"/>
    </row>
    <row r="10646">
      <c r="C10646" s="15"/>
      <c r="E10646" s="8"/>
      <c r="G10646" s="8"/>
      <c r="J10646" s="8"/>
    </row>
    <row r="10647">
      <c r="C10647" s="15"/>
      <c r="E10647" s="8"/>
      <c r="G10647" s="8"/>
      <c r="J10647" s="8"/>
    </row>
    <row r="10648">
      <c r="C10648" s="15"/>
      <c r="E10648" s="8"/>
      <c r="G10648" s="8"/>
      <c r="J10648" s="8"/>
    </row>
    <row r="10649">
      <c r="C10649" s="15"/>
      <c r="E10649" s="8"/>
      <c r="G10649" s="8"/>
      <c r="J10649" s="8"/>
    </row>
    <row r="10650">
      <c r="C10650" s="15"/>
      <c r="E10650" s="8"/>
      <c r="G10650" s="8"/>
      <c r="J10650" s="8"/>
    </row>
    <row r="10651">
      <c r="C10651" s="15"/>
      <c r="E10651" s="8"/>
      <c r="G10651" s="8"/>
      <c r="J10651" s="8"/>
    </row>
    <row r="10652">
      <c r="C10652" s="15"/>
      <c r="E10652" s="8"/>
      <c r="G10652" s="8"/>
      <c r="J10652" s="8"/>
    </row>
    <row r="10653">
      <c r="C10653" s="15"/>
      <c r="E10653" s="8"/>
      <c r="G10653" s="8"/>
      <c r="J10653" s="8"/>
    </row>
    <row r="10654">
      <c r="C10654" s="15"/>
      <c r="E10654" s="8"/>
      <c r="G10654" s="8"/>
      <c r="J10654" s="8"/>
    </row>
    <row r="10655">
      <c r="C10655" s="15"/>
      <c r="E10655" s="8"/>
      <c r="G10655" s="8"/>
      <c r="J10655" s="8"/>
    </row>
    <row r="10656">
      <c r="C10656" s="15"/>
      <c r="E10656" s="8"/>
      <c r="G10656" s="8"/>
      <c r="J10656" s="8"/>
    </row>
    <row r="10657">
      <c r="C10657" s="15"/>
      <c r="E10657" s="8"/>
      <c r="G10657" s="8"/>
      <c r="J10657" s="8"/>
    </row>
    <row r="10658">
      <c r="C10658" s="15"/>
      <c r="E10658" s="8"/>
      <c r="G10658" s="8"/>
      <c r="J10658" s="8"/>
    </row>
    <row r="10659">
      <c r="C10659" s="15"/>
      <c r="E10659" s="8"/>
      <c r="G10659" s="8"/>
      <c r="J10659" s="8"/>
    </row>
    <row r="10660">
      <c r="C10660" s="15"/>
      <c r="E10660" s="8"/>
      <c r="G10660" s="8"/>
      <c r="J10660" s="8"/>
    </row>
    <row r="10661">
      <c r="C10661" s="15"/>
      <c r="E10661" s="8"/>
      <c r="G10661" s="8"/>
      <c r="J10661" s="8"/>
    </row>
    <row r="10662">
      <c r="C10662" s="15"/>
      <c r="E10662" s="8"/>
      <c r="G10662" s="8"/>
      <c r="J10662" s="8"/>
    </row>
    <row r="10663">
      <c r="C10663" s="15"/>
      <c r="E10663" s="8"/>
      <c r="G10663" s="8"/>
      <c r="J10663" s="8"/>
    </row>
    <row r="10664">
      <c r="C10664" s="15"/>
      <c r="E10664" s="8"/>
      <c r="G10664" s="8"/>
      <c r="J10664" s="8"/>
    </row>
    <row r="10665">
      <c r="C10665" s="15"/>
      <c r="E10665" s="8"/>
      <c r="G10665" s="8"/>
      <c r="J10665" s="8"/>
    </row>
    <row r="10666">
      <c r="C10666" s="15"/>
      <c r="E10666" s="8"/>
      <c r="G10666" s="8"/>
      <c r="J10666" s="8"/>
    </row>
    <row r="10667">
      <c r="C10667" s="15"/>
      <c r="E10667" s="8"/>
      <c r="G10667" s="8"/>
      <c r="J10667" s="8"/>
    </row>
    <row r="10668">
      <c r="C10668" s="15"/>
      <c r="E10668" s="8"/>
      <c r="G10668" s="8"/>
      <c r="J10668" s="8"/>
    </row>
    <row r="10669">
      <c r="C10669" s="15"/>
      <c r="E10669" s="8"/>
      <c r="G10669" s="8"/>
      <c r="J10669" s="8"/>
    </row>
    <row r="10670">
      <c r="C10670" s="15"/>
      <c r="E10670" s="8"/>
      <c r="G10670" s="8"/>
      <c r="J10670" s="8"/>
    </row>
    <row r="10671">
      <c r="C10671" s="15"/>
      <c r="E10671" s="8"/>
      <c r="G10671" s="8"/>
      <c r="J10671" s="8"/>
    </row>
    <row r="10672">
      <c r="C10672" s="15"/>
      <c r="E10672" s="8"/>
      <c r="G10672" s="8"/>
      <c r="J10672" s="8"/>
    </row>
    <row r="10673">
      <c r="C10673" s="15"/>
      <c r="E10673" s="8"/>
      <c r="G10673" s="8"/>
      <c r="J10673" s="8"/>
    </row>
    <row r="10674">
      <c r="C10674" s="15"/>
      <c r="E10674" s="8"/>
      <c r="G10674" s="8"/>
      <c r="J10674" s="8"/>
    </row>
    <row r="10675">
      <c r="C10675" s="15"/>
      <c r="E10675" s="8"/>
      <c r="G10675" s="8"/>
      <c r="J10675" s="8"/>
    </row>
    <row r="10676">
      <c r="C10676" s="15"/>
      <c r="E10676" s="8"/>
      <c r="G10676" s="8"/>
      <c r="J10676" s="8"/>
    </row>
    <row r="10677">
      <c r="C10677" s="15"/>
      <c r="E10677" s="8"/>
      <c r="G10677" s="8"/>
      <c r="J10677" s="8"/>
    </row>
    <row r="10678">
      <c r="C10678" s="15"/>
      <c r="E10678" s="8"/>
      <c r="G10678" s="8"/>
      <c r="J10678" s="8"/>
    </row>
    <row r="10679">
      <c r="C10679" s="15"/>
      <c r="E10679" s="8"/>
      <c r="G10679" s="8"/>
      <c r="J10679" s="8"/>
    </row>
    <row r="10680">
      <c r="C10680" s="15"/>
      <c r="E10680" s="8"/>
      <c r="G10680" s="8"/>
      <c r="J10680" s="8"/>
    </row>
    <row r="10681">
      <c r="C10681" s="15"/>
      <c r="E10681" s="8"/>
      <c r="G10681" s="8"/>
      <c r="J10681" s="8"/>
    </row>
    <row r="10682">
      <c r="C10682" s="15"/>
      <c r="E10682" s="8"/>
      <c r="G10682" s="8"/>
      <c r="J10682" s="8"/>
    </row>
    <row r="10683">
      <c r="C10683" s="15"/>
      <c r="E10683" s="8"/>
      <c r="G10683" s="8"/>
      <c r="J10683" s="8"/>
    </row>
    <row r="10684">
      <c r="C10684" s="15"/>
      <c r="E10684" s="8"/>
      <c r="G10684" s="8"/>
      <c r="J10684" s="8"/>
    </row>
    <row r="10685">
      <c r="C10685" s="15"/>
      <c r="E10685" s="8"/>
      <c r="G10685" s="8"/>
      <c r="J10685" s="8"/>
    </row>
    <row r="10686">
      <c r="C10686" s="15"/>
      <c r="E10686" s="8"/>
      <c r="G10686" s="8"/>
      <c r="J10686" s="8"/>
    </row>
    <row r="10687">
      <c r="C10687" s="15"/>
      <c r="E10687" s="8"/>
      <c r="G10687" s="8"/>
      <c r="J10687" s="8"/>
    </row>
    <row r="10688">
      <c r="C10688" s="15"/>
      <c r="E10688" s="8"/>
      <c r="G10688" s="8"/>
      <c r="J10688" s="8"/>
    </row>
    <row r="10689">
      <c r="C10689" s="15"/>
      <c r="E10689" s="8"/>
      <c r="G10689" s="8"/>
      <c r="J10689" s="8"/>
    </row>
    <row r="10690">
      <c r="C10690" s="15"/>
      <c r="E10690" s="8"/>
      <c r="G10690" s="8"/>
      <c r="J10690" s="8"/>
    </row>
    <row r="10691">
      <c r="C10691" s="15"/>
      <c r="E10691" s="8"/>
      <c r="G10691" s="8"/>
      <c r="J10691" s="8"/>
    </row>
    <row r="10692">
      <c r="C10692" s="15"/>
      <c r="E10692" s="8"/>
      <c r="G10692" s="8"/>
      <c r="J10692" s="8"/>
    </row>
    <row r="10693">
      <c r="C10693" s="15"/>
      <c r="E10693" s="8"/>
      <c r="G10693" s="8"/>
      <c r="J10693" s="8"/>
    </row>
    <row r="10694">
      <c r="C10694" s="15"/>
      <c r="E10694" s="8"/>
      <c r="G10694" s="8"/>
      <c r="J10694" s="8"/>
    </row>
    <row r="10695">
      <c r="C10695" s="15"/>
      <c r="E10695" s="8"/>
      <c r="G10695" s="8"/>
      <c r="J10695" s="8"/>
    </row>
    <row r="10696">
      <c r="C10696" s="15"/>
      <c r="E10696" s="8"/>
      <c r="G10696" s="8"/>
      <c r="J10696" s="8"/>
    </row>
    <row r="10697">
      <c r="C10697" s="15"/>
      <c r="E10697" s="8"/>
      <c r="G10697" s="8"/>
      <c r="J10697" s="8"/>
    </row>
    <row r="10698">
      <c r="C10698" s="15"/>
      <c r="E10698" s="8"/>
      <c r="G10698" s="8"/>
      <c r="J10698" s="8"/>
    </row>
    <row r="10699">
      <c r="C10699" s="15"/>
      <c r="E10699" s="8"/>
      <c r="G10699" s="8"/>
      <c r="J10699" s="8"/>
    </row>
    <row r="10700">
      <c r="C10700" s="15"/>
      <c r="E10700" s="8"/>
      <c r="G10700" s="8"/>
      <c r="J10700" s="8"/>
    </row>
    <row r="10701">
      <c r="C10701" s="15"/>
      <c r="E10701" s="8"/>
      <c r="G10701" s="8"/>
      <c r="J10701" s="8"/>
    </row>
    <row r="10702">
      <c r="C10702" s="15"/>
      <c r="E10702" s="8"/>
      <c r="G10702" s="8"/>
      <c r="J10702" s="8"/>
    </row>
    <row r="10703">
      <c r="C10703" s="15"/>
      <c r="E10703" s="8"/>
      <c r="G10703" s="8"/>
      <c r="J10703" s="8"/>
    </row>
    <row r="10704">
      <c r="C10704" s="15"/>
      <c r="E10704" s="8"/>
      <c r="G10704" s="8"/>
      <c r="J10704" s="8"/>
    </row>
    <row r="10705">
      <c r="C10705" s="15"/>
      <c r="E10705" s="8"/>
      <c r="G10705" s="8"/>
      <c r="J10705" s="8"/>
    </row>
    <row r="10706">
      <c r="C10706" s="15"/>
      <c r="E10706" s="8"/>
      <c r="G10706" s="8"/>
      <c r="J10706" s="8"/>
    </row>
    <row r="10707">
      <c r="C10707" s="15"/>
      <c r="E10707" s="8"/>
      <c r="G10707" s="8"/>
      <c r="J10707" s="8"/>
    </row>
    <row r="10708">
      <c r="C10708" s="15"/>
      <c r="E10708" s="8"/>
      <c r="G10708" s="8"/>
      <c r="J10708" s="8"/>
    </row>
    <row r="10709">
      <c r="C10709" s="15"/>
      <c r="E10709" s="8"/>
      <c r="G10709" s="8"/>
      <c r="J10709" s="8"/>
    </row>
    <row r="10710">
      <c r="C10710" s="15"/>
      <c r="E10710" s="8"/>
      <c r="G10710" s="8"/>
      <c r="J10710" s="8"/>
    </row>
    <row r="10711">
      <c r="C10711" s="15"/>
      <c r="E10711" s="8"/>
      <c r="G10711" s="8"/>
      <c r="J10711" s="8"/>
    </row>
    <row r="10712">
      <c r="C10712" s="15"/>
      <c r="E10712" s="8"/>
      <c r="G10712" s="8"/>
      <c r="J10712" s="8"/>
    </row>
    <row r="10713">
      <c r="C10713" s="15"/>
      <c r="E10713" s="8"/>
      <c r="G10713" s="8"/>
      <c r="J10713" s="8"/>
    </row>
    <row r="10714">
      <c r="C10714" s="15"/>
      <c r="E10714" s="8"/>
      <c r="G10714" s="8"/>
      <c r="J10714" s="8"/>
    </row>
    <row r="10715">
      <c r="C10715" s="15"/>
      <c r="E10715" s="8"/>
      <c r="G10715" s="8"/>
      <c r="J10715" s="8"/>
    </row>
    <row r="10716">
      <c r="C10716" s="15"/>
      <c r="E10716" s="8"/>
      <c r="G10716" s="8"/>
      <c r="J10716" s="8"/>
    </row>
    <row r="10717">
      <c r="C10717" s="15"/>
      <c r="E10717" s="8"/>
      <c r="G10717" s="8"/>
      <c r="J10717" s="8"/>
    </row>
    <row r="10718">
      <c r="C10718" s="15"/>
      <c r="E10718" s="8"/>
      <c r="G10718" s="8"/>
      <c r="J10718" s="8"/>
    </row>
    <row r="10719">
      <c r="C10719" s="15"/>
      <c r="E10719" s="8"/>
      <c r="G10719" s="8"/>
      <c r="J10719" s="8"/>
    </row>
    <row r="10720">
      <c r="C10720" s="15"/>
      <c r="E10720" s="8"/>
      <c r="G10720" s="8"/>
      <c r="J10720" s="8"/>
    </row>
    <row r="10721">
      <c r="C10721" s="15"/>
      <c r="E10721" s="8"/>
      <c r="G10721" s="8"/>
      <c r="J10721" s="8"/>
    </row>
    <row r="10722">
      <c r="C10722" s="15"/>
      <c r="E10722" s="8"/>
      <c r="G10722" s="8"/>
      <c r="J10722" s="8"/>
    </row>
    <row r="10723">
      <c r="C10723" s="15"/>
      <c r="E10723" s="8"/>
      <c r="G10723" s="8"/>
      <c r="J10723" s="8"/>
    </row>
    <row r="10724">
      <c r="C10724" s="15"/>
      <c r="E10724" s="8"/>
      <c r="G10724" s="8"/>
      <c r="J10724" s="8"/>
    </row>
    <row r="10725">
      <c r="C10725" s="15"/>
      <c r="E10725" s="8"/>
      <c r="G10725" s="8"/>
      <c r="J10725" s="8"/>
    </row>
    <row r="10726">
      <c r="C10726" s="15"/>
      <c r="E10726" s="8"/>
      <c r="G10726" s="8"/>
      <c r="J10726" s="8"/>
    </row>
    <row r="10727">
      <c r="C10727" s="15"/>
      <c r="E10727" s="8"/>
      <c r="G10727" s="8"/>
      <c r="J10727" s="8"/>
    </row>
    <row r="10728">
      <c r="C10728" s="15"/>
      <c r="E10728" s="8"/>
      <c r="G10728" s="8"/>
      <c r="J10728" s="8"/>
    </row>
    <row r="10729">
      <c r="C10729" s="15"/>
      <c r="E10729" s="8"/>
      <c r="G10729" s="8"/>
      <c r="J10729" s="8"/>
    </row>
    <row r="10730">
      <c r="C10730" s="15"/>
      <c r="E10730" s="8"/>
      <c r="G10730" s="8"/>
      <c r="J10730" s="8"/>
    </row>
    <row r="10731">
      <c r="C10731" s="15"/>
      <c r="E10731" s="8"/>
      <c r="G10731" s="8"/>
      <c r="J10731" s="8"/>
    </row>
    <row r="10732">
      <c r="C10732" s="15"/>
      <c r="E10732" s="8"/>
      <c r="G10732" s="8"/>
      <c r="J10732" s="8"/>
    </row>
    <row r="10733">
      <c r="C10733" s="15"/>
      <c r="E10733" s="8"/>
      <c r="G10733" s="8"/>
      <c r="J10733" s="8"/>
    </row>
    <row r="10734">
      <c r="C10734" s="15"/>
      <c r="E10734" s="8"/>
      <c r="G10734" s="8"/>
      <c r="J10734" s="8"/>
    </row>
    <row r="10735">
      <c r="C10735" s="15"/>
      <c r="E10735" s="8"/>
      <c r="G10735" s="8"/>
      <c r="J10735" s="8"/>
    </row>
    <row r="10736">
      <c r="C10736" s="15"/>
      <c r="E10736" s="8"/>
      <c r="G10736" s="8"/>
      <c r="J10736" s="8"/>
    </row>
    <row r="10737">
      <c r="C10737" s="15"/>
      <c r="E10737" s="8"/>
      <c r="G10737" s="8"/>
      <c r="J10737" s="8"/>
    </row>
    <row r="10738">
      <c r="C10738" s="15"/>
      <c r="E10738" s="8"/>
      <c r="G10738" s="8"/>
      <c r="J10738" s="8"/>
    </row>
    <row r="10739">
      <c r="C10739" s="15"/>
      <c r="E10739" s="8"/>
      <c r="G10739" s="8"/>
      <c r="J10739" s="8"/>
    </row>
    <row r="10740">
      <c r="C10740" s="15"/>
      <c r="E10740" s="8"/>
      <c r="G10740" s="8"/>
      <c r="J10740" s="8"/>
    </row>
    <row r="10741">
      <c r="C10741" s="15"/>
      <c r="E10741" s="8"/>
      <c r="G10741" s="8"/>
      <c r="J10741" s="8"/>
    </row>
    <row r="10742">
      <c r="C10742" s="15"/>
      <c r="E10742" s="8"/>
      <c r="G10742" s="8"/>
      <c r="J10742" s="8"/>
    </row>
    <row r="10743">
      <c r="C10743" s="15"/>
      <c r="E10743" s="8"/>
      <c r="G10743" s="8"/>
      <c r="J10743" s="8"/>
    </row>
    <row r="10744">
      <c r="C10744" s="15"/>
      <c r="E10744" s="8"/>
      <c r="G10744" s="8"/>
      <c r="J10744" s="8"/>
    </row>
    <row r="10745">
      <c r="C10745" s="15"/>
      <c r="E10745" s="8"/>
      <c r="G10745" s="8"/>
      <c r="J10745" s="8"/>
    </row>
    <row r="10746">
      <c r="C10746" s="15"/>
      <c r="E10746" s="8"/>
      <c r="G10746" s="8"/>
      <c r="J10746" s="8"/>
    </row>
    <row r="10747">
      <c r="C10747" s="15"/>
      <c r="E10747" s="8"/>
      <c r="G10747" s="8"/>
      <c r="J10747" s="8"/>
    </row>
    <row r="10748">
      <c r="C10748" s="15"/>
      <c r="E10748" s="8"/>
      <c r="G10748" s="8"/>
      <c r="J10748" s="8"/>
    </row>
    <row r="10749">
      <c r="C10749" s="15"/>
      <c r="E10749" s="8"/>
      <c r="G10749" s="8"/>
      <c r="J10749" s="8"/>
    </row>
    <row r="10750">
      <c r="C10750" s="15"/>
      <c r="E10750" s="8"/>
      <c r="G10750" s="8"/>
      <c r="J10750" s="8"/>
    </row>
    <row r="10751">
      <c r="C10751" s="15"/>
      <c r="E10751" s="8"/>
      <c r="G10751" s="8"/>
      <c r="J10751" s="8"/>
    </row>
    <row r="10752">
      <c r="C10752" s="15"/>
      <c r="E10752" s="8"/>
      <c r="G10752" s="8"/>
      <c r="J10752" s="8"/>
    </row>
    <row r="10753">
      <c r="C10753" s="15"/>
      <c r="E10753" s="8"/>
      <c r="G10753" s="8"/>
      <c r="J10753" s="8"/>
    </row>
    <row r="10754">
      <c r="C10754" s="15"/>
      <c r="E10754" s="8"/>
      <c r="G10754" s="8"/>
      <c r="J10754" s="8"/>
    </row>
    <row r="10755">
      <c r="C10755" s="15"/>
      <c r="E10755" s="8"/>
      <c r="G10755" s="8"/>
      <c r="J10755" s="8"/>
    </row>
    <row r="10756">
      <c r="C10756" s="15"/>
      <c r="E10756" s="8"/>
      <c r="G10756" s="8"/>
      <c r="J10756" s="8"/>
    </row>
    <row r="10757">
      <c r="C10757" s="15"/>
      <c r="E10757" s="8"/>
      <c r="G10757" s="8"/>
      <c r="J10757" s="8"/>
    </row>
    <row r="10758">
      <c r="C10758" s="15"/>
      <c r="E10758" s="8"/>
      <c r="G10758" s="8"/>
      <c r="J10758" s="8"/>
    </row>
    <row r="10759">
      <c r="C10759" s="15"/>
      <c r="E10759" s="8"/>
      <c r="G10759" s="8"/>
      <c r="J10759" s="8"/>
    </row>
    <row r="10760">
      <c r="C10760" s="15"/>
      <c r="E10760" s="8"/>
      <c r="G10760" s="8"/>
      <c r="J10760" s="8"/>
    </row>
    <row r="10761">
      <c r="C10761" s="15"/>
      <c r="E10761" s="8"/>
      <c r="G10761" s="8"/>
      <c r="J10761" s="8"/>
    </row>
    <row r="10762">
      <c r="C10762" s="15"/>
      <c r="E10762" s="8"/>
      <c r="G10762" s="8"/>
      <c r="J10762" s="8"/>
    </row>
    <row r="10763">
      <c r="C10763" s="15"/>
      <c r="E10763" s="8"/>
      <c r="G10763" s="8"/>
      <c r="J10763" s="8"/>
    </row>
    <row r="10764">
      <c r="C10764" s="15"/>
      <c r="E10764" s="8"/>
      <c r="G10764" s="8"/>
      <c r="J10764" s="8"/>
    </row>
    <row r="10765">
      <c r="C10765" s="15"/>
      <c r="E10765" s="8"/>
      <c r="G10765" s="8"/>
      <c r="J10765" s="8"/>
    </row>
    <row r="10766">
      <c r="C10766" s="15"/>
      <c r="E10766" s="8"/>
      <c r="G10766" s="8"/>
      <c r="J10766" s="8"/>
    </row>
    <row r="10767">
      <c r="C10767" s="15"/>
      <c r="E10767" s="8"/>
      <c r="G10767" s="8"/>
      <c r="J10767" s="8"/>
    </row>
    <row r="10768">
      <c r="C10768" s="15"/>
      <c r="E10768" s="8"/>
      <c r="G10768" s="8"/>
      <c r="J10768" s="8"/>
    </row>
    <row r="10769">
      <c r="C10769" s="15"/>
      <c r="E10769" s="8"/>
      <c r="G10769" s="8"/>
      <c r="J10769" s="8"/>
    </row>
    <row r="10770">
      <c r="C10770" s="15"/>
      <c r="E10770" s="8"/>
      <c r="G10770" s="8"/>
      <c r="J10770" s="8"/>
    </row>
    <row r="10771">
      <c r="C10771" s="15"/>
      <c r="E10771" s="8"/>
      <c r="G10771" s="8"/>
      <c r="J10771" s="8"/>
    </row>
    <row r="10772">
      <c r="C10772" s="15"/>
      <c r="E10772" s="8"/>
      <c r="G10772" s="8"/>
      <c r="J10772" s="8"/>
    </row>
    <row r="10773">
      <c r="C10773" s="15"/>
      <c r="E10773" s="8"/>
      <c r="G10773" s="8"/>
      <c r="J10773" s="8"/>
    </row>
    <row r="10774">
      <c r="C10774" s="15"/>
      <c r="E10774" s="8"/>
      <c r="G10774" s="8"/>
      <c r="J10774" s="8"/>
    </row>
    <row r="10775">
      <c r="C10775" s="15"/>
      <c r="E10775" s="8"/>
      <c r="G10775" s="8"/>
      <c r="J10775" s="8"/>
    </row>
    <row r="10776">
      <c r="C10776" s="15"/>
      <c r="E10776" s="8"/>
      <c r="G10776" s="8"/>
      <c r="J10776" s="8"/>
    </row>
    <row r="10777">
      <c r="C10777" s="15"/>
      <c r="E10777" s="8"/>
      <c r="G10777" s="8"/>
      <c r="J10777" s="8"/>
    </row>
    <row r="10778">
      <c r="C10778" s="15"/>
      <c r="E10778" s="8"/>
      <c r="G10778" s="8"/>
      <c r="J10778" s="8"/>
    </row>
    <row r="10779">
      <c r="C10779" s="15"/>
      <c r="E10779" s="8"/>
      <c r="G10779" s="8"/>
      <c r="J10779" s="8"/>
    </row>
    <row r="10780">
      <c r="C10780" s="15"/>
      <c r="E10780" s="8"/>
      <c r="G10780" s="8"/>
      <c r="J10780" s="8"/>
    </row>
    <row r="10781">
      <c r="C10781" s="15"/>
      <c r="E10781" s="8"/>
      <c r="G10781" s="8"/>
      <c r="J10781" s="8"/>
    </row>
    <row r="10782">
      <c r="C10782" s="15"/>
      <c r="E10782" s="8"/>
      <c r="G10782" s="8"/>
      <c r="J10782" s="8"/>
    </row>
    <row r="10783">
      <c r="C10783" s="15"/>
      <c r="E10783" s="8"/>
      <c r="G10783" s="8"/>
      <c r="J10783" s="8"/>
    </row>
    <row r="10784">
      <c r="C10784" s="15"/>
      <c r="E10784" s="8"/>
      <c r="G10784" s="8"/>
      <c r="J10784" s="8"/>
    </row>
    <row r="10785">
      <c r="C10785" s="15"/>
      <c r="E10785" s="8"/>
      <c r="G10785" s="8"/>
      <c r="J10785" s="8"/>
    </row>
    <row r="10786">
      <c r="C10786" s="15"/>
      <c r="E10786" s="8"/>
      <c r="G10786" s="8"/>
      <c r="J10786" s="8"/>
    </row>
    <row r="10787">
      <c r="C10787" s="15"/>
      <c r="E10787" s="8"/>
      <c r="G10787" s="8"/>
      <c r="J10787" s="8"/>
    </row>
    <row r="10788">
      <c r="C10788" s="15"/>
      <c r="E10788" s="8"/>
      <c r="G10788" s="8"/>
      <c r="J10788" s="8"/>
    </row>
    <row r="10789">
      <c r="C10789" s="15"/>
      <c r="E10789" s="8"/>
      <c r="G10789" s="8"/>
      <c r="J10789" s="8"/>
    </row>
    <row r="10790">
      <c r="C10790" s="15"/>
      <c r="E10790" s="8"/>
      <c r="G10790" s="8"/>
      <c r="J10790" s="8"/>
    </row>
    <row r="10791">
      <c r="C10791" s="15"/>
      <c r="E10791" s="8"/>
      <c r="G10791" s="8"/>
      <c r="J10791" s="8"/>
    </row>
    <row r="10792">
      <c r="C10792" s="15"/>
      <c r="E10792" s="8"/>
      <c r="G10792" s="8"/>
      <c r="J10792" s="8"/>
    </row>
    <row r="10793">
      <c r="C10793" s="15"/>
      <c r="E10793" s="8"/>
      <c r="G10793" s="8"/>
      <c r="J10793" s="8"/>
    </row>
    <row r="10794">
      <c r="C10794" s="15"/>
      <c r="E10794" s="8"/>
      <c r="G10794" s="8"/>
      <c r="J10794" s="8"/>
    </row>
    <row r="10795">
      <c r="C10795" s="15"/>
      <c r="E10795" s="8"/>
      <c r="G10795" s="8"/>
      <c r="J10795" s="8"/>
    </row>
    <row r="10796">
      <c r="C10796" s="15"/>
      <c r="E10796" s="8"/>
      <c r="G10796" s="8"/>
      <c r="J10796" s="8"/>
    </row>
    <row r="10797">
      <c r="C10797" s="15"/>
      <c r="E10797" s="8"/>
      <c r="G10797" s="8"/>
      <c r="J10797" s="8"/>
    </row>
    <row r="10798">
      <c r="C10798" s="15"/>
      <c r="E10798" s="8"/>
      <c r="G10798" s="8"/>
      <c r="J10798" s="8"/>
    </row>
    <row r="10799">
      <c r="C10799" s="15"/>
      <c r="E10799" s="8"/>
      <c r="G10799" s="8"/>
      <c r="J10799" s="8"/>
    </row>
    <row r="10800">
      <c r="C10800" s="15"/>
      <c r="E10800" s="8"/>
      <c r="G10800" s="8"/>
      <c r="J10800" s="8"/>
    </row>
    <row r="10801">
      <c r="C10801" s="15"/>
      <c r="E10801" s="8"/>
      <c r="G10801" s="8"/>
      <c r="J10801" s="8"/>
    </row>
    <row r="10802">
      <c r="C10802" s="15"/>
      <c r="E10802" s="8"/>
      <c r="G10802" s="8"/>
      <c r="J10802" s="8"/>
    </row>
    <row r="10803">
      <c r="C10803" s="15"/>
      <c r="E10803" s="8"/>
      <c r="G10803" s="8"/>
      <c r="J10803" s="8"/>
    </row>
    <row r="10804">
      <c r="C10804" s="15"/>
      <c r="E10804" s="8"/>
      <c r="G10804" s="8"/>
      <c r="J10804" s="8"/>
    </row>
    <row r="10805">
      <c r="C10805" s="15"/>
      <c r="E10805" s="8"/>
      <c r="G10805" s="8"/>
      <c r="J10805" s="8"/>
    </row>
    <row r="10806">
      <c r="C10806" s="15"/>
      <c r="E10806" s="8"/>
      <c r="G10806" s="8"/>
      <c r="J10806" s="8"/>
    </row>
    <row r="10807">
      <c r="C10807" s="15"/>
      <c r="E10807" s="8"/>
      <c r="G10807" s="8"/>
      <c r="J10807" s="8"/>
    </row>
    <row r="10808">
      <c r="C10808" s="15"/>
      <c r="E10808" s="8"/>
      <c r="G10808" s="8"/>
      <c r="J10808" s="8"/>
    </row>
    <row r="10809">
      <c r="C10809" s="15"/>
      <c r="E10809" s="8"/>
      <c r="G10809" s="8"/>
      <c r="J10809" s="8"/>
    </row>
    <row r="10810">
      <c r="C10810" s="15"/>
      <c r="E10810" s="8"/>
      <c r="G10810" s="8"/>
      <c r="J10810" s="8"/>
    </row>
    <row r="10811">
      <c r="C10811" s="15"/>
      <c r="E10811" s="8"/>
      <c r="G10811" s="8"/>
      <c r="J10811" s="8"/>
    </row>
    <row r="10812">
      <c r="C10812" s="15"/>
      <c r="E10812" s="8"/>
      <c r="G10812" s="8"/>
      <c r="J10812" s="8"/>
    </row>
    <row r="10813">
      <c r="C10813" s="15"/>
      <c r="E10813" s="8"/>
      <c r="G10813" s="8"/>
      <c r="J10813" s="8"/>
    </row>
    <row r="10814">
      <c r="C10814" s="15"/>
      <c r="E10814" s="8"/>
      <c r="G10814" s="8"/>
      <c r="J10814" s="8"/>
    </row>
    <row r="10815">
      <c r="C10815" s="15"/>
      <c r="E10815" s="8"/>
      <c r="G10815" s="8"/>
      <c r="J10815" s="8"/>
    </row>
    <row r="10816">
      <c r="C10816" s="15"/>
      <c r="E10816" s="8"/>
      <c r="G10816" s="8"/>
      <c r="J10816" s="8"/>
    </row>
    <row r="10817">
      <c r="C10817" s="15"/>
      <c r="E10817" s="8"/>
      <c r="G10817" s="8"/>
      <c r="J10817" s="8"/>
    </row>
    <row r="10818">
      <c r="C10818" s="15"/>
      <c r="E10818" s="8"/>
      <c r="G10818" s="8"/>
      <c r="J10818" s="8"/>
    </row>
    <row r="10819">
      <c r="C10819" s="15"/>
      <c r="E10819" s="8"/>
      <c r="G10819" s="8"/>
      <c r="J10819" s="8"/>
    </row>
    <row r="10820">
      <c r="C10820" s="15"/>
      <c r="E10820" s="8"/>
      <c r="G10820" s="8"/>
      <c r="J10820" s="8"/>
    </row>
    <row r="10821">
      <c r="C10821" s="15"/>
      <c r="E10821" s="8"/>
      <c r="G10821" s="8"/>
      <c r="J10821" s="8"/>
    </row>
    <row r="10822">
      <c r="C10822" s="15"/>
      <c r="E10822" s="8"/>
      <c r="G10822" s="8"/>
      <c r="J10822" s="8"/>
    </row>
    <row r="10823">
      <c r="C10823" s="15"/>
      <c r="E10823" s="8"/>
      <c r="G10823" s="8"/>
      <c r="J10823" s="8"/>
    </row>
    <row r="10824">
      <c r="C10824" s="15"/>
      <c r="E10824" s="8"/>
      <c r="G10824" s="8"/>
      <c r="J10824" s="8"/>
    </row>
    <row r="10825">
      <c r="C10825" s="15"/>
      <c r="E10825" s="8"/>
      <c r="G10825" s="8"/>
      <c r="J10825" s="8"/>
    </row>
    <row r="10826">
      <c r="C10826" s="15"/>
      <c r="E10826" s="8"/>
      <c r="G10826" s="8"/>
      <c r="J10826" s="8"/>
    </row>
    <row r="10827">
      <c r="C10827" s="15"/>
      <c r="E10827" s="8"/>
      <c r="G10827" s="8"/>
      <c r="J10827" s="8"/>
    </row>
    <row r="10828">
      <c r="C10828" s="15"/>
      <c r="E10828" s="8"/>
      <c r="G10828" s="8"/>
      <c r="J10828" s="8"/>
    </row>
    <row r="10829">
      <c r="C10829" s="15"/>
      <c r="E10829" s="8"/>
      <c r="G10829" s="8"/>
      <c r="J10829" s="8"/>
    </row>
    <row r="10830">
      <c r="C10830" s="15"/>
      <c r="E10830" s="8"/>
      <c r="G10830" s="8"/>
      <c r="J10830" s="8"/>
    </row>
    <row r="10831">
      <c r="C10831" s="15"/>
      <c r="E10831" s="8"/>
      <c r="G10831" s="8"/>
      <c r="J10831" s="8"/>
    </row>
    <row r="10832">
      <c r="C10832" s="15"/>
      <c r="E10832" s="8"/>
      <c r="G10832" s="8"/>
      <c r="J10832" s="8"/>
    </row>
    <row r="10833">
      <c r="C10833" s="15"/>
      <c r="E10833" s="8"/>
      <c r="G10833" s="8"/>
      <c r="J10833" s="8"/>
    </row>
    <row r="10834">
      <c r="C10834" s="15"/>
      <c r="E10834" s="8"/>
      <c r="G10834" s="8"/>
      <c r="J10834" s="8"/>
    </row>
    <row r="10835">
      <c r="C10835" s="15"/>
      <c r="E10835" s="8"/>
      <c r="G10835" s="8"/>
      <c r="J10835" s="8"/>
    </row>
    <row r="10836">
      <c r="C10836" s="15"/>
      <c r="E10836" s="8"/>
      <c r="G10836" s="8"/>
      <c r="J10836" s="8"/>
    </row>
    <row r="10837">
      <c r="C10837" s="15"/>
      <c r="E10837" s="8"/>
      <c r="G10837" s="8"/>
      <c r="J10837" s="8"/>
    </row>
    <row r="10838">
      <c r="C10838" s="15"/>
      <c r="E10838" s="8"/>
      <c r="G10838" s="8"/>
      <c r="J10838" s="8"/>
    </row>
    <row r="10839">
      <c r="C10839" s="15"/>
      <c r="E10839" s="8"/>
      <c r="G10839" s="8"/>
      <c r="J10839" s="8"/>
    </row>
    <row r="10840">
      <c r="C10840" s="15"/>
      <c r="E10840" s="8"/>
      <c r="G10840" s="8"/>
      <c r="J10840" s="8"/>
    </row>
    <row r="10841">
      <c r="C10841" s="15"/>
      <c r="E10841" s="8"/>
      <c r="G10841" s="8"/>
      <c r="J10841" s="8"/>
    </row>
    <row r="10842">
      <c r="C10842" s="15"/>
      <c r="E10842" s="8"/>
      <c r="G10842" s="8"/>
      <c r="J10842" s="8"/>
    </row>
    <row r="10843">
      <c r="C10843" s="15"/>
      <c r="E10843" s="8"/>
      <c r="G10843" s="8"/>
      <c r="J10843" s="8"/>
    </row>
    <row r="10844">
      <c r="C10844" s="15"/>
      <c r="E10844" s="8"/>
      <c r="G10844" s="8"/>
      <c r="J10844" s="8"/>
    </row>
    <row r="10845">
      <c r="C10845" s="15"/>
      <c r="E10845" s="8"/>
      <c r="G10845" s="8"/>
      <c r="J10845" s="8"/>
    </row>
    <row r="10846">
      <c r="C10846" s="15"/>
      <c r="E10846" s="8"/>
      <c r="G10846" s="8"/>
      <c r="J10846" s="8"/>
    </row>
    <row r="10847">
      <c r="C10847" s="15"/>
      <c r="E10847" s="8"/>
      <c r="G10847" s="8"/>
      <c r="J10847" s="8"/>
    </row>
    <row r="10848">
      <c r="C10848" s="15"/>
      <c r="E10848" s="8"/>
      <c r="G10848" s="8"/>
      <c r="J10848" s="8"/>
    </row>
    <row r="10849">
      <c r="C10849" s="15"/>
      <c r="E10849" s="8"/>
      <c r="G10849" s="8"/>
      <c r="J10849" s="8"/>
    </row>
    <row r="10850">
      <c r="C10850" s="15"/>
      <c r="E10850" s="8"/>
      <c r="G10850" s="8"/>
      <c r="J10850" s="8"/>
    </row>
    <row r="10851">
      <c r="C10851" s="15"/>
      <c r="E10851" s="8"/>
      <c r="G10851" s="8"/>
      <c r="J10851" s="8"/>
    </row>
    <row r="10852">
      <c r="C10852" s="15"/>
      <c r="E10852" s="8"/>
      <c r="G10852" s="8"/>
      <c r="J10852" s="8"/>
    </row>
    <row r="10853">
      <c r="C10853" s="15"/>
      <c r="E10853" s="8"/>
      <c r="G10853" s="8"/>
      <c r="J10853" s="8"/>
    </row>
    <row r="10854">
      <c r="C10854" s="15"/>
      <c r="E10854" s="8"/>
      <c r="G10854" s="8"/>
      <c r="J10854" s="8"/>
    </row>
    <row r="10855">
      <c r="C10855" s="15"/>
      <c r="E10855" s="8"/>
      <c r="G10855" s="8"/>
      <c r="J10855" s="8"/>
    </row>
    <row r="10856">
      <c r="C10856" s="15"/>
      <c r="E10856" s="8"/>
      <c r="G10856" s="8"/>
      <c r="J10856" s="8"/>
    </row>
    <row r="10857">
      <c r="C10857" s="15"/>
      <c r="E10857" s="8"/>
      <c r="G10857" s="8"/>
      <c r="J10857" s="8"/>
    </row>
    <row r="10858">
      <c r="C10858" s="15"/>
      <c r="E10858" s="8"/>
      <c r="G10858" s="8"/>
      <c r="J10858" s="8"/>
    </row>
    <row r="10859">
      <c r="C10859" s="15"/>
      <c r="E10859" s="8"/>
      <c r="G10859" s="8"/>
      <c r="J10859" s="8"/>
    </row>
    <row r="10860">
      <c r="C10860" s="15"/>
      <c r="E10860" s="8"/>
      <c r="G10860" s="8"/>
      <c r="J10860" s="8"/>
    </row>
    <row r="10861">
      <c r="C10861" s="15"/>
      <c r="E10861" s="8"/>
      <c r="G10861" s="8"/>
      <c r="J10861" s="8"/>
    </row>
    <row r="10862">
      <c r="C10862" s="15"/>
      <c r="E10862" s="8"/>
      <c r="G10862" s="8"/>
      <c r="J10862" s="8"/>
    </row>
    <row r="10863">
      <c r="C10863" s="15"/>
      <c r="E10863" s="8"/>
      <c r="G10863" s="8"/>
      <c r="J10863" s="8"/>
    </row>
    <row r="10864">
      <c r="C10864" s="15"/>
      <c r="E10864" s="8"/>
      <c r="G10864" s="8"/>
      <c r="J10864" s="8"/>
    </row>
    <row r="10865">
      <c r="C10865" s="15"/>
      <c r="E10865" s="8"/>
      <c r="G10865" s="8"/>
      <c r="J10865" s="8"/>
    </row>
    <row r="10866">
      <c r="C10866" s="15"/>
      <c r="E10866" s="8"/>
      <c r="G10866" s="8"/>
      <c r="J10866" s="8"/>
    </row>
    <row r="10867">
      <c r="C10867" s="15"/>
      <c r="E10867" s="8"/>
      <c r="G10867" s="8"/>
      <c r="J10867" s="8"/>
    </row>
    <row r="10868">
      <c r="C10868" s="15"/>
      <c r="E10868" s="8"/>
      <c r="G10868" s="8"/>
      <c r="J10868" s="8"/>
    </row>
    <row r="10869">
      <c r="C10869" s="15"/>
      <c r="E10869" s="8"/>
      <c r="G10869" s="8"/>
      <c r="J10869" s="8"/>
    </row>
    <row r="10870">
      <c r="C10870" s="15"/>
      <c r="E10870" s="8"/>
      <c r="G10870" s="8"/>
      <c r="J10870" s="8"/>
    </row>
    <row r="10871">
      <c r="C10871" s="15"/>
      <c r="E10871" s="8"/>
      <c r="G10871" s="8"/>
      <c r="J10871" s="8"/>
    </row>
    <row r="10872">
      <c r="C10872" s="15"/>
      <c r="E10872" s="8"/>
      <c r="G10872" s="8"/>
      <c r="J10872" s="8"/>
    </row>
    <row r="10873">
      <c r="C10873" s="15"/>
      <c r="E10873" s="8"/>
      <c r="G10873" s="8"/>
      <c r="J10873" s="8"/>
    </row>
    <row r="10874">
      <c r="C10874" s="15"/>
      <c r="E10874" s="8"/>
      <c r="G10874" s="8"/>
      <c r="J10874" s="8"/>
    </row>
    <row r="10875">
      <c r="C10875" s="15"/>
      <c r="E10875" s="8"/>
      <c r="G10875" s="8"/>
      <c r="J10875" s="8"/>
    </row>
    <row r="10876">
      <c r="C10876" s="15"/>
      <c r="E10876" s="8"/>
      <c r="G10876" s="8"/>
      <c r="J10876" s="8"/>
    </row>
    <row r="10877">
      <c r="C10877" s="15"/>
      <c r="E10877" s="8"/>
      <c r="G10877" s="8"/>
      <c r="J10877" s="8"/>
    </row>
    <row r="10878">
      <c r="C10878" s="15"/>
      <c r="E10878" s="8"/>
      <c r="G10878" s="8"/>
      <c r="J10878" s="8"/>
    </row>
    <row r="10879">
      <c r="C10879" s="15"/>
      <c r="E10879" s="8"/>
      <c r="G10879" s="8"/>
      <c r="J10879" s="8"/>
    </row>
    <row r="10880">
      <c r="C10880" s="15"/>
      <c r="E10880" s="8"/>
      <c r="G10880" s="8"/>
      <c r="J10880" s="8"/>
    </row>
    <row r="10881">
      <c r="C10881" s="15"/>
      <c r="E10881" s="8"/>
      <c r="G10881" s="8"/>
      <c r="J10881" s="8"/>
    </row>
    <row r="10882">
      <c r="C10882" s="15"/>
      <c r="E10882" s="8"/>
      <c r="G10882" s="8"/>
      <c r="J10882" s="8"/>
    </row>
    <row r="10883">
      <c r="C10883" s="15"/>
      <c r="E10883" s="8"/>
      <c r="G10883" s="8"/>
      <c r="J10883" s="8"/>
    </row>
    <row r="10884">
      <c r="C10884" s="15"/>
      <c r="E10884" s="8"/>
      <c r="G10884" s="8"/>
      <c r="J10884" s="8"/>
    </row>
    <row r="10885">
      <c r="C10885" s="15"/>
      <c r="E10885" s="8"/>
      <c r="G10885" s="8"/>
      <c r="J10885" s="8"/>
    </row>
    <row r="10886">
      <c r="C10886" s="15"/>
      <c r="E10886" s="8"/>
      <c r="G10886" s="8"/>
      <c r="J10886" s="8"/>
    </row>
    <row r="10887">
      <c r="C10887" s="15"/>
      <c r="E10887" s="8"/>
      <c r="G10887" s="8"/>
      <c r="J10887" s="8"/>
    </row>
    <row r="10888">
      <c r="C10888" s="15"/>
      <c r="E10888" s="8"/>
      <c r="G10888" s="8"/>
      <c r="J10888" s="8"/>
    </row>
    <row r="10889">
      <c r="C10889" s="15"/>
      <c r="E10889" s="8"/>
      <c r="G10889" s="8"/>
      <c r="J10889" s="8"/>
    </row>
    <row r="10890">
      <c r="C10890" s="15"/>
      <c r="E10890" s="8"/>
      <c r="G10890" s="8"/>
      <c r="J10890" s="8"/>
    </row>
    <row r="10891">
      <c r="C10891" s="15"/>
      <c r="E10891" s="8"/>
      <c r="G10891" s="8"/>
      <c r="J10891" s="8"/>
    </row>
    <row r="10892">
      <c r="C10892" s="15"/>
      <c r="E10892" s="8"/>
      <c r="G10892" s="8"/>
      <c r="J10892" s="8"/>
    </row>
    <row r="10893">
      <c r="C10893" s="15"/>
      <c r="E10893" s="8"/>
      <c r="G10893" s="8"/>
      <c r="J10893" s="8"/>
    </row>
    <row r="10894">
      <c r="C10894" s="15"/>
      <c r="E10894" s="8"/>
      <c r="G10894" s="8"/>
      <c r="J10894" s="8"/>
    </row>
    <row r="10895">
      <c r="C10895" s="15"/>
      <c r="E10895" s="8"/>
      <c r="G10895" s="8"/>
      <c r="J10895" s="8"/>
    </row>
    <row r="10896">
      <c r="C10896" s="15"/>
      <c r="E10896" s="8"/>
      <c r="G10896" s="8"/>
      <c r="J10896" s="8"/>
    </row>
    <row r="10897">
      <c r="C10897" s="15"/>
      <c r="E10897" s="8"/>
      <c r="G10897" s="8"/>
      <c r="J10897" s="8"/>
    </row>
    <row r="10898">
      <c r="C10898" s="15"/>
      <c r="E10898" s="8"/>
      <c r="G10898" s="8"/>
      <c r="J10898" s="8"/>
    </row>
    <row r="10899">
      <c r="C10899" s="15"/>
      <c r="E10899" s="8"/>
      <c r="G10899" s="8"/>
      <c r="J10899" s="8"/>
    </row>
    <row r="10900">
      <c r="C10900" s="15"/>
      <c r="E10900" s="8"/>
      <c r="G10900" s="8"/>
      <c r="J10900" s="8"/>
    </row>
    <row r="10901">
      <c r="C10901" s="15"/>
      <c r="E10901" s="8"/>
      <c r="G10901" s="8"/>
      <c r="J10901" s="8"/>
    </row>
    <row r="10902">
      <c r="C10902" s="15"/>
      <c r="E10902" s="8"/>
      <c r="G10902" s="8"/>
      <c r="J10902" s="8"/>
    </row>
    <row r="10903">
      <c r="C10903" s="15"/>
      <c r="E10903" s="8"/>
      <c r="G10903" s="8"/>
      <c r="J10903" s="8"/>
    </row>
    <row r="10904">
      <c r="C10904" s="15"/>
      <c r="E10904" s="8"/>
      <c r="G10904" s="8"/>
      <c r="J10904" s="8"/>
    </row>
    <row r="10905">
      <c r="C10905" s="15"/>
      <c r="E10905" s="8"/>
      <c r="G10905" s="8"/>
      <c r="J10905" s="8"/>
    </row>
    <row r="10906">
      <c r="C10906" s="15"/>
      <c r="E10906" s="8"/>
      <c r="G10906" s="8"/>
      <c r="J10906" s="8"/>
    </row>
    <row r="10907">
      <c r="C10907" s="15"/>
      <c r="E10907" s="8"/>
      <c r="G10907" s="8"/>
      <c r="J10907" s="8"/>
    </row>
    <row r="10908">
      <c r="C10908" s="15"/>
      <c r="E10908" s="8"/>
      <c r="G10908" s="8"/>
      <c r="J10908" s="8"/>
    </row>
    <row r="10909">
      <c r="C10909" s="15"/>
      <c r="E10909" s="8"/>
      <c r="G10909" s="8"/>
      <c r="J10909" s="8"/>
    </row>
    <row r="10910">
      <c r="C10910" s="15"/>
      <c r="E10910" s="8"/>
      <c r="G10910" s="8"/>
      <c r="J10910" s="8"/>
    </row>
    <row r="10911">
      <c r="C10911" s="15"/>
      <c r="E10911" s="8"/>
      <c r="G10911" s="8"/>
      <c r="J10911" s="8"/>
    </row>
    <row r="10912">
      <c r="C10912" s="15"/>
      <c r="E10912" s="8"/>
      <c r="G10912" s="8"/>
      <c r="J10912" s="8"/>
    </row>
    <row r="10913">
      <c r="C10913" s="15"/>
      <c r="E10913" s="8"/>
      <c r="G10913" s="8"/>
      <c r="J10913" s="8"/>
    </row>
    <row r="10914">
      <c r="C10914" s="15"/>
      <c r="E10914" s="8"/>
      <c r="G10914" s="8"/>
      <c r="J10914" s="8"/>
    </row>
    <row r="10915">
      <c r="C10915" s="15"/>
      <c r="E10915" s="8"/>
      <c r="G10915" s="8"/>
      <c r="J10915" s="8"/>
    </row>
    <row r="10916">
      <c r="C10916" s="15"/>
      <c r="E10916" s="8"/>
      <c r="G10916" s="8"/>
      <c r="J10916" s="8"/>
    </row>
    <row r="10917">
      <c r="C10917" s="15"/>
      <c r="E10917" s="8"/>
      <c r="G10917" s="8"/>
      <c r="J10917" s="8"/>
    </row>
    <row r="10918">
      <c r="C10918" s="15"/>
      <c r="E10918" s="8"/>
      <c r="G10918" s="8"/>
      <c r="J10918" s="8"/>
    </row>
    <row r="10919">
      <c r="C10919" s="15"/>
      <c r="E10919" s="8"/>
      <c r="G10919" s="8"/>
      <c r="J10919" s="8"/>
    </row>
    <row r="10920">
      <c r="C10920" s="15"/>
      <c r="E10920" s="8"/>
      <c r="G10920" s="8"/>
      <c r="J10920" s="8"/>
    </row>
    <row r="10921">
      <c r="C10921" s="15"/>
      <c r="E10921" s="8"/>
      <c r="G10921" s="8"/>
      <c r="J10921" s="8"/>
    </row>
    <row r="10922">
      <c r="C10922" s="15"/>
      <c r="E10922" s="8"/>
      <c r="G10922" s="8"/>
      <c r="J10922" s="8"/>
    </row>
    <row r="10923">
      <c r="C10923" s="15"/>
      <c r="E10923" s="8"/>
      <c r="G10923" s="8"/>
      <c r="J10923" s="8"/>
    </row>
    <row r="10924">
      <c r="C10924" s="15"/>
      <c r="E10924" s="8"/>
      <c r="G10924" s="8"/>
      <c r="J10924" s="8"/>
    </row>
    <row r="10925">
      <c r="C10925" s="15"/>
      <c r="E10925" s="8"/>
      <c r="G10925" s="8"/>
      <c r="J10925" s="8"/>
    </row>
    <row r="10926">
      <c r="C10926" s="15"/>
      <c r="E10926" s="8"/>
      <c r="G10926" s="8"/>
      <c r="J10926" s="8"/>
    </row>
    <row r="10927">
      <c r="C10927" s="15"/>
      <c r="E10927" s="8"/>
      <c r="G10927" s="8"/>
      <c r="J10927" s="8"/>
    </row>
    <row r="10928">
      <c r="C10928" s="15"/>
      <c r="E10928" s="8"/>
      <c r="G10928" s="8"/>
      <c r="J10928" s="8"/>
    </row>
    <row r="10929">
      <c r="C10929" s="15"/>
      <c r="E10929" s="8"/>
      <c r="G10929" s="8"/>
      <c r="J10929" s="8"/>
    </row>
    <row r="10930">
      <c r="C10930" s="15"/>
      <c r="E10930" s="8"/>
      <c r="G10930" s="8"/>
      <c r="J10930" s="8"/>
    </row>
    <row r="10931">
      <c r="C10931" s="15"/>
      <c r="E10931" s="8"/>
      <c r="G10931" s="8"/>
      <c r="J10931" s="8"/>
    </row>
    <row r="10932">
      <c r="C10932" s="15"/>
      <c r="E10932" s="8"/>
      <c r="G10932" s="8"/>
      <c r="J10932" s="8"/>
    </row>
    <row r="10933">
      <c r="C10933" s="15"/>
      <c r="E10933" s="8"/>
      <c r="G10933" s="8"/>
      <c r="J10933" s="8"/>
    </row>
    <row r="10934">
      <c r="C10934" s="15"/>
      <c r="E10934" s="8"/>
      <c r="G10934" s="8"/>
      <c r="J10934" s="8"/>
    </row>
    <row r="10935">
      <c r="C10935" s="15"/>
      <c r="E10935" s="8"/>
      <c r="G10935" s="8"/>
      <c r="J10935" s="8"/>
    </row>
    <row r="10936">
      <c r="C10936" s="15"/>
      <c r="E10936" s="8"/>
      <c r="G10936" s="8"/>
      <c r="J10936" s="8"/>
    </row>
    <row r="10937">
      <c r="C10937" s="15"/>
      <c r="E10937" s="8"/>
      <c r="G10937" s="8"/>
      <c r="J10937" s="8"/>
    </row>
    <row r="10938">
      <c r="C10938" s="15"/>
      <c r="E10938" s="8"/>
      <c r="G10938" s="8"/>
      <c r="J10938" s="8"/>
    </row>
    <row r="10939">
      <c r="C10939" s="15"/>
      <c r="E10939" s="8"/>
      <c r="G10939" s="8"/>
      <c r="J10939" s="8"/>
    </row>
    <row r="10940">
      <c r="C10940" s="15"/>
      <c r="E10940" s="8"/>
      <c r="G10940" s="8"/>
      <c r="J10940" s="8"/>
    </row>
    <row r="10941">
      <c r="C10941" s="15"/>
      <c r="E10941" s="8"/>
      <c r="G10941" s="8"/>
      <c r="J10941" s="8"/>
    </row>
    <row r="10942">
      <c r="C10942" s="15"/>
      <c r="E10942" s="8"/>
      <c r="G10942" s="8"/>
      <c r="J10942" s="8"/>
    </row>
    <row r="10943">
      <c r="C10943" s="15"/>
      <c r="E10943" s="8"/>
      <c r="G10943" s="8"/>
      <c r="J10943" s="8"/>
    </row>
    <row r="10944">
      <c r="C10944" s="15"/>
      <c r="E10944" s="8"/>
      <c r="G10944" s="8"/>
      <c r="J10944" s="8"/>
    </row>
    <row r="10945">
      <c r="C10945" s="15"/>
      <c r="E10945" s="8"/>
      <c r="G10945" s="8"/>
      <c r="J10945" s="8"/>
    </row>
    <row r="10946">
      <c r="C10946" s="15"/>
      <c r="E10946" s="8"/>
      <c r="G10946" s="8"/>
      <c r="J10946" s="8"/>
    </row>
    <row r="10947">
      <c r="C10947" s="15"/>
      <c r="E10947" s="8"/>
      <c r="G10947" s="8"/>
      <c r="J10947" s="8"/>
    </row>
    <row r="10948">
      <c r="C10948" s="15"/>
      <c r="E10948" s="8"/>
      <c r="G10948" s="8"/>
      <c r="J10948" s="8"/>
    </row>
    <row r="10949">
      <c r="C10949" s="15"/>
      <c r="E10949" s="8"/>
      <c r="G10949" s="8"/>
      <c r="J10949" s="8"/>
    </row>
    <row r="10950">
      <c r="C10950" s="15"/>
      <c r="E10950" s="8"/>
      <c r="G10950" s="8"/>
      <c r="J10950" s="8"/>
    </row>
    <row r="10951">
      <c r="C10951" s="15"/>
      <c r="E10951" s="8"/>
      <c r="G10951" s="8"/>
      <c r="J10951" s="8"/>
    </row>
    <row r="10952">
      <c r="C10952" s="15"/>
      <c r="E10952" s="8"/>
      <c r="G10952" s="8"/>
      <c r="J10952" s="8"/>
    </row>
    <row r="10953">
      <c r="C10953" s="15"/>
      <c r="E10953" s="8"/>
      <c r="G10953" s="8"/>
      <c r="J10953" s="8"/>
    </row>
    <row r="10954">
      <c r="C10954" s="15"/>
      <c r="E10954" s="8"/>
      <c r="G10954" s="8"/>
      <c r="J10954" s="8"/>
    </row>
    <row r="10955">
      <c r="C10955" s="15"/>
      <c r="E10955" s="8"/>
      <c r="G10955" s="8"/>
      <c r="J10955" s="8"/>
    </row>
    <row r="10956">
      <c r="C10956" s="15"/>
      <c r="E10956" s="8"/>
      <c r="G10956" s="8"/>
      <c r="J10956" s="8"/>
    </row>
    <row r="10957">
      <c r="C10957" s="15"/>
      <c r="E10957" s="8"/>
      <c r="G10957" s="8"/>
      <c r="J10957" s="8"/>
    </row>
    <row r="10958">
      <c r="C10958" s="15"/>
      <c r="E10958" s="8"/>
      <c r="G10958" s="8"/>
      <c r="J10958" s="8"/>
    </row>
    <row r="10959">
      <c r="C10959" s="15"/>
      <c r="E10959" s="8"/>
      <c r="G10959" s="8"/>
      <c r="J10959" s="8"/>
    </row>
    <row r="10960">
      <c r="C10960" s="15"/>
      <c r="E10960" s="8"/>
      <c r="G10960" s="8"/>
      <c r="J10960" s="8"/>
    </row>
    <row r="10961">
      <c r="C10961" s="15"/>
      <c r="E10961" s="8"/>
      <c r="G10961" s="8"/>
      <c r="J10961" s="8"/>
    </row>
    <row r="10962">
      <c r="C10962" s="15"/>
      <c r="E10962" s="8"/>
      <c r="G10962" s="8"/>
      <c r="J10962" s="8"/>
    </row>
    <row r="10963">
      <c r="C10963" s="15"/>
      <c r="E10963" s="8"/>
      <c r="G10963" s="8"/>
      <c r="J10963" s="8"/>
    </row>
    <row r="10964">
      <c r="C10964" s="15"/>
      <c r="E10964" s="8"/>
      <c r="G10964" s="8"/>
      <c r="J10964" s="8"/>
    </row>
    <row r="10965">
      <c r="C10965" s="15"/>
      <c r="E10965" s="8"/>
      <c r="G10965" s="8"/>
      <c r="J10965" s="8"/>
    </row>
    <row r="10966">
      <c r="C10966" s="15"/>
      <c r="E10966" s="8"/>
      <c r="G10966" s="8"/>
      <c r="J10966" s="8"/>
    </row>
    <row r="10967">
      <c r="C10967" s="15"/>
      <c r="E10967" s="8"/>
      <c r="G10967" s="8"/>
      <c r="J10967" s="8"/>
    </row>
    <row r="10968">
      <c r="C10968" s="15"/>
      <c r="E10968" s="8"/>
      <c r="G10968" s="8"/>
      <c r="J10968" s="8"/>
    </row>
    <row r="10969">
      <c r="C10969" s="15"/>
      <c r="E10969" s="8"/>
      <c r="G10969" s="8"/>
      <c r="J10969" s="8"/>
    </row>
    <row r="10970">
      <c r="C10970" s="15"/>
      <c r="E10970" s="8"/>
      <c r="G10970" s="8"/>
      <c r="J10970" s="8"/>
    </row>
    <row r="10971">
      <c r="C10971" s="15"/>
      <c r="E10971" s="8"/>
      <c r="G10971" s="8"/>
      <c r="J10971" s="8"/>
    </row>
    <row r="10972">
      <c r="C10972" s="15"/>
      <c r="E10972" s="8"/>
      <c r="G10972" s="8"/>
      <c r="J10972" s="8"/>
    </row>
    <row r="10973">
      <c r="C10973" s="15"/>
      <c r="E10973" s="8"/>
      <c r="G10973" s="8"/>
      <c r="J10973" s="8"/>
    </row>
    <row r="10974">
      <c r="C10974" s="15"/>
      <c r="E10974" s="8"/>
      <c r="G10974" s="8"/>
      <c r="J10974" s="8"/>
    </row>
    <row r="10975">
      <c r="C10975" s="15"/>
      <c r="E10975" s="8"/>
      <c r="G10975" s="8"/>
      <c r="J10975" s="8"/>
    </row>
    <row r="10976">
      <c r="C10976" s="15"/>
      <c r="E10976" s="8"/>
      <c r="G10976" s="8"/>
      <c r="J10976" s="8"/>
    </row>
    <row r="10977">
      <c r="C10977" s="15"/>
      <c r="E10977" s="8"/>
      <c r="G10977" s="8"/>
      <c r="J10977" s="8"/>
    </row>
    <row r="10978">
      <c r="C10978" s="15"/>
      <c r="E10978" s="8"/>
      <c r="G10978" s="8"/>
      <c r="J10978" s="8"/>
    </row>
    <row r="10979">
      <c r="C10979" s="15"/>
      <c r="E10979" s="8"/>
      <c r="G10979" s="8"/>
      <c r="J10979" s="8"/>
    </row>
    <row r="10980">
      <c r="C10980" s="15"/>
      <c r="E10980" s="8"/>
      <c r="G10980" s="8"/>
      <c r="J10980" s="8"/>
    </row>
    <row r="10981">
      <c r="C10981" s="15"/>
      <c r="E10981" s="8"/>
      <c r="G10981" s="8"/>
      <c r="J10981" s="8"/>
    </row>
    <row r="10982">
      <c r="C10982" s="15"/>
      <c r="E10982" s="8"/>
      <c r="G10982" s="8"/>
      <c r="J10982" s="8"/>
    </row>
    <row r="10983">
      <c r="C10983" s="15"/>
      <c r="E10983" s="8"/>
      <c r="G10983" s="8"/>
      <c r="J10983" s="8"/>
    </row>
    <row r="10984">
      <c r="C10984" s="15"/>
      <c r="E10984" s="8"/>
      <c r="G10984" s="8"/>
      <c r="J10984" s="8"/>
    </row>
    <row r="10985">
      <c r="C10985" s="15"/>
      <c r="E10985" s="8"/>
      <c r="G10985" s="8"/>
      <c r="J10985" s="8"/>
    </row>
    <row r="10986">
      <c r="C10986" s="15"/>
      <c r="E10986" s="8"/>
      <c r="G10986" s="8"/>
      <c r="J10986" s="8"/>
    </row>
    <row r="10987">
      <c r="C10987" s="15"/>
      <c r="E10987" s="8"/>
      <c r="G10987" s="8"/>
      <c r="J10987" s="8"/>
    </row>
    <row r="10988">
      <c r="C10988" s="15"/>
      <c r="E10988" s="8"/>
      <c r="G10988" s="8"/>
      <c r="J10988" s="8"/>
    </row>
    <row r="10989">
      <c r="C10989" s="15"/>
      <c r="E10989" s="8"/>
      <c r="G10989" s="8"/>
      <c r="J10989" s="8"/>
    </row>
    <row r="10990">
      <c r="C10990" s="15"/>
      <c r="E10990" s="8"/>
      <c r="G10990" s="8"/>
      <c r="J10990" s="8"/>
    </row>
    <row r="10991">
      <c r="C10991" s="15"/>
      <c r="E10991" s="8"/>
      <c r="G10991" s="8"/>
      <c r="J10991" s="8"/>
    </row>
    <row r="10992">
      <c r="C10992" s="15"/>
      <c r="E10992" s="8"/>
      <c r="G10992" s="8"/>
      <c r="J10992" s="8"/>
    </row>
    <row r="10993">
      <c r="C10993" s="15"/>
      <c r="E10993" s="8"/>
      <c r="G10993" s="8"/>
      <c r="J10993" s="8"/>
    </row>
    <row r="10994">
      <c r="C10994" s="15"/>
      <c r="E10994" s="8"/>
      <c r="G10994" s="8"/>
      <c r="J10994" s="8"/>
    </row>
    <row r="10995">
      <c r="C10995" s="15"/>
      <c r="E10995" s="8"/>
      <c r="G10995" s="8"/>
      <c r="J10995" s="8"/>
    </row>
    <row r="10996">
      <c r="C10996" s="15"/>
      <c r="E10996" s="8"/>
      <c r="G10996" s="8"/>
      <c r="J10996" s="8"/>
    </row>
    <row r="10997">
      <c r="C10997" s="15"/>
      <c r="E10997" s="8"/>
      <c r="G10997" s="8"/>
      <c r="J10997" s="8"/>
    </row>
    <row r="10998">
      <c r="C10998" s="15"/>
      <c r="E10998" s="8"/>
      <c r="G10998" s="8"/>
      <c r="J10998" s="8"/>
    </row>
    <row r="10999">
      <c r="C10999" s="15"/>
      <c r="E10999" s="8"/>
      <c r="G10999" s="8"/>
      <c r="J10999" s="8"/>
    </row>
    <row r="11000">
      <c r="C11000" s="15"/>
      <c r="E11000" s="8"/>
      <c r="G11000" s="8"/>
      <c r="J11000" s="8"/>
    </row>
    <row r="11001">
      <c r="C11001" s="15"/>
      <c r="E11001" s="8"/>
      <c r="G11001" s="8"/>
      <c r="J11001" s="8"/>
    </row>
    <row r="11002">
      <c r="C11002" s="15"/>
      <c r="E11002" s="8"/>
      <c r="G11002" s="8"/>
      <c r="J11002" s="8"/>
    </row>
    <row r="11003">
      <c r="C11003" s="15"/>
      <c r="E11003" s="8"/>
      <c r="G11003" s="8"/>
      <c r="J11003" s="8"/>
    </row>
    <row r="11004">
      <c r="C11004" s="15"/>
      <c r="E11004" s="8"/>
      <c r="G11004" s="8"/>
      <c r="J11004" s="8"/>
    </row>
    <row r="11005">
      <c r="C11005" s="15"/>
      <c r="E11005" s="8"/>
      <c r="G11005" s="8"/>
      <c r="J11005" s="8"/>
    </row>
    <row r="11006">
      <c r="C11006" s="15"/>
      <c r="E11006" s="8"/>
      <c r="G11006" s="8"/>
      <c r="J11006" s="8"/>
    </row>
    <row r="11007">
      <c r="C11007" s="15"/>
      <c r="E11007" s="8"/>
      <c r="G11007" s="8"/>
      <c r="J11007" s="8"/>
    </row>
    <row r="11008">
      <c r="C11008" s="15"/>
      <c r="E11008" s="8"/>
      <c r="G11008" s="8"/>
      <c r="J11008" s="8"/>
    </row>
    <row r="11009">
      <c r="C11009" s="15"/>
      <c r="E11009" s="8"/>
      <c r="G11009" s="8"/>
      <c r="J11009" s="8"/>
    </row>
    <row r="11010">
      <c r="C11010" s="15"/>
      <c r="E11010" s="8"/>
      <c r="G11010" s="8"/>
      <c r="J11010" s="8"/>
    </row>
    <row r="11011">
      <c r="C11011" s="15"/>
      <c r="E11011" s="8"/>
      <c r="G11011" s="8"/>
      <c r="J11011" s="8"/>
    </row>
    <row r="11012">
      <c r="C11012" s="15"/>
      <c r="E11012" s="8"/>
      <c r="G11012" s="8"/>
      <c r="J11012" s="8"/>
    </row>
    <row r="11013">
      <c r="C11013" s="15"/>
      <c r="E11013" s="8"/>
      <c r="G11013" s="8"/>
      <c r="J11013" s="8"/>
    </row>
    <row r="11014">
      <c r="C11014" s="15"/>
      <c r="E11014" s="8"/>
      <c r="G11014" s="8"/>
      <c r="J11014" s="8"/>
    </row>
    <row r="11015">
      <c r="C11015" s="15"/>
      <c r="E11015" s="8"/>
      <c r="G11015" s="8"/>
      <c r="J11015" s="8"/>
    </row>
    <row r="11016">
      <c r="C11016" s="15"/>
      <c r="E11016" s="8"/>
      <c r="G11016" s="8"/>
      <c r="J11016" s="8"/>
    </row>
    <row r="11017">
      <c r="C11017" s="15"/>
      <c r="E11017" s="8"/>
      <c r="G11017" s="8"/>
      <c r="J11017" s="8"/>
    </row>
    <row r="11018">
      <c r="C11018" s="15"/>
      <c r="E11018" s="8"/>
      <c r="G11018" s="8"/>
      <c r="J11018" s="8"/>
    </row>
    <row r="11019">
      <c r="C11019" s="15"/>
      <c r="E11019" s="8"/>
      <c r="G11019" s="8"/>
      <c r="J11019" s="8"/>
    </row>
    <row r="11020">
      <c r="C11020" s="15"/>
      <c r="E11020" s="8"/>
      <c r="G11020" s="8"/>
      <c r="J11020" s="8"/>
    </row>
    <row r="11021">
      <c r="C11021" s="15"/>
      <c r="E11021" s="8"/>
      <c r="G11021" s="8"/>
      <c r="J11021" s="8"/>
    </row>
    <row r="11022">
      <c r="C11022" s="15"/>
      <c r="E11022" s="8"/>
      <c r="G11022" s="8"/>
      <c r="J11022" s="8"/>
    </row>
    <row r="11023">
      <c r="C11023" s="15"/>
      <c r="E11023" s="8"/>
      <c r="G11023" s="8"/>
      <c r="J11023" s="8"/>
    </row>
    <row r="11024">
      <c r="C11024" s="15"/>
      <c r="E11024" s="8"/>
      <c r="G11024" s="8"/>
      <c r="J11024" s="8"/>
    </row>
    <row r="11025">
      <c r="C11025" s="15"/>
      <c r="E11025" s="8"/>
      <c r="G11025" s="8"/>
      <c r="J11025" s="8"/>
    </row>
    <row r="11026">
      <c r="C11026" s="15"/>
      <c r="E11026" s="8"/>
      <c r="G11026" s="8"/>
      <c r="J11026" s="8"/>
    </row>
    <row r="11027">
      <c r="C11027" s="15"/>
      <c r="E11027" s="8"/>
      <c r="G11027" s="8"/>
      <c r="J11027" s="8"/>
    </row>
    <row r="11028">
      <c r="C11028" s="15"/>
      <c r="E11028" s="8"/>
      <c r="G11028" s="8"/>
      <c r="J11028" s="8"/>
    </row>
    <row r="11029">
      <c r="C11029" s="15"/>
      <c r="E11029" s="8"/>
      <c r="G11029" s="8"/>
      <c r="J11029" s="8"/>
    </row>
    <row r="11030">
      <c r="C11030" s="15"/>
      <c r="E11030" s="8"/>
      <c r="G11030" s="8"/>
      <c r="J11030" s="8"/>
    </row>
    <row r="11031">
      <c r="C11031" s="15"/>
      <c r="E11031" s="8"/>
      <c r="G11031" s="8"/>
      <c r="J11031" s="8"/>
    </row>
    <row r="11032">
      <c r="C11032" s="15"/>
      <c r="E11032" s="8"/>
      <c r="G11032" s="8"/>
      <c r="J11032" s="8"/>
    </row>
    <row r="11033">
      <c r="C11033" s="15"/>
      <c r="E11033" s="8"/>
      <c r="G11033" s="8"/>
      <c r="J11033" s="8"/>
    </row>
    <row r="11034">
      <c r="C11034" s="15"/>
      <c r="E11034" s="8"/>
      <c r="G11034" s="8"/>
      <c r="J11034" s="8"/>
    </row>
    <row r="11035">
      <c r="C11035" s="15"/>
      <c r="E11035" s="8"/>
      <c r="G11035" s="8"/>
      <c r="J11035" s="8"/>
    </row>
    <row r="11036">
      <c r="C11036" s="15"/>
      <c r="E11036" s="8"/>
      <c r="G11036" s="8"/>
      <c r="J11036" s="8"/>
    </row>
    <row r="11037">
      <c r="C11037" s="15"/>
      <c r="E11037" s="8"/>
      <c r="G11037" s="8"/>
      <c r="J11037" s="8"/>
    </row>
    <row r="11038">
      <c r="C11038" s="15"/>
      <c r="E11038" s="8"/>
      <c r="G11038" s="8"/>
      <c r="J11038" s="8"/>
    </row>
    <row r="11039">
      <c r="C11039" s="15"/>
      <c r="E11039" s="8"/>
      <c r="G11039" s="8"/>
      <c r="J11039" s="8"/>
    </row>
    <row r="11040">
      <c r="C11040" s="15"/>
      <c r="E11040" s="8"/>
      <c r="G11040" s="8"/>
      <c r="J11040" s="8"/>
    </row>
    <row r="11041">
      <c r="C11041" s="15"/>
      <c r="E11041" s="8"/>
      <c r="G11041" s="8"/>
      <c r="J11041" s="8"/>
    </row>
    <row r="11042">
      <c r="C11042" s="15"/>
      <c r="E11042" s="8"/>
      <c r="G11042" s="8"/>
      <c r="J11042" s="8"/>
    </row>
    <row r="11043">
      <c r="C11043" s="15"/>
      <c r="E11043" s="8"/>
      <c r="G11043" s="8"/>
      <c r="J11043" s="8"/>
    </row>
    <row r="11044">
      <c r="C11044" s="15"/>
      <c r="E11044" s="8"/>
      <c r="G11044" s="8"/>
      <c r="J11044" s="8"/>
    </row>
    <row r="11045">
      <c r="C11045" s="15"/>
      <c r="E11045" s="8"/>
      <c r="G11045" s="8"/>
      <c r="J11045" s="8"/>
    </row>
    <row r="11046">
      <c r="C11046" s="15"/>
      <c r="E11046" s="8"/>
      <c r="G11046" s="8"/>
      <c r="J11046" s="8"/>
    </row>
    <row r="11047">
      <c r="C11047" s="15"/>
      <c r="E11047" s="8"/>
      <c r="G11047" s="8"/>
      <c r="J11047" s="8"/>
    </row>
    <row r="11048">
      <c r="C11048" s="15"/>
      <c r="E11048" s="8"/>
      <c r="G11048" s="8"/>
      <c r="J11048" s="8"/>
    </row>
    <row r="11049">
      <c r="C11049" s="15"/>
      <c r="E11049" s="8"/>
      <c r="G11049" s="8"/>
      <c r="J11049" s="8"/>
    </row>
    <row r="11050">
      <c r="C11050" s="15"/>
      <c r="E11050" s="8"/>
      <c r="G11050" s="8"/>
      <c r="J11050" s="8"/>
    </row>
    <row r="11051">
      <c r="C11051" s="15"/>
      <c r="E11051" s="8"/>
      <c r="G11051" s="8"/>
      <c r="J11051" s="8"/>
    </row>
    <row r="11052">
      <c r="C11052" s="15"/>
      <c r="E11052" s="8"/>
      <c r="G11052" s="8"/>
      <c r="J11052" s="8"/>
    </row>
    <row r="11053">
      <c r="C11053" s="15"/>
      <c r="E11053" s="8"/>
      <c r="G11053" s="8"/>
      <c r="J11053" s="8"/>
    </row>
    <row r="11054">
      <c r="C11054" s="15"/>
      <c r="E11054" s="8"/>
      <c r="G11054" s="8"/>
      <c r="J11054" s="8"/>
    </row>
    <row r="11055">
      <c r="C11055" s="15"/>
      <c r="E11055" s="8"/>
      <c r="G11055" s="8"/>
      <c r="J11055" s="8"/>
    </row>
    <row r="11056">
      <c r="C11056" s="15"/>
      <c r="E11056" s="8"/>
      <c r="G11056" s="8"/>
      <c r="J11056" s="8"/>
    </row>
    <row r="11057">
      <c r="C11057" s="15"/>
      <c r="E11057" s="8"/>
      <c r="G11057" s="8"/>
      <c r="J11057" s="8"/>
    </row>
    <row r="11058">
      <c r="C11058" s="15"/>
      <c r="E11058" s="8"/>
      <c r="G11058" s="8"/>
      <c r="J11058" s="8"/>
    </row>
    <row r="11059">
      <c r="C11059" s="15"/>
      <c r="E11059" s="8"/>
      <c r="G11059" s="8"/>
      <c r="J11059" s="8"/>
    </row>
    <row r="11060">
      <c r="C11060" s="15"/>
      <c r="E11060" s="8"/>
      <c r="G11060" s="8"/>
      <c r="J11060" s="8"/>
    </row>
    <row r="11061">
      <c r="C11061" s="15"/>
      <c r="E11061" s="8"/>
      <c r="G11061" s="8"/>
      <c r="J11061" s="8"/>
    </row>
    <row r="11062">
      <c r="C11062" s="15"/>
      <c r="E11062" s="8"/>
      <c r="G11062" s="8"/>
      <c r="J11062" s="8"/>
    </row>
    <row r="11063">
      <c r="C11063" s="15"/>
      <c r="E11063" s="8"/>
      <c r="G11063" s="8"/>
      <c r="J11063" s="8"/>
    </row>
    <row r="11064">
      <c r="C11064" s="15"/>
      <c r="E11064" s="8"/>
      <c r="G11064" s="8"/>
      <c r="J11064" s="8"/>
    </row>
    <row r="11065">
      <c r="C11065" s="15"/>
      <c r="E11065" s="8"/>
      <c r="G11065" s="8"/>
      <c r="J11065" s="8"/>
    </row>
    <row r="11066">
      <c r="C11066" s="15"/>
      <c r="E11066" s="8"/>
      <c r="G11066" s="8"/>
      <c r="J11066" s="8"/>
    </row>
    <row r="11067">
      <c r="C11067" s="15"/>
      <c r="E11067" s="8"/>
      <c r="G11067" s="8"/>
      <c r="J11067" s="8"/>
    </row>
    <row r="11068">
      <c r="C11068" s="15"/>
      <c r="E11068" s="8"/>
      <c r="G11068" s="8"/>
      <c r="J11068" s="8"/>
    </row>
    <row r="11069">
      <c r="C11069" s="15"/>
      <c r="E11069" s="8"/>
      <c r="G11069" s="8"/>
      <c r="J11069" s="8"/>
    </row>
    <row r="11070">
      <c r="C11070" s="15"/>
      <c r="E11070" s="8"/>
      <c r="G11070" s="8"/>
      <c r="J11070" s="8"/>
    </row>
    <row r="11071">
      <c r="C11071" s="15"/>
      <c r="E11071" s="8"/>
      <c r="G11071" s="8"/>
      <c r="J11071" s="8"/>
    </row>
    <row r="11072">
      <c r="C11072" s="15"/>
      <c r="E11072" s="8"/>
      <c r="G11072" s="8"/>
      <c r="J11072" s="8"/>
    </row>
    <row r="11073">
      <c r="C11073" s="15"/>
      <c r="E11073" s="8"/>
      <c r="G11073" s="8"/>
      <c r="J11073" s="8"/>
    </row>
    <row r="11074">
      <c r="C11074" s="15"/>
      <c r="E11074" s="8"/>
      <c r="G11074" s="8"/>
      <c r="J11074" s="8"/>
    </row>
    <row r="11075">
      <c r="C11075" s="15"/>
      <c r="E11075" s="8"/>
      <c r="G11075" s="8"/>
      <c r="J11075" s="8"/>
    </row>
    <row r="11076">
      <c r="C11076" s="15"/>
      <c r="E11076" s="8"/>
      <c r="G11076" s="8"/>
      <c r="J11076" s="8"/>
    </row>
    <row r="11077">
      <c r="C11077" s="15"/>
      <c r="E11077" s="8"/>
      <c r="G11077" s="8"/>
      <c r="J11077" s="8"/>
    </row>
    <row r="11078">
      <c r="C11078" s="15"/>
      <c r="E11078" s="8"/>
      <c r="G11078" s="8"/>
      <c r="J11078" s="8"/>
    </row>
    <row r="11079">
      <c r="C11079" s="15"/>
      <c r="E11079" s="8"/>
      <c r="G11079" s="8"/>
      <c r="J11079" s="8"/>
    </row>
    <row r="11080">
      <c r="C11080" s="15"/>
      <c r="E11080" s="8"/>
      <c r="G11080" s="8"/>
      <c r="J11080" s="8"/>
    </row>
    <row r="11081">
      <c r="C11081" s="15"/>
      <c r="E11081" s="8"/>
      <c r="G11081" s="8"/>
      <c r="J11081" s="8"/>
    </row>
    <row r="11082">
      <c r="C11082" s="15"/>
      <c r="E11082" s="8"/>
      <c r="G11082" s="8"/>
      <c r="J11082" s="8"/>
    </row>
    <row r="11083">
      <c r="C11083" s="15"/>
      <c r="E11083" s="8"/>
      <c r="G11083" s="8"/>
      <c r="J11083" s="8"/>
    </row>
    <row r="11084">
      <c r="C11084" s="15"/>
      <c r="E11084" s="8"/>
      <c r="G11084" s="8"/>
      <c r="J11084" s="8"/>
    </row>
    <row r="11085">
      <c r="C11085" s="15"/>
      <c r="E11085" s="8"/>
      <c r="G11085" s="8"/>
      <c r="J11085" s="8"/>
    </row>
    <row r="11086">
      <c r="C11086" s="15"/>
      <c r="E11086" s="8"/>
      <c r="G11086" s="8"/>
      <c r="J11086" s="8"/>
    </row>
    <row r="11087">
      <c r="C11087" s="15"/>
      <c r="E11087" s="8"/>
      <c r="G11087" s="8"/>
      <c r="J11087" s="8"/>
    </row>
    <row r="11088">
      <c r="C11088" s="15"/>
      <c r="E11088" s="8"/>
      <c r="G11088" s="8"/>
      <c r="J11088" s="8"/>
    </row>
    <row r="11089">
      <c r="C11089" s="15"/>
      <c r="E11089" s="8"/>
      <c r="G11089" s="8"/>
      <c r="J11089" s="8"/>
    </row>
    <row r="11090">
      <c r="C11090" s="15"/>
      <c r="E11090" s="8"/>
      <c r="G11090" s="8"/>
      <c r="J11090" s="8"/>
    </row>
    <row r="11091">
      <c r="C11091" s="15"/>
      <c r="E11091" s="8"/>
      <c r="G11091" s="8"/>
      <c r="J11091" s="8"/>
    </row>
    <row r="11092">
      <c r="C11092" s="15"/>
      <c r="E11092" s="8"/>
      <c r="G11092" s="8"/>
      <c r="J11092" s="8"/>
    </row>
    <row r="11093">
      <c r="C11093" s="15"/>
      <c r="E11093" s="8"/>
      <c r="G11093" s="8"/>
      <c r="J11093" s="8"/>
    </row>
    <row r="11094">
      <c r="C11094" s="15"/>
      <c r="E11094" s="8"/>
      <c r="G11094" s="8"/>
      <c r="J11094" s="8"/>
    </row>
    <row r="11095">
      <c r="C11095" s="15"/>
      <c r="E11095" s="8"/>
      <c r="G11095" s="8"/>
      <c r="J11095" s="8"/>
    </row>
    <row r="11096">
      <c r="C11096" s="15"/>
      <c r="E11096" s="8"/>
      <c r="G11096" s="8"/>
      <c r="J11096" s="8"/>
    </row>
    <row r="11097">
      <c r="C11097" s="15"/>
      <c r="E11097" s="8"/>
      <c r="G11097" s="8"/>
      <c r="J11097" s="8"/>
    </row>
    <row r="11098">
      <c r="C11098" s="15"/>
      <c r="E11098" s="8"/>
      <c r="G11098" s="8"/>
      <c r="J11098" s="8"/>
    </row>
    <row r="11099">
      <c r="C11099" s="15"/>
      <c r="E11099" s="8"/>
      <c r="G11099" s="8"/>
      <c r="J11099" s="8"/>
    </row>
    <row r="11100">
      <c r="C11100" s="15"/>
      <c r="E11100" s="8"/>
      <c r="G11100" s="8"/>
      <c r="J11100" s="8"/>
    </row>
    <row r="11101">
      <c r="C11101" s="15"/>
      <c r="E11101" s="8"/>
      <c r="G11101" s="8"/>
      <c r="J11101" s="8"/>
    </row>
    <row r="11102">
      <c r="C11102" s="15"/>
      <c r="E11102" s="8"/>
      <c r="G11102" s="8"/>
      <c r="J11102" s="8"/>
    </row>
    <row r="11103">
      <c r="C11103" s="15"/>
      <c r="E11103" s="8"/>
      <c r="G11103" s="8"/>
      <c r="J11103" s="8"/>
    </row>
    <row r="11104">
      <c r="C11104" s="15"/>
      <c r="E11104" s="8"/>
      <c r="G11104" s="8"/>
      <c r="J11104" s="8"/>
    </row>
    <row r="11105">
      <c r="C11105" s="15"/>
      <c r="E11105" s="8"/>
      <c r="G11105" s="8"/>
      <c r="J11105" s="8"/>
    </row>
    <row r="11106">
      <c r="C11106" s="15"/>
      <c r="E11106" s="8"/>
      <c r="G11106" s="8"/>
      <c r="J11106" s="8"/>
    </row>
    <row r="11107">
      <c r="C11107" s="15"/>
      <c r="E11107" s="8"/>
      <c r="G11107" s="8"/>
      <c r="J11107" s="8"/>
    </row>
    <row r="11108">
      <c r="C11108" s="15"/>
      <c r="E11108" s="8"/>
      <c r="G11108" s="8"/>
      <c r="J11108" s="8"/>
    </row>
    <row r="11109">
      <c r="C11109" s="15"/>
      <c r="E11109" s="8"/>
      <c r="G11109" s="8"/>
      <c r="J11109" s="8"/>
    </row>
    <row r="11110">
      <c r="C11110" s="15"/>
      <c r="E11110" s="8"/>
      <c r="G11110" s="8"/>
      <c r="J11110" s="8"/>
    </row>
    <row r="11111">
      <c r="C11111" s="15"/>
      <c r="E11111" s="8"/>
      <c r="G11111" s="8"/>
      <c r="J11111" s="8"/>
    </row>
    <row r="11112">
      <c r="C11112" s="15"/>
      <c r="E11112" s="8"/>
      <c r="G11112" s="8"/>
      <c r="J11112" s="8"/>
    </row>
    <row r="11113">
      <c r="C11113" s="15"/>
      <c r="E11113" s="8"/>
      <c r="G11113" s="8"/>
      <c r="J11113" s="8"/>
    </row>
    <row r="11114">
      <c r="C11114" s="15"/>
      <c r="E11114" s="8"/>
      <c r="G11114" s="8"/>
      <c r="J11114" s="8"/>
    </row>
    <row r="11115">
      <c r="C11115" s="15"/>
      <c r="E11115" s="8"/>
      <c r="G11115" s="8"/>
      <c r="J11115" s="8"/>
    </row>
    <row r="11116">
      <c r="C11116" s="15"/>
      <c r="E11116" s="8"/>
      <c r="G11116" s="8"/>
      <c r="J11116" s="8"/>
    </row>
    <row r="11117">
      <c r="C11117" s="15"/>
      <c r="E11117" s="8"/>
      <c r="G11117" s="8"/>
      <c r="J11117" s="8"/>
    </row>
    <row r="11118">
      <c r="C11118" s="15"/>
      <c r="E11118" s="8"/>
      <c r="G11118" s="8"/>
      <c r="J11118" s="8"/>
    </row>
    <row r="11119">
      <c r="C11119" s="15"/>
      <c r="E11119" s="8"/>
      <c r="G11119" s="8"/>
      <c r="J11119" s="8"/>
    </row>
    <row r="11120">
      <c r="C11120" s="15"/>
      <c r="E11120" s="8"/>
      <c r="G11120" s="8"/>
      <c r="J11120" s="8"/>
    </row>
    <row r="11121">
      <c r="C11121" s="15"/>
      <c r="E11121" s="8"/>
      <c r="G11121" s="8"/>
      <c r="J11121" s="8"/>
    </row>
    <row r="11122">
      <c r="C11122" s="15"/>
      <c r="E11122" s="8"/>
      <c r="G11122" s="8"/>
      <c r="J11122" s="8"/>
    </row>
    <row r="11123">
      <c r="C11123" s="15"/>
      <c r="E11123" s="8"/>
      <c r="G11123" s="8"/>
      <c r="J11123" s="8"/>
    </row>
    <row r="11124">
      <c r="C11124" s="15"/>
      <c r="E11124" s="8"/>
      <c r="G11124" s="8"/>
      <c r="J11124" s="8"/>
    </row>
    <row r="11125">
      <c r="C11125" s="15"/>
      <c r="E11125" s="8"/>
      <c r="G11125" s="8"/>
      <c r="J11125" s="8"/>
    </row>
    <row r="11126">
      <c r="C11126" s="15"/>
      <c r="E11126" s="8"/>
      <c r="G11126" s="8"/>
      <c r="J11126" s="8"/>
    </row>
    <row r="11127">
      <c r="C11127" s="15"/>
      <c r="E11127" s="8"/>
      <c r="G11127" s="8"/>
      <c r="J11127" s="8"/>
    </row>
    <row r="11128">
      <c r="C11128" s="15"/>
      <c r="E11128" s="8"/>
      <c r="G11128" s="8"/>
      <c r="J11128" s="8"/>
    </row>
    <row r="11129">
      <c r="C11129" s="15"/>
      <c r="E11129" s="8"/>
      <c r="G11129" s="8"/>
      <c r="J11129" s="8"/>
    </row>
    <row r="11130">
      <c r="C11130" s="15"/>
      <c r="E11130" s="8"/>
      <c r="G11130" s="8"/>
      <c r="J11130" s="8"/>
    </row>
    <row r="11131">
      <c r="C11131" s="15"/>
      <c r="E11131" s="8"/>
      <c r="G11131" s="8"/>
      <c r="J11131" s="8"/>
    </row>
    <row r="11132">
      <c r="C11132" s="15"/>
      <c r="E11132" s="8"/>
      <c r="G11132" s="8"/>
      <c r="J11132" s="8"/>
    </row>
    <row r="11133">
      <c r="C11133" s="15"/>
      <c r="E11133" s="8"/>
      <c r="G11133" s="8"/>
      <c r="J11133" s="8"/>
    </row>
    <row r="11134">
      <c r="C11134" s="15"/>
      <c r="E11134" s="8"/>
      <c r="G11134" s="8"/>
      <c r="J11134" s="8"/>
    </row>
    <row r="11135">
      <c r="C11135" s="15"/>
      <c r="E11135" s="8"/>
      <c r="G11135" s="8"/>
      <c r="J11135" s="8"/>
    </row>
    <row r="11136">
      <c r="C11136" s="15"/>
      <c r="E11136" s="8"/>
      <c r="G11136" s="8"/>
      <c r="J11136" s="8"/>
    </row>
    <row r="11137">
      <c r="C11137" s="15"/>
      <c r="E11137" s="8"/>
      <c r="G11137" s="8"/>
      <c r="J11137" s="8"/>
    </row>
    <row r="11138">
      <c r="C11138" s="15"/>
      <c r="E11138" s="8"/>
      <c r="G11138" s="8"/>
      <c r="J11138" s="8"/>
    </row>
    <row r="11139">
      <c r="C11139" s="15"/>
      <c r="E11139" s="8"/>
      <c r="G11139" s="8"/>
      <c r="J11139" s="8"/>
    </row>
    <row r="11140">
      <c r="C11140" s="15"/>
      <c r="E11140" s="8"/>
      <c r="G11140" s="8"/>
      <c r="J11140" s="8"/>
    </row>
    <row r="11141">
      <c r="C11141" s="15"/>
      <c r="E11141" s="8"/>
      <c r="G11141" s="8"/>
      <c r="J11141" s="8"/>
    </row>
    <row r="11142">
      <c r="C11142" s="15"/>
      <c r="E11142" s="8"/>
      <c r="G11142" s="8"/>
      <c r="J11142" s="8"/>
    </row>
    <row r="11143">
      <c r="C11143" s="15"/>
      <c r="E11143" s="8"/>
      <c r="G11143" s="8"/>
      <c r="J11143" s="8"/>
    </row>
    <row r="11144">
      <c r="C11144" s="15"/>
      <c r="E11144" s="8"/>
      <c r="G11144" s="8"/>
      <c r="J11144" s="8"/>
    </row>
    <row r="11145">
      <c r="C11145" s="15"/>
      <c r="E11145" s="8"/>
      <c r="G11145" s="8"/>
      <c r="J11145" s="8"/>
    </row>
    <row r="11146">
      <c r="C11146" s="15"/>
      <c r="E11146" s="8"/>
      <c r="G11146" s="8"/>
      <c r="J11146" s="8"/>
    </row>
    <row r="11147">
      <c r="C11147" s="15"/>
      <c r="E11147" s="8"/>
      <c r="G11147" s="8"/>
      <c r="J11147" s="8"/>
    </row>
    <row r="11148">
      <c r="C11148" s="15"/>
      <c r="E11148" s="8"/>
      <c r="G11148" s="8"/>
      <c r="J11148" s="8"/>
    </row>
    <row r="11149">
      <c r="C11149" s="15"/>
      <c r="E11149" s="8"/>
      <c r="G11149" s="8"/>
      <c r="J11149" s="8"/>
    </row>
    <row r="11150">
      <c r="C11150" s="15"/>
      <c r="E11150" s="8"/>
      <c r="G11150" s="8"/>
      <c r="J11150" s="8"/>
    </row>
    <row r="11151">
      <c r="C11151" s="15"/>
      <c r="E11151" s="8"/>
      <c r="G11151" s="8"/>
      <c r="J11151" s="8"/>
    </row>
    <row r="11152">
      <c r="C11152" s="15"/>
      <c r="E11152" s="8"/>
      <c r="G11152" s="8"/>
      <c r="J11152" s="8"/>
    </row>
    <row r="11153">
      <c r="C11153" s="15"/>
      <c r="E11153" s="8"/>
      <c r="G11153" s="8"/>
      <c r="J11153" s="8"/>
    </row>
    <row r="11154">
      <c r="C11154" s="15"/>
      <c r="E11154" s="8"/>
      <c r="G11154" s="8"/>
      <c r="J11154" s="8"/>
    </row>
    <row r="11155">
      <c r="C11155" s="15"/>
      <c r="E11155" s="8"/>
      <c r="G11155" s="8"/>
      <c r="J11155" s="8"/>
    </row>
    <row r="11156">
      <c r="C11156" s="15"/>
      <c r="E11156" s="8"/>
      <c r="G11156" s="8"/>
      <c r="J11156" s="8"/>
    </row>
    <row r="11157">
      <c r="C11157" s="15"/>
      <c r="E11157" s="8"/>
      <c r="G11157" s="8"/>
      <c r="J11157" s="8"/>
    </row>
    <row r="11158">
      <c r="C11158" s="15"/>
      <c r="E11158" s="8"/>
      <c r="G11158" s="8"/>
      <c r="J11158" s="8"/>
    </row>
    <row r="11159">
      <c r="C11159" s="15"/>
      <c r="E11159" s="8"/>
      <c r="G11159" s="8"/>
      <c r="J11159" s="8"/>
    </row>
    <row r="11160">
      <c r="C11160" s="15"/>
      <c r="E11160" s="8"/>
      <c r="G11160" s="8"/>
      <c r="J11160" s="8"/>
    </row>
    <row r="11161">
      <c r="C11161" s="15"/>
      <c r="E11161" s="8"/>
      <c r="G11161" s="8"/>
      <c r="J11161" s="8"/>
    </row>
    <row r="11162">
      <c r="C11162" s="15"/>
      <c r="E11162" s="8"/>
      <c r="G11162" s="8"/>
      <c r="J11162" s="8"/>
    </row>
    <row r="11163">
      <c r="C11163" s="15"/>
      <c r="E11163" s="8"/>
      <c r="G11163" s="8"/>
      <c r="J11163" s="8"/>
    </row>
    <row r="11164">
      <c r="C11164" s="15"/>
      <c r="E11164" s="8"/>
      <c r="G11164" s="8"/>
      <c r="J11164" s="8"/>
    </row>
    <row r="11165">
      <c r="C11165" s="15"/>
      <c r="E11165" s="8"/>
      <c r="G11165" s="8"/>
      <c r="J11165" s="8"/>
    </row>
    <row r="11166">
      <c r="C11166" s="15"/>
      <c r="E11166" s="8"/>
      <c r="G11166" s="8"/>
      <c r="J11166" s="8"/>
    </row>
    <row r="11167">
      <c r="C11167" s="15"/>
      <c r="E11167" s="8"/>
      <c r="G11167" s="8"/>
      <c r="J11167" s="8"/>
    </row>
    <row r="11168">
      <c r="C11168" s="15"/>
      <c r="E11168" s="8"/>
      <c r="G11168" s="8"/>
      <c r="J11168" s="8"/>
    </row>
    <row r="11169">
      <c r="C11169" s="15"/>
      <c r="E11169" s="8"/>
      <c r="G11169" s="8"/>
      <c r="J11169" s="8"/>
    </row>
    <row r="11170">
      <c r="C11170" s="15"/>
      <c r="E11170" s="8"/>
      <c r="G11170" s="8"/>
      <c r="J11170" s="8"/>
    </row>
    <row r="11171">
      <c r="C11171" s="15"/>
      <c r="E11171" s="8"/>
      <c r="G11171" s="8"/>
      <c r="J11171" s="8"/>
    </row>
    <row r="11172">
      <c r="C11172" s="15"/>
      <c r="E11172" s="8"/>
      <c r="G11172" s="8"/>
      <c r="J11172" s="8"/>
    </row>
    <row r="11173">
      <c r="C11173" s="15"/>
      <c r="E11173" s="8"/>
      <c r="G11173" s="8"/>
      <c r="J11173" s="8"/>
    </row>
    <row r="11174">
      <c r="C11174" s="15"/>
      <c r="E11174" s="8"/>
      <c r="G11174" s="8"/>
      <c r="J11174" s="8"/>
    </row>
    <row r="11175">
      <c r="C11175" s="15"/>
      <c r="E11175" s="8"/>
      <c r="G11175" s="8"/>
      <c r="J11175" s="8"/>
    </row>
    <row r="11176">
      <c r="C11176" s="15"/>
      <c r="E11176" s="8"/>
      <c r="G11176" s="8"/>
      <c r="J11176" s="8"/>
    </row>
    <row r="11177">
      <c r="C11177" s="15"/>
      <c r="E11177" s="8"/>
      <c r="G11177" s="8"/>
      <c r="J11177" s="8"/>
    </row>
    <row r="11178">
      <c r="C11178" s="15"/>
      <c r="E11178" s="8"/>
      <c r="G11178" s="8"/>
      <c r="J11178" s="8"/>
    </row>
    <row r="11179">
      <c r="C11179" s="15"/>
      <c r="E11179" s="8"/>
      <c r="G11179" s="8"/>
      <c r="J11179" s="8"/>
    </row>
    <row r="11180">
      <c r="C11180" s="15"/>
      <c r="E11180" s="8"/>
      <c r="G11180" s="8"/>
      <c r="J11180" s="8"/>
    </row>
    <row r="11181">
      <c r="C11181" s="15"/>
      <c r="E11181" s="8"/>
      <c r="G11181" s="8"/>
      <c r="J11181" s="8"/>
    </row>
    <row r="11182">
      <c r="C11182" s="15"/>
      <c r="E11182" s="8"/>
      <c r="G11182" s="8"/>
      <c r="J11182" s="8"/>
    </row>
    <row r="11183">
      <c r="C11183" s="15"/>
      <c r="E11183" s="8"/>
      <c r="G11183" s="8"/>
      <c r="J11183" s="8"/>
    </row>
    <row r="11184">
      <c r="C11184" s="15"/>
      <c r="E11184" s="8"/>
      <c r="G11184" s="8"/>
      <c r="J11184" s="8"/>
    </row>
    <row r="11185">
      <c r="C11185" s="15"/>
      <c r="E11185" s="8"/>
      <c r="G11185" s="8"/>
      <c r="J11185" s="8"/>
    </row>
    <row r="11186">
      <c r="C11186" s="15"/>
      <c r="E11186" s="8"/>
      <c r="G11186" s="8"/>
      <c r="J11186" s="8"/>
    </row>
    <row r="11187">
      <c r="C11187" s="15"/>
      <c r="E11187" s="8"/>
      <c r="G11187" s="8"/>
      <c r="J11187" s="8"/>
    </row>
    <row r="11188">
      <c r="C11188" s="15"/>
      <c r="E11188" s="8"/>
      <c r="G11188" s="8"/>
      <c r="J11188" s="8"/>
    </row>
    <row r="11189">
      <c r="C11189" s="15"/>
      <c r="E11189" s="8"/>
      <c r="G11189" s="8"/>
      <c r="J11189" s="8"/>
    </row>
    <row r="11190">
      <c r="C11190" s="15"/>
      <c r="E11190" s="8"/>
      <c r="G11190" s="8"/>
      <c r="J11190" s="8"/>
    </row>
    <row r="11191">
      <c r="C11191" s="15"/>
      <c r="E11191" s="8"/>
      <c r="G11191" s="8"/>
      <c r="J11191" s="8"/>
    </row>
    <row r="11192">
      <c r="C11192" s="15"/>
      <c r="E11192" s="8"/>
      <c r="G11192" s="8"/>
      <c r="J11192" s="8"/>
    </row>
    <row r="11193">
      <c r="C11193" s="15"/>
      <c r="E11193" s="8"/>
      <c r="G11193" s="8"/>
      <c r="J11193" s="8"/>
    </row>
    <row r="11194">
      <c r="C11194" s="15"/>
      <c r="E11194" s="8"/>
      <c r="G11194" s="8"/>
      <c r="J11194" s="8"/>
    </row>
    <row r="11195">
      <c r="C11195" s="15"/>
      <c r="E11195" s="8"/>
      <c r="G11195" s="8"/>
      <c r="J11195" s="8"/>
    </row>
    <row r="11196">
      <c r="C11196" s="15"/>
      <c r="E11196" s="8"/>
      <c r="G11196" s="8"/>
      <c r="J11196" s="8"/>
    </row>
    <row r="11197">
      <c r="C11197" s="15"/>
      <c r="E11197" s="8"/>
      <c r="G11197" s="8"/>
      <c r="J11197" s="8"/>
    </row>
    <row r="11198">
      <c r="C11198" s="15"/>
      <c r="E11198" s="8"/>
      <c r="G11198" s="8"/>
      <c r="J11198" s="8"/>
    </row>
    <row r="11199">
      <c r="C11199" s="15"/>
      <c r="E11199" s="8"/>
      <c r="G11199" s="8"/>
      <c r="J11199" s="8"/>
    </row>
    <row r="11200">
      <c r="C11200" s="15"/>
      <c r="E11200" s="8"/>
      <c r="G11200" s="8"/>
      <c r="J11200" s="8"/>
    </row>
    <row r="11201">
      <c r="C11201" s="15"/>
      <c r="E11201" s="8"/>
      <c r="G11201" s="8"/>
      <c r="J11201" s="8"/>
    </row>
    <row r="11202">
      <c r="C11202" s="15"/>
      <c r="E11202" s="8"/>
      <c r="G11202" s="8"/>
      <c r="J11202" s="8"/>
    </row>
    <row r="11203">
      <c r="C11203" s="15"/>
      <c r="E11203" s="8"/>
      <c r="G11203" s="8"/>
      <c r="J11203" s="8"/>
    </row>
    <row r="11204">
      <c r="C11204" s="15"/>
      <c r="E11204" s="8"/>
      <c r="G11204" s="8"/>
      <c r="J11204" s="8"/>
    </row>
    <row r="11205">
      <c r="C11205" s="15"/>
      <c r="E11205" s="8"/>
      <c r="G11205" s="8"/>
      <c r="J11205" s="8"/>
    </row>
    <row r="11206">
      <c r="C11206" s="15"/>
      <c r="E11206" s="8"/>
      <c r="G11206" s="8"/>
      <c r="J11206" s="8"/>
    </row>
    <row r="11207">
      <c r="C11207" s="15"/>
      <c r="E11207" s="8"/>
      <c r="G11207" s="8"/>
      <c r="J11207" s="8"/>
    </row>
    <row r="11208">
      <c r="C11208" s="15"/>
      <c r="E11208" s="8"/>
      <c r="G11208" s="8"/>
      <c r="J11208" s="8"/>
    </row>
    <row r="11209">
      <c r="C11209" s="15"/>
      <c r="E11209" s="8"/>
      <c r="G11209" s="8"/>
      <c r="J11209" s="8"/>
    </row>
    <row r="11210">
      <c r="C11210" s="15"/>
      <c r="E11210" s="8"/>
      <c r="G11210" s="8"/>
      <c r="J11210" s="8"/>
    </row>
    <row r="11211">
      <c r="C11211" s="15"/>
      <c r="E11211" s="8"/>
      <c r="G11211" s="8"/>
      <c r="J11211" s="8"/>
    </row>
    <row r="11212">
      <c r="C11212" s="15"/>
      <c r="E11212" s="8"/>
      <c r="G11212" s="8"/>
      <c r="J11212" s="8"/>
    </row>
    <row r="11213">
      <c r="C11213" s="15"/>
      <c r="E11213" s="8"/>
      <c r="G11213" s="8"/>
      <c r="J11213" s="8"/>
    </row>
    <row r="11214">
      <c r="C11214" s="15"/>
      <c r="E11214" s="8"/>
      <c r="G11214" s="8"/>
      <c r="J11214" s="8"/>
    </row>
    <row r="11215">
      <c r="C11215" s="15"/>
      <c r="E11215" s="8"/>
      <c r="G11215" s="8"/>
      <c r="J11215" s="8"/>
    </row>
    <row r="11216">
      <c r="C11216" s="15"/>
      <c r="E11216" s="8"/>
      <c r="G11216" s="8"/>
      <c r="J11216" s="8"/>
    </row>
    <row r="11217">
      <c r="C11217" s="15"/>
      <c r="E11217" s="8"/>
      <c r="G11217" s="8"/>
      <c r="J11217" s="8"/>
    </row>
    <row r="11218">
      <c r="C11218" s="15"/>
      <c r="E11218" s="8"/>
      <c r="G11218" s="8"/>
      <c r="J11218" s="8"/>
    </row>
    <row r="11219">
      <c r="C11219" s="15"/>
      <c r="E11219" s="8"/>
      <c r="G11219" s="8"/>
      <c r="J11219" s="8"/>
    </row>
    <row r="11220">
      <c r="C11220" s="15"/>
      <c r="E11220" s="8"/>
      <c r="G11220" s="8"/>
      <c r="J11220" s="8"/>
    </row>
    <row r="11221">
      <c r="C11221" s="15"/>
      <c r="E11221" s="8"/>
      <c r="G11221" s="8"/>
      <c r="J11221" s="8"/>
    </row>
    <row r="11222">
      <c r="C11222" s="15"/>
      <c r="E11222" s="8"/>
      <c r="G11222" s="8"/>
      <c r="J11222" s="8"/>
    </row>
    <row r="11223">
      <c r="C11223" s="15"/>
      <c r="E11223" s="8"/>
      <c r="G11223" s="8"/>
      <c r="J11223" s="8"/>
    </row>
    <row r="11224">
      <c r="C11224" s="15"/>
      <c r="E11224" s="8"/>
      <c r="G11224" s="8"/>
      <c r="J11224" s="8"/>
    </row>
    <row r="11225">
      <c r="C11225" s="15"/>
      <c r="E11225" s="8"/>
      <c r="G11225" s="8"/>
      <c r="J11225" s="8"/>
    </row>
    <row r="11226">
      <c r="C11226" s="15"/>
      <c r="E11226" s="8"/>
      <c r="G11226" s="8"/>
      <c r="J11226" s="8"/>
    </row>
    <row r="11227">
      <c r="C11227" s="15"/>
      <c r="E11227" s="8"/>
      <c r="G11227" s="8"/>
      <c r="J11227" s="8"/>
    </row>
    <row r="11228">
      <c r="C11228" s="15"/>
      <c r="E11228" s="8"/>
      <c r="G11228" s="8"/>
      <c r="J11228" s="8"/>
    </row>
    <row r="11229">
      <c r="C11229" s="15"/>
      <c r="E11229" s="8"/>
      <c r="G11229" s="8"/>
      <c r="J11229" s="8"/>
    </row>
    <row r="11230">
      <c r="C11230" s="15"/>
      <c r="E11230" s="8"/>
      <c r="G11230" s="8"/>
      <c r="J11230" s="8"/>
    </row>
    <row r="11231">
      <c r="C11231" s="15"/>
      <c r="E11231" s="8"/>
      <c r="G11231" s="8"/>
      <c r="J11231" s="8"/>
    </row>
    <row r="11232">
      <c r="C11232" s="15"/>
      <c r="E11232" s="8"/>
      <c r="G11232" s="8"/>
      <c r="J11232" s="8"/>
    </row>
    <row r="11233">
      <c r="C11233" s="15"/>
      <c r="E11233" s="8"/>
      <c r="G11233" s="8"/>
      <c r="J11233" s="8"/>
    </row>
    <row r="11234">
      <c r="C11234" s="15"/>
      <c r="E11234" s="8"/>
      <c r="G11234" s="8"/>
      <c r="J11234" s="8"/>
    </row>
    <row r="11235">
      <c r="C11235" s="15"/>
      <c r="E11235" s="8"/>
      <c r="G11235" s="8"/>
      <c r="J11235" s="8"/>
    </row>
    <row r="11236">
      <c r="C11236" s="15"/>
      <c r="E11236" s="8"/>
      <c r="G11236" s="8"/>
      <c r="J11236" s="8"/>
    </row>
    <row r="11237">
      <c r="C11237" s="15"/>
      <c r="E11237" s="8"/>
      <c r="G11237" s="8"/>
      <c r="J11237" s="8"/>
    </row>
    <row r="11238">
      <c r="C11238" s="15"/>
      <c r="E11238" s="8"/>
      <c r="G11238" s="8"/>
      <c r="J11238" s="8"/>
    </row>
    <row r="11239">
      <c r="C11239" s="15"/>
      <c r="E11239" s="8"/>
      <c r="G11239" s="8"/>
      <c r="J11239" s="8"/>
    </row>
    <row r="11240">
      <c r="C11240" s="15"/>
      <c r="E11240" s="8"/>
      <c r="G11240" s="8"/>
      <c r="J11240" s="8"/>
    </row>
    <row r="11241">
      <c r="C11241" s="15"/>
      <c r="E11241" s="8"/>
      <c r="G11241" s="8"/>
      <c r="J11241" s="8"/>
    </row>
    <row r="11242">
      <c r="C11242" s="15"/>
      <c r="E11242" s="8"/>
      <c r="G11242" s="8"/>
      <c r="J11242" s="8"/>
    </row>
    <row r="11243">
      <c r="C11243" s="15"/>
      <c r="E11243" s="8"/>
      <c r="G11243" s="8"/>
      <c r="J11243" s="8"/>
    </row>
    <row r="11244">
      <c r="C11244" s="15"/>
      <c r="E11244" s="8"/>
      <c r="G11244" s="8"/>
      <c r="J11244" s="8"/>
    </row>
    <row r="11245">
      <c r="C11245" s="15"/>
      <c r="E11245" s="8"/>
      <c r="G11245" s="8"/>
      <c r="J11245" s="8"/>
    </row>
    <row r="11246">
      <c r="C11246" s="15"/>
      <c r="E11246" s="8"/>
      <c r="G11246" s="8"/>
      <c r="J11246" s="8"/>
    </row>
    <row r="11247">
      <c r="C11247" s="15"/>
      <c r="E11247" s="8"/>
      <c r="G11247" s="8"/>
      <c r="J11247" s="8"/>
    </row>
    <row r="11248">
      <c r="C11248" s="15"/>
      <c r="E11248" s="8"/>
      <c r="G11248" s="8"/>
      <c r="J11248" s="8"/>
    </row>
    <row r="11249">
      <c r="C11249" s="15"/>
      <c r="E11249" s="8"/>
      <c r="G11249" s="8"/>
      <c r="J11249" s="8"/>
    </row>
    <row r="11250">
      <c r="C11250" s="15"/>
      <c r="E11250" s="8"/>
      <c r="G11250" s="8"/>
      <c r="J11250" s="8"/>
    </row>
    <row r="11251">
      <c r="C11251" s="15"/>
      <c r="E11251" s="8"/>
      <c r="G11251" s="8"/>
      <c r="J11251" s="8"/>
    </row>
    <row r="11252">
      <c r="C11252" s="15"/>
      <c r="E11252" s="8"/>
      <c r="G11252" s="8"/>
      <c r="J11252" s="8"/>
    </row>
    <row r="11253">
      <c r="C11253" s="15"/>
      <c r="E11253" s="8"/>
      <c r="G11253" s="8"/>
      <c r="J11253" s="8"/>
    </row>
    <row r="11254">
      <c r="C11254" s="15"/>
      <c r="E11254" s="8"/>
      <c r="G11254" s="8"/>
      <c r="J11254" s="8"/>
    </row>
    <row r="11255">
      <c r="C11255" s="15"/>
      <c r="E11255" s="8"/>
      <c r="G11255" s="8"/>
      <c r="J11255" s="8"/>
    </row>
    <row r="11256">
      <c r="C11256" s="15"/>
      <c r="E11256" s="8"/>
      <c r="G11256" s="8"/>
      <c r="J11256" s="8"/>
    </row>
    <row r="11257">
      <c r="C11257" s="15"/>
      <c r="E11257" s="8"/>
      <c r="G11257" s="8"/>
      <c r="J11257" s="8"/>
    </row>
    <row r="11258">
      <c r="C11258" s="15"/>
      <c r="E11258" s="8"/>
      <c r="G11258" s="8"/>
      <c r="J11258" s="8"/>
    </row>
    <row r="11259">
      <c r="C11259" s="15"/>
      <c r="E11259" s="8"/>
      <c r="G11259" s="8"/>
      <c r="J11259" s="8"/>
    </row>
    <row r="11260">
      <c r="C11260" s="15"/>
      <c r="E11260" s="8"/>
      <c r="G11260" s="8"/>
      <c r="J11260" s="8"/>
    </row>
    <row r="11261">
      <c r="C11261" s="15"/>
      <c r="E11261" s="8"/>
      <c r="G11261" s="8"/>
      <c r="J11261" s="8"/>
    </row>
    <row r="11262">
      <c r="C11262" s="15"/>
      <c r="E11262" s="8"/>
      <c r="G11262" s="8"/>
      <c r="J11262" s="8"/>
    </row>
    <row r="11263">
      <c r="C11263" s="15"/>
      <c r="E11263" s="8"/>
      <c r="G11263" s="8"/>
      <c r="J11263" s="8"/>
    </row>
    <row r="11264">
      <c r="C11264" s="15"/>
      <c r="E11264" s="8"/>
      <c r="G11264" s="8"/>
      <c r="J11264" s="8"/>
    </row>
    <row r="11265">
      <c r="C11265" s="15"/>
      <c r="E11265" s="8"/>
      <c r="G11265" s="8"/>
      <c r="J11265" s="8"/>
    </row>
    <row r="11266">
      <c r="C11266" s="15"/>
      <c r="E11266" s="8"/>
      <c r="G11266" s="8"/>
      <c r="J11266" s="8"/>
    </row>
    <row r="11267">
      <c r="C11267" s="15"/>
      <c r="E11267" s="8"/>
      <c r="G11267" s="8"/>
      <c r="J11267" s="8"/>
    </row>
    <row r="11268">
      <c r="C11268" s="15"/>
      <c r="E11268" s="8"/>
      <c r="G11268" s="8"/>
      <c r="J11268" s="8"/>
    </row>
    <row r="11269">
      <c r="C11269" s="15"/>
      <c r="E11269" s="8"/>
      <c r="G11269" s="8"/>
      <c r="J11269" s="8"/>
    </row>
    <row r="11270">
      <c r="C11270" s="15"/>
      <c r="E11270" s="8"/>
      <c r="G11270" s="8"/>
      <c r="J11270" s="8"/>
    </row>
    <row r="11271">
      <c r="C11271" s="15"/>
      <c r="E11271" s="8"/>
      <c r="G11271" s="8"/>
      <c r="J11271" s="8"/>
    </row>
    <row r="11272">
      <c r="C11272" s="15"/>
      <c r="E11272" s="8"/>
      <c r="G11272" s="8"/>
      <c r="J11272" s="8"/>
    </row>
    <row r="11273">
      <c r="C11273" s="15"/>
      <c r="E11273" s="8"/>
      <c r="G11273" s="8"/>
      <c r="J11273" s="8"/>
    </row>
    <row r="11274">
      <c r="C11274" s="15"/>
      <c r="E11274" s="8"/>
      <c r="G11274" s="8"/>
      <c r="J11274" s="8"/>
    </row>
    <row r="11275">
      <c r="C11275" s="15"/>
      <c r="E11275" s="8"/>
      <c r="G11275" s="8"/>
      <c r="J11275" s="8"/>
    </row>
    <row r="11276">
      <c r="C11276" s="15"/>
      <c r="E11276" s="8"/>
      <c r="G11276" s="8"/>
      <c r="J11276" s="8"/>
    </row>
    <row r="11277">
      <c r="C11277" s="15"/>
      <c r="E11277" s="8"/>
      <c r="G11277" s="8"/>
      <c r="J11277" s="8"/>
    </row>
    <row r="11278">
      <c r="C11278" s="15"/>
      <c r="E11278" s="8"/>
      <c r="G11278" s="8"/>
      <c r="J11278" s="8"/>
    </row>
    <row r="11279">
      <c r="C11279" s="15"/>
      <c r="E11279" s="8"/>
      <c r="G11279" s="8"/>
      <c r="J11279" s="8"/>
    </row>
    <row r="11280">
      <c r="C11280" s="15"/>
      <c r="E11280" s="8"/>
      <c r="G11280" s="8"/>
      <c r="J11280" s="8"/>
    </row>
    <row r="11281">
      <c r="C11281" s="15"/>
      <c r="E11281" s="8"/>
      <c r="G11281" s="8"/>
      <c r="J11281" s="8"/>
    </row>
    <row r="11282">
      <c r="C11282" s="15"/>
      <c r="E11282" s="8"/>
      <c r="G11282" s="8"/>
      <c r="J11282" s="8"/>
    </row>
    <row r="11283">
      <c r="C11283" s="15"/>
      <c r="E11283" s="8"/>
      <c r="G11283" s="8"/>
      <c r="J11283" s="8"/>
    </row>
    <row r="11284">
      <c r="C11284" s="15"/>
      <c r="E11284" s="8"/>
      <c r="G11284" s="8"/>
      <c r="J11284" s="8"/>
    </row>
    <row r="11285">
      <c r="C11285" s="15"/>
      <c r="E11285" s="8"/>
      <c r="G11285" s="8"/>
      <c r="J11285" s="8"/>
    </row>
    <row r="11286">
      <c r="C11286" s="15"/>
      <c r="E11286" s="8"/>
      <c r="G11286" s="8"/>
      <c r="J11286" s="8"/>
    </row>
    <row r="11287">
      <c r="C11287" s="15"/>
      <c r="E11287" s="8"/>
      <c r="G11287" s="8"/>
      <c r="J11287" s="8"/>
    </row>
    <row r="11288">
      <c r="C11288" s="15"/>
      <c r="E11288" s="8"/>
      <c r="G11288" s="8"/>
      <c r="J11288" s="8"/>
    </row>
    <row r="11289">
      <c r="C11289" s="15"/>
      <c r="E11289" s="8"/>
      <c r="G11289" s="8"/>
      <c r="J11289" s="8"/>
    </row>
    <row r="11290">
      <c r="C11290" s="15"/>
      <c r="E11290" s="8"/>
      <c r="G11290" s="8"/>
      <c r="J11290" s="8"/>
    </row>
    <row r="11291">
      <c r="C11291" s="15"/>
      <c r="E11291" s="8"/>
      <c r="G11291" s="8"/>
      <c r="J11291" s="8"/>
    </row>
    <row r="11292">
      <c r="C11292" s="15"/>
      <c r="E11292" s="8"/>
      <c r="G11292" s="8"/>
      <c r="J11292" s="8"/>
    </row>
    <row r="11293">
      <c r="C11293" s="15"/>
      <c r="E11293" s="8"/>
      <c r="G11293" s="8"/>
      <c r="J11293" s="8"/>
    </row>
    <row r="11294">
      <c r="C11294" s="15"/>
      <c r="E11294" s="8"/>
      <c r="G11294" s="8"/>
      <c r="J11294" s="8"/>
    </row>
    <row r="11295">
      <c r="C11295" s="15"/>
      <c r="E11295" s="8"/>
      <c r="G11295" s="8"/>
      <c r="J11295" s="8"/>
    </row>
    <row r="11296">
      <c r="C11296" s="15"/>
      <c r="E11296" s="8"/>
      <c r="G11296" s="8"/>
      <c r="J11296" s="8"/>
    </row>
    <row r="11297">
      <c r="C11297" s="15"/>
      <c r="E11297" s="8"/>
      <c r="G11297" s="8"/>
      <c r="J11297" s="8"/>
    </row>
    <row r="11298">
      <c r="C11298" s="15"/>
      <c r="E11298" s="8"/>
      <c r="G11298" s="8"/>
      <c r="J11298" s="8"/>
    </row>
    <row r="11299">
      <c r="C11299" s="15"/>
      <c r="E11299" s="8"/>
      <c r="G11299" s="8"/>
      <c r="J11299" s="8"/>
    </row>
    <row r="11300">
      <c r="C11300" s="15"/>
      <c r="E11300" s="8"/>
      <c r="G11300" s="8"/>
      <c r="J11300" s="8"/>
    </row>
    <row r="11301">
      <c r="C11301" s="15"/>
      <c r="E11301" s="8"/>
      <c r="G11301" s="8"/>
      <c r="J11301" s="8"/>
    </row>
    <row r="11302">
      <c r="C11302" s="15"/>
      <c r="E11302" s="8"/>
      <c r="G11302" s="8"/>
      <c r="J11302" s="8"/>
    </row>
    <row r="11303">
      <c r="C11303" s="15"/>
      <c r="E11303" s="8"/>
      <c r="G11303" s="8"/>
      <c r="J11303" s="8"/>
    </row>
    <row r="11304">
      <c r="C11304" s="15"/>
      <c r="E11304" s="8"/>
      <c r="G11304" s="8"/>
      <c r="J11304" s="8"/>
    </row>
    <row r="11305">
      <c r="C11305" s="15"/>
      <c r="E11305" s="8"/>
      <c r="G11305" s="8"/>
      <c r="J11305" s="8"/>
    </row>
    <row r="11306">
      <c r="C11306" s="15"/>
      <c r="E11306" s="8"/>
      <c r="G11306" s="8"/>
      <c r="J11306" s="8"/>
    </row>
    <row r="11307">
      <c r="C11307" s="15"/>
      <c r="E11307" s="8"/>
      <c r="G11307" s="8"/>
      <c r="J11307" s="8"/>
    </row>
    <row r="11308">
      <c r="C11308" s="15"/>
      <c r="E11308" s="8"/>
      <c r="G11308" s="8"/>
      <c r="J11308" s="8"/>
    </row>
    <row r="11309">
      <c r="C11309" s="15"/>
      <c r="E11309" s="8"/>
      <c r="G11309" s="8"/>
      <c r="J11309" s="8"/>
    </row>
    <row r="11310">
      <c r="C11310" s="15"/>
      <c r="E11310" s="8"/>
      <c r="G11310" s="8"/>
      <c r="J11310" s="8"/>
    </row>
    <row r="11311">
      <c r="C11311" s="15"/>
      <c r="E11311" s="8"/>
      <c r="G11311" s="8"/>
      <c r="J11311" s="8"/>
    </row>
    <row r="11312">
      <c r="C11312" s="15"/>
      <c r="E11312" s="8"/>
      <c r="G11312" s="8"/>
      <c r="J11312" s="8"/>
    </row>
    <row r="11313">
      <c r="C11313" s="15"/>
      <c r="E11313" s="8"/>
      <c r="G11313" s="8"/>
      <c r="J11313" s="8"/>
    </row>
    <row r="11314">
      <c r="C11314" s="15"/>
      <c r="E11314" s="8"/>
      <c r="G11314" s="8"/>
      <c r="J11314" s="8"/>
    </row>
    <row r="11315">
      <c r="C11315" s="15"/>
      <c r="E11315" s="8"/>
      <c r="G11315" s="8"/>
      <c r="J11315" s="8"/>
    </row>
    <row r="11316">
      <c r="C11316" s="15"/>
      <c r="E11316" s="8"/>
      <c r="G11316" s="8"/>
      <c r="J11316" s="8"/>
    </row>
    <row r="11317">
      <c r="C11317" s="15"/>
      <c r="E11317" s="8"/>
      <c r="G11317" s="8"/>
      <c r="J11317" s="8"/>
    </row>
    <row r="11318">
      <c r="C11318" s="15"/>
      <c r="E11318" s="8"/>
      <c r="G11318" s="8"/>
      <c r="J11318" s="8"/>
    </row>
    <row r="11319">
      <c r="C11319" s="15"/>
      <c r="E11319" s="8"/>
      <c r="G11319" s="8"/>
      <c r="J11319" s="8"/>
    </row>
    <row r="11320">
      <c r="C11320" s="15"/>
      <c r="E11320" s="8"/>
      <c r="G11320" s="8"/>
      <c r="J11320" s="8"/>
    </row>
    <row r="11321">
      <c r="C11321" s="15"/>
      <c r="E11321" s="8"/>
      <c r="G11321" s="8"/>
      <c r="J11321" s="8"/>
    </row>
    <row r="11322">
      <c r="C11322" s="15"/>
      <c r="E11322" s="8"/>
      <c r="G11322" s="8"/>
      <c r="J11322" s="8"/>
    </row>
    <row r="11323">
      <c r="C11323" s="15"/>
      <c r="E11323" s="8"/>
      <c r="G11323" s="8"/>
      <c r="J11323" s="8"/>
    </row>
    <row r="11324">
      <c r="C11324" s="15"/>
      <c r="E11324" s="8"/>
      <c r="G11324" s="8"/>
      <c r="J11324" s="8"/>
    </row>
    <row r="11325">
      <c r="C11325" s="15"/>
      <c r="E11325" s="8"/>
      <c r="G11325" s="8"/>
      <c r="J11325" s="8"/>
    </row>
    <row r="11326">
      <c r="C11326" s="15"/>
      <c r="E11326" s="8"/>
      <c r="G11326" s="8"/>
      <c r="J11326" s="8"/>
    </row>
    <row r="11327">
      <c r="C11327" s="15"/>
      <c r="E11327" s="8"/>
      <c r="G11327" s="8"/>
      <c r="J11327" s="8"/>
    </row>
    <row r="11328">
      <c r="C11328" s="15"/>
      <c r="E11328" s="8"/>
      <c r="G11328" s="8"/>
      <c r="J11328" s="8"/>
    </row>
    <row r="11329">
      <c r="C11329" s="15"/>
      <c r="E11329" s="8"/>
      <c r="G11329" s="8"/>
      <c r="J11329" s="8"/>
    </row>
    <row r="11330">
      <c r="C11330" s="15"/>
      <c r="E11330" s="8"/>
      <c r="G11330" s="8"/>
      <c r="J11330" s="8"/>
    </row>
    <row r="11331">
      <c r="C11331" s="15"/>
      <c r="E11331" s="8"/>
      <c r="G11331" s="8"/>
      <c r="J11331" s="8"/>
    </row>
    <row r="11332">
      <c r="C11332" s="15"/>
      <c r="E11332" s="8"/>
      <c r="G11332" s="8"/>
      <c r="J11332" s="8"/>
    </row>
    <row r="11333">
      <c r="C11333" s="15"/>
      <c r="E11333" s="8"/>
      <c r="G11333" s="8"/>
      <c r="J11333" s="8"/>
    </row>
    <row r="11334">
      <c r="C11334" s="15"/>
      <c r="E11334" s="8"/>
      <c r="G11334" s="8"/>
      <c r="J11334" s="8"/>
    </row>
    <row r="11335">
      <c r="C11335" s="15"/>
      <c r="E11335" s="8"/>
      <c r="G11335" s="8"/>
      <c r="J11335" s="8"/>
    </row>
    <row r="11336">
      <c r="C11336" s="15"/>
      <c r="E11336" s="8"/>
      <c r="G11336" s="8"/>
      <c r="J11336" s="8"/>
    </row>
    <row r="11337">
      <c r="C11337" s="15"/>
      <c r="E11337" s="8"/>
      <c r="G11337" s="8"/>
      <c r="J11337" s="8"/>
    </row>
    <row r="11338">
      <c r="C11338" s="15"/>
      <c r="E11338" s="8"/>
      <c r="G11338" s="8"/>
      <c r="J11338" s="8"/>
    </row>
    <row r="11339">
      <c r="C11339" s="15"/>
      <c r="E11339" s="8"/>
      <c r="G11339" s="8"/>
      <c r="J11339" s="8"/>
    </row>
    <row r="11340">
      <c r="C11340" s="15"/>
      <c r="E11340" s="8"/>
      <c r="G11340" s="8"/>
      <c r="J11340" s="8"/>
    </row>
    <row r="11341">
      <c r="C11341" s="15"/>
      <c r="E11341" s="8"/>
      <c r="G11341" s="8"/>
      <c r="J11341" s="8"/>
    </row>
    <row r="11342">
      <c r="C11342" s="15"/>
      <c r="E11342" s="8"/>
      <c r="G11342" s="8"/>
      <c r="J11342" s="8"/>
    </row>
    <row r="11343">
      <c r="C11343" s="15"/>
      <c r="E11343" s="8"/>
      <c r="G11343" s="8"/>
      <c r="J11343" s="8"/>
    </row>
    <row r="11344">
      <c r="C11344" s="15"/>
      <c r="E11344" s="8"/>
      <c r="G11344" s="8"/>
      <c r="J11344" s="8"/>
    </row>
    <row r="11345">
      <c r="C11345" s="15"/>
      <c r="E11345" s="8"/>
      <c r="G11345" s="8"/>
      <c r="J11345" s="8"/>
    </row>
    <row r="11346">
      <c r="C11346" s="15"/>
      <c r="E11346" s="8"/>
      <c r="G11346" s="8"/>
      <c r="J11346" s="8"/>
    </row>
    <row r="11347">
      <c r="C11347" s="15"/>
      <c r="E11347" s="8"/>
      <c r="G11347" s="8"/>
      <c r="J11347" s="8"/>
    </row>
    <row r="11348">
      <c r="C11348" s="15"/>
      <c r="E11348" s="8"/>
      <c r="G11348" s="8"/>
      <c r="J11348" s="8"/>
    </row>
    <row r="11349">
      <c r="C11349" s="15"/>
      <c r="E11349" s="8"/>
      <c r="G11349" s="8"/>
      <c r="J11349" s="8"/>
    </row>
    <row r="11350">
      <c r="C11350" s="15"/>
      <c r="E11350" s="8"/>
      <c r="G11350" s="8"/>
      <c r="J11350" s="8"/>
    </row>
    <row r="11351">
      <c r="C11351" s="15"/>
      <c r="E11351" s="8"/>
      <c r="G11351" s="8"/>
      <c r="J11351" s="8"/>
    </row>
    <row r="11352">
      <c r="C11352" s="15"/>
      <c r="E11352" s="8"/>
      <c r="G11352" s="8"/>
      <c r="J11352" s="8"/>
    </row>
    <row r="11353">
      <c r="C11353" s="15"/>
      <c r="E11353" s="8"/>
      <c r="G11353" s="8"/>
      <c r="J11353" s="8"/>
    </row>
    <row r="11354">
      <c r="C11354" s="15"/>
      <c r="E11354" s="8"/>
      <c r="G11354" s="8"/>
      <c r="J11354" s="8"/>
    </row>
    <row r="11355">
      <c r="C11355" s="15"/>
      <c r="E11355" s="8"/>
      <c r="G11355" s="8"/>
      <c r="J11355" s="8"/>
    </row>
    <row r="11356">
      <c r="C11356" s="15"/>
      <c r="E11356" s="8"/>
      <c r="G11356" s="8"/>
      <c r="J11356" s="8"/>
    </row>
    <row r="11357">
      <c r="C11357" s="15"/>
      <c r="E11357" s="8"/>
      <c r="G11357" s="8"/>
      <c r="J11357" s="8"/>
    </row>
    <row r="11358">
      <c r="C11358" s="15"/>
      <c r="E11358" s="8"/>
      <c r="G11358" s="8"/>
      <c r="J11358" s="8"/>
    </row>
    <row r="11359">
      <c r="C11359" s="15"/>
      <c r="E11359" s="8"/>
      <c r="G11359" s="8"/>
      <c r="J11359" s="8"/>
    </row>
    <row r="11360">
      <c r="C11360" s="15"/>
      <c r="E11360" s="8"/>
      <c r="G11360" s="8"/>
      <c r="J11360" s="8"/>
    </row>
    <row r="11361">
      <c r="C11361" s="15"/>
      <c r="E11361" s="8"/>
      <c r="G11361" s="8"/>
      <c r="J11361" s="8"/>
    </row>
    <row r="11362">
      <c r="C11362" s="15"/>
      <c r="E11362" s="8"/>
      <c r="G11362" s="8"/>
      <c r="J11362" s="8"/>
    </row>
    <row r="11363">
      <c r="C11363" s="15"/>
      <c r="E11363" s="8"/>
      <c r="G11363" s="8"/>
      <c r="J11363" s="8"/>
    </row>
    <row r="11364">
      <c r="C11364" s="15"/>
      <c r="E11364" s="8"/>
      <c r="G11364" s="8"/>
      <c r="J11364" s="8"/>
    </row>
    <row r="11365">
      <c r="C11365" s="15"/>
      <c r="E11365" s="8"/>
      <c r="G11365" s="8"/>
      <c r="J11365" s="8"/>
    </row>
    <row r="11366">
      <c r="C11366" s="15"/>
      <c r="E11366" s="8"/>
      <c r="G11366" s="8"/>
      <c r="J11366" s="8"/>
    </row>
    <row r="11367">
      <c r="C11367" s="15"/>
      <c r="E11367" s="8"/>
      <c r="G11367" s="8"/>
      <c r="J11367" s="8"/>
    </row>
    <row r="11368">
      <c r="C11368" s="15"/>
      <c r="E11368" s="8"/>
      <c r="G11368" s="8"/>
      <c r="J11368" s="8"/>
    </row>
    <row r="11369">
      <c r="C11369" s="15"/>
      <c r="E11369" s="8"/>
      <c r="G11369" s="8"/>
      <c r="J11369" s="8"/>
    </row>
    <row r="11370">
      <c r="C11370" s="15"/>
      <c r="E11370" s="8"/>
      <c r="G11370" s="8"/>
      <c r="J11370" s="8"/>
    </row>
    <row r="11371">
      <c r="C11371" s="15"/>
      <c r="E11371" s="8"/>
      <c r="G11371" s="8"/>
      <c r="J11371" s="8"/>
    </row>
    <row r="11372">
      <c r="C11372" s="15"/>
      <c r="E11372" s="8"/>
      <c r="G11372" s="8"/>
      <c r="J11372" s="8"/>
    </row>
    <row r="11373">
      <c r="C11373" s="15"/>
      <c r="E11373" s="8"/>
      <c r="G11373" s="8"/>
      <c r="J11373" s="8"/>
    </row>
    <row r="11374">
      <c r="C11374" s="15"/>
      <c r="E11374" s="8"/>
      <c r="G11374" s="8"/>
      <c r="J11374" s="8"/>
    </row>
    <row r="11375">
      <c r="C11375" s="15"/>
      <c r="E11375" s="8"/>
      <c r="G11375" s="8"/>
      <c r="J11375" s="8"/>
    </row>
    <row r="11376">
      <c r="C11376" s="15"/>
      <c r="E11376" s="8"/>
      <c r="G11376" s="8"/>
      <c r="J11376" s="8"/>
    </row>
    <row r="11377">
      <c r="C11377" s="15"/>
      <c r="E11377" s="8"/>
      <c r="G11377" s="8"/>
      <c r="J11377" s="8"/>
    </row>
    <row r="11378">
      <c r="C11378" s="15"/>
      <c r="E11378" s="8"/>
      <c r="G11378" s="8"/>
      <c r="J11378" s="8"/>
    </row>
    <row r="11379">
      <c r="C11379" s="15"/>
      <c r="E11379" s="8"/>
      <c r="G11379" s="8"/>
      <c r="J11379" s="8"/>
    </row>
    <row r="11380">
      <c r="C11380" s="15"/>
      <c r="E11380" s="8"/>
      <c r="G11380" s="8"/>
      <c r="J11380" s="8"/>
    </row>
    <row r="11381">
      <c r="C11381" s="15"/>
      <c r="E11381" s="8"/>
      <c r="G11381" s="8"/>
      <c r="J11381" s="8"/>
    </row>
    <row r="11382">
      <c r="C11382" s="15"/>
      <c r="E11382" s="8"/>
      <c r="G11382" s="8"/>
      <c r="J11382" s="8"/>
    </row>
    <row r="11383">
      <c r="C11383" s="15"/>
      <c r="E11383" s="8"/>
      <c r="G11383" s="8"/>
      <c r="J11383" s="8"/>
    </row>
    <row r="11384">
      <c r="C11384" s="15"/>
      <c r="E11384" s="8"/>
      <c r="G11384" s="8"/>
      <c r="J11384" s="8"/>
    </row>
    <row r="11385">
      <c r="C11385" s="15"/>
      <c r="E11385" s="8"/>
      <c r="G11385" s="8"/>
      <c r="J11385" s="8"/>
    </row>
    <row r="11386">
      <c r="C11386" s="15"/>
      <c r="E11386" s="8"/>
      <c r="G11386" s="8"/>
      <c r="J11386" s="8"/>
    </row>
    <row r="11387">
      <c r="C11387" s="15"/>
      <c r="E11387" s="8"/>
      <c r="G11387" s="8"/>
      <c r="J11387" s="8"/>
    </row>
    <row r="11388">
      <c r="C11388" s="15"/>
      <c r="E11388" s="8"/>
      <c r="G11388" s="8"/>
      <c r="J11388" s="8"/>
    </row>
    <row r="11389">
      <c r="C11389" s="15"/>
      <c r="E11389" s="8"/>
      <c r="G11389" s="8"/>
      <c r="J11389" s="8"/>
    </row>
    <row r="11390">
      <c r="C11390" s="15"/>
      <c r="E11390" s="8"/>
      <c r="G11390" s="8"/>
      <c r="J11390" s="8"/>
    </row>
    <row r="11391">
      <c r="C11391" s="15"/>
      <c r="E11391" s="8"/>
      <c r="G11391" s="8"/>
      <c r="J11391" s="8"/>
    </row>
    <row r="11392">
      <c r="C11392" s="15"/>
      <c r="E11392" s="8"/>
      <c r="G11392" s="8"/>
      <c r="J11392" s="8"/>
    </row>
    <row r="11393">
      <c r="C11393" s="15"/>
      <c r="E11393" s="8"/>
      <c r="G11393" s="8"/>
      <c r="J11393" s="8"/>
    </row>
    <row r="11394">
      <c r="C11394" s="15"/>
      <c r="E11394" s="8"/>
      <c r="G11394" s="8"/>
      <c r="J11394" s="8"/>
    </row>
    <row r="11395">
      <c r="C11395" s="15"/>
      <c r="E11395" s="8"/>
      <c r="G11395" s="8"/>
      <c r="J11395" s="8"/>
    </row>
    <row r="11396">
      <c r="C11396" s="15"/>
      <c r="E11396" s="8"/>
      <c r="G11396" s="8"/>
      <c r="J11396" s="8"/>
    </row>
    <row r="11397">
      <c r="C11397" s="15"/>
      <c r="E11397" s="8"/>
      <c r="G11397" s="8"/>
      <c r="J11397" s="8"/>
    </row>
    <row r="11398">
      <c r="C11398" s="15"/>
      <c r="E11398" s="8"/>
      <c r="G11398" s="8"/>
      <c r="J11398" s="8"/>
    </row>
    <row r="11399">
      <c r="C11399" s="15"/>
      <c r="E11399" s="8"/>
      <c r="G11399" s="8"/>
      <c r="J11399" s="8"/>
    </row>
    <row r="11400">
      <c r="C11400" s="15"/>
      <c r="E11400" s="8"/>
      <c r="G11400" s="8"/>
      <c r="J11400" s="8"/>
    </row>
    <row r="11401">
      <c r="C11401" s="15"/>
      <c r="E11401" s="8"/>
      <c r="G11401" s="8"/>
      <c r="J11401" s="8"/>
    </row>
    <row r="11402">
      <c r="C11402" s="15"/>
      <c r="E11402" s="8"/>
      <c r="G11402" s="8"/>
      <c r="J11402" s="8"/>
    </row>
    <row r="11403">
      <c r="C11403" s="15"/>
      <c r="E11403" s="8"/>
      <c r="G11403" s="8"/>
      <c r="J11403" s="8"/>
    </row>
    <row r="11404">
      <c r="C11404" s="15"/>
      <c r="E11404" s="8"/>
      <c r="G11404" s="8"/>
      <c r="J11404" s="8"/>
    </row>
    <row r="11405">
      <c r="C11405" s="15"/>
      <c r="E11405" s="8"/>
      <c r="G11405" s="8"/>
      <c r="J11405" s="8"/>
    </row>
    <row r="11406">
      <c r="C11406" s="15"/>
      <c r="E11406" s="8"/>
      <c r="G11406" s="8"/>
      <c r="J11406" s="8"/>
    </row>
    <row r="11407">
      <c r="C11407" s="15"/>
      <c r="E11407" s="8"/>
      <c r="G11407" s="8"/>
      <c r="J11407" s="8"/>
    </row>
    <row r="11408">
      <c r="C11408" s="15"/>
      <c r="E11408" s="8"/>
      <c r="G11408" s="8"/>
      <c r="J11408" s="8"/>
    </row>
    <row r="11409">
      <c r="C11409" s="15"/>
      <c r="E11409" s="8"/>
      <c r="G11409" s="8"/>
      <c r="J11409" s="8"/>
    </row>
    <row r="11410">
      <c r="C11410" s="15"/>
      <c r="E11410" s="8"/>
      <c r="G11410" s="8"/>
      <c r="J11410" s="8"/>
    </row>
    <row r="11411">
      <c r="C11411" s="15"/>
      <c r="E11411" s="8"/>
      <c r="G11411" s="8"/>
      <c r="J11411" s="8"/>
    </row>
    <row r="11412">
      <c r="C11412" s="15"/>
      <c r="E11412" s="8"/>
      <c r="G11412" s="8"/>
      <c r="J11412" s="8"/>
    </row>
    <row r="11413">
      <c r="C11413" s="15"/>
      <c r="E11413" s="8"/>
      <c r="G11413" s="8"/>
      <c r="J11413" s="8"/>
    </row>
    <row r="11414">
      <c r="C11414" s="15"/>
      <c r="E11414" s="8"/>
      <c r="G11414" s="8"/>
      <c r="J11414" s="8"/>
    </row>
    <row r="11415">
      <c r="C11415" s="15"/>
      <c r="E11415" s="8"/>
      <c r="G11415" s="8"/>
      <c r="J11415" s="8"/>
    </row>
    <row r="11416">
      <c r="C11416" s="15"/>
      <c r="E11416" s="8"/>
      <c r="G11416" s="8"/>
      <c r="J11416" s="8"/>
    </row>
    <row r="11417">
      <c r="C11417" s="15"/>
      <c r="E11417" s="8"/>
      <c r="G11417" s="8"/>
      <c r="J11417" s="8"/>
    </row>
    <row r="11418">
      <c r="C11418" s="15"/>
      <c r="E11418" s="8"/>
      <c r="G11418" s="8"/>
      <c r="J11418" s="8"/>
    </row>
    <row r="11419">
      <c r="C11419" s="15"/>
      <c r="E11419" s="8"/>
      <c r="G11419" s="8"/>
      <c r="J11419" s="8"/>
    </row>
    <row r="11420">
      <c r="C11420" s="15"/>
      <c r="E11420" s="8"/>
      <c r="G11420" s="8"/>
      <c r="J11420" s="8"/>
    </row>
    <row r="11421">
      <c r="C11421" s="15"/>
      <c r="E11421" s="8"/>
      <c r="G11421" s="8"/>
      <c r="J11421" s="8"/>
    </row>
    <row r="11422">
      <c r="C11422" s="15"/>
      <c r="E11422" s="8"/>
      <c r="G11422" s="8"/>
      <c r="J11422" s="8"/>
    </row>
    <row r="11423">
      <c r="C11423" s="15"/>
      <c r="E11423" s="8"/>
      <c r="G11423" s="8"/>
      <c r="J11423" s="8"/>
    </row>
    <row r="11424">
      <c r="C11424" s="15"/>
      <c r="E11424" s="8"/>
      <c r="G11424" s="8"/>
      <c r="J11424" s="8"/>
    </row>
    <row r="11425">
      <c r="C11425" s="15"/>
      <c r="E11425" s="8"/>
      <c r="G11425" s="8"/>
      <c r="J11425" s="8"/>
    </row>
    <row r="11426">
      <c r="C11426" s="15"/>
      <c r="E11426" s="8"/>
      <c r="G11426" s="8"/>
      <c r="J11426" s="8"/>
    </row>
    <row r="11427">
      <c r="C11427" s="15"/>
      <c r="E11427" s="8"/>
      <c r="G11427" s="8"/>
      <c r="J11427" s="8"/>
    </row>
    <row r="11428">
      <c r="C11428" s="15"/>
      <c r="E11428" s="8"/>
      <c r="G11428" s="8"/>
      <c r="J11428" s="8"/>
    </row>
    <row r="11429">
      <c r="C11429" s="15"/>
      <c r="E11429" s="8"/>
      <c r="G11429" s="8"/>
      <c r="J11429" s="8"/>
    </row>
    <row r="11430">
      <c r="C11430" s="15"/>
      <c r="E11430" s="8"/>
      <c r="G11430" s="8"/>
      <c r="J11430" s="8"/>
    </row>
    <row r="11431">
      <c r="C11431" s="15"/>
      <c r="E11431" s="8"/>
      <c r="G11431" s="8"/>
      <c r="J11431" s="8"/>
    </row>
    <row r="11432">
      <c r="C11432" s="15"/>
      <c r="E11432" s="8"/>
      <c r="G11432" s="8"/>
      <c r="J11432" s="8"/>
    </row>
    <row r="11433">
      <c r="C11433" s="15"/>
      <c r="E11433" s="8"/>
      <c r="G11433" s="8"/>
      <c r="J11433" s="8"/>
    </row>
    <row r="11434">
      <c r="C11434" s="15"/>
      <c r="E11434" s="8"/>
      <c r="G11434" s="8"/>
      <c r="J11434" s="8"/>
    </row>
    <row r="11435">
      <c r="C11435" s="15"/>
      <c r="E11435" s="8"/>
      <c r="G11435" s="8"/>
      <c r="J11435" s="8"/>
    </row>
    <row r="11436">
      <c r="C11436" s="15"/>
      <c r="E11436" s="8"/>
      <c r="G11436" s="8"/>
      <c r="J11436" s="8"/>
    </row>
    <row r="11437">
      <c r="C11437" s="15"/>
      <c r="E11437" s="8"/>
      <c r="G11437" s="8"/>
      <c r="J11437" s="8"/>
    </row>
    <row r="11438">
      <c r="C11438" s="15"/>
      <c r="E11438" s="8"/>
      <c r="G11438" s="8"/>
      <c r="J11438" s="8"/>
    </row>
    <row r="11439">
      <c r="C11439" s="15"/>
      <c r="E11439" s="8"/>
      <c r="G11439" s="8"/>
      <c r="J11439" s="8"/>
    </row>
    <row r="11440">
      <c r="C11440" s="15"/>
      <c r="E11440" s="8"/>
      <c r="G11440" s="8"/>
      <c r="J11440" s="8"/>
    </row>
    <row r="11441">
      <c r="C11441" s="15"/>
      <c r="E11441" s="8"/>
      <c r="G11441" s="8"/>
      <c r="J11441" s="8"/>
    </row>
    <row r="11442">
      <c r="C11442" s="15"/>
      <c r="E11442" s="8"/>
      <c r="G11442" s="8"/>
      <c r="J11442" s="8"/>
    </row>
    <row r="11443">
      <c r="C11443" s="15"/>
      <c r="E11443" s="8"/>
      <c r="G11443" s="8"/>
      <c r="J11443" s="8"/>
    </row>
    <row r="11444">
      <c r="C11444" s="15"/>
      <c r="E11444" s="8"/>
      <c r="G11444" s="8"/>
      <c r="J11444" s="8"/>
    </row>
    <row r="11445">
      <c r="C11445" s="15"/>
      <c r="E11445" s="8"/>
      <c r="G11445" s="8"/>
      <c r="J11445" s="8"/>
    </row>
    <row r="11446">
      <c r="C11446" s="15"/>
      <c r="E11446" s="8"/>
      <c r="G11446" s="8"/>
      <c r="J11446" s="8"/>
    </row>
    <row r="11447">
      <c r="C11447" s="15"/>
      <c r="E11447" s="8"/>
      <c r="G11447" s="8"/>
      <c r="J11447" s="8"/>
    </row>
    <row r="11448">
      <c r="C11448" s="15"/>
      <c r="E11448" s="8"/>
      <c r="G11448" s="8"/>
      <c r="J11448" s="8"/>
    </row>
    <row r="11449">
      <c r="C11449" s="15"/>
      <c r="E11449" s="8"/>
      <c r="G11449" s="8"/>
      <c r="J11449" s="8"/>
    </row>
    <row r="11450">
      <c r="C11450" s="15"/>
      <c r="E11450" s="8"/>
      <c r="G11450" s="8"/>
      <c r="J11450" s="8"/>
    </row>
    <row r="11451">
      <c r="C11451" s="15"/>
      <c r="E11451" s="8"/>
      <c r="G11451" s="8"/>
      <c r="J11451" s="8"/>
    </row>
    <row r="11452">
      <c r="C11452" s="15"/>
      <c r="E11452" s="8"/>
      <c r="G11452" s="8"/>
      <c r="J11452" s="8"/>
    </row>
    <row r="11453">
      <c r="C11453" s="15"/>
      <c r="E11453" s="8"/>
      <c r="G11453" s="8"/>
      <c r="J11453" s="8"/>
    </row>
    <row r="11454">
      <c r="C11454" s="15"/>
      <c r="E11454" s="8"/>
      <c r="G11454" s="8"/>
      <c r="J11454" s="8"/>
    </row>
    <row r="11455">
      <c r="C11455" s="15"/>
      <c r="E11455" s="8"/>
      <c r="G11455" s="8"/>
      <c r="J11455" s="8"/>
    </row>
    <row r="11456">
      <c r="C11456" s="15"/>
      <c r="E11456" s="8"/>
      <c r="G11456" s="8"/>
      <c r="J11456" s="8"/>
    </row>
    <row r="11457">
      <c r="C11457" s="15"/>
      <c r="E11457" s="8"/>
      <c r="G11457" s="8"/>
      <c r="J11457" s="8"/>
    </row>
    <row r="11458">
      <c r="C11458" s="15"/>
      <c r="E11458" s="8"/>
      <c r="G11458" s="8"/>
      <c r="J11458" s="8"/>
    </row>
    <row r="11459">
      <c r="C11459" s="15"/>
      <c r="E11459" s="8"/>
      <c r="G11459" s="8"/>
      <c r="J11459" s="8"/>
    </row>
    <row r="11460">
      <c r="C11460" s="15"/>
      <c r="E11460" s="8"/>
      <c r="G11460" s="8"/>
      <c r="J11460" s="8"/>
    </row>
    <row r="11461">
      <c r="C11461" s="15"/>
      <c r="E11461" s="8"/>
      <c r="G11461" s="8"/>
      <c r="J11461" s="8"/>
    </row>
    <row r="11462">
      <c r="C11462" s="15"/>
      <c r="E11462" s="8"/>
      <c r="G11462" s="8"/>
      <c r="J11462" s="8"/>
    </row>
    <row r="11463">
      <c r="C11463" s="15"/>
      <c r="E11463" s="8"/>
      <c r="G11463" s="8"/>
      <c r="J11463" s="8"/>
    </row>
    <row r="11464">
      <c r="C11464" s="15"/>
      <c r="E11464" s="8"/>
      <c r="G11464" s="8"/>
      <c r="J11464" s="8"/>
    </row>
    <row r="11465">
      <c r="C11465" s="15"/>
      <c r="E11465" s="8"/>
      <c r="G11465" s="8"/>
      <c r="J11465" s="8"/>
    </row>
    <row r="11466">
      <c r="C11466" s="15"/>
      <c r="E11466" s="8"/>
      <c r="G11466" s="8"/>
      <c r="J11466" s="8"/>
    </row>
    <row r="11467">
      <c r="C11467" s="15"/>
      <c r="E11467" s="8"/>
      <c r="G11467" s="8"/>
      <c r="J11467" s="8"/>
    </row>
    <row r="11468">
      <c r="C11468" s="15"/>
      <c r="E11468" s="8"/>
      <c r="G11468" s="8"/>
      <c r="J11468" s="8"/>
    </row>
    <row r="11469">
      <c r="C11469" s="15"/>
      <c r="E11469" s="8"/>
      <c r="G11469" s="8"/>
      <c r="J11469" s="8"/>
    </row>
    <row r="11470">
      <c r="C11470" s="15"/>
      <c r="E11470" s="8"/>
      <c r="G11470" s="8"/>
      <c r="J11470" s="8"/>
    </row>
    <row r="11471">
      <c r="C11471" s="15"/>
      <c r="E11471" s="8"/>
      <c r="G11471" s="8"/>
      <c r="J11471" s="8"/>
    </row>
    <row r="11472">
      <c r="C11472" s="15"/>
      <c r="E11472" s="8"/>
      <c r="G11472" s="8"/>
      <c r="J11472" s="8"/>
    </row>
    <row r="11473">
      <c r="C11473" s="15"/>
      <c r="E11473" s="8"/>
      <c r="G11473" s="8"/>
      <c r="J11473" s="8"/>
    </row>
    <row r="11474">
      <c r="C11474" s="15"/>
      <c r="E11474" s="8"/>
      <c r="G11474" s="8"/>
      <c r="J11474" s="8"/>
    </row>
    <row r="11475">
      <c r="C11475" s="15"/>
      <c r="E11475" s="8"/>
      <c r="G11475" s="8"/>
      <c r="J11475" s="8"/>
    </row>
    <row r="11476">
      <c r="C11476" s="15"/>
      <c r="E11476" s="8"/>
      <c r="G11476" s="8"/>
      <c r="J11476" s="8"/>
    </row>
    <row r="11477">
      <c r="C11477" s="15"/>
      <c r="E11477" s="8"/>
      <c r="G11477" s="8"/>
      <c r="J11477" s="8"/>
    </row>
    <row r="11478">
      <c r="C11478" s="15"/>
      <c r="E11478" s="8"/>
      <c r="G11478" s="8"/>
      <c r="J11478" s="8"/>
    </row>
    <row r="11479">
      <c r="C11479" s="15"/>
      <c r="E11479" s="8"/>
      <c r="G11479" s="8"/>
      <c r="J11479" s="8"/>
    </row>
    <row r="11480">
      <c r="C11480" s="15"/>
      <c r="E11480" s="8"/>
      <c r="G11480" s="8"/>
      <c r="J11480" s="8"/>
    </row>
    <row r="11481">
      <c r="C11481" s="15"/>
      <c r="E11481" s="8"/>
      <c r="G11481" s="8"/>
      <c r="J11481" s="8"/>
    </row>
    <row r="11482">
      <c r="C11482" s="15"/>
      <c r="E11482" s="8"/>
      <c r="G11482" s="8"/>
      <c r="J11482" s="8"/>
    </row>
    <row r="11483">
      <c r="C11483" s="15"/>
      <c r="E11483" s="8"/>
      <c r="G11483" s="8"/>
      <c r="J11483" s="8"/>
    </row>
    <row r="11484">
      <c r="C11484" s="15"/>
      <c r="E11484" s="8"/>
      <c r="G11484" s="8"/>
      <c r="J11484" s="8"/>
    </row>
    <row r="11485">
      <c r="C11485" s="15"/>
      <c r="E11485" s="8"/>
      <c r="G11485" s="8"/>
      <c r="J11485" s="8"/>
    </row>
    <row r="11486">
      <c r="C11486" s="15"/>
      <c r="E11486" s="8"/>
      <c r="G11486" s="8"/>
      <c r="J11486" s="8"/>
    </row>
    <row r="11487">
      <c r="C11487" s="15"/>
      <c r="E11487" s="8"/>
      <c r="G11487" s="8"/>
      <c r="J11487" s="8"/>
    </row>
    <row r="11488">
      <c r="C11488" s="15"/>
      <c r="E11488" s="8"/>
      <c r="G11488" s="8"/>
      <c r="J11488" s="8"/>
    </row>
    <row r="11489">
      <c r="C11489" s="15"/>
      <c r="E11489" s="8"/>
      <c r="G11489" s="8"/>
      <c r="J11489" s="8"/>
    </row>
    <row r="11490">
      <c r="C11490" s="15"/>
      <c r="E11490" s="8"/>
      <c r="G11490" s="8"/>
      <c r="J11490" s="8"/>
    </row>
    <row r="11491">
      <c r="C11491" s="15"/>
      <c r="E11491" s="8"/>
      <c r="G11491" s="8"/>
      <c r="J11491" s="8"/>
    </row>
    <row r="11492">
      <c r="C11492" s="15"/>
      <c r="E11492" s="8"/>
      <c r="G11492" s="8"/>
      <c r="J11492" s="8"/>
    </row>
    <row r="11493">
      <c r="C11493" s="15"/>
      <c r="E11493" s="8"/>
      <c r="G11493" s="8"/>
      <c r="J11493" s="8"/>
    </row>
    <row r="11494">
      <c r="C11494" s="15"/>
      <c r="E11494" s="8"/>
      <c r="G11494" s="8"/>
      <c r="J11494" s="8"/>
    </row>
    <row r="11495">
      <c r="C11495" s="15"/>
      <c r="E11495" s="8"/>
      <c r="G11495" s="8"/>
      <c r="J11495" s="8"/>
    </row>
    <row r="11496">
      <c r="C11496" s="15"/>
      <c r="E11496" s="8"/>
      <c r="G11496" s="8"/>
      <c r="J11496" s="8"/>
    </row>
    <row r="11497">
      <c r="C11497" s="15"/>
      <c r="E11497" s="8"/>
      <c r="G11497" s="8"/>
      <c r="J11497" s="8"/>
    </row>
    <row r="11498">
      <c r="C11498" s="15"/>
      <c r="E11498" s="8"/>
      <c r="G11498" s="8"/>
      <c r="J11498" s="8"/>
    </row>
    <row r="11499">
      <c r="C11499" s="15"/>
      <c r="E11499" s="8"/>
      <c r="G11499" s="8"/>
      <c r="J11499" s="8"/>
    </row>
    <row r="11500">
      <c r="C11500" s="15"/>
      <c r="E11500" s="8"/>
      <c r="G11500" s="8"/>
      <c r="J11500" s="8"/>
    </row>
    <row r="11501">
      <c r="C11501" s="15"/>
      <c r="E11501" s="8"/>
      <c r="G11501" s="8"/>
      <c r="J11501" s="8"/>
    </row>
    <row r="11502">
      <c r="C11502" s="15"/>
      <c r="E11502" s="8"/>
      <c r="G11502" s="8"/>
      <c r="J11502" s="8"/>
    </row>
    <row r="11503">
      <c r="C11503" s="15"/>
      <c r="E11503" s="8"/>
      <c r="G11503" s="8"/>
      <c r="J11503" s="8"/>
    </row>
    <row r="11504">
      <c r="C11504" s="15"/>
      <c r="E11504" s="8"/>
      <c r="G11504" s="8"/>
      <c r="J11504" s="8"/>
    </row>
    <row r="11505">
      <c r="C11505" s="15"/>
      <c r="E11505" s="8"/>
      <c r="G11505" s="8"/>
      <c r="J11505" s="8"/>
    </row>
    <row r="11506">
      <c r="C11506" s="15"/>
      <c r="E11506" s="8"/>
      <c r="G11506" s="8"/>
      <c r="J11506" s="8"/>
    </row>
    <row r="11507">
      <c r="C11507" s="15"/>
      <c r="E11507" s="8"/>
      <c r="G11507" s="8"/>
      <c r="J11507" s="8"/>
    </row>
    <row r="11508">
      <c r="C11508" s="15"/>
      <c r="E11508" s="8"/>
      <c r="G11508" s="8"/>
      <c r="J11508" s="8"/>
    </row>
    <row r="11509">
      <c r="C11509" s="15"/>
      <c r="E11509" s="8"/>
      <c r="G11509" s="8"/>
      <c r="J11509" s="8"/>
    </row>
    <row r="11510">
      <c r="C11510" s="15"/>
      <c r="E11510" s="8"/>
      <c r="G11510" s="8"/>
      <c r="J11510" s="8"/>
    </row>
    <row r="11511">
      <c r="C11511" s="15"/>
      <c r="E11511" s="8"/>
      <c r="G11511" s="8"/>
      <c r="J11511" s="8"/>
    </row>
    <row r="11512">
      <c r="C11512" s="15"/>
      <c r="E11512" s="8"/>
      <c r="G11512" s="8"/>
      <c r="J11512" s="8"/>
    </row>
    <row r="11513">
      <c r="C11513" s="15"/>
      <c r="E11513" s="8"/>
      <c r="G11513" s="8"/>
      <c r="J11513" s="8"/>
    </row>
    <row r="11514">
      <c r="C11514" s="15"/>
      <c r="E11514" s="8"/>
      <c r="G11514" s="8"/>
      <c r="J11514" s="8"/>
    </row>
    <row r="11515">
      <c r="C11515" s="15"/>
      <c r="E11515" s="8"/>
      <c r="G11515" s="8"/>
      <c r="J11515" s="8"/>
    </row>
    <row r="11516">
      <c r="C11516" s="15"/>
      <c r="E11516" s="8"/>
      <c r="G11516" s="8"/>
      <c r="J11516" s="8"/>
    </row>
    <row r="11517">
      <c r="C11517" s="15"/>
      <c r="E11517" s="8"/>
      <c r="G11517" s="8"/>
      <c r="J11517" s="8"/>
    </row>
    <row r="11518">
      <c r="C11518" s="15"/>
      <c r="E11518" s="8"/>
      <c r="G11518" s="8"/>
      <c r="J11518" s="8"/>
    </row>
    <row r="11519">
      <c r="C11519" s="15"/>
      <c r="E11519" s="8"/>
      <c r="G11519" s="8"/>
      <c r="J11519" s="8"/>
    </row>
    <row r="11520">
      <c r="C11520" s="15"/>
      <c r="E11520" s="8"/>
      <c r="G11520" s="8"/>
      <c r="J11520" s="8"/>
    </row>
    <row r="11521">
      <c r="C11521" s="15"/>
      <c r="E11521" s="8"/>
      <c r="G11521" s="8"/>
      <c r="J11521" s="8"/>
    </row>
    <row r="11522">
      <c r="C11522" s="15"/>
      <c r="E11522" s="8"/>
      <c r="G11522" s="8"/>
      <c r="J11522" s="8"/>
    </row>
    <row r="11523">
      <c r="C11523" s="15"/>
      <c r="E11523" s="8"/>
      <c r="G11523" s="8"/>
      <c r="J11523" s="8"/>
    </row>
    <row r="11524">
      <c r="C11524" s="15"/>
      <c r="E11524" s="8"/>
      <c r="G11524" s="8"/>
      <c r="J11524" s="8"/>
    </row>
    <row r="11525">
      <c r="C11525" s="15"/>
      <c r="E11525" s="8"/>
      <c r="G11525" s="8"/>
      <c r="J11525" s="8"/>
    </row>
    <row r="11526">
      <c r="C11526" s="15"/>
      <c r="E11526" s="8"/>
      <c r="G11526" s="8"/>
      <c r="J11526" s="8"/>
    </row>
    <row r="11527">
      <c r="C11527" s="15"/>
      <c r="E11527" s="8"/>
      <c r="G11527" s="8"/>
      <c r="J11527" s="8"/>
    </row>
    <row r="11528">
      <c r="C11528" s="15"/>
      <c r="E11528" s="8"/>
      <c r="G11528" s="8"/>
      <c r="J11528" s="8"/>
    </row>
    <row r="11529">
      <c r="C11529" s="15"/>
      <c r="E11529" s="8"/>
      <c r="G11529" s="8"/>
      <c r="J11529" s="8"/>
    </row>
    <row r="11530">
      <c r="C11530" s="15"/>
      <c r="E11530" s="8"/>
      <c r="G11530" s="8"/>
      <c r="J11530" s="8"/>
    </row>
    <row r="11531">
      <c r="C11531" s="15"/>
      <c r="E11531" s="8"/>
      <c r="G11531" s="8"/>
      <c r="J11531" s="8"/>
    </row>
    <row r="11532">
      <c r="C11532" s="15"/>
      <c r="E11532" s="8"/>
      <c r="G11532" s="8"/>
      <c r="J11532" s="8"/>
    </row>
    <row r="11533">
      <c r="C11533" s="15"/>
      <c r="E11533" s="8"/>
      <c r="G11533" s="8"/>
      <c r="J11533" s="8"/>
    </row>
    <row r="11534">
      <c r="C11534" s="15"/>
      <c r="E11534" s="8"/>
      <c r="G11534" s="8"/>
      <c r="J11534" s="8"/>
    </row>
    <row r="11535">
      <c r="C11535" s="15"/>
      <c r="E11535" s="8"/>
      <c r="G11535" s="8"/>
      <c r="J11535" s="8"/>
    </row>
    <row r="11536">
      <c r="C11536" s="15"/>
      <c r="E11536" s="8"/>
      <c r="G11536" s="8"/>
      <c r="J11536" s="8"/>
    </row>
    <row r="11537">
      <c r="C11537" s="15"/>
      <c r="E11537" s="8"/>
      <c r="G11537" s="8"/>
      <c r="J11537" s="8"/>
    </row>
    <row r="11538">
      <c r="C11538" s="15"/>
      <c r="E11538" s="8"/>
      <c r="G11538" s="8"/>
      <c r="J11538" s="8"/>
    </row>
    <row r="11539">
      <c r="C11539" s="15"/>
      <c r="E11539" s="8"/>
      <c r="G11539" s="8"/>
      <c r="J11539" s="8"/>
    </row>
    <row r="11540">
      <c r="C11540" s="15"/>
      <c r="E11540" s="8"/>
      <c r="G11540" s="8"/>
      <c r="J11540" s="8"/>
    </row>
    <row r="11541">
      <c r="C11541" s="15"/>
      <c r="E11541" s="8"/>
      <c r="G11541" s="8"/>
      <c r="J11541" s="8"/>
    </row>
    <row r="11542">
      <c r="C11542" s="15"/>
      <c r="E11542" s="8"/>
      <c r="G11542" s="8"/>
      <c r="J11542" s="8"/>
    </row>
    <row r="11543">
      <c r="C11543" s="15"/>
      <c r="E11543" s="8"/>
      <c r="G11543" s="8"/>
      <c r="J11543" s="8"/>
    </row>
    <row r="11544">
      <c r="C11544" s="15"/>
      <c r="E11544" s="8"/>
      <c r="G11544" s="8"/>
      <c r="J11544" s="8"/>
    </row>
    <row r="11545">
      <c r="C11545" s="15"/>
      <c r="E11545" s="8"/>
      <c r="G11545" s="8"/>
      <c r="J11545" s="8"/>
    </row>
    <row r="11546">
      <c r="C11546" s="15"/>
      <c r="E11546" s="8"/>
      <c r="G11546" s="8"/>
      <c r="J11546" s="8"/>
    </row>
    <row r="11547">
      <c r="C11547" s="15"/>
      <c r="E11547" s="8"/>
      <c r="G11547" s="8"/>
      <c r="J11547" s="8"/>
    </row>
    <row r="11548">
      <c r="C11548" s="15"/>
      <c r="E11548" s="8"/>
      <c r="G11548" s="8"/>
      <c r="J11548" s="8"/>
    </row>
    <row r="11549">
      <c r="C11549" s="15"/>
      <c r="E11549" s="8"/>
      <c r="G11549" s="8"/>
      <c r="J11549" s="8"/>
    </row>
    <row r="11550">
      <c r="C11550" s="15"/>
      <c r="E11550" s="8"/>
      <c r="G11550" s="8"/>
      <c r="J11550" s="8"/>
    </row>
    <row r="11551">
      <c r="C11551" s="15"/>
      <c r="E11551" s="8"/>
      <c r="G11551" s="8"/>
      <c r="J11551" s="8"/>
    </row>
    <row r="11552">
      <c r="C11552" s="15"/>
      <c r="E11552" s="8"/>
      <c r="G11552" s="8"/>
      <c r="J11552" s="8"/>
    </row>
    <row r="11553">
      <c r="C11553" s="15"/>
      <c r="E11553" s="8"/>
      <c r="G11553" s="8"/>
      <c r="J11553" s="8"/>
    </row>
    <row r="11554">
      <c r="C11554" s="15"/>
      <c r="E11554" s="8"/>
      <c r="G11554" s="8"/>
      <c r="J11554" s="8"/>
    </row>
    <row r="11555">
      <c r="C11555" s="15"/>
      <c r="E11555" s="8"/>
      <c r="G11555" s="8"/>
      <c r="J11555" s="8"/>
    </row>
    <row r="11556">
      <c r="C11556" s="15"/>
      <c r="E11556" s="8"/>
      <c r="G11556" s="8"/>
      <c r="J11556" s="8"/>
    </row>
    <row r="11557">
      <c r="C11557" s="15"/>
      <c r="E11557" s="8"/>
      <c r="G11557" s="8"/>
      <c r="J11557" s="8"/>
    </row>
    <row r="11558">
      <c r="C11558" s="15"/>
      <c r="E11558" s="8"/>
      <c r="G11558" s="8"/>
      <c r="J11558" s="8"/>
    </row>
    <row r="11559">
      <c r="C11559" s="15"/>
      <c r="E11559" s="8"/>
      <c r="G11559" s="8"/>
      <c r="J11559" s="8"/>
    </row>
    <row r="11560">
      <c r="C11560" s="15"/>
      <c r="E11560" s="8"/>
      <c r="G11560" s="8"/>
      <c r="J11560" s="8"/>
    </row>
    <row r="11561">
      <c r="C11561" s="15"/>
      <c r="E11561" s="8"/>
      <c r="G11561" s="8"/>
      <c r="J11561" s="8"/>
    </row>
    <row r="11562">
      <c r="C11562" s="15"/>
      <c r="E11562" s="8"/>
      <c r="G11562" s="8"/>
      <c r="J11562" s="8"/>
    </row>
    <row r="11563">
      <c r="C11563" s="15"/>
      <c r="E11563" s="8"/>
      <c r="G11563" s="8"/>
      <c r="J11563" s="8"/>
    </row>
    <row r="11564">
      <c r="C11564" s="15"/>
      <c r="E11564" s="8"/>
      <c r="G11564" s="8"/>
      <c r="J11564" s="8"/>
    </row>
    <row r="11565">
      <c r="C11565" s="15"/>
      <c r="E11565" s="8"/>
      <c r="G11565" s="8"/>
      <c r="J11565" s="8"/>
    </row>
    <row r="11566">
      <c r="C11566" s="15"/>
      <c r="E11566" s="8"/>
      <c r="G11566" s="8"/>
      <c r="J11566" s="8"/>
    </row>
    <row r="11567">
      <c r="C11567" s="15"/>
      <c r="E11567" s="8"/>
      <c r="G11567" s="8"/>
      <c r="J11567" s="8"/>
    </row>
    <row r="11568">
      <c r="C11568" s="15"/>
      <c r="E11568" s="8"/>
      <c r="G11568" s="8"/>
      <c r="J11568" s="8"/>
    </row>
    <row r="11569">
      <c r="C11569" s="15"/>
      <c r="E11569" s="8"/>
      <c r="G11569" s="8"/>
      <c r="J11569" s="8"/>
    </row>
    <row r="11570">
      <c r="C11570" s="15"/>
      <c r="E11570" s="8"/>
      <c r="G11570" s="8"/>
      <c r="J11570" s="8"/>
    </row>
    <row r="11571">
      <c r="C11571" s="15"/>
      <c r="E11571" s="8"/>
      <c r="G11571" s="8"/>
      <c r="J11571" s="8"/>
    </row>
    <row r="11572">
      <c r="C11572" s="15"/>
      <c r="E11572" s="8"/>
      <c r="G11572" s="8"/>
      <c r="J11572" s="8"/>
    </row>
    <row r="11573">
      <c r="C11573" s="15"/>
      <c r="E11573" s="8"/>
      <c r="G11573" s="8"/>
      <c r="J11573" s="8"/>
    </row>
    <row r="11574">
      <c r="C11574" s="15"/>
      <c r="E11574" s="8"/>
      <c r="G11574" s="8"/>
      <c r="J11574" s="8"/>
    </row>
    <row r="11575">
      <c r="C11575" s="15"/>
      <c r="E11575" s="8"/>
      <c r="G11575" s="8"/>
      <c r="J11575" s="8"/>
    </row>
    <row r="11576">
      <c r="C11576" s="15"/>
      <c r="E11576" s="8"/>
      <c r="G11576" s="8"/>
      <c r="J11576" s="8"/>
    </row>
    <row r="11577">
      <c r="C11577" s="15"/>
      <c r="E11577" s="8"/>
      <c r="G11577" s="8"/>
      <c r="J11577" s="8"/>
    </row>
    <row r="11578">
      <c r="C11578" s="15"/>
      <c r="E11578" s="8"/>
      <c r="G11578" s="8"/>
      <c r="J11578" s="8"/>
    </row>
    <row r="11579">
      <c r="C11579" s="15"/>
      <c r="E11579" s="8"/>
      <c r="G11579" s="8"/>
      <c r="J11579" s="8"/>
    </row>
    <row r="11580">
      <c r="C11580" s="15"/>
      <c r="E11580" s="8"/>
      <c r="G11580" s="8"/>
      <c r="J11580" s="8"/>
    </row>
    <row r="11581">
      <c r="C11581" s="15"/>
      <c r="E11581" s="8"/>
      <c r="G11581" s="8"/>
      <c r="J11581" s="8"/>
    </row>
    <row r="11582">
      <c r="C11582" s="15"/>
      <c r="E11582" s="8"/>
      <c r="G11582" s="8"/>
      <c r="J11582" s="8"/>
    </row>
    <row r="11583">
      <c r="C11583" s="15"/>
      <c r="E11583" s="8"/>
      <c r="G11583" s="8"/>
      <c r="J11583" s="8"/>
    </row>
    <row r="11584">
      <c r="C11584" s="15"/>
      <c r="E11584" s="8"/>
      <c r="G11584" s="8"/>
      <c r="J11584" s="8"/>
    </row>
    <row r="11585">
      <c r="C11585" s="15"/>
      <c r="E11585" s="8"/>
      <c r="G11585" s="8"/>
      <c r="J11585" s="8"/>
    </row>
    <row r="11586">
      <c r="C11586" s="15"/>
      <c r="E11586" s="8"/>
      <c r="G11586" s="8"/>
      <c r="J11586" s="8"/>
    </row>
    <row r="11587">
      <c r="C11587" s="15"/>
      <c r="E11587" s="8"/>
      <c r="G11587" s="8"/>
      <c r="J11587" s="8"/>
    </row>
    <row r="11588">
      <c r="C11588" s="15"/>
      <c r="E11588" s="8"/>
      <c r="G11588" s="8"/>
      <c r="J11588" s="8"/>
    </row>
    <row r="11589">
      <c r="C11589" s="15"/>
      <c r="E11589" s="8"/>
      <c r="G11589" s="8"/>
      <c r="J11589" s="8"/>
    </row>
    <row r="11590">
      <c r="C11590" s="15"/>
      <c r="E11590" s="8"/>
      <c r="G11590" s="8"/>
      <c r="J11590" s="8"/>
    </row>
    <row r="11591">
      <c r="C11591" s="15"/>
      <c r="E11591" s="8"/>
      <c r="G11591" s="8"/>
      <c r="J11591" s="8"/>
    </row>
    <row r="11592">
      <c r="C11592" s="15"/>
      <c r="E11592" s="8"/>
      <c r="G11592" s="8"/>
      <c r="J11592" s="8"/>
    </row>
    <row r="11593">
      <c r="C11593" s="15"/>
      <c r="E11593" s="8"/>
      <c r="G11593" s="8"/>
      <c r="J11593" s="8"/>
    </row>
    <row r="11594">
      <c r="C11594" s="15"/>
      <c r="E11594" s="8"/>
      <c r="G11594" s="8"/>
      <c r="J11594" s="8"/>
    </row>
    <row r="11595">
      <c r="C11595" s="15"/>
      <c r="E11595" s="8"/>
      <c r="G11595" s="8"/>
      <c r="J11595" s="8"/>
    </row>
    <row r="11596">
      <c r="C11596" s="15"/>
      <c r="E11596" s="8"/>
      <c r="G11596" s="8"/>
      <c r="J11596" s="8"/>
    </row>
    <row r="11597">
      <c r="C11597" s="15"/>
      <c r="E11597" s="8"/>
      <c r="G11597" s="8"/>
      <c r="J11597" s="8"/>
    </row>
    <row r="11598">
      <c r="C11598" s="15"/>
      <c r="E11598" s="8"/>
      <c r="G11598" s="8"/>
      <c r="J11598" s="8"/>
    </row>
    <row r="11599">
      <c r="C11599" s="15"/>
      <c r="E11599" s="8"/>
      <c r="G11599" s="8"/>
      <c r="J11599" s="8"/>
    </row>
    <row r="11600">
      <c r="C11600" s="15"/>
      <c r="E11600" s="8"/>
      <c r="G11600" s="8"/>
      <c r="J11600" s="8"/>
    </row>
    <row r="11601">
      <c r="C11601" s="15"/>
      <c r="E11601" s="8"/>
      <c r="G11601" s="8"/>
      <c r="J11601" s="8"/>
    </row>
    <row r="11602">
      <c r="C11602" s="15"/>
      <c r="E11602" s="8"/>
      <c r="G11602" s="8"/>
      <c r="J11602" s="8"/>
    </row>
    <row r="11603">
      <c r="C11603" s="15"/>
      <c r="E11603" s="8"/>
      <c r="G11603" s="8"/>
      <c r="J11603" s="8"/>
    </row>
    <row r="11604">
      <c r="C11604" s="15"/>
      <c r="E11604" s="8"/>
      <c r="G11604" s="8"/>
      <c r="J11604" s="8"/>
    </row>
    <row r="11605">
      <c r="C11605" s="15"/>
      <c r="E11605" s="8"/>
      <c r="G11605" s="8"/>
      <c r="J11605" s="8"/>
    </row>
    <row r="11606">
      <c r="C11606" s="15"/>
      <c r="E11606" s="8"/>
      <c r="G11606" s="8"/>
      <c r="J11606" s="8"/>
    </row>
    <row r="11607">
      <c r="C11607" s="15"/>
      <c r="E11607" s="8"/>
      <c r="G11607" s="8"/>
      <c r="J11607" s="8"/>
    </row>
    <row r="11608">
      <c r="C11608" s="15"/>
      <c r="E11608" s="8"/>
      <c r="G11608" s="8"/>
      <c r="J11608" s="8"/>
    </row>
    <row r="11609">
      <c r="C11609" s="15"/>
      <c r="E11609" s="8"/>
      <c r="G11609" s="8"/>
      <c r="J11609" s="8"/>
    </row>
    <row r="11610">
      <c r="C11610" s="15"/>
      <c r="E11610" s="8"/>
      <c r="G11610" s="8"/>
      <c r="J11610" s="8"/>
    </row>
    <row r="11611">
      <c r="C11611" s="15"/>
      <c r="E11611" s="8"/>
      <c r="G11611" s="8"/>
      <c r="J11611" s="8"/>
    </row>
    <row r="11612">
      <c r="C11612" s="15"/>
      <c r="E11612" s="8"/>
      <c r="G11612" s="8"/>
      <c r="J11612" s="8"/>
    </row>
    <row r="11613">
      <c r="C11613" s="15"/>
      <c r="E11613" s="8"/>
      <c r="G11613" s="8"/>
      <c r="J11613" s="8"/>
    </row>
    <row r="11614">
      <c r="C11614" s="15"/>
      <c r="E11614" s="8"/>
      <c r="G11614" s="8"/>
      <c r="J11614" s="8"/>
    </row>
    <row r="11615">
      <c r="C11615" s="15"/>
      <c r="E11615" s="8"/>
      <c r="G11615" s="8"/>
      <c r="J11615" s="8"/>
    </row>
    <row r="11616">
      <c r="C11616" s="15"/>
      <c r="E11616" s="8"/>
      <c r="G11616" s="8"/>
      <c r="J11616" s="8"/>
    </row>
    <row r="11617">
      <c r="C11617" s="15"/>
      <c r="E11617" s="8"/>
      <c r="G11617" s="8"/>
      <c r="J11617" s="8"/>
    </row>
    <row r="11618">
      <c r="C11618" s="15"/>
      <c r="E11618" s="8"/>
      <c r="G11618" s="8"/>
      <c r="J11618" s="8"/>
    </row>
    <row r="11619">
      <c r="C11619" s="15"/>
      <c r="E11619" s="8"/>
      <c r="G11619" s="8"/>
      <c r="J11619" s="8"/>
    </row>
    <row r="11620">
      <c r="C11620" s="15"/>
      <c r="E11620" s="8"/>
      <c r="G11620" s="8"/>
      <c r="J11620" s="8"/>
    </row>
    <row r="11621">
      <c r="C11621" s="15"/>
      <c r="E11621" s="8"/>
      <c r="G11621" s="8"/>
      <c r="J11621" s="8"/>
    </row>
    <row r="11622">
      <c r="C11622" s="15"/>
      <c r="E11622" s="8"/>
      <c r="G11622" s="8"/>
      <c r="J11622" s="8"/>
    </row>
    <row r="11623">
      <c r="C11623" s="15"/>
      <c r="E11623" s="8"/>
      <c r="G11623" s="8"/>
      <c r="J11623" s="8"/>
    </row>
    <row r="11624">
      <c r="C11624" s="15"/>
      <c r="E11624" s="8"/>
      <c r="G11624" s="8"/>
      <c r="J11624" s="8"/>
    </row>
    <row r="11625">
      <c r="C11625" s="15"/>
      <c r="E11625" s="8"/>
      <c r="G11625" s="8"/>
      <c r="J11625" s="8"/>
    </row>
    <row r="11626">
      <c r="C11626" s="15"/>
      <c r="E11626" s="8"/>
      <c r="G11626" s="8"/>
      <c r="J11626" s="8"/>
    </row>
    <row r="11627">
      <c r="C11627" s="15"/>
      <c r="E11627" s="8"/>
      <c r="G11627" s="8"/>
      <c r="J11627" s="8"/>
    </row>
    <row r="11628">
      <c r="C11628" s="15"/>
      <c r="E11628" s="8"/>
      <c r="G11628" s="8"/>
      <c r="J11628" s="8"/>
    </row>
    <row r="11629">
      <c r="C11629" s="15"/>
      <c r="E11629" s="8"/>
      <c r="G11629" s="8"/>
      <c r="J11629" s="8"/>
    </row>
    <row r="11630">
      <c r="C11630" s="15"/>
      <c r="E11630" s="8"/>
      <c r="G11630" s="8"/>
      <c r="J11630" s="8"/>
    </row>
    <row r="11631">
      <c r="C11631" s="15"/>
      <c r="E11631" s="8"/>
      <c r="G11631" s="8"/>
      <c r="J11631" s="8"/>
    </row>
    <row r="11632">
      <c r="C11632" s="15"/>
      <c r="E11632" s="8"/>
      <c r="G11632" s="8"/>
      <c r="J11632" s="8"/>
    </row>
    <row r="11633">
      <c r="C11633" s="15"/>
      <c r="E11633" s="8"/>
      <c r="G11633" s="8"/>
      <c r="J11633" s="8"/>
    </row>
    <row r="11634">
      <c r="C11634" s="15"/>
      <c r="E11634" s="8"/>
      <c r="G11634" s="8"/>
      <c r="J11634" s="8"/>
    </row>
    <row r="11635">
      <c r="C11635" s="15"/>
      <c r="E11635" s="8"/>
      <c r="G11635" s="8"/>
      <c r="J11635" s="8"/>
    </row>
    <row r="11636">
      <c r="C11636" s="15"/>
      <c r="E11636" s="8"/>
      <c r="G11636" s="8"/>
      <c r="J11636" s="8"/>
    </row>
    <row r="11637">
      <c r="C11637" s="15"/>
      <c r="E11637" s="8"/>
      <c r="G11637" s="8"/>
      <c r="J11637" s="8"/>
    </row>
    <row r="11638">
      <c r="C11638" s="15"/>
      <c r="E11638" s="8"/>
      <c r="G11638" s="8"/>
      <c r="J11638" s="8"/>
    </row>
    <row r="11639">
      <c r="C11639" s="15"/>
      <c r="E11639" s="8"/>
      <c r="G11639" s="8"/>
      <c r="J11639" s="8"/>
    </row>
    <row r="11640">
      <c r="C11640" s="15"/>
      <c r="E11640" s="8"/>
      <c r="G11640" s="8"/>
      <c r="J11640" s="8"/>
    </row>
    <row r="11641">
      <c r="C11641" s="15"/>
      <c r="E11641" s="8"/>
      <c r="G11641" s="8"/>
      <c r="J11641" s="8"/>
    </row>
    <row r="11642">
      <c r="C11642" s="15"/>
      <c r="E11642" s="8"/>
      <c r="G11642" s="8"/>
      <c r="J11642" s="8"/>
    </row>
    <row r="11643">
      <c r="C11643" s="15"/>
      <c r="E11643" s="8"/>
      <c r="G11643" s="8"/>
      <c r="J11643" s="8"/>
    </row>
    <row r="11644">
      <c r="C11644" s="15"/>
      <c r="E11644" s="8"/>
      <c r="G11644" s="8"/>
      <c r="J11644" s="8"/>
    </row>
    <row r="11645">
      <c r="C11645" s="15"/>
      <c r="E11645" s="8"/>
      <c r="G11645" s="8"/>
      <c r="J11645" s="8"/>
    </row>
    <row r="11646">
      <c r="C11646" s="15"/>
      <c r="E11646" s="8"/>
      <c r="G11646" s="8"/>
      <c r="J11646" s="8"/>
    </row>
    <row r="11647">
      <c r="C11647" s="15"/>
      <c r="E11647" s="8"/>
      <c r="G11647" s="8"/>
      <c r="J11647" s="8"/>
    </row>
    <row r="11648">
      <c r="C11648" s="15"/>
      <c r="E11648" s="8"/>
      <c r="G11648" s="8"/>
      <c r="J11648" s="8"/>
    </row>
    <row r="11649">
      <c r="C11649" s="15"/>
      <c r="E11649" s="8"/>
      <c r="G11649" s="8"/>
      <c r="J11649" s="8"/>
    </row>
    <row r="11650">
      <c r="C11650" s="15"/>
      <c r="E11650" s="8"/>
      <c r="G11650" s="8"/>
      <c r="J11650" s="8"/>
    </row>
    <row r="11651">
      <c r="C11651" s="15"/>
      <c r="E11651" s="8"/>
      <c r="G11651" s="8"/>
      <c r="J11651" s="8"/>
    </row>
    <row r="11652">
      <c r="C11652" s="15"/>
      <c r="E11652" s="8"/>
      <c r="G11652" s="8"/>
      <c r="J11652" s="8"/>
    </row>
    <row r="11653">
      <c r="C11653" s="15"/>
      <c r="E11653" s="8"/>
      <c r="G11653" s="8"/>
      <c r="J11653" s="8"/>
    </row>
    <row r="11654">
      <c r="C11654" s="15"/>
      <c r="E11654" s="8"/>
      <c r="G11654" s="8"/>
      <c r="J11654" s="8"/>
    </row>
    <row r="11655">
      <c r="C11655" s="15"/>
      <c r="E11655" s="8"/>
      <c r="G11655" s="8"/>
      <c r="J11655" s="8"/>
    </row>
    <row r="11656">
      <c r="C11656" s="15"/>
      <c r="E11656" s="8"/>
      <c r="G11656" s="8"/>
      <c r="J11656" s="8"/>
    </row>
    <row r="11657">
      <c r="C11657" s="15"/>
      <c r="E11657" s="8"/>
      <c r="G11657" s="8"/>
      <c r="J11657" s="8"/>
    </row>
    <row r="11658">
      <c r="C11658" s="15"/>
      <c r="E11658" s="8"/>
      <c r="G11658" s="8"/>
      <c r="J11658" s="8"/>
    </row>
    <row r="11659">
      <c r="C11659" s="15"/>
      <c r="E11659" s="8"/>
      <c r="G11659" s="8"/>
      <c r="J11659" s="8"/>
    </row>
    <row r="11660">
      <c r="C11660" s="15"/>
      <c r="E11660" s="8"/>
      <c r="G11660" s="8"/>
      <c r="J11660" s="8"/>
    </row>
    <row r="11661">
      <c r="C11661" s="15"/>
      <c r="E11661" s="8"/>
      <c r="G11661" s="8"/>
      <c r="J11661" s="8"/>
    </row>
    <row r="11662">
      <c r="C11662" s="15"/>
      <c r="E11662" s="8"/>
      <c r="G11662" s="8"/>
      <c r="J11662" s="8"/>
    </row>
    <row r="11663">
      <c r="C11663" s="15"/>
      <c r="E11663" s="8"/>
      <c r="G11663" s="8"/>
      <c r="J11663" s="8"/>
    </row>
    <row r="11664">
      <c r="C11664" s="15"/>
      <c r="E11664" s="8"/>
      <c r="G11664" s="8"/>
      <c r="J11664" s="8"/>
    </row>
    <row r="11665">
      <c r="C11665" s="15"/>
      <c r="E11665" s="8"/>
      <c r="G11665" s="8"/>
      <c r="J11665" s="8"/>
    </row>
    <row r="11666">
      <c r="C11666" s="15"/>
      <c r="E11666" s="8"/>
      <c r="G11666" s="8"/>
      <c r="J11666" s="8"/>
    </row>
    <row r="11667">
      <c r="C11667" s="15"/>
      <c r="E11667" s="8"/>
      <c r="G11667" s="8"/>
      <c r="J11667" s="8"/>
    </row>
    <row r="11668">
      <c r="C11668" s="15"/>
      <c r="E11668" s="8"/>
      <c r="G11668" s="8"/>
      <c r="J11668" s="8"/>
    </row>
    <row r="11669">
      <c r="C11669" s="15"/>
      <c r="E11669" s="8"/>
      <c r="G11669" s="8"/>
      <c r="J11669" s="8"/>
    </row>
    <row r="11670">
      <c r="C11670" s="15"/>
      <c r="E11670" s="8"/>
      <c r="G11670" s="8"/>
      <c r="J11670" s="8"/>
    </row>
    <row r="11671">
      <c r="C11671" s="15"/>
      <c r="E11671" s="8"/>
      <c r="G11671" s="8"/>
      <c r="J11671" s="8"/>
    </row>
    <row r="11672">
      <c r="C11672" s="15"/>
      <c r="E11672" s="8"/>
      <c r="G11672" s="8"/>
      <c r="J11672" s="8"/>
    </row>
    <row r="11673">
      <c r="C11673" s="15"/>
      <c r="E11673" s="8"/>
      <c r="G11673" s="8"/>
      <c r="J11673" s="8"/>
    </row>
    <row r="11674">
      <c r="C11674" s="15"/>
      <c r="E11674" s="8"/>
      <c r="G11674" s="8"/>
      <c r="J11674" s="8"/>
    </row>
    <row r="11675">
      <c r="C11675" s="15"/>
      <c r="E11675" s="8"/>
      <c r="G11675" s="8"/>
      <c r="J11675" s="8"/>
    </row>
    <row r="11676">
      <c r="C11676" s="15"/>
      <c r="E11676" s="8"/>
      <c r="G11676" s="8"/>
      <c r="J11676" s="8"/>
    </row>
    <row r="11677">
      <c r="C11677" s="15"/>
      <c r="E11677" s="8"/>
      <c r="G11677" s="8"/>
      <c r="J11677" s="8"/>
    </row>
    <row r="11678">
      <c r="C11678" s="15"/>
      <c r="E11678" s="8"/>
      <c r="G11678" s="8"/>
      <c r="J11678" s="8"/>
    </row>
    <row r="11679">
      <c r="C11679" s="15"/>
      <c r="E11679" s="8"/>
      <c r="G11679" s="8"/>
      <c r="J11679" s="8"/>
    </row>
    <row r="11680">
      <c r="C11680" s="15"/>
      <c r="E11680" s="8"/>
      <c r="G11680" s="8"/>
      <c r="J11680" s="8"/>
    </row>
    <row r="11681">
      <c r="C11681" s="15"/>
      <c r="E11681" s="8"/>
      <c r="G11681" s="8"/>
      <c r="J11681" s="8"/>
    </row>
    <row r="11682">
      <c r="C11682" s="15"/>
      <c r="E11682" s="8"/>
      <c r="G11682" s="8"/>
      <c r="J11682" s="8"/>
    </row>
    <row r="11683">
      <c r="C11683" s="15"/>
      <c r="E11683" s="8"/>
      <c r="G11683" s="8"/>
      <c r="J11683" s="8"/>
    </row>
    <row r="11684">
      <c r="C11684" s="15"/>
      <c r="E11684" s="8"/>
      <c r="G11684" s="8"/>
      <c r="J11684" s="8"/>
    </row>
    <row r="11685">
      <c r="C11685" s="15"/>
      <c r="E11685" s="8"/>
      <c r="G11685" s="8"/>
      <c r="J11685" s="8"/>
    </row>
    <row r="11686">
      <c r="C11686" s="15"/>
      <c r="E11686" s="8"/>
      <c r="G11686" s="8"/>
      <c r="J11686" s="8"/>
    </row>
    <row r="11687">
      <c r="C11687" s="15"/>
      <c r="E11687" s="8"/>
      <c r="G11687" s="8"/>
      <c r="J11687" s="8"/>
    </row>
    <row r="11688">
      <c r="C11688" s="15"/>
      <c r="E11688" s="8"/>
      <c r="G11688" s="8"/>
      <c r="J11688" s="8"/>
    </row>
    <row r="11689">
      <c r="C11689" s="15"/>
      <c r="E11689" s="8"/>
      <c r="G11689" s="8"/>
      <c r="J11689" s="8"/>
    </row>
    <row r="11690">
      <c r="C11690" s="15"/>
      <c r="E11690" s="8"/>
      <c r="G11690" s="8"/>
      <c r="J11690" s="8"/>
    </row>
    <row r="11691">
      <c r="C11691" s="15"/>
      <c r="E11691" s="8"/>
      <c r="G11691" s="8"/>
      <c r="J11691" s="8"/>
    </row>
    <row r="11692">
      <c r="C11692" s="15"/>
      <c r="E11692" s="8"/>
      <c r="G11692" s="8"/>
      <c r="J11692" s="8"/>
    </row>
    <row r="11693">
      <c r="C11693" s="15"/>
      <c r="E11693" s="8"/>
      <c r="G11693" s="8"/>
      <c r="J11693" s="8"/>
    </row>
    <row r="11694">
      <c r="C11694" s="15"/>
      <c r="E11694" s="8"/>
      <c r="G11694" s="8"/>
      <c r="J11694" s="8"/>
    </row>
    <row r="11695">
      <c r="C11695" s="15"/>
      <c r="E11695" s="8"/>
      <c r="G11695" s="8"/>
      <c r="J11695" s="8"/>
    </row>
    <row r="11696">
      <c r="C11696" s="15"/>
      <c r="E11696" s="8"/>
      <c r="G11696" s="8"/>
      <c r="J11696" s="8"/>
    </row>
    <row r="11697">
      <c r="C11697" s="15"/>
      <c r="E11697" s="8"/>
      <c r="G11697" s="8"/>
      <c r="J11697" s="8"/>
    </row>
    <row r="11698">
      <c r="C11698" s="15"/>
      <c r="E11698" s="8"/>
      <c r="G11698" s="8"/>
      <c r="J11698" s="8"/>
    </row>
    <row r="11699">
      <c r="C11699" s="15"/>
      <c r="E11699" s="8"/>
      <c r="G11699" s="8"/>
      <c r="J11699" s="8"/>
    </row>
    <row r="11700">
      <c r="C11700" s="15"/>
      <c r="E11700" s="8"/>
      <c r="G11700" s="8"/>
      <c r="J11700" s="8"/>
    </row>
    <row r="11701">
      <c r="C11701" s="15"/>
      <c r="E11701" s="8"/>
      <c r="G11701" s="8"/>
      <c r="J11701" s="8"/>
    </row>
    <row r="11702">
      <c r="C11702" s="15"/>
      <c r="E11702" s="8"/>
      <c r="G11702" s="8"/>
      <c r="J11702" s="8"/>
    </row>
    <row r="11703">
      <c r="C11703" s="15"/>
      <c r="E11703" s="8"/>
      <c r="G11703" s="8"/>
      <c r="J11703" s="8"/>
    </row>
    <row r="11704">
      <c r="C11704" s="15"/>
      <c r="E11704" s="8"/>
      <c r="G11704" s="8"/>
      <c r="J11704" s="8"/>
    </row>
    <row r="11705">
      <c r="C11705" s="15"/>
      <c r="E11705" s="8"/>
      <c r="G11705" s="8"/>
      <c r="J11705" s="8"/>
    </row>
    <row r="11706">
      <c r="C11706" s="15"/>
      <c r="E11706" s="8"/>
      <c r="G11706" s="8"/>
      <c r="J11706" s="8"/>
    </row>
    <row r="11707">
      <c r="C11707" s="15"/>
      <c r="E11707" s="8"/>
      <c r="G11707" s="8"/>
      <c r="J11707" s="8"/>
    </row>
    <row r="11708">
      <c r="C11708" s="15"/>
      <c r="E11708" s="8"/>
      <c r="G11708" s="8"/>
      <c r="J11708" s="8"/>
    </row>
    <row r="11709">
      <c r="C11709" s="15"/>
      <c r="E11709" s="8"/>
      <c r="G11709" s="8"/>
      <c r="J11709" s="8"/>
    </row>
    <row r="11710">
      <c r="C11710" s="15"/>
      <c r="E11710" s="8"/>
      <c r="G11710" s="8"/>
      <c r="J11710" s="8"/>
    </row>
    <row r="11711">
      <c r="C11711" s="15"/>
      <c r="E11711" s="8"/>
      <c r="G11711" s="8"/>
      <c r="J11711" s="8"/>
    </row>
    <row r="11712">
      <c r="C11712" s="15"/>
      <c r="E11712" s="8"/>
      <c r="G11712" s="8"/>
      <c r="J11712" s="8"/>
    </row>
    <row r="11713">
      <c r="C11713" s="15"/>
      <c r="E11713" s="8"/>
      <c r="G11713" s="8"/>
      <c r="J11713" s="8"/>
    </row>
    <row r="11714">
      <c r="C11714" s="15"/>
      <c r="E11714" s="8"/>
      <c r="G11714" s="8"/>
      <c r="J11714" s="8"/>
    </row>
    <row r="11715">
      <c r="C11715" s="15"/>
      <c r="E11715" s="8"/>
      <c r="G11715" s="8"/>
      <c r="J11715" s="8"/>
    </row>
    <row r="11716">
      <c r="C11716" s="15"/>
      <c r="E11716" s="8"/>
      <c r="G11716" s="8"/>
      <c r="J11716" s="8"/>
    </row>
    <row r="11717">
      <c r="C11717" s="15"/>
      <c r="E11717" s="8"/>
      <c r="G11717" s="8"/>
      <c r="J11717" s="8"/>
    </row>
    <row r="11718">
      <c r="C11718" s="15"/>
      <c r="E11718" s="8"/>
      <c r="G11718" s="8"/>
      <c r="J11718" s="8"/>
    </row>
    <row r="11719">
      <c r="C11719" s="15"/>
      <c r="E11719" s="8"/>
      <c r="G11719" s="8"/>
      <c r="J11719" s="8"/>
    </row>
    <row r="11720">
      <c r="C11720" s="15"/>
      <c r="E11720" s="8"/>
      <c r="G11720" s="8"/>
      <c r="J11720" s="8"/>
    </row>
    <row r="11721">
      <c r="C11721" s="15"/>
      <c r="E11721" s="8"/>
      <c r="G11721" s="8"/>
      <c r="J11721" s="8"/>
    </row>
    <row r="11722">
      <c r="C11722" s="15"/>
      <c r="E11722" s="8"/>
      <c r="G11722" s="8"/>
      <c r="J11722" s="8"/>
    </row>
    <row r="11723">
      <c r="C11723" s="15"/>
      <c r="E11723" s="8"/>
      <c r="G11723" s="8"/>
      <c r="J11723" s="8"/>
    </row>
    <row r="11724">
      <c r="C11724" s="15"/>
      <c r="E11724" s="8"/>
      <c r="G11724" s="8"/>
      <c r="J11724" s="8"/>
    </row>
    <row r="11725">
      <c r="C11725" s="15"/>
      <c r="E11725" s="8"/>
      <c r="G11725" s="8"/>
      <c r="J11725" s="8"/>
    </row>
    <row r="11726">
      <c r="C11726" s="15"/>
      <c r="E11726" s="8"/>
      <c r="G11726" s="8"/>
      <c r="J11726" s="8"/>
    </row>
    <row r="11727">
      <c r="C11727" s="15"/>
      <c r="E11727" s="8"/>
      <c r="G11727" s="8"/>
      <c r="J11727" s="8"/>
    </row>
    <row r="11728">
      <c r="C11728" s="15"/>
      <c r="E11728" s="8"/>
      <c r="G11728" s="8"/>
      <c r="J11728" s="8"/>
    </row>
    <row r="11729">
      <c r="C11729" s="15"/>
      <c r="E11729" s="8"/>
      <c r="G11729" s="8"/>
      <c r="J11729" s="8"/>
    </row>
    <row r="11730">
      <c r="C11730" s="15"/>
      <c r="E11730" s="8"/>
      <c r="G11730" s="8"/>
      <c r="J11730" s="8"/>
    </row>
    <row r="11731">
      <c r="C11731" s="15"/>
      <c r="E11731" s="8"/>
      <c r="G11731" s="8"/>
      <c r="J11731" s="8"/>
    </row>
    <row r="11732">
      <c r="C11732" s="15"/>
      <c r="E11732" s="8"/>
      <c r="G11732" s="8"/>
      <c r="J11732" s="8"/>
    </row>
    <row r="11733">
      <c r="C11733" s="15"/>
      <c r="E11733" s="8"/>
      <c r="G11733" s="8"/>
      <c r="J11733" s="8"/>
    </row>
    <row r="11734">
      <c r="C11734" s="15"/>
      <c r="E11734" s="8"/>
      <c r="G11734" s="8"/>
      <c r="J11734" s="8"/>
    </row>
    <row r="11735">
      <c r="C11735" s="15"/>
      <c r="E11735" s="8"/>
      <c r="G11735" s="8"/>
      <c r="J11735" s="8"/>
    </row>
    <row r="11736">
      <c r="C11736" s="15"/>
      <c r="E11736" s="8"/>
      <c r="G11736" s="8"/>
      <c r="J11736" s="8"/>
    </row>
    <row r="11737">
      <c r="C11737" s="15"/>
      <c r="E11737" s="8"/>
      <c r="G11737" s="8"/>
      <c r="J11737" s="8"/>
    </row>
    <row r="11738">
      <c r="C11738" s="15"/>
      <c r="E11738" s="8"/>
      <c r="G11738" s="8"/>
      <c r="J11738" s="8"/>
    </row>
    <row r="11739">
      <c r="C11739" s="15"/>
      <c r="E11739" s="8"/>
      <c r="G11739" s="8"/>
      <c r="J11739" s="8"/>
    </row>
    <row r="11740">
      <c r="C11740" s="15"/>
      <c r="E11740" s="8"/>
      <c r="G11740" s="8"/>
      <c r="J11740" s="8"/>
    </row>
    <row r="11741">
      <c r="C11741" s="15"/>
      <c r="E11741" s="8"/>
      <c r="G11741" s="8"/>
      <c r="J11741" s="8"/>
    </row>
    <row r="11742">
      <c r="C11742" s="15"/>
      <c r="E11742" s="8"/>
      <c r="G11742" s="8"/>
      <c r="J11742" s="8"/>
    </row>
    <row r="11743">
      <c r="C11743" s="15"/>
      <c r="E11743" s="8"/>
      <c r="G11743" s="8"/>
      <c r="J11743" s="8"/>
    </row>
    <row r="11744">
      <c r="C11744" s="15"/>
      <c r="E11744" s="8"/>
      <c r="G11744" s="8"/>
      <c r="J11744" s="8"/>
    </row>
    <row r="11745">
      <c r="C11745" s="15"/>
      <c r="E11745" s="8"/>
      <c r="G11745" s="8"/>
      <c r="J11745" s="8"/>
    </row>
    <row r="11746">
      <c r="C11746" s="15"/>
      <c r="E11746" s="8"/>
      <c r="G11746" s="8"/>
      <c r="J11746" s="8"/>
    </row>
    <row r="11747">
      <c r="C11747" s="15"/>
      <c r="E11747" s="8"/>
      <c r="G11747" s="8"/>
      <c r="J11747" s="8"/>
    </row>
    <row r="11748">
      <c r="C11748" s="15"/>
      <c r="E11748" s="8"/>
      <c r="G11748" s="8"/>
      <c r="J11748" s="8"/>
    </row>
    <row r="11749">
      <c r="C11749" s="15"/>
      <c r="E11749" s="8"/>
      <c r="G11749" s="8"/>
      <c r="J11749" s="8"/>
    </row>
    <row r="11750">
      <c r="C11750" s="15"/>
      <c r="E11750" s="8"/>
      <c r="G11750" s="8"/>
      <c r="J11750" s="8"/>
    </row>
    <row r="11751">
      <c r="C11751" s="15"/>
      <c r="E11751" s="8"/>
      <c r="G11751" s="8"/>
      <c r="J11751" s="8"/>
    </row>
    <row r="11752">
      <c r="C11752" s="15"/>
      <c r="E11752" s="8"/>
      <c r="G11752" s="8"/>
      <c r="J11752" s="8"/>
    </row>
    <row r="11753">
      <c r="C11753" s="15"/>
      <c r="E11753" s="8"/>
      <c r="G11753" s="8"/>
      <c r="J11753" s="8"/>
    </row>
    <row r="11754">
      <c r="C11754" s="15"/>
      <c r="E11754" s="8"/>
      <c r="G11754" s="8"/>
      <c r="J11754" s="8"/>
    </row>
    <row r="11755">
      <c r="C11755" s="15"/>
      <c r="E11755" s="8"/>
      <c r="G11755" s="8"/>
      <c r="J11755" s="8"/>
    </row>
    <row r="11756">
      <c r="C11756" s="15"/>
      <c r="E11756" s="8"/>
      <c r="G11756" s="8"/>
      <c r="J11756" s="8"/>
    </row>
    <row r="11757">
      <c r="C11757" s="15"/>
      <c r="E11757" s="8"/>
      <c r="G11757" s="8"/>
      <c r="J11757" s="8"/>
    </row>
    <row r="11758">
      <c r="C11758" s="15"/>
      <c r="E11758" s="8"/>
      <c r="G11758" s="8"/>
      <c r="J11758" s="8"/>
    </row>
    <row r="11759">
      <c r="C11759" s="15"/>
      <c r="E11759" s="8"/>
      <c r="G11759" s="8"/>
      <c r="J11759" s="8"/>
    </row>
    <row r="11760">
      <c r="C11760" s="15"/>
      <c r="E11760" s="8"/>
      <c r="G11760" s="8"/>
      <c r="J11760" s="8"/>
    </row>
    <row r="11761">
      <c r="C11761" s="15"/>
      <c r="E11761" s="8"/>
      <c r="G11761" s="8"/>
      <c r="J11761" s="8"/>
    </row>
    <row r="11762">
      <c r="C11762" s="15"/>
      <c r="E11762" s="8"/>
      <c r="G11762" s="8"/>
      <c r="J11762" s="8"/>
    </row>
    <row r="11763">
      <c r="C11763" s="15"/>
      <c r="E11763" s="8"/>
      <c r="G11763" s="8"/>
      <c r="J11763" s="8"/>
    </row>
    <row r="11764">
      <c r="C11764" s="15"/>
      <c r="E11764" s="8"/>
      <c r="G11764" s="8"/>
      <c r="J11764" s="8"/>
    </row>
    <row r="11765">
      <c r="C11765" s="15"/>
      <c r="E11765" s="8"/>
      <c r="G11765" s="8"/>
      <c r="J11765" s="8"/>
    </row>
    <row r="11766">
      <c r="C11766" s="15"/>
      <c r="E11766" s="8"/>
      <c r="G11766" s="8"/>
      <c r="J11766" s="8"/>
    </row>
    <row r="11767">
      <c r="C11767" s="15"/>
      <c r="E11767" s="8"/>
      <c r="G11767" s="8"/>
      <c r="J11767" s="8"/>
    </row>
    <row r="11768">
      <c r="C11768" s="15"/>
      <c r="E11768" s="8"/>
      <c r="G11768" s="8"/>
      <c r="J11768" s="8"/>
    </row>
    <row r="11769">
      <c r="C11769" s="15"/>
      <c r="E11769" s="8"/>
      <c r="G11769" s="8"/>
      <c r="J11769" s="8"/>
    </row>
    <row r="11770">
      <c r="C11770" s="15"/>
      <c r="E11770" s="8"/>
      <c r="G11770" s="8"/>
      <c r="J11770" s="8"/>
    </row>
    <row r="11771">
      <c r="C11771" s="15"/>
      <c r="E11771" s="8"/>
      <c r="G11771" s="8"/>
      <c r="J11771" s="8"/>
    </row>
    <row r="11772">
      <c r="C11772" s="15"/>
      <c r="E11772" s="8"/>
      <c r="G11772" s="8"/>
      <c r="J11772" s="8"/>
    </row>
    <row r="11773">
      <c r="C11773" s="15"/>
      <c r="E11773" s="8"/>
      <c r="G11773" s="8"/>
      <c r="J11773" s="8"/>
    </row>
    <row r="11774">
      <c r="C11774" s="15"/>
      <c r="E11774" s="8"/>
      <c r="G11774" s="8"/>
      <c r="J11774" s="8"/>
    </row>
    <row r="11775">
      <c r="C11775" s="15"/>
      <c r="E11775" s="8"/>
      <c r="G11775" s="8"/>
      <c r="J11775" s="8"/>
    </row>
    <row r="11776">
      <c r="C11776" s="15"/>
      <c r="E11776" s="8"/>
      <c r="G11776" s="8"/>
      <c r="J11776" s="8"/>
    </row>
    <row r="11777">
      <c r="C11777" s="15"/>
      <c r="E11777" s="8"/>
      <c r="G11777" s="8"/>
      <c r="J11777" s="8"/>
    </row>
    <row r="11778">
      <c r="C11778" s="15"/>
      <c r="E11778" s="8"/>
      <c r="G11778" s="8"/>
      <c r="J11778" s="8"/>
    </row>
    <row r="11779">
      <c r="C11779" s="15"/>
      <c r="E11779" s="8"/>
      <c r="G11779" s="8"/>
      <c r="J11779" s="8"/>
    </row>
    <row r="11780">
      <c r="C11780" s="15"/>
      <c r="E11780" s="8"/>
      <c r="G11780" s="8"/>
      <c r="J11780" s="8"/>
    </row>
    <row r="11781">
      <c r="C11781" s="15"/>
      <c r="E11781" s="8"/>
      <c r="G11781" s="8"/>
      <c r="J11781" s="8"/>
    </row>
    <row r="11782">
      <c r="C11782" s="15"/>
      <c r="E11782" s="8"/>
      <c r="G11782" s="8"/>
      <c r="J11782" s="8"/>
    </row>
    <row r="11783">
      <c r="C11783" s="15"/>
      <c r="E11783" s="8"/>
      <c r="G11783" s="8"/>
      <c r="J11783" s="8"/>
    </row>
    <row r="11784">
      <c r="C11784" s="15"/>
      <c r="E11784" s="8"/>
      <c r="G11784" s="8"/>
      <c r="J11784" s="8"/>
    </row>
    <row r="11785">
      <c r="C11785" s="15"/>
      <c r="E11785" s="8"/>
      <c r="G11785" s="8"/>
      <c r="J11785" s="8"/>
    </row>
    <row r="11786">
      <c r="C11786" s="15"/>
      <c r="E11786" s="8"/>
      <c r="G11786" s="8"/>
      <c r="J11786" s="8"/>
    </row>
    <row r="11787">
      <c r="C11787" s="15"/>
      <c r="E11787" s="8"/>
      <c r="G11787" s="8"/>
      <c r="J11787" s="8"/>
    </row>
    <row r="11788">
      <c r="C11788" s="15"/>
      <c r="E11788" s="8"/>
      <c r="G11788" s="8"/>
      <c r="J11788" s="8"/>
    </row>
    <row r="11789">
      <c r="C11789" s="15"/>
      <c r="E11789" s="8"/>
      <c r="G11789" s="8"/>
      <c r="J11789" s="8"/>
    </row>
    <row r="11790">
      <c r="C11790" s="15"/>
      <c r="E11790" s="8"/>
      <c r="G11790" s="8"/>
      <c r="J11790" s="8"/>
    </row>
    <row r="11791">
      <c r="C11791" s="15"/>
      <c r="E11791" s="8"/>
      <c r="G11791" s="8"/>
      <c r="J11791" s="8"/>
    </row>
    <row r="11792">
      <c r="C11792" s="15"/>
      <c r="E11792" s="8"/>
      <c r="G11792" s="8"/>
      <c r="J11792" s="8"/>
    </row>
    <row r="11793">
      <c r="C11793" s="15"/>
      <c r="E11793" s="8"/>
      <c r="G11793" s="8"/>
      <c r="J11793" s="8"/>
    </row>
    <row r="11794">
      <c r="C11794" s="15"/>
      <c r="E11794" s="8"/>
      <c r="G11794" s="8"/>
      <c r="J11794" s="8"/>
    </row>
    <row r="11795">
      <c r="C11795" s="15"/>
      <c r="E11795" s="8"/>
      <c r="G11795" s="8"/>
      <c r="J11795" s="8"/>
    </row>
    <row r="11796">
      <c r="C11796" s="15"/>
      <c r="E11796" s="8"/>
      <c r="G11796" s="8"/>
      <c r="J11796" s="8"/>
    </row>
    <row r="11797">
      <c r="C11797" s="15"/>
      <c r="E11797" s="8"/>
      <c r="G11797" s="8"/>
      <c r="J11797" s="8"/>
    </row>
    <row r="11798">
      <c r="C11798" s="15"/>
      <c r="E11798" s="8"/>
      <c r="G11798" s="8"/>
      <c r="J11798" s="8"/>
    </row>
    <row r="11799">
      <c r="C11799" s="15"/>
      <c r="E11799" s="8"/>
      <c r="G11799" s="8"/>
      <c r="J11799" s="8"/>
    </row>
    <row r="11800">
      <c r="C11800" s="15"/>
      <c r="E11800" s="8"/>
      <c r="G11800" s="8"/>
      <c r="J11800" s="8"/>
    </row>
    <row r="11801">
      <c r="C11801" s="15"/>
      <c r="E11801" s="8"/>
      <c r="G11801" s="8"/>
      <c r="J11801" s="8"/>
    </row>
    <row r="11802">
      <c r="C11802" s="15"/>
      <c r="E11802" s="8"/>
      <c r="G11802" s="8"/>
      <c r="J11802" s="8"/>
    </row>
    <row r="11803">
      <c r="C11803" s="15"/>
      <c r="E11803" s="8"/>
      <c r="G11803" s="8"/>
      <c r="J11803" s="8"/>
    </row>
    <row r="11804">
      <c r="C11804" s="15"/>
      <c r="E11804" s="8"/>
      <c r="G11804" s="8"/>
      <c r="J11804" s="8"/>
    </row>
    <row r="11805">
      <c r="C11805" s="15"/>
      <c r="E11805" s="8"/>
      <c r="G11805" s="8"/>
      <c r="J11805" s="8"/>
    </row>
    <row r="11806">
      <c r="C11806" s="15"/>
      <c r="E11806" s="8"/>
      <c r="G11806" s="8"/>
      <c r="J11806" s="8"/>
    </row>
    <row r="11807">
      <c r="C11807" s="15"/>
      <c r="E11807" s="8"/>
      <c r="G11807" s="8"/>
      <c r="J11807" s="8"/>
    </row>
    <row r="11808">
      <c r="C11808" s="15"/>
      <c r="E11808" s="8"/>
      <c r="G11808" s="8"/>
      <c r="J11808" s="8"/>
    </row>
    <row r="11809">
      <c r="C11809" s="15"/>
      <c r="E11809" s="8"/>
      <c r="G11809" s="8"/>
      <c r="J11809" s="8"/>
    </row>
    <row r="11810">
      <c r="C11810" s="15"/>
      <c r="E11810" s="8"/>
      <c r="G11810" s="8"/>
      <c r="J11810" s="8"/>
    </row>
    <row r="11811">
      <c r="C11811" s="15"/>
      <c r="E11811" s="8"/>
      <c r="G11811" s="8"/>
      <c r="J11811" s="8"/>
    </row>
    <row r="11812">
      <c r="C11812" s="15"/>
      <c r="E11812" s="8"/>
      <c r="G11812" s="8"/>
      <c r="J11812" s="8"/>
    </row>
    <row r="11813">
      <c r="C11813" s="15"/>
      <c r="E11813" s="8"/>
      <c r="G11813" s="8"/>
      <c r="J11813" s="8"/>
    </row>
    <row r="11814">
      <c r="C11814" s="15"/>
      <c r="E11814" s="8"/>
      <c r="G11814" s="8"/>
      <c r="J11814" s="8"/>
    </row>
    <row r="11815">
      <c r="C11815" s="15"/>
      <c r="E11815" s="8"/>
      <c r="G11815" s="8"/>
      <c r="J11815" s="8"/>
    </row>
    <row r="11816">
      <c r="C11816" s="15"/>
      <c r="E11816" s="8"/>
      <c r="G11816" s="8"/>
      <c r="J11816" s="8"/>
    </row>
    <row r="11817">
      <c r="C11817" s="15"/>
      <c r="E11817" s="8"/>
      <c r="G11817" s="8"/>
      <c r="J11817" s="8"/>
    </row>
    <row r="11818">
      <c r="C11818" s="15"/>
      <c r="E11818" s="8"/>
      <c r="G11818" s="8"/>
      <c r="J11818" s="8"/>
    </row>
    <row r="11819">
      <c r="C11819" s="15"/>
      <c r="E11819" s="8"/>
      <c r="G11819" s="8"/>
      <c r="J11819" s="8"/>
    </row>
    <row r="11820">
      <c r="C11820" s="15"/>
      <c r="E11820" s="8"/>
      <c r="G11820" s="8"/>
      <c r="J11820" s="8"/>
    </row>
    <row r="11821">
      <c r="C11821" s="15"/>
      <c r="E11821" s="8"/>
      <c r="G11821" s="8"/>
      <c r="J11821" s="8"/>
    </row>
    <row r="11822">
      <c r="C11822" s="15"/>
      <c r="E11822" s="8"/>
      <c r="G11822" s="8"/>
      <c r="J11822" s="8"/>
    </row>
    <row r="11823">
      <c r="C11823" s="15"/>
      <c r="E11823" s="8"/>
      <c r="G11823" s="8"/>
      <c r="J11823" s="8"/>
    </row>
    <row r="11824">
      <c r="C11824" s="15"/>
      <c r="E11824" s="8"/>
      <c r="G11824" s="8"/>
      <c r="J11824" s="8"/>
    </row>
    <row r="11825">
      <c r="C11825" s="15"/>
      <c r="E11825" s="8"/>
      <c r="G11825" s="8"/>
      <c r="J11825" s="8"/>
    </row>
    <row r="11826">
      <c r="C11826" s="15"/>
      <c r="E11826" s="8"/>
      <c r="G11826" s="8"/>
      <c r="J11826" s="8"/>
    </row>
    <row r="11827">
      <c r="C11827" s="15"/>
      <c r="E11827" s="8"/>
      <c r="G11827" s="8"/>
      <c r="J11827" s="8"/>
    </row>
    <row r="11828">
      <c r="C11828" s="15"/>
      <c r="E11828" s="8"/>
      <c r="G11828" s="8"/>
      <c r="J11828" s="8"/>
    </row>
    <row r="11829">
      <c r="C11829" s="15"/>
      <c r="E11829" s="8"/>
      <c r="G11829" s="8"/>
      <c r="J11829" s="8"/>
    </row>
    <row r="11830">
      <c r="C11830" s="15"/>
      <c r="E11830" s="8"/>
      <c r="G11830" s="8"/>
      <c r="J11830" s="8"/>
    </row>
    <row r="11831">
      <c r="C11831" s="15"/>
      <c r="E11831" s="8"/>
      <c r="G11831" s="8"/>
      <c r="J11831" s="8"/>
    </row>
    <row r="11832">
      <c r="C11832" s="15"/>
      <c r="E11832" s="8"/>
      <c r="G11832" s="8"/>
      <c r="J11832" s="8"/>
    </row>
    <row r="11833">
      <c r="C11833" s="15"/>
      <c r="E11833" s="8"/>
      <c r="G11833" s="8"/>
      <c r="J11833" s="8"/>
    </row>
    <row r="11834">
      <c r="C11834" s="15"/>
      <c r="E11834" s="8"/>
      <c r="G11834" s="8"/>
      <c r="J11834" s="8"/>
    </row>
    <row r="11835">
      <c r="C11835" s="15"/>
      <c r="E11835" s="8"/>
      <c r="G11835" s="8"/>
      <c r="J11835" s="8"/>
    </row>
    <row r="11836">
      <c r="C11836" s="15"/>
      <c r="E11836" s="8"/>
      <c r="G11836" s="8"/>
      <c r="J11836" s="8"/>
    </row>
    <row r="11837">
      <c r="C11837" s="15"/>
      <c r="E11837" s="8"/>
      <c r="G11837" s="8"/>
      <c r="J11837" s="8"/>
    </row>
    <row r="11838">
      <c r="C11838" s="15"/>
      <c r="E11838" s="8"/>
      <c r="G11838" s="8"/>
      <c r="J11838" s="8"/>
    </row>
    <row r="11839">
      <c r="C11839" s="15"/>
      <c r="E11839" s="8"/>
      <c r="G11839" s="8"/>
      <c r="J11839" s="8"/>
    </row>
    <row r="11840">
      <c r="C11840" s="15"/>
      <c r="E11840" s="8"/>
      <c r="G11840" s="8"/>
      <c r="J11840" s="8"/>
    </row>
    <row r="11841">
      <c r="C11841" s="15"/>
      <c r="E11841" s="8"/>
      <c r="G11841" s="8"/>
      <c r="J11841" s="8"/>
    </row>
    <row r="11842">
      <c r="C11842" s="15"/>
      <c r="E11842" s="8"/>
      <c r="G11842" s="8"/>
      <c r="J11842" s="8"/>
    </row>
    <row r="11843">
      <c r="C11843" s="15"/>
      <c r="E11843" s="8"/>
      <c r="G11843" s="8"/>
      <c r="J11843" s="8"/>
    </row>
    <row r="11844">
      <c r="C11844" s="15"/>
      <c r="E11844" s="8"/>
      <c r="G11844" s="8"/>
      <c r="J11844" s="8"/>
    </row>
    <row r="11845">
      <c r="C11845" s="15"/>
      <c r="E11845" s="8"/>
      <c r="G11845" s="8"/>
      <c r="J11845" s="8"/>
    </row>
    <row r="11846">
      <c r="C11846" s="15"/>
      <c r="E11846" s="8"/>
      <c r="G11846" s="8"/>
      <c r="J11846" s="8"/>
    </row>
    <row r="11847">
      <c r="C11847" s="15"/>
      <c r="E11847" s="8"/>
      <c r="G11847" s="8"/>
      <c r="J11847" s="8"/>
    </row>
    <row r="11848">
      <c r="C11848" s="15"/>
      <c r="E11848" s="8"/>
      <c r="G11848" s="8"/>
      <c r="J11848" s="8"/>
    </row>
    <row r="11849">
      <c r="C11849" s="15"/>
      <c r="E11849" s="8"/>
      <c r="G11849" s="8"/>
      <c r="J11849" s="8"/>
    </row>
    <row r="11850">
      <c r="C11850" s="15"/>
      <c r="E11850" s="8"/>
      <c r="G11850" s="8"/>
      <c r="J11850" s="8"/>
    </row>
    <row r="11851">
      <c r="C11851" s="15"/>
      <c r="E11851" s="8"/>
      <c r="G11851" s="8"/>
      <c r="J11851" s="8"/>
    </row>
    <row r="11852">
      <c r="C11852" s="15"/>
      <c r="E11852" s="8"/>
      <c r="G11852" s="8"/>
      <c r="J11852" s="8"/>
    </row>
    <row r="11853">
      <c r="C11853" s="15"/>
      <c r="E11853" s="8"/>
      <c r="G11853" s="8"/>
      <c r="J11853" s="8"/>
    </row>
    <row r="11854">
      <c r="C11854" s="15"/>
      <c r="E11854" s="8"/>
      <c r="G11854" s="8"/>
      <c r="J11854" s="8"/>
    </row>
    <row r="11855">
      <c r="C11855" s="15"/>
      <c r="E11855" s="8"/>
      <c r="G11855" s="8"/>
      <c r="J11855" s="8"/>
    </row>
    <row r="11856">
      <c r="C11856" s="15"/>
      <c r="E11856" s="8"/>
      <c r="G11856" s="8"/>
      <c r="J11856" s="8"/>
    </row>
    <row r="11857">
      <c r="C11857" s="15"/>
      <c r="E11857" s="8"/>
      <c r="G11857" s="8"/>
      <c r="J11857" s="8"/>
    </row>
    <row r="11858">
      <c r="C11858" s="15"/>
      <c r="E11858" s="8"/>
      <c r="G11858" s="8"/>
      <c r="J11858" s="8"/>
    </row>
    <row r="11859">
      <c r="C11859" s="15"/>
      <c r="E11859" s="8"/>
      <c r="G11859" s="8"/>
      <c r="J11859" s="8"/>
    </row>
    <row r="11860">
      <c r="C11860" s="15"/>
      <c r="E11860" s="8"/>
      <c r="G11860" s="8"/>
      <c r="J11860" s="8"/>
    </row>
    <row r="11861">
      <c r="C11861" s="15"/>
      <c r="E11861" s="8"/>
      <c r="G11861" s="8"/>
      <c r="J11861" s="8"/>
    </row>
    <row r="11862">
      <c r="C11862" s="15"/>
      <c r="E11862" s="8"/>
      <c r="G11862" s="8"/>
      <c r="J11862" s="8"/>
    </row>
    <row r="11863">
      <c r="C11863" s="15"/>
      <c r="E11863" s="8"/>
      <c r="G11863" s="8"/>
      <c r="J11863" s="8"/>
    </row>
    <row r="11864">
      <c r="C11864" s="15"/>
      <c r="E11864" s="8"/>
      <c r="G11864" s="8"/>
      <c r="J11864" s="8"/>
    </row>
    <row r="11865">
      <c r="C11865" s="15"/>
      <c r="E11865" s="8"/>
      <c r="G11865" s="8"/>
      <c r="J11865" s="8"/>
    </row>
    <row r="11866">
      <c r="C11866" s="15"/>
      <c r="E11866" s="8"/>
      <c r="G11866" s="8"/>
      <c r="J11866" s="8"/>
    </row>
    <row r="11867">
      <c r="C11867" s="15"/>
      <c r="E11867" s="8"/>
      <c r="G11867" s="8"/>
      <c r="J11867" s="8"/>
    </row>
    <row r="11868">
      <c r="C11868" s="15"/>
      <c r="E11868" s="8"/>
      <c r="G11868" s="8"/>
      <c r="J11868" s="8"/>
    </row>
    <row r="11869">
      <c r="C11869" s="15"/>
      <c r="E11869" s="8"/>
      <c r="G11869" s="8"/>
      <c r="J11869" s="8"/>
    </row>
    <row r="11870">
      <c r="C11870" s="15"/>
      <c r="E11870" s="8"/>
      <c r="G11870" s="8"/>
      <c r="J11870" s="8"/>
    </row>
    <row r="11871">
      <c r="C11871" s="15"/>
      <c r="E11871" s="8"/>
      <c r="G11871" s="8"/>
      <c r="J11871" s="8"/>
    </row>
    <row r="11872">
      <c r="C11872" s="15"/>
      <c r="E11872" s="8"/>
      <c r="G11872" s="8"/>
      <c r="J11872" s="8"/>
    </row>
    <row r="11873">
      <c r="C11873" s="15"/>
      <c r="E11873" s="8"/>
      <c r="G11873" s="8"/>
      <c r="J11873" s="8"/>
    </row>
    <row r="11874">
      <c r="C11874" s="15"/>
      <c r="E11874" s="8"/>
      <c r="G11874" s="8"/>
      <c r="J11874" s="8"/>
    </row>
    <row r="11875">
      <c r="C11875" s="15"/>
      <c r="E11875" s="8"/>
      <c r="G11875" s="8"/>
      <c r="J11875" s="8"/>
    </row>
    <row r="11876">
      <c r="C11876" s="15"/>
      <c r="E11876" s="8"/>
      <c r="G11876" s="8"/>
      <c r="J11876" s="8"/>
    </row>
    <row r="11877">
      <c r="C11877" s="15"/>
      <c r="E11877" s="8"/>
      <c r="G11877" s="8"/>
      <c r="J11877" s="8"/>
    </row>
    <row r="11878">
      <c r="C11878" s="15"/>
      <c r="E11878" s="8"/>
      <c r="G11878" s="8"/>
      <c r="J11878" s="8"/>
    </row>
    <row r="11879">
      <c r="C11879" s="15"/>
      <c r="E11879" s="8"/>
      <c r="G11879" s="8"/>
      <c r="J11879" s="8"/>
    </row>
    <row r="11880">
      <c r="C11880" s="15"/>
      <c r="E11880" s="8"/>
      <c r="G11880" s="8"/>
      <c r="J11880" s="8"/>
    </row>
    <row r="11881">
      <c r="C11881" s="15"/>
      <c r="E11881" s="8"/>
      <c r="G11881" s="8"/>
      <c r="J11881" s="8"/>
    </row>
    <row r="11882">
      <c r="C11882" s="15"/>
      <c r="E11882" s="8"/>
      <c r="G11882" s="8"/>
      <c r="J11882" s="8"/>
    </row>
    <row r="11883">
      <c r="C11883" s="15"/>
      <c r="E11883" s="8"/>
      <c r="G11883" s="8"/>
      <c r="J11883" s="8"/>
    </row>
    <row r="11884">
      <c r="C11884" s="15"/>
      <c r="E11884" s="8"/>
      <c r="G11884" s="8"/>
      <c r="J11884" s="8"/>
    </row>
    <row r="11885">
      <c r="C11885" s="15"/>
      <c r="E11885" s="8"/>
      <c r="G11885" s="8"/>
      <c r="J11885" s="8"/>
    </row>
    <row r="11886">
      <c r="C11886" s="15"/>
      <c r="E11886" s="8"/>
      <c r="G11886" s="8"/>
      <c r="J11886" s="8"/>
    </row>
    <row r="11887">
      <c r="C11887" s="15"/>
      <c r="E11887" s="8"/>
      <c r="G11887" s="8"/>
      <c r="J11887" s="8"/>
    </row>
    <row r="11888">
      <c r="C11888" s="15"/>
      <c r="E11888" s="8"/>
      <c r="G11888" s="8"/>
      <c r="J11888" s="8"/>
    </row>
    <row r="11889">
      <c r="C11889" s="15"/>
      <c r="E11889" s="8"/>
      <c r="G11889" s="8"/>
      <c r="J11889" s="8"/>
    </row>
    <row r="11890">
      <c r="C11890" s="15"/>
      <c r="E11890" s="8"/>
      <c r="G11890" s="8"/>
      <c r="J11890" s="8"/>
    </row>
    <row r="11891">
      <c r="C11891" s="15"/>
      <c r="E11891" s="8"/>
      <c r="G11891" s="8"/>
      <c r="J11891" s="8"/>
    </row>
    <row r="11892">
      <c r="C11892" s="15"/>
      <c r="E11892" s="8"/>
      <c r="G11892" s="8"/>
      <c r="J11892" s="8"/>
    </row>
    <row r="11893">
      <c r="C11893" s="15"/>
      <c r="E11893" s="8"/>
      <c r="G11893" s="8"/>
      <c r="J11893" s="8"/>
    </row>
    <row r="11894">
      <c r="C11894" s="15"/>
      <c r="E11894" s="8"/>
      <c r="G11894" s="8"/>
      <c r="J11894" s="8"/>
    </row>
    <row r="11895">
      <c r="C11895" s="15"/>
      <c r="E11895" s="8"/>
      <c r="G11895" s="8"/>
      <c r="J11895" s="8"/>
    </row>
    <row r="11896">
      <c r="C11896" s="15"/>
      <c r="E11896" s="8"/>
      <c r="G11896" s="8"/>
      <c r="J11896" s="8"/>
    </row>
    <row r="11897">
      <c r="C11897" s="15"/>
      <c r="E11897" s="8"/>
      <c r="G11897" s="8"/>
      <c r="J11897" s="8"/>
    </row>
    <row r="11898">
      <c r="C11898" s="15"/>
      <c r="E11898" s="8"/>
      <c r="G11898" s="8"/>
      <c r="J11898" s="8"/>
    </row>
    <row r="11899">
      <c r="C11899" s="15"/>
      <c r="E11899" s="8"/>
      <c r="G11899" s="8"/>
      <c r="J11899" s="8"/>
    </row>
    <row r="11900">
      <c r="C11900" s="15"/>
      <c r="E11900" s="8"/>
      <c r="G11900" s="8"/>
      <c r="J11900" s="8"/>
    </row>
    <row r="11901">
      <c r="C11901" s="15"/>
      <c r="E11901" s="8"/>
      <c r="G11901" s="8"/>
      <c r="J11901" s="8"/>
    </row>
    <row r="11902">
      <c r="C11902" s="15"/>
      <c r="E11902" s="8"/>
      <c r="G11902" s="8"/>
      <c r="J11902" s="8"/>
    </row>
    <row r="11903">
      <c r="C11903" s="15"/>
      <c r="E11903" s="8"/>
      <c r="G11903" s="8"/>
      <c r="J11903" s="8"/>
    </row>
    <row r="11904">
      <c r="C11904" s="15"/>
      <c r="E11904" s="8"/>
      <c r="G11904" s="8"/>
      <c r="J11904" s="8"/>
    </row>
    <row r="11905">
      <c r="C11905" s="15"/>
      <c r="E11905" s="8"/>
      <c r="G11905" s="8"/>
      <c r="J11905" s="8"/>
    </row>
    <row r="11906">
      <c r="C11906" s="15"/>
      <c r="E11906" s="8"/>
      <c r="G11906" s="8"/>
      <c r="J11906" s="8"/>
    </row>
    <row r="11907">
      <c r="C11907" s="15"/>
      <c r="E11907" s="8"/>
      <c r="G11907" s="8"/>
      <c r="J11907" s="8"/>
    </row>
    <row r="11908">
      <c r="C11908" s="15"/>
      <c r="E11908" s="8"/>
      <c r="G11908" s="8"/>
      <c r="J11908" s="8"/>
    </row>
    <row r="11909">
      <c r="C11909" s="15"/>
      <c r="E11909" s="8"/>
      <c r="G11909" s="8"/>
      <c r="J11909" s="8"/>
    </row>
    <row r="11910">
      <c r="C11910" s="15"/>
      <c r="E11910" s="8"/>
      <c r="G11910" s="8"/>
      <c r="J11910" s="8"/>
    </row>
    <row r="11911">
      <c r="C11911" s="15"/>
      <c r="E11911" s="8"/>
      <c r="G11911" s="8"/>
      <c r="J11911" s="8"/>
    </row>
    <row r="11912">
      <c r="C11912" s="15"/>
      <c r="E11912" s="8"/>
      <c r="G11912" s="8"/>
      <c r="J11912" s="8"/>
    </row>
    <row r="11913">
      <c r="C11913" s="15"/>
      <c r="E11913" s="8"/>
      <c r="G11913" s="8"/>
      <c r="J11913" s="8"/>
    </row>
    <row r="11914">
      <c r="C11914" s="15"/>
      <c r="E11914" s="8"/>
      <c r="G11914" s="8"/>
      <c r="J11914" s="8"/>
    </row>
    <row r="11915">
      <c r="C11915" s="15"/>
      <c r="E11915" s="8"/>
      <c r="G11915" s="8"/>
      <c r="J11915" s="8"/>
    </row>
    <row r="11916">
      <c r="C11916" s="15"/>
      <c r="E11916" s="8"/>
      <c r="G11916" s="8"/>
      <c r="J11916" s="8"/>
    </row>
    <row r="11917">
      <c r="C11917" s="15"/>
      <c r="E11917" s="8"/>
      <c r="G11917" s="8"/>
      <c r="J11917" s="8"/>
    </row>
    <row r="11918">
      <c r="C11918" s="15"/>
      <c r="E11918" s="8"/>
      <c r="G11918" s="8"/>
      <c r="J11918" s="8"/>
    </row>
    <row r="11919">
      <c r="C11919" s="15"/>
      <c r="E11919" s="8"/>
      <c r="G11919" s="8"/>
      <c r="J11919" s="8"/>
    </row>
    <row r="11920">
      <c r="C11920" s="15"/>
      <c r="E11920" s="8"/>
      <c r="G11920" s="8"/>
      <c r="J11920" s="8"/>
    </row>
    <row r="11921">
      <c r="C11921" s="15"/>
      <c r="E11921" s="8"/>
      <c r="G11921" s="8"/>
      <c r="J11921" s="8"/>
    </row>
    <row r="11922">
      <c r="C11922" s="15"/>
      <c r="E11922" s="8"/>
      <c r="G11922" s="8"/>
      <c r="J11922" s="8"/>
    </row>
    <row r="11923">
      <c r="C11923" s="15"/>
      <c r="E11923" s="8"/>
      <c r="G11923" s="8"/>
      <c r="J11923" s="8"/>
    </row>
    <row r="11924">
      <c r="C11924" s="15"/>
      <c r="E11924" s="8"/>
      <c r="G11924" s="8"/>
      <c r="J11924" s="8"/>
    </row>
    <row r="11925">
      <c r="C11925" s="15"/>
      <c r="E11925" s="8"/>
      <c r="G11925" s="8"/>
      <c r="J11925" s="8"/>
    </row>
    <row r="11926">
      <c r="C11926" s="15"/>
      <c r="E11926" s="8"/>
      <c r="G11926" s="8"/>
      <c r="J11926" s="8"/>
    </row>
    <row r="11927">
      <c r="C11927" s="15"/>
      <c r="E11927" s="8"/>
      <c r="G11927" s="8"/>
      <c r="J11927" s="8"/>
    </row>
    <row r="11928">
      <c r="C11928" s="15"/>
      <c r="E11928" s="8"/>
      <c r="G11928" s="8"/>
      <c r="J11928" s="8"/>
    </row>
    <row r="11929">
      <c r="C11929" s="15"/>
      <c r="E11929" s="8"/>
      <c r="G11929" s="8"/>
      <c r="J11929" s="8"/>
    </row>
    <row r="11930">
      <c r="C11930" s="15"/>
      <c r="E11930" s="8"/>
      <c r="G11930" s="8"/>
      <c r="J11930" s="8"/>
    </row>
    <row r="11931">
      <c r="C11931" s="15"/>
      <c r="E11931" s="8"/>
      <c r="G11931" s="8"/>
      <c r="J11931" s="8"/>
    </row>
    <row r="11932">
      <c r="C11932" s="15"/>
      <c r="E11932" s="8"/>
      <c r="G11932" s="8"/>
      <c r="J11932" s="8"/>
    </row>
    <row r="11933">
      <c r="C11933" s="15"/>
      <c r="E11933" s="8"/>
      <c r="G11933" s="8"/>
      <c r="J11933" s="8"/>
    </row>
    <row r="11934">
      <c r="C11934" s="15"/>
      <c r="E11934" s="8"/>
      <c r="G11934" s="8"/>
      <c r="J11934" s="8"/>
    </row>
    <row r="11935">
      <c r="C11935" s="15"/>
      <c r="E11935" s="8"/>
      <c r="G11935" s="8"/>
      <c r="J11935" s="8"/>
    </row>
    <row r="11936">
      <c r="C11936" s="15"/>
      <c r="E11936" s="8"/>
      <c r="G11936" s="8"/>
      <c r="J11936" s="8"/>
    </row>
    <row r="11937">
      <c r="C11937" s="15"/>
      <c r="E11937" s="8"/>
      <c r="G11937" s="8"/>
      <c r="J11937" s="8"/>
    </row>
    <row r="11938">
      <c r="C11938" s="15"/>
      <c r="E11938" s="8"/>
      <c r="G11938" s="8"/>
      <c r="J11938" s="8"/>
    </row>
    <row r="11939">
      <c r="C11939" s="15"/>
      <c r="E11939" s="8"/>
      <c r="G11939" s="8"/>
      <c r="J11939" s="8"/>
    </row>
    <row r="11940">
      <c r="C11940" s="15"/>
      <c r="E11940" s="8"/>
      <c r="G11940" s="8"/>
      <c r="J11940" s="8"/>
    </row>
    <row r="11941">
      <c r="C11941" s="15"/>
      <c r="E11941" s="8"/>
      <c r="G11941" s="8"/>
      <c r="J11941" s="8"/>
    </row>
    <row r="11942">
      <c r="C11942" s="15"/>
      <c r="E11942" s="8"/>
      <c r="G11942" s="8"/>
      <c r="J11942" s="8"/>
    </row>
    <row r="11943">
      <c r="C11943" s="15"/>
      <c r="E11943" s="8"/>
      <c r="G11943" s="8"/>
      <c r="J11943" s="8"/>
    </row>
    <row r="11944">
      <c r="C11944" s="15"/>
      <c r="E11944" s="8"/>
      <c r="G11944" s="8"/>
      <c r="J11944" s="8"/>
    </row>
    <row r="11945">
      <c r="C11945" s="15"/>
      <c r="E11945" s="8"/>
      <c r="G11945" s="8"/>
      <c r="J11945" s="8"/>
    </row>
    <row r="11946">
      <c r="C11946" s="15"/>
      <c r="E11946" s="8"/>
      <c r="G11946" s="8"/>
      <c r="J11946" s="8"/>
    </row>
    <row r="11947">
      <c r="C11947" s="15"/>
      <c r="E11947" s="8"/>
      <c r="G11947" s="8"/>
      <c r="J11947" s="8"/>
    </row>
    <row r="11948">
      <c r="C11948" s="15"/>
      <c r="E11948" s="8"/>
      <c r="G11948" s="8"/>
      <c r="J11948" s="8"/>
    </row>
    <row r="11949">
      <c r="C11949" s="15"/>
      <c r="E11949" s="8"/>
      <c r="G11949" s="8"/>
      <c r="J11949" s="8"/>
    </row>
    <row r="11950">
      <c r="C11950" s="15"/>
      <c r="E11950" s="8"/>
      <c r="G11950" s="8"/>
      <c r="J11950" s="8"/>
    </row>
    <row r="11951">
      <c r="C11951" s="15"/>
      <c r="E11951" s="8"/>
      <c r="G11951" s="8"/>
      <c r="J11951" s="8"/>
    </row>
    <row r="11952">
      <c r="C11952" s="15"/>
      <c r="E11952" s="8"/>
      <c r="G11952" s="8"/>
      <c r="J11952" s="8"/>
    </row>
    <row r="11953">
      <c r="C11953" s="15"/>
      <c r="E11953" s="8"/>
      <c r="G11953" s="8"/>
      <c r="J11953" s="8"/>
    </row>
    <row r="11954">
      <c r="C11954" s="15"/>
      <c r="E11954" s="8"/>
      <c r="G11954" s="8"/>
      <c r="J11954" s="8"/>
    </row>
    <row r="11955">
      <c r="C11955" s="15"/>
      <c r="E11955" s="8"/>
      <c r="G11955" s="8"/>
      <c r="J11955" s="8"/>
    </row>
    <row r="11956">
      <c r="C11956" s="15"/>
      <c r="E11956" s="8"/>
      <c r="G11956" s="8"/>
      <c r="J11956" s="8"/>
    </row>
    <row r="11957">
      <c r="C11957" s="15"/>
      <c r="E11957" s="8"/>
      <c r="G11957" s="8"/>
      <c r="J11957" s="8"/>
    </row>
    <row r="11958">
      <c r="C11958" s="15"/>
      <c r="E11958" s="8"/>
      <c r="G11958" s="8"/>
      <c r="J11958" s="8"/>
    </row>
    <row r="11959">
      <c r="C11959" s="15"/>
      <c r="E11959" s="8"/>
      <c r="G11959" s="8"/>
      <c r="J11959" s="8"/>
    </row>
    <row r="11960">
      <c r="C11960" s="15"/>
      <c r="E11960" s="8"/>
      <c r="G11960" s="8"/>
      <c r="J11960" s="8"/>
    </row>
    <row r="11961">
      <c r="C11961" s="15"/>
      <c r="E11961" s="8"/>
      <c r="G11961" s="8"/>
      <c r="J11961" s="8"/>
    </row>
    <row r="11962">
      <c r="C11962" s="15"/>
      <c r="E11962" s="8"/>
      <c r="G11962" s="8"/>
      <c r="J11962" s="8"/>
    </row>
    <row r="11963">
      <c r="C11963" s="15"/>
      <c r="E11963" s="8"/>
      <c r="G11963" s="8"/>
      <c r="J11963" s="8"/>
    </row>
    <row r="11964">
      <c r="C11964" s="15"/>
      <c r="E11964" s="8"/>
      <c r="G11964" s="8"/>
      <c r="J11964" s="8"/>
    </row>
    <row r="11965">
      <c r="C11965" s="15"/>
      <c r="E11965" s="8"/>
      <c r="G11965" s="8"/>
      <c r="J11965" s="8"/>
    </row>
    <row r="11966">
      <c r="C11966" s="15"/>
      <c r="E11966" s="8"/>
      <c r="G11966" s="8"/>
      <c r="J11966" s="8"/>
    </row>
    <row r="11967">
      <c r="C11967" s="15"/>
      <c r="E11967" s="8"/>
      <c r="G11967" s="8"/>
      <c r="J11967" s="8"/>
    </row>
    <row r="11968">
      <c r="C11968" s="15"/>
      <c r="E11968" s="8"/>
      <c r="G11968" s="8"/>
      <c r="J11968" s="8"/>
    </row>
    <row r="11969">
      <c r="C11969" s="15"/>
      <c r="E11969" s="8"/>
      <c r="G11969" s="8"/>
      <c r="J11969" s="8"/>
    </row>
    <row r="11970">
      <c r="C11970" s="15"/>
      <c r="E11970" s="8"/>
      <c r="G11970" s="8"/>
      <c r="J11970" s="8"/>
    </row>
    <row r="11971">
      <c r="C11971" s="15"/>
      <c r="E11971" s="8"/>
      <c r="G11971" s="8"/>
      <c r="J11971" s="8"/>
    </row>
    <row r="11972">
      <c r="C11972" s="15"/>
      <c r="E11972" s="8"/>
      <c r="G11972" s="8"/>
      <c r="J11972" s="8"/>
    </row>
    <row r="11973">
      <c r="C11973" s="15"/>
      <c r="E11973" s="8"/>
      <c r="G11973" s="8"/>
      <c r="J11973" s="8"/>
    </row>
    <row r="11974">
      <c r="C11974" s="15"/>
      <c r="E11974" s="8"/>
      <c r="G11974" s="8"/>
      <c r="J11974" s="8"/>
    </row>
    <row r="11975">
      <c r="C11975" s="15"/>
      <c r="E11975" s="8"/>
      <c r="G11975" s="8"/>
      <c r="J11975" s="8"/>
    </row>
    <row r="11976">
      <c r="C11976" s="15"/>
      <c r="E11976" s="8"/>
      <c r="G11976" s="8"/>
      <c r="J11976" s="8"/>
    </row>
    <row r="11977">
      <c r="C11977" s="15"/>
      <c r="E11977" s="8"/>
      <c r="G11977" s="8"/>
      <c r="J11977" s="8"/>
    </row>
    <row r="11978">
      <c r="C11978" s="15"/>
      <c r="E11978" s="8"/>
      <c r="G11978" s="8"/>
      <c r="J11978" s="8"/>
    </row>
    <row r="11979">
      <c r="C11979" s="15"/>
      <c r="E11979" s="8"/>
      <c r="G11979" s="8"/>
      <c r="J11979" s="8"/>
    </row>
    <row r="11980">
      <c r="C11980" s="15"/>
      <c r="E11980" s="8"/>
      <c r="G11980" s="8"/>
      <c r="J11980" s="8"/>
    </row>
    <row r="11981">
      <c r="C11981" s="15"/>
      <c r="E11981" s="8"/>
      <c r="G11981" s="8"/>
      <c r="J11981" s="8"/>
    </row>
    <row r="11982">
      <c r="C11982" s="15"/>
      <c r="E11982" s="8"/>
      <c r="G11982" s="8"/>
      <c r="J11982" s="8"/>
    </row>
    <row r="11983">
      <c r="C11983" s="15"/>
      <c r="E11983" s="8"/>
      <c r="G11983" s="8"/>
      <c r="J11983" s="8"/>
    </row>
    <row r="11984">
      <c r="C11984" s="15"/>
      <c r="E11984" s="8"/>
      <c r="G11984" s="8"/>
      <c r="J11984" s="8"/>
    </row>
    <row r="11985">
      <c r="C11985" s="15"/>
      <c r="E11985" s="8"/>
      <c r="G11985" s="8"/>
      <c r="J11985" s="8"/>
    </row>
    <row r="11986">
      <c r="C11986" s="15"/>
      <c r="E11986" s="8"/>
      <c r="G11986" s="8"/>
      <c r="J11986" s="8"/>
    </row>
    <row r="11987">
      <c r="C11987" s="15"/>
      <c r="E11987" s="8"/>
      <c r="G11987" s="8"/>
      <c r="J11987" s="8"/>
    </row>
    <row r="11988">
      <c r="C11988" s="15"/>
      <c r="E11988" s="8"/>
      <c r="G11988" s="8"/>
      <c r="J11988" s="8"/>
    </row>
    <row r="11989">
      <c r="C11989" s="15"/>
      <c r="E11989" s="8"/>
      <c r="G11989" s="8"/>
      <c r="J11989" s="8"/>
    </row>
    <row r="11990">
      <c r="C11990" s="15"/>
      <c r="E11990" s="8"/>
      <c r="G11990" s="8"/>
      <c r="J11990" s="8"/>
    </row>
    <row r="11991">
      <c r="C11991" s="15"/>
      <c r="E11991" s="8"/>
      <c r="G11991" s="8"/>
      <c r="J11991" s="8"/>
    </row>
    <row r="11992">
      <c r="C11992" s="15"/>
      <c r="E11992" s="8"/>
      <c r="G11992" s="8"/>
      <c r="J11992" s="8"/>
    </row>
    <row r="11993">
      <c r="C11993" s="15"/>
      <c r="E11993" s="8"/>
      <c r="G11993" s="8"/>
      <c r="J11993" s="8"/>
    </row>
    <row r="11994">
      <c r="C11994" s="15"/>
      <c r="E11994" s="8"/>
      <c r="G11994" s="8"/>
      <c r="J11994" s="8"/>
    </row>
    <row r="11995">
      <c r="C11995" s="15"/>
      <c r="E11995" s="8"/>
      <c r="G11995" s="8"/>
      <c r="J11995" s="8"/>
    </row>
    <row r="11996">
      <c r="C11996" s="15"/>
      <c r="E11996" s="8"/>
      <c r="G11996" s="8"/>
      <c r="J11996" s="8"/>
    </row>
    <row r="11997">
      <c r="C11997" s="15"/>
      <c r="E11997" s="8"/>
      <c r="G11997" s="8"/>
      <c r="J11997" s="8"/>
    </row>
    <row r="11998">
      <c r="C11998" s="15"/>
      <c r="E11998" s="8"/>
      <c r="G11998" s="8"/>
      <c r="J11998" s="8"/>
    </row>
    <row r="11999">
      <c r="C11999" s="15"/>
      <c r="E11999" s="8"/>
      <c r="G11999" s="8"/>
      <c r="J11999" s="8"/>
    </row>
    <row r="12000">
      <c r="C12000" s="15"/>
      <c r="E12000" s="8"/>
      <c r="G12000" s="8"/>
      <c r="J12000" s="8"/>
    </row>
    <row r="12001">
      <c r="C12001" s="15"/>
      <c r="E12001" s="8"/>
      <c r="G12001" s="8"/>
      <c r="J12001" s="8"/>
    </row>
    <row r="12002">
      <c r="C12002" s="15"/>
      <c r="E12002" s="8"/>
      <c r="G12002" s="8"/>
      <c r="J12002" s="8"/>
    </row>
    <row r="12003">
      <c r="C12003" s="15"/>
      <c r="E12003" s="8"/>
      <c r="G12003" s="8"/>
      <c r="J12003" s="8"/>
    </row>
    <row r="12004">
      <c r="C12004" s="15"/>
      <c r="E12004" s="8"/>
      <c r="G12004" s="8"/>
      <c r="J12004" s="8"/>
    </row>
    <row r="12005">
      <c r="C12005" s="15"/>
      <c r="E12005" s="8"/>
      <c r="G12005" s="8"/>
      <c r="J12005" s="8"/>
    </row>
    <row r="12006">
      <c r="C12006" s="15"/>
      <c r="E12006" s="8"/>
      <c r="G12006" s="8"/>
      <c r="J12006" s="8"/>
    </row>
    <row r="12007">
      <c r="C12007" s="15"/>
      <c r="E12007" s="8"/>
      <c r="G12007" s="8"/>
      <c r="J12007" s="8"/>
    </row>
    <row r="12008">
      <c r="C12008" s="15"/>
      <c r="E12008" s="8"/>
      <c r="G12008" s="8"/>
      <c r="J12008" s="8"/>
    </row>
    <row r="12009">
      <c r="C12009" s="15"/>
      <c r="E12009" s="8"/>
      <c r="G12009" s="8"/>
      <c r="J12009" s="8"/>
    </row>
    <row r="12010">
      <c r="C12010" s="15"/>
      <c r="E12010" s="8"/>
      <c r="G12010" s="8"/>
      <c r="J12010" s="8"/>
    </row>
    <row r="12011">
      <c r="C12011" s="15"/>
      <c r="E12011" s="8"/>
      <c r="G12011" s="8"/>
      <c r="J12011" s="8"/>
    </row>
    <row r="12012">
      <c r="C12012" s="15"/>
      <c r="E12012" s="8"/>
      <c r="G12012" s="8"/>
      <c r="J12012" s="8"/>
    </row>
    <row r="12013">
      <c r="C12013" s="15"/>
      <c r="E12013" s="8"/>
      <c r="G12013" s="8"/>
      <c r="J12013" s="8"/>
    </row>
    <row r="12014">
      <c r="C12014" s="15"/>
      <c r="E12014" s="8"/>
      <c r="G12014" s="8"/>
      <c r="J12014" s="8"/>
    </row>
    <row r="12015">
      <c r="C12015" s="15"/>
      <c r="E12015" s="8"/>
      <c r="G12015" s="8"/>
      <c r="J12015" s="8"/>
    </row>
    <row r="12016">
      <c r="C12016" s="15"/>
      <c r="E12016" s="8"/>
      <c r="G12016" s="8"/>
      <c r="J12016" s="8"/>
    </row>
    <row r="12017">
      <c r="C12017" s="15"/>
      <c r="E12017" s="8"/>
      <c r="G12017" s="8"/>
      <c r="J12017" s="8"/>
    </row>
    <row r="12018">
      <c r="C12018" s="15"/>
      <c r="E12018" s="8"/>
      <c r="G12018" s="8"/>
      <c r="J12018" s="8"/>
    </row>
    <row r="12019">
      <c r="C12019" s="15"/>
      <c r="E12019" s="8"/>
      <c r="G12019" s="8"/>
      <c r="J12019" s="8"/>
    </row>
    <row r="12020">
      <c r="C12020" s="15"/>
      <c r="E12020" s="8"/>
      <c r="G12020" s="8"/>
      <c r="J12020" s="8"/>
    </row>
    <row r="12021">
      <c r="C12021" s="15"/>
      <c r="E12021" s="8"/>
      <c r="G12021" s="8"/>
      <c r="J12021" s="8"/>
    </row>
    <row r="12022">
      <c r="C12022" s="15"/>
      <c r="E12022" s="8"/>
      <c r="G12022" s="8"/>
      <c r="J12022" s="8"/>
    </row>
    <row r="12023">
      <c r="C12023" s="15"/>
      <c r="E12023" s="8"/>
      <c r="G12023" s="8"/>
      <c r="J12023" s="8"/>
    </row>
    <row r="12024">
      <c r="C12024" s="15"/>
      <c r="E12024" s="8"/>
      <c r="G12024" s="8"/>
      <c r="J12024" s="8"/>
    </row>
    <row r="12025">
      <c r="C12025" s="15"/>
      <c r="E12025" s="8"/>
      <c r="G12025" s="8"/>
      <c r="J12025" s="8"/>
    </row>
    <row r="12026">
      <c r="C12026" s="15"/>
      <c r="E12026" s="8"/>
      <c r="G12026" s="8"/>
      <c r="J12026" s="8"/>
    </row>
    <row r="12027">
      <c r="C12027" s="15"/>
      <c r="E12027" s="8"/>
      <c r="G12027" s="8"/>
      <c r="J12027" s="8"/>
    </row>
    <row r="12028">
      <c r="C12028" s="15"/>
      <c r="E12028" s="8"/>
      <c r="G12028" s="8"/>
      <c r="J12028" s="8"/>
    </row>
    <row r="12029">
      <c r="C12029" s="15"/>
      <c r="E12029" s="8"/>
      <c r="G12029" s="8"/>
      <c r="J12029" s="8"/>
    </row>
    <row r="12030">
      <c r="C12030" s="15"/>
      <c r="E12030" s="8"/>
      <c r="G12030" s="8"/>
      <c r="J12030" s="8"/>
    </row>
    <row r="12031">
      <c r="C12031" s="15"/>
      <c r="E12031" s="8"/>
      <c r="G12031" s="8"/>
      <c r="J12031" s="8"/>
    </row>
    <row r="12032">
      <c r="C12032" s="15"/>
      <c r="E12032" s="8"/>
      <c r="G12032" s="8"/>
      <c r="J12032" s="8"/>
    </row>
    <row r="12033">
      <c r="C12033" s="15"/>
      <c r="E12033" s="8"/>
      <c r="G12033" s="8"/>
      <c r="J12033" s="8"/>
    </row>
    <row r="12034">
      <c r="C12034" s="15"/>
      <c r="E12034" s="8"/>
      <c r="G12034" s="8"/>
      <c r="J12034" s="8"/>
    </row>
    <row r="12035">
      <c r="C12035" s="15"/>
      <c r="E12035" s="8"/>
      <c r="G12035" s="8"/>
      <c r="J12035" s="8"/>
    </row>
    <row r="12036">
      <c r="C12036" s="15"/>
      <c r="E12036" s="8"/>
      <c r="G12036" s="8"/>
      <c r="J12036" s="8"/>
    </row>
    <row r="12037">
      <c r="C12037" s="15"/>
      <c r="E12037" s="8"/>
      <c r="G12037" s="8"/>
      <c r="J12037" s="8"/>
    </row>
    <row r="12038">
      <c r="C12038" s="15"/>
      <c r="E12038" s="8"/>
      <c r="G12038" s="8"/>
      <c r="J12038" s="8"/>
    </row>
    <row r="12039">
      <c r="C12039" s="15"/>
      <c r="E12039" s="8"/>
      <c r="G12039" s="8"/>
      <c r="J12039" s="8"/>
    </row>
    <row r="12040">
      <c r="C12040" s="15"/>
      <c r="E12040" s="8"/>
      <c r="G12040" s="8"/>
      <c r="J12040" s="8"/>
    </row>
    <row r="12041">
      <c r="C12041" s="15"/>
      <c r="E12041" s="8"/>
      <c r="G12041" s="8"/>
      <c r="J12041" s="8"/>
    </row>
    <row r="12042">
      <c r="C12042" s="15"/>
      <c r="E12042" s="8"/>
      <c r="G12042" s="8"/>
      <c r="J12042" s="8"/>
    </row>
    <row r="12043">
      <c r="C12043" s="15"/>
      <c r="E12043" s="8"/>
      <c r="G12043" s="8"/>
      <c r="J12043" s="8"/>
    </row>
    <row r="12044">
      <c r="C12044" s="15"/>
      <c r="E12044" s="8"/>
      <c r="G12044" s="8"/>
      <c r="J12044" s="8"/>
    </row>
    <row r="12045">
      <c r="C12045" s="15"/>
      <c r="E12045" s="8"/>
      <c r="G12045" s="8"/>
      <c r="J12045" s="8"/>
    </row>
    <row r="12046">
      <c r="C12046" s="15"/>
      <c r="E12046" s="8"/>
      <c r="G12046" s="8"/>
      <c r="J12046" s="8"/>
    </row>
    <row r="12047">
      <c r="C12047" s="15"/>
      <c r="E12047" s="8"/>
      <c r="G12047" s="8"/>
      <c r="J12047" s="8"/>
    </row>
    <row r="12048">
      <c r="C12048" s="15"/>
      <c r="E12048" s="8"/>
      <c r="G12048" s="8"/>
      <c r="J12048" s="8"/>
    </row>
    <row r="12049">
      <c r="C12049" s="15"/>
      <c r="E12049" s="8"/>
      <c r="G12049" s="8"/>
      <c r="J12049" s="8"/>
    </row>
    <row r="12050">
      <c r="C12050" s="15"/>
      <c r="E12050" s="8"/>
      <c r="G12050" s="8"/>
      <c r="J12050" s="8"/>
    </row>
    <row r="12051">
      <c r="C12051" s="15"/>
      <c r="E12051" s="8"/>
      <c r="G12051" s="8"/>
      <c r="J12051" s="8"/>
    </row>
    <row r="12052">
      <c r="C12052" s="15"/>
      <c r="E12052" s="8"/>
      <c r="G12052" s="8"/>
      <c r="J12052" s="8"/>
    </row>
    <row r="12053">
      <c r="C12053" s="15"/>
      <c r="E12053" s="8"/>
      <c r="G12053" s="8"/>
      <c r="J12053" s="8"/>
    </row>
    <row r="12054">
      <c r="C12054" s="15"/>
      <c r="E12054" s="8"/>
      <c r="G12054" s="8"/>
      <c r="J12054" s="8"/>
    </row>
    <row r="12055">
      <c r="C12055" s="15"/>
      <c r="E12055" s="8"/>
      <c r="G12055" s="8"/>
      <c r="J12055" s="8"/>
    </row>
    <row r="12056">
      <c r="C12056" s="15"/>
      <c r="E12056" s="8"/>
      <c r="G12056" s="8"/>
      <c r="J12056" s="8"/>
    </row>
    <row r="12057">
      <c r="C12057" s="15"/>
      <c r="E12057" s="8"/>
      <c r="G12057" s="8"/>
      <c r="J12057" s="8"/>
    </row>
    <row r="12058">
      <c r="C12058" s="15"/>
      <c r="E12058" s="8"/>
      <c r="G12058" s="8"/>
      <c r="J12058" s="8"/>
    </row>
    <row r="12059">
      <c r="C12059" s="15"/>
      <c r="E12059" s="8"/>
      <c r="G12059" s="8"/>
      <c r="J12059" s="8"/>
    </row>
    <row r="12060">
      <c r="C12060" s="15"/>
      <c r="E12060" s="8"/>
      <c r="G12060" s="8"/>
      <c r="J12060" s="8"/>
    </row>
    <row r="12061">
      <c r="C12061" s="15"/>
      <c r="E12061" s="8"/>
      <c r="G12061" s="8"/>
      <c r="J12061" s="8"/>
    </row>
    <row r="12062">
      <c r="C12062" s="15"/>
      <c r="E12062" s="8"/>
      <c r="G12062" s="8"/>
      <c r="J12062" s="8"/>
    </row>
    <row r="12063">
      <c r="C12063" s="15"/>
      <c r="E12063" s="8"/>
      <c r="G12063" s="8"/>
      <c r="J12063" s="8"/>
    </row>
    <row r="12064">
      <c r="C12064" s="15"/>
      <c r="E12064" s="8"/>
      <c r="G12064" s="8"/>
      <c r="J12064" s="8"/>
    </row>
    <row r="12065">
      <c r="C12065" s="15"/>
      <c r="E12065" s="8"/>
      <c r="G12065" s="8"/>
      <c r="J12065" s="8"/>
    </row>
    <row r="12066">
      <c r="C12066" s="15"/>
      <c r="E12066" s="8"/>
      <c r="G12066" s="8"/>
      <c r="J12066" s="8"/>
    </row>
    <row r="12067">
      <c r="C12067" s="15"/>
      <c r="E12067" s="8"/>
      <c r="G12067" s="8"/>
      <c r="J12067" s="8"/>
    </row>
    <row r="12068">
      <c r="C12068" s="15"/>
      <c r="E12068" s="8"/>
      <c r="G12068" s="8"/>
      <c r="J12068" s="8"/>
    </row>
    <row r="12069">
      <c r="C12069" s="15"/>
      <c r="E12069" s="8"/>
      <c r="G12069" s="8"/>
      <c r="J12069" s="8"/>
    </row>
    <row r="12070">
      <c r="C12070" s="15"/>
      <c r="E12070" s="8"/>
      <c r="G12070" s="8"/>
      <c r="J12070" s="8"/>
    </row>
    <row r="12071">
      <c r="C12071" s="15"/>
      <c r="E12071" s="8"/>
      <c r="G12071" s="8"/>
      <c r="J12071" s="8"/>
    </row>
    <row r="12072">
      <c r="C12072" s="15"/>
      <c r="E12072" s="8"/>
      <c r="G12072" s="8"/>
      <c r="J12072" s="8"/>
    </row>
    <row r="12073">
      <c r="C12073" s="15"/>
      <c r="E12073" s="8"/>
      <c r="G12073" s="8"/>
      <c r="J12073" s="8"/>
    </row>
    <row r="12074">
      <c r="C12074" s="15"/>
      <c r="E12074" s="8"/>
      <c r="G12074" s="8"/>
      <c r="J12074" s="8"/>
    </row>
    <row r="12075">
      <c r="C12075" s="15"/>
      <c r="E12075" s="8"/>
      <c r="G12075" s="8"/>
      <c r="J12075" s="8"/>
    </row>
    <row r="12076">
      <c r="C12076" s="15"/>
      <c r="E12076" s="8"/>
      <c r="G12076" s="8"/>
      <c r="J12076" s="8"/>
    </row>
    <row r="12077">
      <c r="C12077" s="15"/>
      <c r="E12077" s="8"/>
      <c r="G12077" s="8"/>
      <c r="J12077" s="8"/>
    </row>
    <row r="12078">
      <c r="C12078" s="15"/>
      <c r="E12078" s="8"/>
      <c r="G12078" s="8"/>
      <c r="J12078" s="8"/>
    </row>
    <row r="12079">
      <c r="C12079" s="15"/>
      <c r="E12079" s="8"/>
      <c r="G12079" s="8"/>
      <c r="J12079" s="8"/>
    </row>
    <row r="12080">
      <c r="C12080" s="15"/>
      <c r="E12080" s="8"/>
      <c r="G12080" s="8"/>
      <c r="J12080" s="8"/>
    </row>
    <row r="12081">
      <c r="C12081" s="15"/>
      <c r="E12081" s="8"/>
      <c r="G12081" s="8"/>
      <c r="J12081" s="8"/>
    </row>
    <row r="12082">
      <c r="C12082" s="15"/>
      <c r="E12082" s="8"/>
      <c r="G12082" s="8"/>
      <c r="J12082" s="8"/>
    </row>
    <row r="12083">
      <c r="C12083" s="15"/>
      <c r="E12083" s="8"/>
      <c r="G12083" s="8"/>
      <c r="J12083" s="8"/>
    </row>
    <row r="12084">
      <c r="C12084" s="15"/>
      <c r="E12084" s="8"/>
      <c r="G12084" s="8"/>
      <c r="J12084" s="8"/>
    </row>
    <row r="12085">
      <c r="C12085" s="15"/>
      <c r="E12085" s="8"/>
      <c r="G12085" s="8"/>
      <c r="J12085" s="8"/>
    </row>
    <row r="12086">
      <c r="C12086" s="15"/>
      <c r="E12086" s="8"/>
      <c r="G12086" s="8"/>
      <c r="J12086" s="8"/>
    </row>
    <row r="12087">
      <c r="C12087" s="15"/>
      <c r="E12087" s="8"/>
      <c r="G12087" s="8"/>
      <c r="J12087" s="8"/>
    </row>
    <row r="12088">
      <c r="C12088" s="15"/>
      <c r="E12088" s="8"/>
      <c r="G12088" s="8"/>
      <c r="J12088" s="8"/>
    </row>
    <row r="12089">
      <c r="C12089" s="15"/>
      <c r="E12089" s="8"/>
      <c r="G12089" s="8"/>
      <c r="J12089" s="8"/>
    </row>
    <row r="12090">
      <c r="C12090" s="15"/>
      <c r="E12090" s="8"/>
      <c r="G12090" s="8"/>
      <c r="J12090" s="8"/>
    </row>
    <row r="12091">
      <c r="C12091" s="15"/>
      <c r="E12091" s="8"/>
      <c r="G12091" s="8"/>
      <c r="J12091" s="8"/>
    </row>
    <row r="12092">
      <c r="C12092" s="15"/>
      <c r="E12092" s="8"/>
      <c r="G12092" s="8"/>
      <c r="J12092" s="8"/>
    </row>
    <row r="12093">
      <c r="C12093" s="15"/>
      <c r="E12093" s="8"/>
      <c r="G12093" s="8"/>
      <c r="J12093" s="8"/>
    </row>
    <row r="12094">
      <c r="C12094" s="15"/>
      <c r="E12094" s="8"/>
      <c r="G12094" s="8"/>
      <c r="J12094" s="8"/>
    </row>
    <row r="12095">
      <c r="C12095" s="15"/>
      <c r="E12095" s="8"/>
      <c r="G12095" s="8"/>
      <c r="J12095" s="8"/>
    </row>
    <row r="12096">
      <c r="C12096" s="15"/>
      <c r="E12096" s="8"/>
      <c r="G12096" s="8"/>
      <c r="J12096" s="8"/>
    </row>
    <row r="12097">
      <c r="C12097" s="15"/>
      <c r="E12097" s="8"/>
      <c r="G12097" s="8"/>
      <c r="J12097" s="8"/>
    </row>
    <row r="12098">
      <c r="C12098" s="15"/>
      <c r="E12098" s="8"/>
      <c r="G12098" s="8"/>
      <c r="J12098" s="8"/>
    </row>
    <row r="12099">
      <c r="C12099" s="15"/>
      <c r="E12099" s="8"/>
      <c r="G12099" s="8"/>
      <c r="J12099" s="8"/>
    </row>
    <row r="12100">
      <c r="C12100" s="15"/>
      <c r="E12100" s="8"/>
      <c r="G12100" s="8"/>
      <c r="J12100" s="8"/>
    </row>
    <row r="12101">
      <c r="C12101" s="15"/>
      <c r="E12101" s="8"/>
      <c r="G12101" s="8"/>
      <c r="J12101" s="8"/>
    </row>
    <row r="12102">
      <c r="C12102" s="15"/>
      <c r="E12102" s="8"/>
      <c r="G12102" s="8"/>
      <c r="J12102" s="8"/>
    </row>
    <row r="12103">
      <c r="C12103" s="15"/>
      <c r="E12103" s="8"/>
      <c r="G12103" s="8"/>
      <c r="J12103" s="8"/>
    </row>
    <row r="12104">
      <c r="C12104" s="15"/>
      <c r="E12104" s="8"/>
      <c r="G12104" s="8"/>
      <c r="J12104" s="8"/>
    </row>
    <row r="12105">
      <c r="C12105" s="15"/>
      <c r="E12105" s="8"/>
      <c r="G12105" s="8"/>
      <c r="J12105" s="8"/>
    </row>
    <row r="12106">
      <c r="C12106" s="15"/>
      <c r="E12106" s="8"/>
      <c r="G12106" s="8"/>
      <c r="J12106" s="8"/>
    </row>
    <row r="12107">
      <c r="C12107" s="15"/>
      <c r="E12107" s="8"/>
      <c r="G12107" s="8"/>
      <c r="J12107" s="8"/>
    </row>
    <row r="12108">
      <c r="C12108" s="15"/>
      <c r="E12108" s="8"/>
      <c r="G12108" s="8"/>
      <c r="J12108" s="8"/>
    </row>
    <row r="12109">
      <c r="C12109" s="15"/>
      <c r="E12109" s="8"/>
      <c r="G12109" s="8"/>
      <c r="J12109" s="8"/>
    </row>
    <row r="12110">
      <c r="C12110" s="15"/>
      <c r="E12110" s="8"/>
      <c r="G12110" s="8"/>
      <c r="J12110" s="8"/>
    </row>
    <row r="12111">
      <c r="C12111" s="15"/>
      <c r="E12111" s="8"/>
      <c r="G12111" s="8"/>
      <c r="J12111" s="8"/>
    </row>
    <row r="12112">
      <c r="C12112" s="15"/>
      <c r="E12112" s="8"/>
      <c r="G12112" s="8"/>
      <c r="J12112" s="8"/>
    </row>
    <row r="12113">
      <c r="C12113" s="15"/>
      <c r="E12113" s="8"/>
      <c r="G12113" s="8"/>
      <c r="J12113" s="8"/>
    </row>
    <row r="12114">
      <c r="C12114" s="15"/>
      <c r="E12114" s="8"/>
      <c r="G12114" s="8"/>
      <c r="J12114" s="8"/>
    </row>
    <row r="12115">
      <c r="C12115" s="15"/>
      <c r="E12115" s="8"/>
      <c r="G12115" s="8"/>
      <c r="J12115" s="8"/>
    </row>
    <row r="12116">
      <c r="C12116" s="15"/>
      <c r="E12116" s="8"/>
      <c r="G12116" s="8"/>
      <c r="J12116" s="8"/>
    </row>
    <row r="12117">
      <c r="C12117" s="15"/>
      <c r="E12117" s="8"/>
      <c r="G12117" s="8"/>
      <c r="J12117" s="8"/>
    </row>
    <row r="12118">
      <c r="C12118" s="15"/>
      <c r="E12118" s="8"/>
      <c r="G12118" s="8"/>
      <c r="J12118" s="8"/>
    </row>
    <row r="12119">
      <c r="C12119" s="15"/>
      <c r="E12119" s="8"/>
      <c r="G12119" s="8"/>
      <c r="J12119" s="8"/>
    </row>
    <row r="12120">
      <c r="C12120" s="15"/>
      <c r="E12120" s="8"/>
      <c r="G12120" s="8"/>
      <c r="J12120" s="8"/>
    </row>
    <row r="12121">
      <c r="C12121" s="15"/>
      <c r="E12121" s="8"/>
      <c r="G12121" s="8"/>
      <c r="J12121" s="8"/>
    </row>
    <row r="12122">
      <c r="C12122" s="15"/>
      <c r="E12122" s="8"/>
      <c r="G12122" s="8"/>
      <c r="J12122" s="8"/>
    </row>
    <row r="12123">
      <c r="C12123" s="15"/>
      <c r="E12123" s="8"/>
      <c r="G12123" s="8"/>
      <c r="J12123" s="8"/>
    </row>
    <row r="12124">
      <c r="C12124" s="15"/>
      <c r="E12124" s="8"/>
      <c r="G12124" s="8"/>
      <c r="J12124" s="8"/>
    </row>
    <row r="12125">
      <c r="C12125" s="15"/>
      <c r="E12125" s="8"/>
      <c r="G12125" s="8"/>
      <c r="J12125" s="8"/>
    </row>
    <row r="12126">
      <c r="C12126" s="15"/>
      <c r="E12126" s="8"/>
      <c r="G12126" s="8"/>
      <c r="J12126" s="8"/>
    </row>
    <row r="12127">
      <c r="C12127" s="15"/>
      <c r="E12127" s="8"/>
      <c r="G12127" s="8"/>
      <c r="J12127" s="8"/>
    </row>
    <row r="12128">
      <c r="C12128" s="15"/>
      <c r="E12128" s="8"/>
      <c r="G12128" s="8"/>
      <c r="J12128" s="8"/>
    </row>
    <row r="12129">
      <c r="C12129" s="15"/>
      <c r="E12129" s="8"/>
      <c r="G12129" s="8"/>
      <c r="J12129" s="8"/>
    </row>
    <row r="12130">
      <c r="C12130" s="15"/>
      <c r="E12130" s="8"/>
      <c r="G12130" s="8"/>
      <c r="J12130" s="8"/>
    </row>
    <row r="12131">
      <c r="C12131" s="15"/>
      <c r="E12131" s="8"/>
      <c r="G12131" s="8"/>
      <c r="J12131" s="8"/>
    </row>
    <row r="12132">
      <c r="C12132" s="15"/>
      <c r="E12132" s="8"/>
      <c r="G12132" s="8"/>
      <c r="J12132" s="8"/>
    </row>
    <row r="12133">
      <c r="C12133" s="15"/>
      <c r="E12133" s="8"/>
      <c r="G12133" s="8"/>
      <c r="J12133" s="8"/>
    </row>
    <row r="12134">
      <c r="C12134" s="15"/>
      <c r="E12134" s="8"/>
      <c r="G12134" s="8"/>
      <c r="J12134" s="8"/>
    </row>
    <row r="12135">
      <c r="C12135" s="15"/>
      <c r="E12135" s="8"/>
      <c r="G12135" s="8"/>
      <c r="J12135" s="8"/>
    </row>
    <row r="12136">
      <c r="C12136" s="15"/>
      <c r="E12136" s="8"/>
      <c r="G12136" s="8"/>
      <c r="J12136" s="8"/>
    </row>
    <row r="12137">
      <c r="C12137" s="15"/>
      <c r="E12137" s="8"/>
      <c r="G12137" s="8"/>
      <c r="J12137" s="8"/>
    </row>
    <row r="12138">
      <c r="C12138" s="15"/>
      <c r="E12138" s="8"/>
      <c r="G12138" s="8"/>
      <c r="J12138" s="8"/>
    </row>
    <row r="12139">
      <c r="C12139" s="15"/>
      <c r="E12139" s="8"/>
      <c r="G12139" s="8"/>
      <c r="J12139" s="8"/>
    </row>
    <row r="12140">
      <c r="C12140" s="15"/>
      <c r="E12140" s="8"/>
      <c r="G12140" s="8"/>
      <c r="J12140" s="8"/>
    </row>
    <row r="12141">
      <c r="C12141" s="15"/>
      <c r="E12141" s="8"/>
      <c r="G12141" s="8"/>
      <c r="J12141" s="8"/>
    </row>
    <row r="12142">
      <c r="C12142" s="15"/>
      <c r="E12142" s="8"/>
      <c r="G12142" s="8"/>
      <c r="J12142" s="8"/>
    </row>
    <row r="12143">
      <c r="C12143" s="15"/>
      <c r="E12143" s="8"/>
      <c r="G12143" s="8"/>
      <c r="J12143" s="8"/>
    </row>
    <row r="12144">
      <c r="C12144" s="15"/>
      <c r="E12144" s="8"/>
      <c r="G12144" s="8"/>
      <c r="J12144" s="8"/>
    </row>
    <row r="12145">
      <c r="C12145" s="15"/>
      <c r="E12145" s="8"/>
      <c r="G12145" s="8"/>
      <c r="J12145" s="8"/>
    </row>
    <row r="12146">
      <c r="C12146" s="15"/>
      <c r="E12146" s="8"/>
      <c r="G12146" s="8"/>
      <c r="J12146" s="8"/>
    </row>
    <row r="12147">
      <c r="C12147" s="15"/>
      <c r="E12147" s="8"/>
      <c r="G12147" s="8"/>
      <c r="J12147" s="8"/>
    </row>
    <row r="12148">
      <c r="C12148" s="15"/>
      <c r="E12148" s="8"/>
      <c r="G12148" s="8"/>
      <c r="J12148" s="8"/>
    </row>
    <row r="12149">
      <c r="C12149" s="15"/>
      <c r="E12149" s="8"/>
      <c r="G12149" s="8"/>
      <c r="J12149" s="8"/>
    </row>
    <row r="12150">
      <c r="C12150" s="15"/>
      <c r="E12150" s="8"/>
      <c r="G12150" s="8"/>
      <c r="J12150" s="8"/>
    </row>
    <row r="12151">
      <c r="C12151" s="15"/>
      <c r="E12151" s="8"/>
      <c r="G12151" s="8"/>
      <c r="J12151" s="8"/>
    </row>
    <row r="12152">
      <c r="C12152" s="15"/>
      <c r="E12152" s="8"/>
      <c r="G12152" s="8"/>
      <c r="J12152" s="8"/>
    </row>
    <row r="12153">
      <c r="C12153" s="15"/>
      <c r="E12153" s="8"/>
      <c r="G12153" s="8"/>
      <c r="J12153" s="8"/>
    </row>
    <row r="12154">
      <c r="C12154" s="15"/>
      <c r="E12154" s="8"/>
      <c r="G12154" s="8"/>
      <c r="J12154" s="8"/>
    </row>
    <row r="12155">
      <c r="C12155" s="15"/>
      <c r="E12155" s="8"/>
      <c r="G12155" s="8"/>
      <c r="J12155" s="8"/>
    </row>
    <row r="12156">
      <c r="C12156" s="15"/>
      <c r="E12156" s="8"/>
      <c r="G12156" s="8"/>
      <c r="J12156" s="8"/>
    </row>
    <row r="12157">
      <c r="C12157" s="15"/>
      <c r="E12157" s="8"/>
      <c r="G12157" s="8"/>
      <c r="J12157" s="8"/>
    </row>
    <row r="12158">
      <c r="C12158" s="15"/>
      <c r="E12158" s="8"/>
      <c r="G12158" s="8"/>
      <c r="J12158" s="8"/>
    </row>
    <row r="12159">
      <c r="C12159" s="15"/>
      <c r="E12159" s="8"/>
      <c r="G12159" s="8"/>
      <c r="J12159" s="8"/>
    </row>
    <row r="12160">
      <c r="C12160" s="15"/>
      <c r="E12160" s="8"/>
      <c r="G12160" s="8"/>
      <c r="J12160" s="8"/>
    </row>
    <row r="12161">
      <c r="C12161" s="15"/>
      <c r="E12161" s="8"/>
      <c r="G12161" s="8"/>
      <c r="J12161" s="8"/>
    </row>
    <row r="12162">
      <c r="C12162" s="15"/>
      <c r="E12162" s="8"/>
      <c r="G12162" s="8"/>
      <c r="J12162" s="8"/>
    </row>
    <row r="12163">
      <c r="C12163" s="15"/>
      <c r="E12163" s="8"/>
      <c r="G12163" s="8"/>
      <c r="J12163" s="8"/>
    </row>
    <row r="12164">
      <c r="C12164" s="15"/>
      <c r="E12164" s="8"/>
      <c r="G12164" s="8"/>
      <c r="J12164" s="8"/>
    </row>
    <row r="12165">
      <c r="C12165" s="15"/>
      <c r="E12165" s="8"/>
      <c r="G12165" s="8"/>
      <c r="J12165" s="8"/>
    </row>
    <row r="12166">
      <c r="C12166" s="15"/>
      <c r="E12166" s="8"/>
      <c r="G12166" s="8"/>
      <c r="J12166" s="8"/>
    </row>
    <row r="12167">
      <c r="C12167" s="15"/>
      <c r="E12167" s="8"/>
      <c r="G12167" s="8"/>
      <c r="J12167" s="8"/>
    </row>
    <row r="12168">
      <c r="C12168" s="15"/>
      <c r="E12168" s="8"/>
      <c r="G12168" s="8"/>
      <c r="J12168" s="8"/>
    </row>
    <row r="12169">
      <c r="C12169" s="15"/>
      <c r="E12169" s="8"/>
      <c r="G12169" s="8"/>
      <c r="J12169" s="8"/>
    </row>
    <row r="12170">
      <c r="C12170" s="15"/>
      <c r="E12170" s="8"/>
      <c r="G12170" s="8"/>
      <c r="J12170" s="8"/>
    </row>
    <row r="12171">
      <c r="C12171" s="15"/>
      <c r="E12171" s="8"/>
      <c r="G12171" s="8"/>
      <c r="J12171" s="8"/>
    </row>
    <row r="12172">
      <c r="C12172" s="15"/>
      <c r="E12172" s="8"/>
      <c r="G12172" s="8"/>
      <c r="J12172" s="8"/>
    </row>
    <row r="12173">
      <c r="C12173" s="15"/>
      <c r="E12173" s="8"/>
      <c r="G12173" s="8"/>
      <c r="J12173" s="8"/>
    </row>
    <row r="12174">
      <c r="C12174" s="15"/>
      <c r="E12174" s="8"/>
      <c r="G12174" s="8"/>
      <c r="J12174" s="8"/>
    </row>
    <row r="12175">
      <c r="C12175" s="15"/>
      <c r="E12175" s="8"/>
      <c r="G12175" s="8"/>
      <c r="J12175" s="8"/>
    </row>
    <row r="12176">
      <c r="C12176" s="15"/>
      <c r="E12176" s="8"/>
      <c r="G12176" s="8"/>
      <c r="J12176" s="8"/>
    </row>
    <row r="12177">
      <c r="C12177" s="15"/>
      <c r="E12177" s="8"/>
      <c r="G12177" s="8"/>
      <c r="J12177" s="8"/>
    </row>
    <row r="12178">
      <c r="C12178" s="15"/>
      <c r="E12178" s="8"/>
      <c r="G12178" s="8"/>
      <c r="J12178" s="8"/>
    </row>
    <row r="12179">
      <c r="C12179" s="15"/>
      <c r="E12179" s="8"/>
      <c r="G12179" s="8"/>
      <c r="J12179" s="8"/>
    </row>
    <row r="12180">
      <c r="C12180" s="15"/>
      <c r="E12180" s="8"/>
      <c r="G12180" s="8"/>
      <c r="J12180" s="8"/>
    </row>
    <row r="12181">
      <c r="C12181" s="15"/>
      <c r="E12181" s="8"/>
      <c r="G12181" s="8"/>
      <c r="J12181" s="8"/>
    </row>
    <row r="12182">
      <c r="C12182" s="15"/>
      <c r="E12182" s="8"/>
      <c r="G12182" s="8"/>
      <c r="J12182" s="8"/>
    </row>
    <row r="12183">
      <c r="C12183" s="15"/>
      <c r="E12183" s="8"/>
      <c r="G12183" s="8"/>
      <c r="J12183" s="8"/>
    </row>
    <row r="12184">
      <c r="C12184" s="15"/>
      <c r="E12184" s="8"/>
      <c r="G12184" s="8"/>
      <c r="J12184" s="8"/>
    </row>
    <row r="12185">
      <c r="C12185" s="15"/>
      <c r="E12185" s="8"/>
      <c r="G12185" s="8"/>
      <c r="J12185" s="8"/>
    </row>
    <row r="12186">
      <c r="C12186" s="15"/>
      <c r="E12186" s="8"/>
      <c r="G12186" s="8"/>
      <c r="J12186" s="8"/>
    </row>
    <row r="12187">
      <c r="C12187" s="15"/>
      <c r="E12187" s="8"/>
      <c r="G12187" s="8"/>
      <c r="J12187" s="8"/>
    </row>
    <row r="12188">
      <c r="C12188" s="15"/>
      <c r="E12188" s="8"/>
      <c r="G12188" s="8"/>
      <c r="J12188" s="8"/>
    </row>
    <row r="12189">
      <c r="C12189" s="15"/>
      <c r="E12189" s="8"/>
      <c r="G12189" s="8"/>
      <c r="J12189" s="8"/>
    </row>
    <row r="12190">
      <c r="C12190" s="15"/>
      <c r="E12190" s="8"/>
      <c r="G12190" s="8"/>
      <c r="J12190" s="8"/>
    </row>
    <row r="12191">
      <c r="C12191" s="15"/>
      <c r="E12191" s="8"/>
      <c r="G12191" s="8"/>
      <c r="J12191" s="8"/>
    </row>
    <row r="12192">
      <c r="C12192" s="15"/>
      <c r="E12192" s="8"/>
      <c r="G12192" s="8"/>
      <c r="J12192" s="8"/>
    </row>
    <row r="12193">
      <c r="C12193" s="15"/>
      <c r="E12193" s="8"/>
      <c r="G12193" s="8"/>
      <c r="J12193" s="8"/>
    </row>
    <row r="12194">
      <c r="C12194" s="15"/>
      <c r="E12194" s="8"/>
      <c r="G12194" s="8"/>
      <c r="J12194" s="8"/>
    </row>
    <row r="12195">
      <c r="C12195" s="15"/>
      <c r="E12195" s="8"/>
      <c r="G12195" s="8"/>
      <c r="J12195" s="8"/>
    </row>
    <row r="12196">
      <c r="C12196" s="15"/>
      <c r="E12196" s="8"/>
      <c r="G12196" s="8"/>
      <c r="J12196" s="8"/>
    </row>
    <row r="12197">
      <c r="C12197" s="15"/>
      <c r="E12197" s="8"/>
      <c r="G12197" s="8"/>
      <c r="J12197" s="8"/>
    </row>
    <row r="12198">
      <c r="C12198" s="15"/>
      <c r="E12198" s="8"/>
      <c r="G12198" s="8"/>
      <c r="J12198" s="8"/>
    </row>
    <row r="12199">
      <c r="C12199" s="15"/>
      <c r="E12199" s="8"/>
      <c r="G12199" s="8"/>
      <c r="J12199" s="8"/>
    </row>
    <row r="12200">
      <c r="C12200" s="15"/>
      <c r="E12200" s="8"/>
      <c r="G12200" s="8"/>
      <c r="J12200" s="8"/>
    </row>
    <row r="12201">
      <c r="C12201" s="15"/>
      <c r="E12201" s="8"/>
      <c r="G12201" s="8"/>
      <c r="J12201" s="8"/>
    </row>
    <row r="12202">
      <c r="C12202" s="15"/>
      <c r="E12202" s="8"/>
      <c r="G12202" s="8"/>
      <c r="J12202" s="8"/>
    </row>
    <row r="12203">
      <c r="C12203" s="15"/>
      <c r="E12203" s="8"/>
      <c r="G12203" s="8"/>
      <c r="J12203" s="8"/>
    </row>
    <row r="12204">
      <c r="C12204" s="15"/>
      <c r="E12204" s="8"/>
      <c r="G12204" s="8"/>
      <c r="J12204" s="8"/>
    </row>
    <row r="12205">
      <c r="C12205" s="15"/>
      <c r="E12205" s="8"/>
      <c r="G12205" s="8"/>
      <c r="J12205" s="8"/>
    </row>
    <row r="12206">
      <c r="C12206" s="15"/>
      <c r="E12206" s="8"/>
      <c r="G12206" s="8"/>
      <c r="J12206" s="8"/>
    </row>
    <row r="12207">
      <c r="C12207" s="15"/>
      <c r="E12207" s="8"/>
      <c r="G12207" s="8"/>
      <c r="J12207" s="8"/>
    </row>
    <row r="12208">
      <c r="C12208" s="15"/>
      <c r="E12208" s="8"/>
      <c r="G12208" s="8"/>
      <c r="J12208" s="8"/>
    </row>
    <row r="12209">
      <c r="C12209" s="15"/>
      <c r="E12209" s="8"/>
      <c r="G12209" s="8"/>
      <c r="J12209" s="8"/>
    </row>
    <row r="12210">
      <c r="C12210" s="15"/>
      <c r="E12210" s="8"/>
      <c r="G12210" s="8"/>
      <c r="J12210" s="8"/>
    </row>
    <row r="12211">
      <c r="C12211" s="15"/>
      <c r="E12211" s="8"/>
      <c r="G12211" s="8"/>
      <c r="J12211" s="8"/>
    </row>
    <row r="12212">
      <c r="C12212" s="15"/>
      <c r="E12212" s="8"/>
      <c r="G12212" s="8"/>
      <c r="J12212" s="8"/>
    </row>
    <row r="12213">
      <c r="C12213" s="15"/>
      <c r="E12213" s="8"/>
      <c r="G12213" s="8"/>
      <c r="J12213" s="8"/>
    </row>
    <row r="12214">
      <c r="C12214" s="15"/>
      <c r="E12214" s="8"/>
      <c r="G12214" s="8"/>
      <c r="J12214" s="8"/>
    </row>
    <row r="12215">
      <c r="C12215" s="15"/>
      <c r="E12215" s="8"/>
      <c r="G12215" s="8"/>
      <c r="J12215" s="8"/>
    </row>
    <row r="12216">
      <c r="C12216" s="15"/>
      <c r="E12216" s="8"/>
      <c r="G12216" s="8"/>
      <c r="J12216" s="8"/>
    </row>
    <row r="12217">
      <c r="C12217" s="15"/>
      <c r="E12217" s="8"/>
      <c r="G12217" s="8"/>
      <c r="J12217" s="8"/>
    </row>
    <row r="12218">
      <c r="C12218" s="15"/>
      <c r="E12218" s="8"/>
      <c r="G12218" s="8"/>
      <c r="J12218" s="8"/>
    </row>
    <row r="12219">
      <c r="C12219" s="15"/>
      <c r="E12219" s="8"/>
      <c r="G12219" s="8"/>
      <c r="J12219" s="8"/>
    </row>
    <row r="12220">
      <c r="C12220" s="15"/>
      <c r="E12220" s="8"/>
      <c r="G12220" s="8"/>
      <c r="J12220" s="8"/>
    </row>
    <row r="12221">
      <c r="C12221" s="15"/>
      <c r="E12221" s="8"/>
      <c r="G12221" s="8"/>
      <c r="J12221" s="8"/>
    </row>
    <row r="12222">
      <c r="C12222" s="15"/>
      <c r="E12222" s="8"/>
      <c r="G12222" s="8"/>
      <c r="J12222" s="8"/>
    </row>
    <row r="12223">
      <c r="C12223" s="15"/>
      <c r="E12223" s="8"/>
      <c r="G12223" s="8"/>
      <c r="J12223" s="8"/>
    </row>
    <row r="12224">
      <c r="C12224" s="15"/>
      <c r="E12224" s="8"/>
      <c r="G12224" s="8"/>
      <c r="J12224" s="8"/>
    </row>
    <row r="12225">
      <c r="C12225" s="15"/>
      <c r="E12225" s="8"/>
      <c r="G12225" s="8"/>
      <c r="J12225" s="8"/>
    </row>
    <row r="12226">
      <c r="C12226" s="15"/>
      <c r="E12226" s="8"/>
      <c r="G12226" s="8"/>
      <c r="J12226" s="8"/>
    </row>
    <row r="12227">
      <c r="C12227" s="15"/>
      <c r="E12227" s="8"/>
      <c r="G12227" s="8"/>
      <c r="J12227" s="8"/>
    </row>
    <row r="12228">
      <c r="C12228" s="15"/>
      <c r="E12228" s="8"/>
      <c r="G12228" s="8"/>
      <c r="J12228" s="8"/>
    </row>
    <row r="12229">
      <c r="C12229" s="15"/>
      <c r="E12229" s="8"/>
      <c r="G12229" s="8"/>
      <c r="J12229" s="8"/>
    </row>
    <row r="12230">
      <c r="C12230" s="15"/>
      <c r="E12230" s="8"/>
      <c r="G12230" s="8"/>
      <c r="J12230" s="8"/>
    </row>
    <row r="12231">
      <c r="C12231" s="15"/>
      <c r="E12231" s="8"/>
      <c r="G12231" s="8"/>
      <c r="J12231" s="8"/>
    </row>
    <row r="12232">
      <c r="C12232" s="15"/>
      <c r="E12232" s="8"/>
      <c r="G12232" s="8"/>
      <c r="J12232" s="8"/>
    </row>
    <row r="12233">
      <c r="C12233" s="15"/>
      <c r="E12233" s="8"/>
      <c r="G12233" s="8"/>
      <c r="J12233" s="8"/>
    </row>
    <row r="12234">
      <c r="C12234" s="15"/>
      <c r="E12234" s="8"/>
      <c r="G12234" s="8"/>
      <c r="J12234" s="8"/>
    </row>
    <row r="12235">
      <c r="C12235" s="15"/>
      <c r="E12235" s="8"/>
      <c r="G12235" s="8"/>
      <c r="J12235" s="8"/>
    </row>
    <row r="12236">
      <c r="C12236" s="15"/>
      <c r="E12236" s="8"/>
      <c r="G12236" s="8"/>
      <c r="J12236" s="8"/>
    </row>
    <row r="12237">
      <c r="C12237" s="15"/>
      <c r="E12237" s="8"/>
      <c r="G12237" s="8"/>
      <c r="J12237" s="8"/>
    </row>
    <row r="12238">
      <c r="C12238" s="15"/>
      <c r="E12238" s="8"/>
      <c r="G12238" s="8"/>
      <c r="J12238" s="8"/>
    </row>
    <row r="12239">
      <c r="C12239" s="15"/>
      <c r="E12239" s="8"/>
      <c r="G12239" s="8"/>
      <c r="J12239" s="8"/>
    </row>
    <row r="12240">
      <c r="C12240" s="15"/>
      <c r="E12240" s="8"/>
      <c r="G12240" s="8"/>
      <c r="J12240" s="8"/>
    </row>
    <row r="12241">
      <c r="C12241" s="15"/>
      <c r="E12241" s="8"/>
      <c r="G12241" s="8"/>
      <c r="J12241" s="8"/>
    </row>
    <row r="12242">
      <c r="C12242" s="15"/>
      <c r="E12242" s="8"/>
      <c r="G12242" s="8"/>
      <c r="J12242" s="8"/>
    </row>
    <row r="12243">
      <c r="C12243" s="15"/>
      <c r="E12243" s="8"/>
      <c r="G12243" s="8"/>
      <c r="J12243" s="8"/>
    </row>
    <row r="12244">
      <c r="C12244" s="15"/>
      <c r="E12244" s="8"/>
      <c r="G12244" s="8"/>
      <c r="J12244" s="8"/>
    </row>
    <row r="12245">
      <c r="C12245" s="15"/>
      <c r="E12245" s="8"/>
      <c r="G12245" s="8"/>
      <c r="J12245" s="8"/>
    </row>
    <row r="12246">
      <c r="C12246" s="15"/>
      <c r="E12246" s="8"/>
      <c r="G12246" s="8"/>
      <c r="J12246" s="8"/>
    </row>
    <row r="12247">
      <c r="C12247" s="15"/>
      <c r="E12247" s="8"/>
      <c r="G12247" s="8"/>
      <c r="J12247" s="8"/>
    </row>
    <row r="12248">
      <c r="C12248" s="15"/>
      <c r="E12248" s="8"/>
      <c r="G12248" s="8"/>
      <c r="J12248" s="8"/>
    </row>
    <row r="12249">
      <c r="C12249" s="15"/>
      <c r="E12249" s="8"/>
      <c r="G12249" s="8"/>
      <c r="J12249" s="8"/>
    </row>
    <row r="12250">
      <c r="C12250" s="15"/>
      <c r="E12250" s="8"/>
      <c r="G12250" s="8"/>
      <c r="J12250" s="8"/>
    </row>
    <row r="12251">
      <c r="C12251" s="15"/>
      <c r="E12251" s="8"/>
      <c r="G12251" s="8"/>
      <c r="J12251" s="8"/>
    </row>
    <row r="12252">
      <c r="C12252" s="15"/>
      <c r="E12252" s="8"/>
      <c r="G12252" s="8"/>
      <c r="J12252" s="8"/>
    </row>
    <row r="12253">
      <c r="C12253" s="15"/>
      <c r="E12253" s="8"/>
      <c r="G12253" s="8"/>
      <c r="J12253" s="8"/>
    </row>
    <row r="12254">
      <c r="C12254" s="15"/>
      <c r="E12254" s="8"/>
      <c r="G12254" s="8"/>
      <c r="J12254" s="8"/>
    </row>
    <row r="12255">
      <c r="C12255" s="15"/>
      <c r="E12255" s="8"/>
      <c r="G12255" s="8"/>
      <c r="J12255" s="8"/>
    </row>
    <row r="12256">
      <c r="C12256" s="15"/>
      <c r="E12256" s="8"/>
      <c r="G12256" s="8"/>
      <c r="J12256" s="8"/>
    </row>
    <row r="12257">
      <c r="C12257" s="15"/>
      <c r="E12257" s="8"/>
      <c r="G12257" s="8"/>
      <c r="J12257" s="8"/>
    </row>
    <row r="12258">
      <c r="C12258" s="15"/>
      <c r="E12258" s="8"/>
      <c r="G12258" s="8"/>
      <c r="J12258" s="8"/>
    </row>
    <row r="12259">
      <c r="C12259" s="15"/>
      <c r="E12259" s="8"/>
      <c r="G12259" s="8"/>
      <c r="J12259" s="8"/>
    </row>
    <row r="12260">
      <c r="C12260" s="15"/>
      <c r="E12260" s="8"/>
      <c r="G12260" s="8"/>
      <c r="J12260" s="8"/>
    </row>
    <row r="12261">
      <c r="C12261" s="15"/>
      <c r="E12261" s="8"/>
      <c r="G12261" s="8"/>
      <c r="J12261" s="8"/>
    </row>
    <row r="12262">
      <c r="C12262" s="15"/>
      <c r="E12262" s="8"/>
      <c r="G12262" s="8"/>
      <c r="J12262" s="8"/>
    </row>
    <row r="12263">
      <c r="C12263" s="15"/>
      <c r="E12263" s="8"/>
      <c r="G12263" s="8"/>
      <c r="J12263" s="8"/>
    </row>
    <row r="12264">
      <c r="C12264" s="15"/>
      <c r="E12264" s="8"/>
      <c r="G12264" s="8"/>
      <c r="J12264" s="8"/>
    </row>
    <row r="12265">
      <c r="C12265" s="15"/>
      <c r="E12265" s="8"/>
      <c r="G12265" s="8"/>
      <c r="J12265" s="8"/>
    </row>
    <row r="12266">
      <c r="C12266" s="15"/>
      <c r="E12266" s="8"/>
      <c r="G12266" s="8"/>
      <c r="J12266" s="8"/>
    </row>
    <row r="12267">
      <c r="C12267" s="15"/>
      <c r="E12267" s="8"/>
      <c r="G12267" s="8"/>
      <c r="J12267" s="8"/>
    </row>
    <row r="12268">
      <c r="C12268" s="15"/>
      <c r="E12268" s="8"/>
      <c r="G12268" s="8"/>
      <c r="J12268" s="8"/>
    </row>
    <row r="12269">
      <c r="C12269" s="15"/>
      <c r="E12269" s="8"/>
      <c r="G12269" s="8"/>
      <c r="J12269" s="8"/>
    </row>
    <row r="12270">
      <c r="C12270" s="15"/>
      <c r="E12270" s="8"/>
      <c r="G12270" s="8"/>
      <c r="J12270" s="8"/>
    </row>
    <row r="12271">
      <c r="C12271" s="15"/>
      <c r="E12271" s="8"/>
      <c r="G12271" s="8"/>
      <c r="J12271" s="8"/>
    </row>
    <row r="12272">
      <c r="C12272" s="15"/>
      <c r="E12272" s="8"/>
      <c r="G12272" s="8"/>
      <c r="J12272" s="8"/>
    </row>
    <row r="12273">
      <c r="C12273" s="15"/>
      <c r="E12273" s="8"/>
      <c r="G12273" s="8"/>
      <c r="J12273" s="8"/>
    </row>
    <row r="12274">
      <c r="C12274" s="15"/>
      <c r="E12274" s="8"/>
      <c r="G12274" s="8"/>
      <c r="J12274" s="8"/>
    </row>
    <row r="12275">
      <c r="C12275" s="15"/>
      <c r="E12275" s="8"/>
      <c r="G12275" s="8"/>
      <c r="J12275" s="8"/>
    </row>
    <row r="12276">
      <c r="C12276" s="15"/>
      <c r="E12276" s="8"/>
      <c r="G12276" s="8"/>
      <c r="J12276" s="8"/>
    </row>
    <row r="12277">
      <c r="C12277" s="15"/>
      <c r="E12277" s="8"/>
      <c r="G12277" s="8"/>
      <c r="J12277" s="8"/>
    </row>
    <row r="12278">
      <c r="C12278" s="15"/>
      <c r="E12278" s="8"/>
      <c r="G12278" s="8"/>
      <c r="J12278" s="8"/>
    </row>
    <row r="12279">
      <c r="C12279" s="15"/>
      <c r="E12279" s="8"/>
      <c r="G12279" s="8"/>
      <c r="J12279" s="8"/>
    </row>
    <row r="12280">
      <c r="C12280" s="15"/>
      <c r="E12280" s="8"/>
      <c r="G12280" s="8"/>
      <c r="J12280" s="8"/>
    </row>
    <row r="12281">
      <c r="C12281" s="15"/>
      <c r="E12281" s="8"/>
      <c r="G12281" s="8"/>
      <c r="J12281" s="8"/>
    </row>
    <row r="12282">
      <c r="C12282" s="15"/>
      <c r="E12282" s="8"/>
      <c r="G12282" s="8"/>
      <c r="J12282" s="8"/>
    </row>
    <row r="12283">
      <c r="C12283" s="15"/>
      <c r="E12283" s="8"/>
      <c r="G12283" s="8"/>
      <c r="J12283" s="8"/>
    </row>
    <row r="12284">
      <c r="C12284" s="15"/>
      <c r="E12284" s="8"/>
      <c r="G12284" s="8"/>
      <c r="J12284" s="8"/>
    </row>
    <row r="12285">
      <c r="C12285" s="15"/>
      <c r="E12285" s="8"/>
      <c r="G12285" s="8"/>
      <c r="J12285" s="8"/>
    </row>
    <row r="12286">
      <c r="C12286" s="15"/>
      <c r="E12286" s="8"/>
      <c r="G12286" s="8"/>
      <c r="J12286" s="8"/>
    </row>
    <row r="12287">
      <c r="C12287" s="15"/>
      <c r="E12287" s="8"/>
      <c r="G12287" s="8"/>
      <c r="J12287" s="8"/>
    </row>
    <row r="12288">
      <c r="C12288" s="15"/>
      <c r="E12288" s="8"/>
      <c r="G12288" s="8"/>
      <c r="J12288" s="8"/>
    </row>
    <row r="12289">
      <c r="C12289" s="15"/>
      <c r="E12289" s="8"/>
      <c r="G12289" s="8"/>
      <c r="J12289" s="8"/>
    </row>
    <row r="12290">
      <c r="C12290" s="15"/>
      <c r="E12290" s="8"/>
      <c r="G12290" s="8"/>
      <c r="J12290" s="8"/>
    </row>
    <row r="12291">
      <c r="C12291" s="15"/>
      <c r="E12291" s="8"/>
      <c r="G12291" s="8"/>
      <c r="J12291" s="8"/>
    </row>
    <row r="12292">
      <c r="C12292" s="15"/>
      <c r="E12292" s="8"/>
      <c r="G12292" s="8"/>
      <c r="J12292" s="8"/>
    </row>
    <row r="12293">
      <c r="C12293" s="15"/>
      <c r="E12293" s="8"/>
      <c r="G12293" s="8"/>
      <c r="J12293" s="8"/>
    </row>
    <row r="12294">
      <c r="C12294" s="15"/>
      <c r="E12294" s="8"/>
      <c r="G12294" s="8"/>
      <c r="J12294" s="8"/>
    </row>
    <row r="12295">
      <c r="C12295" s="15"/>
      <c r="E12295" s="8"/>
      <c r="G12295" s="8"/>
      <c r="J12295" s="8"/>
    </row>
    <row r="12296">
      <c r="C12296" s="15"/>
      <c r="E12296" s="8"/>
      <c r="G12296" s="8"/>
      <c r="J12296" s="8"/>
    </row>
    <row r="12297">
      <c r="C12297" s="15"/>
      <c r="E12297" s="8"/>
      <c r="G12297" s="8"/>
      <c r="J12297" s="8"/>
    </row>
    <row r="12298">
      <c r="C12298" s="15"/>
      <c r="E12298" s="8"/>
      <c r="G12298" s="8"/>
      <c r="J12298" s="8"/>
    </row>
    <row r="12299">
      <c r="C12299" s="15"/>
      <c r="E12299" s="8"/>
      <c r="G12299" s="8"/>
      <c r="J12299" s="8"/>
    </row>
    <row r="12300">
      <c r="C12300" s="15"/>
      <c r="E12300" s="8"/>
      <c r="G12300" s="8"/>
      <c r="J12300" s="8"/>
    </row>
    <row r="12301">
      <c r="C12301" s="15"/>
      <c r="E12301" s="8"/>
      <c r="G12301" s="8"/>
      <c r="J12301" s="8"/>
    </row>
    <row r="12302">
      <c r="C12302" s="15"/>
      <c r="E12302" s="8"/>
      <c r="G12302" s="8"/>
      <c r="J12302" s="8"/>
    </row>
    <row r="12303">
      <c r="C12303" s="15"/>
      <c r="E12303" s="8"/>
      <c r="G12303" s="8"/>
      <c r="J12303" s="8"/>
    </row>
    <row r="12304">
      <c r="C12304" s="15"/>
      <c r="E12304" s="8"/>
      <c r="G12304" s="8"/>
      <c r="J12304" s="8"/>
    </row>
    <row r="12305">
      <c r="C12305" s="15"/>
      <c r="E12305" s="8"/>
      <c r="G12305" s="8"/>
      <c r="J12305" s="8"/>
    </row>
    <row r="12306">
      <c r="C12306" s="15"/>
      <c r="E12306" s="8"/>
      <c r="G12306" s="8"/>
      <c r="J12306" s="8"/>
    </row>
    <row r="12307">
      <c r="C12307" s="15"/>
      <c r="E12307" s="8"/>
      <c r="G12307" s="8"/>
      <c r="J12307" s="8"/>
    </row>
    <row r="12308">
      <c r="C12308" s="15"/>
      <c r="E12308" s="8"/>
      <c r="G12308" s="8"/>
      <c r="J12308" s="8"/>
    </row>
    <row r="12309">
      <c r="C12309" s="15"/>
      <c r="E12309" s="8"/>
      <c r="G12309" s="8"/>
      <c r="J12309" s="8"/>
    </row>
    <row r="12310">
      <c r="C12310" s="15"/>
      <c r="E12310" s="8"/>
      <c r="G12310" s="8"/>
      <c r="J12310" s="8"/>
    </row>
    <row r="12311">
      <c r="C12311" s="15"/>
      <c r="E12311" s="8"/>
      <c r="G12311" s="8"/>
      <c r="J12311" s="8"/>
    </row>
    <row r="12312">
      <c r="C12312" s="15"/>
      <c r="E12312" s="8"/>
      <c r="G12312" s="8"/>
      <c r="J12312" s="8"/>
    </row>
    <row r="12313">
      <c r="C12313" s="15"/>
      <c r="E12313" s="8"/>
      <c r="G12313" s="8"/>
      <c r="J12313" s="8"/>
    </row>
    <row r="12314">
      <c r="C12314" s="15"/>
      <c r="E12314" s="8"/>
      <c r="G12314" s="8"/>
      <c r="J12314" s="8"/>
    </row>
    <row r="12315">
      <c r="C12315" s="15"/>
      <c r="E12315" s="8"/>
      <c r="G12315" s="8"/>
      <c r="J12315" s="8"/>
    </row>
    <row r="12316">
      <c r="C12316" s="15"/>
      <c r="E12316" s="8"/>
      <c r="G12316" s="8"/>
      <c r="J12316" s="8"/>
    </row>
    <row r="12317">
      <c r="C12317" s="15"/>
      <c r="E12317" s="8"/>
      <c r="G12317" s="8"/>
      <c r="J12317" s="8"/>
    </row>
    <row r="12318">
      <c r="C12318" s="15"/>
      <c r="E12318" s="8"/>
      <c r="G12318" s="8"/>
      <c r="J12318" s="8"/>
    </row>
    <row r="12319">
      <c r="C12319" s="15"/>
      <c r="E12319" s="8"/>
      <c r="G12319" s="8"/>
      <c r="J12319" s="8"/>
    </row>
    <row r="12320">
      <c r="C12320" s="15"/>
      <c r="E12320" s="8"/>
      <c r="G12320" s="8"/>
      <c r="J12320" s="8"/>
    </row>
    <row r="12321">
      <c r="C12321" s="15"/>
      <c r="E12321" s="8"/>
      <c r="G12321" s="8"/>
      <c r="J12321" s="8"/>
    </row>
    <row r="12322">
      <c r="C12322" s="15"/>
      <c r="E12322" s="8"/>
      <c r="G12322" s="8"/>
      <c r="J12322" s="8"/>
    </row>
    <row r="12323">
      <c r="C12323" s="15"/>
      <c r="E12323" s="8"/>
      <c r="G12323" s="8"/>
      <c r="J12323" s="8"/>
    </row>
    <row r="12324">
      <c r="C12324" s="15"/>
      <c r="E12324" s="8"/>
      <c r="G12324" s="8"/>
      <c r="J12324" s="8"/>
    </row>
    <row r="12325">
      <c r="C12325" s="15"/>
      <c r="E12325" s="8"/>
      <c r="G12325" s="8"/>
      <c r="J12325" s="8"/>
    </row>
    <row r="12326">
      <c r="C12326" s="15"/>
      <c r="E12326" s="8"/>
      <c r="G12326" s="8"/>
      <c r="J12326" s="8"/>
    </row>
    <row r="12327">
      <c r="C12327" s="15"/>
      <c r="E12327" s="8"/>
      <c r="G12327" s="8"/>
      <c r="J12327" s="8"/>
    </row>
    <row r="12328">
      <c r="C12328" s="15"/>
      <c r="E12328" s="8"/>
      <c r="G12328" s="8"/>
      <c r="J12328" s="8"/>
    </row>
    <row r="12329">
      <c r="C12329" s="15"/>
      <c r="E12329" s="8"/>
      <c r="G12329" s="8"/>
      <c r="J12329" s="8"/>
    </row>
    <row r="12330">
      <c r="C12330" s="15"/>
      <c r="E12330" s="8"/>
      <c r="G12330" s="8"/>
      <c r="J12330" s="8"/>
    </row>
    <row r="12331">
      <c r="C12331" s="15"/>
      <c r="E12331" s="8"/>
      <c r="G12331" s="8"/>
      <c r="J12331" s="8"/>
    </row>
    <row r="12332">
      <c r="C12332" s="15"/>
      <c r="E12332" s="8"/>
      <c r="G12332" s="8"/>
      <c r="J12332" s="8"/>
    </row>
    <row r="12333">
      <c r="C12333" s="15"/>
      <c r="E12333" s="8"/>
      <c r="G12333" s="8"/>
      <c r="J12333" s="8"/>
    </row>
    <row r="12334">
      <c r="C12334" s="15"/>
      <c r="E12334" s="8"/>
      <c r="G12334" s="8"/>
      <c r="J12334" s="8"/>
    </row>
    <row r="12335">
      <c r="C12335" s="15"/>
      <c r="E12335" s="8"/>
      <c r="G12335" s="8"/>
      <c r="J12335" s="8"/>
    </row>
    <row r="12336">
      <c r="C12336" s="15"/>
      <c r="E12336" s="8"/>
      <c r="G12336" s="8"/>
      <c r="J12336" s="8"/>
    </row>
    <row r="12337">
      <c r="C12337" s="15"/>
      <c r="E12337" s="8"/>
      <c r="G12337" s="8"/>
      <c r="J12337" s="8"/>
    </row>
    <row r="12338">
      <c r="C12338" s="15"/>
      <c r="E12338" s="8"/>
      <c r="G12338" s="8"/>
      <c r="J12338" s="8"/>
    </row>
    <row r="12339">
      <c r="C12339" s="15"/>
      <c r="E12339" s="8"/>
      <c r="G12339" s="8"/>
      <c r="J12339" s="8"/>
    </row>
    <row r="12340">
      <c r="C12340" s="15"/>
      <c r="E12340" s="8"/>
      <c r="G12340" s="8"/>
      <c r="J12340" s="8"/>
    </row>
    <row r="12341">
      <c r="C12341" s="15"/>
      <c r="E12341" s="8"/>
      <c r="G12341" s="8"/>
      <c r="J12341" s="8"/>
    </row>
    <row r="12342">
      <c r="C12342" s="15"/>
      <c r="E12342" s="8"/>
      <c r="G12342" s="8"/>
      <c r="J12342" s="8"/>
    </row>
    <row r="12343">
      <c r="C12343" s="15"/>
      <c r="E12343" s="8"/>
      <c r="G12343" s="8"/>
      <c r="J12343" s="8"/>
    </row>
    <row r="12344">
      <c r="C12344" s="15"/>
      <c r="E12344" s="8"/>
      <c r="G12344" s="8"/>
      <c r="J12344" s="8"/>
    </row>
    <row r="12345">
      <c r="C12345" s="15"/>
      <c r="E12345" s="8"/>
      <c r="G12345" s="8"/>
      <c r="J12345" s="8"/>
    </row>
    <row r="12346">
      <c r="C12346" s="15"/>
      <c r="E12346" s="8"/>
      <c r="G12346" s="8"/>
      <c r="J12346" s="8"/>
    </row>
    <row r="12347">
      <c r="C12347" s="15"/>
      <c r="E12347" s="8"/>
      <c r="G12347" s="8"/>
      <c r="J12347" s="8"/>
    </row>
    <row r="12348">
      <c r="C12348" s="15"/>
      <c r="E12348" s="8"/>
      <c r="G12348" s="8"/>
      <c r="J12348" s="8"/>
    </row>
    <row r="12349">
      <c r="C12349" s="15"/>
      <c r="E12349" s="8"/>
      <c r="G12349" s="8"/>
      <c r="J12349" s="8"/>
    </row>
    <row r="12350">
      <c r="C12350" s="15"/>
      <c r="E12350" s="8"/>
      <c r="G12350" s="8"/>
      <c r="J12350" s="8"/>
    </row>
    <row r="12351">
      <c r="C12351" s="15"/>
      <c r="E12351" s="8"/>
      <c r="G12351" s="8"/>
      <c r="J12351" s="8"/>
    </row>
    <row r="12352">
      <c r="C12352" s="15"/>
      <c r="E12352" s="8"/>
      <c r="G12352" s="8"/>
      <c r="J12352" s="8"/>
    </row>
    <row r="12353">
      <c r="C12353" s="15"/>
      <c r="E12353" s="8"/>
      <c r="G12353" s="8"/>
      <c r="J12353" s="8"/>
    </row>
    <row r="12354">
      <c r="C12354" s="15"/>
      <c r="E12354" s="8"/>
      <c r="G12354" s="8"/>
      <c r="J12354" s="8"/>
    </row>
    <row r="12355">
      <c r="C12355" s="15"/>
      <c r="E12355" s="8"/>
      <c r="G12355" s="8"/>
      <c r="J12355" s="8"/>
    </row>
    <row r="12356">
      <c r="C12356" s="15"/>
      <c r="E12356" s="8"/>
      <c r="G12356" s="8"/>
      <c r="J12356" s="8"/>
    </row>
    <row r="12357">
      <c r="C12357" s="15"/>
      <c r="E12357" s="8"/>
      <c r="G12357" s="8"/>
      <c r="J12357" s="8"/>
    </row>
    <row r="12358">
      <c r="C12358" s="15"/>
      <c r="E12358" s="8"/>
      <c r="G12358" s="8"/>
      <c r="J12358" s="8"/>
    </row>
    <row r="12359">
      <c r="C12359" s="15"/>
      <c r="E12359" s="8"/>
      <c r="G12359" s="8"/>
      <c r="J12359" s="8"/>
    </row>
    <row r="12360">
      <c r="C12360" s="15"/>
      <c r="E12360" s="8"/>
      <c r="G12360" s="8"/>
      <c r="J12360" s="8"/>
    </row>
    <row r="12361">
      <c r="C12361" s="15"/>
      <c r="E12361" s="8"/>
      <c r="G12361" s="8"/>
      <c r="J12361" s="8"/>
    </row>
    <row r="12362">
      <c r="C12362" s="15"/>
      <c r="E12362" s="8"/>
      <c r="G12362" s="8"/>
      <c r="J12362" s="8"/>
    </row>
    <row r="12363">
      <c r="C12363" s="15"/>
      <c r="E12363" s="8"/>
      <c r="G12363" s="8"/>
      <c r="J12363" s="8"/>
    </row>
    <row r="12364">
      <c r="C12364" s="15"/>
      <c r="E12364" s="8"/>
      <c r="G12364" s="8"/>
      <c r="J12364" s="8"/>
    </row>
    <row r="12365">
      <c r="C12365" s="15"/>
      <c r="E12365" s="8"/>
      <c r="G12365" s="8"/>
      <c r="J12365" s="8"/>
    </row>
    <row r="12366">
      <c r="C12366" s="15"/>
      <c r="E12366" s="8"/>
      <c r="G12366" s="8"/>
      <c r="J12366" s="8"/>
    </row>
    <row r="12367">
      <c r="C12367" s="15"/>
      <c r="E12367" s="8"/>
      <c r="G12367" s="8"/>
      <c r="J12367" s="8"/>
    </row>
    <row r="12368">
      <c r="C12368" s="15"/>
      <c r="E12368" s="8"/>
      <c r="G12368" s="8"/>
      <c r="J12368" s="8"/>
    </row>
    <row r="12369">
      <c r="C12369" s="15"/>
      <c r="E12369" s="8"/>
      <c r="G12369" s="8"/>
      <c r="J12369" s="8"/>
    </row>
    <row r="12370">
      <c r="C12370" s="15"/>
      <c r="E12370" s="8"/>
      <c r="G12370" s="8"/>
      <c r="J12370" s="8"/>
    </row>
    <row r="12371">
      <c r="C12371" s="15"/>
      <c r="E12371" s="8"/>
      <c r="G12371" s="8"/>
      <c r="J12371" s="8"/>
    </row>
    <row r="12372">
      <c r="C12372" s="15"/>
      <c r="E12372" s="8"/>
      <c r="G12372" s="8"/>
      <c r="J12372" s="8"/>
    </row>
    <row r="12373">
      <c r="C12373" s="15"/>
      <c r="E12373" s="8"/>
      <c r="G12373" s="8"/>
      <c r="J12373" s="8"/>
    </row>
    <row r="12374">
      <c r="C12374" s="15"/>
      <c r="E12374" s="8"/>
      <c r="G12374" s="8"/>
      <c r="J12374" s="8"/>
    </row>
    <row r="12375">
      <c r="C12375" s="15"/>
      <c r="E12375" s="8"/>
      <c r="G12375" s="8"/>
      <c r="J12375" s="8"/>
    </row>
    <row r="12376">
      <c r="C12376" s="15"/>
      <c r="E12376" s="8"/>
      <c r="G12376" s="8"/>
      <c r="J12376" s="8"/>
    </row>
    <row r="12377">
      <c r="C12377" s="15"/>
      <c r="E12377" s="8"/>
      <c r="G12377" s="8"/>
      <c r="J12377" s="8"/>
    </row>
    <row r="12378">
      <c r="C12378" s="15"/>
      <c r="E12378" s="8"/>
      <c r="G12378" s="8"/>
      <c r="J12378" s="8"/>
    </row>
    <row r="12379">
      <c r="C12379" s="15"/>
      <c r="E12379" s="8"/>
      <c r="G12379" s="8"/>
      <c r="J12379" s="8"/>
    </row>
    <row r="12380">
      <c r="C12380" s="15"/>
      <c r="E12380" s="8"/>
      <c r="G12380" s="8"/>
      <c r="J12380" s="8"/>
    </row>
    <row r="12381">
      <c r="C12381" s="15"/>
      <c r="E12381" s="8"/>
      <c r="G12381" s="8"/>
      <c r="J12381" s="8"/>
    </row>
    <row r="12382">
      <c r="C12382" s="15"/>
      <c r="E12382" s="8"/>
      <c r="G12382" s="8"/>
      <c r="J12382" s="8"/>
    </row>
    <row r="12383">
      <c r="C12383" s="15"/>
      <c r="E12383" s="8"/>
      <c r="G12383" s="8"/>
      <c r="J12383" s="8"/>
    </row>
    <row r="12384">
      <c r="C12384" s="15"/>
      <c r="E12384" s="8"/>
      <c r="G12384" s="8"/>
      <c r="J12384" s="8"/>
    </row>
    <row r="12385">
      <c r="C12385" s="15"/>
      <c r="E12385" s="8"/>
      <c r="G12385" s="8"/>
      <c r="J12385" s="8"/>
    </row>
    <row r="12386">
      <c r="C12386" s="15"/>
      <c r="E12386" s="8"/>
      <c r="G12386" s="8"/>
      <c r="J12386" s="8"/>
    </row>
    <row r="12387">
      <c r="C12387" s="15"/>
      <c r="E12387" s="8"/>
      <c r="G12387" s="8"/>
      <c r="J12387" s="8"/>
    </row>
    <row r="12388">
      <c r="C12388" s="15"/>
      <c r="E12388" s="8"/>
      <c r="G12388" s="8"/>
      <c r="J12388" s="8"/>
    </row>
    <row r="12389">
      <c r="C12389" s="15"/>
      <c r="E12389" s="8"/>
      <c r="G12389" s="8"/>
      <c r="J12389" s="8"/>
    </row>
    <row r="12390">
      <c r="C12390" s="15"/>
      <c r="E12390" s="8"/>
      <c r="G12390" s="8"/>
      <c r="J12390" s="8"/>
    </row>
    <row r="12391">
      <c r="C12391" s="15"/>
      <c r="E12391" s="8"/>
      <c r="G12391" s="8"/>
      <c r="J12391" s="8"/>
    </row>
    <row r="12392">
      <c r="C12392" s="15"/>
      <c r="E12392" s="8"/>
      <c r="G12392" s="8"/>
      <c r="J12392" s="8"/>
    </row>
    <row r="12393">
      <c r="C12393" s="15"/>
      <c r="E12393" s="8"/>
      <c r="G12393" s="8"/>
      <c r="J12393" s="8"/>
    </row>
    <row r="12394">
      <c r="C12394" s="15"/>
      <c r="E12394" s="8"/>
      <c r="G12394" s="8"/>
      <c r="J12394" s="8"/>
    </row>
    <row r="12395">
      <c r="C12395" s="15"/>
      <c r="E12395" s="8"/>
      <c r="G12395" s="8"/>
      <c r="J12395" s="8"/>
    </row>
    <row r="12396">
      <c r="C12396" s="15"/>
      <c r="E12396" s="8"/>
      <c r="G12396" s="8"/>
      <c r="J12396" s="8"/>
    </row>
    <row r="12397">
      <c r="C12397" s="15"/>
      <c r="E12397" s="8"/>
      <c r="G12397" s="8"/>
      <c r="J12397" s="8"/>
    </row>
    <row r="12398">
      <c r="C12398" s="15"/>
      <c r="E12398" s="8"/>
      <c r="G12398" s="8"/>
      <c r="J12398" s="8"/>
    </row>
    <row r="12399">
      <c r="C12399" s="15"/>
      <c r="E12399" s="8"/>
      <c r="G12399" s="8"/>
      <c r="J12399" s="8"/>
    </row>
    <row r="12400">
      <c r="C12400" s="15"/>
      <c r="E12400" s="8"/>
      <c r="G12400" s="8"/>
      <c r="J12400" s="8"/>
    </row>
    <row r="12401">
      <c r="C12401" s="15"/>
      <c r="E12401" s="8"/>
      <c r="G12401" s="8"/>
      <c r="J12401" s="8"/>
    </row>
    <row r="12402">
      <c r="C12402" s="15"/>
      <c r="E12402" s="8"/>
      <c r="G12402" s="8"/>
      <c r="J12402" s="8"/>
    </row>
    <row r="12403">
      <c r="C12403" s="15"/>
      <c r="E12403" s="8"/>
      <c r="G12403" s="8"/>
      <c r="J12403" s="8"/>
    </row>
    <row r="12404">
      <c r="C12404" s="15"/>
      <c r="E12404" s="8"/>
      <c r="G12404" s="8"/>
      <c r="J12404" s="8"/>
    </row>
    <row r="12405">
      <c r="C12405" s="15"/>
      <c r="E12405" s="8"/>
      <c r="G12405" s="8"/>
      <c r="J12405" s="8"/>
    </row>
    <row r="12406">
      <c r="C12406" s="15"/>
      <c r="E12406" s="8"/>
      <c r="G12406" s="8"/>
      <c r="J12406" s="8"/>
    </row>
    <row r="12407">
      <c r="C12407" s="15"/>
      <c r="E12407" s="8"/>
      <c r="G12407" s="8"/>
      <c r="J12407" s="8"/>
    </row>
    <row r="12408">
      <c r="C12408" s="15"/>
      <c r="E12408" s="8"/>
      <c r="G12408" s="8"/>
      <c r="J12408" s="8"/>
    </row>
    <row r="12409">
      <c r="C12409" s="15"/>
      <c r="E12409" s="8"/>
      <c r="G12409" s="8"/>
      <c r="J12409" s="8"/>
    </row>
    <row r="12410">
      <c r="C12410" s="15"/>
      <c r="E12410" s="8"/>
      <c r="G12410" s="8"/>
      <c r="J12410" s="8"/>
    </row>
    <row r="12411">
      <c r="C12411" s="15"/>
      <c r="E12411" s="8"/>
      <c r="G12411" s="8"/>
      <c r="J12411" s="8"/>
    </row>
    <row r="12412">
      <c r="C12412" s="15"/>
      <c r="E12412" s="8"/>
      <c r="G12412" s="8"/>
      <c r="J12412" s="8"/>
    </row>
    <row r="12413">
      <c r="C12413" s="15"/>
      <c r="E12413" s="8"/>
      <c r="G12413" s="8"/>
      <c r="J12413" s="8"/>
    </row>
    <row r="12414">
      <c r="C12414" s="15"/>
      <c r="E12414" s="8"/>
      <c r="G12414" s="8"/>
      <c r="J12414" s="8"/>
    </row>
    <row r="12415">
      <c r="C12415" s="15"/>
      <c r="E12415" s="8"/>
      <c r="G12415" s="8"/>
      <c r="J12415" s="8"/>
    </row>
    <row r="12416">
      <c r="C12416" s="15"/>
      <c r="E12416" s="8"/>
      <c r="G12416" s="8"/>
      <c r="J12416" s="8"/>
    </row>
    <row r="12417">
      <c r="C12417" s="15"/>
      <c r="E12417" s="8"/>
      <c r="G12417" s="8"/>
      <c r="J12417" s="8"/>
    </row>
    <row r="12418">
      <c r="C12418" s="15"/>
      <c r="E12418" s="8"/>
      <c r="G12418" s="8"/>
      <c r="J12418" s="8"/>
    </row>
    <row r="12419">
      <c r="C12419" s="15"/>
      <c r="E12419" s="8"/>
      <c r="G12419" s="8"/>
      <c r="J12419" s="8"/>
    </row>
    <row r="12420">
      <c r="C12420" s="15"/>
      <c r="E12420" s="8"/>
      <c r="G12420" s="8"/>
      <c r="J12420" s="8"/>
    </row>
    <row r="12421">
      <c r="C12421" s="15"/>
      <c r="E12421" s="8"/>
      <c r="G12421" s="8"/>
      <c r="J12421" s="8"/>
    </row>
    <row r="12422">
      <c r="C12422" s="15"/>
      <c r="E12422" s="8"/>
      <c r="G12422" s="8"/>
      <c r="J12422" s="8"/>
    </row>
    <row r="12423">
      <c r="C12423" s="15"/>
      <c r="E12423" s="8"/>
      <c r="G12423" s="8"/>
      <c r="J12423" s="8"/>
    </row>
    <row r="12424">
      <c r="C12424" s="15"/>
      <c r="E12424" s="8"/>
      <c r="G12424" s="8"/>
      <c r="J12424" s="8"/>
    </row>
    <row r="12425">
      <c r="C12425" s="15"/>
      <c r="E12425" s="8"/>
      <c r="G12425" s="8"/>
      <c r="J12425" s="8"/>
    </row>
    <row r="12426">
      <c r="C12426" s="15"/>
      <c r="E12426" s="8"/>
      <c r="G12426" s="8"/>
      <c r="J12426" s="8"/>
    </row>
    <row r="12427">
      <c r="C12427" s="15"/>
      <c r="E12427" s="8"/>
      <c r="G12427" s="8"/>
      <c r="J12427" s="8"/>
    </row>
    <row r="12428">
      <c r="C12428" s="15"/>
      <c r="E12428" s="8"/>
      <c r="G12428" s="8"/>
      <c r="J12428" s="8"/>
    </row>
    <row r="12429">
      <c r="C12429" s="15"/>
      <c r="E12429" s="8"/>
      <c r="G12429" s="8"/>
      <c r="J12429" s="8"/>
    </row>
    <row r="12430">
      <c r="C12430" s="15"/>
      <c r="E12430" s="8"/>
      <c r="G12430" s="8"/>
      <c r="J12430" s="8"/>
    </row>
    <row r="12431">
      <c r="C12431" s="15"/>
      <c r="E12431" s="8"/>
      <c r="G12431" s="8"/>
      <c r="J12431" s="8"/>
    </row>
    <row r="12432">
      <c r="C12432" s="15"/>
      <c r="E12432" s="8"/>
      <c r="G12432" s="8"/>
      <c r="J12432" s="8"/>
    </row>
    <row r="12433">
      <c r="C12433" s="15"/>
      <c r="E12433" s="8"/>
      <c r="G12433" s="8"/>
      <c r="J12433" s="8"/>
    </row>
    <row r="12434">
      <c r="C12434" s="15"/>
      <c r="E12434" s="8"/>
      <c r="G12434" s="8"/>
      <c r="J12434" s="8"/>
    </row>
    <row r="12435">
      <c r="C12435" s="15"/>
      <c r="E12435" s="8"/>
      <c r="G12435" s="8"/>
      <c r="J12435" s="8"/>
    </row>
    <row r="12436">
      <c r="C12436" s="15"/>
      <c r="E12436" s="8"/>
      <c r="G12436" s="8"/>
      <c r="J12436" s="8"/>
    </row>
    <row r="12437">
      <c r="C12437" s="15"/>
      <c r="E12437" s="8"/>
      <c r="G12437" s="8"/>
      <c r="J12437" s="8"/>
    </row>
    <row r="12438">
      <c r="C12438" s="15"/>
      <c r="E12438" s="8"/>
      <c r="G12438" s="8"/>
      <c r="J12438" s="8"/>
    </row>
    <row r="12439">
      <c r="C12439" s="15"/>
      <c r="E12439" s="8"/>
      <c r="G12439" s="8"/>
      <c r="J12439" s="8"/>
    </row>
    <row r="12440">
      <c r="C12440" s="15"/>
      <c r="E12440" s="8"/>
      <c r="G12440" s="8"/>
      <c r="J12440" s="8"/>
    </row>
    <row r="12441">
      <c r="C12441" s="15"/>
      <c r="E12441" s="8"/>
      <c r="G12441" s="8"/>
      <c r="J12441" s="8"/>
    </row>
    <row r="12442">
      <c r="C12442" s="15"/>
      <c r="E12442" s="8"/>
      <c r="G12442" s="8"/>
      <c r="J12442" s="8"/>
    </row>
    <row r="12443">
      <c r="C12443" s="15"/>
      <c r="E12443" s="8"/>
      <c r="G12443" s="8"/>
      <c r="J12443" s="8"/>
    </row>
    <row r="12444">
      <c r="C12444" s="15"/>
      <c r="E12444" s="8"/>
      <c r="G12444" s="8"/>
      <c r="J12444" s="8"/>
    </row>
    <row r="12445">
      <c r="C12445" s="15"/>
      <c r="E12445" s="8"/>
      <c r="G12445" s="8"/>
      <c r="J12445" s="8"/>
    </row>
    <row r="12446">
      <c r="C12446" s="15"/>
      <c r="E12446" s="8"/>
      <c r="G12446" s="8"/>
      <c r="J12446" s="8"/>
    </row>
    <row r="12447">
      <c r="C12447" s="15"/>
      <c r="E12447" s="8"/>
      <c r="G12447" s="8"/>
      <c r="J12447" s="8"/>
    </row>
    <row r="12448">
      <c r="C12448" s="15"/>
      <c r="E12448" s="8"/>
      <c r="G12448" s="8"/>
      <c r="J12448" s="8"/>
    </row>
    <row r="12449">
      <c r="C12449" s="15"/>
      <c r="E12449" s="8"/>
      <c r="G12449" s="8"/>
      <c r="J12449" s="8"/>
    </row>
    <row r="12450">
      <c r="C12450" s="15"/>
      <c r="E12450" s="8"/>
      <c r="G12450" s="8"/>
      <c r="J12450" s="8"/>
    </row>
    <row r="12451">
      <c r="C12451" s="15"/>
      <c r="E12451" s="8"/>
      <c r="G12451" s="8"/>
      <c r="J12451" s="8"/>
    </row>
    <row r="12452">
      <c r="C12452" s="15"/>
      <c r="E12452" s="8"/>
      <c r="G12452" s="8"/>
      <c r="J12452" s="8"/>
    </row>
    <row r="12453">
      <c r="C12453" s="15"/>
      <c r="E12453" s="8"/>
      <c r="G12453" s="8"/>
      <c r="J12453" s="8"/>
    </row>
    <row r="12454">
      <c r="C12454" s="15"/>
      <c r="E12454" s="8"/>
      <c r="G12454" s="8"/>
      <c r="J12454" s="8"/>
    </row>
    <row r="12455">
      <c r="C12455" s="15"/>
      <c r="E12455" s="8"/>
      <c r="G12455" s="8"/>
      <c r="J12455" s="8"/>
    </row>
    <row r="12456">
      <c r="C12456" s="15"/>
      <c r="E12456" s="8"/>
      <c r="G12456" s="8"/>
      <c r="J12456" s="8"/>
    </row>
    <row r="12457">
      <c r="C12457" s="15"/>
      <c r="E12457" s="8"/>
      <c r="G12457" s="8"/>
      <c r="J12457" s="8"/>
    </row>
    <row r="12458">
      <c r="C12458" s="15"/>
      <c r="E12458" s="8"/>
      <c r="G12458" s="8"/>
      <c r="J12458" s="8"/>
    </row>
    <row r="12459">
      <c r="C12459" s="15"/>
      <c r="E12459" s="8"/>
      <c r="G12459" s="8"/>
      <c r="J12459" s="8"/>
    </row>
    <row r="12460">
      <c r="C12460" s="15"/>
      <c r="E12460" s="8"/>
      <c r="G12460" s="8"/>
      <c r="J12460" s="8"/>
    </row>
    <row r="12461">
      <c r="C12461" s="15"/>
      <c r="E12461" s="8"/>
      <c r="G12461" s="8"/>
      <c r="J12461" s="8"/>
    </row>
    <row r="12462">
      <c r="C12462" s="15"/>
      <c r="E12462" s="8"/>
      <c r="G12462" s="8"/>
      <c r="J12462" s="8"/>
    </row>
    <row r="12463">
      <c r="C12463" s="15"/>
      <c r="E12463" s="8"/>
      <c r="G12463" s="8"/>
      <c r="J12463" s="8"/>
    </row>
    <row r="12464">
      <c r="C12464" s="15"/>
      <c r="E12464" s="8"/>
      <c r="G12464" s="8"/>
      <c r="J12464" s="8"/>
    </row>
    <row r="12465">
      <c r="C12465" s="15"/>
      <c r="E12465" s="8"/>
      <c r="G12465" s="8"/>
      <c r="J12465" s="8"/>
    </row>
    <row r="12466">
      <c r="C12466" s="15"/>
      <c r="E12466" s="8"/>
      <c r="G12466" s="8"/>
      <c r="J12466" s="8"/>
    </row>
    <row r="12467">
      <c r="C12467" s="15"/>
      <c r="E12467" s="8"/>
      <c r="G12467" s="8"/>
      <c r="J12467" s="8"/>
    </row>
    <row r="12468">
      <c r="C12468" s="15"/>
      <c r="E12468" s="8"/>
      <c r="G12468" s="8"/>
      <c r="J12468" s="8"/>
    </row>
    <row r="12469">
      <c r="C12469" s="15"/>
      <c r="E12469" s="8"/>
      <c r="G12469" s="8"/>
      <c r="J12469" s="8"/>
    </row>
    <row r="12470">
      <c r="C12470" s="15"/>
      <c r="E12470" s="8"/>
      <c r="G12470" s="8"/>
      <c r="J12470" s="8"/>
    </row>
    <row r="12471">
      <c r="C12471" s="15"/>
      <c r="E12471" s="8"/>
      <c r="G12471" s="8"/>
      <c r="J12471" s="8"/>
    </row>
    <row r="12472">
      <c r="C12472" s="15"/>
      <c r="E12472" s="8"/>
      <c r="G12472" s="8"/>
      <c r="J12472" s="8"/>
    </row>
    <row r="12473">
      <c r="C12473" s="15"/>
      <c r="E12473" s="8"/>
      <c r="G12473" s="8"/>
      <c r="J12473" s="8"/>
    </row>
    <row r="12474">
      <c r="C12474" s="15"/>
      <c r="E12474" s="8"/>
      <c r="G12474" s="8"/>
      <c r="J12474" s="8"/>
    </row>
    <row r="12475">
      <c r="C12475" s="15"/>
      <c r="E12475" s="8"/>
      <c r="G12475" s="8"/>
      <c r="J12475" s="8"/>
    </row>
    <row r="12476">
      <c r="C12476" s="15"/>
      <c r="E12476" s="8"/>
      <c r="G12476" s="8"/>
      <c r="J12476" s="8"/>
    </row>
    <row r="12477">
      <c r="C12477" s="15"/>
      <c r="E12477" s="8"/>
      <c r="G12477" s="8"/>
      <c r="J12477" s="8"/>
    </row>
    <row r="12478">
      <c r="C12478" s="15"/>
      <c r="E12478" s="8"/>
      <c r="G12478" s="8"/>
      <c r="J12478" s="8"/>
    </row>
    <row r="12479">
      <c r="C12479" s="15"/>
      <c r="E12479" s="8"/>
      <c r="G12479" s="8"/>
      <c r="J12479" s="8"/>
    </row>
    <row r="12480">
      <c r="C12480" s="15"/>
      <c r="E12480" s="8"/>
      <c r="G12480" s="8"/>
      <c r="J12480" s="8"/>
    </row>
    <row r="12481">
      <c r="C12481" s="15"/>
      <c r="E12481" s="8"/>
      <c r="G12481" s="8"/>
      <c r="J12481" s="8"/>
    </row>
    <row r="12482">
      <c r="C12482" s="15"/>
      <c r="E12482" s="8"/>
      <c r="G12482" s="8"/>
      <c r="J12482" s="8"/>
    </row>
    <row r="12483">
      <c r="C12483" s="15"/>
      <c r="E12483" s="8"/>
      <c r="G12483" s="8"/>
      <c r="J12483" s="8"/>
    </row>
    <row r="12484">
      <c r="C12484" s="15"/>
      <c r="E12484" s="8"/>
      <c r="G12484" s="8"/>
      <c r="J12484" s="8"/>
    </row>
    <row r="12485">
      <c r="C12485" s="15"/>
      <c r="E12485" s="8"/>
      <c r="G12485" s="8"/>
      <c r="J12485" s="8"/>
    </row>
    <row r="12486">
      <c r="C12486" s="15"/>
      <c r="E12486" s="8"/>
      <c r="G12486" s="8"/>
      <c r="J12486" s="8"/>
    </row>
    <row r="12487">
      <c r="C12487" s="15"/>
      <c r="E12487" s="8"/>
      <c r="G12487" s="8"/>
      <c r="J12487" s="8"/>
    </row>
    <row r="12488">
      <c r="C12488" s="15"/>
      <c r="E12488" s="8"/>
      <c r="G12488" s="8"/>
      <c r="J12488" s="8"/>
    </row>
    <row r="12489">
      <c r="C12489" s="15"/>
      <c r="E12489" s="8"/>
      <c r="G12489" s="8"/>
      <c r="J12489" s="8"/>
    </row>
    <row r="12490">
      <c r="C12490" s="15"/>
      <c r="E12490" s="8"/>
      <c r="G12490" s="8"/>
      <c r="J12490" s="8"/>
    </row>
    <row r="12491">
      <c r="C12491" s="15"/>
      <c r="E12491" s="8"/>
      <c r="G12491" s="8"/>
      <c r="J12491" s="8"/>
    </row>
    <row r="12492">
      <c r="C12492" s="15"/>
      <c r="E12492" s="8"/>
      <c r="G12492" s="8"/>
      <c r="J12492" s="8"/>
    </row>
    <row r="12493">
      <c r="C12493" s="15"/>
      <c r="E12493" s="8"/>
      <c r="G12493" s="8"/>
      <c r="J12493" s="8"/>
    </row>
    <row r="12494">
      <c r="C12494" s="15"/>
      <c r="E12494" s="8"/>
      <c r="G12494" s="8"/>
      <c r="J12494" s="8"/>
    </row>
    <row r="12495">
      <c r="C12495" s="15"/>
      <c r="E12495" s="8"/>
      <c r="G12495" s="8"/>
      <c r="J12495" s="8"/>
    </row>
    <row r="12496">
      <c r="C12496" s="15"/>
      <c r="E12496" s="8"/>
      <c r="G12496" s="8"/>
      <c r="J12496" s="8"/>
    </row>
    <row r="12497">
      <c r="C12497" s="15"/>
      <c r="E12497" s="8"/>
      <c r="G12497" s="8"/>
      <c r="J12497" s="8"/>
    </row>
    <row r="12498">
      <c r="C12498" s="15"/>
      <c r="E12498" s="8"/>
      <c r="G12498" s="8"/>
      <c r="J12498" s="8"/>
    </row>
    <row r="12499">
      <c r="C12499" s="15"/>
      <c r="E12499" s="8"/>
      <c r="G12499" s="8"/>
      <c r="J12499" s="8"/>
    </row>
    <row r="12500">
      <c r="C12500" s="15"/>
      <c r="E12500" s="8"/>
      <c r="G12500" s="8"/>
      <c r="J12500" s="8"/>
    </row>
    <row r="12501">
      <c r="C12501" s="15"/>
      <c r="E12501" s="8"/>
      <c r="G12501" s="8"/>
      <c r="J12501" s="8"/>
    </row>
    <row r="12502">
      <c r="C12502" s="15"/>
      <c r="E12502" s="8"/>
      <c r="G12502" s="8"/>
      <c r="J12502" s="8"/>
    </row>
    <row r="12503">
      <c r="C12503" s="15"/>
      <c r="E12503" s="8"/>
      <c r="G12503" s="8"/>
      <c r="J12503" s="8"/>
    </row>
    <row r="12504">
      <c r="C12504" s="15"/>
      <c r="E12504" s="8"/>
      <c r="G12504" s="8"/>
      <c r="J12504" s="8"/>
    </row>
    <row r="12505">
      <c r="C12505" s="15"/>
      <c r="E12505" s="8"/>
      <c r="G12505" s="8"/>
      <c r="J12505" s="8"/>
    </row>
    <row r="12506">
      <c r="C12506" s="15"/>
      <c r="E12506" s="8"/>
      <c r="G12506" s="8"/>
      <c r="J12506" s="8"/>
    </row>
    <row r="12507">
      <c r="C12507" s="15"/>
      <c r="E12507" s="8"/>
      <c r="G12507" s="8"/>
      <c r="J12507" s="8"/>
    </row>
    <row r="12508">
      <c r="C12508" s="15"/>
      <c r="E12508" s="8"/>
      <c r="G12508" s="8"/>
      <c r="J12508" s="8"/>
    </row>
    <row r="12509">
      <c r="C12509" s="15"/>
      <c r="E12509" s="8"/>
      <c r="G12509" s="8"/>
      <c r="J12509" s="8"/>
    </row>
    <row r="12510">
      <c r="C12510" s="15"/>
      <c r="E12510" s="8"/>
      <c r="G12510" s="8"/>
      <c r="J12510" s="8"/>
    </row>
    <row r="12511">
      <c r="C12511" s="15"/>
      <c r="E12511" s="8"/>
      <c r="G12511" s="8"/>
      <c r="J12511" s="8"/>
    </row>
    <row r="12512">
      <c r="C12512" s="15"/>
      <c r="E12512" s="8"/>
      <c r="G12512" s="8"/>
      <c r="J12512" s="8"/>
    </row>
    <row r="12513">
      <c r="C12513" s="15"/>
      <c r="E12513" s="8"/>
      <c r="G12513" s="8"/>
      <c r="J12513" s="8"/>
    </row>
    <row r="12514">
      <c r="C12514" s="15"/>
      <c r="E12514" s="8"/>
      <c r="G12514" s="8"/>
      <c r="J12514" s="8"/>
    </row>
    <row r="12515">
      <c r="C12515" s="15"/>
      <c r="E12515" s="8"/>
      <c r="G12515" s="8"/>
      <c r="J12515" s="8"/>
    </row>
    <row r="12516">
      <c r="C12516" s="15"/>
      <c r="E12516" s="8"/>
      <c r="G12516" s="8"/>
      <c r="J12516" s="8"/>
    </row>
    <row r="12517">
      <c r="C12517" s="15"/>
      <c r="E12517" s="8"/>
      <c r="G12517" s="8"/>
      <c r="J12517" s="8"/>
    </row>
    <row r="12518">
      <c r="C12518" s="15"/>
      <c r="E12518" s="8"/>
      <c r="G12518" s="8"/>
      <c r="J12518" s="8"/>
    </row>
    <row r="12519">
      <c r="C12519" s="15"/>
      <c r="E12519" s="8"/>
      <c r="G12519" s="8"/>
      <c r="J12519" s="8"/>
    </row>
    <row r="12520">
      <c r="C12520" s="15"/>
      <c r="E12520" s="8"/>
      <c r="G12520" s="8"/>
      <c r="J12520" s="8"/>
    </row>
    <row r="12521">
      <c r="C12521" s="15"/>
      <c r="E12521" s="8"/>
      <c r="G12521" s="8"/>
      <c r="J12521" s="8"/>
    </row>
    <row r="12522">
      <c r="C12522" s="15"/>
      <c r="E12522" s="8"/>
      <c r="G12522" s="8"/>
      <c r="J12522" s="8"/>
    </row>
    <row r="12523">
      <c r="C12523" s="15"/>
      <c r="E12523" s="8"/>
      <c r="G12523" s="8"/>
      <c r="J12523" s="8"/>
    </row>
    <row r="12524">
      <c r="C12524" s="15"/>
      <c r="E12524" s="8"/>
      <c r="G12524" s="8"/>
      <c r="J12524" s="8"/>
    </row>
    <row r="12525">
      <c r="C12525" s="15"/>
      <c r="E12525" s="8"/>
      <c r="G12525" s="8"/>
      <c r="J12525" s="8"/>
    </row>
    <row r="12526">
      <c r="C12526" s="15"/>
      <c r="E12526" s="8"/>
      <c r="G12526" s="8"/>
      <c r="J12526" s="8"/>
    </row>
    <row r="12527">
      <c r="C12527" s="15"/>
      <c r="E12527" s="8"/>
      <c r="G12527" s="8"/>
      <c r="J12527" s="8"/>
    </row>
    <row r="12528">
      <c r="C12528" s="15"/>
      <c r="E12528" s="8"/>
      <c r="G12528" s="8"/>
      <c r="J12528" s="8"/>
    </row>
    <row r="12529">
      <c r="C12529" s="15"/>
      <c r="E12529" s="8"/>
      <c r="G12529" s="8"/>
      <c r="J12529" s="8"/>
    </row>
    <row r="12530">
      <c r="C12530" s="15"/>
      <c r="E12530" s="8"/>
      <c r="G12530" s="8"/>
      <c r="J12530" s="8"/>
    </row>
    <row r="12531">
      <c r="C12531" s="15"/>
      <c r="E12531" s="8"/>
      <c r="G12531" s="8"/>
      <c r="J12531" s="8"/>
    </row>
    <row r="12532">
      <c r="C12532" s="15"/>
      <c r="E12532" s="8"/>
      <c r="G12532" s="8"/>
      <c r="J12532" s="8"/>
    </row>
    <row r="12533">
      <c r="C12533" s="15"/>
      <c r="E12533" s="8"/>
      <c r="G12533" s="8"/>
      <c r="J12533" s="8"/>
    </row>
    <row r="12534">
      <c r="C12534" s="15"/>
      <c r="E12534" s="8"/>
      <c r="G12534" s="8"/>
      <c r="J12534" s="8"/>
    </row>
    <row r="12535">
      <c r="C12535" s="15"/>
      <c r="E12535" s="8"/>
      <c r="G12535" s="8"/>
      <c r="J12535" s="8"/>
    </row>
    <row r="12536">
      <c r="C12536" s="15"/>
      <c r="E12536" s="8"/>
      <c r="G12536" s="8"/>
      <c r="J12536" s="8"/>
    </row>
    <row r="12537">
      <c r="C12537" s="15"/>
      <c r="E12537" s="8"/>
      <c r="G12537" s="8"/>
      <c r="J12537" s="8"/>
    </row>
    <row r="12538">
      <c r="C12538" s="15"/>
      <c r="E12538" s="8"/>
      <c r="G12538" s="8"/>
      <c r="J12538" s="8"/>
    </row>
    <row r="12539">
      <c r="C12539" s="15"/>
      <c r="E12539" s="8"/>
      <c r="G12539" s="8"/>
      <c r="J12539" s="8"/>
    </row>
    <row r="12540">
      <c r="C12540" s="15"/>
      <c r="E12540" s="8"/>
      <c r="G12540" s="8"/>
      <c r="J12540" s="8"/>
    </row>
    <row r="12541">
      <c r="C12541" s="15"/>
      <c r="E12541" s="8"/>
      <c r="G12541" s="8"/>
      <c r="J12541" s="8"/>
    </row>
    <row r="12542">
      <c r="C12542" s="15"/>
      <c r="E12542" s="8"/>
      <c r="G12542" s="8"/>
      <c r="J12542" s="8"/>
    </row>
    <row r="12543">
      <c r="C12543" s="15"/>
      <c r="E12543" s="8"/>
      <c r="G12543" s="8"/>
      <c r="J12543" s="8"/>
    </row>
    <row r="12544">
      <c r="C12544" s="15"/>
      <c r="E12544" s="8"/>
      <c r="G12544" s="8"/>
      <c r="J12544" s="8"/>
    </row>
    <row r="12545">
      <c r="C12545" s="15"/>
      <c r="E12545" s="8"/>
      <c r="G12545" s="8"/>
      <c r="J12545" s="8"/>
    </row>
    <row r="12546">
      <c r="C12546" s="15"/>
      <c r="E12546" s="8"/>
      <c r="G12546" s="8"/>
      <c r="J12546" s="8"/>
    </row>
    <row r="12547">
      <c r="C12547" s="15"/>
      <c r="E12547" s="8"/>
      <c r="G12547" s="8"/>
      <c r="J12547" s="8"/>
    </row>
    <row r="12548">
      <c r="C12548" s="15"/>
      <c r="E12548" s="8"/>
      <c r="G12548" s="8"/>
      <c r="J12548" s="8"/>
    </row>
    <row r="12549">
      <c r="C12549" s="15"/>
      <c r="E12549" s="8"/>
      <c r="G12549" s="8"/>
      <c r="J12549" s="8"/>
    </row>
    <row r="12550">
      <c r="C12550" s="15"/>
      <c r="E12550" s="8"/>
      <c r="G12550" s="8"/>
      <c r="J12550" s="8"/>
    </row>
    <row r="12551">
      <c r="C12551" s="15"/>
      <c r="E12551" s="8"/>
      <c r="G12551" s="8"/>
      <c r="J12551" s="8"/>
    </row>
    <row r="12552">
      <c r="C12552" s="15"/>
      <c r="E12552" s="8"/>
      <c r="G12552" s="8"/>
      <c r="J12552" s="8"/>
    </row>
    <row r="12553">
      <c r="C12553" s="15"/>
      <c r="E12553" s="8"/>
      <c r="G12553" s="8"/>
      <c r="J12553" s="8"/>
    </row>
    <row r="12554">
      <c r="C12554" s="15"/>
      <c r="E12554" s="8"/>
      <c r="G12554" s="8"/>
      <c r="J12554" s="8"/>
    </row>
    <row r="12555">
      <c r="C12555" s="15"/>
      <c r="E12555" s="8"/>
      <c r="G12555" s="8"/>
      <c r="J12555" s="8"/>
    </row>
    <row r="12556">
      <c r="C12556" s="15"/>
      <c r="E12556" s="8"/>
      <c r="G12556" s="8"/>
      <c r="J12556" s="8"/>
    </row>
    <row r="12557">
      <c r="C12557" s="15"/>
      <c r="E12557" s="8"/>
      <c r="G12557" s="8"/>
      <c r="J12557" s="8"/>
    </row>
    <row r="12558">
      <c r="C12558" s="15"/>
      <c r="E12558" s="8"/>
      <c r="G12558" s="8"/>
      <c r="J12558" s="8"/>
    </row>
    <row r="12559">
      <c r="C12559" s="15"/>
      <c r="E12559" s="8"/>
      <c r="G12559" s="8"/>
      <c r="J12559" s="8"/>
    </row>
    <row r="12560">
      <c r="C12560" s="15"/>
      <c r="E12560" s="8"/>
      <c r="G12560" s="8"/>
      <c r="J12560" s="8"/>
    </row>
    <row r="12561">
      <c r="C12561" s="15"/>
      <c r="E12561" s="8"/>
      <c r="G12561" s="8"/>
      <c r="J12561" s="8"/>
    </row>
    <row r="12562">
      <c r="C12562" s="15"/>
      <c r="E12562" s="8"/>
      <c r="G12562" s="8"/>
      <c r="J12562" s="8"/>
    </row>
    <row r="12563">
      <c r="C12563" s="15"/>
      <c r="E12563" s="8"/>
      <c r="G12563" s="8"/>
      <c r="J12563" s="8"/>
    </row>
    <row r="12564">
      <c r="C12564" s="15"/>
      <c r="E12564" s="8"/>
      <c r="G12564" s="8"/>
      <c r="J12564" s="8"/>
    </row>
    <row r="12565">
      <c r="C12565" s="15"/>
      <c r="E12565" s="8"/>
      <c r="G12565" s="8"/>
      <c r="J12565" s="8"/>
    </row>
    <row r="12566">
      <c r="C12566" s="15"/>
      <c r="E12566" s="8"/>
      <c r="G12566" s="8"/>
      <c r="J12566" s="8"/>
    </row>
    <row r="12567">
      <c r="C12567" s="15"/>
      <c r="E12567" s="8"/>
      <c r="G12567" s="8"/>
      <c r="J12567" s="8"/>
    </row>
    <row r="12568">
      <c r="C12568" s="15"/>
      <c r="E12568" s="8"/>
      <c r="G12568" s="8"/>
      <c r="J12568" s="8"/>
    </row>
    <row r="12569">
      <c r="C12569" s="15"/>
      <c r="E12569" s="8"/>
      <c r="G12569" s="8"/>
      <c r="J12569" s="8"/>
    </row>
    <row r="12570">
      <c r="C12570" s="15"/>
      <c r="E12570" s="8"/>
      <c r="G12570" s="8"/>
      <c r="J12570" s="8"/>
    </row>
    <row r="12571">
      <c r="C12571" s="15"/>
      <c r="E12571" s="8"/>
      <c r="G12571" s="8"/>
      <c r="J12571" s="8"/>
    </row>
    <row r="12572">
      <c r="C12572" s="15"/>
      <c r="E12572" s="8"/>
      <c r="G12572" s="8"/>
      <c r="J12572" s="8"/>
    </row>
    <row r="12573">
      <c r="C12573" s="15"/>
      <c r="E12573" s="8"/>
      <c r="G12573" s="8"/>
      <c r="J12573" s="8"/>
    </row>
    <row r="12574">
      <c r="C12574" s="15"/>
      <c r="E12574" s="8"/>
      <c r="G12574" s="8"/>
      <c r="J12574" s="8"/>
    </row>
    <row r="12575">
      <c r="C12575" s="15"/>
      <c r="E12575" s="8"/>
      <c r="G12575" s="8"/>
      <c r="J12575" s="8"/>
    </row>
    <row r="12576">
      <c r="C12576" s="15"/>
      <c r="E12576" s="8"/>
      <c r="G12576" s="8"/>
      <c r="J12576" s="8"/>
    </row>
    <row r="12577">
      <c r="C12577" s="15"/>
      <c r="E12577" s="8"/>
      <c r="G12577" s="8"/>
      <c r="J12577" s="8"/>
    </row>
    <row r="12578">
      <c r="C12578" s="15"/>
      <c r="E12578" s="8"/>
      <c r="G12578" s="8"/>
      <c r="J12578" s="8"/>
    </row>
    <row r="12579">
      <c r="C12579" s="15"/>
      <c r="E12579" s="8"/>
      <c r="G12579" s="8"/>
      <c r="J12579" s="8"/>
    </row>
    <row r="12580">
      <c r="C12580" s="15"/>
      <c r="E12580" s="8"/>
      <c r="G12580" s="8"/>
      <c r="J12580" s="8"/>
    </row>
    <row r="12581">
      <c r="C12581" s="15"/>
      <c r="E12581" s="8"/>
      <c r="G12581" s="8"/>
      <c r="J12581" s="8"/>
    </row>
    <row r="12582">
      <c r="C12582" s="15"/>
      <c r="E12582" s="8"/>
      <c r="G12582" s="8"/>
      <c r="J12582" s="8"/>
    </row>
    <row r="12583">
      <c r="C12583" s="15"/>
      <c r="E12583" s="8"/>
      <c r="G12583" s="8"/>
      <c r="J12583" s="8"/>
    </row>
    <row r="12584">
      <c r="C12584" s="15"/>
      <c r="E12584" s="8"/>
      <c r="G12584" s="8"/>
      <c r="J12584" s="8"/>
    </row>
    <row r="12585">
      <c r="C12585" s="15"/>
      <c r="E12585" s="8"/>
      <c r="G12585" s="8"/>
      <c r="J12585" s="8"/>
    </row>
    <row r="12586">
      <c r="C12586" s="15"/>
      <c r="E12586" s="8"/>
      <c r="G12586" s="8"/>
      <c r="J12586" s="8"/>
    </row>
    <row r="12587">
      <c r="C12587" s="15"/>
      <c r="E12587" s="8"/>
      <c r="G12587" s="8"/>
      <c r="J12587" s="8"/>
    </row>
    <row r="12588">
      <c r="C12588" s="15"/>
      <c r="E12588" s="8"/>
      <c r="G12588" s="8"/>
      <c r="J12588" s="8"/>
    </row>
    <row r="12589">
      <c r="C12589" s="15"/>
      <c r="E12589" s="8"/>
      <c r="G12589" s="8"/>
      <c r="J12589" s="8"/>
    </row>
    <row r="12590">
      <c r="C12590" s="15"/>
      <c r="E12590" s="8"/>
      <c r="G12590" s="8"/>
      <c r="J12590" s="8"/>
    </row>
    <row r="12591">
      <c r="C12591" s="15"/>
      <c r="E12591" s="8"/>
      <c r="G12591" s="8"/>
      <c r="J12591" s="8"/>
    </row>
    <row r="12592">
      <c r="C12592" s="15"/>
      <c r="E12592" s="8"/>
      <c r="G12592" s="8"/>
      <c r="J12592" s="8"/>
    </row>
    <row r="12593">
      <c r="C12593" s="15"/>
      <c r="E12593" s="8"/>
      <c r="G12593" s="8"/>
      <c r="J12593" s="8"/>
    </row>
    <row r="12594">
      <c r="C12594" s="15"/>
      <c r="E12594" s="8"/>
      <c r="G12594" s="8"/>
      <c r="J12594" s="8"/>
    </row>
    <row r="12595">
      <c r="C12595" s="15"/>
      <c r="E12595" s="8"/>
      <c r="G12595" s="8"/>
      <c r="J12595" s="8"/>
    </row>
    <row r="12596">
      <c r="C12596" s="15"/>
      <c r="E12596" s="8"/>
      <c r="G12596" s="8"/>
      <c r="J12596" s="8"/>
    </row>
    <row r="12597">
      <c r="C12597" s="15"/>
      <c r="E12597" s="8"/>
      <c r="G12597" s="8"/>
      <c r="J12597" s="8"/>
    </row>
    <row r="12598">
      <c r="C12598" s="15"/>
      <c r="E12598" s="8"/>
      <c r="G12598" s="8"/>
      <c r="J12598" s="8"/>
    </row>
    <row r="12599">
      <c r="C12599" s="15"/>
      <c r="E12599" s="8"/>
      <c r="G12599" s="8"/>
      <c r="J12599" s="8"/>
    </row>
    <row r="12600">
      <c r="C12600" s="15"/>
      <c r="E12600" s="8"/>
      <c r="G12600" s="8"/>
      <c r="J12600" s="8"/>
    </row>
    <row r="12601">
      <c r="C12601" s="15"/>
      <c r="E12601" s="8"/>
      <c r="G12601" s="8"/>
      <c r="J12601" s="8"/>
    </row>
    <row r="12602">
      <c r="C12602" s="15"/>
      <c r="E12602" s="8"/>
      <c r="G12602" s="8"/>
      <c r="J12602" s="8"/>
    </row>
    <row r="12603">
      <c r="C12603" s="15"/>
      <c r="E12603" s="8"/>
      <c r="G12603" s="8"/>
      <c r="J12603" s="8"/>
    </row>
    <row r="12604">
      <c r="C12604" s="15"/>
      <c r="E12604" s="8"/>
      <c r="G12604" s="8"/>
      <c r="J12604" s="8"/>
    </row>
    <row r="12605">
      <c r="C12605" s="15"/>
      <c r="E12605" s="8"/>
      <c r="G12605" s="8"/>
      <c r="J12605" s="8"/>
    </row>
    <row r="12606">
      <c r="C12606" s="15"/>
      <c r="E12606" s="8"/>
      <c r="G12606" s="8"/>
      <c r="J12606" s="8"/>
    </row>
    <row r="12607">
      <c r="C12607" s="15"/>
      <c r="E12607" s="8"/>
      <c r="G12607" s="8"/>
      <c r="J12607" s="8"/>
    </row>
    <row r="12608">
      <c r="C12608" s="15"/>
      <c r="E12608" s="8"/>
      <c r="G12608" s="8"/>
      <c r="J12608" s="8"/>
    </row>
    <row r="12609">
      <c r="C12609" s="15"/>
      <c r="E12609" s="8"/>
      <c r="G12609" s="8"/>
      <c r="J12609" s="8"/>
    </row>
    <row r="12610">
      <c r="C12610" s="15"/>
      <c r="E12610" s="8"/>
      <c r="G12610" s="8"/>
      <c r="J12610" s="8"/>
    </row>
    <row r="12611">
      <c r="C12611" s="15"/>
      <c r="E12611" s="8"/>
      <c r="G12611" s="8"/>
      <c r="J12611" s="8"/>
    </row>
    <row r="12612">
      <c r="C12612" s="15"/>
      <c r="E12612" s="8"/>
      <c r="G12612" s="8"/>
      <c r="J12612" s="8"/>
    </row>
    <row r="12613">
      <c r="C12613" s="15"/>
      <c r="E12613" s="8"/>
      <c r="G12613" s="8"/>
      <c r="J12613" s="8"/>
    </row>
    <row r="12614">
      <c r="C12614" s="15"/>
      <c r="E12614" s="8"/>
      <c r="G12614" s="8"/>
      <c r="J12614" s="8"/>
    </row>
    <row r="12615">
      <c r="C12615" s="15"/>
      <c r="E12615" s="8"/>
      <c r="G12615" s="8"/>
      <c r="J12615" s="8"/>
    </row>
    <row r="12616">
      <c r="C12616" s="15"/>
      <c r="E12616" s="8"/>
      <c r="G12616" s="8"/>
      <c r="J12616" s="8"/>
    </row>
    <row r="12617">
      <c r="C12617" s="15"/>
      <c r="E12617" s="8"/>
      <c r="G12617" s="8"/>
      <c r="J12617" s="8"/>
    </row>
    <row r="12618">
      <c r="C12618" s="15"/>
      <c r="E12618" s="8"/>
      <c r="G12618" s="8"/>
      <c r="J12618" s="8"/>
    </row>
    <row r="12619">
      <c r="C12619" s="15"/>
      <c r="E12619" s="8"/>
      <c r="G12619" s="8"/>
      <c r="J12619" s="8"/>
    </row>
    <row r="12620">
      <c r="C12620" s="15"/>
      <c r="E12620" s="8"/>
      <c r="G12620" s="8"/>
      <c r="J12620" s="8"/>
    </row>
    <row r="12621">
      <c r="C12621" s="15"/>
      <c r="E12621" s="8"/>
      <c r="G12621" s="8"/>
      <c r="J12621" s="8"/>
    </row>
    <row r="12622">
      <c r="C12622" s="15"/>
      <c r="E12622" s="8"/>
      <c r="G12622" s="8"/>
      <c r="J12622" s="8"/>
    </row>
    <row r="12623">
      <c r="C12623" s="15"/>
      <c r="E12623" s="8"/>
      <c r="G12623" s="8"/>
      <c r="J12623" s="8"/>
    </row>
    <row r="12624">
      <c r="C12624" s="15"/>
      <c r="E12624" s="8"/>
      <c r="G12624" s="8"/>
      <c r="J12624" s="8"/>
    </row>
    <row r="12625">
      <c r="C12625" s="15"/>
      <c r="E12625" s="8"/>
      <c r="G12625" s="8"/>
      <c r="J12625" s="8"/>
    </row>
    <row r="12626">
      <c r="C12626" s="15"/>
      <c r="E12626" s="8"/>
      <c r="G12626" s="8"/>
      <c r="J12626" s="8"/>
    </row>
    <row r="12627">
      <c r="C12627" s="15"/>
      <c r="E12627" s="8"/>
      <c r="G12627" s="8"/>
      <c r="J12627" s="8"/>
    </row>
    <row r="12628">
      <c r="C12628" s="15"/>
      <c r="E12628" s="8"/>
      <c r="G12628" s="8"/>
      <c r="J12628" s="8"/>
    </row>
    <row r="12629">
      <c r="C12629" s="15"/>
      <c r="E12629" s="8"/>
      <c r="G12629" s="8"/>
      <c r="J12629" s="8"/>
    </row>
    <row r="12630">
      <c r="C12630" s="15"/>
      <c r="E12630" s="8"/>
      <c r="G12630" s="8"/>
      <c r="J12630" s="8"/>
    </row>
    <row r="12631">
      <c r="C12631" s="15"/>
      <c r="E12631" s="8"/>
      <c r="G12631" s="8"/>
      <c r="J12631" s="8"/>
    </row>
    <row r="12632">
      <c r="C12632" s="15"/>
      <c r="E12632" s="8"/>
      <c r="G12632" s="8"/>
      <c r="J12632" s="8"/>
    </row>
    <row r="12633">
      <c r="C12633" s="15"/>
      <c r="E12633" s="8"/>
      <c r="G12633" s="8"/>
      <c r="J12633" s="8"/>
    </row>
    <row r="12634">
      <c r="C12634" s="15"/>
      <c r="E12634" s="8"/>
      <c r="G12634" s="8"/>
      <c r="J12634" s="8"/>
    </row>
    <row r="12635">
      <c r="C12635" s="15"/>
      <c r="E12635" s="8"/>
      <c r="G12635" s="8"/>
      <c r="J12635" s="8"/>
    </row>
    <row r="12636">
      <c r="C12636" s="15"/>
      <c r="E12636" s="8"/>
      <c r="G12636" s="8"/>
      <c r="J12636" s="8"/>
    </row>
    <row r="12637">
      <c r="C12637" s="15"/>
      <c r="E12637" s="8"/>
      <c r="G12637" s="8"/>
      <c r="J12637" s="8"/>
    </row>
    <row r="12638">
      <c r="C12638" s="15"/>
      <c r="E12638" s="8"/>
      <c r="G12638" s="8"/>
      <c r="J12638" s="8"/>
    </row>
    <row r="12639">
      <c r="C12639" s="15"/>
      <c r="E12639" s="8"/>
      <c r="G12639" s="8"/>
      <c r="J12639" s="8"/>
    </row>
    <row r="12640">
      <c r="C12640" s="15"/>
      <c r="E12640" s="8"/>
      <c r="G12640" s="8"/>
      <c r="J12640" s="8"/>
    </row>
    <row r="12641">
      <c r="C12641" s="15"/>
      <c r="E12641" s="8"/>
      <c r="G12641" s="8"/>
      <c r="J12641" s="8"/>
    </row>
    <row r="12642">
      <c r="C12642" s="15"/>
      <c r="E12642" s="8"/>
      <c r="G12642" s="8"/>
      <c r="J12642" s="8"/>
    </row>
    <row r="12643">
      <c r="C12643" s="15"/>
      <c r="E12643" s="8"/>
      <c r="G12643" s="8"/>
      <c r="J12643" s="8"/>
    </row>
    <row r="12644">
      <c r="C12644" s="15"/>
      <c r="E12644" s="8"/>
      <c r="G12644" s="8"/>
      <c r="J12644" s="8"/>
    </row>
    <row r="12645">
      <c r="C12645" s="15"/>
      <c r="E12645" s="8"/>
      <c r="G12645" s="8"/>
      <c r="J12645" s="8"/>
    </row>
    <row r="12646">
      <c r="C12646" s="15"/>
      <c r="E12646" s="8"/>
      <c r="G12646" s="8"/>
      <c r="J12646" s="8"/>
    </row>
    <row r="12647">
      <c r="C12647" s="15"/>
      <c r="E12647" s="8"/>
      <c r="G12647" s="8"/>
      <c r="J12647" s="8"/>
    </row>
    <row r="12648">
      <c r="C12648" s="15"/>
      <c r="E12648" s="8"/>
      <c r="G12648" s="8"/>
      <c r="J12648" s="8"/>
    </row>
    <row r="12649">
      <c r="C12649" s="15"/>
      <c r="E12649" s="8"/>
      <c r="G12649" s="8"/>
      <c r="J12649" s="8"/>
    </row>
    <row r="12650">
      <c r="C12650" s="15"/>
      <c r="E12650" s="8"/>
      <c r="G12650" s="8"/>
      <c r="J12650" s="8"/>
    </row>
    <row r="12651">
      <c r="C12651" s="15"/>
      <c r="E12651" s="8"/>
      <c r="G12651" s="8"/>
      <c r="J12651" s="8"/>
    </row>
    <row r="12652">
      <c r="C12652" s="15"/>
      <c r="E12652" s="8"/>
      <c r="G12652" s="8"/>
      <c r="J12652" s="8"/>
    </row>
    <row r="12653">
      <c r="C12653" s="15"/>
      <c r="E12653" s="8"/>
      <c r="G12653" s="8"/>
      <c r="J12653" s="8"/>
    </row>
    <row r="12654">
      <c r="C12654" s="15"/>
      <c r="E12654" s="8"/>
      <c r="G12654" s="8"/>
      <c r="J12654" s="8"/>
    </row>
    <row r="12655">
      <c r="C12655" s="15"/>
      <c r="E12655" s="8"/>
      <c r="G12655" s="8"/>
      <c r="J12655" s="8"/>
    </row>
    <row r="12656">
      <c r="C12656" s="15"/>
      <c r="E12656" s="8"/>
      <c r="G12656" s="8"/>
      <c r="J12656" s="8"/>
    </row>
    <row r="12657">
      <c r="C12657" s="15"/>
      <c r="E12657" s="8"/>
      <c r="G12657" s="8"/>
      <c r="J12657" s="8"/>
    </row>
    <row r="12658">
      <c r="C12658" s="15"/>
      <c r="E12658" s="8"/>
      <c r="G12658" s="8"/>
      <c r="J12658" s="8"/>
    </row>
    <row r="12659">
      <c r="C12659" s="15"/>
      <c r="E12659" s="8"/>
      <c r="G12659" s="8"/>
      <c r="J12659" s="8"/>
    </row>
    <row r="12660">
      <c r="C12660" s="15"/>
      <c r="E12660" s="8"/>
      <c r="G12660" s="8"/>
      <c r="J12660" s="8"/>
    </row>
    <row r="12661">
      <c r="C12661" s="15"/>
      <c r="E12661" s="8"/>
      <c r="G12661" s="8"/>
      <c r="J12661" s="8"/>
    </row>
    <row r="12662">
      <c r="C12662" s="15"/>
      <c r="E12662" s="8"/>
      <c r="G12662" s="8"/>
      <c r="J12662" s="8"/>
    </row>
    <row r="12663">
      <c r="C12663" s="15"/>
      <c r="E12663" s="8"/>
      <c r="G12663" s="8"/>
      <c r="J12663" s="8"/>
    </row>
    <row r="12664">
      <c r="C12664" s="15"/>
      <c r="E12664" s="8"/>
      <c r="G12664" s="8"/>
      <c r="J12664" s="8"/>
    </row>
    <row r="12665">
      <c r="C12665" s="15"/>
      <c r="E12665" s="8"/>
      <c r="G12665" s="8"/>
      <c r="J12665" s="8"/>
    </row>
    <row r="12666">
      <c r="C12666" s="15"/>
      <c r="E12666" s="8"/>
      <c r="G12666" s="8"/>
      <c r="J12666" s="8"/>
    </row>
    <row r="12667">
      <c r="C12667" s="15"/>
      <c r="E12667" s="8"/>
      <c r="G12667" s="8"/>
      <c r="J12667" s="8"/>
    </row>
    <row r="12668">
      <c r="C12668" s="15"/>
      <c r="E12668" s="8"/>
      <c r="G12668" s="8"/>
      <c r="J12668" s="8"/>
    </row>
    <row r="12669">
      <c r="C12669" s="15"/>
      <c r="E12669" s="8"/>
      <c r="G12669" s="8"/>
      <c r="J12669" s="8"/>
    </row>
    <row r="12670">
      <c r="C12670" s="15"/>
      <c r="E12670" s="8"/>
      <c r="G12670" s="8"/>
      <c r="J12670" s="8"/>
    </row>
    <row r="12671">
      <c r="C12671" s="15"/>
      <c r="E12671" s="8"/>
      <c r="G12671" s="8"/>
      <c r="J12671" s="8"/>
    </row>
    <row r="12672">
      <c r="C12672" s="15"/>
      <c r="E12672" s="8"/>
      <c r="G12672" s="8"/>
      <c r="J12672" s="8"/>
    </row>
    <row r="12673">
      <c r="C12673" s="15"/>
      <c r="E12673" s="8"/>
      <c r="G12673" s="8"/>
      <c r="J12673" s="8"/>
    </row>
    <row r="12674">
      <c r="C12674" s="15"/>
      <c r="E12674" s="8"/>
      <c r="G12674" s="8"/>
      <c r="J12674" s="8"/>
    </row>
    <row r="12675">
      <c r="C12675" s="15"/>
      <c r="E12675" s="8"/>
      <c r="G12675" s="8"/>
      <c r="J12675" s="8"/>
    </row>
    <row r="12676">
      <c r="C12676" s="15"/>
      <c r="E12676" s="8"/>
      <c r="G12676" s="8"/>
      <c r="J12676" s="8"/>
    </row>
    <row r="12677">
      <c r="C12677" s="15"/>
      <c r="E12677" s="8"/>
      <c r="G12677" s="8"/>
      <c r="J12677" s="8"/>
    </row>
    <row r="12678">
      <c r="C12678" s="15"/>
      <c r="E12678" s="8"/>
      <c r="G12678" s="8"/>
      <c r="J12678" s="8"/>
    </row>
    <row r="12679">
      <c r="C12679" s="15"/>
      <c r="E12679" s="8"/>
      <c r="G12679" s="8"/>
      <c r="J12679" s="8"/>
    </row>
    <row r="12680">
      <c r="C12680" s="15"/>
      <c r="E12680" s="8"/>
      <c r="G12680" s="8"/>
      <c r="J12680" s="8"/>
    </row>
    <row r="12681">
      <c r="C12681" s="15"/>
      <c r="E12681" s="8"/>
      <c r="G12681" s="8"/>
      <c r="J12681" s="8"/>
    </row>
    <row r="12682">
      <c r="C12682" s="15"/>
      <c r="E12682" s="8"/>
      <c r="G12682" s="8"/>
      <c r="J12682" s="8"/>
    </row>
    <row r="12683">
      <c r="C12683" s="15"/>
      <c r="E12683" s="8"/>
      <c r="G12683" s="8"/>
      <c r="J12683" s="8"/>
    </row>
    <row r="12684">
      <c r="C12684" s="15"/>
      <c r="E12684" s="8"/>
      <c r="G12684" s="8"/>
      <c r="J12684" s="8"/>
    </row>
    <row r="12685">
      <c r="C12685" s="15"/>
      <c r="E12685" s="8"/>
      <c r="G12685" s="8"/>
      <c r="J12685" s="8"/>
    </row>
    <row r="12686">
      <c r="C12686" s="15"/>
      <c r="E12686" s="8"/>
      <c r="G12686" s="8"/>
      <c r="J12686" s="8"/>
    </row>
    <row r="12687">
      <c r="C12687" s="15"/>
      <c r="E12687" s="8"/>
      <c r="G12687" s="8"/>
      <c r="J12687" s="8"/>
    </row>
    <row r="12688">
      <c r="C12688" s="15"/>
      <c r="E12688" s="8"/>
      <c r="G12688" s="8"/>
      <c r="J12688" s="8"/>
    </row>
    <row r="12689">
      <c r="C12689" s="15"/>
      <c r="E12689" s="8"/>
      <c r="G12689" s="8"/>
      <c r="J12689" s="8"/>
    </row>
    <row r="12690">
      <c r="C12690" s="15"/>
      <c r="E12690" s="8"/>
      <c r="G12690" s="8"/>
      <c r="J12690" s="8"/>
    </row>
    <row r="12691">
      <c r="C12691" s="15"/>
      <c r="E12691" s="8"/>
      <c r="G12691" s="8"/>
      <c r="J12691" s="8"/>
    </row>
    <row r="12692">
      <c r="C12692" s="15"/>
      <c r="E12692" s="8"/>
      <c r="G12692" s="8"/>
      <c r="J12692" s="8"/>
    </row>
    <row r="12693">
      <c r="C12693" s="15"/>
      <c r="E12693" s="8"/>
      <c r="G12693" s="8"/>
      <c r="J12693" s="8"/>
    </row>
    <row r="12694">
      <c r="C12694" s="15"/>
      <c r="E12694" s="8"/>
      <c r="G12694" s="8"/>
      <c r="J12694" s="8"/>
    </row>
    <row r="12695">
      <c r="C12695" s="15"/>
      <c r="E12695" s="8"/>
      <c r="G12695" s="8"/>
      <c r="J12695" s="8"/>
    </row>
    <row r="12696">
      <c r="C12696" s="15"/>
      <c r="E12696" s="8"/>
      <c r="G12696" s="8"/>
      <c r="J12696" s="8"/>
    </row>
    <row r="12697">
      <c r="C12697" s="15"/>
      <c r="E12697" s="8"/>
      <c r="G12697" s="8"/>
      <c r="J12697" s="8"/>
    </row>
    <row r="12698">
      <c r="C12698" s="15"/>
      <c r="E12698" s="8"/>
      <c r="G12698" s="8"/>
      <c r="J12698" s="8"/>
    </row>
    <row r="12699">
      <c r="C12699" s="15"/>
      <c r="E12699" s="8"/>
      <c r="G12699" s="8"/>
      <c r="J12699" s="8"/>
    </row>
    <row r="12700">
      <c r="C12700" s="15"/>
      <c r="E12700" s="8"/>
      <c r="G12700" s="8"/>
      <c r="J12700" s="8"/>
    </row>
    <row r="12701">
      <c r="C12701" s="15"/>
      <c r="E12701" s="8"/>
      <c r="G12701" s="8"/>
      <c r="J12701" s="8"/>
    </row>
    <row r="12702">
      <c r="C12702" s="15"/>
      <c r="E12702" s="8"/>
      <c r="G12702" s="8"/>
      <c r="J12702" s="8"/>
    </row>
    <row r="12703">
      <c r="C12703" s="15"/>
      <c r="E12703" s="8"/>
      <c r="G12703" s="8"/>
      <c r="J12703" s="8"/>
    </row>
    <row r="12704">
      <c r="C12704" s="15"/>
      <c r="E12704" s="8"/>
      <c r="G12704" s="8"/>
      <c r="J12704" s="8"/>
    </row>
    <row r="12705">
      <c r="C12705" s="15"/>
      <c r="E12705" s="8"/>
      <c r="G12705" s="8"/>
      <c r="J12705" s="8"/>
    </row>
    <row r="12706">
      <c r="C12706" s="15"/>
      <c r="E12706" s="8"/>
      <c r="G12706" s="8"/>
      <c r="J12706" s="8"/>
    </row>
    <row r="12707">
      <c r="C12707" s="15"/>
      <c r="E12707" s="8"/>
      <c r="G12707" s="8"/>
      <c r="J12707" s="8"/>
    </row>
    <row r="12708">
      <c r="C12708" s="15"/>
      <c r="E12708" s="8"/>
      <c r="G12708" s="8"/>
      <c r="J12708" s="8"/>
    </row>
    <row r="12709">
      <c r="C12709" s="15"/>
      <c r="E12709" s="8"/>
      <c r="G12709" s="8"/>
      <c r="J12709" s="8"/>
    </row>
    <row r="12710">
      <c r="C12710" s="15"/>
      <c r="E12710" s="8"/>
      <c r="G12710" s="8"/>
      <c r="J12710" s="8"/>
    </row>
    <row r="12711">
      <c r="C12711" s="15"/>
      <c r="E12711" s="8"/>
      <c r="G12711" s="8"/>
      <c r="J12711" s="8"/>
    </row>
    <row r="12712">
      <c r="C12712" s="15"/>
      <c r="E12712" s="8"/>
      <c r="G12712" s="8"/>
      <c r="J12712" s="8"/>
    </row>
    <row r="12713">
      <c r="C12713" s="15"/>
      <c r="E12713" s="8"/>
      <c r="G12713" s="8"/>
      <c r="J12713" s="8"/>
    </row>
    <row r="12714">
      <c r="C12714" s="15"/>
      <c r="E12714" s="8"/>
      <c r="G12714" s="8"/>
      <c r="J12714" s="8"/>
    </row>
    <row r="12715">
      <c r="C12715" s="15"/>
      <c r="E12715" s="8"/>
      <c r="G12715" s="8"/>
      <c r="J12715" s="8"/>
    </row>
    <row r="12716">
      <c r="C12716" s="15"/>
      <c r="E12716" s="8"/>
      <c r="G12716" s="8"/>
      <c r="J12716" s="8"/>
    </row>
    <row r="12717">
      <c r="C12717" s="15"/>
      <c r="E12717" s="8"/>
      <c r="G12717" s="8"/>
      <c r="J12717" s="8"/>
    </row>
    <row r="12718">
      <c r="C12718" s="15"/>
      <c r="E12718" s="8"/>
      <c r="G12718" s="8"/>
      <c r="J12718" s="8"/>
    </row>
    <row r="12719">
      <c r="C12719" s="15"/>
      <c r="E12719" s="8"/>
      <c r="G12719" s="8"/>
      <c r="J12719" s="8"/>
    </row>
    <row r="12720">
      <c r="C12720" s="15"/>
      <c r="E12720" s="8"/>
      <c r="G12720" s="8"/>
      <c r="J12720" s="8"/>
    </row>
    <row r="12721">
      <c r="C12721" s="15"/>
      <c r="E12721" s="8"/>
      <c r="G12721" s="8"/>
      <c r="J12721" s="8"/>
    </row>
    <row r="12722">
      <c r="C12722" s="15"/>
      <c r="E12722" s="8"/>
      <c r="G12722" s="8"/>
      <c r="J12722" s="8"/>
    </row>
    <row r="12723">
      <c r="C12723" s="15"/>
      <c r="E12723" s="8"/>
      <c r="G12723" s="8"/>
      <c r="J12723" s="8"/>
    </row>
    <row r="12724">
      <c r="C12724" s="15"/>
      <c r="E12724" s="8"/>
      <c r="G12724" s="8"/>
      <c r="J12724" s="8"/>
    </row>
    <row r="12725">
      <c r="C12725" s="15"/>
      <c r="E12725" s="8"/>
      <c r="G12725" s="8"/>
      <c r="J12725" s="8"/>
    </row>
    <row r="12726">
      <c r="C12726" s="15"/>
      <c r="E12726" s="8"/>
      <c r="G12726" s="8"/>
      <c r="J12726" s="8"/>
    </row>
    <row r="12727">
      <c r="C12727" s="15"/>
      <c r="E12727" s="8"/>
      <c r="G12727" s="8"/>
      <c r="J12727" s="8"/>
    </row>
    <row r="12728">
      <c r="C12728" s="15"/>
      <c r="E12728" s="8"/>
      <c r="G12728" s="8"/>
      <c r="J12728" s="8"/>
    </row>
    <row r="12729">
      <c r="C12729" s="15"/>
      <c r="E12729" s="8"/>
      <c r="G12729" s="8"/>
      <c r="J12729" s="8"/>
    </row>
    <row r="12730">
      <c r="C12730" s="15"/>
      <c r="E12730" s="8"/>
      <c r="G12730" s="8"/>
      <c r="J12730" s="8"/>
    </row>
    <row r="12731">
      <c r="C12731" s="15"/>
      <c r="E12731" s="8"/>
      <c r="G12731" s="8"/>
      <c r="J12731" s="8"/>
    </row>
    <row r="12732">
      <c r="C12732" s="15"/>
      <c r="E12732" s="8"/>
      <c r="G12732" s="8"/>
      <c r="J12732" s="8"/>
    </row>
    <row r="12733">
      <c r="C12733" s="15"/>
      <c r="E12733" s="8"/>
      <c r="G12733" s="8"/>
      <c r="J12733" s="8"/>
    </row>
    <row r="12734">
      <c r="C12734" s="15"/>
      <c r="E12734" s="8"/>
      <c r="G12734" s="8"/>
      <c r="J12734" s="8"/>
    </row>
    <row r="12735">
      <c r="C12735" s="15"/>
      <c r="E12735" s="8"/>
      <c r="G12735" s="8"/>
      <c r="J12735" s="8"/>
    </row>
    <row r="12736">
      <c r="C12736" s="15"/>
      <c r="E12736" s="8"/>
      <c r="G12736" s="8"/>
      <c r="J12736" s="8"/>
    </row>
    <row r="12737">
      <c r="C12737" s="15"/>
      <c r="E12737" s="8"/>
      <c r="G12737" s="8"/>
      <c r="J12737" s="8"/>
    </row>
    <row r="12738">
      <c r="C12738" s="15"/>
      <c r="E12738" s="8"/>
      <c r="G12738" s="8"/>
      <c r="J12738" s="8"/>
    </row>
    <row r="12739">
      <c r="C12739" s="15"/>
      <c r="E12739" s="8"/>
      <c r="G12739" s="8"/>
      <c r="J12739" s="8"/>
    </row>
    <row r="12740">
      <c r="C12740" s="15"/>
      <c r="E12740" s="8"/>
      <c r="G12740" s="8"/>
      <c r="J12740" s="8"/>
    </row>
    <row r="12741">
      <c r="C12741" s="15"/>
      <c r="E12741" s="8"/>
      <c r="G12741" s="8"/>
      <c r="J12741" s="8"/>
    </row>
    <row r="12742">
      <c r="C12742" s="15"/>
      <c r="E12742" s="8"/>
      <c r="G12742" s="8"/>
      <c r="J12742" s="8"/>
    </row>
    <row r="12743">
      <c r="C12743" s="15"/>
      <c r="E12743" s="8"/>
      <c r="G12743" s="8"/>
      <c r="J12743" s="8"/>
    </row>
    <row r="12744">
      <c r="C12744" s="15"/>
      <c r="E12744" s="8"/>
      <c r="G12744" s="8"/>
      <c r="J12744" s="8"/>
    </row>
    <row r="12745">
      <c r="C12745" s="15"/>
      <c r="E12745" s="8"/>
      <c r="G12745" s="8"/>
      <c r="J12745" s="8"/>
    </row>
    <row r="12746">
      <c r="C12746" s="15"/>
      <c r="E12746" s="8"/>
      <c r="G12746" s="8"/>
      <c r="J12746" s="8"/>
    </row>
    <row r="12747">
      <c r="C12747" s="15"/>
      <c r="E12747" s="8"/>
      <c r="G12747" s="8"/>
      <c r="J12747" s="8"/>
    </row>
    <row r="12748">
      <c r="C12748" s="15"/>
      <c r="E12748" s="8"/>
      <c r="G12748" s="8"/>
      <c r="J12748" s="8"/>
    </row>
    <row r="12749">
      <c r="C12749" s="15"/>
      <c r="E12749" s="8"/>
      <c r="G12749" s="8"/>
      <c r="J12749" s="8"/>
    </row>
    <row r="12750">
      <c r="C12750" s="15"/>
      <c r="E12750" s="8"/>
      <c r="G12750" s="8"/>
      <c r="J12750" s="8"/>
    </row>
    <row r="12751">
      <c r="C12751" s="15"/>
      <c r="E12751" s="8"/>
      <c r="G12751" s="8"/>
      <c r="J12751" s="8"/>
    </row>
    <row r="12752">
      <c r="C12752" s="15"/>
      <c r="E12752" s="8"/>
      <c r="G12752" s="8"/>
      <c r="J12752" s="8"/>
    </row>
    <row r="12753">
      <c r="C12753" s="15"/>
      <c r="E12753" s="8"/>
      <c r="G12753" s="8"/>
      <c r="J12753" s="8"/>
    </row>
    <row r="12754">
      <c r="C12754" s="15"/>
      <c r="E12754" s="8"/>
      <c r="G12754" s="8"/>
      <c r="J12754" s="8"/>
    </row>
    <row r="12755">
      <c r="C12755" s="15"/>
      <c r="E12755" s="8"/>
      <c r="G12755" s="8"/>
      <c r="J12755" s="8"/>
    </row>
    <row r="12756">
      <c r="C12756" s="15"/>
      <c r="E12756" s="8"/>
      <c r="G12756" s="8"/>
      <c r="J12756" s="8"/>
    </row>
    <row r="12757">
      <c r="C12757" s="15"/>
      <c r="E12757" s="8"/>
      <c r="G12757" s="8"/>
      <c r="J12757" s="8"/>
    </row>
    <row r="12758">
      <c r="C12758" s="15"/>
      <c r="E12758" s="8"/>
      <c r="G12758" s="8"/>
      <c r="J12758" s="8"/>
    </row>
    <row r="12759">
      <c r="C12759" s="15"/>
      <c r="E12759" s="8"/>
      <c r="G12759" s="8"/>
      <c r="J12759" s="8"/>
    </row>
    <row r="12760">
      <c r="C12760" s="15"/>
      <c r="E12760" s="8"/>
      <c r="G12760" s="8"/>
      <c r="J12760" s="8"/>
    </row>
    <row r="12761">
      <c r="C12761" s="15"/>
      <c r="E12761" s="8"/>
      <c r="G12761" s="8"/>
      <c r="J12761" s="8"/>
    </row>
    <row r="12762">
      <c r="C12762" s="15"/>
      <c r="E12762" s="8"/>
      <c r="G12762" s="8"/>
      <c r="J12762" s="8"/>
    </row>
    <row r="12763">
      <c r="C12763" s="15"/>
      <c r="E12763" s="8"/>
      <c r="G12763" s="8"/>
      <c r="J12763" s="8"/>
    </row>
    <row r="12764">
      <c r="C12764" s="15"/>
      <c r="E12764" s="8"/>
      <c r="G12764" s="8"/>
      <c r="J12764" s="8"/>
    </row>
    <row r="12765">
      <c r="C12765" s="15"/>
      <c r="E12765" s="8"/>
      <c r="G12765" s="8"/>
      <c r="J12765" s="8"/>
    </row>
    <row r="12766">
      <c r="C12766" s="15"/>
      <c r="E12766" s="8"/>
      <c r="G12766" s="8"/>
      <c r="J12766" s="8"/>
    </row>
    <row r="12767">
      <c r="C12767" s="15"/>
      <c r="E12767" s="8"/>
      <c r="G12767" s="8"/>
      <c r="J12767" s="8"/>
    </row>
    <row r="12768">
      <c r="C12768" s="15"/>
      <c r="E12768" s="8"/>
      <c r="G12768" s="8"/>
      <c r="J12768" s="8"/>
    </row>
    <row r="12769">
      <c r="C12769" s="15"/>
      <c r="E12769" s="8"/>
      <c r="G12769" s="8"/>
      <c r="J12769" s="8"/>
    </row>
    <row r="12770">
      <c r="C12770" s="15"/>
      <c r="E12770" s="8"/>
      <c r="G12770" s="8"/>
      <c r="J12770" s="8"/>
    </row>
    <row r="12771">
      <c r="C12771" s="15"/>
      <c r="E12771" s="8"/>
      <c r="G12771" s="8"/>
      <c r="J12771" s="8"/>
    </row>
    <row r="12772">
      <c r="C12772" s="15"/>
      <c r="E12772" s="8"/>
      <c r="G12772" s="8"/>
      <c r="J12772" s="8"/>
    </row>
    <row r="12773">
      <c r="C12773" s="15"/>
      <c r="E12773" s="8"/>
      <c r="G12773" s="8"/>
      <c r="J12773" s="8"/>
    </row>
    <row r="12774">
      <c r="C12774" s="15"/>
      <c r="E12774" s="8"/>
      <c r="G12774" s="8"/>
      <c r="J12774" s="8"/>
    </row>
    <row r="12775">
      <c r="C12775" s="15"/>
      <c r="E12775" s="8"/>
      <c r="G12775" s="8"/>
      <c r="J12775" s="8"/>
    </row>
    <row r="12776">
      <c r="C12776" s="15"/>
      <c r="E12776" s="8"/>
      <c r="G12776" s="8"/>
      <c r="J12776" s="8"/>
    </row>
    <row r="12777">
      <c r="C12777" s="15"/>
      <c r="E12777" s="8"/>
      <c r="G12777" s="8"/>
      <c r="J12777" s="8"/>
    </row>
    <row r="12778">
      <c r="C12778" s="15"/>
      <c r="E12778" s="8"/>
      <c r="G12778" s="8"/>
      <c r="J12778" s="8"/>
    </row>
    <row r="12779">
      <c r="C12779" s="15"/>
      <c r="E12779" s="8"/>
      <c r="G12779" s="8"/>
      <c r="J12779" s="8"/>
    </row>
    <row r="12780">
      <c r="C12780" s="15"/>
      <c r="E12780" s="8"/>
      <c r="G12780" s="8"/>
      <c r="J12780" s="8"/>
    </row>
    <row r="12781">
      <c r="C12781" s="15"/>
      <c r="E12781" s="8"/>
      <c r="G12781" s="8"/>
      <c r="J12781" s="8"/>
    </row>
    <row r="12782">
      <c r="C12782" s="15"/>
      <c r="E12782" s="8"/>
      <c r="G12782" s="8"/>
      <c r="J12782" s="8"/>
    </row>
    <row r="12783">
      <c r="C12783" s="15"/>
      <c r="E12783" s="8"/>
      <c r="G12783" s="8"/>
      <c r="J12783" s="8"/>
    </row>
    <row r="12784">
      <c r="C12784" s="15"/>
      <c r="E12784" s="8"/>
      <c r="G12784" s="8"/>
      <c r="J12784" s="8"/>
    </row>
    <row r="12785">
      <c r="C12785" s="15"/>
      <c r="E12785" s="8"/>
      <c r="G12785" s="8"/>
      <c r="J12785" s="8"/>
    </row>
    <row r="12786">
      <c r="C12786" s="15"/>
      <c r="E12786" s="8"/>
      <c r="G12786" s="8"/>
      <c r="J12786" s="8"/>
    </row>
    <row r="12787">
      <c r="C12787" s="15"/>
      <c r="E12787" s="8"/>
      <c r="G12787" s="8"/>
      <c r="J12787" s="8"/>
    </row>
    <row r="12788">
      <c r="C12788" s="15"/>
      <c r="E12788" s="8"/>
      <c r="G12788" s="8"/>
      <c r="J12788" s="8"/>
    </row>
    <row r="12789">
      <c r="C12789" s="15"/>
      <c r="E12789" s="8"/>
      <c r="G12789" s="8"/>
      <c r="J12789" s="8"/>
    </row>
    <row r="12790">
      <c r="C12790" s="15"/>
      <c r="E12790" s="8"/>
      <c r="G12790" s="8"/>
      <c r="J12790" s="8"/>
    </row>
    <row r="12791">
      <c r="C12791" s="15"/>
      <c r="E12791" s="8"/>
      <c r="G12791" s="8"/>
      <c r="J12791" s="8"/>
    </row>
    <row r="12792">
      <c r="C12792" s="15"/>
      <c r="E12792" s="8"/>
      <c r="G12792" s="8"/>
      <c r="J12792" s="8"/>
    </row>
    <row r="12793">
      <c r="C12793" s="15"/>
      <c r="E12793" s="8"/>
      <c r="G12793" s="8"/>
      <c r="J12793" s="8"/>
    </row>
    <row r="12794">
      <c r="C12794" s="15"/>
      <c r="E12794" s="8"/>
      <c r="G12794" s="8"/>
      <c r="J12794" s="8"/>
    </row>
    <row r="12795">
      <c r="C12795" s="15"/>
      <c r="E12795" s="8"/>
      <c r="G12795" s="8"/>
      <c r="J12795" s="8"/>
    </row>
    <row r="12796">
      <c r="C12796" s="15"/>
      <c r="E12796" s="8"/>
      <c r="G12796" s="8"/>
      <c r="J12796" s="8"/>
    </row>
    <row r="12797">
      <c r="C12797" s="15"/>
      <c r="E12797" s="8"/>
      <c r="G12797" s="8"/>
      <c r="J12797" s="8"/>
    </row>
    <row r="12798">
      <c r="C12798" s="15"/>
      <c r="E12798" s="8"/>
      <c r="G12798" s="8"/>
      <c r="J12798" s="8"/>
    </row>
    <row r="12799">
      <c r="C12799" s="15"/>
      <c r="E12799" s="8"/>
      <c r="G12799" s="8"/>
      <c r="J12799" s="8"/>
    </row>
    <row r="12800">
      <c r="C12800" s="15"/>
      <c r="E12800" s="8"/>
      <c r="G12800" s="8"/>
      <c r="J12800" s="8"/>
    </row>
    <row r="12801">
      <c r="C12801" s="15"/>
      <c r="E12801" s="8"/>
      <c r="G12801" s="8"/>
      <c r="J12801" s="8"/>
    </row>
    <row r="12802">
      <c r="C12802" s="15"/>
      <c r="E12802" s="8"/>
      <c r="G12802" s="8"/>
      <c r="J12802" s="8"/>
    </row>
    <row r="12803">
      <c r="C12803" s="15"/>
      <c r="E12803" s="8"/>
      <c r="G12803" s="8"/>
      <c r="J12803" s="8"/>
    </row>
    <row r="12804">
      <c r="C12804" s="15"/>
      <c r="E12804" s="8"/>
      <c r="G12804" s="8"/>
      <c r="J12804" s="8"/>
    </row>
    <row r="12805">
      <c r="C12805" s="15"/>
      <c r="E12805" s="8"/>
      <c r="G12805" s="8"/>
      <c r="J12805" s="8"/>
    </row>
    <row r="12806">
      <c r="C12806" s="15"/>
      <c r="E12806" s="8"/>
      <c r="G12806" s="8"/>
      <c r="J12806" s="8"/>
    </row>
    <row r="12807">
      <c r="C12807" s="15"/>
      <c r="E12807" s="8"/>
      <c r="G12807" s="8"/>
      <c r="J12807" s="8"/>
    </row>
    <row r="12808">
      <c r="C12808" s="15"/>
      <c r="E12808" s="8"/>
      <c r="G12808" s="8"/>
      <c r="J12808" s="8"/>
    </row>
    <row r="12809">
      <c r="C12809" s="15"/>
      <c r="E12809" s="8"/>
      <c r="G12809" s="8"/>
      <c r="J12809" s="8"/>
    </row>
    <row r="12810">
      <c r="C12810" s="15"/>
      <c r="E12810" s="8"/>
      <c r="G12810" s="8"/>
      <c r="J12810" s="8"/>
    </row>
    <row r="12811">
      <c r="C12811" s="15"/>
      <c r="E12811" s="8"/>
      <c r="G12811" s="8"/>
      <c r="J12811" s="8"/>
    </row>
    <row r="12812">
      <c r="C12812" s="15"/>
      <c r="E12812" s="8"/>
      <c r="G12812" s="8"/>
      <c r="J12812" s="8"/>
    </row>
    <row r="12813">
      <c r="C12813" s="15"/>
      <c r="E12813" s="8"/>
      <c r="G12813" s="8"/>
      <c r="J12813" s="8"/>
    </row>
    <row r="12814">
      <c r="C12814" s="15"/>
      <c r="E12814" s="8"/>
      <c r="G12814" s="8"/>
      <c r="J12814" s="8"/>
    </row>
    <row r="12815">
      <c r="C12815" s="15"/>
      <c r="E12815" s="8"/>
      <c r="G12815" s="8"/>
      <c r="J12815" s="8"/>
    </row>
    <row r="12816">
      <c r="C12816" s="15"/>
      <c r="E12816" s="8"/>
      <c r="G12816" s="8"/>
      <c r="J12816" s="8"/>
    </row>
    <row r="12817">
      <c r="C12817" s="15"/>
      <c r="E12817" s="8"/>
      <c r="G12817" s="8"/>
      <c r="J12817" s="8"/>
    </row>
    <row r="12818">
      <c r="C12818" s="15"/>
      <c r="E12818" s="8"/>
      <c r="G12818" s="8"/>
      <c r="J12818" s="8"/>
    </row>
    <row r="12819">
      <c r="C12819" s="15"/>
      <c r="E12819" s="8"/>
      <c r="G12819" s="8"/>
      <c r="J12819" s="8"/>
    </row>
    <row r="12820">
      <c r="C12820" s="15"/>
      <c r="E12820" s="8"/>
      <c r="G12820" s="8"/>
      <c r="J12820" s="8"/>
    </row>
    <row r="12821">
      <c r="C12821" s="15"/>
      <c r="E12821" s="8"/>
      <c r="G12821" s="8"/>
      <c r="J12821" s="8"/>
    </row>
    <row r="12822">
      <c r="C12822" s="15"/>
      <c r="E12822" s="8"/>
      <c r="G12822" s="8"/>
      <c r="J12822" s="8"/>
    </row>
    <row r="12823">
      <c r="C12823" s="15"/>
      <c r="E12823" s="8"/>
      <c r="G12823" s="8"/>
      <c r="J12823" s="8"/>
    </row>
    <row r="12824">
      <c r="C12824" s="15"/>
      <c r="E12824" s="8"/>
      <c r="G12824" s="8"/>
      <c r="J12824" s="8"/>
    </row>
    <row r="12825">
      <c r="C12825" s="15"/>
      <c r="E12825" s="8"/>
      <c r="G12825" s="8"/>
      <c r="J12825" s="8"/>
    </row>
    <row r="12826">
      <c r="C12826" s="15"/>
      <c r="E12826" s="8"/>
      <c r="G12826" s="8"/>
      <c r="J12826" s="8"/>
    </row>
    <row r="12827">
      <c r="C12827" s="15"/>
      <c r="E12827" s="8"/>
      <c r="G12827" s="8"/>
      <c r="J12827" s="8"/>
    </row>
    <row r="12828">
      <c r="C12828" s="15"/>
      <c r="E12828" s="8"/>
      <c r="G12828" s="8"/>
      <c r="J12828" s="8"/>
    </row>
    <row r="12829">
      <c r="C12829" s="15"/>
      <c r="E12829" s="8"/>
      <c r="G12829" s="8"/>
      <c r="J12829" s="8"/>
    </row>
    <row r="12830">
      <c r="C12830" s="15"/>
      <c r="E12830" s="8"/>
      <c r="G12830" s="8"/>
      <c r="J12830" s="8"/>
    </row>
    <row r="12831">
      <c r="C12831" s="15"/>
      <c r="E12831" s="8"/>
      <c r="G12831" s="8"/>
      <c r="J12831" s="8"/>
    </row>
    <row r="12832">
      <c r="C12832" s="15"/>
      <c r="E12832" s="8"/>
      <c r="G12832" s="8"/>
      <c r="J12832" s="8"/>
    </row>
    <row r="12833">
      <c r="C12833" s="15"/>
      <c r="E12833" s="8"/>
      <c r="G12833" s="8"/>
      <c r="J12833" s="8"/>
    </row>
    <row r="12834">
      <c r="C12834" s="15"/>
      <c r="E12834" s="8"/>
      <c r="G12834" s="8"/>
      <c r="J12834" s="8"/>
    </row>
    <row r="12835">
      <c r="C12835" s="15"/>
      <c r="E12835" s="8"/>
      <c r="G12835" s="8"/>
      <c r="J12835" s="8"/>
    </row>
    <row r="12836">
      <c r="C12836" s="15"/>
      <c r="E12836" s="8"/>
      <c r="G12836" s="8"/>
      <c r="J12836" s="8"/>
    </row>
    <row r="12837">
      <c r="C12837" s="15"/>
      <c r="E12837" s="8"/>
      <c r="G12837" s="8"/>
      <c r="J12837" s="8"/>
    </row>
    <row r="12838">
      <c r="C12838" s="15"/>
      <c r="E12838" s="8"/>
      <c r="G12838" s="8"/>
      <c r="J12838" s="8"/>
    </row>
    <row r="12839">
      <c r="C12839" s="15"/>
      <c r="E12839" s="8"/>
      <c r="G12839" s="8"/>
      <c r="J12839" s="8"/>
    </row>
    <row r="12840">
      <c r="C12840" s="15"/>
      <c r="E12840" s="8"/>
      <c r="G12840" s="8"/>
      <c r="J12840" s="8"/>
    </row>
    <row r="12841">
      <c r="C12841" s="15"/>
      <c r="E12841" s="8"/>
      <c r="G12841" s="8"/>
      <c r="J12841" s="8"/>
    </row>
    <row r="12842">
      <c r="C12842" s="15"/>
      <c r="E12842" s="8"/>
      <c r="G12842" s="8"/>
      <c r="J12842" s="8"/>
    </row>
    <row r="12843">
      <c r="C12843" s="15"/>
      <c r="E12843" s="8"/>
      <c r="G12843" s="8"/>
      <c r="J12843" s="8"/>
    </row>
    <row r="12844">
      <c r="C12844" s="15"/>
      <c r="E12844" s="8"/>
      <c r="G12844" s="8"/>
      <c r="J12844" s="8"/>
    </row>
    <row r="12845">
      <c r="C12845" s="15"/>
      <c r="E12845" s="8"/>
      <c r="G12845" s="8"/>
      <c r="J12845" s="8"/>
    </row>
    <row r="12846">
      <c r="C12846" s="15"/>
      <c r="E12846" s="8"/>
      <c r="G12846" s="8"/>
      <c r="J12846" s="8"/>
    </row>
    <row r="12847">
      <c r="C12847" s="15"/>
      <c r="E12847" s="8"/>
      <c r="G12847" s="8"/>
      <c r="J12847" s="8"/>
    </row>
    <row r="12848">
      <c r="C12848" s="15"/>
      <c r="E12848" s="8"/>
      <c r="G12848" s="8"/>
      <c r="J12848" s="8"/>
    </row>
    <row r="12849">
      <c r="C12849" s="15"/>
      <c r="E12849" s="8"/>
      <c r="G12849" s="8"/>
      <c r="J12849" s="8"/>
    </row>
    <row r="12850">
      <c r="C12850" s="15"/>
      <c r="E12850" s="8"/>
      <c r="G12850" s="8"/>
      <c r="J12850" s="8"/>
    </row>
    <row r="12851">
      <c r="C12851" s="15"/>
      <c r="E12851" s="8"/>
      <c r="G12851" s="8"/>
      <c r="J12851" s="8"/>
    </row>
    <row r="12852">
      <c r="C12852" s="15"/>
      <c r="E12852" s="8"/>
      <c r="G12852" s="8"/>
      <c r="J12852" s="8"/>
    </row>
    <row r="12853">
      <c r="C12853" s="15"/>
      <c r="E12853" s="8"/>
      <c r="G12853" s="8"/>
      <c r="J12853" s="8"/>
    </row>
    <row r="12854">
      <c r="C12854" s="15"/>
      <c r="E12854" s="8"/>
      <c r="G12854" s="8"/>
      <c r="J12854" s="8"/>
    </row>
    <row r="12855">
      <c r="C12855" s="15"/>
      <c r="E12855" s="8"/>
      <c r="G12855" s="8"/>
      <c r="J12855" s="8"/>
    </row>
    <row r="12856">
      <c r="C12856" s="15"/>
      <c r="E12856" s="8"/>
      <c r="G12856" s="8"/>
      <c r="J12856" s="8"/>
    </row>
    <row r="12857">
      <c r="C12857" s="15"/>
      <c r="E12857" s="8"/>
      <c r="G12857" s="8"/>
      <c r="J12857" s="8"/>
    </row>
    <row r="12858">
      <c r="C12858" s="15"/>
      <c r="E12858" s="8"/>
      <c r="G12858" s="8"/>
      <c r="J12858" s="8"/>
    </row>
    <row r="12859">
      <c r="C12859" s="15"/>
      <c r="E12859" s="8"/>
      <c r="G12859" s="8"/>
      <c r="J12859" s="8"/>
    </row>
    <row r="12860">
      <c r="C12860" s="15"/>
      <c r="E12860" s="8"/>
      <c r="G12860" s="8"/>
      <c r="J12860" s="8"/>
    </row>
    <row r="12861">
      <c r="C12861" s="15"/>
      <c r="E12861" s="8"/>
      <c r="G12861" s="8"/>
      <c r="J12861" s="8"/>
    </row>
    <row r="12862">
      <c r="C12862" s="15"/>
      <c r="E12862" s="8"/>
      <c r="G12862" s="8"/>
      <c r="J12862" s="8"/>
    </row>
    <row r="12863">
      <c r="C12863" s="15"/>
      <c r="E12863" s="8"/>
      <c r="G12863" s="8"/>
      <c r="J12863" s="8"/>
    </row>
    <row r="12864">
      <c r="C12864" s="15"/>
      <c r="E12864" s="8"/>
      <c r="G12864" s="8"/>
      <c r="J12864" s="8"/>
    </row>
    <row r="12865">
      <c r="C12865" s="15"/>
      <c r="E12865" s="8"/>
      <c r="G12865" s="8"/>
      <c r="J12865" s="8"/>
    </row>
    <row r="12866">
      <c r="C12866" s="15"/>
      <c r="E12866" s="8"/>
      <c r="G12866" s="8"/>
      <c r="J12866" s="8"/>
    </row>
    <row r="12867">
      <c r="C12867" s="15"/>
      <c r="E12867" s="8"/>
      <c r="G12867" s="8"/>
      <c r="J12867" s="8"/>
    </row>
    <row r="12868">
      <c r="C12868" s="15"/>
      <c r="E12868" s="8"/>
      <c r="G12868" s="8"/>
      <c r="J12868" s="8"/>
    </row>
    <row r="12869">
      <c r="C12869" s="15"/>
      <c r="E12869" s="8"/>
      <c r="G12869" s="8"/>
      <c r="J12869" s="8"/>
    </row>
    <row r="12870">
      <c r="C12870" s="15"/>
      <c r="E12870" s="8"/>
      <c r="G12870" s="8"/>
      <c r="J12870" s="8"/>
    </row>
    <row r="12871">
      <c r="C12871" s="15"/>
      <c r="E12871" s="8"/>
      <c r="G12871" s="8"/>
      <c r="J12871" s="8"/>
    </row>
    <row r="12872">
      <c r="C12872" s="15"/>
      <c r="E12872" s="8"/>
      <c r="G12872" s="8"/>
      <c r="J12872" s="8"/>
    </row>
    <row r="12873">
      <c r="C12873" s="15"/>
      <c r="E12873" s="8"/>
      <c r="G12873" s="8"/>
      <c r="J12873" s="8"/>
    </row>
    <row r="12874">
      <c r="C12874" s="15"/>
      <c r="E12874" s="8"/>
      <c r="G12874" s="8"/>
      <c r="J12874" s="8"/>
    </row>
    <row r="12875">
      <c r="C12875" s="15"/>
      <c r="E12875" s="8"/>
      <c r="G12875" s="8"/>
      <c r="J12875" s="8"/>
    </row>
    <row r="12876">
      <c r="C12876" s="15"/>
      <c r="E12876" s="8"/>
      <c r="G12876" s="8"/>
      <c r="J12876" s="8"/>
    </row>
    <row r="12877">
      <c r="C12877" s="15"/>
      <c r="E12877" s="8"/>
      <c r="G12877" s="8"/>
      <c r="J12877" s="8"/>
    </row>
    <row r="12878">
      <c r="C12878" s="15"/>
      <c r="E12878" s="8"/>
      <c r="G12878" s="8"/>
      <c r="J12878" s="8"/>
    </row>
    <row r="12879">
      <c r="C12879" s="15"/>
      <c r="E12879" s="8"/>
      <c r="G12879" s="8"/>
      <c r="J12879" s="8"/>
    </row>
    <row r="12880">
      <c r="C12880" s="15"/>
      <c r="E12880" s="8"/>
      <c r="G12880" s="8"/>
      <c r="J12880" s="8"/>
    </row>
    <row r="12881">
      <c r="C12881" s="15"/>
      <c r="E12881" s="8"/>
      <c r="G12881" s="8"/>
      <c r="J12881" s="8"/>
    </row>
    <row r="12882">
      <c r="C12882" s="15"/>
      <c r="E12882" s="8"/>
      <c r="G12882" s="8"/>
      <c r="J12882" s="8"/>
    </row>
    <row r="12883">
      <c r="C12883" s="15"/>
      <c r="E12883" s="8"/>
      <c r="G12883" s="8"/>
      <c r="J12883" s="8"/>
    </row>
    <row r="12884">
      <c r="C12884" s="15"/>
      <c r="E12884" s="8"/>
      <c r="G12884" s="8"/>
      <c r="J12884" s="8"/>
    </row>
    <row r="12885">
      <c r="C12885" s="15"/>
      <c r="E12885" s="8"/>
      <c r="G12885" s="8"/>
      <c r="J12885" s="8"/>
    </row>
    <row r="12886">
      <c r="C12886" s="15"/>
      <c r="E12886" s="8"/>
      <c r="G12886" s="8"/>
      <c r="J12886" s="8"/>
    </row>
    <row r="12887">
      <c r="C12887" s="15"/>
      <c r="E12887" s="8"/>
      <c r="G12887" s="8"/>
      <c r="J12887" s="8"/>
    </row>
    <row r="12888">
      <c r="C12888" s="15"/>
      <c r="E12888" s="8"/>
      <c r="G12888" s="8"/>
      <c r="J12888" s="8"/>
    </row>
    <row r="12889">
      <c r="C12889" s="15"/>
      <c r="E12889" s="8"/>
      <c r="G12889" s="8"/>
      <c r="J12889" s="8"/>
    </row>
    <row r="12890">
      <c r="C12890" s="15"/>
      <c r="E12890" s="8"/>
      <c r="G12890" s="8"/>
      <c r="J12890" s="8"/>
    </row>
    <row r="12891">
      <c r="C12891" s="15"/>
      <c r="E12891" s="8"/>
      <c r="G12891" s="8"/>
      <c r="J12891" s="8"/>
    </row>
    <row r="12892">
      <c r="C12892" s="15"/>
      <c r="E12892" s="8"/>
      <c r="G12892" s="8"/>
      <c r="J12892" s="8"/>
    </row>
    <row r="12893">
      <c r="C12893" s="15"/>
      <c r="E12893" s="8"/>
      <c r="G12893" s="8"/>
      <c r="J12893" s="8"/>
    </row>
    <row r="12894">
      <c r="C12894" s="15"/>
      <c r="E12894" s="8"/>
      <c r="G12894" s="8"/>
      <c r="J12894" s="8"/>
    </row>
    <row r="12895">
      <c r="C12895" s="15"/>
      <c r="E12895" s="8"/>
      <c r="G12895" s="8"/>
      <c r="J12895" s="8"/>
    </row>
    <row r="12896">
      <c r="C12896" s="15"/>
      <c r="E12896" s="8"/>
      <c r="G12896" s="8"/>
      <c r="J12896" s="8"/>
    </row>
    <row r="12897">
      <c r="C12897" s="15"/>
      <c r="E12897" s="8"/>
      <c r="G12897" s="8"/>
      <c r="J12897" s="8"/>
    </row>
    <row r="12898">
      <c r="C12898" s="15"/>
      <c r="E12898" s="8"/>
      <c r="G12898" s="8"/>
      <c r="J12898" s="8"/>
    </row>
    <row r="12899">
      <c r="C12899" s="15"/>
      <c r="E12899" s="8"/>
      <c r="G12899" s="8"/>
      <c r="J12899" s="8"/>
    </row>
    <row r="12900">
      <c r="C12900" s="15"/>
      <c r="E12900" s="8"/>
      <c r="G12900" s="8"/>
      <c r="J12900" s="8"/>
    </row>
    <row r="12901">
      <c r="C12901" s="15"/>
      <c r="E12901" s="8"/>
      <c r="G12901" s="8"/>
      <c r="J12901" s="8"/>
    </row>
    <row r="12902">
      <c r="C12902" s="15"/>
      <c r="E12902" s="8"/>
      <c r="G12902" s="8"/>
      <c r="J12902" s="8"/>
    </row>
    <row r="12903">
      <c r="C12903" s="15"/>
      <c r="E12903" s="8"/>
      <c r="G12903" s="8"/>
      <c r="J12903" s="8"/>
    </row>
    <row r="12904">
      <c r="C12904" s="15"/>
      <c r="E12904" s="8"/>
      <c r="G12904" s="8"/>
      <c r="J12904" s="8"/>
    </row>
    <row r="12905">
      <c r="C12905" s="15"/>
      <c r="E12905" s="8"/>
      <c r="G12905" s="8"/>
      <c r="J12905" s="8"/>
    </row>
    <row r="12906">
      <c r="C12906" s="15"/>
      <c r="E12906" s="8"/>
      <c r="G12906" s="8"/>
      <c r="J12906" s="8"/>
    </row>
    <row r="12907">
      <c r="C12907" s="15"/>
      <c r="E12907" s="8"/>
      <c r="G12907" s="8"/>
      <c r="J12907" s="8"/>
    </row>
    <row r="12908">
      <c r="C12908" s="15"/>
      <c r="E12908" s="8"/>
      <c r="G12908" s="8"/>
      <c r="J12908" s="8"/>
    </row>
    <row r="12909">
      <c r="C12909" s="15"/>
      <c r="E12909" s="8"/>
      <c r="G12909" s="8"/>
      <c r="J12909" s="8"/>
    </row>
    <row r="12910">
      <c r="C12910" s="15"/>
      <c r="E12910" s="8"/>
      <c r="G12910" s="8"/>
      <c r="J12910" s="8"/>
    </row>
    <row r="12911">
      <c r="C12911" s="15"/>
      <c r="E12911" s="8"/>
      <c r="G12911" s="8"/>
      <c r="J12911" s="8"/>
    </row>
    <row r="12912">
      <c r="C12912" s="15"/>
      <c r="E12912" s="8"/>
      <c r="G12912" s="8"/>
      <c r="J12912" s="8"/>
    </row>
    <row r="12913">
      <c r="C12913" s="15"/>
      <c r="E12913" s="8"/>
      <c r="G12913" s="8"/>
      <c r="J12913" s="8"/>
    </row>
    <row r="12914">
      <c r="C12914" s="15"/>
      <c r="E12914" s="8"/>
      <c r="G12914" s="8"/>
      <c r="J12914" s="8"/>
    </row>
    <row r="12915">
      <c r="C12915" s="15"/>
      <c r="E12915" s="8"/>
      <c r="G12915" s="8"/>
      <c r="J12915" s="8"/>
    </row>
    <row r="12916">
      <c r="C12916" s="15"/>
      <c r="E12916" s="8"/>
      <c r="G12916" s="8"/>
      <c r="J12916" s="8"/>
    </row>
    <row r="12917">
      <c r="C12917" s="15"/>
      <c r="E12917" s="8"/>
      <c r="G12917" s="8"/>
      <c r="J12917" s="8"/>
    </row>
    <row r="12918">
      <c r="C12918" s="15"/>
      <c r="E12918" s="8"/>
      <c r="G12918" s="8"/>
      <c r="J12918" s="8"/>
    </row>
    <row r="12919">
      <c r="C12919" s="15"/>
      <c r="E12919" s="8"/>
      <c r="G12919" s="8"/>
      <c r="J12919" s="8"/>
    </row>
    <row r="12920">
      <c r="C12920" s="15"/>
      <c r="E12920" s="8"/>
      <c r="G12920" s="8"/>
      <c r="J12920" s="8"/>
    </row>
    <row r="12921">
      <c r="C12921" s="15"/>
      <c r="E12921" s="8"/>
      <c r="G12921" s="8"/>
      <c r="J12921" s="8"/>
    </row>
    <row r="12922">
      <c r="C12922" s="15"/>
      <c r="E12922" s="8"/>
      <c r="G12922" s="8"/>
      <c r="J12922" s="8"/>
    </row>
    <row r="12923">
      <c r="C12923" s="15"/>
      <c r="E12923" s="8"/>
      <c r="G12923" s="8"/>
      <c r="J12923" s="8"/>
    </row>
    <row r="12924">
      <c r="C12924" s="15"/>
      <c r="E12924" s="8"/>
      <c r="G12924" s="8"/>
      <c r="J12924" s="8"/>
    </row>
    <row r="12925">
      <c r="C12925" s="15"/>
      <c r="E12925" s="8"/>
      <c r="G12925" s="8"/>
      <c r="J12925" s="8"/>
    </row>
    <row r="12926">
      <c r="C12926" s="15"/>
      <c r="E12926" s="8"/>
      <c r="G12926" s="8"/>
      <c r="J12926" s="8"/>
    </row>
    <row r="12927">
      <c r="C12927" s="15"/>
      <c r="E12927" s="8"/>
      <c r="G12927" s="8"/>
      <c r="J12927" s="8"/>
    </row>
    <row r="12928">
      <c r="C12928" s="15"/>
      <c r="E12928" s="8"/>
      <c r="G12928" s="8"/>
      <c r="J12928" s="8"/>
    </row>
    <row r="12929">
      <c r="C12929" s="15"/>
      <c r="E12929" s="8"/>
      <c r="G12929" s="8"/>
      <c r="J12929" s="8"/>
    </row>
    <row r="12930">
      <c r="C12930" s="15"/>
      <c r="E12930" s="8"/>
      <c r="G12930" s="8"/>
      <c r="J12930" s="8"/>
    </row>
    <row r="12931">
      <c r="C12931" s="15"/>
      <c r="E12931" s="8"/>
      <c r="G12931" s="8"/>
      <c r="J12931" s="8"/>
    </row>
    <row r="12932">
      <c r="C12932" s="15"/>
      <c r="E12932" s="8"/>
      <c r="G12932" s="8"/>
      <c r="J12932" s="8"/>
    </row>
    <row r="12933">
      <c r="C12933" s="15"/>
      <c r="E12933" s="8"/>
      <c r="G12933" s="8"/>
      <c r="J12933" s="8"/>
    </row>
    <row r="12934">
      <c r="C12934" s="15"/>
      <c r="E12934" s="8"/>
      <c r="G12934" s="8"/>
      <c r="J12934" s="8"/>
    </row>
    <row r="12935">
      <c r="C12935" s="15"/>
      <c r="E12935" s="8"/>
      <c r="G12935" s="8"/>
      <c r="J12935" s="8"/>
    </row>
    <row r="12936">
      <c r="C12936" s="15"/>
      <c r="E12936" s="8"/>
      <c r="G12936" s="8"/>
      <c r="J12936" s="8"/>
    </row>
    <row r="12937">
      <c r="C12937" s="15"/>
      <c r="E12937" s="8"/>
      <c r="G12937" s="8"/>
      <c r="J12937" s="8"/>
    </row>
    <row r="12938">
      <c r="C12938" s="15"/>
      <c r="E12938" s="8"/>
      <c r="G12938" s="8"/>
      <c r="J12938" s="8"/>
    </row>
    <row r="12939">
      <c r="C12939" s="15"/>
      <c r="E12939" s="8"/>
      <c r="G12939" s="8"/>
      <c r="J12939" s="8"/>
    </row>
    <row r="12940">
      <c r="C12940" s="15"/>
      <c r="E12940" s="8"/>
      <c r="G12940" s="8"/>
      <c r="J12940" s="8"/>
    </row>
    <row r="12941">
      <c r="C12941" s="15"/>
      <c r="E12941" s="8"/>
      <c r="G12941" s="8"/>
      <c r="J12941" s="8"/>
    </row>
    <row r="12942">
      <c r="C12942" s="15"/>
      <c r="E12942" s="8"/>
      <c r="G12942" s="8"/>
      <c r="J12942" s="8"/>
    </row>
    <row r="12943">
      <c r="C12943" s="15"/>
      <c r="E12943" s="8"/>
      <c r="G12943" s="8"/>
      <c r="J12943" s="8"/>
    </row>
    <row r="12944">
      <c r="C12944" s="15"/>
      <c r="E12944" s="8"/>
      <c r="G12944" s="8"/>
      <c r="J12944" s="8"/>
    </row>
    <row r="12945">
      <c r="C12945" s="15"/>
      <c r="E12945" s="8"/>
      <c r="G12945" s="8"/>
      <c r="J12945" s="8"/>
    </row>
    <row r="12946">
      <c r="C12946" s="15"/>
      <c r="E12946" s="8"/>
      <c r="G12946" s="8"/>
      <c r="J12946" s="8"/>
    </row>
    <row r="12947">
      <c r="C12947" s="15"/>
      <c r="E12947" s="8"/>
      <c r="G12947" s="8"/>
      <c r="J12947" s="8"/>
    </row>
    <row r="12948">
      <c r="C12948" s="15"/>
      <c r="E12948" s="8"/>
      <c r="G12948" s="8"/>
      <c r="J12948" s="8"/>
    </row>
    <row r="12949">
      <c r="C12949" s="15"/>
      <c r="E12949" s="8"/>
      <c r="G12949" s="8"/>
      <c r="J12949" s="8"/>
    </row>
    <row r="12950">
      <c r="C12950" s="15"/>
      <c r="E12950" s="8"/>
      <c r="G12950" s="8"/>
      <c r="J12950" s="8"/>
    </row>
    <row r="12951">
      <c r="C12951" s="15"/>
      <c r="E12951" s="8"/>
      <c r="G12951" s="8"/>
      <c r="J12951" s="8"/>
    </row>
    <row r="12952">
      <c r="C12952" s="15"/>
      <c r="E12952" s="8"/>
      <c r="G12952" s="8"/>
      <c r="J12952" s="8"/>
    </row>
    <row r="12953">
      <c r="C12953" s="15"/>
      <c r="E12953" s="8"/>
      <c r="G12953" s="8"/>
      <c r="J12953" s="8"/>
    </row>
    <row r="12954">
      <c r="C12954" s="15"/>
      <c r="E12954" s="8"/>
      <c r="G12954" s="8"/>
      <c r="J12954" s="8"/>
    </row>
    <row r="12955">
      <c r="C12955" s="15"/>
      <c r="E12955" s="8"/>
      <c r="G12955" s="8"/>
      <c r="J12955" s="8"/>
    </row>
    <row r="12956">
      <c r="C12956" s="15"/>
      <c r="E12956" s="8"/>
      <c r="G12956" s="8"/>
      <c r="J12956" s="8"/>
    </row>
    <row r="12957">
      <c r="C12957" s="15"/>
      <c r="E12957" s="8"/>
      <c r="G12957" s="8"/>
      <c r="J12957" s="8"/>
    </row>
    <row r="12958">
      <c r="C12958" s="15"/>
      <c r="E12958" s="8"/>
      <c r="G12958" s="8"/>
      <c r="J12958" s="8"/>
    </row>
    <row r="12959">
      <c r="C12959" s="15"/>
      <c r="E12959" s="8"/>
      <c r="G12959" s="8"/>
      <c r="J12959" s="8"/>
    </row>
    <row r="12960">
      <c r="C12960" s="15"/>
      <c r="E12960" s="8"/>
      <c r="G12960" s="8"/>
      <c r="J12960" s="8"/>
    </row>
    <row r="12961">
      <c r="C12961" s="15"/>
      <c r="E12961" s="8"/>
      <c r="G12961" s="8"/>
      <c r="J12961" s="8"/>
    </row>
    <row r="12962">
      <c r="C12962" s="15"/>
      <c r="E12962" s="8"/>
      <c r="G12962" s="8"/>
      <c r="J12962" s="8"/>
    </row>
    <row r="12963">
      <c r="C12963" s="15"/>
      <c r="E12963" s="8"/>
      <c r="G12963" s="8"/>
      <c r="J12963" s="8"/>
    </row>
    <row r="12964">
      <c r="C12964" s="15"/>
      <c r="E12964" s="8"/>
      <c r="G12964" s="8"/>
      <c r="J12964" s="8"/>
    </row>
    <row r="12965">
      <c r="C12965" s="15"/>
      <c r="E12965" s="8"/>
      <c r="G12965" s="8"/>
      <c r="J12965" s="8"/>
    </row>
    <row r="12966">
      <c r="C12966" s="15"/>
      <c r="E12966" s="8"/>
      <c r="G12966" s="8"/>
      <c r="J12966" s="8"/>
    </row>
    <row r="12967">
      <c r="C12967" s="15"/>
      <c r="E12967" s="8"/>
      <c r="G12967" s="8"/>
      <c r="J12967" s="8"/>
    </row>
    <row r="12968">
      <c r="C12968" s="15"/>
      <c r="E12968" s="8"/>
      <c r="G12968" s="8"/>
      <c r="J12968" s="8"/>
    </row>
    <row r="12969">
      <c r="C12969" s="15"/>
      <c r="E12969" s="8"/>
      <c r="G12969" s="8"/>
      <c r="J12969" s="8"/>
    </row>
    <row r="12970">
      <c r="C12970" s="15"/>
      <c r="E12970" s="8"/>
      <c r="G12970" s="8"/>
      <c r="J12970" s="8"/>
    </row>
    <row r="12971">
      <c r="C12971" s="15"/>
      <c r="E12971" s="8"/>
      <c r="G12971" s="8"/>
      <c r="J12971" s="8"/>
    </row>
    <row r="12972">
      <c r="C12972" s="15"/>
      <c r="E12972" s="8"/>
      <c r="G12972" s="8"/>
      <c r="J12972" s="8"/>
    </row>
    <row r="12973">
      <c r="C12973" s="15"/>
      <c r="E12973" s="8"/>
      <c r="G12973" s="8"/>
      <c r="J12973" s="8"/>
    </row>
    <row r="12974">
      <c r="C12974" s="15"/>
      <c r="E12974" s="8"/>
      <c r="G12974" s="8"/>
      <c r="J12974" s="8"/>
    </row>
    <row r="12975">
      <c r="C12975" s="15"/>
      <c r="E12975" s="8"/>
      <c r="G12975" s="8"/>
      <c r="J12975" s="8"/>
    </row>
    <row r="12976">
      <c r="C12976" s="15"/>
      <c r="E12976" s="8"/>
      <c r="G12976" s="8"/>
      <c r="J12976" s="8"/>
    </row>
    <row r="12977">
      <c r="C12977" s="15"/>
      <c r="E12977" s="8"/>
      <c r="G12977" s="8"/>
      <c r="J12977" s="8"/>
    </row>
    <row r="12978">
      <c r="C12978" s="15"/>
      <c r="E12978" s="8"/>
      <c r="G12978" s="8"/>
      <c r="J12978" s="8"/>
    </row>
    <row r="12979">
      <c r="C12979" s="15"/>
      <c r="E12979" s="8"/>
      <c r="G12979" s="8"/>
      <c r="J12979" s="8"/>
    </row>
    <row r="12980">
      <c r="C12980" s="15"/>
      <c r="E12980" s="8"/>
      <c r="G12980" s="8"/>
      <c r="J12980" s="8"/>
    </row>
    <row r="12981">
      <c r="C12981" s="15"/>
      <c r="E12981" s="8"/>
      <c r="G12981" s="8"/>
      <c r="J12981" s="8"/>
    </row>
    <row r="12982">
      <c r="C12982" s="15"/>
      <c r="E12982" s="8"/>
      <c r="G12982" s="8"/>
      <c r="J12982" s="8"/>
    </row>
    <row r="12983">
      <c r="C12983" s="15"/>
      <c r="E12983" s="8"/>
      <c r="G12983" s="8"/>
      <c r="J12983" s="8"/>
    </row>
    <row r="12984">
      <c r="C12984" s="15"/>
      <c r="E12984" s="8"/>
      <c r="G12984" s="8"/>
      <c r="J12984" s="8"/>
    </row>
    <row r="12985">
      <c r="C12985" s="15"/>
      <c r="E12985" s="8"/>
      <c r="G12985" s="8"/>
      <c r="J12985" s="8"/>
    </row>
    <row r="12986">
      <c r="C12986" s="15"/>
      <c r="E12986" s="8"/>
      <c r="G12986" s="8"/>
      <c r="J12986" s="8"/>
    </row>
    <row r="12987">
      <c r="C12987" s="15"/>
      <c r="E12987" s="8"/>
      <c r="G12987" s="8"/>
      <c r="J12987" s="8"/>
    </row>
    <row r="12988">
      <c r="C12988" s="15"/>
      <c r="E12988" s="8"/>
      <c r="G12988" s="8"/>
      <c r="J12988" s="8"/>
    </row>
    <row r="12989">
      <c r="C12989" s="15"/>
      <c r="E12989" s="8"/>
      <c r="G12989" s="8"/>
      <c r="J12989" s="8"/>
    </row>
    <row r="12990">
      <c r="C12990" s="15"/>
      <c r="E12990" s="8"/>
      <c r="G12990" s="8"/>
      <c r="J12990" s="8"/>
    </row>
    <row r="12991">
      <c r="C12991" s="15"/>
      <c r="E12991" s="8"/>
      <c r="G12991" s="8"/>
      <c r="J12991" s="8"/>
    </row>
    <row r="12992">
      <c r="C12992" s="15"/>
      <c r="E12992" s="8"/>
      <c r="G12992" s="8"/>
      <c r="J12992" s="8"/>
    </row>
    <row r="12993">
      <c r="C12993" s="15"/>
      <c r="E12993" s="8"/>
      <c r="G12993" s="8"/>
      <c r="J12993" s="8"/>
    </row>
    <row r="12994">
      <c r="C12994" s="15"/>
      <c r="E12994" s="8"/>
      <c r="G12994" s="8"/>
      <c r="J12994" s="8"/>
    </row>
    <row r="12995">
      <c r="C12995" s="15"/>
      <c r="E12995" s="8"/>
      <c r="G12995" s="8"/>
      <c r="J12995" s="8"/>
    </row>
    <row r="12996">
      <c r="C12996" s="15"/>
      <c r="E12996" s="8"/>
      <c r="G12996" s="8"/>
      <c r="J12996" s="8"/>
    </row>
    <row r="12997">
      <c r="C12997" s="15"/>
      <c r="E12997" s="8"/>
      <c r="G12997" s="8"/>
      <c r="J12997" s="8"/>
    </row>
    <row r="12998">
      <c r="C12998" s="15"/>
      <c r="E12998" s="8"/>
      <c r="G12998" s="8"/>
      <c r="J12998" s="8"/>
    </row>
    <row r="12999">
      <c r="C12999" s="15"/>
      <c r="E12999" s="8"/>
      <c r="G12999" s="8"/>
      <c r="J12999" s="8"/>
    </row>
    <row r="13000">
      <c r="C13000" s="15"/>
      <c r="E13000" s="8"/>
      <c r="G13000" s="8"/>
      <c r="J13000" s="8"/>
    </row>
    <row r="13001">
      <c r="C13001" s="15"/>
      <c r="E13001" s="8"/>
      <c r="G13001" s="8"/>
      <c r="J13001" s="8"/>
    </row>
    <row r="13002">
      <c r="C13002" s="15"/>
      <c r="E13002" s="8"/>
      <c r="G13002" s="8"/>
      <c r="J13002" s="8"/>
    </row>
    <row r="13003">
      <c r="C13003" s="15"/>
      <c r="E13003" s="8"/>
      <c r="G13003" s="8"/>
      <c r="J13003" s="8"/>
    </row>
    <row r="13004">
      <c r="C13004" s="15"/>
      <c r="E13004" s="8"/>
      <c r="G13004" s="8"/>
      <c r="J13004" s="8"/>
    </row>
    <row r="13005">
      <c r="C13005" s="15"/>
      <c r="E13005" s="8"/>
      <c r="G13005" s="8"/>
      <c r="J13005" s="8"/>
    </row>
    <row r="13006">
      <c r="C13006" s="15"/>
      <c r="E13006" s="8"/>
      <c r="G13006" s="8"/>
      <c r="J13006" s="8"/>
    </row>
    <row r="13007">
      <c r="C13007" s="15"/>
      <c r="E13007" s="8"/>
      <c r="G13007" s="8"/>
      <c r="J13007" s="8"/>
    </row>
    <row r="13008">
      <c r="C13008" s="15"/>
      <c r="E13008" s="8"/>
      <c r="G13008" s="8"/>
      <c r="J13008" s="8"/>
    </row>
    <row r="13009">
      <c r="C13009" s="15"/>
      <c r="E13009" s="8"/>
      <c r="G13009" s="8"/>
      <c r="J13009" s="8"/>
    </row>
    <row r="13010">
      <c r="C13010" s="15"/>
      <c r="E13010" s="8"/>
      <c r="G13010" s="8"/>
      <c r="J13010" s="8"/>
    </row>
    <row r="13011">
      <c r="C13011" s="15"/>
      <c r="E13011" s="8"/>
      <c r="G13011" s="8"/>
      <c r="J13011" s="8"/>
    </row>
    <row r="13012">
      <c r="C13012" s="15"/>
      <c r="E13012" s="8"/>
      <c r="G13012" s="8"/>
      <c r="J13012" s="8"/>
    </row>
    <row r="13013">
      <c r="C13013" s="15"/>
      <c r="E13013" s="8"/>
      <c r="G13013" s="8"/>
      <c r="J13013" s="8"/>
    </row>
    <row r="13014">
      <c r="C13014" s="15"/>
      <c r="E13014" s="8"/>
      <c r="G13014" s="8"/>
      <c r="J13014" s="8"/>
    </row>
    <row r="13015">
      <c r="C13015" s="15"/>
      <c r="E13015" s="8"/>
      <c r="G13015" s="8"/>
      <c r="J13015" s="8"/>
    </row>
    <row r="13016">
      <c r="C13016" s="15"/>
      <c r="E13016" s="8"/>
      <c r="G13016" s="8"/>
      <c r="J13016" s="8"/>
    </row>
    <row r="13017">
      <c r="C13017" s="15"/>
      <c r="E13017" s="8"/>
      <c r="G13017" s="8"/>
      <c r="J13017" s="8"/>
    </row>
    <row r="13018">
      <c r="C13018" s="15"/>
      <c r="E13018" s="8"/>
      <c r="G13018" s="8"/>
      <c r="J13018" s="8"/>
    </row>
    <row r="13019">
      <c r="C13019" s="15"/>
      <c r="E13019" s="8"/>
      <c r="G13019" s="8"/>
      <c r="J13019" s="8"/>
    </row>
    <row r="13020">
      <c r="C13020" s="15"/>
      <c r="E13020" s="8"/>
      <c r="G13020" s="8"/>
      <c r="J13020" s="8"/>
    </row>
    <row r="13021">
      <c r="C13021" s="15"/>
      <c r="E13021" s="8"/>
      <c r="G13021" s="8"/>
      <c r="J13021" s="8"/>
    </row>
    <row r="13022">
      <c r="C13022" s="15"/>
      <c r="E13022" s="8"/>
      <c r="G13022" s="8"/>
      <c r="J13022" s="8"/>
    </row>
    <row r="13023">
      <c r="C13023" s="15"/>
      <c r="E13023" s="8"/>
      <c r="G13023" s="8"/>
      <c r="J13023" s="8"/>
    </row>
    <row r="13024">
      <c r="C13024" s="15"/>
      <c r="E13024" s="8"/>
      <c r="G13024" s="8"/>
      <c r="J13024" s="8"/>
    </row>
    <row r="13025">
      <c r="C13025" s="15"/>
      <c r="E13025" s="8"/>
      <c r="G13025" s="8"/>
      <c r="J13025" s="8"/>
    </row>
    <row r="13026">
      <c r="C13026" s="15"/>
      <c r="E13026" s="8"/>
      <c r="G13026" s="8"/>
      <c r="J13026" s="8"/>
    </row>
    <row r="13027">
      <c r="C13027" s="15"/>
      <c r="E13027" s="8"/>
      <c r="G13027" s="8"/>
      <c r="J13027" s="8"/>
    </row>
    <row r="13028">
      <c r="C13028" s="15"/>
      <c r="E13028" s="8"/>
      <c r="G13028" s="8"/>
      <c r="J13028" s="8"/>
    </row>
    <row r="13029">
      <c r="C13029" s="15"/>
      <c r="E13029" s="8"/>
      <c r="G13029" s="8"/>
      <c r="J13029" s="8"/>
    </row>
    <row r="13030">
      <c r="C13030" s="15"/>
      <c r="E13030" s="8"/>
      <c r="G13030" s="8"/>
      <c r="J13030" s="8"/>
    </row>
    <row r="13031">
      <c r="C13031" s="15"/>
      <c r="E13031" s="8"/>
      <c r="G13031" s="8"/>
      <c r="J13031" s="8"/>
    </row>
    <row r="13032">
      <c r="C13032" s="15"/>
      <c r="E13032" s="8"/>
      <c r="G13032" s="8"/>
      <c r="J13032" s="8"/>
    </row>
    <row r="13033">
      <c r="C13033" s="15"/>
      <c r="E13033" s="8"/>
      <c r="G13033" s="8"/>
      <c r="J13033" s="8"/>
    </row>
    <row r="13034">
      <c r="C13034" s="15"/>
      <c r="E13034" s="8"/>
      <c r="G13034" s="8"/>
      <c r="J13034" s="8"/>
    </row>
    <row r="13035">
      <c r="C13035" s="15"/>
      <c r="E13035" s="8"/>
      <c r="G13035" s="8"/>
      <c r="J13035" s="8"/>
    </row>
    <row r="13036">
      <c r="C13036" s="15"/>
      <c r="E13036" s="8"/>
      <c r="G13036" s="8"/>
      <c r="J13036" s="8"/>
    </row>
    <row r="13037">
      <c r="C13037" s="15"/>
      <c r="E13037" s="8"/>
      <c r="G13037" s="8"/>
      <c r="J13037" s="8"/>
    </row>
    <row r="13038">
      <c r="C13038" s="15"/>
      <c r="E13038" s="8"/>
      <c r="G13038" s="8"/>
      <c r="J13038" s="8"/>
    </row>
    <row r="13039">
      <c r="C13039" s="15"/>
      <c r="E13039" s="8"/>
      <c r="G13039" s="8"/>
      <c r="J13039" s="8"/>
    </row>
    <row r="13040">
      <c r="C13040" s="15"/>
      <c r="E13040" s="8"/>
      <c r="G13040" s="8"/>
      <c r="J13040" s="8"/>
    </row>
    <row r="13041">
      <c r="C13041" s="15"/>
      <c r="E13041" s="8"/>
      <c r="G13041" s="8"/>
      <c r="J13041" s="8"/>
    </row>
    <row r="13042">
      <c r="C13042" s="15"/>
      <c r="E13042" s="8"/>
      <c r="G13042" s="8"/>
      <c r="J13042" s="8"/>
    </row>
    <row r="13043">
      <c r="C13043" s="15"/>
      <c r="E13043" s="8"/>
      <c r="G13043" s="8"/>
      <c r="J13043" s="8"/>
    </row>
    <row r="13044">
      <c r="C13044" s="15"/>
      <c r="E13044" s="8"/>
      <c r="G13044" s="8"/>
      <c r="J13044" s="8"/>
    </row>
    <row r="13045">
      <c r="C13045" s="15"/>
      <c r="E13045" s="8"/>
      <c r="G13045" s="8"/>
      <c r="J13045" s="8"/>
    </row>
    <row r="13046">
      <c r="C13046" s="15"/>
      <c r="E13046" s="8"/>
      <c r="G13046" s="8"/>
      <c r="J13046" s="8"/>
    </row>
    <row r="13047">
      <c r="C13047" s="15"/>
      <c r="E13047" s="8"/>
      <c r="G13047" s="8"/>
      <c r="J13047" s="8"/>
    </row>
    <row r="13048">
      <c r="C13048" s="15"/>
      <c r="E13048" s="8"/>
      <c r="G13048" s="8"/>
      <c r="J13048" s="8"/>
    </row>
    <row r="13049">
      <c r="C13049" s="15"/>
      <c r="E13049" s="8"/>
      <c r="G13049" s="8"/>
      <c r="J13049" s="8"/>
    </row>
    <row r="13050">
      <c r="C13050" s="15"/>
      <c r="E13050" s="8"/>
      <c r="G13050" s="8"/>
      <c r="J13050" s="8"/>
    </row>
    <row r="13051">
      <c r="C13051" s="15"/>
      <c r="E13051" s="8"/>
      <c r="G13051" s="8"/>
      <c r="J13051" s="8"/>
    </row>
    <row r="13052">
      <c r="C13052" s="15"/>
      <c r="E13052" s="8"/>
      <c r="G13052" s="8"/>
      <c r="J13052" s="8"/>
    </row>
    <row r="13053">
      <c r="C13053" s="15"/>
      <c r="E13053" s="8"/>
      <c r="G13053" s="8"/>
      <c r="J13053" s="8"/>
    </row>
    <row r="13054">
      <c r="C13054" s="15"/>
      <c r="E13054" s="8"/>
      <c r="G13054" s="8"/>
      <c r="J13054" s="8"/>
    </row>
    <row r="13055">
      <c r="C13055" s="15"/>
      <c r="E13055" s="8"/>
      <c r="G13055" s="8"/>
      <c r="J13055" s="8"/>
    </row>
    <row r="13056">
      <c r="C13056" s="15"/>
      <c r="E13056" s="8"/>
      <c r="G13056" s="8"/>
      <c r="J13056" s="8"/>
    </row>
    <row r="13057">
      <c r="C13057" s="15"/>
      <c r="E13057" s="8"/>
      <c r="G13057" s="8"/>
      <c r="J13057" s="8"/>
    </row>
    <row r="13058">
      <c r="C13058" s="15"/>
      <c r="E13058" s="8"/>
      <c r="G13058" s="8"/>
      <c r="J13058" s="8"/>
    </row>
    <row r="13059">
      <c r="C13059" s="15"/>
      <c r="E13059" s="8"/>
      <c r="G13059" s="8"/>
      <c r="J13059" s="8"/>
    </row>
    <row r="13060">
      <c r="C13060" s="15"/>
      <c r="E13060" s="8"/>
      <c r="G13060" s="8"/>
      <c r="J13060" s="8"/>
    </row>
    <row r="13061">
      <c r="C13061" s="15"/>
      <c r="E13061" s="8"/>
      <c r="G13061" s="8"/>
      <c r="J13061" s="8"/>
    </row>
    <row r="13062">
      <c r="C13062" s="15"/>
      <c r="E13062" s="8"/>
      <c r="G13062" s="8"/>
      <c r="J13062" s="8"/>
    </row>
    <row r="13063">
      <c r="C13063" s="15"/>
      <c r="E13063" s="8"/>
      <c r="G13063" s="8"/>
      <c r="J13063" s="8"/>
    </row>
    <row r="13064">
      <c r="C13064" s="15"/>
      <c r="E13064" s="8"/>
      <c r="G13064" s="8"/>
      <c r="J13064" s="8"/>
    </row>
    <row r="13065">
      <c r="C13065" s="15"/>
      <c r="E13065" s="8"/>
      <c r="G13065" s="8"/>
      <c r="J13065" s="8"/>
    </row>
    <row r="13066">
      <c r="C13066" s="15"/>
      <c r="E13066" s="8"/>
      <c r="G13066" s="8"/>
      <c r="J13066" s="8"/>
    </row>
    <row r="13067">
      <c r="C13067" s="15"/>
      <c r="E13067" s="8"/>
      <c r="G13067" s="8"/>
      <c r="J13067" s="8"/>
    </row>
    <row r="13068">
      <c r="C13068" s="15"/>
      <c r="E13068" s="8"/>
      <c r="G13068" s="8"/>
      <c r="J13068" s="8"/>
    </row>
    <row r="13069">
      <c r="C13069" s="15"/>
      <c r="E13069" s="8"/>
      <c r="G13069" s="8"/>
      <c r="J13069" s="8"/>
    </row>
    <row r="13070">
      <c r="C13070" s="15"/>
      <c r="E13070" s="8"/>
      <c r="G13070" s="8"/>
      <c r="J13070" s="8"/>
    </row>
    <row r="13071">
      <c r="C13071" s="15"/>
      <c r="E13071" s="8"/>
      <c r="G13071" s="8"/>
      <c r="J13071" s="8"/>
    </row>
    <row r="13072">
      <c r="C13072" s="15"/>
      <c r="E13072" s="8"/>
      <c r="G13072" s="8"/>
      <c r="J13072" s="8"/>
    </row>
    <row r="13073">
      <c r="C13073" s="15"/>
      <c r="E13073" s="8"/>
      <c r="G13073" s="8"/>
      <c r="J13073" s="8"/>
    </row>
    <row r="13074">
      <c r="C13074" s="15"/>
      <c r="E13074" s="8"/>
      <c r="G13074" s="8"/>
      <c r="J13074" s="8"/>
    </row>
    <row r="13075">
      <c r="C13075" s="15"/>
      <c r="E13075" s="8"/>
      <c r="G13075" s="8"/>
      <c r="J13075" s="8"/>
    </row>
    <row r="13076">
      <c r="C13076" s="15"/>
      <c r="E13076" s="8"/>
      <c r="G13076" s="8"/>
      <c r="J13076" s="8"/>
    </row>
    <row r="13077">
      <c r="C13077" s="15"/>
      <c r="E13077" s="8"/>
      <c r="G13077" s="8"/>
      <c r="J13077" s="8"/>
    </row>
    <row r="13078">
      <c r="C13078" s="15"/>
      <c r="E13078" s="8"/>
      <c r="G13078" s="8"/>
      <c r="J13078" s="8"/>
    </row>
    <row r="13079">
      <c r="C13079" s="15"/>
      <c r="E13079" s="8"/>
      <c r="G13079" s="8"/>
      <c r="J13079" s="8"/>
    </row>
    <row r="13080">
      <c r="C13080" s="15"/>
      <c r="E13080" s="8"/>
      <c r="G13080" s="8"/>
      <c r="J13080" s="8"/>
    </row>
    <row r="13081">
      <c r="C13081" s="15"/>
      <c r="E13081" s="8"/>
      <c r="G13081" s="8"/>
      <c r="J13081" s="8"/>
    </row>
    <row r="13082">
      <c r="C13082" s="15"/>
      <c r="E13082" s="8"/>
      <c r="G13082" s="8"/>
      <c r="J13082" s="8"/>
    </row>
    <row r="13083">
      <c r="C13083" s="15"/>
      <c r="E13083" s="8"/>
      <c r="G13083" s="8"/>
      <c r="J13083" s="8"/>
    </row>
    <row r="13084">
      <c r="C13084" s="15"/>
      <c r="E13084" s="8"/>
      <c r="G13084" s="8"/>
      <c r="J13084" s="8"/>
    </row>
    <row r="13085">
      <c r="C13085" s="15"/>
      <c r="E13085" s="8"/>
      <c r="G13085" s="8"/>
      <c r="J13085" s="8"/>
    </row>
    <row r="13086">
      <c r="C13086" s="15"/>
      <c r="E13086" s="8"/>
      <c r="G13086" s="8"/>
      <c r="J13086" s="8"/>
    </row>
    <row r="13087">
      <c r="C13087" s="15"/>
      <c r="E13087" s="8"/>
      <c r="G13087" s="8"/>
      <c r="J13087" s="8"/>
    </row>
    <row r="13088">
      <c r="C13088" s="15"/>
      <c r="E13088" s="8"/>
      <c r="G13088" s="8"/>
      <c r="J13088" s="8"/>
    </row>
    <row r="13089">
      <c r="C13089" s="15"/>
      <c r="E13089" s="8"/>
      <c r="G13089" s="8"/>
      <c r="J13089" s="8"/>
    </row>
    <row r="13090">
      <c r="C13090" s="15"/>
      <c r="E13090" s="8"/>
      <c r="G13090" s="8"/>
      <c r="J13090" s="8"/>
    </row>
    <row r="13091">
      <c r="C13091" s="15"/>
      <c r="E13091" s="8"/>
      <c r="G13091" s="8"/>
      <c r="J13091" s="8"/>
    </row>
    <row r="13092">
      <c r="C13092" s="15"/>
      <c r="E13092" s="8"/>
      <c r="G13092" s="8"/>
      <c r="J13092" s="8"/>
    </row>
    <row r="13093">
      <c r="C13093" s="15"/>
      <c r="E13093" s="8"/>
      <c r="G13093" s="8"/>
      <c r="J13093" s="8"/>
    </row>
    <row r="13094">
      <c r="C13094" s="15"/>
      <c r="E13094" s="8"/>
      <c r="G13094" s="8"/>
      <c r="J13094" s="8"/>
    </row>
    <row r="13095">
      <c r="C13095" s="15"/>
      <c r="E13095" s="8"/>
      <c r="G13095" s="8"/>
      <c r="J13095" s="8"/>
    </row>
    <row r="13096">
      <c r="C13096" s="15"/>
      <c r="E13096" s="8"/>
      <c r="G13096" s="8"/>
      <c r="J13096" s="8"/>
    </row>
    <row r="13097">
      <c r="C13097" s="15"/>
      <c r="E13097" s="8"/>
      <c r="G13097" s="8"/>
      <c r="J13097" s="8"/>
    </row>
    <row r="13098">
      <c r="C13098" s="15"/>
      <c r="E13098" s="8"/>
      <c r="G13098" s="8"/>
      <c r="J13098" s="8"/>
    </row>
    <row r="13099">
      <c r="C13099" s="15"/>
      <c r="E13099" s="8"/>
      <c r="G13099" s="8"/>
      <c r="J13099" s="8"/>
    </row>
    <row r="13100">
      <c r="C13100" s="15"/>
      <c r="E13100" s="8"/>
      <c r="G13100" s="8"/>
      <c r="J13100" s="8"/>
    </row>
    <row r="13101">
      <c r="C13101" s="15"/>
      <c r="E13101" s="8"/>
      <c r="G13101" s="8"/>
      <c r="J13101" s="8"/>
    </row>
    <row r="13102">
      <c r="C13102" s="15"/>
      <c r="E13102" s="8"/>
      <c r="G13102" s="8"/>
      <c r="J13102" s="8"/>
    </row>
    <row r="13103">
      <c r="C13103" s="15"/>
      <c r="E13103" s="8"/>
      <c r="G13103" s="8"/>
      <c r="J13103" s="8"/>
    </row>
    <row r="13104">
      <c r="C13104" s="15"/>
      <c r="E13104" s="8"/>
      <c r="G13104" s="8"/>
      <c r="J13104" s="8"/>
    </row>
    <row r="13105">
      <c r="C13105" s="15"/>
      <c r="E13105" s="8"/>
      <c r="G13105" s="8"/>
      <c r="J13105" s="8"/>
    </row>
    <row r="13106">
      <c r="C13106" s="15"/>
      <c r="E13106" s="8"/>
      <c r="G13106" s="8"/>
      <c r="J13106" s="8"/>
    </row>
    <row r="13107">
      <c r="C13107" s="15"/>
      <c r="E13107" s="8"/>
      <c r="G13107" s="8"/>
      <c r="J13107" s="8"/>
    </row>
    <row r="13108">
      <c r="C13108" s="15"/>
      <c r="E13108" s="8"/>
      <c r="G13108" s="8"/>
      <c r="J13108" s="8"/>
    </row>
    <row r="13109">
      <c r="C13109" s="15"/>
      <c r="E13109" s="8"/>
      <c r="G13109" s="8"/>
      <c r="J13109" s="8"/>
    </row>
    <row r="13110">
      <c r="C13110" s="15"/>
      <c r="E13110" s="8"/>
      <c r="G13110" s="8"/>
      <c r="J13110" s="8"/>
    </row>
    <row r="13111">
      <c r="C13111" s="15"/>
      <c r="E13111" s="8"/>
      <c r="G13111" s="8"/>
      <c r="J13111" s="8"/>
    </row>
    <row r="13112">
      <c r="C13112" s="15"/>
      <c r="E13112" s="8"/>
      <c r="G13112" s="8"/>
      <c r="J13112" s="8"/>
    </row>
    <row r="13113">
      <c r="C13113" s="15"/>
      <c r="E13113" s="8"/>
      <c r="G13113" s="8"/>
      <c r="J13113" s="8"/>
    </row>
    <row r="13114">
      <c r="C13114" s="15"/>
      <c r="E13114" s="8"/>
      <c r="G13114" s="8"/>
      <c r="J13114" s="8"/>
    </row>
    <row r="13115">
      <c r="C13115" s="15"/>
      <c r="E13115" s="8"/>
      <c r="G13115" s="8"/>
      <c r="J13115" s="8"/>
    </row>
    <row r="13116">
      <c r="C13116" s="15"/>
      <c r="E13116" s="8"/>
      <c r="G13116" s="8"/>
      <c r="J13116" s="8"/>
    </row>
    <row r="13117">
      <c r="C13117" s="15"/>
      <c r="E13117" s="8"/>
      <c r="G13117" s="8"/>
      <c r="J13117" s="8"/>
    </row>
    <row r="13118">
      <c r="C13118" s="15"/>
      <c r="E13118" s="8"/>
      <c r="G13118" s="8"/>
      <c r="J13118" s="8"/>
    </row>
    <row r="13119">
      <c r="C13119" s="15"/>
      <c r="E13119" s="8"/>
      <c r="G13119" s="8"/>
      <c r="J13119" s="8"/>
    </row>
    <row r="13120">
      <c r="C13120" s="15"/>
      <c r="E13120" s="8"/>
      <c r="G13120" s="8"/>
      <c r="J13120" s="8"/>
    </row>
    <row r="13121">
      <c r="C13121" s="15"/>
      <c r="E13121" s="8"/>
      <c r="G13121" s="8"/>
      <c r="J13121" s="8"/>
    </row>
    <row r="13122">
      <c r="C13122" s="15"/>
      <c r="E13122" s="8"/>
      <c r="G13122" s="8"/>
      <c r="J13122" s="8"/>
    </row>
    <row r="13123">
      <c r="C13123" s="15"/>
      <c r="E13123" s="8"/>
      <c r="G13123" s="8"/>
      <c r="J13123" s="8"/>
    </row>
    <row r="13124">
      <c r="C13124" s="15"/>
      <c r="E13124" s="8"/>
      <c r="G13124" s="8"/>
      <c r="J13124" s="8"/>
    </row>
    <row r="13125">
      <c r="C13125" s="15"/>
      <c r="E13125" s="8"/>
      <c r="G13125" s="8"/>
      <c r="J13125" s="8"/>
    </row>
    <row r="13126">
      <c r="C13126" s="15"/>
      <c r="E13126" s="8"/>
      <c r="G13126" s="8"/>
      <c r="J13126" s="8"/>
    </row>
    <row r="13127">
      <c r="C13127" s="15"/>
      <c r="E13127" s="8"/>
      <c r="G13127" s="8"/>
      <c r="J13127" s="8"/>
    </row>
    <row r="13128">
      <c r="C13128" s="15"/>
      <c r="E13128" s="8"/>
      <c r="G13128" s="8"/>
      <c r="J13128" s="8"/>
    </row>
    <row r="13129">
      <c r="C13129" s="15"/>
      <c r="E13129" s="8"/>
      <c r="G13129" s="8"/>
      <c r="J13129" s="8"/>
    </row>
    <row r="13130">
      <c r="C13130" s="15"/>
      <c r="E13130" s="8"/>
      <c r="G13130" s="8"/>
      <c r="J13130" s="8"/>
    </row>
    <row r="13131">
      <c r="C13131" s="15"/>
      <c r="E13131" s="8"/>
      <c r="G13131" s="8"/>
      <c r="J13131" s="8"/>
    </row>
    <row r="13132">
      <c r="C13132" s="15"/>
      <c r="E13132" s="8"/>
      <c r="G13132" s="8"/>
      <c r="J13132" s="8"/>
    </row>
    <row r="13133">
      <c r="C13133" s="15"/>
      <c r="E13133" s="8"/>
      <c r="G13133" s="8"/>
      <c r="J13133" s="8"/>
    </row>
    <row r="13134">
      <c r="C13134" s="15"/>
      <c r="E13134" s="8"/>
      <c r="G13134" s="8"/>
      <c r="J13134" s="8"/>
    </row>
    <row r="13135">
      <c r="C13135" s="15"/>
      <c r="E13135" s="8"/>
      <c r="G13135" s="8"/>
      <c r="J13135" s="8"/>
    </row>
    <row r="13136">
      <c r="C13136" s="15"/>
      <c r="E13136" s="8"/>
      <c r="G13136" s="8"/>
      <c r="J13136" s="8"/>
    </row>
    <row r="13137">
      <c r="C13137" s="15"/>
      <c r="E13137" s="8"/>
      <c r="G13137" s="8"/>
      <c r="J13137" s="8"/>
    </row>
    <row r="13138">
      <c r="C13138" s="15"/>
      <c r="E13138" s="8"/>
      <c r="G13138" s="8"/>
      <c r="J13138" s="8"/>
    </row>
    <row r="13139">
      <c r="C13139" s="15"/>
      <c r="E13139" s="8"/>
      <c r="G13139" s="8"/>
      <c r="J13139" s="8"/>
    </row>
    <row r="13140">
      <c r="C13140" s="15"/>
      <c r="E13140" s="8"/>
      <c r="G13140" s="8"/>
      <c r="J13140" s="8"/>
    </row>
    <row r="13141">
      <c r="C13141" s="15"/>
      <c r="E13141" s="8"/>
      <c r="G13141" s="8"/>
      <c r="J13141" s="8"/>
    </row>
    <row r="13142">
      <c r="C13142" s="15"/>
      <c r="E13142" s="8"/>
      <c r="G13142" s="8"/>
      <c r="J13142" s="8"/>
    </row>
    <row r="13143">
      <c r="C13143" s="15"/>
      <c r="E13143" s="8"/>
      <c r="G13143" s="8"/>
      <c r="J13143" s="8"/>
    </row>
    <row r="13144">
      <c r="C13144" s="15"/>
      <c r="E13144" s="8"/>
      <c r="G13144" s="8"/>
      <c r="J13144" s="8"/>
    </row>
    <row r="13145">
      <c r="C13145" s="15"/>
      <c r="E13145" s="8"/>
      <c r="G13145" s="8"/>
      <c r="J13145" s="8"/>
    </row>
    <row r="13146">
      <c r="C13146" s="15"/>
      <c r="E13146" s="8"/>
      <c r="G13146" s="8"/>
      <c r="J13146" s="8"/>
    </row>
    <row r="13147">
      <c r="C13147" s="15"/>
      <c r="E13147" s="8"/>
      <c r="G13147" s="8"/>
      <c r="J13147" s="8"/>
    </row>
    <row r="13148">
      <c r="C13148" s="15"/>
      <c r="E13148" s="8"/>
      <c r="G13148" s="8"/>
      <c r="J13148" s="8"/>
    </row>
    <row r="13149">
      <c r="C13149" s="15"/>
      <c r="E13149" s="8"/>
      <c r="G13149" s="8"/>
      <c r="J13149" s="8"/>
    </row>
    <row r="13150">
      <c r="C13150" s="15"/>
      <c r="E13150" s="8"/>
      <c r="G13150" s="8"/>
      <c r="J13150" s="8"/>
    </row>
    <row r="13151">
      <c r="C13151" s="15"/>
      <c r="E13151" s="8"/>
      <c r="G13151" s="8"/>
      <c r="J13151" s="8"/>
    </row>
    <row r="13152">
      <c r="C13152" s="15"/>
      <c r="E13152" s="8"/>
      <c r="G13152" s="8"/>
      <c r="J13152" s="8"/>
    </row>
    <row r="13153">
      <c r="C13153" s="15"/>
      <c r="E13153" s="8"/>
      <c r="G13153" s="8"/>
      <c r="J13153" s="8"/>
    </row>
    <row r="13154">
      <c r="C13154" s="15"/>
      <c r="E13154" s="8"/>
      <c r="G13154" s="8"/>
      <c r="J13154" s="8"/>
    </row>
    <row r="13155">
      <c r="C13155" s="15"/>
      <c r="E13155" s="8"/>
      <c r="G13155" s="8"/>
      <c r="J13155" s="8"/>
    </row>
    <row r="13156">
      <c r="C13156" s="15"/>
      <c r="E13156" s="8"/>
      <c r="G13156" s="8"/>
      <c r="J13156" s="8"/>
    </row>
    <row r="13157">
      <c r="C13157" s="15"/>
      <c r="E13157" s="8"/>
      <c r="G13157" s="8"/>
      <c r="J13157" s="8"/>
    </row>
    <row r="13158">
      <c r="C13158" s="15"/>
      <c r="E13158" s="8"/>
      <c r="G13158" s="8"/>
      <c r="J13158" s="8"/>
    </row>
    <row r="13159">
      <c r="C13159" s="15"/>
      <c r="E13159" s="8"/>
      <c r="G13159" s="8"/>
      <c r="J13159" s="8"/>
    </row>
    <row r="13160">
      <c r="C13160" s="15"/>
      <c r="E13160" s="8"/>
      <c r="G13160" s="8"/>
      <c r="J13160" s="8"/>
    </row>
    <row r="13161">
      <c r="C13161" s="15"/>
      <c r="E13161" s="8"/>
      <c r="G13161" s="8"/>
      <c r="J13161" s="8"/>
    </row>
    <row r="13162">
      <c r="C13162" s="15"/>
      <c r="E13162" s="8"/>
      <c r="G13162" s="8"/>
      <c r="J13162" s="8"/>
    </row>
    <row r="13163">
      <c r="C13163" s="15"/>
      <c r="E13163" s="8"/>
      <c r="G13163" s="8"/>
      <c r="J13163" s="8"/>
    </row>
    <row r="13164">
      <c r="C13164" s="15"/>
      <c r="E13164" s="8"/>
      <c r="G13164" s="8"/>
      <c r="J13164" s="8"/>
    </row>
    <row r="13165">
      <c r="C13165" s="15"/>
      <c r="E13165" s="8"/>
      <c r="G13165" s="8"/>
      <c r="J13165" s="8"/>
    </row>
    <row r="13166">
      <c r="C13166" s="15"/>
      <c r="E13166" s="8"/>
      <c r="G13166" s="8"/>
      <c r="J13166" s="8"/>
    </row>
    <row r="13167">
      <c r="C13167" s="15"/>
      <c r="E13167" s="8"/>
      <c r="G13167" s="8"/>
      <c r="J13167" s="8"/>
    </row>
    <row r="13168">
      <c r="C13168" s="15"/>
      <c r="E13168" s="8"/>
      <c r="G13168" s="8"/>
      <c r="J13168" s="8"/>
    </row>
    <row r="13169">
      <c r="C13169" s="15"/>
      <c r="E13169" s="8"/>
      <c r="G13169" s="8"/>
      <c r="J13169" s="8"/>
    </row>
    <row r="13170">
      <c r="C13170" s="15"/>
      <c r="E13170" s="8"/>
      <c r="G13170" s="8"/>
      <c r="J13170" s="8"/>
    </row>
    <row r="13171">
      <c r="C13171" s="15"/>
      <c r="E13171" s="8"/>
      <c r="G13171" s="8"/>
      <c r="J13171" s="8"/>
    </row>
    <row r="13172">
      <c r="C13172" s="15"/>
      <c r="E13172" s="8"/>
      <c r="G13172" s="8"/>
      <c r="J13172" s="8"/>
    </row>
    <row r="13173">
      <c r="C13173" s="15"/>
      <c r="E13173" s="8"/>
      <c r="G13173" s="8"/>
      <c r="J13173" s="8"/>
    </row>
    <row r="13174">
      <c r="C13174" s="15"/>
      <c r="E13174" s="8"/>
      <c r="G13174" s="8"/>
      <c r="J13174" s="8"/>
    </row>
    <row r="13175">
      <c r="C13175" s="15"/>
      <c r="E13175" s="8"/>
      <c r="G13175" s="8"/>
      <c r="J13175" s="8"/>
    </row>
    <row r="13176">
      <c r="C13176" s="15"/>
      <c r="E13176" s="8"/>
      <c r="G13176" s="8"/>
      <c r="J13176" s="8"/>
    </row>
    <row r="13177">
      <c r="C13177" s="15"/>
      <c r="E13177" s="8"/>
      <c r="G13177" s="8"/>
      <c r="J13177" s="8"/>
    </row>
    <row r="13178">
      <c r="C13178" s="15"/>
      <c r="E13178" s="8"/>
      <c r="G13178" s="8"/>
      <c r="J13178" s="8"/>
    </row>
    <row r="13179">
      <c r="C13179" s="15"/>
      <c r="E13179" s="8"/>
      <c r="G13179" s="8"/>
      <c r="J13179" s="8"/>
    </row>
    <row r="13180">
      <c r="C13180" s="15"/>
      <c r="E13180" s="8"/>
      <c r="G13180" s="8"/>
      <c r="J13180" s="8"/>
    </row>
    <row r="13181">
      <c r="C13181" s="15"/>
      <c r="E13181" s="8"/>
      <c r="G13181" s="8"/>
      <c r="J13181" s="8"/>
    </row>
    <row r="13182">
      <c r="C13182" s="15"/>
      <c r="E13182" s="8"/>
      <c r="G13182" s="8"/>
      <c r="J13182" s="8"/>
    </row>
    <row r="13183">
      <c r="C13183" s="15"/>
      <c r="E13183" s="8"/>
      <c r="G13183" s="8"/>
      <c r="J13183" s="8"/>
    </row>
    <row r="13184">
      <c r="C13184" s="15"/>
      <c r="E13184" s="8"/>
      <c r="G13184" s="8"/>
      <c r="J13184" s="8"/>
    </row>
    <row r="13185">
      <c r="C13185" s="15"/>
      <c r="E13185" s="8"/>
      <c r="G13185" s="8"/>
      <c r="J13185" s="8"/>
    </row>
    <row r="13186">
      <c r="C13186" s="15"/>
      <c r="E13186" s="8"/>
      <c r="G13186" s="8"/>
      <c r="J13186" s="8"/>
    </row>
    <row r="13187">
      <c r="C13187" s="15"/>
      <c r="E13187" s="8"/>
      <c r="G13187" s="8"/>
      <c r="J13187" s="8"/>
    </row>
    <row r="13188">
      <c r="C13188" s="15"/>
      <c r="E13188" s="8"/>
      <c r="G13188" s="8"/>
      <c r="J13188" s="8"/>
    </row>
    <row r="13189">
      <c r="C13189" s="15"/>
      <c r="E13189" s="8"/>
      <c r="G13189" s="8"/>
      <c r="J13189" s="8"/>
    </row>
    <row r="13190">
      <c r="C13190" s="15"/>
      <c r="E13190" s="8"/>
      <c r="G13190" s="8"/>
      <c r="J13190" s="8"/>
    </row>
    <row r="13191">
      <c r="C13191" s="15"/>
      <c r="E13191" s="8"/>
      <c r="G13191" s="8"/>
      <c r="J13191" s="8"/>
    </row>
    <row r="13192">
      <c r="C13192" s="15"/>
      <c r="E13192" s="8"/>
      <c r="G13192" s="8"/>
      <c r="J13192" s="8"/>
    </row>
    <row r="13193">
      <c r="C13193" s="15"/>
      <c r="E13193" s="8"/>
      <c r="G13193" s="8"/>
      <c r="J13193" s="8"/>
    </row>
    <row r="13194">
      <c r="C13194" s="15"/>
      <c r="E13194" s="8"/>
      <c r="G13194" s="8"/>
      <c r="J13194" s="8"/>
    </row>
    <row r="13195">
      <c r="C13195" s="15"/>
      <c r="E13195" s="8"/>
      <c r="G13195" s="8"/>
      <c r="J13195" s="8"/>
    </row>
    <row r="13196">
      <c r="C13196" s="15"/>
      <c r="E13196" s="8"/>
      <c r="G13196" s="8"/>
      <c r="J13196" s="8"/>
    </row>
    <row r="13197">
      <c r="C13197" s="15"/>
      <c r="E13197" s="8"/>
      <c r="G13197" s="8"/>
      <c r="J13197" s="8"/>
    </row>
    <row r="13198">
      <c r="C13198" s="15"/>
      <c r="E13198" s="8"/>
      <c r="G13198" s="8"/>
      <c r="J13198" s="8"/>
    </row>
    <row r="13199">
      <c r="C13199" s="15"/>
      <c r="E13199" s="8"/>
      <c r="G13199" s="8"/>
      <c r="J13199" s="8"/>
    </row>
    <row r="13200">
      <c r="C13200" s="15"/>
      <c r="E13200" s="8"/>
      <c r="G13200" s="8"/>
      <c r="J13200" s="8"/>
    </row>
    <row r="13201">
      <c r="C13201" s="15"/>
      <c r="E13201" s="8"/>
      <c r="G13201" s="8"/>
      <c r="J13201" s="8"/>
    </row>
    <row r="13202">
      <c r="C13202" s="15"/>
      <c r="E13202" s="8"/>
      <c r="G13202" s="8"/>
      <c r="J13202" s="8"/>
    </row>
    <row r="13203">
      <c r="C13203" s="15"/>
      <c r="E13203" s="8"/>
      <c r="G13203" s="8"/>
      <c r="J13203" s="8"/>
    </row>
    <row r="13204">
      <c r="C13204" s="15"/>
      <c r="E13204" s="8"/>
      <c r="G13204" s="8"/>
      <c r="J13204" s="8"/>
    </row>
    <row r="13205">
      <c r="C13205" s="15"/>
      <c r="E13205" s="8"/>
      <c r="G13205" s="8"/>
      <c r="J13205" s="8"/>
    </row>
    <row r="13206">
      <c r="C13206" s="15"/>
      <c r="E13206" s="8"/>
      <c r="G13206" s="8"/>
      <c r="J13206" s="8"/>
    </row>
    <row r="13207">
      <c r="C13207" s="15"/>
      <c r="E13207" s="8"/>
      <c r="G13207" s="8"/>
      <c r="J13207" s="8"/>
    </row>
    <row r="13208">
      <c r="C13208" s="15"/>
      <c r="E13208" s="8"/>
      <c r="G13208" s="8"/>
      <c r="J13208" s="8"/>
    </row>
    <row r="13209">
      <c r="C13209" s="15"/>
      <c r="E13209" s="8"/>
      <c r="G13209" s="8"/>
      <c r="J13209" s="8"/>
    </row>
    <row r="13210">
      <c r="C13210" s="15"/>
      <c r="E13210" s="8"/>
      <c r="G13210" s="8"/>
      <c r="J13210" s="8"/>
    </row>
    <row r="13211">
      <c r="C13211" s="15"/>
      <c r="E13211" s="8"/>
      <c r="G13211" s="8"/>
      <c r="J13211" s="8"/>
    </row>
    <row r="13212">
      <c r="C13212" s="15"/>
      <c r="E13212" s="8"/>
      <c r="G13212" s="8"/>
      <c r="J13212" s="8"/>
    </row>
    <row r="13213">
      <c r="C13213" s="15"/>
      <c r="E13213" s="8"/>
      <c r="G13213" s="8"/>
      <c r="J13213" s="8"/>
    </row>
    <row r="13214">
      <c r="C13214" s="15"/>
      <c r="E13214" s="8"/>
      <c r="G13214" s="8"/>
      <c r="J13214" s="8"/>
    </row>
    <row r="13215">
      <c r="C13215" s="15"/>
      <c r="E13215" s="8"/>
      <c r="G13215" s="8"/>
      <c r="J13215" s="8"/>
    </row>
    <row r="13216">
      <c r="C13216" s="15"/>
      <c r="E13216" s="8"/>
      <c r="G13216" s="8"/>
      <c r="J13216" s="8"/>
    </row>
    <row r="13217">
      <c r="C13217" s="15"/>
      <c r="E13217" s="8"/>
      <c r="G13217" s="8"/>
      <c r="J13217" s="8"/>
    </row>
    <row r="13218">
      <c r="C13218" s="15"/>
      <c r="E13218" s="8"/>
      <c r="G13218" s="8"/>
      <c r="J13218" s="8"/>
    </row>
    <row r="13219">
      <c r="C13219" s="15"/>
      <c r="E13219" s="8"/>
      <c r="G13219" s="8"/>
      <c r="J13219" s="8"/>
    </row>
    <row r="13220">
      <c r="C13220" s="15"/>
      <c r="E13220" s="8"/>
      <c r="G13220" s="8"/>
      <c r="J13220" s="8"/>
    </row>
    <row r="13221">
      <c r="C13221" s="15"/>
      <c r="E13221" s="8"/>
      <c r="G13221" s="8"/>
      <c r="J13221" s="8"/>
    </row>
    <row r="13222">
      <c r="C13222" s="15"/>
      <c r="E13222" s="8"/>
      <c r="G13222" s="8"/>
      <c r="J13222" s="8"/>
    </row>
    <row r="13223">
      <c r="C13223" s="15"/>
      <c r="E13223" s="8"/>
      <c r="G13223" s="8"/>
      <c r="J13223" s="8"/>
    </row>
    <row r="13224">
      <c r="C13224" s="15"/>
      <c r="E13224" s="8"/>
      <c r="G13224" s="8"/>
      <c r="J13224" s="8"/>
    </row>
    <row r="13225">
      <c r="C13225" s="15"/>
      <c r="E13225" s="8"/>
      <c r="G13225" s="8"/>
      <c r="J13225" s="8"/>
    </row>
    <row r="13226">
      <c r="C13226" s="15"/>
      <c r="E13226" s="8"/>
      <c r="G13226" s="8"/>
      <c r="J13226" s="8"/>
    </row>
    <row r="13227">
      <c r="C13227" s="15"/>
      <c r="E13227" s="8"/>
      <c r="G13227" s="8"/>
      <c r="J13227" s="8"/>
    </row>
    <row r="13228">
      <c r="C13228" s="15"/>
      <c r="E13228" s="8"/>
      <c r="G13228" s="8"/>
      <c r="J13228" s="8"/>
    </row>
    <row r="13229">
      <c r="C13229" s="15"/>
      <c r="E13229" s="8"/>
      <c r="G13229" s="8"/>
      <c r="J13229" s="8"/>
    </row>
    <row r="13230">
      <c r="C13230" s="15"/>
      <c r="E13230" s="8"/>
      <c r="G13230" s="8"/>
      <c r="J13230" s="8"/>
    </row>
    <row r="13231">
      <c r="C13231" s="15"/>
      <c r="E13231" s="8"/>
      <c r="G13231" s="8"/>
      <c r="J13231" s="8"/>
    </row>
    <row r="13232">
      <c r="C13232" s="15"/>
      <c r="E13232" s="8"/>
      <c r="G13232" s="8"/>
      <c r="J13232" s="8"/>
    </row>
    <row r="13233">
      <c r="C13233" s="15"/>
      <c r="E13233" s="8"/>
      <c r="G13233" s="8"/>
      <c r="J13233" s="8"/>
    </row>
    <row r="13234">
      <c r="C13234" s="15"/>
      <c r="E13234" s="8"/>
      <c r="G13234" s="8"/>
      <c r="J13234" s="8"/>
    </row>
    <row r="13235">
      <c r="C13235" s="15"/>
      <c r="E13235" s="8"/>
      <c r="G13235" s="8"/>
      <c r="J13235" s="8"/>
    </row>
    <row r="13236">
      <c r="C13236" s="15"/>
      <c r="E13236" s="8"/>
      <c r="G13236" s="8"/>
      <c r="J13236" s="8"/>
    </row>
    <row r="13237">
      <c r="C13237" s="15"/>
      <c r="E13237" s="8"/>
      <c r="G13237" s="8"/>
      <c r="J13237" s="8"/>
    </row>
    <row r="13238">
      <c r="C13238" s="15"/>
      <c r="E13238" s="8"/>
      <c r="G13238" s="8"/>
      <c r="J13238" s="8"/>
    </row>
    <row r="13239">
      <c r="C13239" s="15"/>
      <c r="E13239" s="8"/>
      <c r="G13239" s="8"/>
      <c r="J13239" s="8"/>
    </row>
    <row r="13240">
      <c r="C13240" s="15"/>
      <c r="E13240" s="8"/>
      <c r="G13240" s="8"/>
      <c r="J13240" s="8"/>
    </row>
    <row r="13241">
      <c r="C13241" s="15"/>
      <c r="E13241" s="8"/>
      <c r="G13241" s="8"/>
      <c r="J13241" s="8"/>
    </row>
    <row r="13242">
      <c r="C13242" s="15"/>
      <c r="E13242" s="8"/>
      <c r="G13242" s="8"/>
      <c r="J13242" s="8"/>
    </row>
    <row r="13243">
      <c r="C13243" s="15"/>
      <c r="E13243" s="8"/>
      <c r="G13243" s="8"/>
      <c r="J13243" s="8"/>
    </row>
    <row r="13244">
      <c r="C13244" s="15"/>
      <c r="E13244" s="8"/>
      <c r="G13244" s="8"/>
      <c r="J13244" s="8"/>
    </row>
    <row r="13245">
      <c r="C13245" s="15"/>
      <c r="E13245" s="8"/>
      <c r="G13245" s="8"/>
      <c r="J13245" s="8"/>
    </row>
    <row r="13246">
      <c r="C13246" s="15"/>
      <c r="E13246" s="8"/>
      <c r="G13246" s="8"/>
      <c r="J13246" s="8"/>
    </row>
    <row r="13247">
      <c r="C13247" s="15"/>
      <c r="E13247" s="8"/>
      <c r="G13247" s="8"/>
      <c r="J13247" s="8"/>
    </row>
    <row r="13248">
      <c r="C13248" s="15"/>
      <c r="E13248" s="8"/>
      <c r="G13248" s="8"/>
      <c r="J13248" s="8"/>
    </row>
    <row r="13249">
      <c r="C13249" s="15"/>
      <c r="E13249" s="8"/>
      <c r="G13249" s="8"/>
      <c r="J13249" s="8"/>
    </row>
    <row r="13250">
      <c r="C13250" s="15"/>
      <c r="E13250" s="8"/>
      <c r="G13250" s="8"/>
      <c r="J13250" s="8"/>
    </row>
    <row r="13251">
      <c r="C13251" s="15"/>
      <c r="E13251" s="8"/>
      <c r="G13251" s="8"/>
      <c r="J13251" s="8"/>
    </row>
    <row r="13252">
      <c r="C13252" s="15"/>
      <c r="E13252" s="8"/>
      <c r="G13252" s="8"/>
      <c r="J13252" s="8"/>
    </row>
    <row r="13253">
      <c r="C13253" s="15"/>
      <c r="E13253" s="8"/>
      <c r="G13253" s="8"/>
      <c r="J13253" s="8"/>
    </row>
    <row r="13254">
      <c r="C13254" s="15"/>
      <c r="E13254" s="8"/>
      <c r="G13254" s="8"/>
      <c r="J13254" s="8"/>
    </row>
    <row r="13255">
      <c r="C13255" s="15"/>
      <c r="E13255" s="8"/>
      <c r="G13255" s="8"/>
      <c r="J13255" s="8"/>
    </row>
    <row r="13256">
      <c r="C13256" s="15"/>
      <c r="E13256" s="8"/>
      <c r="G13256" s="8"/>
      <c r="J13256" s="8"/>
    </row>
    <row r="13257">
      <c r="C13257" s="15"/>
      <c r="E13257" s="8"/>
      <c r="G13257" s="8"/>
      <c r="J13257" s="8"/>
    </row>
    <row r="13258">
      <c r="C13258" s="15"/>
      <c r="E13258" s="8"/>
      <c r="G13258" s="8"/>
      <c r="J13258" s="8"/>
    </row>
    <row r="13259">
      <c r="C13259" s="15"/>
      <c r="E13259" s="8"/>
      <c r="G13259" s="8"/>
      <c r="J13259" s="8"/>
    </row>
    <row r="13260">
      <c r="C13260" s="15"/>
      <c r="E13260" s="8"/>
      <c r="G13260" s="8"/>
      <c r="J13260" s="8"/>
    </row>
    <row r="13261">
      <c r="C13261" s="15"/>
      <c r="E13261" s="8"/>
      <c r="G13261" s="8"/>
      <c r="J13261" s="8"/>
    </row>
    <row r="13262">
      <c r="C13262" s="15"/>
      <c r="E13262" s="8"/>
      <c r="G13262" s="8"/>
      <c r="J13262" s="8"/>
    </row>
    <row r="13263">
      <c r="C13263" s="15"/>
      <c r="E13263" s="8"/>
      <c r="G13263" s="8"/>
      <c r="J13263" s="8"/>
    </row>
    <row r="13264">
      <c r="C13264" s="15"/>
      <c r="E13264" s="8"/>
      <c r="G13264" s="8"/>
      <c r="J13264" s="8"/>
    </row>
    <row r="13265">
      <c r="C13265" s="15"/>
      <c r="E13265" s="8"/>
      <c r="G13265" s="8"/>
      <c r="J13265" s="8"/>
    </row>
    <row r="13266">
      <c r="C13266" s="15"/>
      <c r="E13266" s="8"/>
      <c r="G13266" s="8"/>
      <c r="J13266" s="8"/>
    </row>
    <row r="13267">
      <c r="C13267" s="15"/>
      <c r="E13267" s="8"/>
      <c r="G13267" s="8"/>
      <c r="J13267" s="8"/>
    </row>
    <row r="13268">
      <c r="C13268" s="15"/>
      <c r="E13268" s="8"/>
      <c r="G13268" s="8"/>
      <c r="J13268" s="8"/>
    </row>
    <row r="13269">
      <c r="C13269" s="15"/>
      <c r="E13269" s="8"/>
      <c r="G13269" s="8"/>
      <c r="J13269" s="8"/>
    </row>
    <row r="13270">
      <c r="C13270" s="15"/>
      <c r="E13270" s="8"/>
      <c r="G13270" s="8"/>
      <c r="J13270" s="8"/>
    </row>
    <row r="13271">
      <c r="C13271" s="15"/>
      <c r="E13271" s="8"/>
      <c r="G13271" s="8"/>
      <c r="J13271" s="8"/>
    </row>
    <row r="13272">
      <c r="C13272" s="15"/>
      <c r="E13272" s="8"/>
      <c r="G13272" s="8"/>
      <c r="J13272" s="8"/>
    </row>
    <row r="13273">
      <c r="C13273" s="15"/>
      <c r="E13273" s="8"/>
      <c r="G13273" s="8"/>
      <c r="J13273" s="8"/>
    </row>
    <row r="13274">
      <c r="C13274" s="15"/>
      <c r="E13274" s="8"/>
      <c r="G13274" s="8"/>
      <c r="J13274" s="8"/>
    </row>
    <row r="13275">
      <c r="C13275" s="15"/>
      <c r="E13275" s="8"/>
      <c r="G13275" s="8"/>
      <c r="J13275" s="8"/>
    </row>
    <row r="13276">
      <c r="C13276" s="15"/>
      <c r="E13276" s="8"/>
      <c r="G13276" s="8"/>
      <c r="J13276" s="8"/>
    </row>
    <row r="13277">
      <c r="C13277" s="15"/>
      <c r="E13277" s="8"/>
      <c r="G13277" s="8"/>
      <c r="J13277" s="8"/>
    </row>
    <row r="13278">
      <c r="C13278" s="15"/>
      <c r="E13278" s="8"/>
      <c r="G13278" s="8"/>
      <c r="J13278" s="8"/>
    </row>
    <row r="13279">
      <c r="C13279" s="15"/>
      <c r="E13279" s="8"/>
      <c r="G13279" s="8"/>
      <c r="J13279" s="8"/>
    </row>
    <row r="13280">
      <c r="C13280" s="15"/>
      <c r="E13280" s="8"/>
      <c r="G13280" s="8"/>
      <c r="J13280" s="8"/>
    </row>
    <row r="13281">
      <c r="C13281" s="15"/>
      <c r="E13281" s="8"/>
      <c r="G13281" s="8"/>
      <c r="J13281" s="8"/>
    </row>
    <row r="13282">
      <c r="C13282" s="15"/>
      <c r="E13282" s="8"/>
      <c r="G13282" s="8"/>
      <c r="J13282" s="8"/>
    </row>
    <row r="13283">
      <c r="C13283" s="15"/>
      <c r="E13283" s="8"/>
      <c r="G13283" s="8"/>
      <c r="J13283" s="8"/>
    </row>
    <row r="13284">
      <c r="C13284" s="15"/>
      <c r="E13284" s="8"/>
      <c r="G13284" s="8"/>
      <c r="J13284" s="8"/>
    </row>
    <row r="13285">
      <c r="C13285" s="15"/>
      <c r="E13285" s="8"/>
      <c r="G13285" s="8"/>
      <c r="J13285" s="8"/>
    </row>
    <row r="13286">
      <c r="C13286" s="15"/>
      <c r="E13286" s="8"/>
      <c r="G13286" s="8"/>
      <c r="J13286" s="8"/>
    </row>
    <row r="13287">
      <c r="C13287" s="15"/>
      <c r="E13287" s="8"/>
      <c r="G13287" s="8"/>
      <c r="J13287" s="8"/>
    </row>
    <row r="13288">
      <c r="C13288" s="15"/>
      <c r="E13288" s="8"/>
      <c r="G13288" s="8"/>
      <c r="J13288" s="8"/>
    </row>
    <row r="13289">
      <c r="C13289" s="15"/>
      <c r="E13289" s="8"/>
      <c r="G13289" s="8"/>
      <c r="J13289" s="8"/>
    </row>
    <row r="13290">
      <c r="C13290" s="15"/>
      <c r="E13290" s="8"/>
      <c r="G13290" s="8"/>
      <c r="J13290" s="8"/>
    </row>
    <row r="13291">
      <c r="C13291" s="15"/>
      <c r="E13291" s="8"/>
      <c r="G13291" s="8"/>
      <c r="J13291" s="8"/>
    </row>
    <row r="13292">
      <c r="C13292" s="15"/>
      <c r="E13292" s="8"/>
      <c r="G13292" s="8"/>
      <c r="J13292" s="8"/>
    </row>
    <row r="13293">
      <c r="C13293" s="15"/>
      <c r="E13293" s="8"/>
      <c r="G13293" s="8"/>
      <c r="J13293" s="8"/>
    </row>
    <row r="13294">
      <c r="C13294" s="15"/>
      <c r="E13294" s="8"/>
      <c r="G13294" s="8"/>
      <c r="J13294" s="8"/>
    </row>
    <row r="13295">
      <c r="C13295" s="15"/>
      <c r="E13295" s="8"/>
      <c r="G13295" s="8"/>
      <c r="J13295" s="8"/>
    </row>
    <row r="13296">
      <c r="C13296" s="15"/>
      <c r="E13296" s="8"/>
      <c r="G13296" s="8"/>
      <c r="J13296" s="8"/>
    </row>
    <row r="13297">
      <c r="C13297" s="15"/>
      <c r="E13297" s="8"/>
      <c r="G13297" s="8"/>
      <c r="J13297" s="8"/>
    </row>
    <row r="13298">
      <c r="C13298" s="15"/>
      <c r="E13298" s="8"/>
      <c r="G13298" s="8"/>
      <c r="J13298" s="8"/>
    </row>
    <row r="13299">
      <c r="C13299" s="15"/>
      <c r="E13299" s="8"/>
      <c r="G13299" s="8"/>
      <c r="J13299" s="8"/>
    </row>
    <row r="13300">
      <c r="C13300" s="15"/>
      <c r="E13300" s="8"/>
      <c r="G13300" s="8"/>
      <c r="J13300" s="8"/>
    </row>
    <row r="13301">
      <c r="C13301" s="15"/>
      <c r="E13301" s="8"/>
      <c r="G13301" s="8"/>
      <c r="J13301" s="8"/>
    </row>
    <row r="13302">
      <c r="C13302" s="15"/>
      <c r="E13302" s="8"/>
      <c r="G13302" s="8"/>
      <c r="J13302" s="8"/>
    </row>
    <row r="13303">
      <c r="C13303" s="15"/>
      <c r="E13303" s="8"/>
      <c r="G13303" s="8"/>
      <c r="J13303" s="8"/>
    </row>
    <row r="13304">
      <c r="C13304" s="15"/>
      <c r="E13304" s="8"/>
      <c r="G13304" s="8"/>
      <c r="J13304" s="8"/>
    </row>
    <row r="13305">
      <c r="C13305" s="15"/>
      <c r="E13305" s="8"/>
      <c r="G13305" s="8"/>
      <c r="J13305" s="8"/>
    </row>
    <row r="13306">
      <c r="C13306" s="15"/>
      <c r="E13306" s="8"/>
      <c r="G13306" s="8"/>
      <c r="J13306" s="8"/>
    </row>
    <row r="13307">
      <c r="C13307" s="15"/>
      <c r="E13307" s="8"/>
      <c r="G13307" s="8"/>
      <c r="J13307" s="8"/>
    </row>
    <row r="13308">
      <c r="C13308" s="15"/>
      <c r="E13308" s="8"/>
      <c r="G13308" s="8"/>
      <c r="J13308" s="8"/>
    </row>
    <row r="13309">
      <c r="C13309" s="15"/>
      <c r="E13309" s="8"/>
      <c r="G13309" s="8"/>
      <c r="J13309" s="8"/>
    </row>
    <row r="13310">
      <c r="C13310" s="15"/>
      <c r="E13310" s="8"/>
      <c r="G13310" s="8"/>
      <c r="J13310" s="8"/>
    </row>
    <row r="13311">
      <c r="C13311" s="15"/>
      <c r="E13311" s="8"/>
      <c r="G13311" s="8"/>
      <c r="J13311" s="8"/>
    </row>
    <row r="13312">
      <c r="C13312" s="15"/>
      <c r="E13312" s="8"/>
      <c r="G13312" s="8"/>
      <c r="J13312" s="8"/>
    </row>
    <row r="13313">
      <c r="C13313" s="15"/>
      <c r="E13313" s="8"/>
      <c r="G13313" s="8"/>
      <c r="J13313" s="8"/>
    </row>
    <row r="13314">
      <c r="C13314" s="15"/>
      <c r="E13314" s="8"/>
      <c r="G13314" s="8"/>
      <c r="J13314" s="8"/>
    </row>
    <row r="13315">
      <c r="C13315" s="15"/>
      <c r="E13315" s="8"/>
      <c r="G13315" s="8"/>
      <c r="J13315" s="8"/>
    </row>
    <row r="13316">
      <c r="C13316" s="15"/>
      <c r="E13316" s="8"/>
      <c r="G13316" s="8"/>
      <c r="J13316" s="8"/>
    </row>
    <row r="13317">
      <c r="C13317" s="15"/>
      <c r="E13317" s="8"/>
      <c r="G13317" s="8"/>
      <c r="J13317" s="8"/>
    </row>
    <row r="13318">
      <c r="C13318" s="15"/>
      <c r="E13318" s="8"/>
      <c r="G13318" s="8"/>
      <c r="J13318" s="8"/>
    </row>
    <row r="13319">
      <c r="C13319" s="15"/>
      <c r="E13319" s="8"/>
      <c r="G13319" s="8"/>
      <c r="J13319" s="8"/>
    </row>
    <row r="13320">
      <c r="C13320" s="15"/>
      <c r="E13320" s="8"/>
      <c r="G13320" s="8"/>
      <c r="J13320" s="8"/>
    </row>
    <row r="13321">
      <c r="C13321" s="15"/>
      <c r="E13321" s="8"/>
      <c r="G13321" s="8"/>
      <c r="J13321" s="8"/>
    </row>
    <row r="13322">
      <c r="C13322" s="15"/>
      <c r="E13322" s="8"/>
      <c r="G13322" s="8"/>
      <c r="J13322" s="8"/>
    </row>
    <row r="13323">
      <c r="C13323" s="15"/>
      <c r="E13323" s="8"/>
      <c r="G13323" s="8"/>
      <c r="J13323" s="8"/>
    </row>
    <row r="13324">
      <c r="C13324" s="15"/>
      <c r="E13324" s="8"/>
      <c r="G13324" s="8"/>
      <c r="J13324" s="8"/>
    </row>
    <row r="13325">
      <c r="C13325" s="15"/>
      <c r="E13325" s="8"/>
      <c r="G13325" s="8"/>
      <c r="J13325" s="8"/>
    </row>
    <row r="13326">
      <c r="C13326" s="15"/>
      <c r="E13326" s="8"/>
      <c r="G13326" s="8"/>
      <c r="J13326" s="8"/>
    </row>
    <row r="13327">
      <c r="C13327" s="15"/>
      <c r="E13327" s="8"/>
      <c r="G13327" s="8"/>
      <c r="J13327" s="8"/>
    </row>
    <row r="13328">
      <c r="C13328" s="15"/>
      <c r="E13328" s="8"/>
      <c r="G13328" s="8"/>
      <c r="J13328" s="8"/>
    </row>
    <row r="13329">
      <c r="C13329" s="15"/>
      <c r="E13329" s="8"/>
      <c r="G13329" s="8"/>
      <c r="J13329" s="8"/>
    </row>
    <row r="13330">
      <c r="C13330" s="15"/>
      <c r="E13330" s="8"/>
      <c r="G13330" s="8"/>
      <c r="J13330" s="8"/>
    </row>
    <row r="13331">
      <c r="C13331" s="15"/>
      <c r="E13331" s="8"/>
      <c r="G13331" s="8"/>
      <c r="J13331" s="8"/>
    </row>
    <row r="13332">
      <c r="C13332" s="15"/>
      <c r="E13332" s="8"/>
      <c r="G13332" s="8"/>
      <c r="J13332" s="8"/>
    </row>
    <row r="13333">
      <c r="C13333" s="15"/>
      <c r="E13333" s="8"/>
      <c r="G13333" s="8"/>
      <c r="J13333" s="8"/>
    </row>
    <row r="13334">
      <c r="C13334" s="15"/>
      <c r="E13334" s="8"/>
      <c r="G13334" s="8"/>
      <c r="J13334" s="8"/>
    </row>
    <row r="13335">
      <c r="C13335" s="15"/>
      <c r="E13335" s="8"/>
      <c r="G13335" s="8"/>
      <c r="J13335" s="8"/>
    </row>
    <row r="13336">
      <c r="C13336" s="15"/>
      <c r="E13336" s="8"/>
      <c r="G13336" s="8"/>
      <c r="J13336" s="8"/>
    </row>
    <row r="13337">
      <c r="C13337" s="15"/>
      <c r="E13337" s="8"/>
      <c r="G13337" s="8"/>
      <c r="J13337" s="8"/>
    </row>
    <row r="13338">
      <c r="C13338" s="15"/>
      <c r="E13338" s="8"/>
      <c r="G13338" s="8"/>
      <c r="J13338" s="8"/>
    </row>
    <row r="13339">
      <c r="C13339" s="15"/>
      <c r="E13339" s="8"/>
      <c r="G13339" s="8"/>
      <c r="J13339" s="8"/>
    </row>
    <row r="13340">
      <c r="C13340" s="15"/>
      <c r="E13340" s="8"/>
      <c r="G13340" s="8"/>
      <c r="J13340" s="8"/>
    </row>
    <row r="13341">
      <c r="C13341" s="15"/>
      <c r="E13341" s="8"/>
      <c r="G13341" s="8"/>
      <c r="J13341" s="8"/>
    </row>
    <row r="13342">
      <c r="C13342" s="15"/>
      <c r="E13342" s="8"/>
      <c r="G13342" s="8"/>
      <c r="J13342" s="8"/>
    </row>
    <row r="13343">
      <c r="C13343" s="15"/>
      <c r="E13343" s="8"/>
      <c r="G13343" s="8"/>
      <c r="J13343" s="8"/>
    </row>
    <row r="13344">
      <c r="C13344" s="15"/>
      <c r="E13344" s="8"/>
      <c r="G13344" s="8"/>
      <c r="J13344" s="8"/>
    </row>
    <row r="13345">
      <c r="C13345" s="15"/>
      <c r="E13345" s="8"/>
      <c r="G13345" s="8"/>
      <c r="J13345" s="8"/>
    </row>
    <row r="13346">
      <c r="C13346" s="15"/>
      <c r="E13346" s="8"/>
      <c r="G13346" s="8"/>
      <c r="J13346" s="8"/>
    </row>
    <row r="13347">
      <c r="C13347" s="15"/>
      <c r="E13347" s="8"/>
      <c r="G13347" s="8"/>
      <c r="J13347" s="8"/>
    </row>
    <row r="13348">
      <c r="C13348" s="15"/>
      <c r="E13348" s="8"/>
      <c r="G13348" s="8"/>
      <c r="J13348" s="8"/>
    </row>
    <row r="13349">
      <c r="C13349" s="15"/>
      <c r="E13349" s="8"/>
      <c r="G13349" s="8"/>
      <c r="J13349" s="8"/>
    </row>
    <row r="13350">
      <c r="C13350" s="15"/>
      <c r="E13350" s="8"/>
      <c r="G13350" s="8"/>
      <c r="J13350" s="8"/>
    </row>
    <row r="13351">
      <c r="C13351" s="15"/>
      <c r="E13351" s="8"/>
      <c r="G13351" s="8"/>
      <c r="J13351" s="8"/>
    </row>
    <row r="13352">
      <c r="C13352" s="15"/>
      <c r="E13352" s="8"/>
      <c r="G13352" s="8"/>
      <c r="J13352" s="8"/>
    </row>
    <row r="13353">
      <c r="C13353" s="15"/>
      <c r="E13353" s="8"/>
      <c r="G13353" s="8"/>
      <c r="J13353" s="8"/>
    </row>
    <row r="13354">
      <c r="C13354" s="15"/>
      <c r="E13354" s="8"/>
      <c r="G13354" s="8"/>
      <c r="J13354" s="8"/>
    </row>
    <row r="13355">
      <c r="C13355" s="15"/>
      <c r="E13355" s="8"/>
      <c r="G13355" s="8"/>
      <c r="J13355" s="8"/>
    </row>
    <row r="13356">
      <c r="C13356" s="15"/>
      <c r="E13356" s="8"/>
      <c r="G13356" s="8"/>
      <c r="J13356" s="8"/>
    </row>
    <row r="13357">
      <c r="C13357" s="15"/>
      <c r="E13357" s="8"/>
      <c r="G13357" s="8"/>
      <c r="J13357" s="8"/>
    </row>
    <row r="13358">
      <c r="C13358" s="15"/>
      <c r="E13358" s="8"/>
      <c r="G13358" s="8"/>
      <c r="J13358" s="8"/>
    </row>
    <row r="13359">
      <c r="C13359" s="15"/>
      <c r="E13359" s="8"/>
      <c r="G13359" s="8"/>
      <c r="J13359" s="8"/>
    </row>
    <row r="13360">
      <c r="C13360" s="15"/>
      <c r="E13360" s="8"/>
      <c r="G13360" s="8"/>
      <c r="J13360" s="8"/>
    </row>
    <row r="13361">
      <c r="C13361" s="15"/>
      <c r="E13361" s="8"/>
      <c r="G13361" s="8"/>
      <c r="J13361" s="8"/>
    </row>
    <row r="13362">
      <c r="C13362" s="15"/>
      <c r="E13362" s="8"/>
      <c r="G13362" s="8"/>
      <c r="J13362" s="8"/>
    </row>
    <row r="13363">
      <c r="C13363" s="15"/>
      <c r="E13363" s="8"/>
      <c r="G13363" s="8"/>
      <c r="J13363" s="8"/>
    </row>
    <row r="13364">
      <c r="C13364" s="15"/>
      <c r="E13364" s="8"/>
      <c r="G13364" s="8"/>
      <c r="J13364" s="8"/>
    </row>
    <row r="13365">
      <c r="C13365" s="15"/>
      <c r="E13365" s="8"/>
      <c r="G13365" s="8"/>
      <c r="J13365" s="8"/>
    </row>
    <row r="13366">
      <c r="C13366" s="15"/>
      <c r="E13366" s="8"/>
      <c r="G13366" s="8"/>
      <c r="J13366" s="8"/>
    </row>
    <row r="13367">
      <c r="C13367" s="15"/>
      <c r="E13367" s="8"/>
      <c r="G13367" s="8"/>
      <c r="J13367" s="8"/>
    </row>
    <row r="13368">
      <c r="C13368" s="15"/>
      <c r="E13368" s="8"/>
      <c r="G13368" s="8"/>
      <c r="J13368" s="8"/>
    </row>
    <row r="13369">
      <c r="C13369" s="15"/>
      <c r="E13369" s="8"/>
      <c r="G13369" s="8"/>
      <c r="J13369" s="8"/>
    </row>
    <row r="13370">
      <c r="C13370" s="15"/>
      <c r="E13370" s="8"/>
      <c r="G13370" s="8"/>
      <c r="J13370" s="8"/>
    </row>
    <row r="13371">
      <c r="C13371" s="15"/>
      <c r="E13371" s="8"/>
      <c r="G13371" s="8"/>
      <c r="J13371" s="8"/>
    </row>
    <row r="13372">
      <c r="C13372" s="15"/>
      <c r="E13372" s="8"/>
      <c r="G13372" s="8"/>
      <c r="J13372" s="8"/>
    </row>
    <row r="13373">
      <c r="C13373" s="15"/>
      <c r="E13373" s="8"/>
      <c r="G13373" s="8"/>
      <c r="J13373" s="8"/>
    </row>
    <row r="13374">
      <c r="C13374" s="15"/>
      <c r="E13374" s="8"/>
      <c r="G13374" s="8"/>
      <c r="J13374" s="8"/>
    </row>
    <row r="13375">
      <c r="C13375" s="15"/>
      <c r="E13375" s="8"/>
      <c r="G13375" s="8"/>
      <c r="J13375" s="8"/>
    </row>
    <row r="13376">
      <c r="C13376" s="15"/>
      <c r="E13376" s="8"/>
      <c r="G13376" s="8"/>
      <c r="J13376" s="8"/>
    </row>
    <row r="13377">
      <c r="C13377" s="15"/>
      <c r="E13377" s="8"/>
      <c r="G13377" s="8"/>
      <c r="J13377" s="8"/>
    </row>
    <row r="13378">
      <c r="C13378" s="15"/>
      <c r="E13378" s="8"/>
      <c r="G13378" s="8"/>
      <c r="J13378" s="8"/>
    </row>
    <row r="13379">
      <c r="C13379" s="15"/>
      <c r="E13379" s="8"/>
      <c r="G13379" s="8"/>
      <c r="J13379" s="8"/>
    </row>
    <row r="13380">
      <c r="C13380" s="15"/>
      <c r="E13380" s="8"/>
      <c r="G13380" s="8"/>
      <c r="J13380" s="8"/>
    </row>
    <row r="13381">
      <c r="C13381" s="15"/>
      <c r="E13381" s="8"/>
      <c r="G13381" s="8"/>
      <c r="J13381" s="8"/>
    </row>
    <row r="13382">
      <c r="C13382" s="15"/>
      <c r="E13382" s="8"/>
      <c r="G13382" s="8"/>
      <c r="J13382" s="8"/>
    </row>
    <row r="13383">
      <c r="C13383" s="15"/>
      <c r="E13383" s="8"/>
      <c r="G13383" s="8"/>
      <c r="J13383" s="8"/>
    </row>
    <row r="13384">
      <c r="C13384" s="15"/>
      <c r="E13384" s="8"/>
      <c r="G13384" s="8"/>
      <c r="J13384" s="8"/>
    </row>
    <row r="13385">
      <c r="C13385" s="15"/>
      <c r="E13385" s="8"/>
      <c r="G13385" s="8"/>
      <c r="J13385" s="8"/>
    </row>
    <row r="13386">
      <c r="C13386" s="15"/>
      <c r="E13386" s="8"/>
      <c r="G13386" s="8"/>
      <c r="J13386" s="8"/>
    </row>
    <row r="13387">
      <c r="C13387" s="15"/>
      <c r="E13387" s="8"/>
      <c r="G13387" s="8"/>
      <c r="J13387" s="8"/>
    </row>
    <row r="13388">
      <c r="C13388" s="15"/>
      <c r="E13388" s="8"/>
      <c r="G13388" s="8"/>
      <c r="J13388" s="8"/>
    </row>
    <row r="13389">
      <c r="C13389" s="15"/>
      <c r="E13389" s="8"/>
      <c r="G13389" s="8"/>
      <c r="J13389" s="8"/>
    </row>
    <row r="13390">
      <c r="C13390" s="15"/>
      <c r="E13390" s="8"/>
      <c r="G13390" s="8"/>
      <c r="J13390" s="8"/>
    </row>
    <row r="13391">
      <c r="C13391" s="15"/>
      <c r="E13391" s="8"/>
      <c r="G13391" s="8"/>
      <c r="J13391" s="8"/>
    </row>
    <row r="13392">
      <c r="C13392" s="15"/>
      <c r="E13392" s="8"/>
      <c r="G13392" s="8"/>
      <c r="J13392" s="8"/>
    </row>
    <row r="13393">
      <c r="C13393" s="15"/>
      <c r="E13393" s="8"/>
      <c r="G13393" s="8"/>
      <c r="J13393" s="8"/>
    </row>
    <row r="13394">
      <c r="C13394" s="15"/>
      <c r="E13394" s="8"/>
      <c r="G13394" s="8"/>
      <c r="J13394" s="8"/>
    </row>
    <row r="13395">
      <c r="C13395" s="15"/>
      <c r="E13395" s="8"/>
      <c r="G13395" s="8"/>
      <c r="J13395" s="8"/>
    </row>
    <row r="13396">
      <c r="C13396" s="15"/>
      <c r="E13396" s="8"/>
      <c r="G13396" s="8"/>
      <c r="J13396" s="8"/>
    </row>
    <row r="13397">
      <c r="C13397" s="15"/>
      <c r="E13397" s="8"/>
      <c r="G13397" s="8"/>
      <c r="J13397" s="8"/>
    </row>
    <row r="13398">
      <c r="C13398" s="15"/>
      <c r="E13398" s="8"/>
      <c r="G13398" s="8"/>
      <c r="J13398" s="8"/>
    </row>
    <row r="13399">
      <c r="C13399" s="15"/>
      <c r="E13399" s="8"/>
      <c r="G13399" s="8"/>
      <c r="J13399" s="8"/>
    </row>
    <row r="13400">
      <c r="C13400" s="15"/>
      <c r="E13400" s="8"/>
      <c r="G13400" s="8"/>
      <c r="J13400" s="8"/>
    </row>
    <row r="13401">
      <c r="C13401" s="15"/>
      <c r="E13401" s="8"/>
      <c r="G13401" s="8"/>
      <c r="J13401" s="8"/>
    </row>
    <row r="13402">
      <c r="C13402" s="15"/>
      <c r="E13402" s="8"/>
      <c r="G13402" s="8"/>
      <c r="J13402" s="8"/>
    </row>
    <row r="13403">
      <c r="C13403" s="15"/>
      <c r="E13403" s="8"/>
      <c r="G13403" s="8"/>
      <c r="J13403" s="8"/>
    </row>
    <row r="13404">
      <c r="C13404" s="15"/>
      <c r="E13404" s="8"/>
      <c r="G13404" s="8"/>
      <c r="J13404" s="8"/>
    </row>
    <row r="13405">
      <c r="C13405" s="15"/>
      <c r="E13405" s="8"/>
      <c r="G13405" s="8"/>
      <c r="J13405" s="8"/>
    </row>
    <row r="13406">
      <c r="C13406" s="15"/>
      <c r="E13406" s="8"/>
      <c r="G13406" s="8"/>
      <c r="J13406" s="8"/>
    </row>
    <row r="13407">
      <c r="C13407" s="15"/>
      <c r="E13407" s="8"/>
      <c r="G13407" s="8"/>
      <c r="J13407" s="8"/>
    </row>
    <row r="13408">
      <c r="C13408" s="15"/>
      <c r="E13408" s="8"/>
      <c r="G13408" s="8"/>
      <c r="J13408" s="8"/>
    </row>
    <row r="13409">
      <c r="C13409" s="15"/>
      <c r="E13409" s="8"/>
      <c r="G13409" s="8"/>
      <c r="J13409" s="8"/>
    </row>
    <row r="13410">
      <c r="C13410" s="15"/>
      <c r="E13410" s="8"/>
      <c r="G13410" s="8"/>
      <c r="J13410" s="8"/>
    </row>
    <row r="13411">
      <c r="C13411" s="15"/>
      <c r="E13411" s="8"/>
      <c r="G13411" s="8"/>
      <c r="J13411" s="8"/>
    </row>
    <row r="13412">
      <c r="C13412" s="15"/>
      <c r="E13412" s="8"/>
      <c r="G13412" s="8"/>
      <c r="J13412" s="8"/>
    </row>
    <row r="13413">
      <c r="C13413" s="15"/>
      <c r="E13413" s="8"/>
      <c r="G13413" s="8"/>
      <c r="J13413" s="8"/>
    </row>
    <row r="13414">
      <c r="C13414" s="15"/>
      <c r="E13414" s="8"/>
      <c r="G13414" s="8"/>
      <c r="J13414" s="8"/>
    </row>
    <row r="13415">
      <c r="C13415" s="15"/>
      <c r="E13415" s="8"/>
      <c r="G13415" s="8"/>
      <c r="J13415" s="8"/>
    </row>
    <row r="13416">
      <c r="C13416" s="15"/>
      <c r="E13416" s="8"/>
      <c r="G13416" s="8"/>
      <c r="J13416" s="8"/>
    </row>
    <row r="13417">
      <c r="C13417" s="15"/>
      <c r="E13417" s="8"/>
      <c r="G13417" s="8"/>
      <c r="J13417" s="8"/>
    </row>
    <row r="13418">
      <c r="C13418" s="15"/>
      <c r="E13418" s="8"/>
      <c r="G13418" s="8"/>
      <c r="J13418" s="8"/>
    </row>
    <row r="13419">
      <c r="C13419" s="15"/>
      <c r="E13419" s="8"/>
      <c r="G13419" s="8"/>
      <c r="J13419" s="8"/>
    </row>
    <row r="13420">
      <c r="C13420" s="15"/>
      <c r="E13420" s="8"/>
      <c r="G13420" s="8"/>
      <c r="J13420" s="8"/>
    </row>
    <row r="13421">
      <c r="C13421" s="15"/>
      <c r="E13421" s="8"/>
      <c r="G13421" s="8"/>
      <c r="J13421" s="8"/>
    </row>
    <row r="13422">
      <c r="C13422" s="15"/>
      <c r="E13422" s="8"/>
      <c r="G13422" s="8"/>
      <c r="J13422" s="8"/>
    </row>
    <row r="13423">
      <c r="C13423" s="15"/>
      <c r="E13423" s="8"/>
      <c r="G13423" s="8"/>
      <c r="J13423" s="8"/>
    </row>
    <row r="13424">
      <c r="C13424" s="15"/>
      <c r="E13424" s="8"/>
      <c r="G13424" s="8"/>
      <c r="J13424" s="8"/>
    </row>
    <row r="13425">
      <c r="C13425" s="15"/>
      <c r="E13425" s="8"/>
      <c r="G13425" s="8"/>
      <c r="J13425" s="8"/>
    </row>
    <row r="13426">
      <c r="C13426" s="15"/>
      <c r="E13426" s="8"/>
      <c r="G13426" s="8"/>
      <c r="J13426" s="8"/>
    </row>
    <row r="13427">
      <c r="C13427" s="15"/>
      <c r="E13427" s="8"/>
      <c r="G13427" s="8"/>
      <c r="J13427" s="8"/>
    </row>
    <row r="13428">
      <c r="C13428" s="15"/>
      <c r="E13428" s="8"/>
      <c r="G13428" s="8"/>
      <c r="J13428" s="8"/>
    </row>
    <row r="13429">
      <c r="C13429" s="15"/>
      <c r="E13429" s="8"/>
      <c r="G13429" s="8"/>
      <c r="J13429" s="8"/>
    </row>
    <row r="13430">
      <c r="C13430" s="15"/>
      <c r="E13430" s="8"/>
      <c r="G13430" s="8"/>
      <c r="J13430" s="8"/>
    </row>
    <row r="13431">
      <c r="C13431" s="15"/>
      <c r="E13431" s="8"/>
      <c r="G13431" s="8"/>
      <c r="J13431" s="8"/>
    </row>
    <row r="13432">
      <c r="C13432" s="15"/>
      <c r="E13432" s="8"/>
      <c r="G13432" s="8"/>
      <c r="J13432" s="8"/>
    </row>
    <row r="13433">
      <c r="C13433" s="15"/>
      <c r="E13433" s="8"/>
      <c r="G13433" s="8"/>
      <c r="J13433" s="8"/>
    </row>
    <row r="13434">
      <c r="C13434" s="15"/>
      <c r="E13434" s="8"/>
      <c r="G13434" s="8"/>
      <c r="J13434" s="8"/>
    </row>
    <row r="13435">
      <c r="C13435" s="15"/>
      <c r="E13435" s="8"/>
      <c r="G13435" s="8"/>
      <c r="J13435" s="8"/>
    </row>
    <row r="13436">
      <c r="C13436" s="15"/>
      <c r="E13436" s="8"/>
      <c r="G13436" s="8"/>
      <c r="J13436" s="8"/>
    </row>
    <row r="13437">
      <c r="C13437" s="15"/>
      <c r="E13437" s="8"/>
      <c r="G13437" s="8"/>
      <c r="J13437" s="8"/>
    </row>
    <row r="13438">
      <c r="C13438" s="15"/>
      <c r="E13438" s="8"/>
      <c r="G13438" s="8"/>
      <c r="J13438" s="8"/>
    </row>
    <row r="13439">
      <c r="C13439" s="15"/>
      <c r="E13439" s="8"/>
      <c r="G13439" s="8"/>
      <c r="J13439" s="8"/>
    </row>
    <row r="13440">
      <c r="C13440" s="15"/>
      <c r="E13440" s="8"/>
      <c r="G13440" s="8"/>
      <c r="J13440" s="8"/>
    </row>
    <row r="13441">
      <c r="C13441" s="15"/>
      <c r="E13441" s="8"/>
      <c r="G13441" s="8"/>
      <c r="J13441" s="8"/>
    </row>
    <row r="13442">
      <c r="C13442" s="15"/>
      <c r="E13442" s="8"/>
      <c r="G13442" s="8"/>
      <c r="J13442" s="8"/>
    </row>
    <row r="13443">
      <c r="C13443" s="15"/>
      <c r="E13443" s="8"/>
      <c r="G13443" s="8"/>
      <c r="J13443" s="8"/>
    </row>
    <row r="13444">
      <c r="C13444" s="15"/>
      <c r="E13444" s="8"/>
      <c r="G13444" s="8"/>
      <c r="J13444" s="8"/>
    </row>
    <row r="13445">
      <c r="C13445" s="15"/>
      <c r="E13445" s="8"/>
      <c r="G13445" s="8"/>
      <c r="J13445" s="8"/>
    </row>
    <row r="13446">
      <c r="C13446" s="15"/>
      <c r="E13446" s="8"/>
      <c r="G13446" s="8"/>
      <c r="J13446" s="8"/>
    </row>
    <row r="13447">
      <c r="C13447" s="15"/>
      <c r="E13447" s="8"/>
      <c r="G13447" s="8"/>
      <c r="J13447" s="8"/>
    </row>
    <row r="13448">
      <c r="C13448" s="15"/>
      <c r="E13448" s="8"/>
      <c r="G13448" s="8"/>
      <c r="J13448" s="8"/>
    </row>
    <row r="13449">
      <c r="C13449" s="15"/>
      <c r="E13449" s="8"/>
      <c r="G13449" s="8"/>
      <c r="J13449" s="8"/>
    </row>
    <row r="13450">
      <c r="C13450" s="15"/>
      <c r="E13450" s="8"/>
      <c r="G13450" s="8"/>
      <c r="J13450" s="8"/>
    </row>
    <row r="13451">
      <c r="C13451" s="15"/>
      <c r="E13451" s="8"/>
      <c r="G13451" s="8"/>
      <c r="J13451" s="8"/>
    </row>
    <row r="13452">
      <c r="C13452" s="15"/>
      <c r="E13452" s="8"/>
      <c r="G13452" s="8"/>
      <c r="J13452" s="8"/>
    </row>
    <row r="13453">
      <c r="C13453" s="15"/>
      <c r="E13453" s="8"/>
      <c r="G13453" s="8"/>
      <c r="J13453" s="8"/>
    </row>
    <row r="13454">
      <c r="C13454" s="15"/>
      <c r="E13454" s="8"/>
      <c r="G13454" s="8"/>
      <c r="J13454" s="8"/>
    </row>
    <row r="13455">
      <c r="C13455" s="15"/>
      <c r="E13455" s="8"/>
      <c r="G13455" s="8"/>
      <c r="J13455" s="8"/>
    </row>
    <row r="13456">
      <c r="C13456" s="15"/>
      <c r="E13456" s="8"/>
      <c r="G13456" s="8"/>
      <c r="J13456" s="8"/>
    </row>
    <row r="13457">
      <c r="C13457" s="15"/>
      <c r="E13457" s="8"/>
      <c r="G13457" s="8"/>
      <c r="J13457" s="8"/>
    </row>
    <row r="13458">
      <c r="C13458" s="15"/>
      <c r="E13458" s="8"/>
      <c r="G13458" s="8"/>
      <c r="J13458" s="8"/>
    </row>
    <row r="13459">
      <c r="C13459" s="15"/>
      <c r="E13459" s="8"/>
      <c r="G13459" s="8"/>
      <c r="J13459" s="8"/>
    </row>
    <row r="13460">
      <c r="C13460" s="15"/>
      <c r="E13460" s="8"/>
      <c r="G13460" s="8"/>
      <c r="J13460" s="8"/>
    </row>
    <row r="13461">
      <c r="C13461" s="15"/>
      <c r="E13461" s="8"/>
      <c r="G13461" s="8"/>
      <c r="J13461" s="8"/>
    </row>
    <row r="13462">
      <c r="C13462" s="15"/>
      <c r="E13462" s="8"/>
      <c r="G13462" s="8"/>
      <c r="J13462" s="8"/>
    </row>
    <row r="13463">
      <c r="C13463" s="15"/>
      <c r="E13463" s="8"/>
      <c r="G13463" s="8"/>
      <c r="J13463" s="8"/>
    </row>
    <row r="13464">
      <c r="C13464" s="15"/>
      <c r="E13464" s="8"/>
      <c r="G13464" s="8"/>
      <c r="J13464" s="8"/>
    </row>
    <row r="13465">
      <c r="C13465" s="15"/>
      <c r="E13465" s="8"/>
      <c r="G13465" s="8"/>
      <c r="J13465" s="8"/>
    </row>
    <row r="13466">
      <c r="C13466" s="15"/>
      <c r="E13466" s="8"/>
      <c r="G13466" s="8"/>
      <c r="J13466" s="8"/>
    </row>
    <row r="13467">
      <c r="C13467" s="15"/>
      <c r="E13467" s="8"/>
      <c r="G13467" s="8"/>
      <c r="J13467" s="8"/>
    </row>
    <row r="13468">
      <c r="C13468" s="15"/>
      <c r="E13468" s="8"/>
      <c r="G13468" s="8"/>
      <c r="J13468" s="8"/>
    </row>
    <row r="13469">
      <c r="C13469" s="15"/>
      <c r="E13469" s="8"/>
      <c r="G13469" s="8"/>
      <c r="J13469" s="8"/>
    </row>
    <row r="13470">
      <c r="C13470" s="15"/>
      <c r="E13470" s="8"/>
      <c r="G13470" s="8"/>
      <c r="J13470" s="8"/>
    </row>
    <row r="13471">
      <c r="C13471" s="15"/>
      <c r="E13471" s="8"/>
      <c r="G13471" s="8"/>
      <c r="J13471" s="8"/>
    </row>
    <row r="13472">
      <c r="C13472" s="15"/>
      <c r="E13472" s="8"/>
      <c r="G13472" s="8"/>
      <c r="J13472" s="8"/>
    </row>
    <row r="13473">
      <c r="C13473" s="15"/>
      <c r="E13473" s="8"/>
      <c r="G13473" s="8"/>
      <c r="J13473" s="8"/>
    </row>
    <row r="13474">
      <c r="C13474" s="15"/>
      <c r="E13474" s="8"/>
      <c r="G13474" s="8"/>
      <c r="J13474" s="8"/>
    </row>
    <row r="13475">
      <c r="C13475" s="15"/>
      <c r="E13475" s="8"/>
      <c r="G13475" s="8"/>
      <c r="J13475" s="8"/>
    </row>
    <row r="13476">
      <c r="C13476" s="15"/>
      <c r="E13476" s="8"/>
      <c r="G13476" s="8"/>
      <c r="J13476" s="8"/>
    </row>
    <row r="13477">
      <c r="C13477" s="15"/>
      <c r="E13477" s="8"/>
      <c r="G13477" s="8"/>
      <c r="J13477" s="8"/>
    </row>
    <row r="13478">
      <c r="C13478" s="15"/>
      <c r="E13478" s="8"/>
      <c r="G13478" s="8"/>
      <c r="J13478" s="8"/>
    </row>
    <row r="13479">
      <c r="C13479" s="15"/>
      <c r="E13479" s="8"/>
      <c r="G13479" s="8"/>
      <c r="J13479" s="8"/>
    </row>
    <row r="13480">
      <c r="C13480" s="15"/>
      <c r="E13480" s="8"/>
      <c r="G13480" s="8"/>
      <c r="J13480" s="8"/>
    </row>
    <row r="13481">
      <c r="C13481" s="15"/>
      <c r="E13481" s="8"/>
      <c r="G13481" s="8"/>
      <c r="J13481" s="8"/>
    </row>
    <row r="13482">
      <c r="C13482" s="15"/>
      <c r="E13482" s="8"/>
      <c r="G13482" s="8"/>
      <c r="J13482" s="8"/>
    </row>
    <row r="13483">
      <c r="C13483" s="15"/>
      <c r="E13483" s="8"/>
      <c r="G13483" s="8"/>
      <c r="J13483" s="8"/>
    </row>
    <row r="13484">
      <c r="C13484" s="15"/>
      <c r="E13484" s="8"/>
      <c r="G13484" s="8"/>
      <c r="J13484" s="8"/>
    </row>
    <row r="13485">
      <c r="C13485" s="15"/>
      <c r="E13485" s="8"/>
      <c r="G13485" s="8"/>
      <c r="J13485" s="8"/>
    </row>
    <row r="13486">
      <c r="C13486" s="15"/>
      <c r="E13486" s="8"/>
      <c r="G13486" s="8"/>
      <c r="J13486" s="8"/>
    </row>
    <row r="13487">
      <c r="C13487" s="15"/>
      <c r="E13487" s="8"/>
      <c r="G13487" s="8"/>
      <c r="J13487" s="8"/>
    </row>
    <row r="13488">
      <c r="C13488" s="15"/>
      <c r="E13488" s="8"/>
      <c r="G13488" s="8"/>
      <c r="J13488" s="8"/>
    </row>
    <row r="13489">
      <c r="C13489" s="15"/>
      <c r="E13489" s="8"/>
      <c r="G13489" s="8"/>
      <c r="J13489" s="8"/>
    </row>
    <row r="13490">
      <c r="C13490" s="15"/>
      <c r="E13490" s="8"/>
      <c r="G13490" s="8"/>
      <c r="J13490" s="8"/>
    </row>
    <row r="13491">
      <c r="C13491" s="15"/>
      <c r="E13491" s="8"/>
      <c r="G13491" s="8"/>
      <c r="J13491" s="8"/>
    </row>
    <row r="13492">
      <c r="C13492" s="15"/>
      <c r="E13492" s="8"/>
      <c r="G13492" s="8"/>
      <c r="J13492" s="8"/>
    </row>
    <row r="13493">
      <c r="C13493" s="15"/>
      <c r="E13493" s="8"/>
      <c r="G13493" s="8"/>
      <c r="J13493" s="8"/>
    </row>
    <row r="13494">
      <c r="C13494" s="15"/>
      <c r="E13494" s="8"/>
      <c r="G13494" s="8"/>
      <c r="J13494" s="8"/>
    </row>
    <row r="13495">
      <c r="C13495" s="15"/>
      <c r="E13495" s="8"/>
      <c r="G13495" s="8"/>
      <c r="J13495" s="8"/>
    </row>
    <row r="13496">
      <c r="C13496" s="15"/>
      <c r="E13496" s="8"/>
      <c r="G13496" s="8"/>
      <c r="J13496" s="8"/>
    </row>
    <row r="13497">
      <c r="C13497" s="15"/>
      <c r="E13497" s="8"/>
      <c r="G13497" s="8"/>
      <c r="J13497" s="8"/>
    </row>
    <row r="13498">
      <c r="C13498" s="15"/>
      <c r="E13498" s="8"/>
      <c r="G13498" s="8"/>
      <c r="J13498" s="8"/>
    </row>
    <row r="13499">
      <c r="C13499" s="15"/>
      <c r="E13499" s="8"/>
      <c r="G13499" s="8"/>
      <c r="J13499" s="8"/>
    </row>
    <row r="13500">
      <c r="C13500" s="15"/>
      <c r="E13500" s="8"/>
      <c r="G13500" s="8"/>
      <c r="J13500" s="8"/>
    </row>
    <row r="13501">
      <c r="C13501" s="15"/>
      <c r="E13501" s="8"/>
      <c r="G13501" s="8"/>
      <c r="J13501" s="8"/>
    </row>
    <row r="13502">
      <c r="C13502" s="15"/>
      <c r="E13502" s="8"/>
      <c r="G13502" s="8"/>
      <c r="J13502" s="8"/>
    </row>
    <row r="13503">
      <c r="C13503" s="15"/>
      <c r="E13503" s="8"/>
      <c r="G13503" s="8"/>
      <c r="J13503" s="8"/>
    </row>
    <row r="13504">
      <c r="C13504" s="15"/>
      <c r="E13504" s="8"/>
      <c r="G13504" s="8"/>
      <c r="J13504" s="8"/>
    </row>
    <row r="13505">
      <c r="C13505" s="15"/>
      <c r="E13505" s="8"/>
      <c r="G13505" s="8"/>
      <c r="J13505" s="8"/>
    </row>
    <row r="13506">
      <c r="C13506" s="15"/>
      <c r="E13506" s="8"/>
      <c r="G13506" s="8"/>
      <c r="J13506" s="8"/>
    </row>
    <row r="13507">
      <c r="C13507" s="15"/>
      <c r="E13507" s="8"/>
      <c r="G13507" s="8"/>
      <c r="J13507" s="8"/>
    </row>
    <row r="13508">
      <c r="C13508" s="15"/>
      <c r="E13508" s="8"/>
      <c r="G13508" s="8"/>
      <c r="J13508" s="8"/>
    </row>
    <row r="13509">
      <c r="C13509" s="15"/>
      <c r="E13509" s="8"/>
      <c r="G13509" s="8"/>
      <c r="J13509" s="8"/>
    </row>
    <row r="13510">
      <c r="C13510" s="15"/>
      <c r="E13510" s="8"/>
      <c r="G13510" s="8"/>
      <c r="J13510" s="8"/>
    </row>
    <row r="13511">
      <c r="C13511" s="15"/>
      <c r="E13511" s="8"/>
      <c r="G13511" s="8"/>
      <c r="J13511" s="8"/>
    </row>
    <row r="13512">
      <c r="C13512" s="15"/>
      <c r="E13512" s="8"/>
      <c r="G13512" s="8"/>
      <c r="J13512" s="8"/>
    </row>
    <row r="13513">
      <c r="C13513" s="15"/>
      <c r="E13513" s="8"/>
      <c r="G13513" s="8"/>
      <c r="J13513" s="8"/>
    </row>
    <row r="13514">
      <c r="C13514" s="15"/>
      <c r="E13514" s="8"/>
      <c r="G13514" s="8"/>
      <c r="J13514" s="8"/>
    </row>
    <row r="13515">
      <c r="C13515" s="15"/>
      <c r="E13515" s="8"/>
      <c r="G13515" s="8"/>
      <c r="J13515" s="8"/>
    </row>
    <row r="13516">
      <c r="C13516" s="15"/>
      <c r="E13516" s="8"/>
      <c r="G13516" s="8"/>
      <c r="J13516" s="8"/>
    </row>
    <row r="13517">
      <c r="C13517" s="15"/>
      <c r="E13517" s="8"/>
      <c r="G13517" s="8"/>
      <c r="J13517" s="8"/>
    </row>
    <row r="13518">
      <c r="C13518" s="15"/>
      <c r="E13518" s="8"/>
      <c r="G13518" s="8"/>
      <c r="J13518" s="8"/>
    </row>
    <row r="13519">
      <c r="C13519" s="15"/>
      <c r="E13519" s="8"/>
      <c r="G13519" s="8"/>
      <c r="J13519" s="8"/>
    </row>
    <row r="13520">
      <c r="C13520" s="15"/>
      <c r="E13520" s="8"/>
      <c r="G13520" s="8"/>
      <c r="J13520" s="8"/>
    </row>
    <row r="13521">
      <c r="C13521" s="15"/>
      <c r="E13521" s="8"/>
      <c r="G13521" s="8"/>
      <c r="J13521" s="8"/>
    </row>
    <row r="13522">
      <c r="C13522" s="15"/>
      <c r="E13522" s="8"/>
      <c r="G13522" s="8"/>
      <c r="J13522" s="8"/>
    </row>
    <row r="13523">
      <c r="C13523" s="15"/>
      <c r="E13523" s="8"/>
      <c r="G13523" s="8"/>
      <c r="J13523" s="8"/>
    </row>
    <row r="13524">
      <c r="C13524" s="15"/>
      <c r="E13524" s="8"/>
      <c r="G13524" s="8"/>
      <c r="J13524" s="8"/>
    </row>
    <row r="13525">
      <c r="C13525" s="15"/>
      <c r="E13525" s="8"/>
      <c r="G13525" s="8"/>
      <c r="J13525" s="8"/>
    </row>
    <row r="13526">
      <c r="C13526" s="15"/>
      <c r="E13526" s="8"/>
      <c r="G13526" s="8"/>
      <c r="J13526" s="8"/>
    </row>
    <row r="13527">
      <c r="C13527" s="15"/>
      <c r="E13527" s="8"/>
      <c r="G13527" s="8"/>
      <c r="J13527" s="8"/>
    </row>
    <row r="13528">
      <c r="C13528" s="15"/>
      <c r="E13528" s="8"/>
      <c r="G13528" s="8"/>
      <c r="J13528" s="8"/>
    </row>
    <row r="13529">
      <c r="C13529" s="15"/>
      <c r="E13529" s="8"/>
      <c r="G13529" s="8"/>
      <c r="J13529" s="8"/>
    </row>
    <row r="13530">
      <c r="C13530" s="15"/>
      <c r="E13530" s="8"/>
      <c r="G13530" s="8"/>
      <c r="J13530" s="8"/>
    </row>
    <row r="13531">
      <c r="C13531" s="15"/>
      <c r="E13531" s="8"/>
      <c r="G13531" s="8"/>
      <c r="J13531" s="8"/>
    </row>
    <row r="13532">
      <c r="C13532" s="15"/>
      <c r="E13532" s="8"/>
      <c r="G13532" s="8"/>
      <c r="J13532" s="8"/>
    </row>
    <row r="13533">
      <c r="C13533" s="15"/>
      <c r="E13533" s="8"/>
      <c r="G13533" s="8"/>
      <c r="J13533" s="8"/>
    </row>
    <row r="13534">
      <c r="C13534" s="15"/>
      <c r="E13534" s="8"/>
      <c r="G13534" s="8"/>
      <c r="J13534" s="8"/>
    </row>
    <row r="13535">
      <c r="C13535" s="15"/>
      <c r="E13535" s="8"/>
      <c r="G13535" s="8"/>
      <c r="J13535" s="8"/>
    </row>
    <row r="13536">
      <c r="C13536" s="15"/>
      <c r="E13536" s="8"/>
      <c r="G13536" s="8"/>
      <c r="J13536" s="8"/>
    </row>
    <row r="13537">
      <c r="C13537" s="15"/>
      <c r="E13537" s="8"/>
      <c r="G13537" s="8"/>
      <c r="J13537" s="8"/>
    </row>
    <row r="13538">
      <c r="C13538" s="15"/>
      <c r="E13538" s="8"/>
      <c r="G13538" s="8"/>
      <c r="J13538" s="8"/>
    </row>
    <row r="13539">
      <c r="C13539" s="15"/>
      <c r="E13539" s="8"/>
      <c r="G13539" s="8"/>
      <c r="J13539" s="8"/>
    </row>
    <row r="13540">
      <c r="C13540" s="15"/>
      <c r="E13540" s="8"/>
      <c r="G13540" s="8"/>
      <c r="J13540" s="8"/>
    </row>
    <row r="13541">
      <c r="C13541" s="15"/>
      <c r="E13541" s="8"/>
      <c r="G13541" s="8"/>
      <c r="J13541" s="8"/>
    </row>
    <row r="13542">
      <c r="C13542" s="15"/>
      <c r="E13542" s="8"/>
      <c r="G13542" s="8"/>
      <c r="J13542" s="8"/>
    </row>
    <row r="13543">
      <c r="C13543" s="15"/>
      <c r="E13543" s="8"/>
      <c r="G13543" s="8"/>
      <c r="J13543" s="8"/>
    </row>
    <row r="13544">
      <c r="C13544" s="15"/>
      <c r="E13544" s="8"/>
      <c r="G13544" s="8"/>
      <c r="J13544" s="8"/>
    </row>
    <row r="13545">
      <c r="C13545" s="15"/>
      <c r="E13545" s="8"/>
      <c r="G13545" s="8"/>
      <c r="J13545" s="8"/>
    </row>
    <row r="13546">
      <c r="C13546" s="15"/>
      <c r="E13546" s="8"/>
      <c r="G13546" s="8"/>
      <c r="J13546" s="8"/>
    </row>
    <row r="13547">
      <c r="C13547" s="15"/>
      <c r="E13547" s="8"/>
      <c r="G13547" s="8"/>
      <c r="J13547" s="8"/>
    </row>
    <row r="13548">
      <c r="C13548" s="15"/>
      <c r="E13548" s="8"/>
      <c r="G13548" s="8"/>
      <c r="J13548" s="8"/>
    </row>
    <row r="13549">
      <c r="C13549" s="15"/>
      <c r="E13549" s="8"/>
      <c r="G13549" s="8"/>
      <c r="J13549" s="8"/>
    </row>
    <row r="13550">
      <c r="C13550" s="15"/>
      <c r="E13550" s="8"/>
      <c r="G13550" s="8"/>
      <c r="J13550" s="8"/>
    </row>
    <row r="13551">
      <c r="C13551" s="15"/>
      <c r="E13551" s="8"/>
      <c r="G13551" s="8"/>
      <c r="J13551" s="8"/>
    </row>
    <row r="13552">
      <c r="C13552" s="15"/>
      <c r="E13552" s="8"/>
      <c r="G13552" s="8"/>
      <c r="J13552" s="8"/>
    </row>
    <row r="13553">
      <c r="C13553" s="15"/>
      <c r="E13553" s="8"/>
      <c r="G13553" s="8"/>
      <c r="J13553" s="8"/>
    </row>
    <row r="13554">
      <c r="C13554" s="15"/>
      <c r="E13554" s="8"/>
      <c r="G13554" s="8"/>
      <c r="J13554" s="8"/>
    </row>
    <row r="13555">
      <c r="C13555" s="15"/>
      <c r="E13555" s="8"/>
      <c r="G13555" s="8"/>
      <c r="J13555" s="8"/>
    </row>
    <row r="13556">
      <c r="C13556" s="15"/>
      <c r="E13556" s="8"/>
      <c r="G13556" s="8"/>
      <c r="J13556" s="8"/>
    </row>
    <row r="13557">
      <c r="C13557" s="15"/>
      <c r="E13557" s="8"/>
      <c r="G13557" s="8"/>
      <c r="J13557" s="8"/>
    </row>
    <row r="13558">
      <c r="C13558" s="15"/>
      <c r="E13558" s="8"/>
      <c r="G13558" s="8"/>
      <c r="J13558" s="8"/>
    </row>
    <row r="13559">
      <c r="C13559" s="15"/>
      <c r="E13559" s="8"/>
      <c r="G13559" s="8"/>
      <c r="J13559" s="8"/>
    </row>
    <row r="13560">
      <c r="C13560" s="15"/>
      <c r="E13560" s="8"/>
      <c r="G13560" s="8"/>
      <c r="J13560" s="8"/>
    </row>
    <row r="13561">
      <c r="C13561" s="15"/>
      <c r="E13561" s="8"/>
      <c r="G13561" s="8"/>
      <c r="J13561" s="8"/>
    </row>
    <row r="13562">
      <c r="C13562" s="15"/>
      <c r="E13562" s="8"/>
      <c r="G13562" s="8"/>
      <c r="J13562" s="8"/>
    </row>
    <row r="13563">
      <c r="C13563" s="15"/>
      <c r="E13563" s="8"/>
      <c r="G13563" s="8"/>
      <c r="J13563" s="8"/>
    </row>
    <row r="13564">
      <c r="C13564" s="15"/>
      <c r="E13564" s="8"/>
      <c r="G13564" s="8"/>
      <c r="J13564" s="8"/>
    </row>
    <row r="13565">
      <c r="C13565" s="15"/>
      <c r="E13565" s="8"/>
      <c r="G13565" s="8"/>
      <c r="J13565" s="8"/>
    </row>
    <row r="13566">
      <c r="C13566" s="15"/>
      <c r="E13566" s="8"/>
      <c r="G13566" s="8"/>
      <c r="J13566" s="8"/>
    </row>
    <row r="13567">
      <c r="C13567" s="15"/>
      <c r="E13567" s="8"/>
      <c r="G13567" s="8"/>
      <c r="J13567" s="8"/>
    </row>
    <row r="13568">
      <c r="C13568" s="15"/>
      <c r="E13568" s="8"/>
      <c r="G13568" s="8"/>
      <c r="J13568" s="8"/>
    </row>
    <row r="13569">
      <c r="C13569" s="15"/>
      <c r="E13569" s="8"/>
      <c r="G13569" s="8"/>
      <c r="J13569" s="8"/>
    </row>
    <row r="13570">
      <c r="C13570" s="15"/>
      <c r="E13570" s="8"/>
      <c r="G13570" s="8"/>
      <c r="J13570" s="8"/>
    </row>
    <row r="13571">
      <c r="C13571" s="15"/>
      <c r="E13571" s="8"/>
      <c r="G13571" s="8"/>
      <c r="J13571" s="8"/>
    </row>
    <row r="13572">
      <c r="C13572" s="15"/>
      <c r="E13572" s="8"/>
      <c r="G13572" s="8"/>
      <c r="J13572" s="8"/>
    </row>
    <row r="13573">
      <c r="C13573" s="15"/>
      <c r="E13573" s="8"/>
      <c r="G13573" s="8"/>
      <c r="J13573" s="8"/>
    </row>
    <row r="13574">
      <c r="C13574" s="15"/>
      <c r="E13574" s="8"/>
      <c r="G13574" s="8"/>
      <c r="J13574" s="8"/>
    </row>
    <row r="13575">
      <c r="C13575" s="15"/>
      <c r="E13575" s="8"/>
      <c r="G13575" s="8"/>
      <c r="J13575" s="8"/>
    </row>
    <row r="13576">
      <c r="C13576" s="15"/>
      <c r="E13576" s="8"/>
      <c r="G13576" s="8"/>
      <c r="J13576" s="8"/>
    </row>
    <row r="13577">
      <c r="C13577" s="15"/>
      <c r="E13577" s="8"/>
      <c r="G13577" s="8"/>
      <c r="J13577" s="8"/>
    </row>
    <row r="13578">
      <c r="C13578" s="15"/>
      <c r="E13578" s="8"/>
      <c r="G13578" s="8"/>
      <c r="J13578" s="8"/>
    </row>
    <row r="13579">
      <c r="C13579" s="15"/>
      <c r="E13579" s="8"/>
      <c r="G13579" s="8"/>
      <c r="J13579" s="8"/>
    </row>
    <row r="13580">
      <c r="C13580" s="15"/>
      <c r="E13580" s="8"/>
      <c r="G13580" s="8"/>
      <c r="J13580" s="8"/>
    </row>
    <row r="13581">
      <c r="C13581" s="15"/>
      <c r="E13581" s="8"/>
      <c r="G13581" s="8"/>
      <c r="J13581" s="8"/>
    </row>
    <row r="13582">
      <c r="C13582" s="15"/>
      <c r="E13582" s="8"/>
      <c r="G13582" s="8"/>
      <c r="J13582" s="8"/>
    </row>
    <row r="13583">
      <c r="C13583" s="15"/>
      <c r="E13583" s="8"/>
      <c r="G13583" s="8"/>
      <c r="J13583" s="8"/>
    </row>
    <row r="13584">
      <c r="C13584" s="15"/>
      <c r="E13584" s="8"/>
      <c r="G13584" s="8"/>
      <c r="J13584" s="8"/>
    </row>
    <row r="13585">
      <c r="C13585" s="15"/>
      <c r="E13585" s="8"/>
      <c r="G13585" s="8"/>
      <c r="J13585" s="8"/>
    </row>
    <row r="13586">
      <c r="C13586" s="15"/>
      <c r="E13586" s="8"/>
      <c r="G13586" s="8"/>
      <c r="J13586" s="8"/>
    </row>
    <row r="13587">
      <c r="C13587" s="15"/>
      <c r="E13587" s="8"/>
      <c r="G13587" s="8"/>
      <c r="J13587" s="8"/>
    </row>
    <row r="13588">
      <c r="C13588" s="15"/>
      <c r="E13588" s="8"/>
      <c r="G13588" s="8"/>
      <c r="J13588" s="8"/>
    </row>
    <row r="13589">
      <c r="C13589" s="15"/>
      <c r="E13589" s="8"/>
      <c r="G13589" s="8"/>
      <c r="J13589" s="8"/>
    </row>
    <row r="13590">
      <c r="C13590" s="15"/>
      <c r="E13590" s="8"/>
      <c r="G13590" s="8"/>
      <c r="J13590" s="8"/>
    </row>
    <row r="13591">
      <c r="C13591" s="15"/>
      <c r="E13591" s="8"/>
      <c r="G13591" s="8"/>
      <c r="J13591" s="8"/>
    </row>
    <row r="13592">
      <c r="C13592" s="15"/>
      <c r="E13592" s="8"/>
      <c r="G13592" s="8"/>
      <c r="J13592" s="8"/>
    </row>
    <row r="13593">
      <c r="C13593" s="15"/>
      <c r="E13593" s="8"/>
      <c r="G13593" s="8"/>
      <c r="J13593" s="8"/>
    </row>
    <row r="13594">
      <c r="C13594" s="15"/>
      <c r="E13594" s="8"/>
      <c r="G13594" s="8"/>
      <c r="J13594" s="8"/>
    </row>
    <row r="13595">
      <c r="C13595" s="15"/>
      <c r="E13595" s="8"/>
      <c r="G13595" s="8"/>
      <c r="J13595" s="8"/>
    </row>
    <row r="13596">
      <c r="C13596" s="15"/>
      <c r="E13596" s="8"/>
      <c r="G13596" s="8"/>
      <c r="J13596" s="8"/>
    </row>
    <row r="13597">
      <c r="C13597" s="15"/>
      <c r="E13597" s="8"/>
      <c r="G13597" s="8"/>
      <c r="J13597" s="8"/>
    </row>
    <row r="13598">
      <c r="C13598" s="15"/>
      <c r="E13598" s="8"/>
      <c r="G13598" s="8"/>
      <c r="J13598" s="8"/>
    </row>
    <row r="13599">
      <c r="C13599" s="15"/>
      <c r="E13599" s="8"/>
      <c r="G13599" s="8"/>
      <c r="J13599" s="8"/>
    </row>
    <row r="13600">
      <c r="C13600" s="15"/>
      <c r="E13600" s="8"/>
      <c r="G13600" s="8"/>
      <c r="J13600" s="8"/>
    </row>
    <row r="13601">
      <c r="C13601" s="15"/>
      <c r="E13601" s="8"/>
      <c r="G13601" s="8"/>
      <c r="J13601" s="8"/>
    </row>
    <row r="13602">
      <c r="C13602" s="15"/>
      <c r="E13602" s="8"/>
      <c r="G13602" s="8"/>
      <c r="J13602" s="8"/>
    </row>
    <row r="13603">
      <c r="C13603" s="15"/>
      <c r="E13603" s="8"/>
      <c r="G13603" s="8"/>
      <c r="J13603" s="8"/>
    </row>
    <row r="13604">
      <c r="C13604" s="15"/>
      <c r="E13604" s="8"/>
      <c r="G13604" s="8"/>
      <c r="J13604" s="8"/>
    </row>
    <row r="13605">
      <c r="C13605" s="15"/>
      <c r="E13605" s="8"/>
      <c r="G13605" s="8"/>
      <c r="J13605" s="8"/>
    </row>
    <row r="13606">
      <c r="C13606" s="15"/>
      <c r="E13606" s="8"/>
      <c r="G13606" s="8"/>
      <c r="J13606" s="8"/>
    </row>
    <row r="13607">
      <c r="C13607" s="15"/>
      <c r="E13607" s="8"/>
      <c r="G13607" s="8"/>
      <c r="J13607" s="8"/>
    </row>
    <row r="13608">
      <c r="C13608" s="15"/>
      <c r="E13608" s="8"/>
      <c r="G13608" s="8"/>
      <c r="J13608" s="8"/>
    </row>
    <row r="13609">
      <c r="C13609" s="15"/>
      <c r="E13609" s="8"/>
      <c r="G13609" s="8"/>
      <c r="J13609" s="8"/>
    </row>
    <row r="13610">
      <c r="C13610" s="15"/>
      <c r="E13610" s="8"/>
      <c r="G13610" s="8"/>
      <c r="J13610" s="8"/>
    </row>
    <row r="13611">
      <c r="C13611" s="15"/>
      <c r="E13611" s="8"/>
      <c r="G13611" s="8"/>
      <c r="J13611" s="8"/>
    </row>
    <row r="13612">
      <c r="C13612" s="15"/>
      <c r="E13612" s="8"/>
      <c r="G13612" s="8"/>
      <c r="J13612" s="8"/>
    </row>
    <row r="13613">
      <c r="C13613" s="15"/>
      <c r="E13613" s="8"/>
      <c r="G13613" s="8"/>
      <c r="J13613" s="8"/>
    </row>
    <row r="13614">
      <c r="C13614" s="15"/>
      <c r="E13614" s="8"/>
      <c r="G13614" s="8"/>
      <c r="J13614" s="8"/>
    </row>
    <row r="13615">
      <c r="C13615" s="15"/>
      <c r="E13615" s="8"/>
      <c r="G13615" s="8"/>
      <c r="J13615" s="8"/>
    </row>
    <row r="13616">
      <c r="C13616" s="15"/>
      <c r="E13616" s="8"/>
      <c r="G13616" s="8"/>
      <c r="J13616" s="8"/>
    </row>
    <row r="13617">
      <c r="C13617" s="15"/>
      <c r="E13617" s="8"/>
      <c r="G13617" s="8"/>
      <c r="J13617" s="8"/>
    </row>
    <row r="13618">
      <c r="C13618" s="15"/>
      <c r="E13618" s="8"/>
      <c r="G13618" s="8"/>
      <c r="J13618" s="8"/>
    </row>
    <row r="13619">
      <c r="C13619" s="15"/>
      <c r="E13619" s="8"/>
      <c r="G13619" s="8"/>
      <c r="J13619" s="8"/>
    </row>
    <row r="13620">
      <c r="C13620" s="15"/>
      <c r="E13620" s="8"/>
      <c r="G13620" s="8"/>
      <c r="J13620" s="8"/>
    </row>
    <row r="13621">
      <c r="C13621" s="15"/>
      <c r="E13621" s="8"/>
      <c r="G13621" s="8"/>
      <c r="J13621" s="8"/>
    </row>
    <row r="13622">
      <c r="C13622" s="15"/>
      <c r="E13622" s="8"/>
      <c r="G13622" s="8"/>
      <c r="J13622" s="8"/>
    </row>
    <row r="13623">
      <c r="C13623" s="15"/>
      <c r="E13623" s="8"/>
      <c r="G13623" s="8"/>
      <c r="J13623" s="8"/>
    </row>
    <row r="13624">
      <c r="C13624" s="15"/>
      <c r="E13624" s="8"/>
      <c r="G13624" s="8"/>
      <c r="J13624" s="8"/>
    </row>
    <row r="13625">
      <c r="C13625" s="15"/>
      <c r="E13625" s="8"/>
      <c r="G13625" s="8"/>
      <c r="J13625" s="8"/>
    </row>
    <row r="13626">
      <c r="C13626" s="15"/>
      <c r="E13626" s="8"/>
      <c r="G13626" s="8"/>
      <c r="J13626" s="8"/>
    </row>
    <row r="13627">
      <c r="C13627" s="15"/>
      <c r="E13627" s="8"/>
      <c r="G13627" s="8"/>
      <c r="J13627" s="8"/>
    </row>
    <row r="13628">
      <c r="C13628" s="15"/>
      <c r="E13628" s="8"/>
      <c r="G13628" s="8"/>
      <c r="J13628" s="8"/>
    </row>
    <row r="13629">
      <c r="C13629" s="15"/>
      <c r="E13629" s="8"/>
      <c r="G13629" s="8"/>
      <c r="J13629" s="8"/>
    </row>
    <row r="13630">
      <c r="C13630" s="15"/>
      <c r="E13630" s="8"/>
      <c r="G13630" s="8"/>
      <c r="J13630" s="8"/>
    </row>
    <row r="13631">
      <c r="C13631" s="15"/>
      <c r="E13631" s="8"/>
      <c r="G13631" s="8"/>
      <c r="J13631" s="8"/>
    </row>
    <row r="13632">
      <c r="C13632" s="15"/>
      <c r="E13632" s="8"/>
      <c r="G13632" s="8"/>
      <c r="J13632" s="8"/>
    </row>
    <row r="13633">
      <c r="C13633" s="15"/>
      <c r="E13633" s="8"/>
      <c r="G13633" s="8"/>
      <c r="J13633" s="8"/>
    </row>
    <row r="13634">
      <c r="C13634" s="15"/>
      <c r="E13634" s="8"/>
      <c r="G13634" s="8"/>
      <c r="J13634" s="8"/>
    </row>
    <row r="13635">
      <c r="C13635" s="15"/>
      <c r="E13635" s="8"/>
      <c r="G13635" s="8"/>
      <c r="J13635" s="8"/>
    </row>
    <row r="13636">
      <c r="C13636" s="15"/>
      <c r="E13636" s="8"/>
      <c r="G13636" s="8"/>
      <c r="J13636" s="8"/>
    </row>
    <row r="13637">
      <c r="C13637" s="15"/>
      <c r="E13637" s="8"/>
      <c r="G13637" s="8"/>
      <c r="J13637" s="8"/>
    </row>
    <row r="13638">
      <c r="C13638" s="15"/>
      <c r="E13638" s="8"/>
      <c r="G13638" s="8"/>
      <c r="J13638" s="8"/>
    </row>
    <row r="13639">
      <c r="C13639" s="15"/>
      <c r="E13639" s="8"/>
      <c r="G13639" s="8"/>
      <c r="J13639" s="8"/>
    </row>
    <row r="13640">
      <c r="C13640" s="15"/>
      <c r="E13640" s="8"/>
      <c r="G13640" s="8"/>
      <c r="J13640" s="8"/>
    </row>
    <row r="13641">
      <c r="C13641" s="15"/>
      <c r="E13641" s="8"/>
      <c r="G13641" s="8"/>
      <c r="J13641" s="8"/>
    </row>
    <row r="13642">
      <c r="C13642" s="15"/>
      <c r="E13642" s="8"/>
      <c r="G13642" s="8"/>
      <c r="J13642" s="8"/>
    </row>
    <row r="13643">
      <c r="C13643" s="15"/>
      <c r="E13643" s="8"/>
      <c r="G13643" s="8"/>
      <c r="J13643" s="8"/>
    </row>
    <row r="13644">
      <c r="C13644" s="15"/>
      <c r="E13644" s="8"/>
      <c r="G13644" s="8"/>
      <c r="J13644" s="8"/>
    </row>
    <row r="13645">
      <c r="C13645" s="15"/>
      <c r="E13645" s="8"/>
      <c r="G13645" s="8"/>
      <c r="J13645" s="8"/>
    </row>
    <row r="13646">
      <c r="C13646" s="15"/>
      <c r="E13646" s="8"/>
      <c r="G13646" s="8"/>
      <c r="J13646" s="8"/>
    </row>
    <row r="13647">
      <c r="C13647" s="15"/>
      <c r="E13647" s="8"/>
      <c r="G13647" s="8"/>
      <c r="J13647" s="8"/>
    </row>
    <row r="13648">
      <c r="C13648" s="15"/>
      <c r="E13648" s="8"/>
      <c r="G13648" s="8"/>
      <c r="J13648" s="8"/>
    </row>
    <row r="13649">
      <c r="C13649" s="15"/>
      <c r="E13649" s="8"/>
      <c r="G13649" s="8"/>
      <c r="J13649" s="8"/>
    </row>
    <row r="13650">
      <c r="C13650" s="15"/>
      <c r="E13650" s="8"/>
      <c r="G13650" s="8"/>
      <c r="J13650" s="8"/>
    </row>
    <row r="13651">
      <c r="C13651" s="15"/>
      <c r="E13651" s="8"/>
      <c r="G13651" s="8"/>
      <c r="J13651" s="8"/>
    </row>
    <row r="13652">
      <c r="C13652" s="15"/>
      <c r="E13652" s="8"/>
      <c r="G13652" s="8"/>
      <c r="J13652" s="8"/>
    </row>
    <row r="13653">
      <c r="C13653" s="15"/>
      <c r="E13653" s="8"/>
      <c r="G13653" s="8"/>
      <c r="J13653" s="8"/>
    </row>
    <row r="13654">
      <c r="C13654" s="15"/>
      <c r="E13654" s="8"/>
      <c r="G13654" s="8"/>
      <c r="J13654" s="8"/>
    </row>
    <row r="13655">
      <c r="C13655" s="15"/>
      <c r="E13655" s="8"/>
      <c r="G13655" s="8"/>
      <c r="J13655" s="8"/>
    </row>
    <row r="13656">
      <c r="C13656" s="15"/>
      <c r="E13656" s="8"/>
      <c r="G13656" s="8"/>
      <c r="J13656" s="8"/>
    </row>
    <row r="13657">
      <c r="C13657" s="15"/>
      <c r="E13657" s="8"/>
      <c r="G13657" s="8"/>
      <c r="J13657" s="8"/>
    </row>
    <row r="13658">
      <c r="C13658" s="15"/>
      <c r="E13658" s="8"/>
      <c r="G13658" s="8"/>
      <c r="J13658" s="8"/>
    </row>
    <row r="13659">
      <c r="C13659" s="15"/>
      <c r="E13659" s="8"/>
      <c r="G13659" s="8"/>
      <c r="J13659" s="8"/>
    </row>
    <row r="13660">
      <c r="C13660" s="15"/>
      <c r="E13660" s="8"/>
      <c r="G13660" s="8"/>
      <c r="J13660" s="8"/>
    </row>
    <row r="13661">
      <c r="C13661" s="15"/>
      <c r="E13661" s="8"/>
      <c r="G13661" s="8"/>
      <c r="J13661" s="8"/>
    </row>
    <row r="13662">
      <c r="C13662" s="15"/>
      <c r="E13662" s="8"/>
      <c r="G13662" s="8"/>
      <c r="J13662" s="8"/>
    </row>
    <row r="13663">
      <c r="C13663" s="15"/>
      <c r="E13663" s="8"/>
      <c r="G13663" s="8"/>
      <c r="J13663" s="8"/>
    </row>
    <row r="13664">
      <c r="C13664" s="15"/>
      <c r="E13664" s="8"/>
      <c r="G13664" s="8"/>
      <c r="J13664" s="8"/>
    </row>
    <row r="13665">
      <c r="C13665" s="15"/>
      <c r="E13665" s="8"/>
      <c r="G13665" s="8"/>
      <c r="J13665" s="8"/>
    </row>
    <row r="13666">
      <c r="C13666" s="15"/>
      <c r="E13666" s="8"/>
      <c r="G13666" s="8"/>
      <c r="J13666" s="8"/>
    </row>
    <row r="13667">
      <c r="C13667" s="15"/>
      <c r="E13667" s="8"/>
      <c r="G13667" s="8"/>
      <c r="J13667" s="8"/>
    </row>
    <row r="13668">
      <c r="C13668" s="15"/>
      <c r="E13668" s="8"/>
      <c r="G13668" s="8"/>
      <c r="J13668" s="8"/>
    </row>
    <row r="13669">
      <c r="C13669" s="15"/>
      <c r="E13669" s="8"/>
      <c r="G13669" s="8"/>
      <c r="J13669" s="8"/>
    </row>
    <row r="13670">
      <c r="C13670" s="15"/>
      <c r="E13670" s="8"/>
      <c r="G13670" s="8"/>
      <c r="J13670" s="8"/>
    </row>
    <row r="13671">
      <c r="C13671" s="15"/>
      <c r="E13671" s="8"/>
      <c r="G13671" s="8"/>
      <c r="J13671" s="8"/>
    </row>
    <row r="13672">
      <c r="C13672" s="15"/>
      <c r="E13672" s="8"/>
      <c r="G13672" s="8"/>
      <c r="J13672" s="8"/>
    </row>
    <row r="13673">
      <c r="C13673" s="15"/>
      <c r="E13673" s="8"/>
      <c r="G13673" s="8"/>
      <c r="J13673" s="8"/>
    </row>
    <row r="13674">
      <c r="C13674" s="15"/>
      <c r="E13674" s="8"/>
      <c r="G13674" s="8"/>
      <c r="J13674" s="8"/>
    </row>
    <row r="13675">
      <c r="C13675" s="15"/>
      <c r="E13675" s="8"/>
      <c r="G13675" s="8"/>
      <c r="J13675" s="8"/>
    </row>
    <row r="13676">
      <c r="C13676" s="15"/>
      <c r="E13676" s="8"/>
      <c r="G13676" s="8"/>
      <c r="J13676" s="8"/>
    </row>
    <row r="13677">
      <c r="C13677" s="15"/>
      <c r="E13677" s="8"/>
      <c r="G13677" s="8"/>
      <c r="J13677" s="8"/>
    </row>
    <row r="13678">
      <c r="C13678" s="15"/>
      <c r="E13678" s="8"/>
      <c r="G13678" s="8"/>
      <c r="J13678" s="8"/>
    </row>
    <row r="13679">
      <c r="C13679" s="15"/>
      <c r="E13679" s="8"/>
      <c r="G13679" s="8"/>
      <c r="J13679" s="8"/>
    </row>
    <row r="13680">
      <c r="C13680" s="15"/>
      <c r="E13680" s="8"/>
      <c r="G13680" s="8"/>
      <c r="J13680" s="8"/>
    </row>
    <row r="13681">
      <c r="C13681" s="15"/>
      <c r="E13681" s="8"/>
      <c r="G13681" s="8"/>
      <c r="J13681" s="8"/>
    </row>
    <row r="13682">
      <c r="C13682" s="15"/>
      <c r="E13682" s="8"/>
      <c r="G13682" s="8"/>
      <c r="J13682" s="8"/>
    </row>
    <row r="13683">
      <c r="C13683" s="15"/>
      <c r="E13683" s="8"/>
      <c r="G13683" s="8"/>
      <c r="J13683" s="8"/>
    </row>
    <row r="13684">
      <c r="C13684" s="15"/>
      <c r="E13684" s="8"/>
      <c r="G13684" s="8"/>
      <c r="J13684" s="8"/>
    </row>
    <row r="13685">
      <c r="C13685" s="15"/>
      <c r="E13685" s="8"/>
      <c r="G13685" s="8"/>
      <c r="J13685" s="8"/>
    </row>
    <row r="13686">
      <c r="C13686" s="15"/>
      <c r="E13686" s="8"/>
      <c r="G13686" s="8"/>
      <c r="J13686" s="8"/>
    </row>
    <row r="13687">
      <c r="C13687" s="15"/>
      <c r="E13687" s="8"/>
      <c r="G13687" s="8"/>
      <c r="J13687" s="8"/>
    </row>
    <row r="13688">
      <c r="C13688" s="15"/>
      <c r="E13688" s="8"/>
      <c r="G13688" s="8"/>
      <c r="J13688" s="8"/>
    </row>
    <row r="13689">
      <c r="C13689" s="15"/>
      <c r="E13689" s="8"/>
      <c r="G13689" s="8"/>
      <c r="J13689" s="8"/>
    </row>
    <row r="13690">
      <c r="C13690" s="15"/>
      <c r="E13690" s="8"/>
      <c r="G13690" s="8"/>
      <c r="J13690" s="8"/>
    </row>
    <row r="13691">
      <c r="C13691" s="15"/>
      <c r="E13691" s="8"/>
      <c r="G13691" s="8"/>
      <c r="J13691" s="8"/>
    </row>
    <row r="13692">
      <c r="C13692" s="15"/>
      <c r="E13692" s="8"/>
      <c r="G13692" s="8"/>
      <c r="J13692" s="8"/>
    </row>
    <row r="13693">
      <c r="C13693" s="15"/>
      <c r="E13693" s="8"/>
      <c r="G13693" s="8"/>
      <c r="J13693" s="8"/>
    </row>
    <row r="13694">
      <c r="C13694" s="15"/>
      <c r="E13694" s="8"/>
      <c r="G13694" s="8"/>
      <c r="J13694" s="8"/>
    </row>
    <row r="13695">
      <c r="C13695" s="15"/>
      <c r="E13695" s="8"/>
      <c r="G13695" s="8"/>
      <c r="J13695" s="8"/>
    </row>
    <row r="13696">
      <c r="C13696" s="15"/>
      <c r="E13696" s="8"/>
      <c r="G13696" s="8"/>
      <c r="J13696" s="8"/>
    </row>
    <row r="13697">
      <c r="C13697" s="15"/>
      <c r="E13697" s="8"/>
      <c r="G13697" s="8"/>
      <c r="J13697" s="8"/>
    </row>
    <row r="13698">
      <c r="C13698" s="15"/>
      <c r="E13698" s="8"/>
      <c r="G13698" s="8"/>
      <c r="J13698" s="8"/>
    </row>
    <row r="13699">
      <c r="C13699" s="15"/>
      <c r="E13699" s="8"/>
      <c r="G13699" s="8"/>
      <c r="J13699" s="8"/>
    </row>
    <row r="13700">
      <c r="C13700" s="15"/>
      <c r="E13700" s="8"/>
      <c r="G13700" s="8"/>
      <c r="J13700" s="8"/>
    </row>
    <row r="13701">
      <c r="C13701" s="15"/>
      <c r="E13701" s="8"/>
      <c r="G13701" s="8"/>
      <c r="J13701" s="8"/>
    </row>
    <row r="13702">
      <c r="C13702" s="15"/>
      <c r="E13702" s="8"/>
      <c r="G13702" s="8"/>
      <c r="J13702" s="8"/>
    </row>
    <row r="13703">
      <c r="C13703" s="15"/>
      <c r="E13703" s="8"/>
      <c r="G13703" s="8"/>
      <c r="J13703" s="8"/>
    </row>
    <row r="13704">
      <c r="C13704" s="15"/>
      <c r="E13704" s="8"/>
      <c r="G13704" s="8"/>
      <c r="J13704" s="8"/>
    </row>
    <row r="13705">
      <c r="C13705" s="15"/>
      <c r="E13705" s="8"/>
      <c r="G13705" s="8"/>
      <c r="J13705" s="8"/>
    </row>
    <row r="13706">
      <c r="C13706" s="15"/>
      <c r="E13706" s="8"/>
      <c r="G13706" s="8"/>
      <c r="J13706" s="8"/>
    </row>
    <row r="13707">
      <c r="C13707" s="15"/>
      <c r="E13707" s="8"/>
      <c r="G13707" s="8"/>
      <c r="J13707" s="8"/>
    </row>
    <row r="13708">
      <c r="C13708" s="15"/>
      <c r="E13708" s="8"/>
      <c r="G13708" s="8"/>
      <c r="J13708" s="8"/>
    </row>
    <row r="13709">
      <c r="C13709" s="15"/>
      <c r="E13709" s="8"/>
      <c r="G13709" s="8"/>
      <c r="J13709" s="8"/>
    </row>
    <row r="13710">
      <c r="C13710" s="15"/>
      <c r="E13710" s="8"/>
      <c r="G13710" s="8"/>
      <c r="J13710" s="8"/>
    </row>
    <row r="13711">
      <c r="C13711" s="15"/>
      <c r="E13711" s="8"/>
      <c r="G13711" s="8"/>
      <c r="J13711" s="8"/>
    </row>
    <row r="13712">
      <c r="C13712" s="15"/>
      <c r="E13712" s="8"/>
      <c r="G13712" s="8"/>
      <c r="J13712" s="8"/>
    </row>
    <row r="13713">
      <c r="C13713" s="15"/>
      <c r="E13713" s="8"/>
      <c r="G13713" s="8"/>
      <c r="J13713" s="8"/>
    </row>
    <row r="13714">
      <c r="C13714" s="15"/>
      <c r="E13714" s="8"/>
      <c r="G13714" s="8"/>
      <c r="J13714" s="8"/>
    </row>
    <row r="13715">
      <c r="C13715" s="15"/>
      <c r="E13715" s="8"/>
      <c r="G13715" s="8"/>
      <c r="J13715" s="8"/>
    </row>
    <row r="13716">
      <c r="C13716" s="15"/>
      <c r="E13716" s="8"/>
      <c r="G13716" s="8"/>
      <c r="J13716" s="8"/>
    </row>
    <row r="13717">
      <c r="C13717" s="15"/>
      <c r="E13717" s="8"/>
      <c r="G13717" s="8"/>
      <c r="J13717" s="8"/>
    </row>
    <row r="13718">
      <c r="C13718" s="15"/>
      <c r="E13718" s="8"/>
      <c r="G13718" s="8"/>
      <c r="J13718" s="8"/>
    </row>
    <row r="13719">
      <c r="C13719" s="15"/>
      <c r="E13719" s="8"/>
      <c r="G13719" s="8"/>
      <c r="J13719" s="8"/>
    </row>
    <row r="13720">
      <c r="C13720" s="15"/>
      <c r="E13720" s="8"/>
      <c r="G13720" s="8"/>
      <c r="J13720" s="8"/>
    </row>
    <row r="13721">
      <c r="C13721" s="15"/>
      <c r="E13721" s="8"/>
      <c r="G13721" s="8"/>
      <c r="J13721" s="8"/>
    </row>
    <row r="13722">
      <c r="C13722" s="15"/>
      <c r="E13722" s="8"/>
      <c r="G13722" s="8"/>
      <c r="J13722" s="8"/>
    </row>
    <row r="13723">
      <c r="C13723" s="15"/>
      <c r="E13723" s="8"/>
      <c r="G13723" s="8"/>
      <c r="J13723" s="8"/>
    </row>
    <row r="13724">
      <c r="C13724" s="15"/>
      <c r="E13724" s="8"/>
      <c r="G13724" s="8"/>
      <c r="J13724" s="8"/>
    </row>
    <row r="13725">
      <c r="C13725" s="15"/>
      <c r="E13725" s="8"/>
      <c r="G13725" s="8"/>
      <c r="J13725" s="8"/>
    </row>
    <row r="13726">
      <c r="C13726" s="15"/>
      <c r="E13726" s="8"/>
      <c r="G13726" s="8"/>
      <c r="J13726" s="8"/>
    </row>
    <row r="13727">
      <c r="C13727" s="15"/>
      <c r="E13727" s="8"/>
      <c r="G13727" s="8"/>
      <c r="J13727" s="8"/>
    </row>
    <row r="13728">
      <c r="C13728" s="15"/>
      <c r="E13728" s="8"/>
      <c r="G13728" s="8"/>
      <c r="J13728" s="8"/>
    </row>
    <row r="13729">
      <c r="C13729" s="15"/>
      <c r="E13729" s="8"/>
      <c r="G13729" s="8"/>
      <c r="J13729" s="8"/>
    </row>
    <row r="13730">
      <c r="C13730" s="15"/>
      <c r="E13730" s="8"/>
      <c r="G13730" s="8"/>
      <c r="J13730" s="8"/>
    </row>
    <row r="13731">
      <c r="C13731" s="15"/>
      <c r="E13731" s="8"/>
      <c r="G13731" s="8"/>
      <c r="J13731" s="8"/>
    </row>
    <row r="13732">
      <c r="C13732" s="15"/>
      <c r="E13732" s="8"/>
      <c r="G13732" s="8"/>
      <c r="J13732" s="8"/>
    </row>
    <row r="13733">
      <c r="C13733" s="15"/>
      <c r="E13733" s="8"/>
      <c r="G13733" s="8"/>
      <c r="J13733" s="8"/>
    </row>
    <row r="13734">
      <c r="C13734" s="15"/>
      <c r="E13734" s="8"/>
      <c r="G13734" s="8"/>
      <c r="J13734" s="8"/>
    </row>
    <row r="13735">
      <c r="C13735" s="15"/>
      <c r="E13735" s="8"/>
      <c r="G13735" s="8"/>
      <c r="J13735" s="8"/>
    </row>
    <row r="13736">
      <c r="C13736" s="15"/>
      <c r="E13736" s="8"/>
      <c r="G13736" s="8"/>
      <c r="J13736" s="8"/>
    </row>
    <row r="13737">
      <c r="C13737" s="15"/>
      <c r="E13737" s="8"/>
      <c r="G13737" s="8"/>
      <c r="J13737" s="8"/>
    </row>
    <row r="13738">
      <c r="C13738" s="15"/>
      <c r="E13738" s="8"/>
      <c r="G13738" s="8"/>
      <c r="J13738" s="8"/>
    </row>
    <row r="13739">
      <c r="C13739" s="15"/>
      <c r="E13739" s="8"/>
      <c r="G13739" s="8"/>
      <c r="J13739" s="8"/>
    </row>
    <row r="13740">
      <c r="C13740" s="15"/>
      <c r="E13740" s="8"/>
      <c r="G13740" s="8"/>
      <c r="J13740" s="8"/>
    </row>
    <row r="13741">
      <c r="C13741" s="15"/>
      <c r="E13741" s="8"/>
      <c r="G13741" s="8"/>
      <c r="J13741" s="8"/>
    </row>
    <row r="13742">
      <c r="C13742" s="15"/>
      <c r="E13742" s="8"/>
      <c r="G13742" s="8"/>
      <c r="J13742" s="8"/>
    </row>
    <row r="13743">
      <c r="C13743" s="15"/>
      <c r="E13743" s="8"/>
      <c r="G13743" s="8"/>
      <c r="J13743" s="8"/>
    </row>
    <row r="13744">
      <c r="C13744" s="15"/>
      <c r="E13744" s="8"/>
      <c r="G13744" s="8"/>
      <c r="J13744" s="8"/>
    </row>
    <row r="13745">
      <c r="C13745" s="15"/>
      <c r="E13745" s="8"/>
      <c r="G13745" s="8"/>
      <c r="J13745" s="8"/>
    </row>
    <row r="13746">
      <c r="C13746" s="15"/>
      <c r="E13746" s="8"/>
      <c r="G13746" s="8"/>
      <c r="J13746" s="8"/>
    </row>
    <row r="13747">
      <c r="C13747" s="15"/>
      <c r="E13747" s="8"/>
      <c r="G13747" s="8"/>
      <c r="J13747" s="8"/>
    </row>
    <row r="13748">
      <c r="C13748" s="15"/>
      <c r="E13748" s="8"/>
      <c r="G13748" s="8"/>
      <c r="J13748" s="8"/>
    </row>
    <row r="13749">
      <c r="C13749" s="15"/>
      <c r="E13749" s="8"/>
      <c r="G13749" s="8"/>
      <c r="J13749" s="8"/>
    </row>
    <row r="13750">
      <c r="C13750" s="15"/>
      <c r="E13750" s="8"/>
      <c r="G13750" s="8"/>
      <c r="J13750" s="8"/>
    </row>
    <row r="13751">
      <c r="C13751" s="15"/>
      <c r="E13751" s="8"/>
      <c r="G13751" s="8"/>
      <c r="J13751" s="8"/>
    </row>
    <row r="13752">
      <c r="C13752" s="15"/>
      <c r="E13752" s="8"/>
      <c r="G13752" s="8"/>
      <c r="J13752" s="8"/>
    </row>
    <row r="13753">
      <c r="C13753" s="15"/>
      <c r="E13753" s="8"/>
      <c r="G13753" s="8"/>
      <c r="J13753" s="8"/>
    </row>
    <row r="13754">
      <c r="C13754" s="15"/>
      <c r="E13754" s="8"/>
      <c r="G13754" s="8"/>
      <c r="J13754" s="8"/>
    </row>
    <row r="13755">
      <c r="C13755" s="15"/>
      <c r="E13755" s="8"/>
      <c r="G13755" s="8"/>
      <c r="J13755" s="8"/>
    </row>
    <row r="13756">
      <c r="C13756" s="15"/>
      <c r="E13756" s="8"/>
      <c r="G13756" s="8"/>
      <c r="J13756" s="8"/>
    </row>
    <row r="13757">
      <c r="C13757" s="15"/>
      <c r="E13757" s="8"/>
      <c r="G13757" s="8"/>
      <c r="J13757" s="8"/>
    </row>
    <row r="13758">
      <c r="C13758" s="15"/>
      <c r="E13758" s="8"/>
      <c r="G13758" s="8"/>
      <c r="J13758" s="8"/>
    </row>
    <row r="13759">
      <c r="C13759" s="15"/>
      <c r="E13759" s="8"/>
      <c r="G13759" s="8"/>
      <c r="J13759" s="8"/>
    </row>
    <row r="13760">
      <c r="C13760" s="15"/>
      <c r="E13760" s="8"/>
      <c r="G13760" s="8"/>
      <c r="J13760" s="8"/>
    </row>
    <row r="13761">
      <c r="C13761" s="15"/>
      <c r="E13761" s="8"/>
      <c r="G13761" s="8"/>
      <c r="J13761" s="8"/>
    </row>
    <row r="13762">
      <c r="C13762" s="15"/>
      <c r="E13762" s="8"/>
      <c r="G13762" s="8"/>
      <c r="J13762" s="8"/>
    </row>
    <row r="13763">
      <c r="C13763" s="15"/>
      <c r="E13763" s="8"/>
      <c r="G13763" s="8"/>
      <c r="J13763" s="8"/>
    </row>
    <row r="13764">
      <c r="C13764" s="15"/>
      <c r="E13764" s="8"/>
      <c r="G13764" s="8"/>
      <c r="J13764" s="8"/>
    </row>
    <row r="13765">
      <c r="C13765" s="15"/>
      <c r="E13765" s="8"/>
      <c r="G13765" s="8"/>
      <c r="J13765" s="8"/>
    </row>
    <row r="13766">
      <c r="C13766" s="15"/>
      <c r="E13766" s="8"/>
      <c r="G13766" s="8"/>
      <c r="J13766" s="8"/>
    </row>
    <row r="13767">
      <c r="C13767" s="15"/>
      <c r="E13767" s="8"/>
      <c r="G13767" s="8"/>
      <c r="J13767" s="8"/>
    </row>
    <row r="13768">
      <c r="C13768" s="15"/>
      <c r="E13768" s="8"/>
      <c r="G13768" s="8"/>
      <c r="J13768" s="8"/>
    </row>
    <row r="13769">
      <c r="C13769" s="15"/>
      <c r="E13769" s="8"/>
      <c r="G13769" s="8"/>
      <c r="J13769" s="8"/>
    </row>
    <row r="13770">
      <c r="C13770" s="15"/>
      <c r="E13770" s="8"/>
      <c r="G13770" s="8"/>
      <c r="J13770" s="8"/>
    </row>
    <row r="13771">
      <c r="C13771" s="15"/>
      <c r="E13771" s="8"/>
      <c r="G13771" s="8"/>
      <c r="J13771" s="8"/>
    </row>
    <row r="13772">
      <c r="C13772" s="15"/>
      <c r="E13772" s="8"/>
      <c r="G13772" s="8"/>
      <c r="J13772" s="8"/>
    </row>
    <row r="13773">
      <c r="C13773" s="15"/>
      <c r="E13773" s="8"/>
      <c r="G13773" s="8"/>
      <c r="J13773" s="8"/>
    </row>
    <row r="13774">
      <c r="C13774" s="15"/>
      <c r="E13774" s="8"/>
      <c r="G13774" s="8"/>
      <c r="J13774" s="8"/>
    </row>
    <row r="13775">
      <c r="C13775" s="15"/>
      <c r="E13775" s="8"/>
      <c r="G13775" s="8"/>
      <c r="J13775" s="8"/>
    </row>
    <row r="13776">
      <c r="C13776" s="15"/>
      <c r="E13776" s="8"/>
      <c r="G13776" s="8"/>
      <c r="J13776" s="8"/>
    </row>
    <row r="13777">
      <c r="C13777" s="15"/>
      <c r="E13777" s="8"/>
      <c r="G13777" s="8"/>
      <c r="J13777" s="8"/>
    </row>
    <row r="13778">
      <c r="C13778" s="15"/>
      <c r="E13778" s="8"/>
      <c r="G13778" s="8"/>
      <c r="J13778" s="8"/>
    </row>
    <row r="13779">
      <c r="C13779" s="15"/>
      <c r="E13779" s="8"/>
      <c r="G13779" s="8"/>
      <c r="J13779" s="8"/>
    </row>
    <row r="13780">
      <c r="C13780" s="15"/>
      <c r="E13780" s="8"/>
      <c r="G13780" s="8"/>
      <c r="J13780" s="8"/>
    </row>
    <row r="13781">
      <c r="C13781" s="15"/>
      <c r="E13781" s="8"/>
      <c r="G13781" s="8"/>
      <c r="J13781" s="8"/>
    </row>
    <row r="13782">
      <c r="C13782" s="15"/>
      <c r="E13782" s="8"/>
      <c r="G13782" s="8"/>
      <c r="J13782" s="8"/>
    </row>
    <row r="13783">
      <c r="C13783" s="15"/>
      <c r="E13783" s="8"/>
      <c r="G13783" s="8"/>
      <c r="J13783" s="8"/>
    </row>
    <row r="13784">
      <c r="C13784" s="15"/>
      <c r="E13784" s="8"/>
      <c r="G13784" s="8"/>
      <c r="J13784" s="8"/>
    </row>
    <row r="13785">
      <c r="C13785" s="15"/>
      <c r="E13785" s="8"/>
      <c r="G13785" s="8"/>
      <c r="J13785" s="8"/>
    </row>
    <row r="13786">
      <c r="C13786" s="15"/>
      <c r="E13786" s="8"/>
      <c r="G13786" s="8"/>
      <c r="J13786" s="8"/>
    </row>
    <row r="13787">
      <c r="C13787" s="15"/>
      <c r="E13787" s="8"/>
      <c r="G13787" s="8"/>
      <c r="J13787" s="8"/>
    </row>
    <row r="13788">
      <c r="C13788" s="15"/>
      <c r="E13788" s="8"/>
      <c r="G13788" s="8"/>
      <c r="J13788" s="8"/>
    </row>
    <row r="13789">
      <c r="C13789" s="15"/>
      <c r="E13789" s="8"/>
      <c r="G13789" s="8"/>
      <c r="J13789" s="8"/>
    </row>
    <row r="13790">
      <c r="C13790" s="15"/>
      <c r="E13790" s="8"/>
      <c r="G13790" s="8"/>
      <c r="J13790" s="8"/>
    </row>
    <row r="13791">
      <c r="C13791" s="15"/>
      <c r="E13791" s="8"/>
      <c r="G13791" s="8"/>
      <c r="J13791" s="8"/>
    </row>
    <row r="13792">
      <c r="C13792" s="15"/>
      <c r="E13792" s="8"/>
      <c r="G13792" s="8"/>
      <c r="J13792" s="8"/>
    </row>
    <row r="13793">
      <c r="C13793" s="15"/>
      <c r="E13793" s="8"/>
      <c r="G13793" s="8"/>
      <c r="J13793" s="8"/>
    </row>
    <row r="13794">
      <c r="C13794" s="15"/>
      <c r="E13794" s="8"/>
      <c r="G13794" s="8"/>
      <c r="J13794" s="8"/>
    </row>
    <row r="13795">
      <c r="C13795" s="15"/>
      <c r="E13795" s="8"/>
      <c r="G13795" s="8"/>
      <c r="J13795" s="8"/>
    </row>
    <row r="13796">
      <c r="C13796" s="15"/>
      <c r="E13796" s="8"/>
      <c r="G13796" s="8"/>
      <c r="J13796" s="8"/>
    </row>
    <row r="13797">
      <c r="C13797" s="15"/>
      <c r="E13797" s="8"/>
      <c r="G13797" s="8"/>
      <c r="J13797" s="8"/>
    </row>
    <row r="13798">
      <c r="C13798" s="15"/>
      <c r="E13798" s="8"/>
      <c r="G13798" s="8"/>
      <c r="J13798" s="8"/>
    </row>
    <row r="13799">
      <c r="C13799" s="15"/>
      <c r="E13799" s="8"/>
      <c r="G13799" s="8"/>
      <c r="J13799" s="8"/>
    </row>
    <row r="13800">
      <c r="C13800" s="15"/>
      <c r="E13800" s="8"/>
      <c r="G13800" s="8"/>
      <c r="J13800" s="8"/>
    </row>
    <row r="13801">
      <c r="C13801" s="15"/>
      <c r="E13801" s="8"/>
      <c r="G13801" s="8"/>
      <c r="J13801" s="8"/>
    </row>
    <row r="13802">
      <c r="C13802" s="15"/>
      <c r="E13802" s="8"/>
      <c r="G13802" s="8"/>
      <c r="J13802" s="8"/>
    </row>
    <row r="13803">
      <c r="C13803" s="15"/>
      <c r="E13803" s="8"/>
      <c r="G13803" s="8"/>
      <c r="J13803" s="8"/>
    </row>
    <row r="13804">
      <c r="C13804" s="15"/>
      <c r="E13804" s="8"/>
      <c r="G13804" s="8"/>
      <c r="J13804" s="8"/>
    </row>
    <row r="13805">
      <c r="C13805" s="15"/>
      <c r="E13805" s="8"/>
      <c r="G13805" s="8"/>
      <c r="J13805" s="8"/>
    </row>
    <row r="13806">
      <c r="C13806" s="15"/>
      <c r="E13806" s="8"/>
      <c r="G13806" s="8"/>
      <c r="J13806" s="8"/>
    </row>
    <row r="13807">
      <c r="C13807" s="15"/>
      <c r="E13807" s="8"/>
      <c r="G13807" s="8"/>
      <c r="J13807" s="8"/>
    </row>
    <row r="13808">
      <c r="C13808" s="15"/>
      <c r="E13808" s="8"/>
      <c r="G13808" s="8"/>
      <c r="J13808" s="8"/>
    </row>
    <row r="13809">
      <c r="C13809" s="15"/>
      <c r="E13809" s="8"/>
      <c r="G13809" s="8"/>
      <c r="J13809" s="8"/>
    </row>
    <row r="13810">
      <c r="C13810" s="15"/>
      <c r="E13810" s="8"/>
      <c r="G13810" s="8"/>
      <c r="J13810" s="8"/>
    </row>
    <row r="13811">
      <c r="C13811" s="15"/>
      <c r="E13811" s="8"/>
      <c r="G13811" s="8"/>
      <c r="J13811" s="8"/>
    </row>
    <row r="13812">
      <c r="C13812" s="15"/>
      <c r="E13812" s="8"/>
      <c r="G13812" s="8"/>
      <c r="J13812" s="8"/>
    </row>
    <row r="13813">
      <c r="C13813" s="15"/>
      <c r="E13813" s="8"/>
      <c r="G13813" s="8"/>
      <c r="J13813" s="8"/>
    </row>
    <row r="13814">
      <c r="C13814" s="15"/>
      <c r="E13814" s="8"/>
      <c r="G13814" s="8"/>
      <c r="J13814" s="8"/>
    </row>
    <row r="13815">
      <c r="C13815" s="15"/>
      <c r="E13815" s="8"/>
      <c r="G13815" s="8"/>
      <c r="J13815" s="8"/>
    </row>
    <row r="13816">
      <c r="C13816" s="15"/>
      <c r="E13816" s="8"/>
      <c r="G13816" s="8"/>
      <c r="J13816" s="8"/>
    </row>
    <row r="13817">
      <c r="C13817" s="15"/>
      <c r="E13817" s="8"/>
      <c r="G13817" s="8"/>
      <c r="J13817" s="8"/>
    </row>
    <row r="13818">
      <c r="C13818" s="15"/>
      <c r="E13818" s="8"/>
      <c r="G13818" s="8"/>
      <c r="J13818" s="8"/>
    </row>
    <row r="13819">
      <c r="C13819" s="15"/>
      <c r="E13819" s="8"/>
      <c r="G13819" s="8"/>
      <c r="J13819" s="8"/>
    </row>
    <row r="13820">
      <c r="C13820" s="15"/>
      <c r="E13820" s="8"/>
      <c r="G13820" s="8"/>
      <c r="J13820" s="8"/>
    </row>
    <row r="13821">
      <c r="C13821" s="15"/>
      <c r="E13821" s="8"/>
      <c r="G13821" s="8"/>
      <c r="J13821" s="8"/>
    </row>
    <row r="13822">
      <c r="C13822" s="15"/>
      <c r="E13822" s="8"/>
      <c r="G13822" s="8"/>
      <c r="J13822" s="8"/>
    </row>
    <row r="13823">
      <c r="C13823" s="15"/>
      <c r="E13823" s="8"/>
      <c r="G13823" s="8"/>
      <c r="J13823" s="8"/>
    </row>
    <row r="13824">
      <c r="C13824" s="15"/>
      <c r="E13824" s="8"/>
      <c r="G13824" s="8"/>
      <c r="J13824" s="8"/>
    </row>
    <row r="13825">
      <c r="C13825" s="15"/>
      <c r="E13825" s="8"/>
      <c r="G13825" s="8"/>
      <c r="J13825" s="8"/>
    </row>
    <row r="13826">
      <c r="C13826" s="15"/>
      <c r="E13826" s="8"/>
      <c r="G13826" s="8"/>
      <c r="J13826" s="8"/>
    </row>
    <row r="13827">
      <c r="C13827" s="15"/>
      <c r="E13827" s="8"/>
      <c r="G13827" s="8"/>
      <c r="J13827" s="8"/>
    </row>
    <row r="13828">
      <c r="C13828" s="15"/>
      <c r="E13828" s="8"/>
      <c r="G13828" s="8"/>
      <c r="J13828" s="8"/>
    </row>
    <row r="13829">
      <c r="C13829" s="15"/>
      <c r="E13829" s="8"/>
      <c r="G13829" s="8"/>
      <c r="J13829" s="8"/>
    </row>
    <row r="13830">
      <c r="C13830" s="15"/>
      <c r="E13830" s="8"/>
      <c r="G13830" s="8"/>
      <c r="J13830" s="8"/>
    </row>
    <row r="13831">
      <c r="C13831" s="15"/>
      <c r="E13831" s="8"/>
      <c r="G13831" s="8"/>
      <c r="J13831" s="8"/>
    </row>
    <row r="13832">
      <c r="C13832" s="15"/>
      <c r="E13832" s="8"/>
      <c r="G13832" s="8"/>
      <c r="J13832" s="8"/>
    </row>
    <row r="13833">
      <c r="C13833" s="15"/>
      <c r="E13833" s="8"/>
      <c r="G13833" s="8"/>
      <c r="J13833" s="8"/>
    </row>
    <row r="13834">
      <c r="C13834" s="15"/>
      <c r="E13834" s="8"/>
      <c r="G13834" s="8"/>
      <c r="J13834" s="8"/>
    </row>
    <row r="13835">
      <c r="C13835" s="15"/>
      <c r="E13835" s="8"/>
      <c r="G13835" s="8"/>
      <c r="J13835" s="8"/>
    </row>
    <row r="13836">
      <c r="C13836" s="15"/>
      <c r="E13836" s="8"/>
      <c r="G13836" s="8"/>
      <c r="J13836" s="8"/>
    </row>
    <row r="13837">
      <c r="C13837" s="15"/>
      <c r="E13837" s="8"/>
      <c r="G13837" s="8"/>
      <c r="J13837" s="8"/>
    </row>
    <row r="13838">
      <c r="C13838" s="15"/>
      <c r="E13838" s="8"/>
      <c r="G13838" s="8"/>
      <c r="J13838" s="8"/>
    </row>
    <row r="13839">
      <c r="C13839" s="15"/>
      <c r="E13839" s="8"/>
      <c r="G13839" s="8"/>
      <c r="J13839" s="8"/>
    </row>
    <row r="13840">
      <c r="C13840" s="15"/>
      <c r="E13840" s="8"/>
      <c r="G13840" s="8"/>
      <c r="J13840" s="8"/>
    </row>
    <row r="13841">
      <c r="C13841" s="15"/>
      <c r="E13841" s="8"/>
      <c r="G13841" s="8"/>
      <c r="J13841" s="8"/>
    </row>
    <row r="13842">
      <c r="C13842" s="15"/>
      <c r="E13842" s="8"/>
      <c r="G13842" s="8"/>
      <c r="J13842" s="8"/>
    </row>
    <row r="13843">
      <c r="C13843" s="15"/>
      <c r="E13843" s="8"/>
      <c r="G13843" s="8"/>
      <c r="J13843" s="8"/>
    </row>
    <row r="13844">
      <c r="C13844" s="15"/>
      <c r="E13844" s="8"/>
      <c r="G13844" s="8"/>
      <c r="J13844" s="8"/>
    </row>
    <row r="13845">
      <c r="C13845" s="15"/>
      <c r="E13845" s="8"/>
      <c r="G13845" s="8"/>
      <c r="J13845" s="8"/>
    </row>
    <row r="13846">
      <c r="C13846" s="15"/>
      <c r="E13846" s="8"/>
      <c r="G13846" s="8"/>
      <c r="J13846" s="8"/>
    </row>
    <row r="13847">
      <c r="C13847" s="15"/>
      <c r="E13847" s="8"/>
      <c r="G13847" s="8"/>
      <c r="J13847" s="8"/>
    </row>
    <row r="13848">
      <c r="C13848" s="15"/>
      <c r="E13848" s="8"/>
      <c r="G13848" s="8"/>
      <c r="J13848" s="8"/>
    </row>
    <row r="13849">
      <c r="C13849" s="15"/>
      <c r="E13849" s="8"/>
      <c r="G13849" s="8"/>
      <c r="J13849" s="8"/>
    </row>
    <row r="13850">
      <c r="C13850" s="15"/>
      <c r="E13850" s="8"/>
      <c r="G13850" s="8"/>
      <c r="J13850" s="8"/>
    </row>
    <row r="13851">
      <c r="C13851" s="15"/>
      <c r="E13851" s="8"/>
      <c r="G13851" s="8"/>
      <c r="J13851" s="8"/>
    </row>
    <row r="13852">
      <c r="C13852" s="15"/>
      <c r="E13852" s="8"/>
      <c r="G13852" s="8"/>
      <c r="J13852" s="8"/>
    </row>
    <row r="13853">
      <c r="C13853" s="15"/>
      <c r="E13853" s="8"/>
      <c r="G13853" s="8"/>
      <c r="J13853" s="8"/>
    </row>
    <row r="13854">
      <c r="C13854" s="15"/>
      <c r="E13854" s="8"/>
      <c r="G13854" s="8"/>
      <c r="J13854" s="8"/>
    </row>
    <row r="13855">
      <c r="C13855" s="15"/>
      <c r="E13855" s="8"/>
      <c r="G13855" s="8"/>
      <c r="J13855" s="8"/>
    </row>
    <row r="13856">
      <c r="C13856" s="15"/>
      <c r="E13856" s="8"/>
      <c r="G13856" s="8"/>
      <c r="J13856" s="8"/>
    </row>
    <row r="13857">
      <c r="C13857" s="15"/>
      <c r="E13857" s="8"/>
      <c r="G13857" s="8"/>
      <c r="J13857" s="8"/>
    </row>
    <row r="13858">
      <c r="C13858" s="15"/>
      <c r="E13858" s="8"/>
      <c r="G13858" s="8"/>
      <c r="J13858" s="8"/>
    </row>
    <row r="13859">
      <c r="C13859" s="15"/>
      <c r="E13859" s="8"/>
      <c r="G13859" s="8"/>
      <c r="J13859" s="8"/>
    </row>
    <row r="13860">
      <c r="C13860" s="15"/>
      <c r="E13860" s="8"/>
      <c r="G13860" s="8"/>
      <c r="J13860" s="8"/>
    </row>
    <row r="13861">
      <c r="C13861" s="15"/>
      <c r="E13861" s="8"/>
      <c r="G13861" s="8"/>
      <c r="J13861" s="8"/>
    </row>
    <row r="13862">
      <c r="C13862" s="15"/>
      <c r="E13862" s="8"/>
      <c r="G13862" s="8"/>
      <c r="J13862" s="8"/>
    </row>
    <row r="13863">
      <c r="C13863" s="15"/>
      <c r="E13863" s="8"/>
      <c r="G13863" s="8"/>
      <c r="J13863" s="8"/>
    </row>
    <row r="13864">
      <c r="C13864" s="15"/>
      <c r="E13864" s="8"/>
      <c r="G13864" s="8"/>
      <c r="J13864" s="8"/>
    </row>
    <row r="13865">
      <c r="C13865" s="15"/>
      <c r="E13865" s="8"/>
      <c r="G13865" s="8"/>
      <c r="J13865" s="8"/>
    </row>
    <row r="13866">
      <c r="C13866" s="15"/>
      <c r="E13866" s="8"/>
      <c r="G13866" s="8"/>
      <c r="J13866" s="8"/>
    </row>
    <row r="13867">
      <c r="C13867" s="15"/>
      <c r="E13867" s="8"/>
      <c r="G13867" s="8"/>
      <c r="J13867" s="8"/>
    </row>
    <row r="13868">
      <c r="C13868" s="15"/>
      <c r="E13868" s="8"/>
      <c r="G13868" s="8"/>
      <c r="J13868" s="8"/>
    </row>
    <row r="13869">
      <c r="C13869" s="15"/>
      <c r="E13869" s="8"/>
      <c r="G13869" s="8"/>
      <c r="J13869" s="8"/>
    </row>
    <row r="13870">
      <c r="C13870" s="15"/>
      <c r="E13870" s="8"/>
      <c r="G13870" s="8"/>
      <c r="J13870" s="8"/>
    </row>
    <row r="13871">
      <c r="C13871" s="15"/>
      <c r="E13871" s="8"/>
      <c r="G13871" s="8"/>
      <c r="J13871" s="8"/>
    </row>
    <row r="13872">
      <c r="C13872" s="15"/>
      <c r="E13872" s="8"/>
      <c r="G13872" s="8"/>
      <c r="J13872" s="8"/>
    </row>
    <row r="13873">
      <c r="C13873" s="15"/>
      <c r="E13873" s="8"/>
      <c r="G13873" s="8"/>
      <c r="J13873" s="8"/>
    </row>
    <row r="13874">
      <c r="C13874" s="15"/>
      <c r="E13874" s="8"/>
      <c r="G13874" s="8"/>
      <c r="J13874" s="8"/>
    </row>
    <row r="13875">
      <c r="C13875" s="15"/>
      <c r="E13875" s="8"/>
      <c r="G13875" s="8"/>
      <c r="J13875" s="8"/>
    </row>
    <row r="13876">
      <c r="C13876" s="15"/>
      <c r="E13876" s="8"/>
      <c r="G13876" s="8"/>
      <c r="J13876" s="8"/>
    </row>
    <row r="13877">
      <c r="C13877" s="15"/>
      <c r="E13877" s="8"/>
      <c r="G13877" s="8"/>
      <c r="J13877" s="8"/>
    </row>
    <row r="13878">
      <c r="C13878" s="15"/>
      <c r="E13878" s="8"/>
      <c r="G13878" s="8"/>
      <c r="J13878" s="8"/>
    </row>
    <row r="13879">
      <c r="C13879" s="15"/>
      <c r="E13879" s="8"/>
      <c r="G13879" s="8"/>
      <c r="J13879" s="8"/>
    </row>
    <row r="13880">
      <c r="C13880" s="15"/>
      <c r="E13880" s="8"/>
      <c r="G13880" s="8"/>
      <c r="J13880" s="8"/>
    </row>
    <row r="13881">
      <c r="C13881" s="15"/>
      <c r="E13881" s="8"/>
      <c r="G13881" s="8"/>
      <c r="J13881" s="8"/>
    </row>
    <row r="13882">
      <c r="C13882" s="15"/>
      <c r="E13882" s="8"/>
      <c r="G13882" s="8"/>
      <c r="J13882" s="8"/>
    </row>
    <row r="13883">
      <c r="C13883" s="15"/>
      <c r="E13883" s="8"/>
      <c r="G13883" s="8"/>
      <c r="J13883" s="8"/>
    </row>
    <row r="13884">
      <c r="C13884" s="15"/>
      <c r="E13884" s="8"/>
      <c r="G13884" s="8"/>
      <c r="J13884" s="8"/>
    </row>
    <row r="13885">
      <c r="C13885" s="15"/>
      <c r="E13885" s="8"/>
      <c r="G13885" s="8"/>
      <c r="J13885" s="8"/>
    </row>
    <row r="13886">
      <c r="C13886" s="15"/>
      <c r="E13886" s="8"/>
      <c r="G13886" s="8"/>
      <c r="J13886" s="8"/>
    </row>
    <row r="13887">
      <c r="C13887" s="15"/>
      <c r="E13887" s="8"/>
      <c r="G13887" s="8"/>
      <c r="J13887" s="8"/>
    </row>
    <row r="13888">
      <c r="C13888" s="15"/>
      <c r="E13888" s="8"/>
      <c r="G13888" s="8"/>
      <c r="J13888" s="8"/>
    </row>
    <row r="13889">
      <c r="C13889" s="15"/>
      <c r="E13889" s="8"/>
      <c r="G13889" s="8"/>
      <c r="J13889" s="8"/>
    </row>
    <row r="13890">
      <c r="C13890" s="15"/>
      <c r="E13890" s="8"/>
      <c r="G13890" s="8"/>
      <c r="J13890" s="8"/>
    </row>
    <row r="13891">
      <c r="C13891" s="15"/>
      <c r="E13891" s="8"/>
      <c r="G13891" s="8"/>
      <c r="J13891" s="8"/>
    </row>
    <row r="13892">
      <c r="C13892" s="15"/>
      <c r="E13892" s="8"/>
      <c r="G13892" s="8"/>
      <c r="J13892" s="8"/>
    </row>
    <row r="13893">
      <c r="C13893" s="15"/>
      <c r="E13893" s="8"/>
      <c r="G13893" s="8"/>
      <c r="J13893" s="8"/>
    </row>
    <row r="13894">
      <c r="C13894" s="15"/>
      <c r="E13894" s="8"/>
      <c r="G13894" s="8"/>
      <c r="J13894" s="8"/>
    </row>
    <row r="13895">
      <c r="C13895" s="15"/>
      <c r="E13895" s="8"/>
      <c r="G13895" s="8"/>
      <c r="J13895" s="8"/>
    </row>
    <row r="13896">
      <c r="C13896" s="15"/>
      <c r="E13896" s="8"/>
      <c r="G13896" s="8"/>
      <c r="J13896" s="8"/>
    </row>
    <row r="13897">
      <c r="C13897" s="15"/>
      <c r="E13897" s="8"/>
      <c r="G13897" s="8"/>
      <c r="J13897" s="8"/>
    </row>
    <row r="13898">
      <c r="C13898" s="15"/>
      <c r="E13898" s="8"/>
      <c r="G13898" s="8"/>
      <c r="J13898" s="8"/>
    </row>
    <row r="13899">
      <c r="C13899" s="15"/>
      <c r="E13899" s="8"/>
      <c r="G13899" s="8"/>
      <c r="J13899" s="8"/>
    </row>
    <row r="13900">
      <c r="C13900" s="15"/>
      <c r="E13900" s="8"/>
      <c r="G13900" s="8"/>
      <c r="J13900" s="8"/>
    </row>
    <row r="13901">
      <c r="C13901" s="15"/>
      <c r="E13901" s="8"/>
      <c r="G13901" s="8"/>
      <c r="J13901" s="8"/>
    </row>
    <row r="13902">
      <c r="C13902" s="15"/>
      <c r="E13902" s="8"/>
      <c r="G13902" s="8"/>
      <c r="J13902" s="8"/>
    </row>
    <row r="13903">
      <c r="C13903" s="15"/>
      <c r="E13903" s="8"/>
      <c r="G13903" s="8"/>
      <c r="J13903" s="8"/>
    </row>
    <row r="13904">
      <c r="C13904" s="15"/>
      <c r="E13904" s="8"/>
      <c r="G13904" s="8"/>
      <c r="J13904" s="8"/>
    </row>
    <row r="13905">
      <c r="C13905" s="15"/>
      <c r="E13905" s="8"/>
      <c r="G13905" s="8"/>
      <c r="J13905" s="8"/>
    </row>
    <row r="13906">
      <c r="C13906" s="15"/>
      <c r="E13906" s="8"/>
      <c r="G13906" s="8"/>
      <c r="J13906" s="8"/>
    </row>
    <row r="13907">
      <c r="C13907" s="15"/>
      <c r="E13907" s="8"/>
      <c r="G13907" s="8"/>
      <c r="J13907" s="8"/>
    </row>
    <row r="13908">
      <c r="C13908" s="15"/>
      <c r="E13908" s="8"/>
      <c r="G13908" s="8"/>
      <c r="J13908" s="8"/>
    </row>
    <row r="13909">
      <c r="C13909" s="15"/>
      <c r="E13909" s="8"/>
      <c r="G13909" s="8"/>
      <c r="J13909" s="8"/>
    </row>
    <row r="13910">
      <c r="C13910" s="15"/>
      <c r="E13910" s="8"/>
      <c r="G13910" s="8"/>
      <c r="J13910" s="8"/>
    </row>
    <row r="13911">
      <c r="C13911" s="15"/>
      <c r="E13911" s="8"/>
      <c r="G13911" s="8"/>
      <c r="J13911" s="8"/>
    </row>
    <row r="13912">
      <c r="C13912" s="15"/>
      <c r="E13912" s="8"/>
      <c r="G13912" s="8"/>
      <c r="J13912" s="8"/>
    </row>
    <row r="13913">
      <c r="C13913" s="15"/>
      <c r="E13913" s="8"/>
      <c r="G13913" s="8"/>
      <c r="J13913" s="8"/>
    </row>
    <row r="13914">
      <c r="C13914" s="15"/>
      <c r="E13914" s="8"/>
      <c r="G13914" s="8"/>
      <c r="J13914" s="8"/>
    </row>
    <row r="13915">
      <c r="C13915" s="15"/>
      <c r="E13915" s="8"/>
      <c r="G13915" s="8"/>
      <c r="J13915" s="8"/>
    </row>
    <row r="13916">
      <c r="C13916" s="15"/>
      <c r="E13916" s="8"/>
      <c r="G13916" s="8"/>
      <c r="J13916" s="8"/>
    </row>
    <row r="13917">
      <c r="C13917" s="15"/>
      <c r="E13917" s="8"/>
      <c r="G13917" s="8"/>
      <c r="J13917" s="8"/>
    </row>
    <row r="13918">
      <c r="C13918" s="15"/>
      <c r="E13918" s="8"/>
      <c r="G13918" s="8"/>
      <c r="J13918" s="8"/>
    </row>
    <row r="13919">
      <c r="C13919" s="15"/>
      <c r="E13919" s="8"/>
      <c r="G13919" s="8"/>
      <c r="J13919" s="8"/>
    </row>
    <row r="13920">
      <c r="C13920" s="15"/>
      <c r="E13920" s="8"/>
      <c r="G13920" s="8"/>
      <c r="J13920" s="8"/>
    </row>
    <row r="13921">
      <c r="C13921" s="15"/>
      <c r="E13921" s="8"/>
      <c r="G13921" s="8"/>
      <c r="J13921" s="8"/>
    </row>
    <row r="13922">
      <c r="C13922" s="15"/>
      <c r="E13922" s="8"/>
      <c r="G13922" s="8"/>
      <c r="J13922" s="8"/>
    </row>
    <row r="13923">
      <c r="C13923" s="15"/>
      <c r="E13923" s="8"/>
      <c r="G13923" s="8"/>
      <c r="J13923" s="8"/>
    </row>
    <row r="13924">
      <c r="C13924" s="15"/>
      <c r="E13924" s="8"/>
      <c r="G13924" s="8"/>
      <c r="J13924" s="8"/>
    </row>
    <row r="13925">
      <c r="C13925" s="15"/>
      <c r="E13925" s="8"/>
      <c r="G13925" s="8"/>
      <c r="J13925" s="8"/>
    </row>
    <row r="13926">
      <c r="C13926" s="15"/>
      <c r="E13926" s="8"/>
      <c r="G13926" s="8"/>
      <c r="J13926" s="8"/>
    </row>
    <row r="13927">
      <c r="C13927" s="15"/>
      <c r="E13927" s="8"/>
      <c r="G13927" s="8"/>
      <c r="J13927" s="8"/>
    </row>
    <row r="13928">
      <c r="C13928" s="15"/>
      <c r="E13928" s="8"/>
      <c r="G13928" s="8"/>
      <c r="J13928" s="8"/>
    </row>
    <row r="13929">
      <c r="C13929" s="15"/>
      <c r="E13929" s="8"/>
      <c r="G13929" s="8"/>
      <c r="J13929" s="8"/>
    </row>
    <row r="13930">
      <c r="C13930" s="15"/>
      <c r="E13930" s="8"/>
      <c r="G13930" s="8"/>
      <c r="J13930" s="8"/>
    </row>
    <row r="13931">
      <c r="C13931" s="15"/>
      <c r="E13931" s="8"/>
      <c r="G13931" s="8"/>
      <c r="J13931" s="8"/>
    </row>
    <row r="13932">
      <c r="C13932" s="15"/>
      <c r="E13932" s="8"/>
      <c r="G13932" s="8"/>
      <c r="J13932" s="8"/>
    </row>
    <row r="13933">
      <c r="C13933" s="15"/>
      <c r="E13933" s="8"/>
      <c r="G13933" s="8"/>
      <c r="J13933" s="8"/>
    </row>
    <row r="13934">
      <c r="C13934" s="15"/>
      <c r="E13934" s="8"/>
      <c r="G13934" s="8"/>
      <c r="J13934" s="8"/>
    </row>
    <row r="13935">
      <c r="C13935" s="15"/>
      <c r="E13935" s="8"/>
      <c r="G13935" s="8"/>
      <c r="J13935" s="8"/>
    </row>
    <row r="13936">
      <c r="C13936" s="15"/>
      <c r="E13936" s="8"/>
      <c r="G13936" s="8"/>
      <c r="J13936" s="8"/>
    </row>
    <row r="13937">
      <c r="C13937" s="15"/>
      <c r="E13937" s="8"/>
      <c r="G13937" s="8"/>
      <c r="J13937" s="8"/>
    </row>
    <row r="13938">
      <c r="C13938" s="15"/>
      <c r="E13938" s="8"/>
      <c r="G13938" s="8"/>
      <c r="J13938" s="8"/>
    </row>
    <row r="13939">
      <c r="C13939" s="15"/>
      <c r="E13939" s="8"/>
      <c r="G13939" s="8"/>
      <c r="J13939" s="8"/>
    </row>
    <row r="13940">
      <c r="C13940" s="15"/>
      <c r="E13940" s="8"/>
      <c r="G13940" s="8"/>
      <c r="J13940" s="8"/>
    </row>
    <row r="13941">
      <c r="C13941" s="15"/>
      <c r="E13941" s="8"/>
      <c r="G13941" s="8"/>
      <c r="J13941" s="8"/>
    </row>
    <row r="13942">
      <c r="C13942" s="15"/>
      <c r="E13942" s="8"/>
      <c r="G13942" s="8"/>
      <c r="J13942" s="8"/>
    </row>
    <row r="13943">
      <c r="C13943" s="15"/>
      <c r="E13943" s="8"/>
      <c r="G13943" s="8"/>
      <c r="J13943" s="8"/>
    </row>
    <row r="13944">
      <c r="C13944" s="15"/>
      <c r="E13944" s="8"/>
      <c r="G13944" s="8"/>
      <c r="J13944" s="8"/>
    </row>
    <row r="13945">
      <c r="C13945" s="15"/>
      <c r="E13945" s="8"/>
      <c r="G13945" s="8"/>
      <c r="J13945" s="8"/>
    </row>
    <row r="13946">
      <c r="C13946" s="15"/>
      <c r="E13946" s="8"/>
      <c r="G13946" s="8"/>
      <c r="J13946" s="8"/>
    </row>
    <row r="13947">
      <c r="C13947" s="15"/>
      <c r="E13947" s="8"/>
      <c r="G13947" s="8"/>
      <c r="J13947" s="8"/>
    </row>
    <row r="13948">
      <c r="C13948" s="15"/>
      <c r="E13948" s="8"/>
      <c r="G13948" s="8"/>
      <c r="J13948" s="8"/>
    </row>
    <row r="13949">
      <c r="C13949" s="15"/>
      <c r="E13949" s="8"/>
      <c r="G13949" s="8"/>
      <c r="J13949" s="8"/>
    </row>
    <row r="13950">
      <c r="C13950" s="15"/>
      <c r="E13950" s="8"/>
      <c r="G13950" s="8"/>
      <c r="J13950" s="8"/>
    </row>
    <row r="13951">
      <c r="C13951" s="15"/>
      <c r="E13951" s="8"/>
      <c r="G13951" s="8"/>
      <c r="J13951" s="8"/>
    </row>
    <row r="13952">
      <c r="C13952" s="15"/>
      <c r="E13952" s="8"/>
      <c r="G13952" s="8"/>
      <c r="J13952" s="8"/>
    </row>
    <row r="13953">
      <c r="C13953" s="15"/>
      <c r="E13953" s="8"/>
      <c r="G13953" s="8"/>
      <c r="J13953" s="8"/>
    </row>
    <row r="13954">
      <c r="C13954" s="15"/>
      <c r="E13954" s="8"/>
      <c r="G13954" s="8"/>
      <c r="J13954" s="8"/>
    </row>
    <row r="13955">
      <c r="C13955" s="15"/>
      <c r="E13955" s="8"/>
      <c r="G13955" s="8"/>
      <c r="J13955" s="8"/>
    </row>
    <row r="13956">
      <c r="C13956" s="15"/>
      <c r="E13956" s="8"/>
      <c r="G13956" s="8"/>
      <c r="J13956" s="8"/>
    </row>
    <row r="13957">
      <c r="C13957" s="15"/>
      <c r="E13957" s="8"/>
      <c r="G13957" s="8"/>
      <c r="J13957" s="8"/>
    </row>
    <row r="13958">
      <c r="C13958" s="15"/>
      <c r="E13958" s="8"/>
      <c r="G13958" s="8"/>
      <c r="J13958" s="8"/>
    </row>
    <row r="13959">
      <c r="C13959" s="15"/>
      <c r="E13959" s="8"/>
      <c r="G13959" s="8"/>
      <c r="J13959" s="8"/>
    </row>
    <row r="13960">
      <c r="C13960" s="15"/>
      <c r="E13960" s="8"/>
      <c r="G13960" s="8"/>
      <c r="J13960" s="8"/>
    </row>
    <row r="13961">
      <c r="C13961" s="15"/>
      <c r="E13961" s="8"/>
      <c r="G13961" s="8"/>
      <c r="J13961" s="8"/>
    </row>
    <row r="13962">
      <c r="C13962" s="15"/>
      <c r="E13962" s="8"/>
      <c r="G13962" s="8"/>
      <c r="J13962" s="8"/>
    </row>
    <row r="13963">
      <c r="C13963" s="15"/>
      <c r="E13963" s="8"/>
      <c r="G13963" s="8"/>
      <c r="J13963" s="8"/>
    </row>
    <row r="13964">
      <c r="C13964" s="15"/>
      <c r="E13964" s="8"/>
      <c r="G13964" s="8"/>
      <c r="J13964" s="8"/>
    </row>
    <row r="13965">
      <c r="C13965" s="15"/>
      <c r="E13965" s="8"/>
      <c r="G13965" s="8"/>
      <c r="J13965" s="8"/>
    </row>
    <row r="13966">
      <c r="C13966" s="15"/>
      <c r="E13966" s="8"/>
      <c r="G13966" s="8"/>
      <c r="J13966" s="8"/>
    </row>
    <row r="13967">
      <c r="C13967" s="15"/>
      <c r="E13967" s="8"/>
      <c r="G13967" s="8"/>
      <c r="J13967" s="8"/>
    </row>
    <row r="13968">
      <c r="C13968" s="15"/>
      <c r="E13968" s="8"/>
      <c r="G13968" s="8"/>
      <c r="J13968" s="8"/>
    </row>
    <row r="13969">
      <c r="C13969" s="15"/>
      <c r="E13969" s="8"/>
      <c r="G13969" s="8"/>
      <c r="J13969" s="8"/>
    </row>
    <row r="13970">
      <c r="C13970" s="15"/>
      <c r="E13970" s="8"/>
      <c r="G13970" s="8"/>
      <c r="J13970" s="8"/>
    </row>
    <row r="13971">
      <c r="C13971" s="15"/>
      <c r="E13971" s="8"/>
      <c r="G13971" s="8"/>
      <c r="J13971" s="8"/>
    </row>
    <row r="13972">
      <c r="C13972" s="15"/>
      <c r="E13972" s="8"/>
      <c r="G13972" s="8"/>
      <c r="J13972" s="8"/>
    </row>
    <row r="13973">
      <c r="C13973" s="15"/>
      <c r="E13973" s="8"/>
      <c r="G13973" s="8"/>
      <c r="J13973" s="8"/>
    </row>
    <row r="13974">
      <c r="C13974" s="15"/>
      <c r="E13974" s="8"/>
      <c r="G13974" s="8"/>
      <c r="J13974" s="8"/>
    </row>
    <row r="13975">
      <c r="C13975" s="15"/>
      <c r="E13975" s="8"/>
      <c r="G13975" s="8"/>
      <c r="J13975" s="8"/>
    </row>
    <row r="13976">
      <c r="C13976" s="15"/>
      <c r="E13976" s="8"/>
      <c r="G13976" s="8"/>
      <c r="J13976" s="8"/>
    </row>
    <row r="13977">
      <c r="C13977" s="15"/>
      <c r="E13977" s="8"/>
      <c r="G13977" s="8"/>
      <c r="J13977" s="8"/>
    </row>
    <row r="13978">
      <c r="C13978" s="15"/>
      <c r="E13978" s="8"/>
      <c r="G13978" s="8"/>
      <c r="J13978" s="8"/>
    </row>
    <row r="13979">
      <c r="C13979" s="15"/>
      <c r="E13979" s="8"/>
      <c r="G13979" s="8"/>
      <c r="J13979" s="8"/>
    </row>
    <row r="13980">
      <c r="C13980" s="15"/>
      <c r="E13980" s="8"/>
      <c r="G13980" s="8"/>
      <c r="J13980" s="8"/>
    </row>
    <row r="13981">
      <c r="C13981" s="15"/>
      <c r="E13981" s="8"/>
      <c r="G13981" s="8"/>
      <c r="J13981" s="8"/>
    </row>
    <row r="13982">
      <c r="C13982" s="15"/>
      <c r="E13982" s="8"/>
      <c r="G13982" s="8"/>
      <c r="J13982" s="8"/>
    </row>
    <row r="13983">
      <c r="C13983" s="15"/>
      <c r="E13983" s="8"/>
      <c r="G13983" s="8"/>
      <c r="J13983" s="8"/>
    </row>
    <row r="13984">
      <c r="C13984" s="15"/>
      <c r="E13984" s="8"/>
      <c r="G13984" s="8"/>
      <c r="J13984" s="8"/>
    </row>
    <row r="13985">
      <c r="C13985" s="15"/>
      <c r="E13985" s="8"/>
      <c r="G13985" s="8"/>
      <c r="J13985" s="8"/>
    </row>
    <row r="13986">
      <c r="C13986" s="15"/>
      <c r="E13986" s="8"/>
      <c r="G13986" s="8"/>
      <c r="J13986" s="8"/>
    </row>
    <row r="13987">
      <c r="C13987" s="15"/>
      <c r="E13987" s="8"/>
      <c r="G13987" s="8"/>
      <c r="J13987" s="8"/>
    </row>
    <row r="13988">
      <c r="C13988" s="15"/>
      <c r="E13988" s="8"/>
      <c r="G13988" s="8"/>
      <c r="J13988" s="8"/>
    </row>
    <row r="13989">
      <c r="C13989" s="15"/>
      <c r="E13989" s="8"/>
      <c r="G13989" s="8"/>
      <c r="J13989" s="8"/>
    </row>
    <row r="13990">
      <c r="C13990" s="15"/>
      <c r="E13990" s="8"/>
      <c r="G13990" s="8"/>
      <c r="J13990" s="8"/>
    </row>
    <row r="13991">
      <c r="C13991" s="15"/>
      <c r="E13991" s="8"/>
      <c r="G13991" s="8"/>
      <c r="J13991" s="8"/>
    </row>
    <row r="13992">
      <c r="C13992" s="15"/>
      <c r="E13992" s="8"/>
      <c r="G13992" s="8"/>
      <c r="J13992" s="8"/>
    </row>
    <row r="13993">
      <c r="C13993" s="15"/>
      <c r="E13993" s="8"/>
      <c r="G13993" s="8"/>
      <c r="J13993" s="8"/>
    </row>
    <row r="13994">
      <c r="C13994" s="15"/>
      <c r="E13994" s="8"/>
      <c r="G13994" s="8"/>
      <c r="J13994" s="8"/>
    </row>
    <row r="13995">
      <c r="C13995" s="15"/>
      <c r="E13995" s="8"/>
      <c r="G13995" s="8"/>
      <c r="J13995" s="8"/>
    </row>
    <row r="13996">
      <c r="C13996" s="15"/>
      <c r="E13996" s="8"/>
      <c r="G13996" s="8"/>
      <c r="J13996" s="8"/>
    </row>
    <row r="13997">
      <c r="C13997" s="15"/>
      <c r="E13997" s="8"/>
      <c r="G13997" s="8"/>
      <c r="J13997" s="8"/>
    </row>
    <row r="13998">
      <c r="C13998" s="15"/>
      <c r="E13998" s="8"/>
      <c r="G13998" s="8"/>
      <c r="J13998" s="8"/>
    </row>
    <row r="13999">
      <c r="C13999" s="15"/>
      <c r="E13999" s="8"/>
      <c r="G13999" s="8"/>
      <c r="J13999" s="8"/>
    </row>
    <row r="14000">
      <c r="C14000" s="15"/>
      <c r="E14000" s="8"/>
      <c r="G14000" s="8"/>
      <c r="J14000" s="8"/>
    </row>
    <row r="14001">
      <c r="C14001" s="15"/>
      <c r="E14001" s="8"/>
      <c r="G14001" s="8"/>
      <c r="J14001" s="8"/>
    </row>
    <row r="14002">
      <c r="C14002" s="15"/>
      <c r="E14002" s="8"/>
      <c r="G14002" s="8"/>
      <c r="J14002" s="8"/>
    </row>
    <row r="14003">
      <c r="C14003" s="15"/>
      <c r="E14003" s="8"/>
      <c r="G14003" s="8"/>
      <c r="J14003" s="8"/>
    </row>
    <row r="14004">
      <c r="C14004" s="15"/>
      <c r="E14004" s="8"/>
      <c r="G14004" s="8"/>
      <c r="J14004" s="8"/>
    </row>
    <row r="14005">
      <c r="C14005" s="15"/>
      <c r="E14005" s="8"/>
      <c r="G14005" s="8"/>
      <c r="J14005" s="8"/>
    </row>
    <row r="14006">
      <c r="C14006" s="15"/>
      <c r="E14006" s="8"/>
      <c r="G14006" s="8"/>
      <c r="J14006" s="8"/>
    </row>
    <row r="14007">
      <c r="C14007" s="15"/>
      <c r="E14007" s="8"/>
      <c r="G14007" s="8"/>
      <c r="J14007" s="8"/>
    </row>
    <row r="14008">
      <c r="C14008" s="15"/>
      <c r="E14008" s="8"/>
      <c r="G14008" s="8"/>
      <c r="J14008" s="8"/>
    </row>
    <row r="14009">
      <c r="C14009" s="15"/>
      <c r="E14009" s="8"/>
      <c r="G14009" s="8"/>
      <c r="J14009" s="8"/>
    </row>
    <row r="14010">
      <c r="C14010" s="15"/>
      <c r="E14010" s="8"/>
      <c r="G14010" s="8"/>
      <c r="J14010" s="8"/>
    </row>
    <row r="14011">
      <c r="C14011" s="15"/>
      <c r="E14011" s="8"/>
      <c r="G14011" s="8"/>
      <c r="J14011" s="8"/>
    </row>
    <row r="14012">
      <c r="C14012" s="15"/>
      <c r="E14012" s="8"/>
      <c r="G14012" s="8"/>
      <c r="J14012" s="8"/>
    </row>
    <row r="14013">
      <c r="C14013" s="15"/>
      <c r="E14013" s="8"/>
      <c r="G14013" s="8"/>
      <c r="J14013" s="8"/>
    </row>
    <row r="14014">
      <c r="C14014" s="15"/>
      <c r="E14014" s="8"/>
      <c r="G14014" s="8"/>
      <c r="J14014" s="8"/>
    </row>
    <row r="14015">
      <c r="C14015" s="15"/>
      <c r="E14015" s="8"/>
      <c r="G14015" s="8"/>
      <c r="J14015" s="8"/>
    </row>
    <row r="14016">
      <c r="C14016" s="15"/>
      <c r="E14016" s="8"/>
      <c r="G14016" s="8"/>
      <c r="J14016" s="8"/>
    </row>
    <row r="14017">
      <c r="C14017" s="15"/>
      <c r="E14017" s="8"/>
      <c r="G14017" s="8"/>
      <c r="J14017" s="8"/>
    </row>
    <row r="14018">
      <c r="C14018" s="15"/>
      <c r="E14018" s="8"/>
      <c r="G14018" s="8"/>
      <c r="J14018" s="8"/>
    </row>
    <row r="14019">
      <c r="C14019" s="15"/>
      <c r="E14019" s="8"/>
      <c r="G14019" s="8"/>
      <c r="J14019" s="8"/>
    </row>
    <row r="14020">
      <c r="C14020" s="15"/>
      <c r="E14020" s="8"/>
      <c r="G14020" s="8"/>
      <c r="J14020" s="8"/>
    </row>
    <row r="14021">
      <c r="C14021" s="15"/>
      <c r="E14021" s="8"/>
      <c r="G14021" s="8"/>
      <c r="J14021" s="8"/>
    </row>
    <row r="14022">
      <c r="C14022" s="15"/>
      <c r="E14022" s="8"/>
      <c r="G14022" s="8"/>
      <c r="J14022" s="8"/>
    </row>
    <row r="14023">
      <c r="C14023" s="15"/>
      <c r="E14023" s="8"/>
      <c r="G14023" s="8"/>
      <c r="J14023" s="8"/>
    </row>
    <row r="14024">
      <c r="C14024" s="15"/>
      <c r="E14024" s="8"/>
      <c r="G14024" s="8"/>
      <c r="J14024" s="8"/>
    </row>
    <row r="14025">
      <c r="C14025" s="15"/>
      <c r="E14025" s="8"/>
      <c r="G14025" s="8"/>
      <c r="J14025" s="8"/>
    </row>
    <row r="14026">
      <c r="C14026" s="15"/>
      <c r="E14026" s="8"/>
      <c r="G14026" s="8"/>
      <c r="J14026" s="8"/>
    </row>
    <row r="14027">
      <c r="C14027" s="15"/>
      <c r="E14027" s="8"/>
      <c r="G14027" s="8"/>
      <c r="J14027" s="8"/>
    </row>
    <row r="14028">
      <c r="C14028" s="15"/>
      <c r="E14028" s="8"/>
      <c r="G14028" s="8"/>
      <c r="J14028" s="8"/>
    </row>
    <row r="14029">
      <c r="C14029" s="15"/>
      <c r="E14029" s="8"/>
      <c r="G14029" s="8"/>
      <c r="J14029" s="8"/>
    </row>
    <row r="14030">
      <c r="C14030" s="15"/>
      <c r="E14030" s="8"/>
      <c r="G14030" s="8"/>
      <c r="J14030" s="8"/>
    </row>
    <row r="14031">
      <c r="C14031" s="15"/>
      <c r="E14031" s="8"/>
      <c r="G14031" s="8"/>
      <c r="J14031" s="8"/>
    </row>
    <row r="14032">
      <c r="C14032" s="15"/>
      <c r="E14032" s="8"/>
      <c r="G14032" s="8"/>
      <c r="J14032" s="8"/>
    </row>
    <row r="14033">
      <c r="C14033" s="15"/>
      <c r="E14033" s="8"/>
      <c r="G14033" s="8"/>
      <c r="J14033" s="8"/>
    </row>
    <row r="14034">
      <c r="C14034" s="15"/>
      <c r="E14034" s="8"/>
      <c r="G14034" s="8"/>
      <c r="J14034" s="8"/>
    </row>
    <row r="14035">
      <c r="C14035" s="15"/>
      <c r="E14035" s="8"/>
      <c r="G14035" s="8"/>
      <c r="J14035" s="8"/>
    </row>
    <row r="14036">
      <c r="C14036" s="15"/>
      <c r="E14036" s="8"/>
      <c r="G14036" s="8"/>
      <c r="J14036" s="8"/>
    </row>
    <row r="14037">
      <c r="C14037" s="15"/>
      <c r="E14037" s="8"/>
      <c r="G14037" s="8"/>
      <c r="J14037" s="8"/>
    </row>
    <row r="14038">
      <c r="C14038" s="15"/>
      <c r="E14038" s="8"/>
      <c r="G14038" s="8"/>
      <c r="J14038" s="8"/>
    </row>
    <row r="14039">
      <c r="C14039" s="15"/>
      <c r="E14039" s="8"/>
      <c r="G14039" s="8"/>
      <c r="J14039" s="8"/>
    </row>
    <row r="14040">
      <c r="C14040" s="15"/>
      <c r="E14040" s="8"/>
      <c r="G14040" s="8"/>
      <c r="J14040" s="8"/>
    </row>
    <row r="14041">
      <c r="C14041" s="15"/>
      <c r="E14041" s="8"/>
      <c r="G14041" s="8"/>
      <c r="J14041" s="8"/>
    </row>
    <row r="14042">
      <c r="C14042" s="15"/>
      <c r="E14042" s="8"/>
      <c r="G14042" s="8"/>
      <c r="J14042" s="8"/>
    </row>
    <row r="14043">
      <c r="C14043" s="15"/>
      <c r="E14043" s="8"/>
      <c r="G14043" s="8"/>
      <c r="J14043" s="8"/>
    </row>
    <row r="14044">
      <c r="C14044" s="15"/>
      <c r="E14044" s="8"/>
      <c r="G14044" s="8"/>
      <c r="J14044" s="8"/>
    </row>
    <row r="14045">
      <c r="C14045" s="15"/>
      <c r="E14045" s="8"/>
      <c r="G14045" s="8"/>
      <c r="J14045" s="8"/>
    </row>
    <row r="14046">
      <c r="C14046" s="15"/>
      <c r="E14046" s="8"/>
      <c r="G14046" s="8"/>
      <c r="J14046" s="8"/>
    </row>
    <row r="14047">
      <c r="C14047" s="15"/>
      <c r="E14047" s="8"/>
      <c r="G14047" s="8"/>
      <c r="J14047" s="8"/>
    </row>
    <row r="14048">
      <c r="C14048" s="15"/>
      <c r="E14048" s="8"/>
      <c r="G14048" s="8"/>
      <c r="J14048" s="8"/>
    </row>
    <row r="14049">
      <c r="C14049" s="15"/>
      <c r="E14049" s="8"/>
      <c r="G14049" s="8"/>
      <c r="J14049" s="8"/>
    </row>
    <row r="14050">
      <c r="C14050" s="15"/>
      <c r="E14050" s="8"/>
      <c r="G14050" s="8"/>
      <c r="J14050" s="8"/>
    </row>
    <row r="14051">
      <c r="C14051" s="15"/>
      <c r="E14051" s="8"/>
      <c r="G14051" s="8"/>
      <c r="J14051" s="8"/>
    </row>
    <row r="14052">
      <c r="C14052" s="15"/>
      <c r="E14052" s="8"/>
      <c r="G14052" s="8"/>
      <c r="J14052" s="8"/>
    </row>
    <row r="14053">
      <c r="C14053" s="15"/>
      <c r="E14053" s="8"/>
      <c r="G14053" s="8"/>
      <c r="J14053" s="8"/>
    </row>
    <row r="14054">
      <c r="C14054" s="15"/>
      <c r="E14054" s="8"/>
      <c r="G14054" s="8"/>
      <c r="J14054" s="8"/>
    </row>
    <row r="14055">
      <c r="C14055" s="15"/>
      <c r="E14055" s="8"/>
      <c r="G14055" s="8"/>
      <c r="J14055" s="8"/>
    </row>
    <row r="14056">
      <c r="C14056" s="15"/>
      <c r="E14056" s="8"/>
      <c r="G14056" s="8"/>
      <c r="J14056" s="8"/>
    </row>
    <row r="14057">
      <c r="C14057" s="15"/>
      <c r="E14057" s="8"/>
      <c r="G14057" s="8"/>
      <c r="J14057" s="8"/>
    </row>
    <row r="14058">
      <c r="C14058" s="15"/>
      <c r="E14058" s="8"/>
      <c r="G14058" s="8"/>
      <c r="J14058" s="8"/>
    </row>
    <row r="14059">
      <c r="C14059" s="15"/>
      <c r="E14059" s="8"/>
      <c r="G14059" s="8"/>
      <c r="J14059" s="8"/>
    </row>
    <row r="14060">
      <c r="C14060" s="15"/>
      <c r="E14060" s="8"/>
      <c r="G14060" s="8"/>
      <c r="J14060" s="8"/>
    </row>
    <row r="14061">
      <c r="C14061" s="15"/>
      <c r="E14061" s="8"/>
      <c r="G14061" s="8"/>
      <c r="J14061" s="8"/>
    </row>
    <row r="14062">
      <c r="C14062" s="15"/>
      <c r="E14062" s="8"/>
      <c r="G14062" s="8"/>
      <c r="J14062" s="8"/>
    </row>
    <row r="14063">
      <c r="C14063" s="15"/>
      <c r="E14063" s="8"/>
      <c r="G14063" s="8"/>
      <c r="J14063" s="8"/>
    </row>
    <row r="14064">
      <c r="C14064" s="15"/>
      <c r="E14064" s="8"/>
      <c r="G14064" s="8"/>
      <c r="J14064" s="8"/>
    </row>
    <row r="14065">
      <c r="C14065" s="15"/>
      <c r="E14065" s="8"/>
      <c r="G14065" s="8"/>
      <c r="J14065" s="8"/>
    </row>
    <row r="14066">
      <c r="C14066" s="15"/>
      <c r="E14066" s="8"/>
      <c r="G14066" s="8"/>
      <c r="J14066" s="8"/>
    </row>
    <row r="14067">
      <c r="C14067" s="15"/>
      <c r="E14067" s="8"/>
      <c r="G14067" s="8"/>
      <c r="J14067" s="8"/>
    </row>
    <row r="14068">
      <c r="C14068" s="15"/>
      <c r="E14068" s="8"/>
      <c r="G14068" s="8"/>
      <c r="J14068" s="8"/>
    </row>
    <row r="14069">
      <c r="C14069" s="15"/>
      <c r="E14069" s="8"/>
      <c r="G14069" s="8"/>
      <c r="J14069" s="8"/>
    </row>
    <row r="14070">
      <c r="C14070" s="15"/>
      <c r="E14070" s="8"/>
      <c r="G14070" s="8"/>
      <c r="J14070" s="8"/>
    </row>
    <row r="14071">
      <c r="C14071" s="15"/>
      <c r="E14071" s="8"/>
      <c r="G14071" s="8"/>
      <c r="J14071" s="8"/>
    </row>
    <row r="14072">
      <c r="C14072" s="15"/>
      <c r="E14072" s="8"/>
      <c r="G14072" s="8"/>
      <c r="J14072" s="8"/>
    </row>
    <row r="14073">
      <c r="C14073" s="15"/>
      <c r="E14073" s="8"/>
      <c r="G14073" s="8"/>
      <c r="J14073" s="8"/>
    </row>
    <row r="14074">
      <c r="C14074" s="15"/>
      <c r="E14074" s="8"/>
      <c r="G14074" s="8"/>
      <c r="J14074" s="8"/>
    </row>
    <row r="14075">
      <c r="C14075" s="15"/>
      <c r="E14075" s="8"/>
      <c r="G14075" s="8"/>
      <c r="J14075" s="8"/>
    </row>
    <row r="14076">
      <c r="C14076" s="15"/>
      <c r="E14076" s="8"/>
      <c r="G14076" s="8"/>
      <c r="J14076" s="8"/>
    </row>
    <row r="14077">
      <c r="C14077" s="15"/>
      <c r="E14077" s="8"/>
      <c r="G14077" s="8"/>
      <c r="J14077" s="8"/>
    </row>
    <row r="14078">
      <c r="C14078" s="15"/>
      <c r="E14078" s="8"/>
      <c r="G14078" s="8"/>
      <c r="J14078" s="8"/>
    </row>
    <row r="14079">
      <c r="C14079" s="15"/>
      <c r="E14079" s="8"/>
      <c r="G14079" s="8"/>
      <c r="J14079" s="8"/>
    </row>
    <row r="14080">
      <c r="C14080" s="15"/>
      <c r="E14080" s="8"/>
      <c r="G14080" s="8"/>
      <c r="J14080" s="8"/>
    </row>
    <row r="14081">
      <c r="C14081" s="15"/>
      <c r="E14081" s="8"/>
      <c r="G14081" s="8"/>
      <c r="J14081" s="8"/>
    </row>
    <row r="14082">
      <c r="C14082" s="15"/>
      <c r="E14082" s="8"/>
      <c r="G14082" s="8"/>
      <c r="J14082" s="8"/>
    </row>
    <row r="14083">
      <c r="C14083" s="15"/>
      <c r="E14083" s="8"/>
      <c r="G14083" s="8"/>
      <c r="J14083" s="8"/>
    </row>
    <row r="14084">
      <c r="C14084" s="15"/>
      <c r="E14084" s="8"/>
      <c r="G14084" s="8"/>
      <c r="J14084" s="8"/>
    </row>
    <row r="14085">
      <c r="C14085" s="15"/>
      <c r="E14085" s="8"/>
      <c r="G14085" s="8"/>
      <c r="J14085" s="8"/>
    </row>
    <row r="14086">
      <c r="C14086" s="15"/>
      <c r="E14086" s="8"/>
      <c r="G14086" s="8"/>
      <c r="J14086" s="8"/>
    </row>
    <row r="14087">
      <c r="C14087" s="15"/>
      <c r="E14087" s="8"/>
      <c r="G14087" s="8"/>
      <c r="J14087" s="8"/>
    </row>
    <row r="14088">
      <c r="C14088" s="15"/>
      <c r="E14088" s="8"/>
      <c r="G14088" s="8"/>
      <c r="J14088" s="8"/>
    </row>
    <row r="14089">
      <c r="C14089" s="15"/>
      <c r="E14089" s="8"/>
      <c r="G14089" s="8"/>
      <c r="J14089" s="8"/>
    </row>
    <row r="14090">
      <c r="C14090" s="15"/>
      <c r="E14090" s="8"/>
      <c r="G14090" s="8"/>
      <c r="J14090" s="8"/>
    </row>
    <row r="14091">
      <c r="C14091" s="15"/>
      <c r="E14091" s="8"/>
      <c r="G14091" s="8"/>
      <c r="J14091" s="8"/>
    </row>
    <row r="14092">
      <c r="C14092" s="15"/>
      <c r="E14092" s="8"/>
      <c r="G14092" s="8"/>
      <c r="J14092" s="8"/>
    </row>
    <row r="14093">
      <c r="C14093" s="15"/>
      <c r="E14093" s="8"/>
      <c r="G14093" s="8"/>
      <c r="J14093" s="8"/>
    </row>
    <row r="14094">
      <c r="C14094" s="15"/>
      <c r="E14094" s="8"/>
      <c r="G14094" s="8"/>
      <c r="J14094" s="8"/>
    </row>
    <row r="14095">
      <c r="C14095" s="15"/>
      <c r="E14095" s="8"/>
      <c r="G14095" s="8"/>
      <c r="J14095" s="8"/>
    </row>
    <row r="14096">
      <c r="C14096" s="15"/>
      <c r="E14096" s="8"/>
      <c r="G14096" s="8"/>
      <c r="J14096" s="8"/>
    </row>
    <row r="14097">
      <c r="C14097" s="15"/>
      <c r="E14097" s="8"/>
      <c r="G14097" s="8"/>
      <c r="J14097" s="8"/>
    </row>
    <row r="14098">
      <c r="C14098" s="15"/>
      <c r="E14098" s="8"/>
      <c r="G14098" s="8"/>
      <c r="J14098" s="8"/>
    </row>
    <row r="14099">
      <c r="C14099" s="15"/>
      <c r="E14099" s="8"/>
      <c r="G14099" s="8"/>
      <c r="J14099" s="8"/>
    </row>
    <row r="14100">
      <c r="C14100" s="15"/>
      <c r="E14100" s="8"/>
      <c r="G14100" s="8"/>
      <c r="J14100" s="8"/>
    </row>
    <row r="14101">
      <c r="C14101" s="15"/>
      <c r="E14101" s="8"/>
      <c r="G14101" s="8"/>
      <c r="J14101" s="8"/>
    </row>
    <row r="14102">
      <c r="C14102" s="15"/>
      <c r="E14102" s="8"/>
      <c r="G14102" s="8"/>
      <c r="J14102" s="8"/>
    </row>
    <row r="14103">
      <c r="C14103" s="15"/>
      <c r="E14103" s="8"/>
      <c r="G14103" s="8"/>
      <c r="J14103" s="8"/>
    </row>
    <row r="14104">
      <c r="C14104" s="15"/>
      <c r="E14104" s="8"/>
      <c r="G14104" s="8"/>
      <c r="J14104" s="8"/>
    </row>
    <row r="14105">
      <c r="C14105" s="15"/>
      <c r="E14105" s="8"/>
      <c r="G14105" s="8"/>
      <c r="J14105" s="8"/>
    </row>
    <row r="14106">
      <c r="C14106" s="15"/>
      <c r="E14106" s="8"/>
      <c r="G14106" s="8"/>
      <c r="J14106" s="8"/>
    </row>
    <row r="14107">
      <c r="C14107" s="15"/>
      <c r="E14107" s="8"/>
      <c r="G14107" s="8"/>
      <c r="J14107" s="8"/>
    </row>
    <row r="14108">
      <c r="C14108" s="15"/>
      <c r="E14108" s="8"/>
      <c r="G14108" s="8"/>
      <c r="J14108" s="8"/>
    </row>
    <row r="14109">
      <c r="C14109" s="15"/>
      <c r="E14109" s="8"/>
      <c r="G14109" s="8"/>
      <c r="J14109" s="8"/>
    </row>
    <row r="14110">
      <c r="C14110" s="15"/>
      <c r="E14110" s="8"/>
      <c r="G14110" s="8"/>
      <c r="J14110" s="8"/>
    </row>
    <row r="14111">
      <c r="C14111" s="15"/>
      <c r="E14111" s="8"/>
      <c r="G14111" s="8"/>
      <c r="J14111" s="8"/>
    </row>
    <row r="14112">
      <c r="C14112" s="15"/>
      <c r="E14112" s="8"/>
      <c r="G14112" s="8"/>
      <c r="J14112" s="8"/>
    </row>
    <row r="14113">
      <c r="C14113" s="15"/>
      <c r="E14113" s="8"/>
      <c r="G14113" s="8"/>
      <c r="J14113" s="8"/>
    </row>
    <row r="14114">
      <c r="C14114" s="15"/>
      <c r="E14114" s="8"/>
      <c r="G14114" s="8"/>
      <c r="J14114" s="8"/>
    </row>
    <row r="14115">
      <c r="C14115" s="15"/>
      <c r="E14115" s="8"/>
      <c r="G14115" s="8"/>
      <c r="J14115" s="8"/>
    </row>
    <row r="14116">
      <c r="C14116" s="15"/>
      <c r="E14116" s="8"/>
      <c r="G14116" s="8"/>
      <c r="J14116" s="8"/>
    </row>
    <row r="14117">
      <c r="C14117" s="15"/>
      <c r="E14117" s="8"/>
      <c r="G14117" s="8"/>
      <c r="J14117" s="8"/>
    </row>
    <row r="14118">
      <c r="C14118" s="15"/>
      <c r="E14118" s="8"/>
      <c r="G14118" s="8"/>
      <c r="J14118" s="8"/>
    </row>
    <row r="14119">
      <c r="C14119" s="15"/>
      <c r="E14119" s="8"/>
      <c r="G14119" s="8"/>
      <c r="J14119" s="8"/>
    </row>
    <row r="14120">
      <c r="C14120" s="15"/>
      <c r="E14120" s="8"/>
      <c r="G14120" s="8"/>
      <c r="J14120" s="8"/>
    </row>
    <row r="14121">
      <c r="C14121" s="15"/>
      <c r="E14121" s="8"/>
      <c r="G14121" s="8"/>
      <c r="J14121" s="8"/>
    </row>
    <row r="14122">
      <c r="C14122" s="15"/>
      <c r="E14122" s="8"/>
      <c r="G14122" s="8"/>
      <c r="J14122" s="8"/>
    </row>
    <row r="14123">
      <c r="C14123" s="15"/>
      <c r="E14123" s="8"/>
      <c r="G14123" s="8"/>
      <c r="J14123" s="8"/>
    </row>
    <row r="14124">
      <c r="C14124" s="15"/>
      <c r="E14124" s="8"/>
      <c r="G14124" s="8"/>
      <c r="J14124" s="8"/>
    </row>
    <row r="14125">
      <c r="C14125" s="15"/>
      <c r="E14125" s="8"/>
      <c r="G14125" s="8"/>
      <c r="J14125" s="8"/>
    </row>
    <row r="14126">
      <c r="C14126" s="15"/>
      <c r="E14126" s="8"/>
      <c r="G14126" s="8"/>
      <c r="J14126" s="8"/>
    </row>
    <row r="14127">
      <c r="C14127" s="15"/>
      <c r="E14127" s="8"/>
      <c r="G14127" s="8"/>
      <c r="J14127" s="8"/>
    </row>
    <row r="14128">
      <c r="C14128" s="15"/>
      <c r="E14128" s="8"/>
      <c r="G14128" s="8"/>
      <c r="J14128" s="8"/>
    </row>
    <row r="14129">
      <c r="C14129" s="15"/>
      <c r="E14129" s="8"/>
      <c r="G14129" s="8"/>
      <c r="J14129" s="8"/>
    </row>
    <row r="14130">
      <c r="C14130" s="15"/>
      <c r="E14130" s="8"/>
      <c r="G14130" s="8"/>
      <c r="J14130" s="8"/>
    </row>
    <row r="14131">
      <c r="C14131" s="15"/>
      <c r="E14131" s="8"/>
      <c r="G14131" s="8"/>
      <c r="J14131" s="8"/>
    </row>
    <row r="14132">
      <c r="C14132" s="15"/>
      <c r="E14132" s="8"/>
      <c r="G14132" s="8"/>
      <c r="J14132" s="8"/>
    </row>
    <row r="14133">
      <c r="C14133" s="15"/>
      <c r="E14133" s="8"/>
      <c r="G14133" s="8"/>
      <c r="J14133" s="8"/>
    </row>
    <row r="14134">
      <c r="C14134" s="15"/>
      <c r="E14134" s="8"/>
      <c r="G14134" s="8"/>
      <c r="J14134" s="8"/>
    </row>
    <row r="14135">
      <c r="C14135" s="15"/>
      <c r="E14135" s="8"/>
      <c r="G14135" s="8"/>
      <c r="J14135" s="8"/>
    </row>
    <row r="14136">
      <c r="C14136" s="15"/>
      <c r="E14136" s="8"/>
      <c r="G14136" s="8"/>
      <c r="J14136" s="8"/>
    </row>
    <row r="14137">
      <c r="C14137" s="15"/>
      <c r="E14137" s="8"/>
      <c r="G14137" s="8"/>
      <c r="J14137" s="8"/>
    </row>
    <row r="14138">
      <c r="C14138" s="15"/>
      <c r="E14138" s="8"/>
      <c r="G14138" s="8"/>
      <c r="J14138" s="8"/>
    </row>
    <row r="14139">
      <c r="C14139" s="15"/>
      <c r="E14139" s="8"/>
      <c r="G14139" s="8"/>
      <c r="J14139" s="8"/>
    </row>
    <row r="14140">
      <c r="C14140" s="15"/>
      <c r="E14140" s="8"/>
      <c r="G14140" s="8"/>
      <c r="J14140" s="8"/>
    </row>
    <row r="14141">
      <c r="C14141" s="15"/>
      <c r="E14141" s="8"/>
      <c r="G14141" s="8"/>
      <c r="J14141" s="8"/>
    </row>
    <row r="14142">
      <c r="C14142" s="15"/>
      <c r="E14142" s="8"/>
      <c r="G14142" s="8"/>
      <c r="J14142" s="8"/>
    </row>
    <row r="14143">
      <c r="C14143" s="15"/>
      <c r="E14143" s="8"/>
      <c r="G14143" s="8"/>
      <c r="J14143" s="8"/>
    </row>
    <row r="14144">
      <c r="C14144" s="15"/>
      <c r="E14144" s="8"/>
      <c r="G14144" s="8"/>
      <c r="J14144" s="8"/>
    </row>
    <row r="14145">
      <c r="C14145" s="15"/>
      <c r="E14145" s="8"/>
      <c r="G14145" s="8"/>
      <c r="J14145" s="8"/>
    </row>
    <row r="14146">
      <c r="C14146" s="15"/>
      <c r="E14146" s="8"/>
      <c r="G14146" s="8"/>
      <c r="J14146" s="8"/>
    </row>
    <row r="14147">
      <c r="C14147" s="15"/>
      <c r="E14147" s="8"/>
      <c r="G14147" s="8"/>
      <c r="J14147" s="8"/>
    </row>
    <row r="14148">
      <c r="C14148" s="15"/>
      <c r="E14148" s="8"/>
      <c r="G14148" s="8"/>
      <c r="J14148" s="8"/>
    </row>
    <row r="14149">
      <c r="C14149" s="15"/>
      <c r="E14149" s="8"/>
      <c r="G14149" s="8"/>
      <c r="J14149" s="8"/>
    </row>
    <row r="14150">
      <c r="C14150" s="15"/>
      <c r="E14150" s="8"/>
      <c r="G14150" s="8"/>
      <c r="J14150" s="8"/>
    </row>
    <row r="14151">
      <c r="C14151" s="15"/>
      <c r="E14151" s="8"/>
      <c r="G14151" s="8"/>
      <c r="J14151" s="8"/>
    </row>
    <row r="14152">
      <c r="C14152" s="15"/>
      <c r="E14152" s="8"/>
      <c r="G14152" s="8"/>
      <c r="J14152" s="8"/>
    </row>
    <row r="14153">
      <c r="C14153" s="15"/>
      <c r="E14153" s="8"/>
      <c r="G14153" s="8"/>
      <c r="J14153" s="8"/>
    </row>
    <row r="14154">
      <c r="C14154" s="15"/>
      <c r="E14154" s="8"/>
      <c r="G14154" s="8"/>
      <c r="J14154" s="8"/>
    </row>
    <row r="14155">
      <c r="C14155" s="15"/>
      <c r="E14155" s="8"/>
      <c r="G14155" s="8"/>
      <c r="J14155" s="8"/>
    </row>
    <row r="14156">
      <c r="C14156" s="15"/>
      <c r="E14156" s="8"/>
      <c r="G14156" s="8"/>
      <c r="J14156" s="8"/>
    </row>
    <row r="14157">
      <c r="C14157" s="15"/>
      <c r="E14157" s="8"/>
      <c r="G14157" s="8"/>
      <c r="J14157" s="8"/>
    </row>
    <row r="14158">
      <c r="C14158" s="15"/>
      <c r="E14158" s="8"/>
      <c r="G14158" s="8"/>
      <c r="J14158" s="8"/>
    </row>
    <row r="14159">
      <c r="C14159" s="15"/>
      <c r="E14159" s="8"/>
      <c r="G14159" s="8"/>
      <c r="J14159" s="8"/>
    </row>
    <row r="14160">
      <c r="C14160" s="15"/>
      <c r="E14160" s="8"/>
      <c r="G14160" s="8"/>
      <c r="J14160" s="8"/>
    </row>
    <row r="14161">
      <c r="C14161" s="15"/>
      <c r="E14161" s="8"/>
      <c r="G14161" s="8"/>
      <c r="J14161" s="8"/>
    </row>
    <row r="14162">
      <c r="C14162" s="15"/>
      <c r="E14162" s="8"/>
      <c r="G14162" s="8"/>
      <c r="J14162" s="8"/>
    </row>
    <row r="14163">
      <c r="C14163" s="15"/>
      <c r="E14163" s="8"/>
      <c r="G14163" s="8"/>
      <c r="J14163" s="8"/>
    </row>
    <row r="14164">
      <c r="C14164" s="15"/>
      <c r="E14164" s="8"/>
      <c r="G14164" s="8"/>
      <c r="J14164" s="8"/>
    </row>
    <row r="14165">
      <c r="C14165" s="15"/>
      <c r="E14165" s="8"/>
      <c r="G14165" s="8"/>
      <c r="J14165" s="8"/>
    </row>
    <row r="14166">
      <c r="C14166" s="15"/>
      <c r="E14166" s="8"/>
      <c r="G14166" s="8"/>
      <c r="J14166" s="8"/>
    </row>
    <row r="14167">
      <c r="C14167" s="15"/>
      <c r="E14167" s="8"/>
      <c r="G14167" s="8"/>
      <c r="J14167" s="8"/>
    </row>
    <row r="14168">
      <c r="C14168" s="15"/>
      <c r="E14168" s="8"/>
      <c r="G14168" s="8"/>
      <c r="J14168" s="8"/>
    </row>
    <row r="14169">
      <c r="C14169" s="15"/>
      <c r="E14169" s="8"/>
      <c r="G14169" s="8"/>
      <c r="J14169" s="8"/>
    </row>
    <row r="14170">
      <c r="C14170" s="15"/>
      <c r="E14170" s="8"/>
      <c r="G14170" s="8"/>
      <c r="J14170" s="8"/>
    </row>
    <row r="14171">
      <c r="C14171" s="15"/>
      <c r="E14171" s="8"/>
      <c r="G14171" s="8"/>
      <c r="J14171" s="8"/>
    </row>
    <row r="14172">
      <c r="C14172" s="15"/>
      <c r="E14172" s="8"/>
      <c r="G14172" s="8"/>
      <c r="J14172" s="8"/>
    </row>
    <row r="14173">
      <c r="C14173" s="15"/>
      <c r="E14173" s="8"/>
      <c r="G14173" s="8"/>
      <c r="J14173" s="8"/>
    </row>
    <row r="14174">
      <c r="C14174" s="15"/>
      <c r="E14174" s="8"/>
      <c r="G14174" s="8"/>
      <c r="J14174" s="8"/>
    </row>
    <row r="14175">
      <c r="C14175" s="15"/>
      <c r="E14175" s="8"/>
      <c r="G14175" s="8"/>
      <c r="J14175" s="8"/>
    </row>
    <row r="14176">
      <c r="C14176" s="15"/>
      <c r="E14176" s="8"/>
      <c r="G14176" s="8"/>
      <c r="J14176" s="8"/>
    </row>
    <row r="14177">
      <c r="C14177" s="15"/>
      <c r="E14177" s="8"/>
      <c r="G14177" s="8"/>
      <c r="J14177" s="8"/>
    </row>
    <row r="14178">
      <c r="C14178" s="15"/>
      <c r="E14178" s="8"/>
      <c r="G14178" s="8"/>
      <c r="J14178" s="8"/>
    </row>
    <row r="14179">
      <c r="C14179" s="15"/>
      <c r="E14179" s="8"/>
      <c r="G14179" s="8"/>
      <c r="J14179" s="8"/>
    </row>
    <row r="14180">
      <c r="C14180" s="15"/>
      <c r="E14180" s="8"/>
      <c r="G14180" s="8"/>
      <c r="J14180" s="8"/>
    </row>
    <row r="14181">
      <c r="C14181" s="15"/>
      <c r="E14181" s="8"/>
      <c r="G14181" s="8"/>
      <c r="J14181" s="8"/>
    </row>
    <row r="14182">
      <c r="C14182" s="15"/>
      <c r="E14182" s="8"/>
      <c r="G14182" s="8"/>
      <c r="J14182" s="8"/>
    </row>
    <row r="14183">
      <c r="C14183" s="15"/>
      <c r="E14183" s="8"/>
      <c r="G14183" s="8"/>
      <c r="J14183" s="8"/>
    </row>
    <row r="14184">
      <c r="C14184" s="15"/>
      <c r="E14184" s="8"/>
      <c r="G14184" s="8"/>
      <c r="J14184" s="8"/>
    </row>
    <row r="14185">
      <c r="C14185" s="15"/>
      <c r="E14185" s="8"/>
      <c r="G14185" s="8"/>
      <c r="J14185" s="8"/>
    </row>
    <row r="14186">
      <c r="C14186" s="15"/>
      <c r="E14186" s="8"/>
      <c r="G14186" s="8"/>
      <c r="J14186" s="8"/>
    </row>
    <row r="14187">
      <c r="C14187" s="15"/>
      <c r="E14187" s="8"/>
      <c r="G14187" s="8"/>
      <c r="J14187" s="8"/>
    </row>
    <row r="14188">
      <c r="C14188" s="15"/>
      <c r="E14188" s="8"/>
      <c r="G14188" s="8"/>
      <c r="J14188" s="8"/>
    </row>
    <row r="14189">
      <c r="C14189" s="15"/>
      <c r="E14189" s="8"/>
      <c r="G14189" s="8"/>
      <c r="J14189" s="8"/>
    </row>
    <row r="14190">
      <c r="C14190" s="15"/>
      <c r="E14190" s="8"/>
      <c r="G14190" s="8"/>
      <c r="J14190" s="8"/>
    </row>
    <row r="14191">
      <c r="C14191" s="15"/>
      <c r="E14191" s="8"/>
      <c r="G14191" s="8"/>
      <c r="J14191" s="8"/>
    </row>
    <row r="14192">
      <c r="C14192" s="15"/>
      <c r="E14192" s="8"/>
      <c r="G14192" s="8"/>
      <c r="J14192" s="8"/>
    </row>
    <row r="14193">
      <c r="C14193" s="15"/>
      <c r="E14193" s="8"/>
      <c r="G14193" s="8"/>
      <c r="J14193" s="8"/>
    </row>
    <row r="14194">
      <c r="C14194" s="15"/>
      <c r="E14194" s="8"/>
      <c r="G14194" s="8"/>
      <c r="J14194" s="8"/>
    </row>
    <row r="14195">
      <c r="C14195" s="15"/>
      <c r="E14195" s="8"/>
      <c r="G14195" s="8"/>
      <c r="J14195" s="8"/>
    </row>
    <row r="14196">
      <c r="C14196" s="15"/>
      <c r="E14196" s="8"/>
      <c r="G14196" s="8"/>
      <c r="J14196" s="8"/>
    </row>
    <row r="14197">
      <c r="C14197" s="15"/>
      <c r="E14197" s="8"/>
      <c r="G14197" s="8"/>
      <c r="J14197" s="8"/>
    </row>
    <row r="14198">
      <c r="C14198" s="15"/>
      <c r="E14198" s="8"/>
      <c r="G14198" s="8"/>
      <c r="J14198" s="8"/>
    </row>
    <row r="14199">
      <c r="C14199" s="15"/>
      <c r="E14199" s="8"/>
      <c r="G14199" s="8"/>
      <c r="J14199" s="8"/>
    </row>
    <row r="14200">
      <c r="C14200" s="15"/>
      <c r="E14200" s="8"/>
      <c r="G14200" s="8"/>
      <c r="J14200" s="8"/>
    </row>
    <row r="14201">
      <c r="C14201" s="15"/>
      <c r="E14201" s="8"/>
      <c r="G14201" s="8"/>
      <c r="J14201" s="8"/>
    </row>
    <row r="14202">
      <c r="C14202" s="15"/>
      <c r="E14202" s="8"/>
      <c r="G14202" s="8"/>
      <c r="J14202" s="8"/>
    </row>
    <row r="14203">
      <c r="C14203" s="15"/>
      <c r="E14203" s="8"/>
      <c r="G14203" s="8"/>
      <c r="J14203" s="8"/>
    </row>
    <row r="14204">
      <c r="C14204" s="15"/>
      <c r="E14204" s="8"/>
      <c r="G14204" s="8"/>
      <c r="J14204" s="8"/>
    </row>
    <row r="14205">
      <c r="C14205" s="15"/>
      <c r="E14205" s="8"/>
      <c r="G14205" s="8"/>
      <c r="J14205" s="8"/>
    </row>
    <row r="14206">
      <c r="C14206" s="15"/>
      <c r="E14206" s="8"/>
      <c r="G14206" s="8"/>
      <c r="J14206" s="8"/>
    </row>
    <row r="14207">
      <c r="C14207" s="15"/>
      <c r="E14207" s="8"/>
      <c r="G14207" s="8"/>
      <c r="J14207" s="8"/>
    </row>
    <row r="14208">
      <c r="C14208" s="15"/>
      <c r="E14208" s="8"/>
      <c r="G14208" s="8"/>
      <c r="J14208" s="8"/>
    </row>
    <row r="14209">
      <c r="C14209" s="15"/>
      <c r="E14209" s="8"/>
      <c r="G14209" s="8"/>
      <c r="J14209" s="8"/>
    </row>
    <row r="14210">
      <c r="C14210" s="15"/>
      <c r="E14210" s="8"/>
      <c r="G14210" s="8"/>
      <c r="J14210" s="8"/>
    </row>
    <row r="14211">
      <c r="C14211" s="15"/>
      <c r="E14211" s="8"/>
      <c r="G14211" s="8"/>
      <c r="J14211" s="8"/>
    </row>
    <row r="14212">
      <c r="C14212" s="15"/>
      <c r="E14212" s="8"/>
      <c r="G14212" s="8"/>
      <c r="J14212" s="8"/>
    </row>
    <row r="14213">
      <c r="C14213" s="15"/>
      <c r="E14213" s="8"/>
      <c r="G14213" s="8"/>
      <c r="J14213" s="8"/>
    </row>
    <row r="14214">
      <c r="C14214" s="15"/>
      <c r="E14214" s="8"/>
      <c r="G14214" s="8"/>
      <c r="J14214" s="8"/>
    </row>
    <row r="14215">
      <c r="C14215" s="15"/>
      <c r="E14215" s="8"/>
      <c r="G14215" s="8"/>
      <c r="J14215" s="8"/>
    </row>
    <row r="14216">
      <c r="C14216" s="15"/>
      <c r="E14216" s="8"/>
      <c r="G14216" s="8"/>
      <c r="J14216" s="8"/>
    </row>
    <row r="14217">
      <c r="C14217" s="15"/>
      <c r="E14217" s="8"/>
      <c r="G14217" s="8"/>
      <c r="J14217" s="8"/>
    </row>
    <row r="14218">
      <c r="C14218" s="15"/>
      <c r="E14218" s="8"/>
      <c r="G14218" s="8"/>
      <c r="J14218" s="8"/>
    </row>
    <row r="14219">
      <c r="C14219" s="15"/>
      <c r="E14219" s="8"/>
      <c r="G14219" s="8"/>
      <c r="J14219" s="8"/>
    </row>
    <row r="14220">
      <c r="C14220" s="15"/>
      <c r="E14220" s="8"/>
      <c r="G14220" s="8"/>
      <c r="J14220" s="8"/>
    </row>
    <row r="14221">
      <c r="C14221" s="15"/>
      <c r="E14221" s="8"/>
      <c r="G14221" s="8"/>
      <c r="J14221" s="8"/>
    </row>
    <row r="14222">
      <c r="C14222" s="15"/>
      <c r="E14222" s="8"/>
      <c r="G14222" s="8"/>
      <c r="J14222" s="8"/>
    </row>
    <row r="14223">
      <c r="C14223" s="15"/>
      <c r="E14223" s="8"/>
      <c r="G14223" s="8"/>
      <c r="J14223" s="8"/>
    </row>
    <row r="14224">
      <c r="C14224" s="15"/>
      <c r="E14224" s="8"/>
      <c r="G14224" s="8"/>
      <c r="J14224" s="8"/>
    </row>
    <row r="14225">
      <c r="C14225" s="15"/>
      <c r="E14225" s="8"/>
      <c r="G14225" s="8"/>
      <c r="J14225" s="8"/>
    </row>
    <row r="14226">
      <c r="C14226" s="15"/>
      <c r="E14226" s="8"/>
      <c r="G14226" s="8"/>
      <c r="J14226" s="8"/>
    </row>
    <row r="14227">
      <c r="C14227" s="15"/>
      <c r="E14227" s="8"/>
      <c r="G14227" s="8"/>
      <c r="J14227" s="8"/>
    </row>
    <row r="14228">
      <c r="C14228" s="15"/>
      <c r="E14228" s="8"/>
      <c r="G14228" s="8"/>
      <c r="J14228" s="8"/>
    </row>
    <row r="14229">
      <c r="C14229" s="15"/>
      <c r="E14229" s="8"/>
      <c r="G14229" s="8"/>
      <c r="J14229" s="8"/>
    </row>
    <row r="14230">
      <c r="C14230" s="15"/>
      <c r="E14230" s="8"/>
      <c r="G14230" s="8"/>
      <c r="J14230" s="8"/>
    </row>
    <row r="14231">
      <c r="C14231" s="15"/>
      <c r="E14231" s="8"/>
      <c r="G14231" s="8"/>
      <c r="J14231" s="8"/>
    </row>
    <row r="14232">
      <c r="C14232" s="15"/>
      <c r="E14232" s="8"/>
      <c r="G14232" s="8"/>
      <c r="J14232" s="8"/>
    </row>
    <row r="14233">
      <c r="C14233" s="15"/>
      <c r="E14233" s="8"/>
      <c r="G14233" s="8"/>
      <c r="J14233" s="8"/>
    </row>
    <row r="14234">
      <c r="C14234" s="15"/>
      <c r="E14234" s="8"/>
      <c r="G14234" s="8"/>
      <c r="J14234" s="8"/>
    </row>
    <row r="14235">
      <c r="C14235" s="15"/>
      <c r="E14235" s="8"/>
      <c r="G14235" s="8"/>
      <c r="J14235" s="8"/>
    </row>
    <row r="14236">
      <c r="C14236" s="15"/>
      <c r="E14236" s="8"/>
      <c r="G14236" s="8"/>
      <c r="J14236" s="8"/>
    </row>
    <row r="14237">
      <c r="C14237" s="15"/>
      <c r="E14237" s="8"/>
      <c r="G14237" s="8"/>
      <c r="J14237" s="8"/>
    </row>
    <row r="14238">
      <c r="C14238" s="15"/>
      <c r="E14238" s="8"/>
      <c r="G14238" s="8"/>
      <c r="J14238" s="8"/>
    </row>
    <row r="14239">
      <c r="C14239" s="15"/>
      <c r="E14239" s="8"/>
      <c r="G14239" s="8"/>
      <c r="J14239" s="8"/>
    </row>
    <row r="14240">
      <c r="C14240" s="15"/>
      <c r="E14240" s="8"/>
      <c r="G14240" s="8"/>
      <c r="J14240" s="8"/>
    </row>
    <row r="14241">
      <c r="C14241" s="15"/>
      <c r="E14241" s="8"/>
      <c r="G14241" s="8"/>
      <c r="J14241" s="8"/>
    </row>
    <row r="14242">
      <c r="C14242" s="15"/>
      <c r="E14242" s="8"/>
      <c r="G14242" s="8"/>
      <c r="J14242" s="8"/>
    </row>
    <row r="14243">
      <c r="C14243" s="15"/>
      <c r="E14243" s="8"/>
      <c r="G14243" s="8"/>
      <c r="J14243" s="8"/>
    </row>
    <row r="14244">
      <c r="C14244" s="15"/>
      <c r="E14244" s="8"/>
      <c r="G14244" s="8"/>
      <c r="J14244" s="8"/>
    </row>
    <row r="14245">
      <c r="C14245" s="15"/>
      <c r="E14245" s="8"/>
      <c r="G14245" s="8"/>
      <c r="J14245" s="8"/>
    </row>
    <row r="14246">
      <c r="C14246" s="15"/>
      <c r="E14246" s="8"/>
      <c r="G14246" s="8"/>
      <c r="J14246" s="8"/>
    </row>
    <row r="14247">
      <c r="C14247" s="15"/>
      <c r="E14247" s="8"/>
      <c r="G14247" s="8"/>
      <c r="J14247" s="8"/>
    </row>
    <row r="14248">
      <c r="C14248" s="15"/>
      <c r="E14248" s="8"/>
      <c r="G14248" s="8"/>
      <c r="J14248" s="8"/>
    </row>
    <row r="14249">
      <c r="C14249" s="15"/>
      <c r="E14249" s="8"/>
      <c r="G14249" s="8"/>
      <c r="J14249" s="8"/>
    </row>
    <row r="14250">
      <c r="C14250" s="15"/>
      <c r="E14250" s="8"/>
      <c r="G14250" s="8"/>
      <c r="J14250" s="8"/>
    </row>
    <row r="14251">
      <c r="C14251" s="15"/>
      <c r="E14251" s="8"/>
      <c r="G14251" s="8"/>
      <c r="J14251" s="8"/>
    </row>
    <row r="14252">
      <c r="C14252" s="15"/>
      <c r="E14252" s="8"/>
      <c r="G14252" s="8"/>
      <c r="J14252" s="8"/>
    </row>
    <row r="14253">
      <c r="C14253" s="15"/>
      <c r="E14253" s="8"/>
      <c r="G14253" s="8"/>
      <c r="J14253" s="8"/>
    </row>
    <row r="14254">
      <c r="C14254" s="15"/>
      <c r="E14254" s="8"/>
      <c r="G14254" s="8"/>
      <c r="J14254" s="8"/>
    </row>
    <row r="14255">
      <c r="C14255" s="15"/>
      <c r="E14255" s="8"/>
      <c r="G14255" s="8"/>
      <c r="J14255" s="8"/>
    </row>
    <row r="14256">
      <c r="C14256" s="15"/>
      <c r="E14256" s="8"/>
      <c r="G14256" s="8"/>
      <c r="J14256" s="8"/>
    </row>
    <row r="14257">
      <c r="C14257" s="15"/>
      <c r="E14257" s="8"/>
      <c r="G14257" s="8"/>
      <c r="J14257" s="8"/>
    </row>
    <row r="14258">
      <c r="C14258" s="15"/>
      <c r="E14258" s="8"/>
      <c r="G14258" s="8"/>
      <c r="J14258" s="8"/>
    </row>
    <row r="14259">
      <c r="C14259" s="15"/>
      <c r="E14259" s="8"/>
      <c r="G14259" s="8"/>
      <c r="J14259" s="8"/>
    </row>
    <row r="14260">
      <c r="C14260" s="15"/>
      <c r="E14260" s="8"/>
      <c r="G14260" s="8"/>
      <c r="J14260" s="8"/>
    </row>
    <row r="14261">
      <c r="C14261" s="15"/>
      <c r="E14261" s="8"/>
      <c r="G14261" s="8"/>
      <c r="J14261" s="8"/>
    </row>
    <row r="14262">
      <c r="C14262" s="15"/>
      <c r="E14262" s="8"/>
      <c r="G14262" s="8"/>
      <c r="J14262" s="8"/>
    </row>
    <row r="14263">
      <c r="C14263" s="15"/>
      <c r="E14263" s="8"/>
      <c r="G14263" s="8"/>
      <c r="J14263" s="8"/>
    </row>
    <row r="14264">
      <c r="C14264" s="15"/>
      <c r="E14264" s="8"/>
      <c r="G14264" s="8"/>
      <c r="J14264" s="8"/>
    </row>
    <row r="14265">
      <c r="C14265" s="15"/>
      <c r="E14265" s="8"/>
      <c r="G14265" s="8"/>
      <c r="J14265" s="8"/>
    </row>
    <row r="14266">
      <c r="C14266" s="15"/>
      <c r="E14266" s="8"/>
      <c r="G14266" s="8"/>
      <c r="J14266" s="8"/>
    </row>
    <row r="14267">
      <c r="C14267" s="15"/>
      <c r="E14267" s="8"/>
      <c r="G14267" s="8"/>
      <c r="J14267" s="8"/>
    </row>
    <row r="14268">
      <c r="C14268" s="15"/>
      <c r="E14268" s="8"/>
      <c r="G14268" s="8"/>
      <c r="J14268" s="8"/>
    </row>
    <row r="14269">
      <c r="C14269" s="15"/>
      <c r="E14269" s="8"/>
      <c r="G14269" s="8"/>
      <c r="J14269" s="8"/>
    </row>
    <row r="14270">
      <c r="C14270" s="15"/>
      <c r="E14270" s="8"/>
      <c r="G14270" s="8"/>
      <c r="J14270" s="8"/>
    </row>
    <row r="14271">
      <c r="C14271" s="15"/>
      <c r="E14271" s="8"/>
      <c r="G14271" s="8"/>
      <c r="J14271" s="8"/>
    </row>
    <row r="14272">
      <c r="C14272" s="15"/>
      <c r="E14272" s="8"/>
      <c r="G14272" s="8"/>
      <c r="J14272" s="8"/>
    </row>
    <row r="14273">
      <c r="C14273" s="15"/>
      <c r="E14273" s="8"/>
      <c r="G14273" s="8"/>
      <c r="J14273" s="8"/>
    </row>
    <row r="14274">
      <c r="C14274" s="15"/>
      <c r="E14274" s="8"/>
      <c r="G14274" s="8"/>
      <c r="J14274" s="8"/>
    </row>
    <row r="14275">
      <c r="C14275" s="15"/>
      <c r="E14275" s="8"/>
      <c r="G14275" s="8"/>
      <c r="J14275" s="8"/>
    </row>
    <row r="14276">
      <c r="C14276" s="15"/>
      <c r="E14276" s="8"/>
      <c r="G14276" s="8"/>
      <c r="J14276" s="8"/>
    </row>
    <row r="14277">
      <c r="C14277" s="15"/>
      <c r="E14277" s="8"/>
      <c r="G14277" s="8"/>
      <c r="J14277" s="8"/>
    </row>
    <row r="14278">
      <c r="C14278" s="15"/>
      <c r="E14278" s="8"/>
      <c r="G14278" s="8"/>
      <c r="J14278" s="8"/>
    </row>
    <row r="14279">
      <c r="C14279" s="15"/>
      <c r="E14279" s="8"/>
      <c r="G14279" s="8"/>
      <c r="J14279" s="8"/>
    </row>
    <row r="14280">
      <c r="C14280" s="15"/>
      <c r="E14280" s="8"/>
      <c r="G14280" s="8"/>
      <c r="J14280" s="8"/>
    </row>
    <row r="14281">
      <c r="C14281" s="15"/>
      <c r="E14281" s="8"/>
      <c r="G14281" s="8"/>
      <c r="J14281" s="8"/>
    </row>
    <row r="14282">
      <c r="C14282" s="15"/>
      <c r="E14282" s="8"/>
      <c r="G14282" s="8"/>
      <c r="J14282" s="8"/>
    </row>
    <row r="14283">
      <c r="C14283" s="15"/>
      <c r="E14283" s="8"/>
      <c r="G14283" s="8"/>
      <c r="J14283" s="8"/>
    </row>
    <row r="14284">
      <c r="C14284" s="15"/>
      <c r="E14284" s="8"/>
      <c r="G14284" s="8"/>
      <c r="J14284" s="8"/>
    </row>
    <row r="14285">
      <c r="C14285" s="15"/>
      <c r="E14285" s="8"/>
      <c r="G14285" s="8"/>
      <c r="J14285" s="8"/>
    </row>
    <row r="14286">
      <c r="C14286" s="15"/>
      <c r="E14286" s="8"/>
      <c r="G14286" s="8"/>
      <c r="J14286" s="8"/>
    </row>
    <row r="14287">
      <c r="C14287" s="15"/>
      <c r="E14287" s="8"/>
      <c r="G14287" s="8"/>
      <c r="J14287" s="8"/>
    </row>
    <row r="14288">
      <c r="C14288" s="15"/>
      <c r="E14288" s="8"/>
      <c r="G14288" s="8"/>
      <c r="J14288" s="8"/>
    </row>
    <row r="14289">
      <c r="C14289" s="15"/>
      <c r="E14289" s="8"/>
      <c r="G14289" s="8"/>
      <c r="J14289" s="8"/>
    </row>
    <row r="14290">
      <c r="C14290" s="15"/>
      <c r="E14290" s="8"/>
      <c r="G14290" s="8"/>
      <c r="J14290" s="8"/>
    </row>
    <row r="14291">
      <c r="C14291" s="15"/>
      <c r="E14291" s="8"/>
      <c r="G14291" s="8"/>
      <c r="J14291" s="8"/>
    </row>
    <row r="14292">
      <c r="C14292" s="15"/>
      <c r="E14292" s="8"/>
      <c r="G14292" s="8"/>
      <c r="J14292" s="8"/>
    </row>
    <row r="14293">
      <c r="C14293" s="15"/>
      <c r="E14293" s="8"/>
      <c r="G14293" s="8"/>
      <c r="J14293" s="8"/>
    </row>
    <row r="14294">
      <c r="C14294" s="15"/>
      <c r="E14294" s="8"/>
      <c r="G14294" s="8"/>
      <c r="J14294" s="8"/>
    </row>
    <row r="14295">
      <c r="C14295" s="15"/>
      <c r="E14295" s="8"/>
      <c r="G14295" s="8"/>
      <c r="J14295" s="8"/>
    </row>
    <row r="14296">
      <c r="C14296" s="15"/>
      <c r="E14296" s="8"/>
      <c r="G14296" s="8"/>
      <c r="J14296" s="8"/>
    </row>
    <row r="14297">
      <c r="C14297" s="15"/>
      <c r="E14297" s="8"/>
      <c r="G14297" s="8"/>
      <c r="J14297" s="8"/>
    </row>
    <row r="14298">
      <c r="C14298" s="15"/>
      <c r="E14298" s="8"/>
      <c r="G14298" s="8"/>
      <c r="J14298" s="8"/>
    </row>
    <row r="14299">
      <c r="C14299" s="15"/>
      <c r="E14299" s="8"/>
      <c r="G14299" s="8"/>
      <c r="J14299" s="8"/>
    </row>
    <row r="14300">
      <c r="C14300" s="15"/>
      <c r="E14300" s="8"/>
      <c r="G14300" s="8"/>
      <c r="J14300" s="8"/>
    </row>
    <row r="14301">
      <c r="C14301" s="15"/>
      <c r="E14301" s="8"/>
      <c r="G14301" s="8"/>
      <c r="J14301" s="8"/>
    </row>
    <row r="14302">
      <c r="C14302" s="15"/>
      <c r="E14302" s="8"/>
      <c r="G14302" s="8"/>
      <c r="J14302" s="8"/>
    </row>
    <row r="14303">
      <c r="C14303" s="15"/>
      <c r="E14303" s="8"/>
      <c r="G14303" s="8"/>
      <c r="J14303" s="8"/>
    </row>
    <row r="14304">
      <c r="C14304" s="15"/>
      <c r="E14304" s="8"/>
      <c r="G14304" s="8"/>
      <c r="J14304" s="8"/>
    </row>
    <row r="14305">
      <c r="C14305" s="15"/>
      <c r="E14305" s="8"/>
      <c r="G14305" s="8"/>
      <c r="J14305" s="8"/>
    </row>
    <row r="14306">
      <c r="C14306" s="15"/>
      <c r="E14306" s="8"/>
      <c r="G14306" s="8"/>
      <c r="J14306" s="8"/>
    </row>
    <row r="14307">
      <c r="C14307" s="15"/>
      <c r="E14307" s="8"/>
      <c r="G14307" s="8"/>
      <c r="J14307" s="8"/>
    </row>
    <row r="14308">
      <c r="C14308" s="15"/>
      <c r="E14308" s="8"/>
      <c r="G14308" s="8"/>
      <c r="J14308" s="8"/>
    </row>
    <row r="14309">
      <c r="C14309" s="15"/>
      <c r="E14309" s="8"/>
      <c r="G14309" s="8"/>
      <c r="J14309" s="8"/>
    </row>
    <row r="14310">
      <c r="C14310" s="15"/>
      <c r="E14310" s="8"/>
      <c r="G14310" s="8"/>
      <c r="J14310" s="8"/>
    </row>
    <row r="14311">
      <c r="C14311" s="15"/>
      <c r="E14311" s="8"/>
      <c r="G14311" s="8"/>
      <c r="J14311" s="8"/>
    </row>
    <row r="14312">
      <c r="C14312" s="15"/>
      <c r="E14312" s="8"/>
      <c r="G14312" s="8"/>
      <c r="J14312" s="8"/>
    </row>
    <row r="14313">
      <c r="C14313" s="15"/>
      <c r="E14313" s="8"/>
      <c r="G14313" s="8"/>
      <c r="J14313" s="8"/>
    </row>
    <row r="14314">
      <c r="C14314" s="15"/>
      <c r="E14314" s="8"/>
      <c r="G14314" s="8"/>
      <c r="J14314" s="8"/>
    </row>
    <row r="14315">
      <c r="C14315" s="15"/>
      <c r="E14315" s="8"/>
      <c r="G14315" s="8"/>
      <c r="J14315" s="8"/>
    </row>
    <row r="14316">
      <c r="C14316" s="15"/>
      <c r="E14316" s="8"/>
      <c r="G14316" s="8"/>
      <c r="J14316" s="8"/>
    </row>
    <row r="14317">
      <c r="C14317" s="15"/>
      <c r="E14317" s="8"/>
      <c r="G14317" s="8"/>
      <c r="J14317" s="8"/>
    </row>
    <row r="14318">
      <c r="C14318" s="15"/>
      <c r="E14318" s="8"/>
      <c r="G14318" s="8"/>
      <c r="J14318" s="8"/>
    </row>
    <row r="14319">
      <c r="C14319" s="15"/>
      <c r="E14319" s="8"/>
      <c r="G14319" s="8"/>
      <c r="J14319" s="8"/>
    </row>
    <row r="14320">
      <c r="C14320" s="15"/>
      <c r="E14320" s="8"/>
      <c r="G14320" s="8"/>
      <c r="J14320" s="8"/>
    </row>
    <row r="14321">
      <c r="C14321" s="15"/>
      <c r="E14321" s="8"/>
      <c r="G14321" s="8"/>
      <c r="J14321" s="8"/>
    </row>
    <row r="14322">
      <c r="C14322" s="15"/>
      <c r="E14322" s="8"/>
      <c r="G14322" s="8"/>
      <c r="J14322" s="8"/>
    </row>
    <row r="14323">
      <c r="C14323" s="15"/>
      <c r="E14323" s="8"/>
      <c r="G14323" s="8"/>
      <c r="J14323" s="8"/>
    </row>
    <row r="14324">
      <c r="C14324" s="15"/>
      <c r="E14324" s="8"/>
      <c r="G14324" s="8"/>
      <c r="J14324" s="8"/>
    </row>
    <row r="14325">
      <c r="C14325" s="15"/>
      <c r="E14325" s="8"/>
      <c r="G14325" s="8"/>
      <c r="J14325" s="8"/>
    </row>
    <row r="14326">
      <c r="C14326" s="15"/>
      <c r="E14326" s="8"/>
      <c r="G14326" s="8"/>
      <c r="J14326" s="8"/>
    </row>
    <row r="14327">
      <c r="C14327" s="15"/>
      <c r="E14327" s="8"/>
      <c r="G14327" s="8"/>
      <c r="J14327" s="8"/>
    </row>
    <row r="14328">
      <c r="C14328" s="15"/>
      <c r="E14328" s="8"/>
      <c r="G14328" s="8"/>
      <c r="J14328" s="8"/>
    </row>
    <row r="14329">
      <c r="C14329" s="15"/>
      <c r="E14329" s="8"/>
      <c r="G14329" s="8"/>
      <c r="J14329" s="8"/>
    </row>
    <row r="14330">
      <c r="C14330" s="15"/>
      <c r="E14330" s="8"/>
      <c r="G14330" s="8"/>
      <c r="J14330" s="8"/>
    </row>
    <row r="14331">
      <c r="C14331" s="15"/>
      <c r="E14331" s="8"/>
      <c r="G14331" s="8"/>
      <c r="J14331" s="8"/>
    </row>
    <row r="14332">
      <c r="C14332" s="15"/>
      <c r="E14332" s="8"/>
      <c r="G14332" s="8"/>
      <c r="J14332" s="8"/>
    </row>
    <row r="14333">
      <c r="C14333" s="15"/>
      <c r="E14333" s="8"/>
      <c r="G14333" s="8"/>
      <c r="J14333" s="8"/>
    </row>
    <row r="14334">
      <c r="C14334" s="15"/>
      <c r="E14334" s="8"/>
      <c r="G14334" s="8"/>
      <c r="J14334" s="8"/>
    </row>
    <row r="14335">
      <c r="C14335" s="15"/>
      <c r="E14335" s="8"/>
      <c r="G14335" s="8"/>
      <c r="J14335" s="8"/>
    </row>
    <row r="14336">
      <c r="C14336" s="15"/>
      <c r="E14336" s="8"/>
      <c r="G14336" s="8"/>
      <c r="J14336" s="8"/>
    </row>
    <row r="14337">
      <c r="C14337" s="15"/>
      <c r="E14337" s="8"/>
      <c r="G14337" s="8"/>
      <c r="J14337" s="8"/>
    </row>
    <row r="14338">
      <c r="C14338" s="15"/>
      <c r="E14338" s="8"/>
      <c r="G14338" s="8"/>
      <c r="J14338" s="8"/>
    </row>
    <row r="14339">
      <c r="C14339" s="15"/>
      <c r="E14339" s="8"/>
      <c r="G14339" s="8"/>
      <c r="J14339" s="8"/>
    </row>
    <row r="14340">
      <c r="C14340" s="15"/>
      <c r="E14340" s="8"/>
      <c r="G14340" s="8"/>
      <c r="J14340" s="8"/>
    </row>
    <row r="14341">
      <c r="C14341" s="15"/>
      <c r="E14341" s="8"/>
      <c r="G14341" s="8"/>
      <c r="J14341" s="8"/>
    </row>
    <row r="14342">
      <c r="C14342" s="15"/>
      <c r="E14342" s="8"/>
      <c r="G14342" s="8"/>
      <c r="J14342" s="8"/>
    </row>
    <row r="14343">
      <c r="C14343" s="15"/>
      <c r="E14343" s="8"/>
      <c r="G14343" s="8"/>
      <c r="J14343" s="8"/>
    </row>
    <row r="14344">
      <c r="C14344" s="15"/>
      <c r="E14344" s="8"/>
      <c r="G14344" s="8"/>
      <c r="J14344" s="8"/>
    </row>
    <row r="14345">
      <c r="C14345" s="15"/>
      <c r="E14345" s="8"/>
      <c r="G14345" s="8"/>
      <c r="J14345" s="8"/>
    </row>
    <row r="14346">
      <c r="C14346" s="15"/>
      <c r="E14346" s="8"/>
      <c r="G14346" s="8"/>
      <c r="J14346" s="8"/>
    </row>
    <row r="14347">
      <c r="C14347" s="15"/>
      <c r="E14347" s="8"/>
      <c r="G14347" s="8"/>
      <c r="J14347" s="8"/>
    </row>
    <row r="14348">
      <c r="C14348" s="15"/>
      <c r="E14348" s="8"/>
      <c r="G14348" s="8"/>
      <c r="J14348" s="8"/>
    </row>
    <row r="14349">
      <c r="C14349" s="15"/>
      <c r="E14349" s="8"/>
      <c r="G14349" s="8"/>
      <c r="J14349" s="8"/>
    </row>
    <row r="14350">
      <c r="C14350" s="15"/>
      <c r="E14350" s="8"/>
      <c r="G14350" s="8"/>
      <c r="J14350" s="8"/>
    </row>
    <row r="14351">
      <c r="C14351" s="15"/>
      <c r="E14351" s="8"/>
      <c r="G14351" s="8"/>
      <c r="J14351" s="8"/>
    </row>
    <row r="14352">
      <c r="C14352" s="15"/>
      <c r="E14352" s="8"/>
      <c r="G14352" s="8"/>
      <c r="J14352" s="8"/>
    </row>
    <row r="14353">
      <c r="C14353" s="15"/>
      <c r="E14353" s="8"/>
      <c r="G14353" s="8"/>
      <c r="J14353" s="8"/>
    </row>
    <row r="14354">
      <c r="C14354" s="15"/>
      <c r="E14354" s="8"/>
      <c r="G14354" s="8"/>
      <c r="J14354" s="8"/>
    </row>
    <row r="14355">
      <c r="C14355" s="15"/>
      <c r="E14355" s="8"/>
      <c r="G14355" s="8"/>
      <c r="J14355" s="8"/>
    </row>
    <row r="14356">
      <c r="C14356" s="15"/>
      <c r="E14356" s="8"/>
      <c r="G14356" s="8"/>
      <c r="J14356" s="8"/>
    </row>
    <row r="14357">
      <c r="C14357" s="15"/>
      <c r="E14357" s="8"/>
      <c r="G14357" s="8"/>
      <c r="J14357" s="8"/>
    </row>
    <row r="14358">
      <c r="C14358" s="15"/>
      <c r="E14358" s="8"/>
      <c r="G14358" s="8"/>
      <c r="J14358" s="8"/>
    </row>
    <row r="14359">
      <c r="C14359" s="15"/>
      <c r="E14359" s="8"/>
      <c r="G14359" s="8"/>
      <c r="J14359" s="8"/>
    </row>
    <row r="14360">
      <c r="C14360" s="15"/>
      <c r="E14360" s="8"/>
      <c r="G14360" s="8"/>
      <c r="J14360" s="8"/>
    </row>
    <row r="14361">
      <c r="C14361" s="15"/>
      <c r="E14361" s="8"/>
      <c r="G14361" s="8"/>
      <c r="J14361" s="8"/>
    </row>
    <row r="14362">
      <c r="C14362" s="15"/>
      <c r="E14362" s="8"/>
      <c r="G14362" s="8"/>
      <c r="J14362" s="8"/>
    </row>
    <row r="14363">
      <c r="C14363" s="15"/>
      <c r="E14363" s="8"/>
      <c r="G14363" s="8"/>
      <c r="J14363" s="8"/>
    </row>
    <row r="14364">
      <c r="C14364" s="15"/>
      <c r="E14364" s="8"/>
      <c r="G14364" s="8"/>
      <c r="J14364" s="8"/>
    </row>
    <row r="14365">
      <c r="C14365" s="15"/>
      <c r="E14365" s="8"/>
      <c r="G14365" s="8"/>
      <c r="J14365" s="8"/>
    </row>
    <row r="14366">
      <c r="C14366" s="15"/>
      <c r="E14366" s="8"/>
      <c r="G14366" s="8"/>
      <c r="J14366" s="8"/>
    </row>
    <row r="14367">
      <c r="C14367" s="15"/>
      <c r="E14367" s="8"/>
      <c r="G14367" s="8"/>
      <c r="J14367" s="8"/>
    </row>
    <row r="14368">
      <c r="C14368" s="15"/>
      <c r="E14368" s="8"/>
      <c r="G14368" s="8"/>
      <c r="J14368" s="8"/>
    </row>
    <row r="14369">
      <c r="C14369" s="15"/>
      <c r="E14369" s="8"/>
      <c r="G14369" s="8"/>
      <c r="J14369" s="8"/>
    </row>
    <row r="14370">
      <c r="C14370" s="15"/>
      <c r="E14370" s="8"/>
      <c r="G14370" s="8"/>
      <c r="J14370" s="8"/>
    </row>
    <row r="14371">
      <c r="C14371" s="15"/>
      <c r="E14371" s="8"/>
      <c r="G14371" s="8"/>
      <c r="J14371" s="8"/>
    </row>
    <row r="14372">
      <c r="C14372" s="15"/>
      <c r="E14372" s="8"/>
      <c r="G14372" s="8"/>
      <c r="J14372" s="8"/>
    </row>
    <row r="14373">
      <c r="C14373" s="15"/>
      <c r="E14373" s="8"/>
      <c r="G14373" s="8"/>
      <c r="J14373" s="8"/>
    </row>
    <row r="14374">
      <c r="C14374" s="15"/>
      <c r="E14374" s="8"/>
      <c r="G14374" s="8"/>
      <c r="J14374" s="8"/>
    </row>
    <row r="14375">
      <c r="C14375" s="15"/>
      <c r="E14375" s="8"/>
      <c r="G14375" s="8"/>
      <c r="J14375" s="8"/>
    </row>
    <row r="14376">
      <c r="C14376" s="15"/>
      <c r="E14376" s="8"/>
      <c r="G14376" s="8"/>
      <c r="J14376" s="8"/>
    </row>
    <row r="14377">
      <c r="C14377" s="15"/>
      <c r="E14377" s="8"/>
      <c r="G14377" s="8"/>
      <c r="J14377" s="8"/>
    </row>
    <row r="14378">
      <c r="C14378" s="15"/>
      <c r="E14378" s="8"/>
      <c r="G14378" s="8"/>
      <c r="J14378" s="8"/>
    </row>
    <row r="14379">
      <c r="C14379" s="15"/>
      <c r="E14379" s="8"/>
      <c r="G14379" s="8"/>
      <c r="J14379" s="8"/>
    </row>
    <row r="14380">
      <c r="C14380" s="15"/>
      <c r="E14380" s="8"/>
      <c r="G14380" s="8"/>
      <c r="J14380" s="8"/>
    </row>
    <row r="14381">
      <c r="C14381" s="15"/>
      <c r="E14381" s="8"/>
      <c r="G14381" s="8"/>
      <c r="J14381" s="8"/>
    </row>
    <row r="14382">
      <c r="C14382" s="15"/>
      <c r="E14382" s="8"/>
      <c r="G14382" s="8"/>
      <c r="J14382" s="8"/>
    </row>
    <row r="14383">
      <c r="C14383" s="15"/>
      <c r="E14383" s="8"/>
      <c r="G14383" s="8"/>
      <c r="J14383" s="8"/>
    </row>
    <row r="14384">
      <c r="C14384" s="15"/>
      <c r="E14384" s="8"/>
      <c r="G14384" s="8"/>
      <c r="J14384" s="8"/>
    </row>
    <row r="14385">
      <c r="C14385" s="15"/>
      <c r="E14385" s="8"/>
      <c r="G14385" s="8"/>
      <c r="J14385" s="8"/>
    </row>
    <row r="14386">
      <c r="C14386" s="15"/>
      <c r="E14386" s="8"/>
      <c r="G14386" s="8"/>
      <c r="J14386" s="8"/>
    </row>
    <row r="14387">
      <c r="C14387" s="15"/>
      <c r="E14387" s="8"/>
      <c r="G14387" s="8"/>
      <c r="J14387" s="8"/>
    </row>
    <row r="14388">
      <c r="C14388" s="15"/>
      <c r="E14388" s="8"/>
      <c r="G14388" s="8"/>
      <c r="J14388" s="8"/>
    </row>
    <row r="14389">
      <c r="C14389" s="15"/>
      <c r="E14389" s="8"/>
      <c r="G14389" s="8"/>
      <c r="J14389" s="8"/>
    </row>
    <row r="14390">
      <c r="C14390" s="15"/>
      <c r="E14390" s="8"/>
      <c r="G14390" s="8"/>
      <c r="J14390" s="8"/>
    </row>
    <row r="14391">
      <c r="C14391" s="15"/>
      <c r="E14391" s="8"/>
      <c r="G14391" s="8"/>
      <c r="J14391" s="8"/>
    </row>
    <row r="14392">
      <c r="C14392" s="15"/>
      <c r="E14392" s="8"/>
      <c r="G14392" s="8"/>
      <c r="J14392" s="8"/>
    </row>
    <row r="14393">
      <c r="C14393" s="15"/>
      <c r="E14393" s="8"/>
      <c r="G14393" s="8"/>
      <c r="J14393" s="8"/>
    </row>
    <row r="14394">
      <c r="C14394" s="15"/>
      <c r="E14394" s="8"/>
      <c r="G14394" s="8"/>
      <c r="J14394" s="8"/>
    </row>
    <row r="14395">
      <c r="C14395" s="15"/>
      <c r="E14395" s="8"/>
      <c r="G14395" s="8"/>
      <c r="J14395" s="8"/>
    </row>
    <row r="14396">
      <c r="C14396" s="15"/>
      <c r="E14396" s="8"/>
      <c r="G14396" s="8"/>
      <c r="J14396" s="8"/>
    </row>
    <row r="14397">
      <c r="C14397" s="15"/>
      <c r="E14397" s="8"/>
      <c r="G14397" s="8"/>
      <c r="J14397" s="8"/>
    </row>
    <row r="14398">
      <c r="C14398" s="15"/>
      <c r="E14398" s="8"/>
      <c r="G14398" s="8"/>
      <c r="J14398" s="8"/>
    </row>
    <row r="14399">
      <c r="C14399" s="15"/>
      <c r="E14399" s="8"/>
      <c r="G14399" s="8"/>
      <c r="J14399" s="8"/>
    </row>
    <row r="14400">
      <c r="C14400" s="15"/>
      <c r="E14400" s="8"/>
      <c r="G14400" s="8"/>
      <c r="J14400" s="8"/>
    </row>
    <row r="14401">
      <c r="C14401" s="15"/>
      <c r="E14401" s="8"/>
      <c r="G14401" s="8"/>
      <c r="J14401" s="8"/>
    </row>
    <row r="14402">
      <c r="C14402" s="15"/>
      <c r="E14402" s="8"/>
      <c r="G14402" s="8"/>
      <c r="J14402" s="8"/>
    </row>
    <row r="14403">
      <c r="C14403" s="15"/>
      <c r="E14403" s="8"/>
      <c r="G14403" s="8"/>
      <c r="J14403" s="8"/>
    </row>
    <row r="14404">
      <c r="C14404" s="15"/>
      <c r="E14404" s="8"/>
      <c r="G14404" s="8"/>
      <c r="J14404" s="8"/>
    </row>
    <row r="14405">
      <c r="C14405" s="15"/>
      <c r="E14405" s="8"/>
      <c r="G14405" s="8"/>
      <c r="J14405" s="8"/>
    </row>
    <row r="14406">
      <c r="C14406" s="15"/>
      <c r="E14406" s="8"/>
      <c r="G14406" s="8"/>
      <c r="J14406" s="8"/>
    </row>
    <row r="14407">
      <c r="C14407" s="15"/>
      <c r="E14407" s="8"/>
      <c r="G14407" s="8"/>
      <c r="J14407" s="8"/>
    </row>
    <row r="14408">
      <c r="C14408" s="15"/>
      <c r="E14408" s="8"/>
      <c r="G14408" s="8"/>
      <c r="J14408" s="8"/>
    </row>
    <row r="14409">
      <c r="C14409" s="15"/>
      <c r="E14409" s="8"/>
      <c r="G14409" s="8"/>
      <c r="J14409" s="8"/>
    </row>
    <row r="14410">
      <c r="C14410" s="15"/>
      <c r="E14410" s="8"/>
      <c r="G14410" s="8"/>
      <c r="J14410" s="8"/>
    </row>
    <row r="14411">
      <c r="C14411" s="15"/>
      <c r="E14411" s="8"/>
      <c r="G14411" s="8"/>
      <c r="J14411" s="8"/>
    </row>
    <row r="14412">
      <c r="C14412" s="15"/>
      <c r="E14412" s="8"/>
      <c r="G14412" s="8"/>
      <c r="J14412" s="8"/>
    </row>
    <row r="14413">
      <c r="C14413" s="15"/>
      <c r="E14413" s="8"/>
      <c r="G14413" s="8"/>
      <c r="J14413" s="8"/>
    </row>
    <row r="14414">
      <c r="C14414" s="15"/>
      <c r="E14414" s="8"/>
      <c r="G14414" s="8"/>
      <c r="J14414" s="8"/>
    </row>
    <row r="14415">
      <c r="C14415" s="15"/>
      <c r="E14415" s="8"/>
      <c r="G14415" s="8"/>
      <c r="J14415" s="8"/>
    </row>
    <row r="14416">
      <c r="C14416" s="15"/>
      <c r="E14416" s="8"/>
      <c r="G14416" s="8"/>
      <c r="J14416" s="8"/>
    </row>
    <row r="14417">
      <c r="C14417" s="15"/>
      <c r="E14417" s="8"/>
      <c r="G14417" s="8"/>
      <c r="J14417" s="8"/>
    </row>
    <row r="14418">
      <c r="C14418" s="15"/>
      <c r="E14418" s="8"/>
      <c r="G14418" s="8"/>
      <c r="J14418" s="8"/>
    </row>
    <row r="14419">
      <c r="C14419" s="15"/>
      <c r="E14419" s="8"/>
      <c r="G14419" s="8"/>
      <c r="J14419" s="8"/>
    </row>
    <row r="14420">
      <c r="C14420" s="15"/>
      <c r="E14420" s="8"/>
      <c r="G14420" s="8"/>
      <c r="J14420" s="8"/>
    </row>
    <row r="14421">
      <c r="C14421" s="15"/>
      <c r="E14421" s="8"/>
      <c r="G14421" s="8"/>
      <c r="J14421" s="8"/>
    </row>
    <row r="14422">
      <c r="C14422" s="15"/>
      <c r="E14422" s="8"/>
      <c r="G14422" s="8"/>
      <c r="J14422" s="8"/>
    </row>
    <row r="14423">
      <c r="C14423" s="15"/>
      <c r="E14423" s="8"/>
      <c r="G14423" s="8"/>
      <c r="J14423" s="8"/>
    </row>
    <row r="14424">
      <c r="C14424" s="15"/>
      <c r="E14424" s="8"/>
      <c r="G14424" s="8"/>
      <c r="J14424" s="8"/>
    </row>
    <row r="14425">
      <c r="C14425" s="15"/>
      <c r="E14425" s="8"/>
      <c r="G14425" s="8"/>
      <c r="J14425" s="8"/>
    </row>
    <row r="14426">
      <c r="C14426" s="15"/>
      <c r="E14426" s="8"/>
      <c r="G14426" s="8"/>
      <c r="J14426" s="8"/>
    </row>
    <row r="14427">
      <c r="C14427" s="15"/>
      <c r="E14427" s="8"/>
      <c r="G14427" s="8"/>
      <c r="J14427" s="8"/>
    </row>
    <row r="14428">
      <c r="C14428" s="15"/>
      <c r="E14428" s="8"/>
      <c r="G14428" s="8"/>
      <c r="J14428" s="8"/>
    </row>
    <row r="14429">
      <c r="C14429" s="15"/>
      <c r="E14429" s="8"/>
      <c r="G14429" s="8"/>
      <c r="J14429" s="8"/>
    </row>
    <row r="14430">
      <c r="C14430" s="15"/>
      <c r="E14430" s="8"/>
      <c r="G14430" s="8"/>
      <c r="J14430" s="8"/>
    </row>
    <row r="14431">
      <c r="C14431" s="15"/>
      <c r="E14431" s="8"/>
      <c r="G14431" s="8"/>
      <c r="J14431" s="8"/>
    </row>
    <row r="14432">
      <c r="C14432" s="15"/>
      <c r="E14432" s="8"/>
      <c r="G14432" s="8"/>
      <c r="J14432" s="8"/>
    </row>
    <row r="14433">
      <c r="C14433" s="15"/>
      <c r="E14433" s="8"/>
      <c r="G14433" s="8"/>
      <c r="J14433" s="8"/>
    </row>
    <row r="14434">
      <c r="C14434" s="15"/>
      <c r="E14434" s="8"/>
      <c r="G14434" s="8"/>
      <c r="J14434" s="8"/>
    </row>
    <row r="14435">
      <c r="C14435" s="15"/>
      <c r="E14435" s="8"/>
      <c r="G14435" s="8"/>
      <c r="J14435" s="8"/>
    </row>
    <row r="14436">
      <c r="C14436" s="15"/>
      <c r="E14436" s="8"/>
      <c r="G14436" s="8"/>
      <c r="J14436" s="8"/>
    </row>
    <row r="14437">
      <c r="C14437" s="15"/>
      <c r="E14437" s="8"/>
      <c r="G14437" s="8"/>
      <c r="J14437" s="8"/>
    </row>
    <row r="14438">
      <c r="C14438" s="15"/>
      <c r="E14438" s="8"/>
      <c r="G14438" s="8"/>
      <c r="J14438" s="8"/>
    </row>
    <row r="14439">
      <c r="C14439" s="15"/>
      <c r="E14439" s="8"/>
      <c r="G14439" s="8"/>
      <c r="J14439" s="8"/>
    </row>
    <row r="14440">
      <c r="C14440" s="15"/>
      <c r="E14440" s="8"/>
      <c r="G14440" s="8"/>
      <c r="J14440" s="8"/>
    </row>
    <row r="14441">
      <c r="C14441" s="15"/>
      <c r="E14441" s="8"/>
      <c r="G14441" s="8"/>
      <c r="J14441" s="8"/>
    </row>
    <row r="14442">
      <c r="C14442" s="15"/>
      <c r="E14442" s="8"/>
      <c r="G14442" s="8"/>
      <c r="J14442" s="8"/>
    </row>
    <row r="14443">
      <c r="C14443" s="15"/>
      <c r="E14443" s="8"/>
      <c r="G14443" s="8"/>
      <c r="J14443" s="8"/>
    </row>
    <row r="14444">
      <c r="C14444" s="15"/>
      <c r="E14444" s="8"/>
      <c r="G14444" s="8"/>
      <c r="J14444" s="8"/>
    </row>
    <row r="14445">
      <c r="C14445" s="15"/>
      <c r="E14445" s="8"/>
      <c r="G14445" s="8"/>
      <c r="J14445" s="8"/>
    </row>
    <row r="14446">
      <c r="C14446" s="15"/>
      <c r="E14446" s="8"/>
      <c r="G14446" s="8"/>
      <c r="J14446" s="8"/>
    </row>
    <row r="14447">
      <c r="C14447" s="15"/>
      <c r="E14447" s="8"/>
      <c r="G14447" s="8"/>
      <c r="J14447" s="8"/>
    </row>
    <row r="14448">
      <c r="C14448" s="15"/>
      <c r="E14448" s="8"/>
      <c r="G14448" s="8"/>
      <c r="J14448" s="8"/>
    </row>
    <row r="14449">
      <c r="C14449" s="15"/>
      <c r="E14449" s="8"/>
      <c r="G14449" s="8"/>
      <c r="J14449" s="8"/>
    </row>
    <row r="14450">
      <c r="C14450" s="15"/>
      <c r="E14450" s="8"/>
      <c r="G14450" s="8"/>
      <c r="J14450" s="8"/>
    </row>
    <row r="14451">
      <c r="C14451" s="15"/>
      <c r="E14451" s="8"/>
      <c r="G14451" s="8"/>
      <c r="J14451" s="8"/>
    </row>
    <row r="14452">
      <c r="C14452" s="15"/>
      <c r="E14452" s="8"/>
      <c r="G14452" s="8"/>
      <c r="J14452" s="8"/>
    </row>
    <row r="14453">
      <c r="C14453" s="15"/>
      <c r="E14453" s="8"/>
      <c r="G14453" s="8"/>
      <c r="J14453" s="8"/>
    </row>
    <row r="14454">
      <c r="C14454" s="15"/>
      <c r="E14454" s="8"/>
      <c r="G14454" s="8"/>
      <c r="J14454" s="8"/>
    </row>
    <row r="14455">
      <c r="C14455" s="15"/>
      <c r="E14455" s="8"/>
      <c r="G14455" s="8"/>
      <c r="J14455" s="8"/>
    </row>
    <row r="14456">
      <c r="C14456" s="15"/>
      <c r="E14456" s="8"/>
      <c r="G14456" s="8"/>
      <c r="J14456" s="8"/>
    </row>
    <row r="14457">
      <c r="C14457" s="15"/>
      <c r="E14457" s="8"/>
      <c r="G14457" s="8"/>
      <c r="J14457" s="8"/>
    </row>
    <row r="14458">
      <c r="C14458" s="15"/>
      <c r="E14458" s="8"/>
      <c r="G14458" s="8"/>
      <c r="J14458" s="8"/>
    </row>
    <row r="14459">
      <c r="C14459" s="15"/>
      <c r="E14459" s="8"/>
      <c r="G14459" s="8"/>
      <c r="J14459" s="8"/>
    </row>
    <row r="14460">
      <c r="C14460" s="15"/>
      <c r="E14460" s="8"/>
      <c r="G14460" s="8"/>
      <c r="J14460" s="8"/>
    </row>
    <row r="14461">
      <c r="C14461" s="15"/>
      <c r="E14461" s="8"/>
      <c r="G14461" s="8"/>
      <c r="J14461" s="8"/>
    </row>
    <row r="14462">
      <c r="C14462" s="15"/>
      <c r="E14462" s="8"/>
      <c r="G14462" s="8"/>
      <c r="J14462" s="8"/>
    </row>
    <row r="14463">
      <c r="C14463" s="15"/>
      <c r="E14463" s="8"/>
      <c r="G14463" s="8"/>
      <c r="J14463" s="8"/>
    </row>
    <row r="14464">
      <c r="C14464" s="15"/>
      <c r="E14464" s="8"/>
      <c r="G14464" s="8"/>
      <c r="J14464" s="8"/>
    </row>
    <row r="14465">
      <c r="C14465" s="15"/>
      <c r="E14465" s="8"/>
      <c r="G14465" s="8"/>
      <c r="J14465" s="8"/>
    </row>
    <row r="14466">
      <c r="C14466" s="15"/>
      <c r="E14466" s="8"/>
      <c r="G14466" s="8"/>
      <c r="J14466" s="8"/>
    </row>
    <row r="14467">
      <c r="C14467" s="15"/>
      <c r="E14467" s="8"/>
      <c r="G14467" s="8"/>
      <c r="J14467" s="8"/>
    </row>
    <row r="14468">
      <c r="C14468" s="15"/>
      <c r="E14468" s="8"/>
      <c r="G14468" s="8"/>
      <c r="J14468" s="8"/>
    </row>
    <row r="14469">
      <c r="C14469" s="15"/>
      <c r="E14469" s="8"/>
      <c r="G14469" s="8"/>
      <c r="J14469" s="8"/>
    </row>
    <row r="14470">
      <c r="C14470" s="15"/>
      <c r="E14470" s="8"/>
      <c r="G14470" s="8"/>
      <c r="J14470" s="8"/>
    </row>
    <row r="14471">
      <c r="C14471" s="15"/>
      <c r="E14471" s="8"/>
      <c r="G14471" s="8"/>
      <c r="J14471" s="8"/>
    </row>
    <row r="14472">
      <c r="C14472" s="15"/>
      <c r="E14472" s="8"/>
      <c r="G14472" s="8"/>
      <c r="J14472" s="8"/>
    </row>
    <row r="14473">
      <c r="C14473" s="15"/>
      <c r="E14473" s="8"/>
      <c r="G14473" s="8"/>
      <c r="J14473" s="8"/>
    </row>
    <row r="14474">
      <c r="C14474" s="15"/>
      <c r="E14474" s="8"/>
      <c r="G14474" s="8"/>
      <c r="J14474" s="8"/>
    </row>
    <row r="14475">
      <c r="C14475" s="15"/>
      <c r="E14475" s="8"/>
      <c r="G14475" s="8"/>
      <c r="J14475" s="8"/>
    </row>
    <row r="14476">
      <c r="C14476" s="15"/>
      <c r="E14476" s="8"/>
      <c r="G14476" s="8"/>
      <c r="J14476" s="8"/>
    </row>
    <row r="14477">
      <c r="C14477" s="15"/>
      <c r="E14477" s="8"/>
      <c r="G14477" s="8"/>
      <c r="J14477" s="8"/>
    </row>
    <row r="14478">
      <c r="C14478" s="15"/>
      <c r="E14478" s="8"/>
      <c r="G14478" s="8"/>
      <c r="J14478" s="8"/>
    </row>
    <row r="14479">
      <c r="C14479" s="15"/>
      <c r="E14479" s="8"/>
      <c r="G14479" s="8"/>
      <c r="J14479" s="8"/>
    </row>
    <row r="14480">
      <c r="C14480" s="15"/>
      <c r="E14480" s="8"/>
      <c r="G14480" s="8"/>
      <c r="J14480" s="8"/>
    </row>
    <row r="14481">
      <c r="C14481" s="15"/>
      <c r="E14481" s="8"/>
      <c r="G14481" s="8"/>
      <c r="J14481" s="8"/>
    </row>
    <row r="14482">
      <c r="C14482" s="15"/>
      <c r="E14482" s="8"/>
      <c r="G14482" s="8"/>
      <c r="J14482" s="8"/>
    </row>
    <row r="14483">
      <c r="C14483" s="15"/>
      <c r="E14483" s="8"/>
      <c r="G14483" s="8"/>
      <c r="J14483" s="8"/>
    </row>
    <row r="14484">
      <c r="C14484" s="15"/>
      <c r="E14484" s="8"/>
      <c r="G14484" s="8"/>
      <c r="J14484" s="8"/>
    </row>
    <row r="14485">
      <c r="C14485" s="15"/>
      <c r="E14485" s="8"/>
      <c r="G14485" s="8"/>
      <c r="J14485" s="8"/>
    </row>
    <row r="14486">
      <c r="C14486" s="15"/>
      <c r="E14486" s="8"/>
      <c r="G14486" s="8"/>
      <c r="J14486" s="8"/>
    </row>
    <row r="14487">
      <c r="C14487" s="15"/>
      <c r="E14487" s="8"/>
      <c r="G14487" s="8"/>
      <c r="J14487" s="8"/>
    </row>
    <row r="14488">
      <c r="C14488" s="15"/>
      <c r="E14488" s="8"/>
      <c r="G14488" s="8"/>
      <c r="J14488" s="8"/>
    </row>
    <row r="14489">
      <c r="C14489" s="15"/>
      <c r="E14489" s="8"/>
      <c r="G14489" s="8"/>
      <c r="J14489" s="8"/>
    </row>
    <row r="14490">
      <c r="C14490" s="15"/>
      <c r="E14490" s="8"/>
      <c r="G14490" s="8"/>
      <c r="J14490" s="8"/>
    </row>
    <row r="14491">
      <c r="C14491" s="15"/>
      <c r="E14491" s="8"/>
      <c r="G14491" s="8"/>
      <c r="J14491" s="8"/>
    </row>
    <row r="14492">
      <c r="C14492" s="15"/>
      <c r="E14492" s="8"/>
      <c r="G14492" s="8"/>
      <c r="J14492" s="8"/>
    </row>
    <row r="14493">
      <c r="C14493" s="15"/>
      <c r="E14493" s="8"/>
      <c r="G14493" s="8"/>
      <c r="J14493" s="8"/>
    </row>
    <row r="14494">
      <c r="C14494" s="15"/>
      <c r="E14494" s="8"/>
      <c r="G14494" s="8"/>
      <c r="J14494" s="8"/>
    </row>
    <row r="14495">
      <c r="C14495" s="15"/>
      <c r="E14495" s="8"/>
      <c r="G14495" s="8"/>
      <c r="J14495" s="8"/>
    </row>
    <row r="14496">
      <c r="C14496" s="15"/>
      <c r="E14496" s="8"/>
      <c r="G14496" s="8"/>
      <c r="J14496" s="8"/>
    </row>
    <row r="14497">
      <c r="C14497" s="15"/>
      <c r="E14497" s="8"/>
      <c r="G14497" s="8"/>
      <c r="J14497" s="8"/>
    </row>
    <row r="14498">
      <c r="C14498" s="15"/>
      <c r="E14498" s="8"/>
      <c r="G14498" s="8"/>
      <c r="J14498" s="8"/>
    </row>
    <row r="14499">
      <c r="C14499" s="15"/>
      <c r="E14499" s="8"/>
      <c r="G14499" s="8"/>
      <c r="J14499" s="8"/>
    </row>
    <row r="14500">
      <c r="C14500" s="15"/>
      <c r="E14500" s="8"/>
      <c r="G14500" s="8"/>
      <c r="J14500" s="8"/>
    </row>
    <row r="14501">
      <c r="C14501" s="15"/>
      <c r="E14501" s="8"/>
      <c r="G14501" s="8"/>
      <c r="J14501" s="8"/>
    </row>
    <row r="14502">
      <c r="C14502" s="15"/>
      <c r="E14502" s="8"/>
      <c r="G14502" s="8"/>
      <c r="J14502" s="8"/>
    </row>
    <row r="14503">
      <c r="C14503" s="15"/>
      <c r="E14503" s="8"/>
      <c r="G14503" s="8"/>
      <c r="J14503" s="8"/>
    </row>
    <row r="14504">
      <c r="C14504" s="15"/>
      <c r="E14504" s="8"/>
      <c r="G14504" s="8"/>
      <c r="J14504" s="8"/>
    </row>
    <row r="14505">
      <c r="C14505" s="15"/>
      <c r="E14505" s="8"/>
      <c r="G14505" s="8"/>
      <c r="J14505" s="8"/>
    </row>
    <row r="14506">
      <c r="C14506" s="15"/>
      <c r="E14506" s="8"/>
      <c r="G14506" s="8"/>
      <c r="J14506" s="8"/>
    </row>
    <row r="14507">
      <c r="C14507" s="15"/>
      <c r="E14507" s="8"/>
      <c r="G14507" s="8"/>
      <c r="J14507" s="8"/>
    </row>
    <row r="14508">
      <c r="C14508" s="15"/>
      <c r="E14508" s="8"/>
      <c r="G14508" s="8"/>
      <c r="J14508" s="8"/>
    </row>
    <row r="14509">
      <c r="C14509" s="15"/>
      <c r="E14509" s="8"/>
      <c r="G14509" s="8"/>
      <c r="J14509" s="8"/>
    </row>
    <row r="14510">
      <c r="C14510" s="15"/>
      <c r="E14510" s="8"/>
      <c r="G14510" s="8"/>
      <c r="J14510" s="8"/>
    </row>
    <row r="14511">
      <c r="C14511" s="15"/>
      <c r="E14511" s="8"/>
      <c r="G14511" s="8"/>
      <c r="J14511" s="8"/>
    </row>
    <row r="14512">
      <c r="C14512" s="15"/>
      <c r="E14512" s="8"/>
      <c r="G14512" s="8"/>
      <c r="J14512" s="8"/>
    </row>
    <row r="14513">
      <c r="C14513" s="15"/>
      <c r="E14513" s="8"/>
      <c r="G14513" s="8"/>
      <c r="J14513" s="8"/>
    </row>
    <row r="14514">
      <c r="C14514" s="15"/>
      <c r="E14514" s="8"/>
      <c r="G14514" s="8"/>
      <c r="J14514" s="8"/>
    </row>
    <row r="14515">
      <c r="C14515" s="15"/>
      <c r="E14515" s="8"/>
      <c r="G14515" s="8"/>
      <c r="J14515" s="8"/>
    </row>
    <row r="14516">
      <c r="C14516" s="15"/>
      <c r="E14516" s="8"/>
      <c r="G14516" s="8"/>
      <c r="J14516" s="8"/>
    </row>
    <row r="14517">
      <c r="C14517" s="15"/>
      <c r="E14517" s="8"/>
      <c r="G14517" s="8"/>
      <c r="J14517" s="8"/>
    </row>
    <row r="14518">
      <c r="C14518" s="15"/>
      <c r="E14518" s="8"/>
      <c r="G14518" s="8"/>
      <c r="J14518" s="8"/>
    </row>
    <row r="14519">
      <c r="C14519" s="15"/>
      <c r="E14519" s="8"/>
      <c r="G14519" s="8"/>
      <c r="J14519" s="8"/>
    </row>
    <row r="14520">
      <c r="C14520" s="15"/>
      <c r="E14520" s="8"/>
      <c r="G14520" s="8"/>
      <c r="J14520" s="8"/>
    </row>
    <row r="14521">
      <c r="C14521" s="15"/>
      <c r="E14521" s="8"/>
      <c r="G14521" s="8"/>
      <c r="J14521" s="8"/>
    </row>
    <row r="14522">
      <c r="C14522" s="15"/>
      <c r="E14522" s="8"/>
      <c r="G14522" s="8"/>
      <c r="J14522" s="8"/>
    </row>
    <row r="14523">
      <c r="C14523" s="15"/>
      <c r="E14523" s="8"/>
      <c r="G14523" s="8"/>
      <c r="J14523" s="8"/>
    </row>
    <row r="14524">
      <c r="C14524" s="15"/>
      <c r="E14524" s="8"/>
      <c r="G14524" s="8"/>
      <c r="J14524" s="8"/>
    </row>
    <row r="14525">
      <c r="C14525" s="15"/>
      <c r="E14525" s="8"/>
      <c r="G14525" s="8"/>
      <c r="J14525" s="8"/>
    </row>
    <row r="14526">
      <c r="C14526" s="15"/>
      <c r="E14526" s="8"/>
      <c r="G14526" s="8"/>
      <c r="J14526" s="8"/>
    </row>
    <row r="14527">
      <c r="C14527" s="15"/>
      <c r="E14527" s="8"/>
      <c r="G14527" s="8"/>
      <c r="J14527" s="8"/>
    </row>
    <row r="14528">
      <c r="C14528" s="15"/>
      <c r="E14528" s="8"/>
      <c r="G14528" s="8"/>
      <c r="J14528" s="8"/>
    </row>
    <row r="14529">
      <c r="C14529" s="15"/>
      <c r="E14529" s="8"/>
      <c r="G14529" s="8"/>
      <c r="J14529" s="8"/>
    </row>
    <row r="14530">
      <c r="C14530" s="15"/>
      <c r="E14530" s="8"/>
      <c r="G14530" s="8"/>
      <c r="J14530" s="8"/>
    </row>
    <row r="14531">
      <c r="C14531" s="15"/>
      <c r="E14531" s="8"/>
      <c r="G14531" s="8"/>
      <c r="J14531" s="8"/>
    </row>
    <row r="14532">
      <c r="C14532" s="15"/>
      <c r="E14532" s="8"/>
      <c r="G14532" s="8"/>
      <c r="J14532" s="8"/>
    </row>
    <row r="14533">
      <c r="C14533" s="15"/>
      <c r="E14533" s="8"/>
      <c r="G14533" s="8"/>
      <c r="J14533" s="8"/>
    </row>
    <row r="14534">
      <c r="C14534" s="15"/>
      <c r="E14534" s="8"/>
      <c r="G14534" s="8"/>
      <c r="J14534" s="8"/>
    </row>
    <row r="14535">
      <c r="C14535" s="15"/>
      <c r="E14535" s="8"/>
      <c r="G14535" s="8"/>
      <c r="J14535" s="8"/>
    </row>
    <row r="14536">
      <c r="C14536" s="15"/>
      <c r="E14536" s="8"/>
      <c r="G14536" s="8"/>
      <c r="J14536" s="8"/>
    </row>
    <row r="14537">
      <c r="C14537" s="15"/>
      <c r="E14537" s="8"/>
      <c r="G14537" s="8"/>
      <c r="J14537" s="8"/>
    </row>
    <row r="14538">
      <c r="C14538" s="15"/>
      <c r="E14538" s="8"/>
      <c r="G14538" s="8"/>
      <c r="J14538" s="8"/>
    </row>
    <row r="14539">
      <c r="C14539" s="15"/>
      <c r="E14539" s="8"/>
      <c r="G14539" s="8"/>
      <c r="J14539" s="8"/>
    </row>
    <row r="14540">
      <c r="C14540" s="15"/>
      <c r="E14540" s="8"/>
      <c r="G14540" s="8"/>
      <c r="J14540" s="8"/>
    </row>
    <row r="14541">
      <c r="C14541" s="15"/>
      <c r="E14541" s="8"/>
      <c r="G14541" s="8"/>
      <c r="J14541" s="8"/>
    </row>
    <row r="14542">
      <c r="C14542" s="15"/>
      <c r="E14542" s="8"/>
      <c r="G14542" s="8"/>
      <c r="J14542" s="8"/>
    </row>
    <row r="14543">
      <c r="C14543" s="15"/>
      <c r="E14543" s="8"/>
      <c r="G14543" s="8"/>
      <c r="J14543" s="8"/>
    </row>
    <row r="14544">
      <c r="C14544" s="15"/>
      <c r="E14544" s="8"/>
      <c r="G14544" s="8"/>
      <c r="J14544" s="8"/>
    </row>
    <row r="14545">
      <c r="C14545" s="15"/>
      <c r="E14545" s="8"/>
      <c r="G14545" s="8"/>
      <c r="J14545" s="8"/>
    </row>
    <row r="14546">
      <c r="C14546" s="15"/>
      <c r="E14546" s="8"/>
      <c r="G14546" s="8"/>
      <c r="J14546" s="8"/>
    </row>
    <row r="14547">
      <c r="C14547" s="15"/>
      <c r="E14547" s="8"/>
      <c r="G14547" s="8"/>
      <c r="J14547" s="8"/>
    </row>
    <row r="14548">
      <c r="C14548" s="15"/>
      <c r="E14548" s="8"/>
      <c r="G14548" s="8"/>
      <c r="J14548" s="8"/>
    </row>
    <row r="14549">
      <c r="C14549" s="15"/>
      <c r="E14549" s="8"/>
      <c r="G14549" s="8"/>
      <c r="J14549" s="8"/>
    </row>
    <row r="14550">
      <c r="C14550" s="15"/>
      <c r="E14550" s="8"/>
      <c r="G14550" s="8"/>
      <c r="J14550" s="8"/>
    </row>
    <row r="14551">
      <c r="C14551" s="15"/>
      <c r="E14551" s="8"/>
      <c r="G14551" s="8"/>
      <c r="J14551" s="8"/>
    </row>
    <row r="14552">
      <c r="C14552" s="15"/>
      <c r="E14552" s="8"/>
      <c r="G14552" s="8"/>
      <c r="J14552" s="8"/>
    </row>
    <row r="14553">
      <c r="C14553" s="15"/>
      <c r="E14553" s="8"/>
      <c r="G14553" s="8"/>
      <c r="J14553" s="8"/>
    </row>
    <row r="14554">
      <c r="C14554" s="15"/>
      <c r="E14554" s="8"/>
      <c r="G14554" s="8"/>
      <c r="J14554" s="8"/>
    </row>
    <row r="14555">
      <c r="C14555" s="15"/>
      <c r="E14555" s="8"/>
      <c r="G14555" s="8"/>
      <c r="J14555" s="8"/>
    </row>
    <row r="14556">
      <c r="C14556" s="15"/>
      <c r="E14556" s="8"/>
      <c r="G14556" s="8"/>
      <c r="J14556" s="8"/>
    </row>
    <row r="14557">
      <c r="C14557" s="15"/>
      <c r="E14557" s="8"/>
      <c r="G14557" s="8"/>
      <c r="J14557" s="8"/>
    </row>
    <row r="14558">
      <c r="C14558" s="15"/>
      <c r="E14558" s="8"/>
      <c r="G14558" s="8"/>
      <c r="J14558" s="8"/>
    </row>
    <row r="14559">
      <c r="C14559" s="15"/>
      <c r="E14559" s="8"/>
      <c r="G14559" s="8"/>
      <c r="J14559" s="8"/>
    </row>
    <row r="14560">
      <c r="C14560" s="15"/>
      <c r="E14560" s="8"/>
      <c r="G14560" s="8"/>
      <c r="J14560" s="8"/>
    </row>
    <row r="14561">
      <c r="C14561" s="15"/>
      <c r="E14561" s="8"/>
      <c r="G14561" s="8"/>
      <c r="J14561" s="8"/>
    </row>
    <row r="14562">
      <c r="C14562" s="15"/>
      <c r="E14562" s="8"/>
      <c r="G14562" s="8"/>
      <c r="J14562" s="8"/>
    </row>
    <row r="14563">
      <c r="C14563" s="15"/>
      <c r="E14563" s="8"/>
      <c r="G14563" s="8"/>
      <c r="J14563" s="8"/>
    </row>
    <row r="14564">
      <c r="C14564" s="15"/>
      <c r="E14564" s="8"/>
      <c r="G14564" s="8"/>
      <c r="J14564" s="8"/>
    </row>
    <row r="14565">
      <c r="C14565" s="15"/>
      <c r="E14565" s="8"/>
      <c r="G14565" s="8"/>
      <c r="J14565" s="8"/>
    </row>
    <row r="14566">
      <c r="C14566" s="15"/>
      <c r="E14566" s="8"/>
      <c r="G14566" s="8"/>
      <c r="J14566" s="8"/>
    </row>
    <row r="14567">
      <c r="C14567" s="15"/>
      <c r="E14567" s="8"/>
      <c r="G14567" s="8"/>
      <c r="J14567" s="8"/>
    </row>
    <row r="14568">
      <c r="C14568" s="15"/>
      <c r="E14568" s="8"/>
      <c r="G14568" s="8"/>
      <c r="J14568" s="8"/>
    </row>
    <row r="14569">
      <c r="C14569" s="15"/>
      <c r="E14569" s="8"/>
      <c r="G14569" s="8"/>
      <c r="J14569" s="8"/>
    </row>
    <row r="14570">
      <c r="C14570" s="15"/>
      <c r="E14570" s="8"/>
      <c r="G14570" s="8"/>
      <c r="J14570" s="8"/>
    </row>
    <row r="14571">
      <c r="C14571" s="15"/>
      <c r="E14571" s="8"/>
      <c r="G14571" s="8"/>
      <c r="J14571" s="8"/>
    </row>
    <row r="14572">
      <c r="C14572" s="15"/>
      <c r="E14572" s="8"/>
      <c r="G14572" s="8"/>
      <c r="J14572" s="8"/>
    </row>
    <row r="14573">
      <c r="C14573" s="15"/>
      <c r="E14573" s="8"/>
      <c r="G14573" s="8"/>
      <c r="J14573" s="8"/>
    </row>
    <row r="14574">
      <c r="C14574" s="15"/>
      <c r="E14574" s="8"/>
      <c r="G14574" s="8"/>
      <c r="J14574" s="8"/>
    </row>
    <row r="14575">
      <c r="C14575" s="15"/>
      <c r="E14575" s="8"/>
      <c r="G14575" s="8"/>
      <c r="J14575" s="8"/>
    </row>
    <row r="14576">
      <c r="C14576" s="15"/>
      <c r="E14576" s="8"/>
      <c r="G14576" s="8"/>
      <c r="J14576" s="8"/>
    </row>
    <row r="14577">
      <c r="C14577" s="15"/>
      <c r="E14577" s="8"/>
      <c r="G14577" s="8"/>
      <c r="J14577" s="8"/>
    </row>
    <row r="14578">
      <c r="C14578" s="15"/>
      <c r="E14578" s="8"/>
      <c r="G14578" s="8"/>
      <c r="J14578" s="8"/>
    </row>
    <row r="14579">
      <c r="C14579" s="15"/>
      <c r="E14579" s="8"/>
      <c r="G14579" s="8"/>
      <c r="J14579" s="8"/>
    </row>
    <row r="14580">
      <c r="C14580" s="15"/>
      <c r="E14580" s="8"/>
      <c r="G14580" s="8"/>
      <c r="J14580" s="8"/>
    </row>
    <row r="14581">
      <c r="C14581" s="15"/>
      <c r="E14581" s="8"/>
      <c r="G14581" s="8"/>
      <c r="J14581" s="8"/>
    </row>
    <row r="14582">
      <c r="C14582" s="15"/>
      <c r="E14582" s="8"/>
      <c r="G14582" s="8"/>
      <c r="J14582" s="8"/>
    </row>
    <row r="14583">
      <c r="C14583" s="15"/>
      <c r="E14583" s="8"/>
      <c r="G14583" s="8"/>
      <c r="J14583" s="8"/>
    </row>
    <row r="14584">
      <c r="C14584" s="15"/>
      <c r="E14584" s="8"/>
      <c r="G14584" s="8"/>
      <c r="J14584" s="8"/>
    </row>
    <row r="14585">
      <c r="C14585" s="15"/>
      <c r="E14585" s="8"/>
      <c r="G14585" s="8"/>
      <c r="J14585" s="8"/>
    </row>
    <row r="14586">
      <c r="C14586" s="15"/>
      <c r="E14586" s="8"/>
      <c r="G14586" s="8"/>
      <c r="J14586" s="8"/>
    </row>
    <row r="14587">
      <c r="C14587" s="15"/>
      <c r="E14587" s="8"/>
      <c r="G14587" s="8"/>
      <c r="J14587" s="8"/>
    </row>
    <row r="14588">
      <c r="C14588" s="15"/>
      <c r="E14588" s="8"/>
      <c r="G14588" s="8"/>
      <c r="J14588" s="8"/>
    </row>
    <row r="14589">
      <c r="C14589" s="15"/>
      <c r="E14589" s="8"/>
      <c r="G14589" s="8"/>
      <c r="J14589" s="8"/>
    </row>
    <row r="14590">
      <c r="C14590" s="15"/>
      <c r="E14590" s="8"/>
      <c r="G14590" s="8"/>
      <c r="J14590" s="8"/>
    </row>
    <row r="14591">
      <c r="C14591" s="15"/>
      <c r="E14591" s="8"/>
      <c r="G14591" s="8"/>
      <c r="J14591" s="8"/>
    </row>
    <row r="14592">
      <c r="C14592" s="15"/>
      <c r="E14592" s="8"/>
      <c r="G14592" s="8"/>
      <c r="J14592" s="8"/>
    </row>
    <row r="14593">
      <c r="C14593" s="15"/>
      <c r="E14593" s="8"/>
      <c r="G14593" s="8"/>
      <c r="J14593" s="8"/>
    </row>
    <row r="14594">
      <c r="C14594" s="15"/>
      <c r="E14594" s="8"/>
      <c r="G14594" s="8"/>
      <c r="J14594" s="8"/>
    </row>
    <row r="14595">
      <c r="C14595" s="15"/>
      <c r="E14595" s="8"/>
      <c r="G14595" s="8"/>
      <c r="J14595" s="8"/>
    </row>
    <row r="14596">
      <c r="C14596" s="15"/>
      <c r="E14596" s="8"/>
      <c r="G14596" s="8"/>
      <c r="J14596" s="8"/>
    </row>
    <row r="14597">
      <c r="C14597" s="15"/>
      <c r="E14597" s="8"/>
      <c r="G14597" s="8"/>
      <c r="J14597" s="8"/>
    </row>
    <row r="14598">
      <c r="C14598" s="15"/>
      <c r="E14598" s="8"/>
      <c r="G14598" s="8"/>
      <c r="J14598" s="8"/>
    </row>
    <row r="14599">
      <c r="C14599" s="15"/>
      <c r="E14599" s="8"/>
      <c r="G14599" s="8"/>
      <c r="J14599" s="8"/>
    </row>
    <row r="14600">
      <c r="C14600" s="15"/>
      <c r="E14600" s="8"/>
      <c r="G14600" s="8"/>
      <c r="J14600" s="8"/>
    </row>
    <row r="14601">
      <c r="C14601" s="15"/>
      <c r="E14601" s="8"/>
      <c r="G14601" s="8"/>
      <c r="J14601" s="8"/>
    </row>
    <row r="14602">
      <c r="C14602" s="15"/>
      <c r="E14602" s="8"/>
      <c r="G14602" s="8"/>
      <c r="J14602" s="8"/>
    </row>
    <row r="14603">
      <c r="C14603" s="15"/>
      <c r="E14603" s="8"/>
      <c r="G14603" s="8"/>
      <c r="J14603" s="8"/>
    </row>
    <row r="14604">
      <c r="C14604" s="15"/>
      <c r="E14604" s="8"/>
      <c r="G14604" s="8"/>
      <c r="J14604" s="8"/>
    </row>
    <row r="14605">
      <c r="C14605" s="15"/>
      <c r="E14605" s="8"/>
      <c r="G14605" s="8"/>
      <c r="J14605" s="8"/>
    </row>
    <row r="14606">
      <c r="C14606" s="15"/>
      <c r="E14606" s="8"/>
      <c r="G14606" s="8"/>
      <c r="J14606" s="8"/>
    </row>
    <row r="14607">
      <c r="C14607" s="15"/>
      <c r="E14607" s="8"/>
      <c r="G14607" s="8"/>
      <c r="J14607" s="8"/>
    </row>
    <row r="14608">
      <c r="C14608" s="15"/>
      <c r="E14608" s="8"/>
      <c r="G14608" s="8"/>
      <c r="J14608" s="8"/>
    </row>
    <row r="14609">
      <c r="C14609" s="15"/>
      <c r="E14609" s="8"/>
      <c r="G14609" s="8"/>
      <c r="J14609" s="8"/>
    </row>
    <row r="14610">
      <c r="C14610" s="15"/>
      <c r="E14610" s="8"/>
      <c r="G14610" s="8"/>
      <c r="J14610" s="8"/>
    </row>
    <row r="14611">
      <c r="C14611" s="15"/>
      <c r="E14611" s="8"/>
      <c r="G14611" s="8"/>
      <c r="J14611" s="8"/>
    </row>
    <row r="14612">
      <c r="C14612" s="15"/>
      <c r="E14612" s="8"/>
      <c r="G14612" s="8"/>
      <c r="J14612" s="8"/>
    </row>
    <row r="14613">
      <c r="C14613" s="15"/>
      <c r="E14613" s="8"/>
      <c r="G14613" s="8"/>
      <c r="J14613" s="8"/>
    </row>
    <row r="14614">
      <c r="C14614" s="15"/>
      <c r="E14614" s="8"/>
      <c r="G14614" s="8"/>
      <c r="J14614" s="8"/>
    </row>
    <row r="14615">
      <c r="C14615" s="15"/>
      <c r="E14615" s="8"/>
      <c r="G14615" s="8"/>
      <c r="J14615" s="8"/>
    </row>
    <row r="14616">
      <c r="C14616" s="15"/>
      <c r="E14616" s="8"/>
      <c r="G14616" s="8"/>
      <c r="J14616" s="8"/>
    </row>
    <row r="14617">
      <c r="C14617" s="15"/>
      <c r="E14617" s="8"/>
      <c r="G14617" s="8"/>
      <c r="J14617" s="8"/>
    </row>
    <row r="14618">
      <c r="C14618" s="15"/>
      <c r="E14618" s="8"/>
      <c r="G14618" s="8"/>
      <c r="J14618" s="8"/>
    </row>
    <row r="14619">
      <c r="C14619" s="15"/>
      <c r="E14619" s="8"/>
      <c r="G14619" s="8"/>
      <c r="J14619" s="8"/>
    </row>
    <row r="14620">
      <c r="C14620" s="15"/>
      <c r="E14620" s="8"/>
      <c r="G14620" s="8"/>
      <c r="J14620" s="8"/>
    </row>
    <row r="14621">
      <c r="C14621" s="15"/>
      <c r="E14621" s="8"/>
      <c r="G14621" s="8"/>
      <c r="J14621" s="8"/>
    </row>
    <row r="14622">
      <c r="C14622" s="15"/>
      <c r="E14622" s="8"/>
      <c r="G14622" s="8"/>
      <c r="J14622" s="8"/>
    </row>
    <row r="14623">
      <c r="C14623" s="15"/>
      <c r="E14623" s="8"/>
      <c r="G14623" s="8"/>
      <c r="J14623" s="8"/>
    </row>
    <row r="14624">
      <c r="C14624" s="15"/>
      <c r="E14624" s="8"/>
      <c r="G14624" s="8"/>
      <c r="J14624" s="8"/>
    </row>
    <row r="14625">
      <c r="C14625" s="15"/>
      <c r="E14625" s="8"/>
      <c r="G14625" s="8"/>
      <c r="J14625" s="8"/>
    </row>
    <row r="14626">
      <c r="C14626" s="15"/>
      <c r="E14626" s="8"/>
      <c r="G14626" s="8"/>
      <c r="J14626" s="8"/>
    </row>
    <row r="14627">
      <c r="C14627" s="15"/>
      <c r="E14627" s="8"/>
      <c r="G14627" s="8"/>
      <c r="J14627" s="8"/>
    </row>
    <row r="14628">
      <c r="C14628" s="15"/>
      <c r="E14628" s="8"/>
      <c r="G14628" s="8"/>
      <c r="J14628" s="8"/>
    </row>
    <row r="14629">
      <c r="C14629" s="15"/>
      <c r="E14629" s="8"/>
      <c r="G14629" s="8"/>
      <c r="J14629" s="8"/>
    </row>
    <row r="14630">
      <c r="C14630" s="15"/>
      <c r="E14630" s="8"/>
      <c r="G14630" s="8"/>
      <c r="J14630" s="8"/>
    </row>
    <row r="14631">
      <c r="C14631" s="15"/>
      <c r="E14631" s="8"/>
      <c r="G14631" s="8"/>
      <c r="J14631" s="8"/>
    </row>
    <row r="14632">
      <c r="C14632" s="15"/>
      <c r="E14632" s="8"/>
      <c r="G14632" s="8"/>
      <c r="J14632" s="8"/>
    </row>
    <row r="14633">
      <c r="C14633" s="15"/>
      <c r="E14633" s="8"/>
      <c r="G14633" s="8"/>
      <c r="J14633" s="8"/>
    </row>
    <row r="14634">
      <c r="C14634" s="15"/>
      <c r="E14634" s="8"/>
      <c r="G14634" s="8"/>
      <c r="J14634" s="8"/>
    </row>
    <row r="14635">
      <c r="C14635" s="15"/>
      <c r="E14635" s="8"/>
      <c r="G14635" s="8"/>
      <c r="J14635" s="8"/>
    </row>
    <row r="14636">
      <c r="C14636" s="15"/>
      <c r="E14636" s="8"/>
      <c r="G14636" s="8"/>
      <c r="J14636" s="8"/>
    </row>
    <row r="14637">
      <c r="C14637" s="15"/>
      <c r="E14637" s="8"/>
      <c r="G14637" s="8"/>
      <c r="J14637" s="8"/>
    </row>
    <row r="14638">
      <c r="C14638" s="15"/>
      <c r="E14638" s="8"/>
      <c r="G14638" s="8"/>
      <c r="J14638" s="8"/>
    </row>
    <row r="14639">
      <c r="C14639" s="15"/>
      <c r="E14639" s="8"/>
      <c r="G14639" s="8"/>
      <c r="J14639" s="8"/>
    </row>
    <row r="14640">
      <c r="C14640" s="15"/>
      <c r="E14640" s="8"/>
      <c r="G14640" s="8"/>
      <c r="J14640" s="8"/>
    </row>
    <row r="14641">
      <c r="C14641" s="15"/>
      <c r="E14641" s="8"/>
      <c r="G14641" s="8"/>
      <c r="J14641" s="8"/>
    </row>
    <row r="14642">
      <c r="C14642" s="15"/>
      <c r="E14642" s="8"/>
      <c r="G14642" s="8"/>
      <c r="J14642" s="8"/>
    </row>
    <row r="14643">
      <c r="C14643" s="15"/>
      <c r="E14643" s="8"/>
      <c r="G14643" s="8"/>
      <c r="J14643" s="8"/>
    </row>
    <row r="14644">
      <c r="C14644" s="15"/>
      <c r="E14644" s="8"/>
      <c r="G14644" s="8"/>
      <c r="J14644" s="8"/>
    </row>
    <row r="14645">
      <c r="C14645" s="15"/>
      <c r="E14645" s="8"/>
      <c r="G14645" s="8"/>
      <c r="J14645" s="8"/>
    </row>
    <row r="14646">
      <c r="C14646" s="15"/>
      <c r="E14646" s="8"/>
      <c r="G14646" s="8"/>
      <c r="J14646" s="8"/>
    </row>
    <row r="14647">
      <c r="C14647" s="15"/>
      <c r="E14647" s="8"/>
      <c r="G14647" s="8"/>
      <c r="J14647" s="8"/>
    </row>
    <row r="14648">
      <c r="C14648" s="15"/>
      <c r="E14648" s="8"/>
      <c r="G14648" s="8"/>
      <c r="J14648" s="8"/>
    </row>
    <row r="14649">
      <c r="C14649" s="15"/>
      <c r="E14649" s="8"/>
      <c r="G14649" s="8"/>
      <c r="J14649" s="8"/>
    </row>
    <row r="14650">
      <c r="C14650" s="15"/>
      <c r="E14650" s="8"/>
      <c r="G14650" s="8"/>
      <c r="J14650" s="8"/>
    </row>
    <row r="14651">
      <c r="C14651" s="15"/>
      <c r="E14651" s="8"/>
      <c r="G14651" s="8"/>
      <c r="J14651" s="8"/>
    </row>
    <row r="14652">
      <c r="C14652" s="15"/>
      <c r="E14652" s="8"/>
      <c r="G14652" s="8"/>
      <c r="J14652" s="8"/>
    </row>
    <row r="14653">
      <c r="C14653" s="15"/>
      <c r="E14653" s="8"/>
      <c r="G14653" s="8"/>
      <c r="J14653" s="8"/>
    </row>
    <row r="14654">
      <c r="C14654" s="15"/>
      <c r="E14654" s="8"/>
      <c r="G14654" s="8"/>
      <c r="J14654" s="8"/>
    </row>
    <row r="14655">
      <c r="C14655" s="15"/>
      <c r="E14655" s="8"/>
      <c r="G14655" s="8"/>
      <c r="J14655" s="8"/>
    </row>
    <row r="14656">
      <c r="C14656" s="15"/>
      <c r="E14656" s="8"/>
      <c r="G14656" s="8"/>
      <c r="J14656" s="8"/>
    </row>
    <row r="14657">
      <c r="C14657" s="15"/>
      <c r="E14657" s="8"/>
      <c r="G14657" s="8"/>
      <c r="J14657" s="8"/>
    </row>
    <row r="14658">
      <c r="C14658" s="15"/>
      <c r="E14658" s="8"/>
      <c r="G14658" s="8"/>
      <c r="J14658" s="8"/>
    </row>
    <row r="14659">
      <c r="C14659" s="15"/>
      <c r="E14659" s="8"/>
      <c r="G14659" s="8"/>
      <c r="J14659" s="8"/>
    </row>
    <row r="14660">
      <c r="C14660" s="15"/>
      <c r="E14660" s="8"/>
      <c r="G14660" s="8"/>
      <c r="J14660" s="8"/>
    </row>
    <row r="14661">
      <c r="C14661" s="15"/>
      <c r="E14661" s="8"/>
      <c r="G14661" s="8"/>
      <c r="J14661" s="8"/>
    </row>
    <row r="14662">
      <c r="C14662" s="15"/>
      <c r="E14662" s="8"/>
      <c r="G14662" s="8"/>
      <c r="J14662" s="8"/>
    </row>
    <row r="14663">
      <c r="C14663" s="15"/>
      <c r="E14663" s="8"/>
      <c r="G14663" s="8"/>
      <c r="J14663" s="8"/>
    </row>
    <row r="14664">
      <c r="C14664" s="15"/>
      <c r="E14664" s="8"/>
      <c r="G14664" s="8"/>
      <c r="J14664" s="8"/>
    </row>
    <row r="14665">
      <c r="C14665" s="15"/>
      <c r="E14665" s="8"/>
      <c r="G14665" s="8"/>
      <c r="J14665" s="8"/>
    </row>
    <row r="14666">
      <c r="C14666" s="15"/>
      <c r="E14666" s="8"/>
      <c r="G14666" s="8"/>
      <c r="J14666" s="8"/>
    </row>
    <row r="14667">
      <c r="C14667" s="15"/>
      <c r="E14667" s="8"/>
      <c r="G14667" s="8"/>
      <c r="J14667" s="8"/>
    </row>
    <row r="14668">
      <c r="C14668" s="15"/>
      <c r="E14668" s="8"/>
      <c r="G14668" s="8"/>
      <c r="J14668" s="8"/>
    </row>
    <row r="14669">
      <c r="C14669" s="15"/>
      <c r="E14669" s="8"/>
      <c r="G14669" s="8"/>
      <c r="J14669" s="8"/>
    </row>
    <row r="14670">
      <c r="C14670" s="15"/>
      <c r="E14670" s="8"/>
      <c r="G14670" s="8"/>
      <c r="J14670" s="8"/>
    </row>
    <row r="14671">
      <c r="C14671" s="15"/>
      <c r="E14671" s="8"/>
      <c r="G14671" s="8"/>
      <c r="J14671" s="8"/>
    </row>
    <row r="14672">
      <c r="C14672" s="15"/>
      <c r="E14672" s="8"/>
      <c r="G14672" s="8"/>
      <c r="J14672" s="8"/>
    </row>
    <row r="14673">
      <c r="C14673" s="15"/>
      <c r="E14673" s="8"/>
      <c r="G14673" s="8"/>
      <c r="J14673" s="8"/>
    </row>
    <row r="14674">
      <c r="C14674" s="15"/>
      <c r="E14674" s="8"/>
      <c r="G14674" s="8"/>
      <c r="J14674" s="8"/>
    </row>
    <row r="14675">
      <c r="C14675" s="15"/>
      <c r="E14675" s="8"/>
      <c r="G14675" s="8"/>
      <c r="J14675" s="8"/>
    </row>
    <row r="14676">
      <c r="C14676" s="15"/>
      <c r="E14676" s="8"/>
      <c r="G14676" s="8"/>
      <c r="J14676" s="8"/>
    </row>
    <row r="14677">
      <c r="C14677" s="15"/>
      <c r="E14677" s="8"/>
      <c r="G14677" s="8"/>
      <c r="J14677" s="8"/>
    </row>
    <row r="14678">
      <c r="C14678" s="15"/>
      <c r="E14678" s="8"/>
      <c r="G14678" s="8"/>
      <c r="J14678" s="8"/>
    </row>
    <row r="14679">
      <c r="C14679" s="15"/>
      <c r="E14679" s="8"/>
      <c r="G14679" s="8"/>
      <c r="J14679" s="8"/>
    </row>
    <row r="14680">
      <c r="C14680" s="15"/>
      <c r="E14680" s="8"/>
      <c r="G14680" s="8"/>
      <c r="J14680" s="8"/>
    </row>
    <row r="14681">
      <c r="C14681" s="15"/>
      <c r="E14681" s="8"/>
      <c r="G14681" s="8"/>
      <c r="J14681" s="8"/>
    </row>
    <row r="14682">
      <c r="C14682" s="15"/>
      <c r="E14682" s="8"/>
      <c r="G14682" s="8"/>
      <c r="J14682" s="8"/>
    </row>
    <row r="14683">
      <c r="C14683" s="15"/>
      <c r="E14683" s="8"/>
      <c r="G14683" s="8"/>
      <c r="J14683" s="8"/>
    </row>
    <row r="14684">
      <c r="C14684" s="15"/>
      <c r="E14684" s="8"/>
      <c r="G14684" s="8"/>
      <c r="J14684" s="8"/>
    </row>
    <row r="14685">
      <c r="C14685" s="15"/>
      <c r="E14685" s="8"/>
      <c r="G14685" s="8"/>
      <c r="J14685" s="8"/>
    </row>
    <row r="14686">
      <c r="C14686" s="15"/>
      <c r="E14686" s="8"/>
      <c r="G14686" s="8"/>
      <c r="J14686" s="8"/>
    </row>
    <row r="14687">
      <c r="C14687" s="15"/>
      <c r="E14687" s="8"/>
      <c r="G14687" s="8"/>
      <c r="J14687" s="8"/>
    </row>
    <row r="14688">
      <c r="C14688" s="15"/>
      <c r="E14688" s="8"/>
      <c r="G14688" s="8"/>
      <c r="J14688" s="8"/>
    </row>
    <row r="14689">
      <c r="C14689" s="15"/>
      <c r="E14689" s="8"/>
      <c r="G14689" s="8"/>
      <c r="J14689" s="8"/>
    </row>
    <row r="14690">
      <c r="C14690" s="15"/>
      <c r="E14690" s="8"/>
      <c r="G14690" s="8"/>
      <c r="J14690" s="8"/>
    </row>
    <row r="14691">
      <c r="C14691" s="15"/>
      <c r="E14691" s="8"/>
      <c r="G14691" s="8"/>
      <c r="J14691" s="8"/>
    </row>
    <row r="14692">
      <c r="C14692" s="15"/>
      <c r="E14692" s="8"/>
      <c r="G14692" s="8"/>
      <c r="J14692" s="8"/>
    </row>
    <row r="14693">
      <c r="C14693" s="15"/>
      <c r="E14693" s="8"/>
      <c r="G14693" s="8"/>
      <c r="J14693" s="8"/>
    </row>
    <row r="14694">
      <c r="C14694" s="15"/>
      <c r="E14694" s="8"/>
      <c r="G14694" s="8"/>
      <c r="J14694" s="8"/>
    </row>
    <row r="14695">
      <c r="C14695" s="15"/>
      <c r="E14695" s="8"/>
      <c r="G14695" s="8"/>
      <c r="J14695" s="8"/>
    </row>
    <row r="14696">
      <c r="C14696" s="15"/>
      <c r="E14696" s="8"/>
      <c r="G14696" s="8"/>
      <c r="J14696" s="8"/>
    </row>
    <row r="14697">
      <c r="C14697" s="15"/>
      <c r="E14697" s="8"/>
      <c r="G14697" s="8"/>
      <c r="J14697" s="8"/>
    </row>
    <row r="14698">
      <c r="C14698" s="15"/>
      <c r="E14698" s="8"/>
      <c r="G14698" s="8"/>
      <c r="J14698" s="8"/>
    </row>
    <row r="14699">
      <c r="C14699" s="15"/>
      <c r="E14699" s="8"/>
      <c r="G14699" s="8"/>
      <c r="J14699" s="8"/>
    </row>
    <row r="14700">
      <c r="C14700" s="15"/>
      <c r="E14700" s="8"/>
      <c r="G14700" s="8"/>
      <c r="J14700" s="8"/>
    </row>
    <row r="14701">
      <c r="C14701" s="15"/>
      <c r="E14701" s="8"/>
      <c r="G14701" s="8"/>
      <c r="J14701" s="8"/>
    </row>
    <row r="14702">
      <c r="C14702" s="15"/>
      <c r="E14702" s="8"/>
      <c r="G14702" s="8"/>
      <c r="J14702" s="8"/>
    </row>
    <row r="14703">
      <c r="C14703" s="15"/>
      <c r="E14703" s="8"/>
      <c r="G14703" s="8"/>
      <c r="J14703" s="8"/>
    </row>
    <row r="14704">
      <c r="C14704" s="15"/>
      <c r="E14704" s="8"/>
      <c r="G14704" s="8"/>
      <c r="J14704" s="8"/>
    </row>
    <row r="14705">
      <c r="C14705" s="15"/>
      <c r="E14705" s="8"/>
      <c r="G14705" s="8"/>
      <c r="J14705" s="8"/>
    </row>
    <row r="14706">
      <c r="C14706" s="15"/>
      <c r="E14706" s="8"/>
      <c r="G14706" s="8"/>
      <c r="J14706" s="8"/>
    </row>
    <row r="14707">
      <c r="C14707" s="15"/>
      <c r="E14707" s="8"/>
      <c r="G14707" s="8"/>
      <c r="J14707" s="8"/>
    </row>
    <row r="14708">
      <c r="C14708" s="15"/>
      <c r="E14708" s="8"/>
      <c r="G14708" s="8"/>
      <c r="J14708" s="8"/>
    </row>
    <row r="14709">
      <c r="C14709" s="15"/>
      <c r="E14709" s="8"/>
      <c r="G14709" s="8"/>
      <c r="J14709" s="8"/>
    </row>
    <row r="14710">
      <c r="C14710" s="15"/>
      <c r="E14710" s="8"/>
      <c r="G14710" s="8"/>
      <c r="J14710" s="8"/>
    </row>
    <row r="14711">
      <c r="C14711" s="15"/>
      <c r="E14711" s="8"/>
      <c r="G14711" s="8"/>
      <c r="J14711" s="8"/>
    </row>
    <row r="14712">
      <c r="C14712" s="15"/>
      <c r="E14712" s="8"/>
      <c r="G14712" s="8"/>
      <c r="J14712" s="8"/>
    </row>
    <row r="14713">
      <c r="C14713" s="15"/>
      <c r="E14713" s="8"/>
      <c r="G14713" s="8"/>
      <c r="J14713" s="8"/>
    </row>
    <row r="14714">
      <c r="C14714" s="15"/>
      <c r="E14714" s="8"/>
      <c r="G14714" s="8"/>
      <c r="J14714" s="8"/>
    </row>
    <row r="14715">
      <c r="C14715" s="15"/>
      <c r="E14715" s="8"/>
      <c r="G14715" s="8"/>
      <c r="J14715" s="8"/>
    </row>
    <row r="14716">
      <c r="C14716" s="15"/>
      <c r="E14716" s="8"/>
      <c r="G14716" s="8"/>
      <c r="J14716" s="8"/>
    </row>
    <row r="14717">
      <c r="C14717" s="15"/>
      <c r="E14717" s="8"/>
      <c r="G14717" s="8"/>
      <c r="J14717" s="8"/>
    </row>
    <row r="14718">
      <c r="C14718" s="15"/>
      <c r="E14718" s="8"/>
      <c r="G14718" s="8"/>
      <c r="J14718" s="8"/>
    </row>
    <row r="14719">
      <c r="C14719" s="15"/>
      <c r="E14719" s="8"/>
      <c r="G14719" s="8"/>
      <c r="J14719" s="8"/>
    </row>
    <row r="14720">
      <c r="C14720" s="15"/>
      <c r="E14720" s="8"/>
      <c r="G14720" s="8"/>
      <c r="J14720" s="8"/>
    </row>
    <row r="14721">
      <c r="C14721" s="15"/>
      <c r="E14721" s="8"/>
      <c r="G14721" s="8"/>
      <c r="J14721" s="8"/>
    </row>
    <row r="14722">
      <c r="C14722" s="15"/>
      <c r="E14722" s="8"/>
      <c r="G14722" s="8"/>
      <c r="J14722" s="8"/>
    </row>
    <row r="14723">
      <c r="C14723" s="15"/>
      <c r="E14723" s="8"/>
      <c r="G14723" s="8"/>
      <c r="J14723" s="8"/>
    </row>
    <row r="14724">
      <c r="C14724" s="15"/>
      <c r="E14724" s="8"/>
      <c r="G14724" s="8"/>
      <c r="J14724" s="8"/>
    </row>
    <row r="14725">
      <c r="C14725" s="15"/>
      <c r="E14725" s="8"/>
      <c r="G14725" s="8"/>
      <c r="J14725" s="8"/>
    </row>
    <row r="14726">
      <c r="C14726" s="15"/>
      <c r="E14726" s="8"/>
      <c r="G14726" s="8"/>
      <c r="J14726" s="8"/>
    </row>
    <row r="14727">
      <c r="C14727" s="15"/>
      <c r="E14727" s="8"/>
      <c r="G14727" s="8"/>
      <c r="J14727" s="8"/>
    </row>
    <row r="14728">
      <c r="C14728" s="15"/>
      <c r="E14728" s="8"/>
      <c r="G14728" s="8"/>
      <c r="J14728" s="8"/>
    </row>
    <row r="14729">
      <c r="C14729" s="15"/>
      <c r="E14729" s="8"/>
      <c r="G14729" s="8"/>
      <c r="J14729" s="8"/>
    </row>
    <row r="14730">
      <c r="C14730" s="15"/>
      <c r="E14730" s="8"/>
      <c r="G14730" s="8"/>
      <c r="J14730" s="8"/>
    </row>
    <row r="14731">
      <c r="C14731" s="15"/>
      <c r="E14731" s="8"/>
      <c r="G14731" s="8"/>
      <c r="J14731" s="8"/>
    </row>
    <row r="14732">
      <c r="C14732" s="15"/>
      <c r="E14732" s="8"/>
      <c r="G14732" s="8"/>
      <c r="J14732" s="8"/>
    </row>
    <row r="14733">
      <c r="C14733" s="15"/>
      <c r="E14733" s="8"/>
      <c r="G14733" s="8"/>
      <c r="J14733" s="8"/>
    </row>
    <row r="14734">
      <c r="C14734" s="15"/>
      <c r="E14734" s="8"/>
      <c r="G14734" s="8"/>
      <c r="J14734" s="8"/>
    </row>
    <row r="14735">
      <c r="C14735" s="15"/>
      <c r="E14735" s="8"/>
      <c r="G14735" s="8"/>
      <c r="J14735" s="8"/>
    </row>
    <row r="14736">
      <c r="C14736" s="15"/>
      <c r="E14736" s="8"/>
      <c r="G14736" s="8"/>
      <c r="J14736" s="8"/>
    </row>
    <row r="14737">
      <c r="C14737" s="15"/>
      <c r="E14737" s="8"/>
      <c r="G14737" s="8"/>
      <c r="J14737" s="8"/>
    </row>
    <row r="14738">
      <c r="C14738" s="15"/>
      <c r="E14738" s="8"/>
      <c r="G14738" s="8"/>
      <c r="J14738" s="8"/>
    </row>
    <row r="14739">
      <c r="C14739" s="15"/>
      <c r="E14739" s="8"/>
      <c r="G14739" s="8"/>
      <c r="J14739" s="8"/>
    </row>
    <row r="14740">
      <c r="C14740" s="15"/>
      <c r="E14740" s="8"/>
      <c r="G14740" s="8"/>
      <c r="J14740" s="8"/>
    </row>
    <row r="14741">
      <c r="C14741" s="15"/>
      <c r="E14741" s="8"/>
      <c r="G14741" s="8"/>
      <c r="J14741" s="8"/>
    </row>
    <row r="14742">
      <c r="C14742" s="15"/>
      <c r="E14742" s="8"/>
      <c r="G14742" s="8"/>
      <c r="J14742" s="8"/>
    </row>
    <row r="14743">
      <c r="C14743" s="15"/>
      <c r="E14743" s="8"/>
      <c r="G14743" s="8"/>
      <c r="J14743" s="8"/>
    </row>
    <row r="14744">
      <c r="C14744" s="15"/>
      <c r="E14744" s="8"/>
      <c r="G14744" s="8"/>
      <c r="J14744" s="8"/>
    </row>
    <row r="14745">
      <c r="C14745" s="15"/>
      <c r="E14745" s="8"/>
      <c r="G14745" s="8"/>
      <c r="J14745" s="8"/>
    </row>
    <row r="14746">
      <c r="C14746" s="15"/>
      <c r="E14746" s="8"/>
      <c r="G14746" s="8"/>
      <c r="J14746" s="8"/>
    </row>
    <row r="14747">
      <c r="C14747" s="15"/>
      <c r="E14747" s="8"/>
      <c r="G14747" s="8"/>
      <c r="J14747" s="8"/>
    </row>
    <row r="14748">
      <c r="C14748" s="15"/>
      <c r="E14748" s="8"/>
      <c r="G14748" s="8"/>
      <c r="J14748" s="8"/>
    </row>
    <row r="14749">
      <c r="C14749" s="15"/>
      <c r="E14749" s="8"/>
      <c r="G14749" s="8"/>
      <c r="J14749" s="8"/>
    </row>
    <row r="14750">
      <c r="C14750" s="15"/>
      <c r="E14750" s="8"/>
      <c r="G14750" s="8"/>
      <c r="J14750" s="8"/>
    </row>
    <row r="14751">
      <c r="C14751" s="15"/>
      <c r="E14751" s="8"/>
      <c r="G14751" s="8"/>
      <c r="J14751" s="8"/>
    </row>
    <row r="14752">
      <c r="C14752" s="15"/>
      <c r="E14752" s="8"/>
      <c r="G14752" s="8"/>
      <c r="J14752" s="8"/>
    </row>
    <row r="14753">
      <c r="C14753" s="15"/>
      <c r="E14753" s="8"/>
      <c r="G14753" s="8"/>
      <c r="J14753" s="8"/>
    </row>
    <row r="14754">
      <c r="C14754" s="15"/>
      <c r="E14754" s="8"/>
      <c r="G14754" s="8"/>
      <c r="J14754" s="8"/>
    </row>
    <row r="14755">
      <c r="C14755" s="15"/>
      <c r="E14755" s="8"/>
      <c r="G14755" s="8"/>
      <c r="J14755" s="8"/>
    </row>
    <row r="14756">
      <c r="C14756" s="15"/>
      <c r="E14756" s="8"/>
      <c r="G14756" s="8"/>
      <c r="J14756" s="8"/>
    </row>
    <row r="14757">
      <c r="C14757" s="15"/>
      <c r="E14757" s="8"/>
      <c r="G14757" s="8"/>
      <c r="J14757" s="8"/>
    </row>
    <row r="14758">
      <c r="C14758" s="15"/>
      <c r="E14758" s="8"/>
      <c r="G14758" s="8"/>
      <c r="J14758" s="8"/>
    </row>
    <row r="14759">
      <c r="C14759" s="15"/>
      <c r="E14759" s="8"/>
      <c r="G14759" s="8"/>
      <c r="J14759" s="8"/>
    </row>
    <row r="14760">
      <c r="C14760" s="15"/>
      <c r="E14760" s="8"/>
      <c r="G14760" s="8"/>
      <c r="J14760" s="8"/>
    </row>
    <row r="14761">
      <c r="C14761" s="15"/>
      <c r="E14761" s="8"/>
      <c r="G14761" s="8"/>
      <c r="J14761" s="8"/>
    </row>
    <row r="14762">
      <c r="C14762" s="15"/>
      <c r="E14762" s="8"/>
      <c r="G14762" s="8"/>
      <c r="J14762" s="8"/>
    </row>
    <row r="14763">
      <c r="C14763" s="15"/>
      <c r="E14763" s="8"/>
      <c r="G14763" s="8"/>
      <c r="J14763" s="8"/>
    </row>
    <row r="14764">
      <c r="C14764" s="15"/>
      <c r="E14764" s="8"/>
      <c r="G14764" s="8"/>
      <c r="J14764" s="8"/>
    </row>
    <row r="14765">
      <c r="C14765" s="15"/>
      <c r="E14765" s="8"/>
      <c r="G14765" s="8"/>
      <c r="J14765" s="8"/>
    </row>
    <row r="14766">
      <c r="C14766" s="15"/>
      <c r="E14766" s="8"/>
      <c r="G14766" s="8"/>
      <c r="J14766" s="8"/>
    </row>
    <row r="14767">
      <c r="C14767" s="15"/>
      <c r="E14767" s="8"/>
      <c r="G14767" s="8"/>
      <c r="J14767" s="8"/>
    </row>
    <row r="14768">
      <c r="C14768" s="15"/>
      <c r="E14768" s="8"/>
      <c r="G14768" s="8"/>
      <c r="J14768" s="8"/>
    </row>
    <row r="14769">
      <c r="C14769" s="15"/>
      <c r="E14769" s="8"/>
      <c r="G14769" s="8"/>
      <c r="J14769" s="8"/>
    </row>
    <row r="14770">
      <c r="C14770" s="15"/>
      <c r="E14770" s="8"/>
      <c r="G14770" s="8"/>
      <c r="J14770" s="8"/>
    </row>
    <row r="14771">
      <c r="C14771" s="15"/>
      <c r="E14771" s="8"/>
      <c r="G14771" s="8"/>
      <c r="J14771" s="8"/>
    </row>
    <row r="14772">
      <c r="C14772" s="15"/>
      <c r="E14772" s="8"/>
      <c r="G14772" s="8"/>
      <c r="J14772" s="8"/>
    </row>
    <row r="14773">
      <c r="C14773" s="15"/>
      <c r="E14773" s="8"/>
      <c r="G14773" s="8"/>
      <c r="J14773" s="8"/>
    </row>
    <row r="14774">
      <c r="C14774" s="15"/>
      <c r="E14774" s="8"/>
      <c r="G14774" s="8"/>
      <c r="J14774" s="8"/>
    </row>
    <row r="14775">
      <c r="C14775" s="15"/>
      <c r="E14775" s="8"/>
      <c r="G14775" s="8"/>
      <c r="J14775" s="8"/>
    </row>
    <row r="14776">
      <c r="C14776" s="15"/>
      <c r="E14776" s="8"/>
      <c r="G14776" s="8"/>
      <c r="J14776" s="8"/>
    </row>
    <row r="14777">
      <c r="C14777" s="15"/>
      <c r="E14777" s="8"/>
      <c r="G14777" s="8"/>
      <c r="J14777" s="8"/>
    </row>
    <row r="14778">
      <c r="C14778" s="15"/>
      <c r="E14778" s="8"/>
      <c r="G14778" s="8"/>
      <c r="J14778" s="8"/>
    </row>
    <row r="14779">
      <c r="C14779" s="15"/>
      <c r="E14779" s="8"/>
      <c r="G14779" s="8"/>
      <c r="J14779" s="8"/>
    </row>
    <row r="14780">
      <c r="C14780" s="15"/>
      <c r="E14780" s="8"/>
      <c r="G14780" s="8"/>
      <c r="J14780" s="8"/>
    </row>
    <row r="14781">
      <c r="C14781" s="15"/>
      <c r="E14781" s="8"/>
      <c r="G14781" s="8"/>
      <c r="J14781" s="8"/>
    </row>
    <row r="14782">
      <c r="C14782" s="15"/>
      <c r="E14782" s="8"/>
      <c r="G14782" s="8"/>
      <c r="J14782" s="8"/>
    </row>
    <row r="14783">
      <c r="C14783" s="15"/>
      <c r="E14783" s="8"/>
      <c r="G14783" s="8"/>
      <c r="J14783" s="8"/>
    </row>
    <row r="14784">
      <c r="C14784" s="15"/>
      <c r="E14784" s="8"/>
      <c r="G14784" s="8"/>
      <c r="J14784" s="8"/>
    </row>
    <row r="14785">
      <c r="C14785" s="15"/>
      <c r="E14785" s="8"/>
      <c r="G14785" s="8"/>
      <c r="J14785" s="8"/>
    </row>
    <row r="14786">
      <c r="C14786" s="15"/>
      <c r="E14786" s="8"/>
      <c r="G14786" s="8"/>
      <c r="J14786" s="8"/>
    </row>
    <row r="14787">
      <c r="C14787" s="15"/>
      <c r="E14787" s="8"/>
      <c r="G14787" s="8"/>
      <c r="J14787" s="8"/>
    </row>
    <row r="14788">
      <c r="C14788" s="15"/>
      <c r="E14788" s="8"/>
      <c r="G14788" s="8"/>
      <c r="J14788" s="8"/>
    </row>
    <row r="14789">
      <c r="C14789" s="15"/>
      <c r="E14789" s="8"/>
      <c r="G14789" s="8"/>
      <c r="J14789" s="8"/>
    </row>
    <row r="14790">
      <c r="C14790" s="15"/>
      <c r="E14790" s="8"/>
      <c r="G14790" s="8"/>
      <c r="J14790" s="8"/>
    </row>
    <row r="14791">
      <c r="C14791" s="15"/>
      <c r="E14791" s="8"/>
      <c r="G14791" s="8"/>
      <c r="J14791" s="8"/>
    </row>
    <row r="14792">
      <c r="C14792" s="15"/>
      <c r="E14792" s="8"/>
      <c r="G14792" s="8"/>
      <c r="J14792" s="8"/>
    </row>
    <row r="14793">
      <c r="C14793" s="15"/>
      <c r="E14793" s="8"/>
      <c r="G14793" s="8"/>
      <c r="J14793" s="8"/>
    </row>
    <row r="14794">
      <c r="C14794" s="15"/>
      <c r="E14794" s="8"/>
      <c r="G14794" s="8"/>
      <c r="J14794" s="8"/>
    </row>
    <row r="14795">
      <c r="C14795" s="15"/>
      <c r="E14795" s="8"/>
      <c r="G14795" s="8"/>
      <c r="J14795" s="8"/>
    </row>
    <row r="14796">
      <c r="C14796" s="15"/>
      <c r="E14796" s="8"/>
      <c r="G14796" s="8"/>
      <c r="J14796" s="8"/>
    </row>
    <row r="14797">
      <c r="C14797" s="15"/>
      <c r="E14797" s="8"/>
      <c r="G14797" s="8"/>
      <c r="J14797" s="8"/>
    </row>
    <row r="14798">
      <c r="C14798" s="15"/>
      <c r="E14798" s="8"/>
      <c r="G14798" s="8"/>
      <c r="J14798" s="8"/>
    </row>
    <row r="14799">
      <c r="C14799" s="15"/>
      <c r="E14799" s="8"/>
      <c r="G14799" s="8"/>
      <c r="J14799" s="8"/>
    </row>
    <row r="14800">
      <c r="C14800" s="15"/>
      <c r="E14800" s="8"/>
      <c r="G14800" s="8"/>
      <c r="J14800" s="8"/>
    </row>
    <row r="14801">
      <c r="C14801" s="15"/>
      <c r="E14801" s="8"/>
      <c r="G14801" s="8"/>
      <c r="J14801" s="8"/>
    </row>
    <row r="14802">
      <c r="C14802" s="15"/>
      <c r="E14802" s="8"/>
      <c r="G14802" s="8"/>
      <c r="J14802" s="8"/>
    </row>
    <row r="14803">
      <c r="C14803" s="15"/>
      <c r="E14803" s="8"/>
      <c r="G14803" s="8"/>
      <c r="J14803" s="8"/>
    </row>
    <row r="14804">
      <c r="C14804" s="15"/>
      <c r="E14804" s="8"/>
      <c r="G14804" s="8"/>
      <c r="J14804" s="8"/>
    </row>
    <row r="14805">
      <c r="C14805" s="15"/>
      <c r="E14805" s="8"/>
      <c r="G14805" s="8"/>
      <c r="J14805" s="8"/>
    </row>
    <row r="14806">
      <c r="C14806" s="15"/>
      <c r="E14806" s="8"/>
      <c r="G14806" s="8"/>
      <c r="J14806" s="8"/>
    </row>
    <row r="14807">
      <c r="C14807" s="15"/>
      <c r="E14807" s="8"/>
      <c r="G14807" s="8"/>
      <c r="J14807" s="8"/>
    </row>
    <row r="14808">
      <c r="C14808" s="15"/>
      <c r="E14808" s="8"/>
      <c r="G14808" s="8"/>
      <c r="J14808" s="8"/>
    </row>
    <row r="14809">
      <c r="C14809" s="15"/>
      <c r="E14809" s="8"/>
      <c r="G14809" s="8"/>
      <c r="J14809" s="8"/>
    </row>
    <row r="14810">
      <c r="C14810" s="15"/>
      <c r="E14810" s="8"/>
      <c r="G14810" s="8"/>
      <c r="J14810" s="8"/>
    </row>
    <row r="14811">
      <c r="C14811" s="15"/>
      <c r="E14811" s="8"/>
      <c r="G14811" s="8"/>
      <c r="J14811" s="8"/>
    </row>
    <row r="14812">
      <c r="C14812" s="15"/>
      <c r="E14812" s="8"/>
      <c r="G14812" s="8"/>
      <c r="J14812" s="8"/>
    </row>
    <row r="14813">
      <c r="C14813" s="15"/>
      <c r="E14813" s="8"/>
      <c r="G14813" s="8"/>
      <c r="J14813" s="8"/>
    </row>
    <row r="14814">
      <c r="C14814" s="15"/>
      <c r="E14814" s="8"/>
      <c r="G14814" s="8"/>
      <c r="J14814" s="8"/>
    </row>
    <row r="14815">
      <c r="C14815" s="15"/>
      <c r="E14815" s="8"/>
      <c r="G14815" s="8"/>
      <c r="J14815" s="8"/>
    </row>
    <row r="14816">
      <c r="C14816" s="15"/>
      <c r="E14816" s="8"/>
      <c r="G14816" s="8"/>
      <c r="J14816" s="8"/>
    </row>
    <row r="14817">
      <c r="C14817" s="15"/>
      <c r="E14817" s="8"/>
      <c r="G14817" s="8"/>
      <c r="J14817" s="8"/>
    </row>
    <row r="14818">
      <c r="C14818" s="15"/>
      <c r="E14818" s="8"/>
      <c r="G14818" s="8"/>
      <c r="J14818" s="8"/>
    </row>
    <row r="14819">
      <c r="C14819" s="15"/>
      <c r="E14819" s="8"/>
      <c r="G14819" s="8"/>
      <c r="J14819" s="8"/>
    </row>
    <row r="14820">
      <c r="C14820" s="15"/>
      <c r="E14820" s="8"/>
      <c r="G14820" s="8"/>
      <c r="J14820" s="8"/>
    </row>
    <row r="14821">
      <c r="C14821" s="15"/>
      <c r="E14821" s="8"/>
      <c r="G14821" s="8"/>
      <c r="J14821" s="8"/>
    </row>
    <row r="14822">
      <c r="C14822" s="15"/>
      <c r="E14822" s="8"/>
      <c r="G14822" s="8"/>
      <c r="J14822" s="8"/>
    </row>
    <row r="14823">
      <c r="C14823" s="15"/>
      <c r="E14823" s="8"/>
      <c r="G14823" s="8"/>
      <c r="J14823" s="8"/>
    </row>
    <row r="14824">
      <c r="C14824" s="15"/>
      <c r="E14824" s="8"/>
      <c r="G14824" s="8"/>
      <c r="J14824" s="8"/>
    </row>
    <row r="14825">
      <c r="C14825" s="15"/>
      <c r="E14825" s="8"/>
      <c r="G14825" s="8"/>
      <c r="J14825" s="8"/>
    </row>
    <row r="14826">
      <c r="C14826" s="15"/>
      <c r="E14826" s="8"/>
      <c r="G14826" s="8"/>
      <c r="J14826" s="8"/>
    </row>
    <row r="14827">
      <c r="C14827" s="15"/>
      <c r="E14827" s="8"/>
      <c r="G14827" s="8"/>
      <c r="J14827" s="8"/>
    </row>
    <row r="14828">
      <c r="C14828" s="15"/>
      <c r="E14828" s="8"/>
      <c r="G14828" s="8"/>
      <c r="J14828" s="8"/>
    </row>
    <row r="14829">
      <c r="C14829" s="15"/>
      <c r="E14829" s="8"/>
      <c r="G14829" s="8"/>
      <c r="J14829" s="8"/>
    </row>
    <row r="14830">
      <c r="C14830" s="15"/>
      <c r="E14830" s="8"/>
      <c r="G14830" s="8"/>
      <c r="J14830" s="8"/>
    </row>
    <row r="14831">
      <c r="C14831" s="15"/>
      <c r="E14831" s="8"/>
      <c r="G14831" s="8"/>
      <c r="J14831" s="8"/>
    </row>
    <row r="14832">
      <c r="C14832" s="15"/>
      <c r="E14832" s="8"/>
      <c r="G14832" s="8"/>
      <c r="J14832" s="8"/>
    </row>
    <row r="14833">
      <c r="C14833" s="15"/>
      <c r="E14833" s="8"/>
      <c r="G14833" s="8"/>
      <c r="J14833" s="8"/>
    </row>
    <row r="14834">
      <c r="C14834" s="15"/>
      <c r="E14834" s="8"/>
      <c r="G14834" s="8"/>
      <c r="J14834" s="8"/>
    </row>
    <row r="14835">
      <c r="C14835" s="15"/>
      <c r="E14835" s="8"/>
      <c r="G14835" s="8"/>
      <c r="J14835" s="8"/>
    </row>
    <row r="14836">
      <c r="C14836" s="15"/>
      <c r="E14836" s="8"/>
      <c r="G14836" s="8"/>
      <c r="J14836" s="8"/>
    </row>
    <row r="14837">
      <c r="C14837" s="15"/>
      <c r="E14837" s="8"/>
      <c r="G14837" s="8"/>
      <c r="J14837" s="8"/>
    </row>
    <row r="14838">
      <c r="C14838" s="15"/>
      <c r="E14838" s="8"/>
      <c r="G14838" s="8"/>
      <c r="J14838" s="8"/>
    </row>
    <row r="14839">
      <c r="C14839" s="15"/>
      <c r="E14839" s="8"/>
      <c r="G14839" s="8"/>
      <c r="J14839" s="8"/>
    </row>
    <row r="14840">
      <c r="C14840" s="15"/>
      <c r="E14840" s="8"/>
      <c r="G14840" s="8"/>
      <c r="J14840" s="8"/>
    </row>
    <row r="14841">
      <c r="C14841" s="15"/>
      <c r="E14841" s="8"/>
      <c r="G14841" s="8"/>
      <c r="J14841" s="8"/>
    </row>
    <row r="14842">
      <c r="C14842" s="15"/>
      <c r="E14842" s="8"/>
      <c r="G14842" s="8"/>
      <c r="J14842" s="8"/>
    </row>
    <row r="14843">
      <c r="C14843" s="15"/>
      <c r="E14843" s="8"/>
      <c r="G14843" s="8"/>
      <c r="J14843" s="8"/>
    </row>
    <row r="14844">
      <c r="C14844" s="15"/>
      <c r="E14844" s="8"/>
      <c r="G14844" s="8"/>
      <c r="J14844" s="8"/>
    </row>
    <row r="14845">
      <c r="C14845" s="15"/>
      <c r="E14845" s="8"/>
      <c r="G14845" s="8"/>
      <c r="J14845" s="8"/>
    </row>
    <row r="14846">
      <c r="C14846" s="15"/>
      <c r="E14846" s="8"/>
      <c r="G14846" s="8"/>
      <c r="J14846" s="8"/>
    </row>
    <row r="14847">
      <c r="C14847" s="15"/>
      <c r="E14847" s="8"/>
      <c r="G14847" s="8"/>
      <c r="J14847" s="8"/>
    </row>
    <row r="14848">
      <c r="C14848" s="15"/>
      <c r="E14848" s="8"/>
      <c r="G14848" s="8"/>
      <c r="J14848" s="8"/>
    </row>
    <row r="14849">
      <c r="C14849" s="15"/>
      <c r="E14849" s="8"/>
      <c r="G14849" s="8"/>
      <c r="J14849" s="8"/>
    </row>
    <row r="14850">
      <c r="C14850" s="15"/>
      <c r="E14850" s="8"/>
      <c r="G14850" s="8"/>
      <c r="J14850" s="8"/>
    </row>
    <row r="14851">
      <c r="C14851" s="15"/>
      <c r="E14851" s="8"/>
      <c r="G14851" s="8"/>
      <c r="J14851" s="8"/>
    </row>
    <row r="14852">
      <c r="C14852" s="15"/>
      <c r="E14852" s="8"/>
      <c r="G14852" s="8"/>
      <c r="J14852" s="8"/>
    </row>
    <row r="14853">
      <c r="C14853" s="15"/>
      <c r="E14853" s="8"/>
      <c r="G14853" s="8"/>
      <c r="J14853" s="8"/>
    </row>
    <row r="14854">
      <c r="C14854" s="15"/>
      <c r="E14854" s="8"/>
      <c r="G14854" s="8"/>
      <c r="J14854" s="8"/>
    </row>
    <row r="14855">
      <c r="C14855" s="15"/>
      <c r="E14855" s="8"/>
      <c r="G14855" s="8"/>
      <c r="J14855" s="8"/>
    </row>
    <row r="14856">
      <c r="C14856" s="15"/>
      <c r="E14856" s="8"/>
      <c r="G14856" s="8"/>
      <c r="J14856" s="8"/>
    </row>
    <row r="14857">
      <c r="C14857" s="15"/>
      <c r="E14857" s="8"/>
      <c r="G14857" s="8"/>
      <c r="J14857" s="8"/>
    </row>
    <row r="14858">
      <c r="C14858" s="15"/>
      <c r="E14858" s="8"/>
      <c r="G14858" s="8"/>
      <c r="J14858" s="8"/>
    </row>
    <row r="14859">
      <c r="C14859" s="15"/>
      <c r="E14859" s="8"/>
      <c r="G14859" s="8"/>
      <c r="J14859" s="8"/>
    </row>
    <row r="14860">
      <c r="C14860" s="15"/>
      <c r="E14860" s="8"/>
      <c r="G14860" s="8"/>
      <c r="J14860" s="8"/>
    </row>
    <row r="14861">
      <c r="C14861" s="15"/>
      <c r="E14861" s="8"/>
      <c r="G14861" s="8"/>
      <c r="J14861" s="8"/>
    </row>
    <row r="14862">
      <c r="C14862" s="15"/>
      <c r="E14862" s="8"/>
      <c r="G14862" s="8"/>
      <c r="J14862" s="8"/>
    </row>
    <row r="14863">
      <c r="C14863" s="15"/>
      <c r="E14863" s="8"/>
      <c r="G14863" s="8"/>
      <c r="J14863" s="8"/>
    </row>
    <row r="14864">
      <c r="C14864" s="15"/>
      <c r="E14864" s="8"/>
      <c r="G14864" s="8"/>
      <c r="J14864" s="8"/>
    </row>
    <row r="14865">
      <c r="C14865" s="15"/>
      <c r="E14865" s="8"/>
      <c r="G14865" s="8"/>
      <c r="J14865" s="8"/>
    </row>
    <row r="14866">
      <c r="C14866" s="15"/>
      <c r="E14866" s="8"/>
      <c r="G14866" s="8"/>
      <c r="J14866" s="8"/>
    </row>
    <row r="14867">
      <c r="C14867" s="15"/>
      <c r="E14867" s="8"/>
      <c r="G14867" s="8"/>
      <c r="J14867" s="8"/>
    </row>
    <row r="14868">
      <c r="C14868" s="15"/>
      <c r="E14868" s="8"/>
      <c r="G14868" s="8"/>
      <c r="J14868" s="8"/>
    </row>
    <row r="14869">
      <c r="C14869" s="15"/>
      <c r="E14869" s="8"/>
      <c r="G14869" s="8"/>
      <c r="J14869" s="8"/>
    </row>
    <row r="14870">
      <c r="C14870" s="15"/>
      <c r="E14870" s="8"/>
      <c r="G14870" s="8"/>
      <c r="J14870" s="8"/>
    </row>
    <row r="14871">
      <c r="C14871" s="15"/>
      <c r="E14871" s="8"/>
      <c r="G14871" s="8"/>
      <c r="J14871" s="8"/>
    </row>
    <row r="14872">
      <c r="C14872" s="15"/>
      <c r="E14872" s="8"/>
      <c r="G14872" s="8"/>
      <c r="J14872" s="8"/>
    </row>
    <row r="14873">
      <c r="C14873" s="15"/>
      <c r="E14873" s="8"/>
      <c r="G14873" s="8"/>
      <c r="J14873" s="8"/>
    </row>
    <row r="14874">
      <c r="C14874" s="15"/>
      <c r="E14874" s="8"/>
      <c r="G14874" s="8"/>
      <c r="J14874" s="8"/>
    </row>
    <row r="14875">
      <c r="C14875" s="15"/>
      <c r="E14875" s="8"/>
      <c r="G14875" s="8"/>
      <c r="J14875" s="8"/>
    </row>
    <row r="14876">
      <c r="C14876" s="15"/>
      <c r="E14876" s="8"/>
      <c r="G14876" s="8"/>
      <c r="J14876" s="8"/>
    </row>
    <row r="14877">
      <c r="C14877" s="15"/>
      <c r="E14877" s="8"/>
      <c r="G14877" s="8"/>
      <c r="J14877" s="8"/>
    </row>
    <row r="14878">
      <c r="C14878" s="15"/>
      <c r="E14878" s="8"/>
      <c r="G14878" s="8"/>
      <c r="J14878" s="8"/>
    </row>
    <row r="14879">
      <c r="C14879" s="15"/>
      <c r="E14879" s="8"/>
      <c r="G14879" s="8"/>
      <c r="J14879" s="8"/>
    </row>
    <row r="14880">
      <c r="C14880" s="15"/>
      <c r="E14880" s="8"/>
      <c r="G14880" s="8"/>
      <c r="J14880" s="8"/>
    </row>
    <row r="14881">
      <c r="C14881" s="15"/>
      <c r="E14881" s="8"/>
      <c r="G14881" s="8"/>
      <c r="J14881" s="8"/>
    </row>
    <row r="14882">
      <c r="C14882" s="15"/>
      <c r="E14882" s="8"/>
      <c r="G14882" s="8"/>
      <c r="J14882" s="8"/>
    </row>
    <row r="14883">
      <c r="C14883" s="15"/>
      <c r="E14883" s="8"/>
      <c r="G14883" s="8"/>
      <c r="J14883" s="8"/>
    </row>
    <row r="14884">
      <c r="C14884" s="15"/>
      <c r="E14884" s="8"/>
      <c r="G14884" s="8"/>
      <c r="J14884" s="8"/>
    </row>
    <row r="14885">
      <c r="C14885" s="15"/>
      <c r="E14885" s="8"/>
      <c r="G14885" s="8"/>
      <c r="J14885" s="8"/>
    </row>
    <row r="14886">
      <c r="C14886" s="15"/>
      <c r="E14886" s="8"/>
      <c r="G14886" s="8"/>
      <c r="J14886" s="8"/>
    </row>
    <row r="14887">
      <c r="C14887" s="15"/>
      <c r="E14887" s="8"/>
      <c r="G14887" s="8"/>
      <c r="J14887" s="8"/>
    </row>
    <row r="14888">
      <c r="C14888" s="15"/>
      <c r="E14888" s="8"/>
      <c r="G14888" s="8"/>
      <c r="J14888" s="8"/>
    </row>
    <row r="14889">
      <c r="C14889" s="15"/>
      <c r="E14889" s="8"/>
      <c r="G14889" s="8"/>
      <c r="J14889" s="8"/>
    </row>
    <row r="14890">
      <c r="C14890" s="15"/>
      <c r="E14890" s="8"/>
      <c r="G14890" s="8"/>
      <c r="J14890" s="8"/>
    </row>
    <row r="14891">
      <c r="C14891" s="15"/>
      <c r="E14891" s="8"/>
      <c r="G14891" s="8"/>
      <c r="J14891" s="8"/>
    </row>
    <row r="14892">
      <c r="C14892" s="15"/>
      <c r="E14892" s="8"/>
      <c r="G14892" s="8"/>
      <c r="J14892" s="8"/>
    </row>
    <row r="14893">
      <c r="C14893" s="15"/>
      <c r="E14893" s="8"/>
      <c r="G14893" s="8"/>
      <c r="J14893" s="8"/>
    </row>
    <row r="14894">
      <c r="C14894" s="15"/>
      <c r="E14894" s="8"/>
      <c r="G14894" s="8"/>
      <c r="J14894" s="8"/>
    </row>
    <row r="14895">
      <c r="C14895" s="15"/>
      <c r="E14895" s="8"/>
      <c r="G14895" s="8"/>
      <c r="J14895" s="8"/>
    </row>
    <row r="14896">
      <c r="C14896" s="15"/>
      <c r="E14896" s="8"/>
      <c r="G14896" s="8"/>
      <c r="J14896" s="8"/>
    </row>
    <row r="14897">
      <c r="C14897" s="15"/>
      <c r="E14897" s="8"/>
      <c r="G14897" s="8"/>
      <c r="J14897" s="8"/>
    </row>
    <row r="14898">
      <c r="C14898" s="15"/>
      <c r="E14898" s="8"/>
      <c r="G14898" s="8"/>
      <c r="J14898" s="8"/>
    </row>
    <row r="14899">
      <c r="C14899" s="15"/>
      <c r="E14899" s="8"/>
      <c r="G14899" s="8"/>
      <c r="J14899" s="8"/>
    </row>
    <row r="14900">
      <c r="C14900" s="15"/>
      <c r="E14900" s="8"/>
      <c r="G14900" s="8"/>
      <c r="J14900" s="8"/>
    </row>
    <row r="14901">
      <c r="C14901" s="15"/>
      <c r="E14901" s="8"/>
      <c r="G14901" s="8"/>
      <c r="J14901" s="8"/>
    </row>
    <row r="14902">
      <c r="C14902" s="15"/>
      <c r="E14902" s="8"/>
      <c r="G14902" s="8"/>
      <c r="J14902" s="8"/>
    </row>
    <row r="14903">
      <c r="C14903" s="15"/>
      <c r="E14903" s="8"/>
      <c r="G14903" s="8"/>
      <c r="J14903" s="8"/>
    </row>
    <row r="14904">
      <c r="C14904" s="15"/>
      <c r="E14904" s="8"/>
      <c r="G14904" s="8"/>
      <c r="J14904" s="8"/>
    </row>
    <row r="14905">
      <c r="C14905" s="15"/>
      <c r="E14905" s="8"/>
      <c r="G14905" s="8"/>
      <c r="J14905" s="8"/>
    </row>
    <row r="14906">
      <c r="C14906" s="15"/>
      <c r="E14906" s="8"/>
      <c r="G14906" s="8"/>
      <c r="J14906" s="8"/>
    </row>
    <row r="14907">
      <c r="C14907" s="15"/>
      <c r="E14907" s="8"/>
      <c r="G14907" s="8"/>
      <c r="J14907" s="8"/>
    </row>
    <row r="14908">
      <c r="C14908" s="15"/>
      <c r="E14908" s="8"/>
      <c r="G14908" s="8"/>
      <c r="J14908" s="8"/>
    </row>
    <row r="14909">
      <c r="C14909" s="15"/>
      <c r="E14909" s="8"/>
      <c r="G14909" s="8"/>
      <c r="J14909" s="8"/>
    </row>
    <row r="14910">
      <c r="C14910" s="15"/>
      <c r="E14910" s="8"/>
      <c r="G14910" s="8"/>
      <c r="J14910" s="8"/>
    </row>
    <row r="14911">
      <c r="C14911" s="15"/>
      <c r="E14911" s="8"/>
      <c r="G14911" s="8"/>
      <c r="J14911" s="8"/>
    </row>
    <row r="14912">
      <c r="C14912" s="15"/>
      <c r="E14912" s="8"/>
      <c r="G14912" s="8"/>
      <c r="J14912" s="8"/>
    </row>
    <row r="14913">
      <c r="C14913" s="15"/>
      <c r="E14913" s="8"/>
      <c r="G14913" s="8"/>
      <c r="J14913" s="8"/>
    </row>
    <row r="14914">
      <c r="C14914" s="15"/>
      <c r="E14914" s="8"/>
      <c r="G14914" s="8"/>
      <c r="J14914" s="8"/>
    </row>
    <row r="14915">
      <c r="C14915" s="15"/>
      <c r="E14915" s="8"/>
      <c r="G14915" s="8"/>
      <c r="J14915" s="8"/>
    </row>
    <row r="14916">
      <c r="C14916" s="15"/>
      <c r="E14916" s="8"/>
      <c r="G14916" s="8"/>
      <c r="J14916" s="8"/>
    </row>
    <row r="14917">
      <c r="C14917" s="15"/>
      <c r="E14917" s="8"/>
      <c r="G14917" s="8"/>
      <c r="J14917" s="8"/>
    </row>
    <row r="14918">
      <c r="C14918" s="15"/>
      <c r="E14918" s="8"/>
      <c r="G14918" s="8"/>
      <c r="J14918" s="8"/>
    </row>
    <row r="14919">
      <c r="C14919" s="15"/>
      <c r="E14919" s="8"/>
      <c r="G14919" s="8"/>
      <c r="J14919" s="8"/>
    </row>
    <row r="14920">
      <c r="C14920" s="15"/>
      <c r="E14920" s="8"/>
      <c r="G14920" s="8"/>
      <c r="J14920" s="8"/>
    </row>
    <row r="14921">
      <c r="C14921" s="15"/>
      <c r="E14921" s="8"/>
      <c r="G14921" s="8"/>
      <c r="J14921" s="8"/>
    </row>
    <row r="14922">
      <c r="C14922" s="15"/>
      <c r="E14922" s="8"/>
      <c r="G14922" s="8"/>
      <c r="J14922" s="8"/>
    </row>
    <row r="14923">
      <c r="C14923" s="15"/>
      <c r="E14923" s="8"/>
      <c r="G14923" s="8"/>
      <c r="J14923" s="8"/>
    </row>
    <row r="14924">
      <c r="C14924" s="15"/>
      <c r="E14924" s="8"/>
      <c r="G14924" s="8"/>
      <c r="J14924" s="8"/>
    </row>
    <row r="14925">
      <c r="C14925" s="15"/>
      <c r="E14925" s="8"/>
      <c r="G14925" s="8"/>
      <c r="J14925" s="8"/>
    </row>
    <row r="14926">
      <c r="C14926" s="15"/>
      <c r="E14926" s="8"/>
      <c r="G14926" s="8"/>
      <c r="J14926" s="8"/>
    </row>
    <row r="14927">
      <c r="C14927" s="15"/>
      <c r="E14927" s="8"/>
      <c r="G14927" s="8"/>
      <c r="J14927" s="8"/>
    </row>
    <row r="14928">
      <c r="C14928" s="15"/>
      <c r="E14928" s="8"/>
      <c r="G14928" s="8"/>
      <c r="J14928" s="8"/>
    </row>
    <row r="14929">
      <c r="C14929" s="15"/>
      <c r="E14929" s="8"/>
      <c r="G14929" s="8"/>
      <c r="J14929" s="8"/>
    </row>
    <row r="14930">
      <c r="C14930" s="15"/>
      <c r="E14930" s="8"/>
      <c r="G14930" s="8"/>
      <c r="J14930" s="8"/>
    </row>
    <row r="14931">
      <c r="C14931" s="15"/>
      <c r="E14931" s="8"/>
      <c r="G14931" s="8"/>
      <c r="J14931" s="8"/>
    </row>
    <row r="14932">
      <c r="C14932" s="15"/>
      <c r="E14932" s="8"/>
      <c r="G14932" s="8"/>
      <c r="J14932" s="8"/>
    </row>
    <row r="14933">
      <c r="C14933" s="15"/>
      <c r="E14933" s="8"/>
      <c r="G14933" s="8"/>
      <c r="J14933" s="8"/>
    </row>
    <row r="14934">
      <c r="C14934" s="15"/>
      <c r="E14934" s="8"/>
      <c r="G14934" s="8"/>
      <c r="J14934" s="8"/>
    </row>
    <row r="14935">
      <c r="C14935" s="15"/>
      <c r="E14935" s="8"/>
      <c r="G14935" s="8"/>
      <c r="J14935" s="8"/>
    </row>
    <row r="14936">
      <c r="C14936" s="15"/>
      <c r="E14936" s="8"/>
      <c r="G14936" s="8"/>
      <c r="J14936" s="8"/>
    </row>
    <row r="14937">
      <c r="C14937" s="15"/>
      <c r="E14937" s="8"/>
      <c r="G14937" s="8"/>
      <c r="J14937" s="8"/>
    </row>
    <row r="14938">
      <c r="C14938" s="15"/>
      <c r="E14938" s="8"/>
      <c r="G14938" s="8"/>
      <c r="J14938" s="8"/>
    </row>
    <row r="14939">
      <c r="C14939" s="15"/>
      <c r="E14939" s="8"/>
      <c r="G14939" s="8"/>
      <c r="J14939" s="8"/>
    </row>
    <row r="14940">
      <c r="C14940" s="15"/>
      <c r="E14940" s="8"/>
      <c r="G14940" s="8"/>
      <c r="J14940" s="8"/>
    </row>
    <row r="14941">
      <c r="C14941" s="15"/>
      <c r="E14941" s="8"/>
      <c r="G14941" s="8"/>
      <c r="J14941" s="8"/>
    </row>
    <row r="14942">
      <c r="C14942" s="15"/>
      <c r="E14942" s="8"/>
      <c r="G14942" s="8"/>
      <c r="J14942" s="8"/>
    </row>
    <row r="14943">
      <c r="C14943" s="15"/>
      <c r="E14943" s="8"/>
      <c r="G14943" s="8"/>
      <c r="J14943" s="8"/>
    </row>
    <row r="14944">
      <c r="C14944" s="15"/>
      <c r="E14944" s="8"/>
      <c r="G14944" s="8"/>
      <c r="J14944" s="8"/>
    </row>
    <row r="14945">
      <c r="C14945" s="15"/>
      <c r="E14945" s="8"/>
      <c r="G14945" s="8"/>
      <c r="J14945" s="8"/>
    </row>
    <row r="14946">
      <c r="C14946" s="15"/>
      <c r="E14946" s="8"/>
      <c r="G14946" s="8"/>
      <c r="J14946" s="8"/>
    </row>
    <row r="14947">
      <c r="C14947" s="15"/>
      <c r="E14947" s="8"/>
      <c r="G14947" s="8"/>
      <c r="J14947" s="8"/>
    </row>
    <row r="14948">
      <c r="C14948" s="15"/>
      <c r="E14948" s="8"/>
      <c r="G14948" s="8"/>
      <c r="J14948" s="8"/>
    </row>
    <row r="14949">
      <c r="C14949" s="15"/>
      <c r="E14949" s="8"/>
      <c r="G14949" s="8"/>
      <c r="J14949" s="8"/>
    </row>
    <row r="14950">
      <c r="C14950" s="15"/>
      <c r="E14950" s="8"/>
      <c r="G14950" s="8"/>
      <c r="J14950" s="8"/>
    </row>
    <row r="14951">
      <c r="C14951" s="15"/>
      <c r="E14951" s="8"/>
      <c r="G14951" s="8"/>
      <c r="J14951" s="8"/>
    </row>
    <row r="14952">
      <c r="C14952" s="15"/>
      <c r="E14952" s="8"/>
      <c r="G14952" s="8"/>
      <c r="J14952" s="8"/>
    </row>
    <row r="14953">
      <c r="C14953" s="15"/>
      <c r="E14953" s="8"/>
      <c r="G14953" s="8"/>
      <c r="J14953" s="8"/>
    </row>
    <row r="14954">
      <c r="C14954" s="15"/>
      <c r="E14954" s="8"/>
      <c r="G14954" s="8"/>
      <c r="J14954" s="8"/>
    </row>
    <row r="14955">
      <c r="C14955" s="15"/>
      <c r="E14955" s="8"/>
      <c r="G14955" s="8"/>
      <c r="J14955" s="8"/>
    </row>
    <row r="14956">
      <c r="C14956" s="15"/>
      <c r="E14956" s="8"/>
      <c r="G14956" s="8"/>
      <c r="J14956" s="8"/>
    </row>
    <row r="14957">
      <c r="C14957" s="15"/>
      <c r="E14957" s="8"/>
      <c r="G14957" s="8"/>
      <c r="J14957" s="8"/>
    </row>
    <row r="14958">
      <c r="C14958" s="15"/>
      <c r="E14958" s="8"/>
      <c r="G14958" s="8"/>
      <c r="J14958" s="8"/>
    </row>
    <row r="14959">
      <c r="C14959" s="15"/>
      <c r="E14959" s="8"/>
      <c r="G14959" s="8"/>
      <c r="J14959" s="8"/>
    </row>
    <row r="14960">
      <c r="C14960" s="15"/>
      <c r="E14960" s="8"/>
      <c r="G14960" s="8"/>
      <c r="J14960" s="8"/>
    </row>
    <row r="14961">
      <c r="C14961" s="15"/>
      <c r="E14961" s="8"/>
      <c r="G14961" s="8"/>
      <c r="J14961" s="8"/>
    </row>
    <row r="14962">
      <c r="C14962" s="15"/>
      <c r="E14962" s="8"/>
      <c r="G14962" s="8"/>
      <c r="J14962" s="8"/>
    </row>
    <row r="14963">
      <c r="C14963" s="15"/>
      <c r="E14963" s="8"/>
      <c r="G14963" s="8"/>
      <c r="J14963" s="8"/>
    </row>
    <row r="14964">
      <c r="C14964" s="15"/>
      <c r="E14964" s="8"/>
      <c r="G14964" s="8"/>
      <c r="J14964" s="8"/>
    </row>
    <row r="14965">
      <c r="C14965" s="15"/>
      <c r="E14965" s="8"/>
      <c r="G14965" s="8"/>
      <c r="J14965" s="8"/>
    </row>
    <row r="14966">
      <c r="C14966" s="15"/>
      <c r="E14966" s="8"/>
      <c r="G14966" s="8"/>
      <c r="J14966" s="8"/>
    </row>
    <row r="14967">
      <c r="C14967" s="15"/>
      <c r="E14967" s="8"/>
      <c r="G14967" s="8"/>
      <c r="J14967" s="8"/>
    </row>
    <row r="14968">
      <c r="C14968" s="15"/>
      <c r="E14968" s="8"/>
      <c r="G14968" s="8"/>
      <c r="J14968" s="8"/>
    </row>
    <row r="14969">
      <c r="C14969" s="15"/>
      <c r="E14969" s="8"/>
      <c r="G14969" s="8"/>
      <c r="J14969" s="8"/>
    </row>
    <row r="14970">
      <c r="C14970" s="15"/>
      <c r="E14970" s="8"/>
      <c r="G14970" s="8"/>
      <c r="J14970" s="8"/>
    </row>
    <row r="14971">
      <c r="C14971" s="15"/>
      <c r="E14971" s="8"/>
      <c r="G14971" s="8"/>
      <c r="J14971" s="8"/>
    </row>
    <row r="14972">
      <c r="C14972" s="15"/>
      <c r="E14972" s="8"/>
      <c r="G14972" s="8"/>
      <c r="J14972" s="8"/>
    </row>
    <row r="14973">
      <c r="C14973" s="15"/>
      <c r="E14973" s="8"/>
      <c r="G14973" s="8"/>
      <c r="J14973" s="8"/>
    </row>
    <row r="14974">
      <c r="C14974" s="15"/>
      <c r="E14974" s="8"/>
      <c r="G14974" s="8"/>
      <c r="J14974" s="8"/>
    </row>
    <row r="14975">
      <c r="C14975" s="15"/>
      <c r="E14975" s="8"/>
      <c r="G14975" s="8"/>
      <c r="J14975" s="8"/>
    </row>
    <row r="14976">
      <c r="C14976" s="15"/>
      <c r="E14976" s="8"/>
      <c r="G14976" s="8"/>
      <c r="J14976" s="8"/>
    </row>
    <row r="14977">
      <c r="C14977" s="15"/>
      <c r="E14977" s="8"/>
      <c r="G14977" s="8"/>
      <c r="J14977" s="8"/>
    </row>
    <row r="14978">
      <c r="C14978" s="15"/>
      <c r="E14978" s="8"/>
      <c r="G14978" s="8"/>
      <c r="J14978" s="8"/>
    </row>
    <row r="14979">
      <c r="C14979" s="15"/>
      <c r="E14979" s="8"/>
      <c r="G14979" s="8"/>
      <c r="J14979" s="8"/>
    </row>
    <row r="14980">
      <c r="C14980" s="15"/>
      <c r="E14980" s="8"/>
      <c r="G14980" s="8"/>
      <c r="J14980" s="8"/>
    </row>
    <row r="14981">
      <c r="C14981" s="15"/>
      <c r="E14981" s="8"/>
      <c r="G14981" s="8"/>
      <c r="J14981" s="8"/>
    </row>
    <row r="14982">
      <c r="C14982" s="15"/>
      <c r="E14982" s="8"/>
      <c r="G14982" s="8"/>
      <c r="J14982" s="8"/>
    </row>
    <row r="14983">
      <c r="C14983" s="15"/>
      <c r="E14983" s="8"/>
      <c r="G14983" s="8"/>
      <c r="J14983" s="8"/>
    </row>
    <row r="14984">
      <c r="C14984" s="15"/>
      <c r="E14984" s="8"/>
      <c r="G14984" s="8"/>
      <c r="J14984" s="8"/>
    </row>
    <row r="14985">
      <c r="C14985" s="15"/>
      <c r="E14985" s="8"/>
      <c r="G14985" s="8"/>
      <c r="J14985" s="8"/>
    </row>
    <row r="14986">
      <c r="C14986" s="15"/>
      <c r="E14986" s="8"/>
      <c r="G14986" s="8"/>
      <c r="J14986" s="8"/>
    </row>
    <row r="14987">
      <c r="C14987" s="15"/>
      <c r="E14987" s="8"/>
      <c r="G14987" s="8"/>
      <c r="J14987" s="8"/>
    </row>
    <row r="14988">
      <c r="C14988" s="15"/>
      <c r="E14988" s="8"/>
      <c r="G14988" s="8"/>
      <c r="J14988" s="8"/>
    </row>
    <row r="14989">
      <c r="C14989" s="15"/>
      <c r="E14989" s="8"/>
      <c r="G14989" s="8"/>
      <c r="J14989" s="8"/>
    </row>
    <row r="14990">
      <c r="C14990" s="15"/>
      <c r="E14990" s="8"/>
      <c r="G14990" s="8"/>
      <c r="J14990" s="8"/>
    </row>
    <row r="14991">
      <c r="C14991" s="15"/>
      <c r="E14991" s="8"/>
      <c r="G14991" s="8"/>
      <c r="J14991" s="8"/>
    </row>
    <row r="14992">
      <c r="C14992" s="15"/>
      <c r="E14992" s="8"/>
      <c r="G14992" s="8"/>
      <c r="J14992" s="8"/>
    </row>
    <row r="14993">
      <c r="C14993" s="15"/>
      <c r="E14993" s="8"/>
      <c r="G14993" s="8"/>
      <c r="J14993" s="8"/>
    </row>
    <row r="14994">
      <c r="C14994" s="15"/>
      <c r="E14994" s="8"/>
      <c r="G14994" s="8"/>
      <c r="J14994" s="8"/>
    </row>
    <row r="14995">
      <c r="C14995" s="15"/>
      <c r="E14995" s="8"/>
      <c r="G14995" s="8"/>
      <c r="J14995" s="8"/>
    </row>
    <row r="14996">
      <c r="C14996" s="15"/>
      <c r="E14996" s="8"/>
      <c r="G14996" s="8"/>
      <c r="J14996" s="8"/>
    </row>
    <row r="14997">
      <c r="C14997" s="15"/>
      <c r="E14997" s="8"/>
      <c r="G14997" s="8"/>
      <c r="J14997" s="8"/>
    </row>
    <row r="14998">
      <c r="C14998" s="15"/>
      <c r="E14998" s="8"/>
      <c r="G14998" s="8"/>
      <c r="J14998" s="8"/>
    </row>
    <row r="14999">
      <c r="C14999" s="15"/>
      <c r="E14999" s="8"/>
      <c r="G14999" s="8"/>
      <c r="J14999" s="8"/>
    </row>
    <row r="15000">
      <c r="C15000" s="15"/>
      <c r="E15000" s="8"/>
      <c r="G15000" s="8"/>
      <c r="J15000" s="8"/>
    </row>
    <row r="15001">
      <c r="C15001" s="15"/>
      <c r="E15001" s="8"/>
      <c r="G15001" s="8"/>
      <c r="J15001" s="8"/>
    </row>
    <row r="15002">
      <c r="C15002" s="15"/>
      <c r="E15002" s="8"/>
      <c r="G15002" s="8"/>
      <c r="J15002" s="8"/>
    </row>
    <row r="15003">
      <c r="C15003" s="15"/>
      <c r="E15003" s="8"/>
      <c r="G15003" s="8"/>
      <c r="J15003" s="8"/>
    </row>
    <row r="15004">
      <c r="C15004" s="15"/>
      <c r="E15004" s="8"/>
      <c r="G15004" s="8"/>
      <c r="J15004" s="8"/>
    </row>
    <row r="15005">
      <c r="C15005" s="15"/>
      <c r="E15005" s="8"/>
      <c r="G15005" s="8"/>
      <c r="J15005" s="8"/>
    </row>
    <row r="15006">
      <c r="C15006" s="15"/>
      <c r="E15006" s="8"/>
      <c r="G15006" s="8"/>
      <c r="J15006" s="8"/>
    </row>
    <row r="15007">
      <c r="C15007" s="15"/>
      <c r="E15007" s="8"/>
      <c r="G15007" s="8"/>
      <c r="J15007" s="8"/>
    </row>
    <row r="15008">
      <c r="C15008" s="15"/>
      <c r="E15008" s="8"/>
      <c r="G15008" s="8"/>
      <c r="J15008" s="8"/>
    </row>
    <row r="15009">
      <c r="C15009" s="15"/>
      <c r="E15009" s="8"/>
      <c r="G15009" s="8"/>
      <c r="J15009" s="8"/>
    </row>
    <row r="15010">
      <c r="C15010" s="15"/>
      <c r="E15010" s="8"/>
      <c r="G15010" s="8"/>
      <c r="J15010" s="8"/>
    </row>
    <row r="15011">
      <c r="C15011" s="15"/>
      <c r="E15011" s="8"/>
      <c r="G15011" s="8"/>
      <c r="J15011" s="8"/>
    </row>
    <row r="15012">
      <c r="C15012" s="15"/>
      <c r="E15012" s="8"/>
      <c r="G15012" s="8"/>
      <c r="J15012" s="8"/>
    </row>
    <row r="15013">
      <c r="C15013" s="15"/>
      <c r="E15013" s="8"/>
      <c r="G15013" s="8"/>
      <c r="J15013" s="8"/>
    </row>
    <row r="15014">
      <c r="C15014" s="15"/>
      <c r="E15014" s="8"/>
      <c r="G15014" s="8"/>
      <c r="J15014" s="8"/>
    </row>
    <row r="15015">
      <c r="C15015" s="15"/>
      <c r="E15015" s="8"/>
      <c r="G15015" s="8"/>
      <c r="J15015" s="8"/>
    </row>
    <row r="15016">
      <c r="C15016" s="15"/>
      <c r="E15016" s="8"/>
      <c r="G15016" s="8"/>
      <c r="J15016" s="8"/>
    </row>
    <row r="15017">
      <c r="C15017" s="15"/>
      <c r="E15017" s="8"/>
      <c r="G15017" s="8"/>
      <c r="J15017" s="8"/>
    </row>
    <row r="15018">
      <c r="C15018" s="15"/>
      <c r="E15018" s="8"/>
      <c r="G15018" s="8"/>
      <c r="J15018" s="8"/>
    </row>
    <row r="15019">
      <c r="C15019" s="15"/>
      <c r="E15019" s="8"/>
      <c r="G15019" s="8"/>
      <c r="J15019" s="8"/>
    </row>
    <row r="15020">
      <c r="C15020" s="15"/>
      <c r="E15020" s="8"/>
      <c r="G15020" s="8"/>
      <c r="J15020" s="8"/>
    </row>
    <row r="15021">
      <c r="C15021" s="15"/>
      <c r="E15021" s="8"/>
      <c r="G15021" s="8"/>
      <c r="J15021" s="8"/>
    </row>
    <row r="15022">
      <c r="C15022" s="15"/>
      <c r="E15022" s="8"/>
      <c r="G15022" s="8"/>
      <c r="J15022" s="8"/>
    </row>
    <row r="15023">
      <c r="C15023" s="15"/>
      <c r="E15023" s="8"/>
      <c r="G15023" s="8"/>
      <c r="J15023" s="8"/>
    </row>
    <row r="15024">
      <c r="C15024" s="15"/>
      <c r="E15024" s="8"/>
      <c r="G15024" s="8"/>
      <c r="J15024" s="8"/>
    </row>
    <row r="15025">
      <c r="C15025" s="15"/>
      <c r="E15025" s="8"/>
      <c r="G15025" s="8"/>
      <c r="J15025" s="8"/>
    </row>
    <row r="15026">
      <c r="C15026" s="15"/>
      <c r="E15026" s="8"/>
      <c r="G15026" s="8"/>
      <c r="J15026" s="8"/>
    </row>
    <row r="15027">
      <c r="C15027" s="15"/>
      <c r="E15027" s="8"/>
      <c r="G15027" s="8"/>
      <c r="J15027" s="8"/>
    </row>
    <row r="15028">
      <c r="C15028" s="15"/>
      <c r="E15028" s="8"/>
      <c r="G15028" s="8"/>
      <c r="J15028" s="8"/>
    </row>
    <row r="15029">
      <c r="C15029" s="15"/>
      <c r="E15029" s="8"/>
      <c r="G15029" s="8"/>
      <c r="J15029" s="8"/>
    </row>
    <row r="15030">
      <c r="C15030" s="15"/>
      <c r="E15030" s="8"/>
      <c r="G15030" s="8"/>
      <c r="J15030" s="8"/>
    </row>
    <row r="15031">
      <c r="C15031" s="15"/>
      <c r="E15031" s="8"/>
      <c r="G15031" s="8"/>
      <c r="J15031" s="8"/>
    </row>
    <row r="15032">
      <c r="C15032" s="15"/>
      <c r="E15032" s="8"/>
      <c r="G15032" s="8"/>
      <c r="J15032" s="8"/>
    </row>
    <row r="15033">
      <c r="C15033" s="15"/>
      <c r="E15033" s="8"/>
      <c r="G15033" s="8"/>
      <c r="J15033" s="8"/>
    </row>
    <row r="15034">
      <c r="C15034" s="15"/>
      <c r="E15034" s="8"/>
      <c r="G15034" s="8"/>
      <c r="J15034" s="8"/>
    </row>
    <row r="15035">
      <c r="C15035" s="15"/>
      <c r="E15035" s="8"/>
      <c r="G15035" s="8"/>
      <c r="J15035" s="8"/>
    </row>
    <row r="15036">
      <c r="C15036" s="15"/>
      <c r="E15036" s="8"/>
      <c r="G15036" s="8"/>
      <c r="J15036" s="8"/>
    </row>
    <row r="15037">
      <c r="C15037" s="15"/>
      <c r="E15037" s="8"/>
      <c r="G15037" s="8"/>
      <c r="J15037" s="8"/>
    </row>
    <row r="15038">
      <c r="C15038" s="15"/>
      <c r="E15038" s="8"/>
      <c r="G15038" s="8"/>
      <c r="J15038" s="8"/>
    </row>
    <row r="15039">
      <c r="C15039" s="15"/>
      <c r="E15039" s="8"/>
      <c r="G15039" s="8"/>
      <c r="J15039" s="8"/>
    </row>
    <row r="15040">
      <c r="C15040" s="15"/>
      <c r="E15040" s="8"/>
      <c r="G15040" s="8"/>
      <c r="J15040" s="8"/>
    </row>
    <row r="15041">
      <c r="C15041" s="15"/>
      <c r="E15041" s="8"/>
      <c r="G15041" s="8"/>
      <c r="J15041" s="8"/>
    </row>
    <row r="15042">
      <c r="C15042" s="15"/>
      <c r="E15042" s="8"/>
      <c r="G15042" s="8"/>
      <c r="J15042" s="8"/>
    </row>
    <row r="15043">
      <c r="C15043" s="15"/>
      <c r="E15043" s="8"/>
      <c r="G15043" s="8"/>
      <c r="J15043" s="8"/>
    </row>
    <row r="15044">
      <c r="C15044" s="15"/>
      <c r="E15044" s="8"/>
      <c r="G15044" s="8"/>
      <c r="J15044" s="8"/>
    </row>
    <row r="15045">
      <c r="C15045" s="15"/>
      <c r="E15045" s="8"/>
      <c r="G15045" s="8"/>
      <c r="J15045" s="8"/>
    </row>
    <row r="15046">
      <c r="C15046" s="15"/>
      <c r="E15046" s="8"/>
      <c r="G15046" s="8"/>
      <c r="J15046" s="8"/>
    </row>
    <row r="15047">
      <c r="C15047" s="15"/>
      <c r="E15047" s="8"/>
      <c r="G15047" s="8"/>
      <c r="J15047" s="8"/>
    </row>
    <row r="15048">
      <c r="C15048" s="15"/>
      <c r="E15048" s="8"/>
      <c r="G15048" s="8"/>
      <c r="J15048" s="8"/>
    </row>
    <row r="15049">
      <c r="C15049" s="15"/>
      <c r="E15049" s="8"/>
      <c r="G15049" s="8"/>
      <c r="J15049" s="8"/>
    </row>
    <row r="15050">
      <c r="C15050" s="15"/>
      <c r="E15050" s="8"/>
      <c r="G15050" s="8"/>
      <c r="J15050" s="8"/>
    </row>
    <row r="15051">
      <c r="C15051" s="15"/>
      <c r="E15051" s="8"/>
      <c r="G15051" s="8"/>
      <c r="J15051" s="8"/>
    </row>
    <row r="15052">
      <c r="C15052" s="15"/>
      <c r="E15052" s="8"/>
      <c r="G15052" s="8"/>
      <c r="J15052" s="8"/>
    </row>
    <row r="15053">
      <c r="C15053" s="15"/>
      <c r="E15053" s="8"/>
      <c r="G15053" s="8"/>
      <c r="J15053" s="8"/>
    </row>
    <row r="15054">
      <c r="C15054" s="15"/>
      <c r="E15054" s="8"/>
      <c r="G15054" s="8"/>
      <c r="J15054" s="8"/>
    </row>
    <row r="15055">
      <c r="C15055" s="15"/>
      <c r="E15055" s="8"/>
      <c r="G15055" s="8"/>
      <c r="J15055" s="8"/>
    </row>
    <row r="15056">
      <c r="C15056" s="15"/>
      <c r="E15056" s="8"/>
      <c r="G15056" s="8"/>
      <c r="J15056" s="8"/>
    </row>
    <row r="15057">
      <c r="C15057" s="15"/>
      <c r="E15057" s="8"/>
      <c r="G15057" s="8"/>
      <c r="J15057" s="8"/>
    </row>
    <row r="15058">
      <c r="C15058" s="15"/>
      <c r="E15058" s="8"/>
      <c r="G15058" s="8"/>
      <c r="J15058" s="8"/>
    </row>
    <row r="15059">
      <c r="C15059" s="15"/>
      <c r="E15059" s="8"/>
      <c r="G15059" s="8"/>
      <c r="J15059" s="8"/>
    </row>
    <row r="15060">
      <c r="C15060" s="15"/>
      <c r="E15060" s="8"/>
      <c r="G15060" s="8"/>
      <c r="J15060" s="8"/>
    </row>
    <row r="15061">
      <c r="C15061" s="15"/>
      <c r="E15061" s="8"/>
      <c r="G15061" s="8"/>
      <c r="J15061" s="8"/>
    </row>
    <row r="15062">
      <c r="C15062" s="15"/>
      <c r="E15062" s="8"/>
      <c r="G15062" s="8"/>
      <c r="J15062" s="8"/>
    </row>
    <row r="15063">
      <c r="C15063" s="15"/>
      <c r="E15063" s="8"/>
      <c r="G15063" s="8"/>
      <c r="J15063" s="8"/>
    </row>
    <row r="15064">
      <c r="C15064" s="15"/>
      <c r="E15064" s="8"/>
      <c r="G15064" s="8"/>
      <c r="J15064" s="8"/>
    </row>
    <row r="15065">
      <c r="C15065" s="15"/>
      <c r="E15065" s="8"/>
      <c r="G15065" s="8"/>
      <c r="J15065" s="8"/>
    </row>
    <row r="15066">
      <c r="C15066" s="15"/>
      <c r="E15066" s="8"/>
      <c r="G15066" s="8"/>
      <c r="J15066" s="8"/>
    </row>
    <row r="15067">
      <c r="C15067" s="15"/>
      <c r="E15067" s="8"/>
      <c r="G15067" s="8"/>
      <c r="J15067" s="8"/>
    </row>
    <row r="15068">
      <c r="C15068" s="15"/>
      <c r="E15068" s="8"/>
      <c r="G15068" s="8"/>
      <c r="J15068" s="8"/>
    </row>
    <row r="15069">
      <c r="C15069" s="15"/>
      <c r="E15069" s="8"/>
      <c r="G15069" s="8"/>
      <c r="J15069" s="8"/>
    </row>
    <row r="15070">
      <c r="C15070" s="15"/>
      <c r="E15070" s="8"/>
      <c r="G15070" s="8"/>
      <c r="J15070" s="8"/>
    </row>
    <row r="15071">
      <c r="C15071" s="15"/>
      <c r="E15071" s="8"/>
      <c r="G15071" s="8"/>
      <c r="J15071" s="8"/>
    </row>
    <row r="15072">
      <c r="C15072" s="15"/>
      <c r="E15072" s="8"/>
      <c r="G15072" s="8"/>
      <c r="J15072" s="8"/>
    </row>
    <row r="15073">
      <c r="C15073" s="15"/>
      <c r="E15073" s="8"/>
      <c r="G15073" s="8"/>
      <c r="J15073" s="8"/>
    </row>
    <row r="15074">
      <c r="C15074" s="15"/>
      <c r="E15074" s="8"/>
      <c r="G15074" s="8"/>
      <c r="J15074" s="8"/>
    </row>
    <row r="15075">
      <c r="C15075" s="15"/>
      <c r="E15075" s="8"/>
      <c r="G15075" s="8"/>
      <c r="J15075" s="8"/>
    </row>
    <row r="15076">
      <c r="C15076" s="15"/>
      <c r="E15076" s="8"/>
      <c r="G15076" s="8"/>
      <c r="J15076" s="8"/>
    </row>
    <row r="15077">
      <c r="C15077" s="15"/>
      <c r="E15077" s="8"/>
      <c r="G15077" s="8"/>
      <c r="J15077" s="8"/>
    </row>
    <row r="15078">
      <c r="C15078" s="15"/>
      <c r="E15078" s="8"/>
      <c r="G15078" s="8"/>
      <c r="J15078" s="8"/>
    </row>
    <row r="15079">
      <c r="C15079" s="15"/>
      <c r="E15079" s="8"/>
      <c r="G15079" s="8"/>
      <c r="J15079" s="8"/>
    </row>
    <row r="15080">
      <c r="C15080" s="15"/>
      <c r="E15080" s="8"/>
      <c r="G15080" s="8"/>
      <c r="J15080" s="8"/>
    </row>
    <row r="15081">
      <c r="C15081" s="15"/>
      <c r="E15081" s="8"/>
      <c r="G15081" s="8"/>
      <c r="J15081" s="8"/>
    </row>
    <row r="15082">
      <c r="C15082" s="15"/>
      <c r="E15082" s="8"/>
      <c r="G15082" s="8"/>
      <c r="J15082" s="8"/>
    </row>
    <row r="15083">
      <c r="C15083" s="15"/>
      <c r="E15083" s="8"/>
      <c r="G15083" s="8"/>
      <c r="J15083" s="8"/>
    </row>
    <row r="15084">
      <c r="C15084" s="15"/>
      <c r="E15084" s="8"/>
      <c r="G15084" s="8"/>
      <c r="J15084" s="8"/>
    </row>
    <row r="15085">
      <c r="C15085" s="15"/>
      <c r="E15085" s="8"/>
      <c r="G15085" s="8"/>
      <c r="J15085" s="8"/>
    </row>
    <row r="15086">
      <c r="C15086" s="15"/>
      <c r="E15086" s="8"/>
      <c r="G15086" s="8"/>
      <c r="J15086" s="8"/>
    </row>
    <row r="15087">
      <c r="C15087" s="15"/>
      <c r="E15087" s="8"/>
      <c r="G15087" s="8"/>
      <c r="J15087" s="8"/>
    </row>
    <row r="15088">
      <c r="C15088" s="15"/>
      <c r="E15088" s="8"/>
      <c r="G15088" s="8"/>
      <c r="J15088" s="8"/>
    </row>
    <row r="15089">
      <c r="C15089" s="15"/>
      <c r="E15089" s="8"/>
      <c r="G15089" s="8"/>
      <c r="J15089" s="8"/>
    </row>
    <row r="15090">
      <c r="C15090" s="15"/>
      <c r="E15090" s="8"/>
      <c r="G15090" s="8"/>
      <c r="J15090" s="8"/>
    </row>
    <row r="15091">
      <c r="C15091" s="15"/>
      <c r="E15091" s="8"/>
      <c r="G15091" s="8"/>
      <c r="J15091" s="8"/>
    </row>
    <row r="15092">
      <c r="C15092" s="15"/>
      <c r="E15092" s="8"/>
      <c r="G15092" s="8"/>
      <c r="J15092" s="8"/>
    </row>
    <row r="15093">
      <c r="C15093" s="15"/>
      <c r="E15093" s="8"/>
      <c r="G15093" s="8"/>
      <c r="J15093" s="8"/>
    </row>
    <row r="15094">
      <c r="C15094" s="15"/>
      <c r="E15094" s="8"/>
      <c r="G15094" s="8"/>
      <c r="J15094" s="8"/>
    </row>
    <row r="15095">
      <c r="C15095" s="15"/>
      <c r="E15095" s="8"/>
      <c r="G15095" s="8"/>
      <c r="J15095" s="8"/>
    </row>
    <row r="15096">
      <c r="C15096" s="15"/>
      <c r="E15096" s="8"/>
      <c r="G15096" s="8"/>
      <c r="J15096" s="8"/>
    </row>
    <row r="15097">
      <c r="C15097" s="15"/>
      <c r="E15097" s="8"/>
      <c r="G15097" s="8"/>
      <c r="J15097" s="8"/>
    </row>
    <row r="15098">
      <c r="C15098" s="15"/>
      <c r="E15098" s="8"/>
      <c r="G15098" s="8"/>
      <c r="J15098" s="8"/>
    </row>
    <row r="15099">
      <c r="C15099" s="15"/>
      <c r="E15099" s="8"/>
      <c r="G15099" s="8"/>
      <c r="J15099" s="8"/>
    </row>
    <row r="15100">
      <c r="C15100" s="15"/>
      <c r="E15100" s="8"/>
      <c r="G15100" s="8"/>
      <c r="J15100" s="8"/>
    </row>
    <row r="15101">
      <c r="C15101" s="15"/>
      <c r="E15101" s="8"/>
      <c r="G15101" s="8"/>
      <c r="J15101" s="8"/>
    </row>
    <row r="15102">
      <c r="C15102" s="15"/>
      <c r="E15102" s="8"/>
      <c r="G15102" s="8"/>
      <c r="J15102" s="8"/>
    </row>
    <row r="15103">
      <c r="C15103" s="15"/>
      <c r="E15103" s="8"/>
      <c r="G15103" s="8"/>
      <c r="J15103" s="8"/>
    </row>
    <row r="15104">
      <c r="C15104" s="15"/>
      <c r="E15104" s="8"/>
      <c r="G15104" s="8"/>
      <c r="J15104" s="8"/>
    </row>
    <row r="15105">
      <c r="C15105" s="15"/>
      <c r="E15105" s="8"/>
      <c r="G15105" s="8"/>
      <c r="J15105" s="8"/>
    </row>
    <row r="15106">
      <c r="C15106" s="15"/>
      <c r="E15106" s="8"/>
      <c r="G15106" s="8"/>
      <c r="J15106" s="8"/>
    </row>
    <row r="15107">
      <c r="C15107" s="15"/>
      <c r="E15107" s="8"/>
      <c r="G15107" s="8"/>
      <c r="J15107" s="8"/>
    </row>
    <row r="15108">
      <c r="C15108" s="15"/>
      <c r="E15108" s="8"/>
      <c r="G15108" s="8"/>
      <c r="J15108" s="8"/>
    </row>
    <row r="15109">
      <c r="C15109" s="15"/>
      <c r="E15109" s="8"/>
      <c r="G15109" s="8"/>
      <c r="J15109" s="8"/>
    </row>
    <row r="15110">
      <c r="C15110" s="15"/>
      <c r="E15110" s="8"/>
      <c r="G15110" s="8"/>
      <c r="J15110" s="8"/>
    </row>
    <row r="15111">
      <c r="C15111" s="15"/>
      <c r="E15111" s="8"/>
      <c r="G15111" s="8"/>
      <c r="J15111" s="8"/>
    </row>
    <row r="15112">
      <c r="C15112" s="15"/>
      <c r="E15112" s="8"/>
      <c r="G15112" s="8"/>
      <c r="J15112" s="8"/>
    </row>
    <row r="15113">
      <c r="C15113" s="15"/>
      <c r="E15113" s="8"/>
      <c r="G15113" s="8"/>
      <c r="J15113" s="8"/>
    </row>
    <row r="15114">
      <c r="C15114" s="15"/>
      <c r="E15114" s="8"/>
      <c r="G15114" s="8"/>
      <c r="J15114" s="8"/>
    </row>
    <row r="15115">
      <c r="C15115" s="15"/>
      <c r="E15115" s="8"/>
      <c r="G15115" s="8"/>
      <c r="J15115" s="8"/>
    </row>
    <row r="15116">
      <c r="C15116" s="15"/>
      <c r="E15116" s="8"/>
      <c r="G15116" s="8"/>
      <c r="J15116" s="8"/>
    </row>
    <row r="15117">
      <c r="C15117" s="15"/>
      <c r="E15117" s="8"/>
      <c r="G15117" s="8"/>
      <c r="J15117" s="8"/>
    </row>
    <row r="15118">
      <c r="C15118" s="15"/>
      <c r="E15118" s="8"/>
      <c r="G15118" s="8"/>
      <c r="J15118" s="8"/>
    </row>
    <row r="15119">
      <c r="C15119" s="15"/>
      <c r="E15119" s="8"/>
      <c r="G15119" s="8"/>
      <c r="J15119" s="8"/>
    </row>
    <row r="15120">
      <c r="C15120" s="15"/>
      <c r="E15120" s="8"/>
      <c r="G15120" s="8"/>
      <c r="J15120" s="8"/>
    </row>
    <row r="15121">
      <c r="C15121" s="15"/>
      <c r="E15121" s="8"/>
      <c r="G15121" s="8"/>
      <c r="J15121" s="8"/>
    </row>
    <row r="15122">
      <c r="C15122" s="15"/>
      <c r="E15122" s="8"/>
      <c r="G15122" s="8"/>
      <c r="J15122" s="8"/>
    </row>
    <row r="15123">
      <c r="C15123" s="15"/>
      <c r="E15123" s="8"/>
      <c r="G15123" s="8"/>
      <c r="J15123" s="8"/>
    </row>
    <row r="15124">
      <c r="C15124" s="15"/>
      <c r="E15124" s="8"/>
      <c r="G15124" s="8"/>
      <c r="J15124" s="8"/>
    </row>
    <row r="15125">
      <c r="C15125" s="15"/>
      <c r="E15125" s="8"/>
      <c r="G15125" s="8"/>
      <c r="J15125" s="8"/>
    </row>
    <row r="15126">
      <c r="C15126" s="15"/>
      <c r="E15126" s="8"/>
      <c r="G15126" s="8"/>
      <c r="J15126" s="8"/>
    </row>
    <row r="15127">
      <c r="C15127" s="15"/>
      <c r="E15127" s="8"/>
      <c r="G15127" s="8"/>
      <c r="J15127" s="8"/>
    </row>
    <row r="15128">
      <c r="C15128" s="15"/>
      <c r="E15128" s="8"/>
      <c r="G15128" s="8"/>
      <c r="J15128" s="8"/>
    </row>
    <row r="15129">
      <c r="C15129" s="15"/>
      <c r="E15129" s="8"/>
      <c r="G15129" s="8"/>
      <c r="J15129" s="8"/>
    </row>
    <row r="15130">
      <c r="C15130" s="15"/>
      <c r="E15130" s="8"/>
      <c r="G15130" s="8"/>
      <c r="J15130" s="8"/>
    </row>
    <row r="15131">
      <c r="C15131" s="15"/>
      <c r="E15131" s="8"/>
      <c r="G15131" s="8"/>
      <c r="J15131" s="8"/>
    </row>
    <row r="15132">
      <c r="C15132" s="15"/>
      <c r="E15132" s="8"/>
      <c r="G15132" s="8"/>
      <c r="J15132" s="8"/>
    </row>
    <row r="15133">
      <c r="C15133" s="15"/>
      <c r="E15133" s="8"/>
      <c r="G15133" s="8"/>
      <c r="J15133" s="8"/>
    </row>
    <row r="15134">
      <c r="C15134" s="15"/>
      <c r="E15134" s="8"/>
      <c r="G15134" s="8"/>
      <c r="J15134" s="8"/>
    </row>
    <row r="15135">
      <c r="C15135" s="15"/>
      <c r="E15135" s="8"/>
      <c r="G15135" s="8"/>
      <c r="J15135" s="8"/>
    </row>
    <row r="15136">
      <c r="C15136" s="15"/>
      <c r="E15136" s="8"/>
      <c r="G15136" s="8"/>
      <c r="J15136" s="8"/>
    </row>
    <row r="15137">
      <c r="C15137" s="15"/>
      <c r="E15137" s="8"/>
      <c r="G15137" s="8"/>
      <c r="J15137" s="8"/>
    </row>
    <row r="15138">
      <c r="C15138" s="15"/>
      <c r="E15138" s="8"/>
      <c r="G15138" s="8"/>
      <c r="J15138" s="8"/>
    </row>
    <row r="15139">
      <c r="C15139" s="15"/>
      <c r="E15139" s="8"/>
      <c r="G15139" s="8"/>
      <c r="J15139" s="8"/>
    </row>
    <row r="15140">
      <c r="C15140" s="15"/>
      <c r="E15140" s="8"/>
      <c r="G15140" s="8"/>
      <c r="J15140" s="8"/>
    </row>
    <row r="15141">
      <c r="C15141" s="15"/>
      <c r="E15141" s="8"/>
      <c r="G15141" s="8"/>
      <c r="J15141" s="8"/>
    </row>
    <row r="15142">
      <c r="C15142" s="15"/>
      <c r="E15142" s="8"/>
      <c r="G15142" s="8"/>
      <c r="J15142" s="8"/>
    </row>
    <row r="15143">
      <c r="C15143" s="15"/>
      <c r="E15143" s="8"/>
      <c r="G15143" s="8"/>
      <c r="J15143" s="8"/>
    </row>
    <row r="15144">
      <c r="C15144" s="15"/>
      <c r="E15144" s="8"/>
      <c r="G15144" s="8"/>
      <c r="J15144" s="8"/>
    </row>
    <row r="15145">
      <c r="C15145" s="15"/>
      <c r="E15145" s="8"/>
      <c r="G15145" s="8"/>
      <c r="J15145" s="8"/>
    </row>
    <row r="15146">
      <c r="C15146" s="15"/>
      <c r="E15146" s="8"/>
      <c r="G15146" s="8"/>
      <c r="J15146" s="8"/>
    </row>
    <row r="15147">
      <c r="C15147" s="15"/>
      <c r="E15147" s="8"/>
      <c r="G15147" s="8"/>
      <c r="J15147" s="8"/>
    </row>
    <row r="15148">
      <c r="C15148" s="15"/>
      <c r="E15148" s="8"/>
      <c r="G15148" s="8"/>
      <c r="J15148" s="8"/>
    </row>
    <row r="15149">
      <c r="C15149" s="15"/>
      <c r="E15149" s="8"/>
      <c r="G15149" s="8"/>
      <c r="J15149" s="8"/>
    </row>
    <row r="15150">
      <c r="C15150" s="15"/>
      <c r="E15150" s="8"/>
      <c r="G15150" s="8"/>
      <c r="J15150" s="8"/>
    </row>
    <row r="15151">
      <c r="C15151" s="15"/>
      <c r="E15151" s="8"/>
      <c r="G15151" s="8"/>
      <c r="J15151" s="8"/>
    </row>
    <row r="15152">
      <c r="C15152" s="15"/>
      <c r="E15152" s="8"/>
      <c r="G15152" s="8"/>
      <c r="J15152" s="8"/>
    </row>
    <row r="15153">
      <c r="C15153" s="15"/>
      <c r="E15153" s="8"/>
      <c r="G15153" s="8"/>
      <c r="J15153" s="8"/>
    </row>
    <row r="15154">
      <c r="C15154" s="15"/>
      <c r="E15154" s="8"/>
      <c r="G15154" s="8"/>
      <c r="J15154" s="8"/>
    </row>
    <row r="15155">
      <c r="C15155" s="15"/>
      <c r="E15155" s="8"/>
      <c r="G15155" s="8"/>
      <c r="J15155" s="8"/>
    </row>
    <row r="15156">
      <c r="C15156" s="15"/>
      <c r="E15156" s="8"/>
      <c r="G15156" s="8"/>
      <c r="J15156" s="8"/>
    </row>
    <row r="15157">
      <c r="C15157" s="15"/>
      <c r="E15157" s="8"/>
      <c r="G15157" s="8"/>
      <c r="J15157" s="8"/>
    </row>
    <row r="15158">
      <c r="C15158" s="15"/>
      <c r="E15158" s="8"/>
      <c r="G15158" s="8"/>
      <c r="J15158" s="8"/>
    </row>
    <row r="15159">
      <c r="C15159" s="15"/>
      <c r="E15159" s="8"/>
      <c r="G15159" s="8"/>
      <c r="J15159" s="8"/>
    </row>
    <row r="15160">
      <c r="C15160" s="15"/>
      <c r="E15160" s="8"/>
      <c r="G15160" s="8"/>
      <c r="J15160" s="8"/>
    </row>
    <row r="15161">
      <c r="C15161" s="15"/>
      <c r="E15161" s="8"/>
      <c r="G15161" s="8"/>
      <c r="J15161" s="8"/>
    </row>
    <row r="15162">
      <c r="C15162" s="15"/>
      <c r="E15162" s="8"/>
      <c r="G15162" s="8"/>
      <c r="J15162" s="8"/>
    </row>
    <row r="15163">
      <c r="C15163" s="15"/>
      <c r="E15163" s="8"/>
      <c r="G15163" s="8"/>
      <c r="J15163" s="8"/>
    </row>
    <row r="15164">
      <c r="C15164" s="15"/>
      <c r="E15164" s="8"/>
      <c r="G15164" s="8"/>
      <c r="J15164" s="8"/>
    </row>
    <row r="15165">
      <c r="C15165" s="15"/>
      <c r="E15165" s="8"/>
      <c r="G15165" s="8"/>
      <c r="J15165" s="8"/>
    </row>
    <row r="15166">
      <c r="C15166" s="15"/>
      <c r="E15166" s="8"/>
      <c r="G15166" s="8"/>
      <c r="J15166" s="8"/>
    </row>
    <row r="15167">
      <c r="C15167" s="15"/>
      <c r="E15167" s="8"/>
      <c r="G15167" s="8"/>
      <c r="J15167" s="8"/>
    </row>
    <row r="15168">
      <c r="C15168" s="15"/>
      <c r="E15168" s="8"/>
      <c r="G15168" s="8"/>
      <c r="J15168" s="8"/>
    </row>
    <row r="15169">
      <c r="C15169" s="15"/>
      <c r="E15169" s="8"/>
      <c r="G15169" s="8"/>
      <c r="J15169" s="8"/>
    </row>
    <row r="15170">
      <c r="C15170" s="15"/>
      <c r="E15170" s="8"/>
      <c r="G15170" s="8"/>
      <c r="J15170" s="8"/>
    </row>
    <row r="15171">
      <c r="C15171" s="15"/>
      <c r="E15171" s="8"/>
      <c r="G15171" s="8"/>
      <c r="J15171" s="8"/>
    </row>
    <row r="15172">
      <c r="C15172" s="15"/>
      <c r="E15172" s="8"/>
      <c r="G15172" s="8"/>
      <c r="J15172" s="8"/>
    </row>
    <row r="15173">
      <c r="C15173" s="15"/>
      <c r="E15173" s="8"/>
      <c r="G15173" s="8"/>
      <c r="J15173" s="8"/>
    </row>
    <row r="15174">
      <c r="C15174" s="15"/>
      <c r="E15174" s="8"/>
      <c r="G15174" s="8"/>
      <c r="J15174" s="8"/>
    </row>
    <row r="15175">
      <c r="C15175" s="15"/>
      <c r="E15175" s="8"/>
      <c r="G15175" s="8"/>
      <c r="J15175" s="8"/>
    </row>
    <row r="15176">
      <c r="C15176" s="15"/>
      <c r="E15176" s="8"/>
      <c r="G15176" s="8"/>
      <c r="J15176" s="8"/>
    </row>
    <row r="15177">
      <c r="C15177" s="15"/>
      <c r="E15177" s="8"/>
      <c r="G15177" s="8"/>
      <c r="J15177" s="8"/>
    </row>
    <row r="15178">
      <c r="C15178" s="15"/>
      <c r="E15178" s="8"/>
      <c r="G15178" s="8"/>
      <c r="J15178" s="8"/>
    </row>
    <row r="15179">
      <c r="C15179" s="15"/>
      <c r="E15179" s="8"/>
      <c r="G15179" s="8"/>
      <c r="J15179" s="8"/>
    </row>
    <row r="15180">
      <c r="C15180" s="15"/>
      <c r="E15180" s="8"/>
      <c r="G15180" s="8"/>
      <c r="J15180" s="8"/>
    </row>
    <row r="15181">
      <c r="C15181" s="15"/>
      <c r="E15181" s="8"/>
      <c r="G15181" s="8"/>
      <c r="J15181" s="8"/>
    </row>
    <row r="15182">
      <c r="C15182" s="15"/>
      <c r="E15182" s="8"/>
      <c r="G15182" s="8"/>
      <c r="J15182" s="8"/>
    </row>
    <row r="15183">
      <c r="C15183" s="15"/>
      <c r="E15183" s="8"/>
      <c r="G15183" s="8"/>
      <c r="J15183" s="8"/>
    </row>
    <row r="15184">
      <c r="C15184" s="15"/>
      <c r="E15184" s="8"/>
      <c r="G15184" s="8"/>
      <c r="J15184" s="8"/>
    </row>
    <row r="15185">
      <c r="C15185" s="15"/>
      <c r="E15185" s="8"/>
      <c r="G15185" s="8"/>
      <c r="J15185" s="8"/>
    </row>
    <row r="15186">
      <c r="C15186" s="15"/>
      <c r="E15186" s="8"/>
      <c r="G15186" s="8"/>
      <c r="J15186" s="8"/>
    </row>
    <row r="15187">
      <c r="C15187" s="15"/>
      <c r="E15187" s="8"/>
      <c r="G15187" s="8"/>
      <c r="J15187" s="8"/>
    </row>
    <row r="15188">
      <c r="C15188" s="15"/>
      <c r="E15188" s="8"/>
      <c r="G15188" s="8"/>
      <c r="J15188" s="8"/>
    </row>
    <row r="15189">
      <c r="C15189" s="15"/>
      <c r="E15189" s="8"/>
      <c r="G15189" s="8"/>
      <c r="J15189" s="8"/>
    </row>
    <row r="15190">
      <c r="C15190" s="15"/>
      <c r="E15190" s="8"/>
      <c r="G15190" s="8"/>
      <c r="J15190" s="8"/>
    </row>
    <row r="15191">
      <c r="C15191" s="15"/>
      <c r="E15191" s="8"/>
      <c r="G15191" s="8"/>
      <c r="J15191" s="8"/>
    </row>
    <row r="15192">
      <c r="C15192" s="15"/>
      <c r="E15192" s="8"/>
      <c r="G15192" s="8"/>
      <c r="J15192" s="8"/>
    </row>
    <row r="15193">
      <c r="C15193" s="15"/>
      <c r="E15193" s="8"/>
      <c r="G15193" s="8"/>
      <c r="J15193" s="8"/>
    </row>
    <row r="15194">
      <c r="C15194" s="15"/>
      <c r="E15194" s="8"/>
      <c r="G15194" s="8"/>
      <c r="J15194" s="8"/>
    </row>
    <row r="15195">
      <c r="C15195" s="15"/>
      <c r="E15195" s="8"/>
      <c r="G15195" s="8"/>
      <c r="J15195" s="8"/>
    </row>
    <row r="15196">
      <c r="C15196" s="15"/>
      <c r="E15196" s="8"/>
      <c r="G15196" s="8"/>
      <c r="J15196" s="8"/>
    </row>
    <row r="15197">
      <c r="C15197" s="15"/>
      <c r="E15197" s="8"/>
      <c r="G15197" s="8"/>
      <c r="J15197" s="8"/>
    </row>
    <row r="15198">
      <c r="C15198" s="15"/>
      <c r="E15198" s="8"/>
      <c r="G15198" s="8"/>
      <c r="J15198" s="8"/>
    </row>
    <row r="15199">
      <c r="C15199" s="15"/>
      <c r="E15199" s="8"/>
      <c r="G15199" s="8"/>
      <c r="J15199" s="8"/>
    </row>
    <row r="15200">
      <c r="C15200" s="15"/>
      <c r="E15200" s="8"/>
      <c r="G15200" s="8"/>
      <c r="J15200" s="8"/>
    </row>
    <row r="15201">
      <c r="C15201" s="15"/>
      <c r="E15201" s="8"/>
      <c r="G15201" s="8"/>
      <c r="J15201" s="8"/>
    </row>
    <row r="15202">
      <c r="C15202" s="15"/>
      <c r="E15202" s="8"/>
      <c r="G15202" s="8"/>
      <c r="J15202" s="8"/>
    </row>
    <row r="15203">
      <c r="C15203" s="15"/>
      <c r="E15203" s="8"/>
      <c r="G15203" s="8"/>
      <c r="J15203" s="8"/>
    </row>
    <row r="15204">
      <c r="C15204" s="15"/>
      <c r="E15204" s="8"/>
      <c r="G15204" s="8"/>
      <c r="J15204" s="8"/>
    </row>
    <row r="15205">
      <c r="C15205" s="15"/>
      <c r="E15205" s="8"/>
      <c r="G15205" s="8"/>
      <c r="J15205" s="8"/>
    </row>
    <row r="15206">
      <c r="C15206" s="15"/>
      <c r="E15206" s="8"/>
      <c r="G15206" s="8"/>
      <c r="J15206" s="8"/>
    </row>
    <row r="15207">
      <c r="C15207" s="15"/>
      <c r="E15207" s="8"/>
      <c r="G15207" s="8"/>
      <c r="J15207" s="8"/>
    </row>
    <row r="15208">
      <c r="C15208" s="15"/>
      <c r="E15208" s="8"/>
      <c r="G15208" s="8"/>
      <c r="J15208" s="8"/>
    </row>
    <row r="15209">
      <c r="C15209" s="15"/>
      <c r="E15209" s="8"/>
      <c r="G15209" s="8"/>
      <c r="J15209" s="8"/>
    </row>
    <row r="15210">
      <c r="C15210" s="15"/>
      <c r="E15210" s="8"/>
      <c r="G15210" s="8"/>
      <c r="J15210" s="8"/>
    </row>
    <row r="15211">
      <c r="C15211" s="15"/>
      <c r="E15211" s="8"/>
      <c r="G15211" s="8"/>
      <c r="J15211" s="8"/>
    </row>
    <row r="15212">
      <c r="C15212" s="15"/>
      <c r="E15212" s="8"/>
      <c r="G15212" s="8"/>
      <c r="J15212" s="8"/>
    </row>
    <row r="15213">
      <c r="C15213" s="15"/>
      <c r="E15213" s="8"/>
      <c r="G15213" s="8"/>
      <c r="J15213" s="8"/>
    </row>
    <row r="15214">
      <c r="C15214" s="15"/>
      <c r="E15214" s="8"/>
      <c r="G15214" s="8"/>
      <c r="J15214" s="8"/>
    </row>
    <row r="15215">
      <c r="C15215" s="15"/>
      <c r="E15215" s="8"/>
      <c r="G15215" s="8"/>
      <c r="J15215" s="8"/>
    </row>
    <row r="15216">
      <c r="C15216" s="15"/>
      <c r="E15216" s="8"/>
      <c r="G15216" s="8"/>
      <c r="J15216" s="8"/>
    </row>
    <row r="15217">
      <c r="C15217" s="15"/>
      <c r="E15217" s="8"/>
      <c r="G15217" s="8"/>
      <c r="J15217" s="8"/>
    </row>
    <row r="15218">
      <c r="C15218" s="15"/>
      <c r="E15218" s="8"/>
      <c r="G15218" s="8"/>
      <c r="J15218" s="8"/>
    </row>
    <row r="15219">
      <c r="C15219" s="15"/>
      <c r="E15219" s="8"/>
      <c r="G15219" s="8"/>
      <c r="J15219" s="8"/>
    </row>
    <row r="15220">
      <c r="C15220" s="15"/>
      <c r="E15220" s="8"/>
      <c r="G15220" s="8"/>
      <c r="J15220" s="8"/>
    </row>
    <row r="15221">
      <c r="C15221" s="15"/>
      <c r="E15221" s="8"/>
      <c r="G15221" s="8"/>
      <c r="J15221" s="8"/>
    </row>
    <row r="15222">
      <c r="C15222" s="15"/>
      <c r="E15222" s="8"/>
      <c r="G15222" s="8"/>
      <c r="J15222" s="8"/>
    </row>
    <row r="15223">
      <c r="C15223" s="15"/>
      <c r="E15223" s="8"/>
      <c r="G15223" s="8"/>
      <c r="J15223" s="8"/>
    </row>
    <row r="15224">
      <c r="C15224" s="15"/>
      <c r="E15224" s="8"/>
      <c r="G15224" s="8"/>
      <c r="J15224" s="8"/>
    </row>
    <row r="15225">
      <c r="C15225" s="15"/>
      <c r="E15225" s="8"/>
      <c r="G15225" s="8"/>
      <c r="J15225" s="8"/>
    </row>
    <row r="15226">
      <c r="C15226" s="15"/>
      <c r="E15226" s="8"/>
      <c r="G15226" s="8"/>
      <c r="J15226" s="8"/>
    </row>
    <row r="15227">
      <c r="C15227" s="15"/>
      <c r="E15227" s="8"/>
      <c r="G15227" s="8"/>
      <c r="J15227" s="8"/>
    </row>
    <row r="15228">
      <c r="C15228" s="15"/>
      <c r="E15228" s="8"/>
      <c r="G15228" s="8"/>
      <c r="J15228" s="8"/>
    </row>
    <row r="15229">
      <c r="C15229" s="15"/>
      <c r="E15229" s="8"/>
      <c r="G15229" s="8"/>
      <c r="J15229" s="8"/>
    </row>
    <row r="15230">
      <c r="C15230" s="15"/>
      <c r="E15230" s="8"/>
      <c r="G15230" s="8"/>
      <c r="J15230" s="8"/>
    </row>
    <row r="15231">
      <c r="C15231" s="15"/>
      <c r="E15231" s="8"/>
      <c r="G15231" s="8"/>
      <c r="J15231" s="8"/>
    </row>
    <row r="15232">
      <c r="C15232" s="15"/>
      <c r="E15232" s="8"/>
      <c r="G15232" s="8"/>
      <c r="J15232" s="8"/>
    </row>
    <row r="15233">
      <c r="C15233" s="15"/>
      <c r="E15233" s="8"/>
      <c r="G15233" s="8"/>
      <c r="J15233" s="8"/>
    </row>
    <row r="15234">
      <c r="C15234" s="15"/>
      <c r="E15234" s="8"/>
      <c r="G15234" s="8"/>
      <c r="J15234" s="8"/>
    </row>
    <row r="15235">
      <c r="C15235" s="15"/>
      <c r="E15235" s="8"/>
      <c r="G15235" s="8"/>
      <c r="J15235" s="8"/>
    </row>
    <row r="15236">
      <c r="C15236" s="15"/>
      <c r="E15236" s="8"/>
      <c r="G15236" s="8"/>
      <c r="J15236" s="8"/>
    </row>
    <row r="15237">
      <c r="C15237" s="15"/>
      <c r="E15237" s="8"/>
      <c r="G15237" s="8"/>
      <c r="J15237" s="8"/>
    </row>
    <row r="15238">
      <c r="C15238" s="15"/>
      <c r="E15238" s="8"/>
      <c r="G15238" s="8"/>
      <c r="J15238" s="8"/>
    </row>
    <row r="15239">
      <c r="C15239" s="15"/>
      <c r="E15239" s="8"/>
      <c r="G15239" s="8"/>
      <c r="J15239" s="8"/>
    </row>
    <row r="15240">
      <c r="C15240" s="15"/>
      <c r="E15240" s="8"/>
      <c r="G15240" s="8"/>
      <c r="J15240" s="8"/>
    </row>
    <row r="15241">
      <c r="C15241" s="15"/>
      <c r="E15241" s="8"/>
      <c r="G15241" s="8"/>
      <c r="J15241" s="8"/>
    </row>
    <row r="15242">
      <c r="C15242" s="15"/>
      <c r="E15242" s="8"/>
      <c r="G15242" s="8"/>
      <c r="J15242" s="8"/>
    </row>
    <row r="15243">
      <c r="C15243" s="15"/>
      <c r="E15243" s="8"/>
      <c r="G15243" s="8"/>
      <c r="J15243" s="8"/>
    </row>
    <row r="15244">
      <c r="C15244" s="15"/>
      <c r="E15244" s="8"/>
      <c r="G15244" s="8"/>
      <c r="J15244" s="8"/>
    </row>
    <row r="15245">
      <c r="C15245" s="15"/>
      <c r="E15245" s="8"/>
      <c r="G15245" s="8"/>
      <c r="J15245" s="8"/>
    </row>
    <row r="15246">
      <c r="C15246" s="15"/>
      <c r="E15246" s="8"/>
      <c r="G15246" s="8"/>
      <c r="J15246" s="8"/>
    </row>
    <row r="15247">
      <c r="C15247" s="15"/>
      <c r="E15247" s="8"/>
      <c r="G15247" s="8"/>
      <c r="J15247" s="8"/>
    </row>
    <row r="15248">
      <c r="C15248" s="15"/>
      <c r="E15248" s="8"/>
      <c r="G15248" s="8"/>
      <c r="J15248" s="8"/>
    </row>
    <row r="15249">
      <c r="C15249" s="15"/>
      <c r="E15249" s="8"/>
      <c r="G15249" s="8"/>
      <c r="J15249" s="8"/>
    </row>
    <row r="15250">
      <c r="C15250" s="15"/>
      <c r="E15250" s="8"/>
      <c r="G15250" s="8"/>
      <c r="J15250" s="8"/>
    </row>
    <row r="15251">
      <c r="C15251" s="15"/>
      <c r="E15251" s="8"/>
      <c r="G15251" s="8"/>
      <c r="J15251" s="8"/>
    </row>
    <row r="15252">
      <c r="C15252" s="15"/>
      <c r="E15252" s="8"/>
      <c r="G15252" s="8"/>
      <c r="J15252" s="8"/>
    </row>
    <row r="15253">
      <c r="C15253" s="15"/>
      <c r="E15253" s="8"/>
      <c r="G15253" s="8"/>
      <c r="J15253" s="8"/>
    </row>
    <row r="15254">
      <c r="C15254" s="15"/>
      <c r="E15254" s="8"/>
      <c r="G15254" s="8"/>
      <c r="J15254" s="8"/>
    </row>
    <row r="15255">
      <c r="C15255" s="15"/>
      <c r="E15255" s="8"/>
      <c r="G15255" s="8"/>
      <c r="J15255" s="8"/>
    </row>
    <row r="15256">
      <c r="C15256" s="15"/>
      <c r="E15256" s="8"/>
      <c r="G15256" s="8"/>
      <c r="J15256" s="8"/>
    </row>
    <row r="15257">
      <c r="C15257" s="15"/>
      <c r="E15257" s="8"/>
      <c r="G15257" s="8"/>
      <c r="J15257" s="8"/>
    </row>
    <row r="15258">
      <c r="C15258" s="15"/>
      <c r="E15258" s="8"/>
      <c r="G15258" s="8"/>
      <c r="J15258" s="8"/>
    </row>
    <row r="15259">
      <c r="C15259" s="15"/>
      <c r="E15259" s="8"/>
      <c r="G15259" s="8"/>
      <c r="J15259" s="8"/>
    </row>
    <row r="15260">
      <c r="C15260" s="15"/>
      <c r="E15260" s="8"/>
      <c r="G15260" s="8"/>
      <c r="J15260" s="8"/>
    </row>
    <row r="15261">
      <c r="C15261" s="15"/>
      <c r="E15261" s="8"/>
      <c r="G15261" s="8"/>
      <c r="J15261" s="8"/>
    </row>
    <row r="15262">
      <c r="C15262" s="15"/>
      <c r="E15262" s="8"/>
      <c r="G15262" s="8"/>
      <c r="J15262" s="8"/>
    </row>
    <row r="15263">
      <c r="C15263" s="15"/>
      <c r="E15263" s="8"/>
      <c r="G15263" s="8"/>
      <c r="J15263" s="8"/>
    </row>
    <row r="15264">
      <c r="C15264" s="15"/>
      <c r="E15264" s="8"/>
      <c r="G15264" s="8"/>
      <c r="J15264" s="8"/>
    </row>
    <row r="15265">
      <c r="C15265" s="15"/>
      <c r="E15265" s="8"/>
      <c r="G15265" s="8"/>
      <c r="J15265" s="8"/>
    </row>
    <row r="15266">
      <c r="C15266" s="15"/>
      <c r="E15266" s="8"/>
      <c r="G15266" s="8"/>
      <c r="J15266" s="8"/>
    </row>
    <row r="15267">
      <c r="C15267" s="15"/>
      <c r="E15267" s="8"/>
      <c r="G15267" s="8"/>
      <c r="J15267" s="8"/>
    </row>
    <row r="15268">
      <c r="C15268" s="15"/>
      <c r="E15268" s="8"/>
      <c r="G15268" s="8"/>
      <c r="J15268" s="8"/>
    </row>
    <row r="15269">
      <c r="C15269" s="15"/>
      <c r="E15269" s="8"/>
      <c r="G15269" s="8"/>
      <c r="J15269" s="8"/>
    </row>
    <row r="15270">
      <c r="C15270" s="15"/>
      <c r="E15270" s="8"/>
      <c r="G15270" s="8"/>
      <c r="J15270" s="8"/>
    </row>
    <row r="15271">
      <c r="C15271" s="15"/>
      <c r="E15271" s="8"/>
      <c r="G15271" s="8"/>
      <c r="J15271" s="8"/>
    </row>
    <row r="15272">
      <c r="C15272" s="15"/>
      <c r="E15272" s="8"/>
      <c r="G15272" s="8"/>
      <c r="J15272" s="8"/>
    </row>
    <row r="15273">
      <c r="C15273" s="15"/>
      <c r="E15273" s="8"/>
      <c r="G15273" s="8"/>
      <c r="J15273" s="8"/>
    </row>
    <row r="15274">
      <c r="C15274" s="15"/>
      <c r="E15274" s="8"/>
      <c r="G15274" s="8"/>
      <c r="J15274" s="8"/>
    </row>
    <row r="15275">
      <c r="C15275" s="15"/>
      <c r="E15275" s="8"/>
      <c r="G15275" s="8"/>
      <c r="J15275" s="8"/>
    </row>
    <row r="15276">
      <c r="C15276" s="15"/>
      <c r="E15276" s="8"/>
      <c r="G15276" s="8"/>
      <c r="J15276" s="8"/>
    </row>
    <row r="15277">
      <c r="C15277" s="15"/>
      <c r="E15277" s="8"/>
      <c r="G15277" s="8"/>
      <c r="J15277" s="8"/>
    </row>
    <row r="15278">
      <c r="C15278" s="15"/>
      <c r="E15278" s="8"/>
      <c r="G15278" s="8"/>
      <c r="J15278" s="8"/>
    </row>
    <row r="15279">
      <c r="C15279" s="15"/>
      <c r="E15279" s="8"/>
      <c r="G15279" s="8"/>
      <c r="J15279" s="8"/>
    </row>
    <row r="15280">
      <c r="C15280" s="15"/>
      <c r="E15280" s="8"/>
      <c r="G15280" s="8"/>
      <c r="J15280" s="8"/>
    </row>
    <row r="15281">
      <c r="C15281" s="15"/>
      <c r="E15281" s="8"/>
      <c r="G15281" s="8"/>
      <c r="J15281" s="8"/>
    </row>
    <row r="15282">
      <c r="C15282" s="15"/>
      <c r="E15282" s="8"/>
      <c r="G15282" s="8"/>
      <c r="J15282" s="8"/>
    </row>
    <row r="15283">
      <c r="C15283" s="15"/>
      <c r="E15283" s="8"/>
      <c r="G15283" s="8"/>
      <c r="J15283" s="8"/>
    </row>
    <row r="15284">
      <c r="C15284" s="15"/>
      <c r="E15284" s="8"/>
      <c r="G15284" s="8"/>
      <c r="J15284" s="8"/>
    </row>
    <row r="15285">
      <c r="C15285" s="15"/>
      <c r="E15285" s="8"/>
      <c r="G15285" s="8"/>
      <c r="J15285" s="8"/>
    </row>
    <row r="15286">
      <c r="C15286" s="15"/>
      <c r="E15286" s="8"/>
      <c r="G15286" s="8"/>
      <c r="J15286" s="8"/>
    </row>
    <row r="15287">
      <c r="C15287" s="15"/>
      <c r="E15287" s="8"/>
      <c r="G15287" s="8"/>
      <c r="J15287" s="8"/>
    </row>
    <row r="15288">
      <c r="C15288" s="15"/>
      <c r="E15288" s="8"/>
      <c r="G15288" s="8"/>
      <c r="J15288" s="8"/>
    </row>
    <row r="15289">
      <c r="C15289" s="15"/>
      <c r="E15289" s="8"/>
      <c r="G15289" s="8"/>
      <c r="J15289" s="8"/>
    </row>
    <row r="15290">
      <c r="C15290" s="15"/>
      <c r="E15290" s="8"/>
      <c r="G15290" s="8"/>
      <c r="J15290" s="8"/>
    </row>
    <row r="15291">
      <c r="C15291" s="15"/>
      <c r="E15291" s="8"/>
      <c r="G15291" s="8"/>
      <c r="J15291" s="8"/>
    </row>
    <row r="15292">
      <c r="C15292" s="15"/>
      <c r="E15292" s="8"/>
      <c r="G15292" s="8"/>
      <c r="J15292" s="8"/>
    </row>
    <row r="15293">
      <c r="C15293" s="15"/>
      <c r="E15293" s="8"/>
      <c r="G15293" s="8"/>
      <c r="J15293" s="8"/>
    </row>
    <row r="15294">
      <c r="C15294" s="15"/>
      <c r="E15294" s="8"/>
      <c r="G15294" s="8"/>
      <c r="J15294" s="8"/>
    </row>
    <row r="15295">
      <c r="C15295" s="15"/>
      <c r="E15295" s="8"/>
      <c r="G15295" s="8"/>
      <c r="J15295" s="8"/>
    </row>
    <row r="15296">
      <c r="C15296" s="15"/>
      <c r="E15296" s="8"/>
      <c r="G15296" s="8"/>
      <c r="J15296" s="8"/>
    </row>
    <row r="15297">
      <c r="C15297" s="15"/>
      <c r="E15297" s="8"/>
      <c r="G15297" s="8"/>
      <c r="J15297" s="8"/>
    </row>
    <row r="15298">
      <c r="C15298" s="15"/>
      <c r="E15298" s="8"/>
      <c r="G15298" s="8"/>
      <c r="J15298" s="8"/>
    </row>
    <row r="15299">
      <c r="C15299" s="15"/>
      <c r="E15299" s="8"/>
      <c r="G15299" s="8"/>
      <c r="J15299" s="8"/>
    </row>
    <row r="15300">
      <c r="C15300" s="15"/>
      <c r="E15300" s="8"/>
      <c r="G15300" s="8"/>
      <c r="J15300" s="8"/>
    </row>
    <row r="15301">
      <c r="C15301" s="15"/>
      <c r="E15301" s="8"/>
      <c r="G15301" s="8"/>
      <c r="J15301" s="8"/>
    </row>
    <row r="15302">
      <c r="C15302" s="15"/>
      <c r="E15302" s="8"/>
      <c r="G15302" s="8"/>
      <c r="J15302" s="8"/>
    </row>
    <row r="15303">
      <c r="C15303" s="15"/>
      <c r="E15303" s="8"/>
      <c r="G15303" s="8"/>
      <c r="J15303" s="8"/>
    </row>
    <row r="15304">
      <c r="C15304" s="15"/>
      <c r="E15304" s="8"/>
      <c r="G15304" s="8"/>
      <c r="J15304" s="8"/>
    </row>
    <row r="15305">
      <c r="C15305" s="15"/>
      <c r="E15305" s="8"/>
      <c r="G15305" s="8"/>
      <c r="J15305" s="8"/>
    </row>
    <row r="15306">
      <c r="C15306" s="15"/>
      <c r="E15306" s="8"/>
      <c r="G15306" s="8"/>
      <c r="J15306" s="8"/>
    </row>
    <row r="15307">
      <c r="C15307" s="15"/>
      <c r="E15307" s="8"/>
      <c r="G15307" s="8"/>
      <c r="J15307" s="8"/>
    </row>
    <row r="15308">
      <c r="C15308" s="15"/>
      <c r="E15308" s="8"/>
      <c r="G15308" s="8"/>
      <c r="J15308" s="8"/>
    </row>
    <row r="15309">
      <c r="C15309" s="15"/>
      <c r="E15309" s="8"/>
      <c r="G15309" s="8"/>
      <c r="J15309" s="8"/>
    </row>
    <row r="15310">
      <c r="C15310" s="15"/>
      <c r="E15310" s="8"/>
      <c r="G15310" s="8"/>
      <c r="J15310" s="8"/>
    </row>
    <row r="15311">
      <c r="C15311" s="15"/>
      <c r="E15311" s="8"/>
      <c r="G15311" s="8"/>
      <c r="J15311" s="8"/>
    </row>
    <row r="15312">
      <c r="C15312" s="15"/>
      <c r="E15312" s="8"/>
      <c r="G15312" s="8"/>
      <c r="J15312" s="8"/>
    </row>
    <row r="15313">
      <c r="C15313" s="15"/>
      <c r="E15313" s="8"/>
      <c r="G15313" s="8"/>
      <c r="J15313" s="8"/>
    </row>
    <row r="15314">
      <c r="C15314" s="15"/>
      <c r="E15314" s="8"/>
      <c r="G15314" s="8"/>
      <c r="J15314" s="8"/>
    </row>
    <row r="15315">
      <c r="C15315" s="15"/>
      <c r="E15315" s="8"/>
      <c r="G15315" s="8"/>
      <c r="J15315" s="8"/>
    </row>
    <row r="15316">
      <c r="C15316" s="15"/>
      <c r="E15316" s="8"/>
      <c r="G15316" s="8"/>
      <c r="J15316" s="8"/>
    </row>
    <row r="15317">
      <c r="C15317" s="15"/>
      <c r="E15317" s="8"/>
      <c r="G15317" s="8"/>
      <c r="J15317" s="8"/>
    </row>
    <row r="15318">
      <c r="C15318" s="15"/>
      <c r="E15318" s="8"/>
      <c r="G15318" s="8"/>
      <c r="J15318" s="8"/>
    </row>
    <row r="15319">
      <c r="C15319" s="15"/>
      <c r="E15319" s="8"/>
      <c r="G15319" s="8"/>
      <c r="J15319" s="8"/>
    </row>
    <row r="15320">
      <c r="C15320" s="15"/>
      <c r="E15320" s="8"/>
      <c r="G15320" s="8"/>
      <c r="J15320" s="8"/>
    </row>
    <row r="15321">
      <c r="C15321" s="15"/>
      <c r="E15321" s="8"/>
      <c r="G15321" s="8"/>
      <c r="J15321" s="8"/>
    </row>
    <row r="15322">
      <c r="C15322" s="15"/>
      <c r="E15322" s="8"/>
      <c r="G15322" s="8"/>
      <c r="J15322" s="8"/>
    </row>
    <row r="15323">
      <c r="C15323" s="15"/>
      <c r="E15323" s="8"/>
      <c r="G15323" s="8"/>
      <c r="J15323" s="8"/>
    </row>
    <row r="15324">
      <c r="C15324" s="15"/>
      <c r="E15324" s="8"/>
      <c r="G15324" s="8"/>
      <c r="J15324" s="8"/>
    </row>
    <row r="15325">
      <c r="C15325" s="15"/>
      <c r="E15325" s="8"/>
      <c r="G15325" s="8"/>
      <c r="J15325" s="8"/>
    </row>
    <row r="15326">
      <c r="C15326" s="15"/>
      <c r="E15326" s="8"/>
      <c r="G15326" s="8"/>
      <c r="J15326" s="8"/>
    </row>
    <row r="15327">
      <c r="C15327" s="15"/>
      <c r="E15327" s="8"/>
      <c r="G15327" s="8"/>
      <c r="J15327" s="8"/>
    </row>
    <row r="15328">
      <c r="C15328" s="15"/>
      <c r="E15328" s="8"/>
      <c r="G15328" s="8"/>
      <c r="J15328" s="8"/>
    </row>
    <row r="15329">
      <c r="C15329" s="15"/>
      <c r="E15329" s="8"/>
      <c r="G15329" s="8"/>
      <c r="J15329" s="8"/>
    </row>
    <row r="15330">
      <c r="C15330" s="15"/>
      <c r="E15330" s="8"/>
      <c r="G15330" s="8"/>
      <c r="J15330" s="8"/>
    </row>
    <row r="15331">
      <c r="C15331" s="15"/>
      <c r="E15331" s="8"/>
      <c r="G15331" s="8"/>
      <c r="J15331" s="8"/>
    </row>
    <row r="15332">
      <c r="C15332" s="15"/>
      <c r="E15332" s="8"/>
      <c r="G15332" s="8"/>
      <c r="J15332" s="8"/>
    </row>
    <row r="15333">
      <c r="C15333" s="15"/>
      <c r="E15333" s="8"/>
      <c r="G15333" s="8"/>
      <c r="J15333" s="8"/>
    </row>
    <row r="15334">
      <c r="C15334" s="15"/>
      <c r="E15334" s="8"/>
      <c r="G15334" s="8"/>
      <c r="J15334" s="8"/>
    </row>
    <row r="15335">
      <c r="C15335" s="15"/>
      <c r="E15335" s="8"/>
      <c r="G15335" s="8"/>
      <c r="J15335" s="8"/>
    </row>
    <row r="15336">
      <c r="C15336" s="15"/>
      <c r="E15336" s="8"/>
      <c r="G15336" s="8"/>
      <c r="J15336" s="8"/>
    </row>
    <row r="15337">
      <c r="C15337" s="15"/>
      <c r="E15337" s="8"/>
      <c r="G15337" s="8"/>
      <c r="J15337" s="8"/>
    </row>
    <row r="15338">
      <c r="C15338" s="15"/>
      <c r="E15338" s="8"/>
      <c r="G15338" s="8"/>
      <c r="J15338" s="8"/>
    </row>
    <row r="15339">
      <c r="C15339" s="15"/>
      <c r="E15339" s="8"/>
      <c r="G15339" s="8"/>
      <c r="J15339" s="8"/>
    </row>
    <row r="15340">
      <c r="C15340" s="15"/>
      <c r="E15340" s="8"/>
      <c r="G15340" s="8"/>
      <c r="J15340" s="8"/>
    </row>
    <row r="15341">
      <c r="C15341" s="15"/>
      <c r="E15341" s="8"/>
      <c r="G15341" s="8"/>
      <c r="J15341" s="8"/>
    </row>
    <row r="15342">
      <c r="C15342" s="15"/>
      <c r="E15342" s="8"/>
      <c r="G15342" s="8"/>
      <c r="J15342" s="8"/>
    </row>
    <row r="15343">
      <c r="C15343" s="15"/>
      <c r="E15343" s="8"/>
      <c r="G15343" s="8"/>
      <c r="J15343" s="8"/>
    </row>
    <row r="15344">
      <c r="C15344" s="15"/>
      <c r="E15344" s="8"/>
      <c r="G15344" s="8"/>
      <c r="J15344" s="8"/>
    </row>
    <row r="15345">
      <c r="C15345" s="15"/>
      <c r="E15345" s="8"/>
      <c r="G15345" s="8"/>
      <c r="J15345" s="8"/>
    </row>
    <row r="15346">
      <c r="C15346" s="15"/>
      <c r="E15346" s="8"/>
      <c r="G15346" s="8"/>
      <c r="J15346" s="8"/>
    </row>
    <row r="15347">
      <c r="C15347" s="15"/>
      <c r="E15347" s="8"/>
      <c r="G15347" s="8"/>
      <c r="J15347" s="8"/>
    </row>
    <row r="15348">
      <c r="C15348" s="15"/>
      <c r="E15348" s="8"/>
      <c r="G15348" s="8"/>
      <c r="J15348" s="8"/>
    </row>
    <row r="15349">
      <c r="C15349" s="15"/>
      <c r="E15349" s="8"/>
      <c r="G15349" s="8"/>
      <c r="J15349" s="8"/>
    </row>
    <row r="15350">
      <c r="C15350" s="15"/>
      <c r="E15350" s="8"/>
      <c r="G15350" s="8"/>
      <c r="J15350" s="8"/>
    </row>
    <row r="15351">
      <c r="C15351" s="15"/>
      <c r="E15351" s="8"/>
      <c r="G15351" s="8"/>
      <c r="J15351" s="8"/>
    </row>
    <row r="15352">
      <c r="C15352" s="15"/>
      <c r="E15352" s="8"/>
      <c r="G15352" s="8"/>
      <c r="J15352" s="8"/>
    </row>
    <row r="15353">
      <c r="C15353" s="15"/>
      <c r="E15353" s="8"/>
      <c r="G15353" s="8"/>
      <c r="J15353" s="8"/>
    </row>
    <row r="15354">
      <c r="C15354" s="15"/>
      <c r="E15354" s="8"/>
      <c r="G15354" s="8"/>
      <c r="J15354" s="8"/>
    </row>
    <row r="15355">
      <c r="C15355" s="15"/>
      <c r="E15355" s="8"/>
      <c r="G15355" s="8"/>
      <c r="J15355" s="8"/>
    </row>
    <row r="15356">
      <c r="C15356" s="15"/>
      <c r="E15356" s="8"/>
      <c r="G15356" s="8"/>
      <c r="J15356" s="8"/>
    </row>
    <row r="15357">
      <c r="C15357" s="15"/>
      <c r="E15357" s="8"/>
      <c r="G15357" s="8"/>
      <c r="J15357" s="8"/>
    </row>
    <row r="15358">
      <c r="C15358" s="15"/>
      <c r="E15358" s="8"/>
      <c r="G15358" s="8"/>
      <c r="J15358" s="8"/>
    </row>
    <row r="15359">
      <c r="C15359" s="15"/>
      <c r="E15359" s="8"/>
      <c r="G15359" s="8"/>
      <c r="J15359" s="8"/>
    </row>
    <row r="15360">
      <c r="C15360" s="15"/>
      <c r="E15360" s="8"/>
      <c r="G15360" s="8"/>
      <c r="J15360" s="8"/>
    </row>
    <row r="15361">
      <c r="C15361" s="15"/>
      <c r="E15361" s="8"/>
      <c r="G15361" s="8"/>
      <c r="J15361" s="8"/>
    </row>
    <row r="15362">
      <c r="C15362" s="15"/>
      <c r="E15362" s="8"/>
      <c r="G15362" s="8"/>
      <c r="J15362" s="8"/>
    </row>
    <row r="15363">
      <c r="C15363" s="15"/>
      <c r="E15363" s="8"/>
      <c r="G15363" s="8"/>
      <c r="J15363" s="8"/>
    </row>
    <row r="15364">
      <c r="C15364" s="15"/>
      <c r="E15364" s="8"/>
      <c r="G15364" s="8"/>
      <c r="J15364" s="8"/>
    </row>
    <row r="15365">
      <c r="C15365" s="15"/>
      <c r="E15365" s="8"/>
      <c r="G15365" s="8"/>
      <c r="J15365" s="8"/>
    </row>
    <row r="15366">
      <c r="C15366" s="15"/>
      <c r="E15366" s="8"/>
      <c r="G15366" s="8"/>
      <c r="J15366" s="8"/>
    </row>
    <row r="15367">
      <c r="C15367" s="15"/>
      <c r="E15367" s="8"/>
      <c r="G15367" s="8"/>
      <c r="J15367" s="8"/>
    </row>
    <row r="15368">
      <c r="C15368" s="15"/>
      <c r="E15368" s="8"/>
      <c r="G15368" s="8"/>
      <c r="J15368" s="8"/>
    </row>
    <row r="15369">
      <c r="C15369" s="15"/>
      <c r="E15369" s="8"/>
      <c r="G15369" s="8"/>
      <c r="J15369" s="8"/>
    </row>
    <row r="15370">
      <c r="C15370" s="15"/>
      <c r="E15370" s="8"/>
      <c r="G15370" s="8"/>
      <c r="J15370" s="8"/>
    </row>
    <row r="15371">
      <c r="C15371" s="15"/>
      <c r="E15371" s="8"/>
      <c r="G15371" s="8"/>
      <c r="J15371" s="8"/>
    </row>
    <row r="15372">
      <c r="C15372" s="15"/>
      <c r="E15372" s="8"/>
      <c r="G15372" s="8"/>
      <c r="J15372" s="8"/>
    </row>
    <row r="15373">
      <c r="C15373" s="15"/>
      <c r="E15373" s="8"/>
      <c r="G15373" s="8"/>
      <c r="J15373" s="8"/>
    </row>
    <row r="15374">
      <c r="C15374" s="15"/>
      <c r="E15374" s="8"/>
      <c r="G15374" s="8"/>
      <c r="J15374" s="8"/>
    </row>
    <row r="15375">
      <c r="C15375" s="15"/>
      <c r="E15375" s="8"/>
      <c r="G15375" s="8"/>
      <c r="J15375" s="8"/>
    </row>
    <row r="15376">
      <c r="C15376" s="15"/>
      <c r="E15376" s="8"/>
      <c r="G15376" s="8"/>
      <c r="J15376" s="8"/>
    </row>
    <row r="15377">
      <c r="C15377" s="15"/>
      <c r="E15377" s="8"/>
      <c r="G15377" s="8"/>
      <c r="J15377" s="8"/>
    </row>
    <row r="15378">
      <c r="C15378" s="15"/>
      <c r="E15378" s="8"/>
      <c r="G15378" s="8"/>
      <c r="J15378" s="8"/>
    </row>
    <row r="15379">
      <c r="C15379" s="15"/>
      <c r="E15379" s="8"/>
      <c r="G15379" s="8"/>
      <c r="J15379" s="8"/>
    </row>
    <row r="15380">
      <c r="C15380" s="15"/>
      <c r="E15380" s="8"/>
      <c r="G15380" s="8"/>
      <c r="J15380" s="8"/>
    </row>
    <row r="15381">
      <c r="C15381" s="15"/>
      <c r="E15381" s="8"/>
      <c r="G15381" s="8"/>
      <c r="J15381" s="8"/>
    </row>
    <row r="15382">
      <c r="C15382" s="15"/>
      <c r="E15382" s="8"/>
      <c r="G15382" s="8"/>
      <c r="J15382" s="8"/>
    </row>
    <row r="15383">
      <c r="C15383" s="15"/>
      <c r="E15383" s="8"/>
      <c r="G15383" s="8"/>
      <c r="J15383" s="8"/>
    </row>
    <row r="15384">
      <c r="C15384" s="15"/>
      <c r="E15384" s="8"/>
      <c r="G15384" s="8"/>
      <c r="J15384" s="8"/>
    </row>
    <row r="15385">
      <c r="C15385" s="15"/>
      <c r="E15385" s="8"/>
      <c r="G15385" s="8"/>
      <c r="J15385" s="8"/>
    </row>
    <row r="15386">
      <c r="C15386" s="15"/>
      <c r="E15386" s="8"/>
      <c r="G15386" s="8"/>
      <c r="J15386" s="8"/>
    </row>
    <row r="15387">
      <c r="C15387" s="15"/>
      <c r="E15387" s="8"/>
      <c r="G15387" s="8"/>
      <c r="J15387" s="8"/>
    </row>
    <row r="15388">
      <c r="C15388" s="15"/>
      <c r="E15388" s="8"/>
      <c r="G15388" s="8"/>
      <c r="J15388" s="8"/>
    </row>
    <row r="15389">
      <c r="C15389" s="15"/>
      <c r="E15389" s="8"/>
      <c r="G15389" s="8"/>
      <c r="J15389" s="8"/>
    </row>
    <row r="15390">
      <c r="C15390" s="15"/>
      <c r="E15390" s="8"/>
      <c r="G15390" s="8"/>
      <c r="J15390" s="8"/>
    </row>
    <row r="15391">
      <c r="C15391" s="15"/>
      <c r="E15391" s="8"/>
      <c r="G15391" s="8"/>
      <c r="J15391" s="8"/>
    </row>
    <row r="15392">
      <c r="C15392" s="15"/>
      <c r="E15392" s="8"/>
      <c r="G15392" s="8"/>
      <c r="J15392" s="8"/>
    </row>
    <row r="15393">
      <c r="C15393" s="15"/>
      <c r="E15393" s="8"/>
      <c r="G15393" s="8"/>
      <c r="J15393" s="8"/>
    </row>
    <row r="15394">
      <c r="C15394" s="15"/>
      <c r="E15394" s="8"/>
      <c r="G15394" s="8"/>
      <c r="J15394" s="8"/>
    </row>
    <row r="15395">
      <c r="C15395" s="15"/>
      <c r="E15395" s="8"/>
      <c r="G15395" s="8"/>
      <c r="J15395" s="8"/>
    </row>
    <row r="15396">
      <c r="C15396" s="15"/>
      <c r="E15396" s="8"/>
      <c r="G15396" s="8"/>
      <c r="J15396" s="8"/>
    </row>
    <row r="15397">
      <c r="C15397" s="15"/>
      <c r="E15397" s="8"/>
      <c r="G15397" s="8"/>
      <c r="J15397" s="8"/>
    </row>
    <row r="15398">
      <c r="C15398" s="15"/>
      <c r="E15398" s="8"/>
      <c r="G15398" s="8"/>
      <c r="J15398" s="8"/>
    </row>
    <row r="15399">
      <c r="C15399" s="15"/>
      <c r="E15399" s="8"/>
      <c r="G15399" s="8"/>
      <c r="J15399" s="8"/>
    </row>
    <row r="15400">
      <c r="C15400" s="15"/>
      <c r="E15400" s="8"/>
      <c r="G15400" s="8"/>
      <c r="J15400" s="8"/>
    </row>
    <row r="15401">
      <c r="C15401" s="15"/>
      <c r="E15401" s="8"/>
      <c r="G15401" s="8"/>
      <c r="J15401" s="8"/>
    </row>
    <row r="15402">
      <c r="C15402" s="15"/>
      <c r="E15402" s="8"/>
      <c r="G15402" s="8"/>
      <c r="J15402" s="8"/>
    </row>
    <row r="15403">
      <c r="C15403" s="15"/>
      <c r="E15403" s="8"/>
      <c r="G15403" s="8"/>
      <c r="J15403" s="8"/>
    </row>
    <row r="15404">
      <c r="C15404" s="15"/>
      <c r="E15404" s="8"/>
      <c r="G15404" s="8"/>
      <c r="J15404" s="8"/>
    </row>
    <row r="15405">
      <c r="C15405" s="15"/>
      <c r="E15405" s="8"/>
      <c r="G15405" s="8"/>
      <c r="J15405" s="8"/>
    </row>
    <row r="15406">
      <c r="C15406" s="15"/>
      <c r="E15406" s="8"/>
      <c r="G15406" s="8"/>
      <c r="J15406" s="8"/>
    </row>
    <row r="15407">
      <c r="C15407" s="15"/>
      <c r="E15407" s="8"/>
      <c r="G15407" s="8"/>
      <c r="J15407" s="8"/>
    </row>
    <row r="15408">
      <c r="C15408" s="15"/>
      <c r="E15408" s="8"/>
      <c r="G15408" s="8"/>
      <c r="J15408" s="8"/>
    </row>
    <row r="15409">
      <c r="C15409" s="15"/>
      <c r="E15409" s="8"/>
      <c r="G15409" s="8"/>
      <c r="J15409" s="8"/>
    </row>
    <row r="15410">
      <c r="C15410" s="15"/>
      <c r="E15410" s="8"/>
      <c r="G15410" s="8"/>
      <c r="J15410" s="8"/>
    </row>
    <row r="15411">
      <c r="C15411" s="15"/>
      <c r="E15411" s="8"/>
      <c r="G15411" s="8"/>
      <c r="J15411" s="8"/>
    </row>
    <row r="15412">
      <c r="C15412" s="15"/>
      <c r="E15412" s="8"/>
      <c r="G15412" s="8"/>
      <c r="J15412" s="8"/>
    </row>
    <row r="15413">
      <c r="C15413" s="15"/>
      <c r="E15413" s="8"/>
      <c r="G15413" s="8"/>
      <c r="J15413" s="8"/>
    </row>
    <row r="15414">
      <c r="C15414" s="15"/>
      <c r="E15414" s="8"/>
      <c r="G15414" s="8"/>
      <c r="J15414" s="8"/>
    </row>
    <row r="15415">
      <c r="C15415" s="15"/>
      <c r="E15415" s="8"/>
      <c r="G15415" s="8"/>
      <c r="J15415" s="8"/>
    </row>
    <row r="15416">
      <c r="C15416" s="15"/>
      <c r="E15416" s="8"/>
      <c r="G15416" s="8"/>
      <c r="J15416" s="8"/>
    </row>
    <row r="15417">
      <c r="C15417" s="15"/>
      <c r="E15417" s="8"/>
      <c r="G15417" s="8"/>
      <c r="J15417" s="8"/>
    </row>
    <row r="15418">
      <c r="C15418" s="15"/>
      <c r="E15418" s="8"/>
      <c r="G15418" s="8"/>
      <c r="J15418" s="8"/>
    </row>
    <row r="15419">
      <c r="C15419" s="15"/>
      <c r="E15419" s="8"/>
      <c r="G15419" s="8"/>
      <c r="J15419" s="8"/>
    </row>
    <row r="15420">
      <c r="C15420" s="15"/>
      <c r="E15420" s="8"/>
      <c r="G15420" s="8"/>
      <c r="J15420" s="8"/>
    </row>
    <row r="15421">
      <c r="C15421" s="15"/>
      <c r="E15421" s="8"/>
      <c r="G15421" s="8"/>
      <c r="J15421" s="8"/>
    </row>
    <row r="15422">
      <c r="C15422" s="15"/>
      <c r="E15422" s="8"/>
      <c r="G15422" s="8"/>
      <c r="J15422" s="8"/>
    </row>
    <row r="15423">
      <c r="C15423" s="15"/>
      <c r="E15423" s="8"/>
      <c r="G15423" s="8"/>
      <c r="J15423" s="8"/>
    </row>
    <row r="15424">
      <c r="C15424" s="15"/>
      <c r="E15424" s="8"/>
      <c r="G15424" s="8"/>
      <c r="J15424" s="8"/>
    </row>
    <row r="15425">
      <c r="C15425" s="15"/>
      <c r="E15425" s="8"/>
      <c r="G15425" s="8"/>
      <c r="J15425" s="8"/>
    </row>
    <row r="15426">
      <c r="C15426" s="15"/>
      <c r="E15426" s="8"/>
      <c r="G15426" s="8"/>
      <c r="J15426" s="8"/>
    </row>
    <row r="15427">
      <c r="C15427" s="15"/>
      <c r="E15427" s="8"/>
      <c r="G15427" s="8"/>
      <c r="J15427" s="8"/>
    </row>
    <row r="15428">
      <c r="C15428" s="15"/>
      <c r="E15428" s="8"/>
      <c r="G15428" s="8"/>
      <c r="J15428" s="8"/>
    </row>
    <row r="15429">
      <c r="C15429" s="15"/>
      <c r="E15429" s="8"/>
      <c r="G15429" s="8"/>
      <c r="J15429" s="8"/>
    </row>
    <row r="15430">
      <c r="C15430" s="15"/>
      <c r="E15430" s="8"/>
      <c r="G15430" s="8"/>
      <c r="J15430" s="8"/>
    </row>
    <row r="15431">
      <c r="C15431" s="15"/>
      <c r="E15431" s="8"/>
      <c r="G15431" s="8"/>
      <c r="J15431" s="8"/>
    </row>
    <row r="15432">
      <c r="C15432" s="15"/>
      <c r="E15432" s="8"/>
      <c r="G15432" s="8"/>
      <c r="J15432" s="8"/>
    </row>
    <row r="15433">
      <c r="C15433" s="15"/>
      <c r="E15433" s="8"/>
      <c r="G15433" s="8"/>
      <c r="J15433" s="8"/>
    </row>
    <row r="15434">
      <c r="C15434" s="15"/>
      <c r="E15434" s="8"/>
      <c r="G15434" s="8"/>
      <c r="J15434" s="8"/>
    </row>
    <row r="15435">
      <c r="C15435" s="15"/>
      <c r="E15435" s="8"/>
      <c r="G15435" s="8"/>
      <c r="J15435" s="8"/>
    </row>
    <row r="15436">
      <c r="C15436" s="15"/>
      <c r="E15436" s="8"/>
      <c r="G15436" s="8"/>
      <c r="J15436" s="8"/>
    </row>
    <row r="15437">
      <c r="C15437" s="15"/>
      <c r="E15437" s="8"/>
      <c r="G15437" s="8"/>
      <c r="J15437" s="8"/>
    </row>
    <row r="15438">
      <c r="C15438" s="15"/>
      <c r="E15438" s="8"/>
      <c r="G15438" s="8"/>
      <c r="J15438" s="8"/>
    </row>
    <row r="15439">
      <c r="C15439" s="15"/>
      <c r="E15439" s="8"/>
      <c r="G15439" s="8"/>
      <c r="J15439" s="8"/>
    </row>
    <row r="15440">
      <c r="C15440" s="15"/>
      <c r="E15440" s="8"/>
      <c r="G15440" s="8"/>
      <c r="J15440" s="8"/>
    </row>
    <row r="15441">
      <c r="C15441" s="15"/>
      <c r="E15441" s="8"/>
      <c r="G15441" s="8"/>
      <c r="J15441" s="8"/>
    </row>
    <row r="15442">
      <c r="C15442" s="15"/>
      <c r="E15442" s="8"/>
      <c r="G15442" s="8"/>
      <c r="J15442" s="8"/>
    </row>
    <row r="15443">
      <c r="C15443" s="15"/>
      <c r="E15443" s="8"/>
      <c r="G15443" s="8"/>
      <c r="J15443" s="8"/>
    </row>
    <row r="15444">
      <c r="C15444" s="15"/>
      <c r="E15444" s="8"/>
      <c r="G15444" s="8"/>
      <c r="J15444" s="8"/>
    </row>
    <row r="15445">
      <c r="C15445" s="15"/>
      <c r="E15445" s="8"/>
      <c r="G15445" s="8"/>
      <c r="J15445" s="8"/>
    </row>
    <row r="15446">
      <c r="C15446" s="15"/>
      <c r="E15446" s="8"/>
      <c r="G15446" s="8"/>
      <c r="J15446" s="8"/>
    </row>
    <row r="15447">
      <c r="C15447" s="15"/>
      <c r="E15447" s="8"/>
      <c r="G15447" s="8"/>
      <c r="J15447" s="8"/>
    </row>
    <row r="15448">
      <c r="C15448" s="15"/>
      <c r="E15448" s="8"/>
      <c r="G15448" s="8"/>
      <c r="J15448" s="8"/>
    </row>
    <row r="15449">
      <c r="C15449" s="15"/>
      <c r="E15449" s="8"/>
      <c r="G15449" s="8"/>
      <c r="J15449" s="8"/>
    </row>
    <row r="15450">
      <c r="C15450" s="15"/>
      <c r="E15450" s="8"/>
      <c r="G15450" s="8"/>
      <c r="J15450" s="8"/>
    </row>
    <row r="15451">
      <c r="C15451" s="15"/>
      <c r="E15451" s="8"/>
      <c r="G15451" s="8"/>
      <c r="J15451" s="8"/>
    </row>
    <row r="15452">
      <c r="C15452" s="15"/>
      <c r="E15452" s="8"/>
      <c r="G15452" s="8"/>
      <c r="J15452" s="8"/>
    </row>
    <row r="15453">
      <c r="C15453" s="15"/>
      <c r="E15453" s="8"/>
      <c r="G15453" s="8"/>
      <c r="J15453" s="8"/>
    </row>
    <row r="15454">
      <c r="C15454" s="15"/>
      <c r="E15454" s="8"/>
      <c r="G15454" s="8"/>
      <c r="J15454" s="8"/>
    </row>
    <row r="15455">
      <c r="C15455" s="15"/>
      <c r="E15455" s="8"/>
      <c r="G15455" s="8"/>
      <c r="J15455" s="8"/>
    </row>
    <row r="15456">
      <c r="C15456" s="15"/>
      <c r="E15456" s="8"/>
      <c r="G15456" s="8"/>
      <c r="J15456" s="8"/>
    </row>
    <row r="15457">
      <c r="C15457" s="15"/>
      <c r="E15457" s="8"/>
      <c r="G15457" s="8"/>
      <c r="J15457" s="8"/>
    </row>
    <row r="15458">
      <c r="C15458" s="15"/>
      <c r="E15458" s="8"/>
      <c r="G15458" s="8"/>
      <c r="J15458" s="8"/>
    </row>
    <row r="15459">
      <c r="C15459" s="15"/>
      <c r="E15459" s="8"/>
      <c r="G15459" s="8"/>
      <c r="J15459" s="8"/>
    </row>
    <row r="15460">
      <c r="C15460" s="15"/>
      <c r="E15460" s="8"/>
      <c r="G15460" s="8"/>
      <c r="J15460" s="8"/>
    </row>
    <row r="15461">
      <c r="C15461" s="15"/>
      <c r="E15461" s="8"/>
      <c r="G15461" s="8"/>
      <c r="J15461" s="8"/>
    </row>
    <row r="15462">
      <c r="C15462" s="15"/>
      <c r="E15462" s="8"/>
      <c r="G15462" s="8"/>
      <c r="J15462" s="8"/>
    </row>
    <row r="15463">
      <c r="C15463" s="15"/>
      <c r="E15463" s="8"/>
      <c r="G15463" s="8"/>
      <c r="J15463" s="8"/>
    </row>
    <row r="15464">
      <c r="C15464" s="15"/>
      <c r="E15464" s="8"/>
      <c r="G15464" s="8"/>
      <c r="J15464" s="8"/>
    </row>
    <row r="15465">
      <c r="C15465" s="15"/>
      <c r="E15465" s="8"/>
      <c r="G15465" s="8"/>
      <c r="J15465" s="8"/>
    </row>
    <row r="15466">
      <c r="C15466" s="15"/>
      <c r="E15466" s="8"/>
      <c r="G15466" s="8"/>
      <c r="J15466" s="8"/>
    </row>
    <row r="15467">
      <c r="C15467" s="15"/>
      <c r="E15467" s="8"/>
      <c r="G15467" s="8"/>
      <c r="J15467" s="8"/>
    </row>
    <row r="15468">
      <c r="C15468" s="15"/>
      <c r="E15468" s="8"/>
      <c r="G15468" s="8"/>
      <c r="J15468" s="8"/>
    </row>
    <row r="15469">
      <c r="C15469" s="15"/>
      <c r="E15469" s="8"/>
      <c r="G15469" s="8"/>
      <c r="J15469" s="8"/>
    </row>
    <row r="15470">
      <c r="C15470" s="15"/>
      <c r="E15470" s="8"/>
      <c r="G15470" s="8"/>
      <c r="J15470" s="8"/>
    </row>
    <row r="15471">
      <c r="C15471" s="15"/>
      <c r="E15471" s="8"/>
      <c r="G15471" s="8"/>
      <c r="J15471" s="8"/>
    </row>
    <row r="15472">
      <c r="C15472" s="15"/>
      <c r="E15472" s="8"/>
      <c r="G15472" s="8"/>
      <c r="J15472" s="8"/>
    </row>
    <row r="15473">
      <c r="C15473" s="15"/>
      <c r="E15473" s="8"/>
      <c r="G15473" s="8"/>
      <c r="J15473" s="8"/>
    </row>
    <row r="15474">
      <c r="C15474" s="15"/>
      <c r="E15474" s="8"/>
      <c r="G15474" s="8"/>
      <c r="J15474" s="8"/>
    </row>
    <row r="15475">
      <c r="C15475" s="15"/>
      <c r="E15475" s="8"/>
      <c r="G15475" s="8"/>
      <c r="J15475" s="8"/>
    </row>
    <row r="15476">
      <c r="C15476" s="15"/>
      <c r="E15476" s="8"/>
      <c r="G15476" s="8"/>
      <c r="J15476" s="8"/>
    </row>
    <row r="15477">
      <c r="C15477" s="15"/>
      <c r="E15477" s="8"/>
      <c r="G15477" s="8"/>
      <c r="J15477" s="8"/>
    </row>
    <row r="15478">
      <c r="C15478" s="15"/>
      <c r="E15478" s="8"/>
      <c r="G15478" s="8"/>
      <c r="J15478" s="8"/>
    </row>
    <row r="15479">
      <c r="C15479" s="15"/>
      <c r="E15479" s="8"/>
      <c r="G15479" s="8"/>
      <c r="J15479" s="8"/>
    </row>
    <row r="15480">
      <c r="C15480" s="15"/>
      <c r="E15480" s="8"/>
      <c r="G15480" s="8"/>
      <c r="J15480" s="8"/>
    </row>
    <row r="15481">
      <c r="C15481" s="15"/>
      <c r="E15481" s="8"/>
      <c r="G15481" s="8"/>
      <c r="J15481" s="8"/>
    </row>
    <row r="15482">
      <c r="C15482" s="15"/>
      <c r="E15482" s="8"/>
      <c r="G15482" s="8"/>
      <c r="J15482" s="8"/>
    </row>
    <row r="15483">
      <c r="C15483" s="15"/>
      <c r="E15483" s="8"/>
      <c r="G15483" s="8"/>
      <c r="J15483" s="8"/>
    </row>
    <row r="15484">
      <c r="C15484" s="15"/>
      <c r="E15484" s="8"/>
      <c r="G15484" s="8"/>
      <c r="J15484" s="8"/>
    </row>
    <row r="15485">
      <c r="C15485" s="15"/>
      <c r="E15485" s="8"/>
      <c r="G15485" s="8"/>
      <c r="J15485" s="8"/>
    </row>
    <row r="15486">
      <c r="C15486" s="15"/>
      <c r="E15486" s="8"/>
      <c r="G15486" s="8"/>
      <c r="J15486" s="8"/>
    </row>
    <row r="15487">
      <c r="C15487" s="15"/>
      <c r="E15487" s="8"/>
      <c r="G15487" s="8"/>
      <c r="J15487" s="8"/>
    </row>
    <row r="15488">
      <c r="C15488" s="15"/>
      <c r="E15488" s="8"/>
      <c r="G15488" s="8"/>
      <c r="J15488" s="8"/>
    </row>
    <row r="15489">
      <c r="C15489" s="15"/>
      <c r="E15489" s="8"/>
      <c r="G15489" s="8"/>
      <c r="J15489" s="8"/>
    </row>
    <row r="15490">
      <c r="C15490" s="15"/>
      <c r="E15490" s="8"/>
      <c r="G15490" s="8"/>
      <c r="J15490" s="8"/>
    </row>
    <row r="15491">
      <c r="C15491" s="15"/>
      <c r="E15491" s="8"/>
      <c r="G15491" s="8"/>
      <c r="J15491" s="8"/>
    </row>
    <row r="15492">
      <c r="C15492" s="15"/>
      <c r="E15492" s="8"/>
      <c r="G15492" s="8"/>
      <c r="J15492" s="8"/>
    </row>
    <row r="15493">
      <c r="C15493" s="15"/>
      <c r="E15493" s="8"/>
      <c r="G15493" s="8"/>
      <c r="J15493" s="8"/>
    </row>
    <row r="15494">
      <c r="C15494" s="15"/>
      <c r="E15494" s="8"/>
      <c r="G15494" s="8"/>
      <c r="J15494" s="8"/>
    </row>
    <row r="15495">
      <c r="C15495" s="15"/>
      <c r="E15495" s="8"/>
      <c r="G15495" s="8"/>
      <c r="J15495" s="8"/>
    </row>
    <row r="15496">
      <c r="C15496" s="15"/>
      <c r="E15496" s="8"/>
      <c r="G15496" s="8"/>
      <c r="J15496" s="8"/>
    </row>
    <row r="15497">
      <c r="C15497" s="15"/>
      <c r="E15497" s="8"/>
      <c r="G15497" s="8"/>
      <c r="J15497" s="8"/>
    </row>
    <row r="15498">
      <c r="C15498" s="15"/>
      <c r="E15498" s="8"/>
      <c r="G15498" s="8"/>
      <c r="J15498" s="8"/>
    </row>
    <row r="15499">
      <c r="C15499" s="15"/>
      <c r="E15499" s="8"/>
      <c r="G15499" s="8"/>
      <c r="J15499" s="8"/>
    </row>
    <row r="15500">
      <c r="C15500" s="15"/>
      <c r="E15500" s="8"/>
      <c r="G15500" s="8"/>
      <c r="J15500" s="8"/>
    </row>
    <row r="15501">
      <c r="C15501" s="15"/>
      <c r="E15501" s="8"/>
      <c r="G15501" s="8"/>
      <c r="J15501" s="8"/>
    </row>
    <row r="15502">
      <c r="C15502" s="15"/>
      <c r="E15502" s="8"/>
      <c r="G15502" s="8"/>
      <c r="J15502" s="8"/>
    </row>
    <row r="15503">
      <c r="C15503" s="15"/>
      <c r="E15503" s="8"/>
      <c r="G15503" s="8"/>
      <c r="J15503" s="8"/>
    </row>
    <row r="15504">
      <c r="C15504" s="15"/>
      <c r="E15504" s="8"/>
      <c r="G15504" s="8"/>
      <c r="J15504" s="8"/>
    </row>
    <row r="15505">
      <c r="C15505" s="15"/>
      <c r="E15505" s="8"/>
      <c r="G15505" s="8"/>
      <c r="J15505" s="8"/>
    </row>
    <row r="15506">
      <c r="C15506" s="15"/>
      <c r="E15506" s="8"/>
      <c r="G15506" s="8"/>
      <c r="J15506" s="8"/>
    </row>
    <row r="15507">
      <c r="C15507" s="15"/>
      <c r="E15507" s="8"/>
      <c r="G15507" s="8"/>
      <c r="J15507" s="8"/>
    </row>
    <row r="15508">
      <c r="C15508" s="15"/>
      <c r="E15508" s="8"/>
      <c r="G15508" s="8"/>
      <c r="J15508" s="8"/>
    </row>
    <row r="15509">
      <c r="C15509" s="15"/>
      <c r="E15509" s="8"/>
      <c r="G15509" s="8"/>
      <c r="J15509" s="8"/>
    </row>
    <row r="15510">
      <c r="C15510" s="15"/>
      <c r="E15510" s="8"/>
      <c r="G15510" s="8"/>
      <c r="J15510" s="8"/>
    </row>
    <row r="15511">
      <c r="C15511" s="15"/>
      <c r="E15511" s="8"/>
      <c r="G15511" s="8"/>
      <c r="J15511" s="8"/>
    </row>
    <row r="15512">
      <c r="C15512" s="15"/>
      <c r="E15512" s="8"/>
      <c r="G15512" s="8"/>
      <c r="J15512" s="8"/>
    </row>
    <row r="15513">
      <c r="C15513" s="15"/>
      <c r="E15513" s="8"/>
      <c r="G15513" s="8"/>
      <c r="J15513" s="8"/>
    </row>
    <row r="15514">
      <c r="C15514" s="15"/>
      <c r="E15514" s="8"/>
      <c r="G15514" s="8"/>
      <c r="J15514" s="8"/>
    </row>
    <row r="15515">
      <c r="C15515" s="15"/>
      <c r="E15515" s="8"/>
      <c r="G15515" s="8"/>
      <c r="J15515" s="8"/>
    </row>
    <row r="15516">
      <c r="C15516" s="15"/>
      <c r="E15516" s="8"/>
      <c r="G15516" s="8"/>
      <c r="J15516" s="8"/>
    </row>
    <row r="15517">
      <c r="C15517" s="15"/>
      <c r="E15517" s="8"/>
      <c r="G15517" s="8"/>
      <c r="J15517" s="8"/>
    </row>
    <row r="15518">
      <c r="C15518" s="15"/>
      <c r="E15518" s="8"/>
      <c r="G15518" s="8"/>
      <c r="J15518" s="8"/>
    </row>
    <row r="15519">
      <c r="C15519" s="15"/>
      <c r="E15519" s="8"/>
      <c r="G15519" s="8"/>
      <c r="J15519" s="8"/>
    </row>
    <row r="15520">
      <c r="C15520" s="15"/>
      <c r="E15520" s="8"/>
      <c r="G15520" s="8"/>
      <c r="J15520" s="8"/>
    </row>
    <row r="15521">
      <c r="C15521" s="15"/>
      <c r="E15521" s="8"/>
      <c r="G15521" s="8"/>
      <c r="J15521" s="8"/>
    </row>
    <row r="15522">
      <c r="C15522" s="15"/>
      <c r="E15522" s="8"/>
      <c r="G15522" s="8"/>
      <c r="J15522" s="8"/>
    </row>
    <row r="15523">
      <c r="C15523" s="15"/>
      <c r="E15523" s="8"/>
      <c r="G15523" s="8"/>
      <c r="J15523" s="8"/>
    </row>
    <row r="15524">
      <c r="C15524" s="15"/>
      <c r="E15524" s="8"/>
      <c r="G15524" s="8"/>
      <c r="J15524" s="8"/>
    </row>
    <row r="15525">
      <c r="C15525" s="15"/>
      <c r="E15525" s="8"/>
      <c r="G15525" s="8"/>
      <c r="J15525" s="8"/>
    </row>
    <row r="15526">
      <c r="C15526" s="15"/>
      <c r="E15526" s="8"/>
      <c r="G15526" s="8"/>
      <c r="J15526" s="8"/>
    </row>
    <row r="15527">
      <c r="C15527" s="15"/>
      <c r="E15527" s="8"/>
      <c r="G15527" s="8"/>
      <c r="J15527" s="8"/>
    </row>
    <row r="15528">
      <c r="C15528" s="15"/>
      <c r="E15528" s="8"/>
      <c r="G15528" s="8"/>
      <c r="J15528" s="8"/>
    </row>
    <row r="15529">
      <c r="C15529" s="15"/>
      <c r="E15529" s="8"/>
      <c r="G15529" s="8"/>
      <c r="J15529" s="8"/>
    </row>
    <row r="15530">
      <c r="C15530" s="15"/>
      <c r="E15530" s="8"/>
      <c r="G15530" s="8"/>
      <c r="J15530" s="8"/>
    </row>
    <row r="15531">
      <c r="C15531" s="15"/>
      <c r="E15531" s="8"/>
      <c r="G15531" s="8"/>
      <c r="J15531" s="8"/>
    </row>
    <row r="15532">
      <c r="C15532" s="15"/>
      <c r="E15532" s="8"/>
      <c r="G15532" s="8"/>
      <c r="J15532" s="8"/>
    </row>
    <row r="15533">
      <c r="C15533" s="15"/>
      <c r="E15533" s="8"/>
      <c r="G15533" s="8"/>
      <c r="J15533" s="8"/>
    </row>
    <row r="15534">
      <c r="C15534" s="15"/>
      <c r="E15534" s="8"/>
      <c r="G15534" s="8"/>
      <c r="J15534" s="8"/>
    </row>
    <row r="15535">
      <c r="C15535" s="15"/>
      <c r="E15535" s="8"/>
      <c r="G15535" s="8"/>
      <c r="J15535" s="8"/>
    </row>
    <row r="15536">
      <c r="C15536" s="15"/>
      <c r="E15536" s="8"/>
      <c r="G15536" s="8"/>
      <c r="J15536" s="8"/>
    </row>
    <row r="15537">
      <c r="C15537" s="15"/>
      <c r="E15537" s="8"/>
      <c r="G15537" s="8"/>
      <c r="J15537" s="8"/>
    </row>
    <row r="15538">
      <c r="C15538" s="15"/>
      <c r="E15538" s="8"/>
      <c r="G15538" s="8"/>
      <c r="J15538" s="8"/>
    </row>
    <row r="15539">
      <c r="C15539" s="15"/>
      <c r="E15539" s="8"/>
      <c r="G15539" s="8"/>
      <c r="J15539" s="8"/>
    </row>
    <row r="15540">
      <c r="C15540" s="15"/>
      <c r="E15540" s="8"/>
      <c r="G15540" s="8"/>
      <c r="J15540" s="8"/>
    </row>
    <row r="15541">
      <c r="C15541" s="15"/>
      <c r="E15541" s="8"/>
      <c r="G15541" s="8"/>
      <c r="J15541" s="8"/>
    </row>
    <row r="15542">
      <c r="C15542" s="15"/>
      <c r="E15542" s="8"/>
      <c r="G15542" s="8"/>
      <c r="J15542" s="8"/>
    </row>
    <row r="15543">
      <c r="C15543" s="15"/>
      <c r="E15543" s="8"/>
      <c r="G15543" s="8"/>
      <c r="J15543" s="8"/>
    </row>
    <row r="15544">
      <c r="C15544" s="15"/>
      <c r="E15544" s="8"/>
      <c r="G15544" s="8"/>
      <c r="J15544" s="8"/>
    </row>
    <row r="15545">
      <c r="C15545" s="15"/>
      <c r="E15545" s="8"/>
      <c r="G15545" s="8"/>
      <c r="J15545" s="8"/>
    </row>
    <row r="15546">
      <c r="C15546" s="15"/>
      <c r="E15546" s="8"/>
      <c r="G15546" s="8"/>
      <c r="J15546" s="8"/>
    </row>
    <row r="15547">
      <c r="C15547" s="15"/>
      <c r="E15547" s="8"/>
      <c r="G15547" s="8"/>
      <c r="J15547" s="8"/>
    </row>
    <row r="15548">
      <c r="C15548" s="15"/>
      <c r="E15548" s="8"/>
      <c r="G15548" s="8"/>
      <c r="J15548" s="8"/>
    </row>
    <row r="15549">
      <c r="C15549" s="15"/>
      <c r="E15549" s="8"/>
      <c r="G15549" s="8"/>
      <c r="J15549" s="8"/>
    </row>
    <row r="15550">
      <c r="C15550" s="15"/>
      <c r="E15550" s="8"/>
      <c r="G15550" s="8"/>
      <c r="J15550" s="8"/>
    </row>
    <row r="15551">
      <c r="C15551" s="15"/>
      <c r="E15551" s="8"/>
      <c r="G15551" s="8"/>
      <c r="J15551" s="8"/>
    </row>
    <row r="15552">
      <c r="C15552" s="15"/>
      <c r="E15552" s="8"/>
      <c r="G15552" s="8"/>
      <c r="J15552" s="8"/>
    </row>
    <row r="15553">
      <c r="C15553" s="15"/>
      <c r="E15553" s="8"/>
      <c r="G15553" s="8"/>
      <c r="J15553" s="8"/>
    </row>
    <row r="15554">
      <c r="C15554" s="15"/>
      <c r="E15554" s="8"/>
      <c r="G15554" s="8"/>
      <c r="J15554" s="8"/>
    </row>
    <row r="15555">
      <c r="C15555" s="15"/>
      <c r="E15555" s="8"/>
      <c r="G15555" s="8"/>
      <c r="J15555" s="8"/>
    </row>
    <row r="15556">
      <c r="C15556" s="15"/>
      <c r="E15556" s="8"/>
      <c r="G15556" s="8"/>
      <c r="J15556" s="8"/>
    </row>
    <row r="15557">
      <c r="C15557" s="15"/>
      <c r="E15557" s="8"/>
      <c r="G15557" s="8"/>
      <c r="J15557" s="8"/>
    </row>
    <row r="15558">
      <c r="C15558" s="15"/>
      <c r="E15558" s="8"/>
      <c r="G15558" s="8"/>
      <c r="J15558" s="8"/>
    </row>
    <row r="15559">
      <c r="C15559" s="15"/>
      <c r="E15559" s="8"/>
      <c r="G15559" s="8"/>
      <c r="J15559" s="8"/>
    </row>
    <row r="15560">
      <c r="C15560" s="15"/>
      <c r="E15560" s="8"/>
      <c r="G15560" s="8"/>
      <c r="J15560" s="8"/>
    </row>
    <row r="15561">
      <c r="C15561" s="15"/>
      <c r="E15561" s="8"/>
      <c r="G15561" s="8"/>
      <c r="J15561" s="8"/>
    </row>
    <row r="15562">
      <c r="C15562" s="15"/>
      <c r="E15562" s="8"/>
      <c r="G15562" s="8"/>
      <c r="J15562" s="8"/>
    </row>
    <row r="15563">
      <c r="C15563" s="15"/>
      <c r="E15563" s="8"/>
      <c r="G15563" s="8"/>
      <c r="J15563" s="8"/>
    </row>
    <row r="15564">
      <c r="C15564" s="15"/>
      <c r="E15564" s="8"/>
      <c r="G15564" s="8"/>
      <c r="J15564" s="8"/>
    </row>
    <row r="15565">
      <c r="C15565" s="15"/>
      <c r="E15565" s="8"/>
      <c r="G15565" s="8"/>
      <c r="J15565" s="8"/>
    </row>
    <row r="15566">
      <c r="C15566" s="15"/>
      <c r="E15566" s="8"/>
      <c r="G15566" s="8"/>
      <c r="J15566" s="8"/>
    </row>
    <row r="15567">
      <c r="C15567" s="15"/>
      <c r="E15567" s="8"/>
      <c r="G15567" s="8"/>
      <c r="J15567" s="8"/>
    </row>
    <row r="15568">
      <c r="C15568" s="15"/>
      <c r="E15568" s="8"/>
      <c r="G15568" s="8"/>
      <c r="J15568" s="8"/>
    </row>
    <row r="15569">
      <c r="C15569" s="15"/>
      <c r="E15569" s="8"/>
      <c r="G15569" s="8"/>
      <c r="J15569" s="8"/>
    </row>
    <row r="15570">
      <c r="C15570" s="15"/>
      <c r="E15570" s="8"/>
      <c r="G15570" s="8"/>
      <c r="J15570" s="8"/>
    </row>
    <row r="15571">
      <c r="C15571" s="15"/>
      <c r="E15571" s="8"/>
      <c r="G15571" s="8"/>
      <c r="J15571" s="8"/>
    </row>
    <row r="15572">
      <c r="C15572" s="15"/>
      <c r="E15572" s="8"/>
      <c r="G15572" s="8"/>
      <c r="J15572" s="8"/>
    </row>
    <row r="15573">
      <c r="C15573" s="15"/>
      <c r="E15573" s="8"/>
      <c r="G15573" s="8"/>
      <c r="J15573" s="8"/>
    </row>
    <row r="15574">
      <c r="C15574" s="15"/>
      <c r="E15574" s="8"/>
      <c r="G15574" s="8"/>
      <c r="J15574" s="8"/>
    </row>
    <row r="15575">
      <c r="C15575" s="15"/>
      <c r="E15575" s="8"/>
      <c r="G15575" s="8"/>
      <c r="J15575" s="8"/>
    </row>
    <row r="15576">
      <c r="C15576" s="15"/>
      <c r="E15576" s="8"/>
      <c r="G15576" s="8"/>
      <c r="J15576" s="8"/>
    </row>
    <row r="15577">
      <c r="C15577" s="15"/>
      <c r="E15577" s="8"/>
      <c r="G15577" s="8"/>
      <c r="J15577" s="8"/>
    </row>
    <row r="15578">
      <c r="C15578" s="15"/>
      <c r="E15578" s="8"/>
      <c r="G15578" s="8"/>
      <c r="J15578" s="8"/>
    </row>
    <row r="15579">
      <c r="C15579" s="15"/>
      <c r="E15579" s="8"/>
      <c r="G15579" s="8"/>
      <c r="J15579" s="8"/>
    </row>
    <row r="15580">
      <c r="C15580" s="15"/>
      <c r="E15580" s="8"/>
      <c r="G15580" s="8"/>
      <c r="J15580" s="8"/>
    </row>
    <row r="15581">
      <c r="C15581" s="15"/>
      <c r="E15581" s="8"/>
      <c r="G15581" s="8"/>
      <c r="J15581" s="8"/>
    </row>
    <row r="15582">
      <c r="C15582" s="15"/>
      <c r="E15582" s="8"/>
      <c r="G15582" s="8"/>
      <c r="J15582" s="8"/>
    </row>
    <row r="15583">
      <c r="C15583" s="15"/>
      <c r="E15583" s="8"/>
      <c r="G15583" s="8"/>
      <c r="J15583" s="8"/>
    </row>
    <row r="15584">
      <c r="C15584" s="15"/>
      <c r="E15584" s="8"/>
      <c r="G15584" s="8"/>
      <c r="J15584" s="8"/>
    </row>
    <row r="15585">
      <c r="C15585" s="15"/>
      <c r="E15585" s="8"/>
      <c r="G15585" s="8"/>
      <c r="J15585" s="8"/>
    </row>
    <row r="15586">
      <c r="C15586" s="15"/>
      <c r="E15586" s="8"/>
      <c r="G15586" s="8"/>
      <c r="J15586" s="8"/>
    </row>
    <row r="15587">
      <c r="C15587" s="15"/>
      <c r="E15587" s="8"/>
      <c r="G15587" s="8"/>
      <c r="J15587" s="8"/>
    </row>
    <row r="15588">
      <c r="C15588" s="15"/>
      <c r="E15588" s="8"/>
      <c r="G15588" s="8"/>
      <c r="J15588" s="8"/>
    </row>
    <row r="15589">
      <c r="C15589" s="15"/>
      <c r="E15589" s="8"/>
      <c r="G15589" s="8"/>
      <c r="J15589" s="8"/>
    </row>
    <row r="15590">
      <c r="C15590" s="15"/>
      <c r="E15590" s="8"/>
      <c r="G15590" s="8"/>
      <c r="J15590" s="8"/>
    </row>
    <row r="15591">
      <c r="C15591" s="15"/>
      <c r="E15591" s="8"/>
      <c r="G15591" s="8"/>
      <c r="J15591" s="8"/>
    </row>
    <row r="15592">
      <c r="C15592" s="15"/>
      <c r="E15592" s="8"/>
      <c r="G15592" s="8"/>
      <c r="J15592" s="8"/>
    </row>
    <row r="15593">
      <c r="C15593" s="15"/>
      <c r="E15593" s="8"/>
      <c r="G15593" s="8"/>
      <c r="J15593" s="8"/>
    </row>
    <row r="15594">
      <c r="C15594" s="15"/>
      <c r="E15594" s="8"/>
      <c r="G15594" s="8"/>
      <c r="J15594" s="8"/>
    </row>
    <row r="15595">
      <c r="C15595" s="15"/>
      <c r="E15595" s="8"/>
      <c r="G15595" s="8"/>
      <c r="J15595" s="8"/>
    </row>
    <row r="15596">
      <c r="C15596" s="15"/>
      <c r="E15596" s="8"/>
      <c r="G15596" s="8"/>
      <c r="J15596" s="8"/>
    </row>
    <row r="15597">
      <c r="C15597" s="15"/>
      <c r="E15597" s="8"/>
      <c r="G15597" s="8"/>
      <c r="J15597" s="8"/>
    </row>
    <row r="15598">
      <c r="C15598" s="15"/>
      <c r="E15598" s="8"/>
      <c r="G15598" s="8"/>
      <c r="J15598" s="8"/>
    </row>
    <row r="15599">
      <c r="C15599" s="15"/>
      <c r="E15599" s="8"/>
      <c r="G15599" s="8"/>
      <c r="J15599" s="8"/>
    </row>
    <row r="15600">
      <c r="C15600" s="15"/>
      <c r="E15600" s="8"/>
      <c r="G15600" s="8"/>
      <c r="J15600" s="8"/>
    </row>
    <row r="15601">
      <c r="C15601" s="15"/>
      <c r="E15601" s="8"/>
      <c r="G15601" s="8"/>
      <c r="J15601" s="8"/>
    </row>
    <row r="15602">
      <c r="C15602" s="15"/>
      <c r="E15602" s="8"/>
      <c r="G15602" s="8"/>
      <c r="J15602" s="8"/>
    </row>
    <row r="15603">
      <c r="C15603" s="15"/>
      <c r="E15603" s="8"/>
      <c r="G15603" s="8"/>
      <c r="J15603" s="8"/>
    </row>
    <row r="15604">
      <c r="C15604" s="15"/>
      <c r="E15604" s="8"/>
      <c r="G15604" s="8"/>
      <c r="J15604" s="8"/>
    </row>
    <row r="15605">
      <c r="C15605" s="15"/>
      <c r="E15605" s="8"/>
      <c r="G15605" s="8"/>
      <c r="J15605" s="8"/>
    </row>
    <row r="15606">
      <c r="C15606" s="15"/>
      <c r="E15606" s="8"/>
      <c r="G15606" s="8"/>
      <c r="J15606" s="8"/>
    </row>
    <row r="15607">
      <c r="C15607" s="15"/>
      <c r="E15607" s="8"/>
      <c r="G15607" s="8"/>
      <c r="J15607" s="8"/>
    </row>
    <row r="15608">
      <c r="C15608" s="15"/>
      <c r="E15608" s="8"/>
      <c r="G15608" s="8"/>
      <c r="J15608" s="8"/>
    </row>
    <row r="15609">
      <c r="C15609" s="15"/>
      <c r="E15609" s="8"/>
      <c r="G15609" s="8"/>
      <c r="J15609" s="8"/>
    </row>
    <row r="15610">
      <c r="C15610" s="15"/>
      <c r="E15610" s="8"/>
      <c r="G15610" s="8"/>
      <c r="J15610" s="8"/>
    </row>
    <row r="15611">
      <c r="C15611" s="15"/>
      <c r="E15611" s="8"/>
      <c r="G15611" s="8"/>
      <c r="J15611" s="8"/>
    </row>
    <row r="15612">
      <c r="C15612" s="15"/>
      <c r="E15612" s="8"/>
      <c r="G15612" s="8"/>
      <c r="J15612" s="8"/>
    </row>
    <row r="15613">
      <c r="C15613" s="15"/>
      <c r="E15613" s="8"/>
      <c r="G15613" s="8"/>
      <c r="J15613" s="8"/>
    </row>
    <row r="15614">
      <c r="C15614" s="15"/>
      <c r="E15614" s="8"/>
      <c r="G15614" s="8"/>
      <c r="J15614" s="8"/>
    </row>
    <row r="15615">
      <c r="C15615" s="15"/>
      <c r="E15615" s="8"/>
      <c r="G15615" s="8"/>
      <c r="J15615" s="8"/>
    </row>
    <row r="15616">
      <c r="C15616" s="15"/>
      <c r="E15616" s="8"/>
      <c r="G15616" s="8"/>
      <c r="J15616" s="8"/>
    </row>
    <row r="15617">
      <c r="C15617" s="15"/>
      <c r="E15617" s="8"/>
      <c r="G15617" s="8"/>
      <c r="J15617" s="8"/>
    </row>
    <row r="15618">
      <c r="C15618" s="15"/>
      <c r="E15618" s="8"/>
      <c r="G15618" s="8"/>
      <c r="J15618" s="8"/>
    </row>
    <row r="15619">
      <c r="C15619" s="15"/>
      <c r="E15619" s="8"/>
      <c r="G15619" s="8"/>
      <c r="J15619" s="8"/>
    </row>
    <row r="15620">
      <c r="C15620" s="15"/>
      <c r="E15620" s="8"/>
      <c r="G15620" s="8"/>
      <c r="J15620" s="8"/>
    </row>
    <row r="15621">
      <c r="C15621" s="15"/>
      <c r="E15621" s="8"/>
      <c r="G15621" s="8"/>
      <c r="J15621" s="8"/>
    </row>
    <row r="15622">
      <c r="C15622" s="15"/>
      <c r="E15622" s="8"/>
      <c r="G15622" s="8"/>
      <c r="J15622" s="8"/>
    </row>
    <row r="15623">
      <c r="C15623" s="15"/>
      <c r="E15623" s="8"/>
      <c r="G15623" s="8"/>
      <c r="J15623" s="8"/>
    </row>
    <row r="15624">
      <c r="C15624" s="15"/>
      <c r="E15624" s="8"/>
      <c r="G15624" s="8"/>
      <c r="J15624" s="8"/>
    </row>
    <row r="15625">
      <c r="C15625" s="15"/>
      <c r="E15625" s="8"/>
      <c r="G15625" s="8"/>
      <c r="J15625" s="8"/>
    </row>
    <row r="15626">
      <c r="C15626" s="15"/>
      <c r="E15626" s="8"/>
      <c r="G15626" s="8"/>
      <c r="J15626" s="8"/>
    </row>
    <row r="15627">
      <c r="C15627" s="15"/>
      <c r="E15627" s="8"/>
      <c r="G15627" s="8"/>
      <c r="J15627" s="8"/>
    </row>
    <row r="15628">
      <c r="C15628" s="15"/>
      <c r="E15628" s="8"/>
      <c r="G15628" s="8"/>
      <c r="J15628" s="8"/>
    </row>
    <row r="15629">
      <c r="C15629" s="15"/>
      <c r="E15629" s="8"/>
      <c r="G15629" s="8"/>
      <c r="J15629" s="8"/>
    </row>
    <row r="15630">
      <c r="C15630" s="15"/>
      <c r="E15630" s="8"/>
      <c r="G15630" s="8"/>
      <c r="J15630" s="8"/>
    </row>
    <row r="15631">
      <c r="C15631" s="15"/>
      <c r="E15631" s="8"/>
      <c r="G15631" s="8"/>
      <c r="J15631" s="8"/>
    </row>
    <row r="15632">
      <c r="C15632" s="15"/>
      <c r="E15632" s="8"/>
      <c r="G15632" s="8"/>
      <c r="J15632" s="8"/>
    </row>
    <row r="15633">
      <c r="C15633" s="15"/>
      <c r="E15633" s="8"/>
      <c r="G15633" s="8"/>
      <c r="J15633" s="8"/>
    </row>
    <row r="15634">
      <c r="C15634" s="15"/>
      <c r="E15634" s="8"/>
      <c r="G15634" s="8"/>
      <c r="J15634" s="8"/>
    </row>
    <row r="15635">
      <c r="C15635" s="15"/>
      <c r="E15635" s="8"/>
      <c r="G15635" s="8"/>
      <c r="J15635" s="8"/>
    </row>
    <row r="15636">
      <c r="C15636" s="15"/>
      <c r="E15636" s="8"/>
      <c r="G15636" s="8"/>
      <c r="J15636" s="8"/>
    </row>
    <row r="15637">
      <c r="C15637" s="15"/>
      <c r="E15637" s="8"/>
      <c r="G15637" s="8"/>
      <c r="J15637" s="8"/>
    </row>
    <row r="15638">
      <c r="C15638" s="15"/>
      <c r="E15638" s="8"/>
      <c r="G15638" s="8"/>
      <c r="J15638" s="8"/>
    </row>
    <row r="15639">
      <c r="C15639" s="15"/>
      <c r="E15639" s="8"/>
      <c r="G15639" s="8"/>
      <c r="J15639" s="8"/>
    </row>
    <row r="15640">
      <c r="C15640" s="15"/>
      <c r="E15640" s="8"/>
      <c r="G15640" s="8"/>
      <c r="J15640" s="8"/>
    </row>
    <row r="15641">
      <c r="C15641" s="15"/>
      <c r="E15641" s="8"/>
      <c r="G15641" s="8"/>
      <c r="J15641" s="8"/>
    </row>
    <row r="15642">
      <c r="C15642" s="15"/>
      <c r="E15642" s="8"/>
      <c r="G15642" s="8"/>
      <c r="J15642" s="8"/>
    </row>
    <row r="15643">
      <c r="C15643" s="15"/>
      <c r="E15643" s="8"/>
      <c r="G15643" s="8"/>
      <c r="J15643" s="8"/>
    </row>
    <row r="15644">
      <c r="C15644" s="15"/>
      <c r="E15644" s="8"/>
      <c r="G15644" s="8"/>
      <c r="J15644" s="8"/>
    </row>
    <row r="15645">
      <c r="C15645" s="15"/>
      <c r="E15645" s="8"/>
      <c r="G15645" s="8"/>
      <c r="J15645" s="8"/>
    </row>
    <row r="15646">
      <c r="C15646" s="15"/>
      <c r="E15646" s="8"/>
      <c r="G15646" s="8"/>
      <c r="J15646" s="8"/>
    </row>
    <row r="15647">
      <c r="C15647" s="15"/>
      <c r="E15647" s="8"/>
      <c r="G15647" s="8"/>
      <c r="J15647" s="8"/>
    </row>
    <row r="15648">
      <c r="C15648" s="15"/>
      <c r="E15648" s="8"/>
      <c r="G15648" s="8"/>
      <c r="J15648" s="8"/>
    </row>
    <row r="15649">
      <c r="C15649" s="15"/>
      <c r="E15649" s="8"/>
      <c r="G15649" s="8"/>
      <c r="J15649" s="8"/>
    </row>
    <row r="15650">
      <c r="C15650" s="15"/>
      <c r="E15650" s="8"/>
      <c r="G15650" s="8"/>
      <c r="J15650" s="8"/>
    </row>
    <row r="15651">
      <c r="C15651" s="15"/>
      <c r="E15651" s="8"/>
      <c r="G15651" s="8"/>
      <c r="J15651" s="8"/>
    </row>
    <row r="15652">
      <c r="C15652" s="15"/>
      <c r="E15652" s="8"/>
      <c r="G15652" s="8"/>
      <c r="J15652" s="8"/>
    </row>
    <row r="15653">
      <c r="C15653" s="15"/>
      <c r="E15653" s="8"/>
      <c r="G15653" s="8"/>
      <c r="J15653" s="8"/>
    </row>
    <row r="15654">
      <c r="C15654" s="15"/>
      <c r="E15654" s="8"/>
      <c r="G15654" s="8"/>
      <c r="J15654" s="8"/>
    </row>
    <row r="15655">
      <c r="C15655" s="15"/>
      <c r="E15655" s="8"/>
      <c r="G15655" s="8"/>
      <c r="J15655" s="8"/>
    </row>
    <row r="15656">
      <c r="C15656" s="15"/>
      <c r="E15656" s="8"/>
      <c r="G15656" s="8"/>
      <c r="J15656" s="8"/>
    </row>
    <row r="15657">
      <c r="C15657" s="15"/>
      <c r="E15657" s="8"/>
      <c r="G15657" s="8"/>
      <c r="J15657" s="8"/>
    </row>
    <row r="15658">
      <c r="C15658" s="15"/>
      <c r="E15658" s="8"/>
      <c r="G15658" s="8"/>
      <c r="J15658" s="8"/>
    </row>
    <row r="15659">
      <c r="C15659" s="15"/>
      <c r="E15659" s="8"/>
      <c r="G15659" s="8"/>
      <c r="J15659" s="8"/>
    </row>
    <row r="15660">
      <c r="C15660" s="15"/>
      <c r="E15660" s="8"/>
      <c r="G15660" s="8"/>
      <c r="J15660" s="8"/>
    </row>
    <row r="15661">
      <c r="C15661" s="15"/>
      <c r="E15661" s="8"/>
      <c r="G15661" s="8"/>
      <c r="J15661" s="8"/>
    </row>
    <row r="15662">
      <c r="C15662" s="15"/>
      <c r="E15662" s="8"/>
      <c r="G15662" s="8"/>
      <c r="J15662" s="8"/>
    </row>
    <row r="15663">
      <c r="C15663" s="15"/>
      <c r="E15663" s="8"/>
      <c r="G15663" s="8"/>
      <c r="J15663" s="8"/>
    </row>
    <row r="15664">
      <c r="C15664" s="15"/>
      <c r="E15664" s="8"/>
      <c r="G15664" s="8"/>
      <c r="J15664" s="8"/>
    </row>
    <row r="15665">
      <c r="C15665" s="15"/>
      <c r="E15665" s="8"/>
      <c r="G15665" s="8"/>
      <c r="J15665" s="8"/>
    </row>
    <row r="15666">
      <c r="C15666" s="15"/>
      <c r="E15666" s="8"/>
      <c r="G15666" s="8"/>
      <c r="J15666" s="8"/>
    </row>
    <row r="15667">
      <c r="C15667" s="15"/>
      <c r="E15667" s="8"/>
      <c r="G15667" s="8"/>
      <c r="J15667" s="8"/>
    </row>
    <row r="15668">
      <c r="C15668" s="15"/>
      <c r="E15668" s="8"/>
      <c r="G15668" s="8"/>
      <c r="J15668" s="8"/>
    </row>
    <row r="15669">
      <c r="C15669" s="15"/>
      <c r="E15669" s="8"/>
      <c r="G15669" s="8"/>
      <c r="J15669" s="8"/>
    </row>
    <row r="15670">
      <c r="C15670" s="15"/>
      <c r="E15670" s="8"/>
      <c r="G15670" s="8"/>
      <c r="J15670" s="8"/>
    </row>
    <row r="15671">
      <c r="C15671" s="15"/>
      <c r="E15671" s="8"/>
      <c r="G15671" s="8"/>
      <c r="J15671" s="8"/>
    </row>
    <row r="15672">
      <c r="C15672" s="15"/>
      <c r="E15672" s="8"/>
      <c r="G15672" s="8"/>
      <c r="J15672" s="8"/>
    </row>
    <row r="15673">
      <c r="C15673" s="15"/>
      <c r="E15673" s="8"/>
      <c r="G15673" s="8"/>
      <c r="J15673" s="8"/>
    </row>
    <row r="15674">
      <c r="C15674" s="15"/>
      <c r="E15674" s="8"/>
      <c r="G15674" s="8"/>
      <c r="J15674" s="8"/>
    </row>
    <row r="15675">
      <c r="C15675" s="15"/>
      <c r="E15675" s="8"/>
      <c r="G15675" s="8"/>
      <c r="J15675" s="8"/>
    </row>
    <row r="15676">
      <c r="C15676" s="15"/>
      <c r="E15676" s="8"/>
      <c r="G15676" s="8"/>
      <c r="J15676" s="8"/>
    </row>
    <row r="15677">
      <c r="C15677" s="15"/>
      <c r="E15677" s="8"/>
      <c r="G15677" s="8"/>
      <c r="J15677" s="8"/>
    </row>
    <row r="15678">
      <c r="C15678" s="15"/>
      <c r="E15678" s="8"/>
      <c r="G15678" s="8"/>
      <c r="J15678" s="8"/>
    </row>
    <row r="15679">
      <c r="C15679" s="15"/>
      <c r="E15679" s="8"/>
      <c r="G15679" s="8"/>
      <c r="J15679" s="8"/>
    </row>
    <row r="15680">
      <c r="C15680" s="15"/>
      <c r="E15680" s="8"/>
      <c r="G15680" s="8"/>
      <c r="J15680" s="8"/>
    </row>
    <row r="15681">
      <c r="C15681" s="15"/>
      <c r="E15681" s="8"/>
      <c r="G15681" s="8"/>
      <c r="J15681" s="8"/>
    </row>
    <row r="15682">
      <c r="C15682" s="15"/>
      <c r="E15682" s="8"/>
      <c r="G15682" s="8"/>
      <c r="J15682" s="8"/>
    </row>
    <row r="15683">
      <c r="C15683" s="15"/>
      <c r="E15683" s="8"/>
      <c r="G15683" s="8"/>
      <c r="J15683" s="8"/>
    </row>
    <row r="15684">
      <c r="C15684" s="15"/>
      <c r="E15684" s="8"/>
      <c r="G15684" s="8"/>
      <c r="J15684" s="8"/>
    </row>
    <row r="15685">
      <c r="C15685" s="15"/>
      <c r="E15685" s="8"/>
      <c r="G15685" s="8"/>
      <c r="J15685" s="8"/>
    </row>
    <row r="15686">
      <c r="C15686" s="15"/>
      <c r="E15686" s="8"/>
      <c r="G15686" s="8"/>
      <c r="J15686" s="8"/>
    </row>
    <row r="15687">
      <c r="C15687" s="15"/>
      <c r="E15687" s="8"/>
      <c r="G15687" s="8"/>
      <c r="J15687" s="8"/>
    </row>
    <row r="15688">
      <c r="C15688" s="15"/>
      <c r="E15688" s="8"/>
      <c r="G15688" s="8"/>
      <c r="J15688" s="8"/>
    </row>
    <row r="15689">
      <c r="C15689" s="15"/>
      <c r="E15689" s="8"/>
      <c r="G15689" s="8"/>
      <c r="J15689" s="8"/>
    </row>
    <row r="15690">
      <c r="C15690" s="15"/>
      <c r="E15690" s="8"/>
      <c r="G15690" s="8"/>
      <c r="J15690" s="8"/>
    </row>
    <row r="15691">
      <c r="C15691" s="15"/>
      <c r="E15691" s="8"/>
      <c r="G15691" s="8"/>
      <c r="J15691" s="8"/>
    </row>
    <row r="15692">
      <c r="C15692" s="15"/>
      <c r="E15692" s="8"/>
      <c r="G15692" s="8"/>
      <c r="J15692" s="8"/>
    </row>
    <row r="15693">
      <c r="C15693" s="15"/>
      <c r="E15693" s="8"/>
      <c r="G15693" s="8"/>
      <c r="J15693" s="8"/>
    </row>
    <row r="15694">
      <c r="C15694" s="15"/>
      <c r="E15694" s="8"/>
      <c r="G15694" s="8"/>
      <c r="J15694" s="8"/>
    </row>
    <row r="15695">
      <c r="C15695" s="15"/>
      <c r="E15695" s="8"/>
      <c r="G15695" s="8"/>
      <c r="J15695" s="8"/>
    </row>
    <row r="15696">
      <c r="C15696" s="15"/>
      <c r="E15696" s="8"/>
      <c r="G15696" s="8"/>
      <c r="J15696" s="8"/>
    </row>
    <row r="15697">
      <c r="C15697" s="15"/>
      <c r="E15697" s="8"/>
      <c r="G15697" s="8"/>
      <c r="J15697" s="8"/>
    </row>
    <row r="15698">
      <c r="C15698" s="15"/>
      <c r="E15698" s="8"/>
      <c r="G15698" s="8"/>
      <c r="J15698" s="8"/>
    </row>
    <row r="15699">
      <c r="C15699" s="15"/>
      <c r="E15699" s="8"/>
      <c r="G15699" s="8"/>
      <c r="J15699" s="8"/>
    </row>
    <row r="15700">
      <c r="C15700" s="15"/>
      <c r="E15700" s="8"/>
      <c r="G15700" s="8"/>
      <c r="J15700" s="8"/>
    </row>
    <row r="15701">
      <c r="C15701" s="15"/>
      <c r="E15701" s="8"/>
      <c r="G15701" s="8"/>
      <c r="J15701" s="8"/>
    </row>
    <row r="15702">
      <c r="C15702" s="15"/>
      <c r="E15702" s="8"/>
      <c r="G15702" s="8"/>
      <c r="J15702" s="8"/>
    </row>
    <row r="15703">
      <c r="C15703" s="15"/>
      <c r="E15703" s="8"/>
      <c r="G15703" s="8"/>
      <c r="J15703" s="8"/>
    </row>
    <row r="15704">
      <c r="C15704" s="15"/>
      <c r="E15704" s="8"/>
      <c r="G15704" s="8"/>
      <c r="J15704" s="8"/>
    </row>
    <row r="15705">
      <c r="C15705" s="15"/>
      <c r="E15705" s="8"/>
      <c r="G15705" s="8"/>
      <c r="J15705" s="8"/>
    </row>
    <row r="15706">
      <c r="C15706" s="15"/>
      <c r="E15706" s="8"/>
      <c r="G15706" s="8"/>
      <c r="J15706" s="8"/>
    </row>
    <row r="15707">
      <c r="C15707" s="15"/>
      <c r="E15707" s="8"/>
      <c r="G15707" s="8"/>
      <c r="J15707" s="8"/>
    </row>
    <row r="15708">
      <c r="C15708" s="15"/>
      <c r="E15708" s="8"/>
      <c r="G15708" s="8"/>
      <c r="J15708" s="8"/>
    </row>
    <row r="15709">
      <c r="C15709" s="15"/>
      <c r="E15709" s="8"/>
      <c r="G15709" s="8"/>
      <c r="J15709" s="8"/>
    </row>
    <row r="15710">
      <c r="C15710" s="15"/>
      <c r="E15710" s="8"/>
      <c r="G15710" s="8"/>
      <c r="J15710" s="8"/>
    </row>
    <row r="15711">
      <c r="C15711" s="15"/>
      <c r="E15711" s="8"/>
      <c r="G15711" s="8"/>
      <c r="J15711" s="8"/>
    </row>
    <row r="15712">
      <c r="C15712" s="15"/>
      <c r="E15712" s="8"/>
      <c r="G15712" s="8"/>
      <c r="J15712" s="8"/>
    </row>
    <row r="15713">
      <c r="C15713" s="15"/>
      <c r="E15713" s="8"/>
      <c r="G15713" s="8"/>
      <c r="J15713" s="8"/>
    </row>
    <row r="15714">
      <c r="C15714" s="15"/>
      <c r="E15714" s="8"/>
      <c r="G15714" s="8"/>
      <c r="J15714" s="8"/>
    </row>
    <row r="15715">
      <c r="C15715" s="15"/>
      <c r="E15715" s="8"/>
      <c r="G15715" s="8"/>
      <c r="J15715" s="8"/>
    </row>
    <row r="15716">
      <c r="C15716" s="15"/>
      <c r="E15716" s="8"/>
      <c r="G15716" s="8"/>
      <c r="J15716" s="8"/>
    </row>
    <row r="15717">
      <c r="C15717" s="15"/>
      <c r="E15717" s="8"/>
      <c r="G15717" s="8"/>
      <c r="J15717" s="8"/>
    </row>
    <row r="15718">
      <c r="C15718" s="15"/>
      <c r="E15718" s="8"/>
      <c r="G15718" s="8"/>
      <c r="J15718" s="8"/>
    </row>
    <row r="15719">
      <c r="C15719" s="15"/>
      <c r="E15719" s="8"/>
      <c r="G15719" s="8"/>
      <c r="J15719" s="8"/>
    </row>
    <row r="15720">
      <c r="C15720" s="15"/>
      <c r="E15720" s="8"/>
      <c r="G15720" s="8"/>
      <c r="J15720" s="8"/>
    </row>
    <row r="15721">
      <c r="C15721" s="15"/>
      <c r="E15721" s="8"/>
      <c r="G15721" s="8"/>
      <c r="J15721" s="8"/>
    </row>
    <row r="15722">
      <c r="C15722" s="15"/>
      <c r="E15722" s="8"/>
      <c r="G15722" s="8"/>
      <c r="J15722" s="8"/>
    </row>
    <row r="15723">
      <c r="C15723" s="15"/>
      <c r="E15723" s="8"/>
      <c r="G15723" s="8"/>
      <c r="J15723" s="8"/>
    </row>
    <row r="15724">
      <c r="C15724" s="15"/>
      <c r="E15724" s="8"/>
      <c r="G15724" s="8"/>
      <c r="J15724" s="8"/>
    </row>
    <row r="15725">
      <c r="C15725" s="15"/>
      <c r="E15725" s="8"/>
      <c r="G15725" s="8"/>
      <c r="J15725" s="8"/>
    </row>
    <row r="15726">
      <c r="C15726" s="15"/>
      <c r="E15726" s="8"/>
      <c r="G15726" s="8"/>
      <c r="J15726" s="8"/>
    </row>
    <row r="15727">
      <c r="C15727" s="15"/>
      <c r="E15727" s="8"/>
      <c r="G15727" s="8"/>
      <c r="J15727" s="8"/>
    </row>
    <row r="15728">
      <c r="C15728" s="15"/>
      <c r="E15728" s="8"/>
      <c r="G15728" s="8"/>
      <c r="J15728" s="8"/>
    </row>
    <row r="15729">
      <c r="C15729" s="15"/>
      <c r="E15729" s="8"/>
      <c r="G15729" s="8"/>
      <c r="J15729" s="8"/>
    </row>
    <row r="15730">
      <c r="C15730" s="15"/>
      <c r="E15730" s="8"/>
      <c r="G15730" s="8"/>
      <c r="J15730" s="8"/>
    </row>
    <row r="15731">
      <c r="C15731" s="15"/>
      <c r="E15731" s="8"/>
      <c r="G15731" s="8"/>
      <c r="J15731" s="8"/>
    </row>
    <row r="15732">
      <c r="C15732" s="15"/>
      <c r="E15732" s="8"/>
      <c r="G15732" s="8"/>
      <c r="J15732" s="8"/>
    </row>
    <row r="15733">
      <c r="C15733" s="15"/>
      <c r="E15733" s="8"/>
      <c r="G15733" s="8"/>
      <c r="J15733" s="8"/>
    </row>
    <row r="15734">
      <c r="C15734" s="15"/>
      <c r="E15734" s="8"/>
      <c r="G15734" s="8"/>
      <c r="J15734" s="8"/>
    </row>
    <row r="15735">
      <c r="C15735" s="15"/>
      <c r="E15735" s="8"/>
      <c r="G15735" s="8"/>
      <c r="J15735" s="8"/>
    </row>
    <row r="15736">
      <c r="C15736" s="15"/>
      <c r="E15736" s="8"/>
      <c r="G15736" s="8"/>
      <c r="J15736" s="8"/>
    </row>
    <row r="15737">
      <c r="C15737" s="15"/>
      <c r="E15737" s="8"/>
      <c r="G15737" s="8"/>
      <c r="J15737" s="8"/>
    </row>
    <row r="15738">
      <c r="C15738" s="15"/>
      <c r="E15738" s="8"/>
      <c r="G15738" s="8"/>
      <c r="J15738" s="8"/>
    </row>
    <row r="15739">
      <c r="C15739" s="15"/>
      <c r="E15739" s="8"/>
      <c r="G15739" s="8"/>
      <c r="J15739" s="8"/>
    </row>
    <row r="15740">
      <c r="C15740" s="15"/>
      <c r="E15740" s="8"/>
      <c r="G15740" s="8"/>
      <c r="J15740" s="8"/>
    </row>
    <row r="15741">
      <c r="C15741" s="15"/>
      <c r="E15741" s="8"/>
      <c r="G15741" s="8"/>
      <c r="J15741" s="8"/>
    </row>
    <row r="15742">
      <c r="C15742" s="15"/>
      <c r="E15742" s="8"/>
      <c r="G15742" s="8"/>
      <c r="J15742" s="8"/>
    </row>
    <row r="15743">
      <c r="C15743" s="15"/>
      <c r="E15743" s="8"/>
      <c r="G15743" s="8"/>
      <c r="J15743" s="8"/>
    </row>
    <row r="15744">
      <c r="C15744" s="15"/>
      <c r="E15744" s="8"/>
      <c r="G15744" s="8"/>
      <c r="J15744" s="8"/>
    </row>
    <row r="15745">
      <c r="C15745" s="15"/>
      <c r="E15745" s="8"/>
      <c r="G15745" s="8"/>
      <c r="J15745" s="8"/>
    </row>
    <row r="15746">
      <c r="C15746" s="15"/>
      <c r="E15746" s="8"/>
      <c r="G15746" s="8"/>
      <c r="J15746" s="8"/>
    </row>
    <row r="15747">
      <c r="C15747" s="15"/>
      <c r="E15747" s="8"/>
      <c r="G15747" s="8"/>
      <c r="J15747" s="8"/>
    </row>
    <row r="15748">
      <c r="C15748" s="15"/>
      <c r="E15748" s="8"/>
      <c r="G15748" s="8"/>
      <c r="J15748" s="8"/>
    </row>
    <row r="15749">
      <c r="C15749" s="15"/>
      <c r="E15749" s="8"/>
      <c r="G15749" s="8"/>
      <c r="J15749" s="8"/>
    </row>
    <row r="15750">
      <c r="C15750" s="15"/>
      <c r="E15750" s="8"/>
      <c r="G15750" s="8"/>
      <c r="J15750" s="8"/>
    </row>
    <row r="15751">
      <c r="C15751" s="15"/>
      <c r="E15751" s="8"/>
      <c r="G15751" s="8"/>
      <c r="J15751" s="8"/>
    </row>
    <row r="15752">
      <c r="C15752" s="15"/>
      <c r="E15752" s="8"/>
      <c r="G15752" s="8"/>
      <c r="J15752" s="8"/>
    </row>
    <row r="15753">
      <c r="C15753" s="15"/>
      <c r="E15753" s="8"/>
      <c r="G15753" s="8"/>
      <c r="J15753" s="8"/>
    </row>
    <row r="15754">
      <c r="C15754" s="15"/>
      <c r="E15754" s="8"/>
      <c r="G15754" s="8"/>
      <c r="J15754" s="8"/>
    </row>
    <row r="15755">
      <c r="C15755" s="15"/>
      <c r="E15755" s="8"/>
      <c r="G15755" s="8"/>
      <c r="J15755" s="8"/>
    </row>
    <row r="15756">
      <c r="C15756" s="15"/>
      <c r="E15756" s="8"/>
      <c r="G15756" s="8"/>
      <c r="J15756" s="8"/>
    </row>
    <row r="15757">
      <c r="C15757" s="15"/>
      <c r="E15757" s="8"/>
      <c r="G15757" s="8"/>
      <c r="J15757" s="8"/>
    </row>
    <row r="15758">
      <c r="C15758" s="15"/>
      <c r="E15758" s="8"/>
      <c r="G15758" s="8"/>
      <c r="J15758" s="8"/>
    </row>
    <row r="15759">
      <c r="C15759" s="15"/>
      <c r="E15759" s="8"/>
      <c r="G15759" s="8"/>
      <c r="J15759" s="8"/>
    </row>
    <row r="15760">
      <c r="C15760" s="15"/>
      <c r="E15760" s="8"/>
      <c r="G15760" s="8"/>
      <c r="J15760" s="8"/>
    </row>
    <row r="15761">
      <c r="C15761" s="15"/>
      <c r="E15761" s="8"/>
      <c r="G15761" s="8"/>
      <c r="J15761" s="8"/>
    </row>
    <row r="15762">
      <c r="C15762" s="15"/>
      <c r="E15762" s="8"/>
      <c r="G15762" s="8"/>
      <c r="J15762" s="8"/>
    </row>
    <row r="15763">
      <c r="C15763" s="15"/>
      <c r="E15763" s="8"/>
      <c r="G15763" s="8"/>
      <c r="J15763" s="8"/>
    </row>
    <row r="15764">
      <c r="C15764" s="15"/>
      <c r="E15764" s="8"/>
      <c r="G15764" s="8"/>
      <c r="J15764" s="8"/>
    </row>
    <row r="15765">
      <c r="C15765" s="15"/>
      <c r="E15765" s="8"/>
      <c r="G15765" s="8"/>
      <c r="J15765" s="8"/>
    </row>
    <row r="15766">
      <c r="C15766" s="15"/>
      <c r="E15766" s="8"/>
      <c r="G15766" s="8"/>
      <c r="J15766" s="8"/>
    </row>
    <row r="15767">
      <c r="C15767" s="15"/>
      <c r="E15767" s="8"/>
      <c r="G15767" s="8"/>
      <c r="J15767" s="8"/>
    </row>
    <row r="15768">
      <c r="C15768" s="15"/>
      <c r="E15768" s="8"/>
      <c r="G15768" s="8"/>
      <c r="J15768" s="8"/>
    </row>
    <row r="15769">
      <c r="C15769" s="15"/>
      <c r="E15769" s="8"/>
      <c r="G15769" s="8"/>
      <c r="J15769" s="8"/>
    </row>
    <row r="15770">
      <c r="C15770" s="15"/>
      <c r="E15770" s="8"/>
      <c r="G15770" s="8"/>
      <c r="J15770" s="8"/>
    </row>
    <row r="15771">
      <c r="C15771" s="15"/>
      <c r="E15771" s="8"/>
      <c r="G15771" s="8"/>
      <c r="J15771" s="8"/>
    </row>
    <row r="15772">
      <c r="C15772" s="15"/>
      <c r="E15772" s="8"/>
      <c r="G15772" s="8"/>
      <c r="J15772" s="8"/>
    </row>
    <row r="15773">
      <c r="C15773" s="15"/>
      <c r="E15773" s="8"/>
      <c r="G15773" s="8"/>
      <c r="J15773" s="8"/>
    </row>
    <row r="15774">
      <c r="C15774" s="15"/>
      <c r="E15774" s="8"/>
      <c r="G15774" s="8"/>
      <c r="J15774" s="8"/>
    </row>
    <row r="15775">
      <c r="C15775" s="15"/>
      <c r="E15775" s="8"/>
      <c r="G15775" s="8"/>
      <c r="J15775" s="8"/>
    </row>
    <row r="15776">
      <c r="C15776" s="15"/>
      <c r="E15776" s="8"/>
      <c r="G15776" s="8"/>
      <c r="J15776" s="8"/>
    </row>
    <row r="15777">
      <c r="C15777" s="15"/>
      <c r="E15777" s="8"/>
      <c r="G15777" s="8"/>
      <c r="J15777" s="8"/>
    </row>
    <row r="15778">
      <c r="C15778" s="15"/>
      <c r="E15778" s="8"/>
      <c r="G15778" s="8"/>
      <c r="J15778" s="8"/>
    </row>
    <row r="15779">
      <c r="C15779" s="15"/>
      <c r="E15779" s="8"/>
      <c r="G15779" s="8"/>
      <c r="J15779" s="8"/>
    </row>
    <row r="15780">
      <c r="C15780" s="15"/>
      <c r="E15780" s="8"/>
      <c r="G15780" s="8"/>
      <c r="J15780" s="8"/>
    </row>
    <row r="15781">
      <c r="C15781" s="15"/>
      <c r="E15781" s="8"/>
      <c r="G15781" s="8"/>
      <c r="J15781" s="8"/>
    </row>
    <row r="15782">
      <c r="C15782" s="15"/>
      <c r="E15782" s="8"/>
      <c r="G15782" s="8"/>
      <c r="J15782" s="8"/>
    </row>
    <row r="15783">
      <c r="C15783" s="15"/>
      <c r="E15783" s="8"/>
      <c r="G15783" s="8"/>
      <c r="J15783" s="8"/>
    </row>
    <row r="15784">
      <c r="C15784" s="15"/>
      <c r="E15784" s="8"/>
      <c r="G15784" s="8"/>
      <c r="J15784" s="8"/>
    </row>
    <row r="15785">
      <c r="C15785" s="15"/>
      <c r="E15785" s="8"/>
      <c r="G15785" s="8"/>
      <c r="J15785" s="8"/>
    </row>
    <row r="15786">
      <c r="C15786" s="15"/>
      <c r="E15786" s="8"/>
      <c r="G15786" s="8"/>
      <c r="J15786" s="8"/>
    </row>
    <row r="15787">
      <c r="C15787" s="15"/>
      <c r="E15787" s="8"/>
      <c r="G15787" s="8"/>
      <c r="J15787" s="8"/>
    </row>
    <row r="15788">
      <c r="C15788" s="15"/>
      <c r="E15788" s="8"/>
      <c r="G15788" s="8"/>
      <c r="J15788" s="8"/>
    </row>
    <row r="15789">
      <c r="C15789" s="15"/>
      <c r="E15789" s="8"/>
      <c r="G15789" s="8"/>
      <c r="J15789" s="8"/>
    </row>
    <row r="15790">
      <c r="C15790" s="15"/>
      <c r="E15790" s="8"/>
      <c r="G15790" s="8"/>
      <c r="J15790" s="8"/>
    </row>
    <row r="15791">
      <c r="C15791" s="15"/>
      <c r="E15791" s="8"/>
      <c r="G15791" s="8"/>
      <c r="J15791" s="8"/>
    </row>
    <row r="15792">
      <c r="C15792" s="15"/>
      <c r="E15792" s="8"/>
      <c r="G15792" s="8"/>
      <c r="J15792" s="8"/>
    </row>
    <row r="15793">
      <c r="C15793" s="15"/>
      <c r="E15793" s="8"/>
      <c r="G15793" s="8"/>
      <c r="J15793" s="8"/>
    </row>
    <row r="15794">
      <c r="C15794" s="15"/>
      <c r="E15794" s="8"/>
      <c r="G15794" s="8"/>
      <c r="J15794" s="8"/>
    </row>
    <row r="15795">
      <c r="C15795" s="15"/>
      <c r="E15795" s="8"/>
      <c r="G15795" s="8"/>
      <c r="J15795" s="8"/>
    </row>
    <row r="15796">
      <c r="C15796" s="15"/>
      <c r="E15796" s="8"/>
      <c r="G15796" s="8"/>
      <c r="J15796" s="8"/>
    </row>
    <row r="15797">
      <c r="C15797" s="15"/>
      <c r="E15797" s="8"/>
      <c r="G15797" s="8"/>
      <c r="J15797" s="8"/>
    </row>
    <row r="15798">
      <c r="C15798" s="15"/>
      <c r="E15798" s="8"/>
      <c r="G15798" s="8"/>
      <c r="J15798" s="8"/>
    </row>
    <row r="15799">
      <c r="C15799" s="15"/>
      <c r="E15799" s="8"/>
      <c r="G15799" s="8"/>
      <c r="J15799" s="8"/>
    </row>
    <row r="15800">
      <c r="C15800" s="15"/>
      <c r="E15800" s="8"/>
      <c r="G15800" s="8"/>
      <c r="J15800" s="8"/>
    </row>
    <row r="15801">
      <c r="C15801" s="15"/>
      <c r="E15801" s="8"/>
      <c r="G15801" s="8"/>
      <c r="J15801" s="8"/>
    </row>
    <row r="15802">
      <c r="C15802" s="15"/>
      <c r="E15802" s="8"/>
      <c r="G15802" s="8"/>
      <c r="J15802" s="8"/>
    </row>
    <row r="15803">
      <c r="C15803" s="15"/>
      <c r="E15803" s="8"/>
      <c r="G15803" s="8"/>
      <c r="J15803" s="8"/>
    </row>
    <row r="15804">
      <c r="C15804" s="15"/>
      <c r="E15804" s="8"/>
      <c r="G15804" s="8"/>
      <c r="J15804" s="8"/>
    </row>
    <row r="15805">
      <c r="C15805" s="15"/>
      <c r="E15805" s="8"/>
      <c r="G15805" s="8"/>
      <c r="J15805" s="8"/>
    </row>
    <row r="15806">
      <c r="C15806" s="15"/>
      <c r="E15806" s="8"/>
      <c r="G15806" s="8"/>
      <c r="J15806" s="8"/>
    </row>
    <row r="15807">
      <c r="C15807" s="15"/>
      <c r="E15807" s="8"/>
      <c r="G15807" s="8"/>
      <c r="J15807" s="8"/>
    </row>
    <row r="15808">
      <c r="C15808" s="15"/>
      <c r="E15808" s="8"/>
      <c r="G15808" s="8"/>
      <c r="J15808" s="8"/>
    </row>
    <row r="15809">
      <c r="C15809" s="15"/>
      <c r="E15809" s="8"/>
      <c r="G15809" s="8"/>
      <c r="J15809" s="8"/>
    </row>
    <row r="15810">
      <c r="C15810" s="15"/>
      <c r="E15810" s="8"/>
      <c r="G15810" s="8"/>
      <c r="J15810" s="8"/>
    </row>
    <row r="15811">
      <c r="C15811" s="15"/>
      <c r="E15811" s="8"/>
      <c r="G15811" s="8"/>
      <c r="J15811" s="8"/>
    </row>
    <row r="15812">
      <c r="C15812" s="15"/>
      <c r="E15812" s="8"/>
      <c r="G15812" s="8"/>
      <c r="J15812" s="8"/>
    </row>
    <row r="15813">
      <c r="C15813" s="15"/>
      <c r="E15813" s="8"/>
      <c r="G15813" s="8"/>
      <c r="J15813" s="8"/>
    </row>
    <row r="15814">
      <c r="C15814" s="15"/>
      <c r="E15814" s="8"/>
      <c r="G15814" s="8"/>
      <c r="J15814" s="8"/>
    </row>
    <row r="15815">
      <c r="C15815" s="15"/>
      <c r="E15815" s="8"/>
      <c r="G15815" s="8"/>
      <c r="J15815" s="8"/>
    </row>
    <row r="15816">
      <c r="C15816" s="15"/>
      <c r="E15816" s="8"/>
      <c r="G15816" s="8"/>
      <c r="J15816" s="8"/>
    </row>
    <row r="15817">
      <c r="C15817" s="15"/>
      <c r="E15817" s="8"/>
      <c r="G15817" s="8"/>
      <c r="J15817" s="8"/>
    </row>
    <row r="15818">
      <c r="C15818" s="15"/>
      <c r="E15818" s="8"/>
      <c r="G15818" s="8"/>
      <c r="J15818" s="8"/>
    </row>
    <row r="15819">
      <c r="C15819" s="15"/>
      <c r="E15819" s="8"/>
      <c r="G15819" s="8"/>
      <c r="J15819" s="8"/>
    </row>
    <row r="15820">
      <c r="C15820" s="15"/>
      <c r="E15820" s="8"/>
      <c r="G15820" s="8"/>
      <c r="J15820" s="8"/>
    </row>
    <row r="15821">
      <c r="C15821" s="15"/>
      <c r="E15821" s="8"/>
      <c r="G15821" s="8"/>
      <c r="J15821" s="8"/>
    </row>
    <row r="15822">
      <c r="C15822" s="15"/>
      <c r="E15822" s="8"/>
      <c r="G15822" s="8"/>
      <c r="J15822" s="8"/>
    </row>
    <row r="15823">
      <c r="C15823" s="15"/>
      <c r="E15823" s="8"/>
      <c r="G15823" s="8"/>
      <c r="J15823" s="8"/>
    </row>
    <row r="15824">
      <c r="C15824" s="15"/>
      <c r="E15824" s="8"/>
      <c r="G15824" s="8"/>
      <c r="J15824" s="8"/>
    </row>
    <row r="15825">
      <c r="C15825" s="15"/>
      <c r="E15825" s="8"/>
      <c r="G15825" s="8"/>
      <c r="J15825" s="8"/>
    </row>
    <row r="15826">
      <c r="C15826" s="15"/>
      <c r="E15826" s="8"/>
      <c r="G15826" s="8"/>
      <c r="J15826" s="8"/>
    </row>
    <row r="15827">
      <c r="C15827" s="15"/>
      <c r="E15827" s="8"/>
      <c r="G15827" s="8"/>
      <c r="J15827" s="8"/>
    </row>
    <row r="15828">
      <c r="C15828" s="15"/>
      <c r="E15828" s="8"/>
      <c r="G15828" s="8"/>
      <c r="J15828" s="8"/>
    </row>
    <row r="15829">
      <c r="C15829" s="15"/>
      <c r="E15829" s="8"/>
      <c r="G15829" s="8"/>
      <c r="J15829" s="8"/>
    </row>
    <row r="15830">
      <c r="C15830" s="15"/>
      <c r="E15830" s="8"/>
      <c r="G15830" s="8"/>
      <c r="J15830" s="8"/>
    </row>
    <row r="15831">
      <c r="C15831" s="15"/>
      <c r="E15831" s="8"/>
      <c r="G15831" s="8"/>
      <c r="J15831" s="8"/>
    </row>
    <row r="15832">
      <c r="C15832" s="15"/>
      <c r="E15832" s="8"/>
      <c r="G15832" s="8"/>
      <c r="J15832" s="8"/>
    </row>
    <row r="15833">
      <c r="C15833" s="15"/>
      <c r="E15833" s="8"/>
      <c r="G15833" s="8"/>
      <c r="J15833" s="8"/>
    </row>
    <row r="15834">
      <c r="C15834" s="15"/>
      <c r="E15834" s="8"/>
      <c r="G15834" s="8"/>
      <c r="J15834" s="8"/>
    </row>
    <row r="15835">
      <c r="C15835" s="15"/>
      <c r="E15835" s="8"/>
      <c r="G15835" s="8"/>
      <c r="J15835" s="8"/>
    </row>
    <row r="15836">
      <c r="C15836" s="15"/>
      <c r="E15836" s="8"/>
      <c r="G15836" s="8"/>
      <c r="J15836" s="8"/>
    </row>
    <row r="15837">
      <c r="C15837" s="15"/>
      <c r="E15837" s="8"/>
      <c r="G15837" s="8"/>
      <c r="J15837" s="8"/>
    </row>
    <row r="15838">
      <c r="C15838" s="15"/>
      <c r="E15838" s="8"/>
      <c r="G15838" s="8"/>
      <c r="J15838" s="8"/>
    </row>
    <row r="15839">
      <c r="C15839" s="15"/>
      <c r="E15839" s="8"/>
      <c r="G15839" s="8"/>
      <c r="J15839" s="8"/>
    </row>
    <row r="15840">
      <c r="C15840" s="15"/>
      <c r="E15840" s="8"/>
      <c r="G15840" s="8"/>
      <c r="J15840" s="8"/>
    </row>
    <row r="15841">
      <c r="C15841" s="15"/>
      <c r="E15841" s="8"/>
      <c r="G15841" s="8"/>
      <c r="J15841" s="8"/>
    </row>
    <row r="15842">
      <c r="C15842" s="15"/>
      <c r="E15842" s="8"/>
      <c r="G15842" s="8"/>
      <c r="J15842" s="8"/>
    </row>
    <row r="15843">
      <c r="C15843" s="15"/>
      <c r="E15843" s="8"/>
      <c r="G15843" s="8"/>
      <c r="J15843" s="8"/>
    </row>
    <row r="15844">
      <c r="C15844" s="15"/>
      <c r="E15844" s="8"/>
      <c r="G15844" s="8"/>
      <c r="J15844" s="8"/>
    </row>
    <row r="15845">
      <c r="C15845" s="15"/>
      <c r="E15845" s="8"/>
      <c r="G15845" s="8"/>
      <c r="J15845" s="8"/>
    </row>
    <row r="15846">
      <c r="C15846" s="15"/>
      <c r="E15846" s="8"/>
      <c r="G15846" s="8"/>
      <c r="J15846" s="8"/>
    </row>
    <row r="15847">
      <c r="C15847" s="15"/>
      <c r="E15847" s="8"/>
      <c r="G15847" s="8"/>
      <c r="J15847" s="8"/>
    </row>
    <row r="15848">
      <c r="C15848" s="15"/>
      <c r="E15848" s="8"/>
      <c r="G15848" s="8"/>
      <c r="J15848" s="8"/>
    </row>
    <row r="15849">
      <c r="C15849" s="15"/>
      <c r="E15849" s="8"/>
      <c r="G15849" s="8"/>
      <c r="J15849" s="8"/>
    </row>
    <row r="15850">
      <c r="C15850" s="15"/>
      <c r="E15850" s="8"/>
      <c r="G15850" s="8"/>
      <c r="J15850" s="8"/>
    </row>
    <row r="15851">
      <c r="C15851" s="15"/>
      <c r="E15851" s="8"/>
      <c r="G15851" s="8"/>
      <c r="J15851" s="8"/>
    </row>
    <row r="15852">
      <c r="C15852" s="15"/>
      <c r="E15852" s="8"/>
      <c r="G15852" s="8"/>
      <c r="J15852" s="8"/>
    </row>
    <row r="15853">
      <c r="C15853" s="15"/>
      <c r="E15853" s="8"/>
      <c r="G15853" s="8"/>
      <c r="J15853" s="8"/>
    </row>
    <row r="15854">
      <c r="C15854" s="15"/>
      <c r="E15854" s="8"/>
      <c r="G15854" s="8"/>
      <c r="J15854" s="8"/>
    </row>
    <row r="15855">
      <c r="C15855" s="15"/>
      <c r="E15855" s="8"/>
      <c r="G15855" s="8"/>
      <c r="J15855" s="8"/>
    </row>
    <row r="15856">
      <c r="C15856" s="15"/>
      <c r="E15856" s="8"/>
      <c r="G15856" s="8"/>
      <c r="J15856" s="8"/>
    </row>
    <row r="15857">
      <c r="C15857" s="15"/>
      <c r="E15857" s="8"/>
      <c r="G15857" s="8"/>
      <c r="J15857" s="8"/>
    </row>
    <row r="15858">
      <c r="C15858" s="15"/>
      <c r="E15858" s="8"/>
      <c r="G15858" s="8"/>
      <c r="J15858" s="8"/>
    </row>
    <row r="15859">
      <c r="C15859" s="15"/>
      <c r="E15859" s="8"/>
      <c r="G15859" s="8"/>
      <c r="J15859" s="8"/>
    </row>
    <row r="15860">
      <c r="C15860" s="15"/>
      <c r="E15860" s="8"/>
      <c r="G15860" s="8"/>
      <c r="J15860" s="8"/>
    </row>
    <row r="15861">
      <c r="C15861" s="15"/>
      <c r="E15861" s="8"/>
      <c r="G15861" s="8"/>
      <c r="J15861" s="8"/>
    </row>
    <row r="15862">
      <c r="C15862" s="15"/>
      <c r="E15862" s="8"/>
      <c r="G15862" s="8"/>
      <c r="J15862" s="8"/>
    </row>
    <row r="15863">
      <c r="C15863" s="15"/>
      <c r="E15863" s="8"/>
      <c r="G15863" s="8"/>
      <c r="J15863" s="8"/>
    </row>
    <row r="15864">
      <c r="C15864" s="15"/>
      <c r="E15864" s="8"/>
      <c r="G15864" s="8"/>
      <c r="J15864" s="8"/>
    </row>
    <row r="15865">
      <c r="C15865" s="15"/>
      <c r="E15865" s="8"/>
      <c r="G15865" s="8"/>
      <c r="J15865" s="8"/>
    </row>
    <row r="15866">
      <c r="C15866" s="15"/>
      <c r="E15866" s="8"/>
      <c r="G15866" s="8"/>
      <c r="J15866" s="8"/>
    </row>
    <row r="15867">
      <c r="C15867" s="15"/>
      <c r="E15867" s="8"/>
      <c r="G15867" s="8"/>
      <c r="J15867" s="8"/>
    </row>
    <row r="15868">
      <c r="C15868" s="15"/>
      <c r="E15868" s="8"/>
      <c r="G15868" s="8"/>
      <c r="J15868" s="8"/>
    </row>
    <row r="15869">
      <c r="C15869" s="15"/>
      <c r="E15869" s="8"/>
      <c r="G15869" s="8"/>
      <c r="J15869" s="8"/>
    </row>
    <row r="15870">
      <c r="C15870" s="15"/>
      <c r="E15870" s="8"/>
      <c r="G15870" s="8"/>
      <c r="J15870" s="8"/>
    </row>
    <row r="15871">
      <c r="C15871" s="15"/>
      <c r="E15871" s="8"/>
      <c r="G15871" s="8"/>
      <c r="J15871" s="8"/>
    </row>
    <row r="15872">
      <c r="C15872" s="15"/>
      <c r="E15872" s="8"/>
      <c r="G15872" s="8"/>
      <c r="J15872" s="8"/>
    </row>
    <row r="15873">
      <c r="C15873" s="15"/>
      <c r="E15873" s="8"/>
      <c r="G15873" s="8"/>
      <c r="J15873" s="8"/>
    </row>
    <row r="15874">
      <c r="C15874" s="15"/>
      <c r="E15874" s="8"/>
      <c r="G15874" s="8"/>
      <c r="J15874" s="8"/>
    </row>
    <row r="15875">
      <c r="C15875" s="15"/>
      <c r="E15875" s="8"/>
      <c r="G15875" s="8"/>
      <c r="J15875" s="8"/>
    </row>
    <row r="15876">
      <c r="C15876" s="15"/>
      <c r="E15876" s="8"/>
      <c r="G15876" s="8"/>
      <c r="J15876" s="8"/>
    </row>
    <row r="15877">
      <c r="C15877" s="15"/>
      <c r="E15877" s="8"/>
      <c r="G15877" s="8"/>
      <c r="J15877" s="8"/>
    </row>
    <row r="15878">
      <c r="C15878" s="15"/>
      <c r="E15878" s="8"/>
      <c r="G15878" s="8"/>
      <c r="J15878" s="8"/>
    </row>
    <row r="15879">
      <c r="C15879" s="15"/>
      <c r="E15879" s="8"/>
      <c r="G15879" s="8"/>
      <c r="J15879" s="8"/>
    </row>
    <row r="15880">
      <c r="C15880" s="15"/>
      <c r="E15880" s="8"/>
      <c r="G15880" s="8"/>
      <c r="J15880" s="8"/>
    </row>
    <row r="15881">
      <c r="C15881" s="15"/>
      <c r="E15881" s="8"/>
      <c r="G15881" s="8"/>
      <c r="J15881" s="8"/>
    </row>
    <row r="15882">
      <c r="C15882" s="15"/>
      <c r="E15882" s="8"/>
      <c r="G15882" s="8"/>
      <c r="J15882" s="8"/>
    </row>
    <row r="15883">
      <c r="C15883" s="15"/>
      <c r="E15883" s="8"/>
      <c r="G15883" s="8"/>
      <c r="J15883" s="8"/>
    </row>
    <row r="15884">
      <c r="C15884" s="15"/>
      <c r="E15884" s="8"/>
      <c r="G15884" s="8"/>
      <c r="J15884" s="8"/>
    </row>
    <row r="15885">
      <c r="C15885" s="15"/>
      <c r="E15885" s="8"/>
      <c r="G15885" s="8"/>
      <c r="J15885" s="8"/>
    </row>
    <row r="15886">
      <c r="C15886" s="15"/>
      <c r="E15886" s="8"/>
      <c r="G15886" s="8"/>
      <c r="J15886" s="8"/>
    </row>
    <row r="15887">
      <c r="C15887" s="15"/>
      <c r="E15887" s="8"/>
      <c r="G15887" s="8"/>
      <c r="J15887" s="8"/>
    </row>
    <row r="15888">
      <c r="C15888" s="15"/>
      <c r="E15888" s="8"/>
      <c r="G15888" s="8"/>
      <c r="J15888" s="8"/>
    </row>
    <row r="15889">
      <c r="C15889" s="15"/>
      <c r="E15889" s="8"/>
      <c r="G15889" s="8"/>
      <c r="J15889" s="8"/>
    </row>
    <row r="15890">
      <c r="C15890" s="15"/>
      <c r="E15890" s="8"/>
      <c r="G15890" s="8"/>
      <c r="J15890" s="8"/>
    </row>
    <row r="15891">
      <c r="C15891" s="15"/>
      <c r="E15891" s="8"/>
      <c r="G15891" s="8"/>
      <c r="J15891" s="8"/>
    </row>
    <row r="15892">
      <c r="C15892" s="15"/>
      <c r="E15892" s="8"/>
      <c r="G15892" s="8"/>
      <c r="J15892" s="8"/>
    </row>
    <row r="15893">
      <c r="C15893" s="15"/>
      <c r="E15893" s="8"/>
      <c r="G15893" s="8"/>
      <c r="J15893" s="8"/>
    </row>
    <row r="15894">
      <c r="C15894" s="15"/>
      <c r="E15894" s="8"/>
      <c r="G15894" s="8"/>
      <c r="J15894" s="8"/>
    </row>
    <row r="15895">
      <c r="C15895" s="15"/>
      <c r="E15895" s="8"/>
      <c r="G15895" s="8"/>
      <c r="J15895" s="8"/>
    </row>
    <row r="15896">
      <c r="C15896" s="15"/>
      <c r="E15896" s="8"/>
      <c r="G15896" s="8"/>
      <c r="J15896" s="8"/>
    </row>
    <row r="15897">
      <c r="C15897" s="15"/>
      <c r="E15897" s="8"/>
      <c r="G15897" s="8"/>
      <c r="J15897" s="8"/>
    </row>
    <row r="15898">
      <c r="C15898" s="15"/>
      <c r="E15898" s="8"/>
      <c r="G15898" s="8"/>
      <c r="J15898" s="8"/>
    </row>
    <row r="15899">
      <c r="C15899" s="15"/>
      <c r="E15899" s="8"/>
      <c r="G15899" s="8"/>
      <c r="J15899" s="8"/>
    </row>
    <row r="15900">
      <c r="C15900" s="15"/>
      <c r="E15900" s="8"/>
      <c r="G15900" s="8"/>
      <c r="J15900" s="8"/>
    </row>
    <row r="15901">
      <c r="C15901" s="15"/>
      <c r="E15901" s="8"/>
      <c r="G15901" s="8"/>
      <c r="J15901" s="8"/>
    </row>
    <row r="15902">
      <c r="C15902" s="15"/>
      <c r="E15902" s="8"/>
      <c r="G15902" s="8"/>
      <c r="J15902" s="8"/>
    </row>
    <row r="15903">
      <c r="C15903" s="15"/>
      <c r="E15903" s="8"/>
      <c r="G15903" s="8"/>
      <c r="J15903" s="8"/>
    </row>
    <row r="15904">
      <c r="C15904" s="15"/>
      <c r="E15904" s="8"/>
      <c r="G15904" s="8"/>
      <c r="J15904" s="8"/>
    </row>
    <row r="15905">
      <c r="C15905" s="15"/>
      <c r="E15905" s="8"/>
      <c r="G15905" s="8"/>
      <c r="J15905" s="8"/>
    </row>
    <row r="15906">
      <c r="C15906" s="15"/>
      <c r="E15906" s="8"/>
      <c r="G15906" s="8"/>
      <c r="J15906" s="8"/>
    </row>
    <row r="15907">
      <c r="C15907" s="15"/>
      <c r="E15907" s="8"/>
      <c r="G15907" s="8"/>
      <c r="J15907" s="8"/>
    </row>
    <row r="15908">
      <c r="C15908" s="15"/>
      <c r="E15908" s="8"/>
      <c r="G15908" s="8"/>
      <c r="J15908" s="8"/>
    </row>
    <row r="15909">
      <c r="C15909" s="15"/>
      <c r="E15909" s="8"/>
      <c r="G15909" s="8"/>
      <c r="J15909" s="8"/>
    </row>
    <row r="15910">
      <c r="C15910" s="15"/>
      <c r="E15910" s="8"/>
      <c r="G15910" s="8"/>
      <c r="J15910" s="8"/>
    </row>
    <row r="15911">
      <c r="C15911" s="15"/>
      <c r="E15911" s="8"/>
      <c r="G15911" s="8"/>
      <c r="J15911" s="8"/>
    </row>
    <row r="15912">
      <c r="C15912" s="15"/>
      <c r="E15912" s="8"/>
      <c r="G15912" s="8"/>
      <c r="J15912" s="8"/>
    </row>
    <row r="15913">
      <c r="C15913" s="15"/>
      <c r="E15913" s="8"/>
      <c r="G15913" s="8"/>
      <c r="J15913" s="8"/>
    </row>
    <row r="15914">
      <c r="C15914" s="15"/>
      <c r="E15914" s="8"/>
      <c r="G15914" s="8"/>
      <c r="J15914" s="8"/>
    </row>
    <row r="15915">
      <c r="C15915" s="15"/>
      <c r="E15915" s="8"/>
      <c r="G15915" s="8"/>
      <c r="J15915" s="8"/>
    </row>
    <row r="15916">
      <c r="C15916" s="15"/>
      <c r="E15916" s="8"/>
      <c r="G15916" s="8"/>
      <c r="J15916" s="8"/>
    </row>
    <row r="15917">
      <c r="C15917" s="15"/>
      <c r="E15917" s="8"/>
      <c r="G15917" s="8"/>
      <c r="J15917" s="8"/>
    </row>
    <row r="15918">
      <c r="C15918" s="15"/>
      <c r="E15918" s="8"/>
      <c r="G15918" s="8"/>
      <c r="J15918" s="8"/>
    </row>
    <row r="15919">
      <c r="C15919" s="15"/>
      <c r="E15919" s="8"/>
      <c r="G15919" s="8"/>
      <c r="J15919" s="8"/>
    </row>
    <row r="15920">
      <c r="C15920" s="15"/>
      <c r="E15920" s="8"/>
      <c r="G15920" s="8"/>
      <c r="J15920" s="8"/>
    </row>
    <row r="15921">
      <c r="C15921" s="15"/>
      <c r="E15921" s="8"/>
      <c r="G15921" s="8"/>
      <c r="J15921" s="8"/>
    </row>
    <row r="15922">
      <c r="C15922" s="15"/>
      <c r="E15922" s="8"/>
      <c r="G15922" s="8"/>
      <c r="J15922" s="8"/>
    </row>
    <row r="15923">
      <c r="C15923" s="15"/>
      <c r="E15923" s="8"/>
      <c r="G15923" s="8"/>
      <c r="J15923" s="8"/>
    </row>
    <row r="15924">
      <c r="C15924" s="15"/>
      <c r="E15924" s="8"/>
      <c r="G15924" s="8"/>
      <c r="J15924" s="8"/>
    </row>
    <row r="15925">
      <c r="C15925" s="15"/>
      <c r="E15925" s="8"/>
      <c r="G15925" s="8"/>
      <c r="J15925" s="8"/>
    </row>
    <row r="15926">
      <c r="C15926" s="15"/>
      <c r="E15926" s="8"/>
      <c r="G15926" s="8"/>
      <c r="J15926" s="8"/>
    </row>
    <row r="15927">
      <c r="C15927" s="15"/>
      <c r="E15927" s="8"/>
      <c r="G15927" s="8"/>
      <c r="J15927" s="8"/>
    </row>
    <row r="15928">
      <c r="C15928" s="15"/>
      <c r="E15928" s="8"/>
      <c r="G15928" s="8"/>
      <c r="J15928" s="8"/>
    </row>
    <row r="15929">
      <c r="C15929" s="15"/>
      <c r="E15929" s="8"/>
      <c r="G15929" s="8"/>
      <c r="J15929" s="8"/>
    </row>
    <row r="15930">
      <c r="C15930" s="15"/>
      <c r="E15930" s="8"/>
      <c r="G15930" s="8"/>
      <c r="J15930" s="8"/>
    </row>
    <row r="15931">
      <c r="C15931" s="15"/>
      <c r="E15931" s="8"/>
      <c r="G15931" s="8"/>
      <c r="J15931" s="8"/>
    </row>
    <row r="15932">
      <c r="C15932" s="15"/>
      <c r="E15932" s="8"/>
      <c r="G15932" s="8"/>
      <c r="J15932" s="8"/>
    </row>
    <row r="15933">
      <c r="C15933" s="15"/>
      <c r="E15933" s="8"/>
      <c r="G15933" s="8"/>
      <c r="J15933" s="8"/>
    </row>
    <row r="15934">
      <c r="C15934" s="15"/>
      <c r="E15934" s="8"/>
      <c r="G15934" s="8"/>
      <c r="J15934" s="8"/>
    </row>
    <row r="15935">
      <c r="C15935" s="15"/>
      <c r="E15935" s="8"/>
      <c r="G15935" s="8"/>
      <c r="J15935" s="8"/>
    </row>
    <row r="15936">
      <c r="C15936" s="15"/>
      <c r="E15936" s="8"/>
      <c r="G15936" s="8"/>
      <c r="J15936" s="8"/>
    </row>
    <row r="15937">
      <c r="C15937" s="15"/>
      <c r="E15937" s="8"/>
      <c r="G15937" s="8"/>
      <c r="J15937" s="8"/>
    </row>
    <row r="15938">
      <c r="C15938" s="15"/>
      <c r="E15938" s="8"/>
      <c r="G15938" s="8"/>
      <c r="J15938" s="8"/>
    </row>
    <row r="15939">
      <c r="C15939" s="15"/>
      <c r="E15939" s="8"/>
      <c r="G15939" s="8"/>
      <c r="J15939" s="8"/>
    </row>
    <row r="15940">
      <c r="C15940" s="15"/>
      <c r="E15940" s="8"/>
      <c r="G15940" s="8"/>
      <c r="J15940" s="8"/>
    </row>
    <row r="15941">
      <c r="C15941" s="15"/>
      <c r="E15941" s="8"/>
      <c r="G15941" s="8"/>
      <c r="J15941" s="8"/>
    </row>
    <row r="15942">
      <c r="C15942" s="15"/>
      <c r="E15942" s="8"/>
      <c r="G15942" s="8"/>
      <c r="J15942" s="8"/>
    </row>
    <row r="15943">
      <c r="C15943" s="15"/>
      <c r="E15943" s="8"/>
      <c r="G15943" s="8"/>
      <c r="J15943" s="8"/>
    </row>
    <row r="15944">
      <c r="C15944" s="15"/>
      <c r="E15944" s="8"/>
      <c r="G15944" s="8"/>
      <c r="J15944" s="8"/>
    </row>
    <row r="15945">
      <c r="C15945" s="15"/>
      <c r="E15945" s="8"/>
      <c r="G15945" s="8"/>
      <c r="J15945" s="8"/>
    </row>
    <row r="15946">
      <c r="C15946" s="15"/>
      <c r="E15946" s="8"/>
      <c r="G15946" s="8"/>
      <c r="J15946" s="8"/>
    </row>
    <row r="15947">
      <c r="C15947" s="15"/>
      <c r="E15947" s="8"/>
      <c r="G15947" s="8"/>
      <c r="J15947" s="8"/>
    </row>
    <row r="15948">
      <c r="C15948" s="15"/>
      <c r="E15948" s="8"/>
      <c r="G15948" s="8"/>
      <c r="J15948" s="8"/>
    </row>
    <row r="15949">
      <c r="C15949" s="15"/>
      <c r="E15949" s="8"/>
      <c r="G15949" s="8"/>
      <c r="J15949" s="8"/>
    </row>
    <row r="15950">
      <c r="C15950" s="15"/>
      <c r="E15950" s="8"/>
      <c r="G15950" s="8"/>
      <c r="J15950" s="8"/>
    </row>
    <row r="15951">
      <c r="C15951" s="15"/>
      <c r="E15951" s="8"/>
      <c r="G15951" s="8"/>
      <c r="J15951" s="8"/>
    </row>
    <row r="15952">
      <c r="C15952" s="15"/>
      <c r="E15952" s="8"/>
      <c r="G15952" s="8"/>
      <c r="J15952" s="8"/>
    </row>
    <row r="15953">
      <c r="C15953" s="15"/>
      <c r="E15953" s="8"/>
      <c r="G15953" s="8"/>
      <c r="J15953" s="8"/>
    </row>
    <row r="15954">
      <c r="C15954" s="15"/>
      <c r="E15954" s="8"/>
      <c r="G15954" s="8"/>
      <c r="J15954" s="8"/>
    </row>
    <row r="15955">
      <c r="C15955" s="15"/>
      <c r="E15955" s="8"/>
      <c r="G15955" s="8"/>
      <c r="J15955" s="8"/>
    </row>
    <row r="15956">
      <c r="C15956" s="15"/>
      <c r="E15956" s="8"/>
      <c r="G15956" s="8"/>
      <c r="J15956" s="8"/>
    </row>
    <row r="15957">
      <c r="C15957" s="15"/>
      <c r="E15957" s="8"/>
      <c r="G15957" s="8"/>
      <c r="J15957" s="8"/>
    </row>
    <row r="15958">
      <c r="C15958" s="15"/>
      <c r="E15958" s="8"/>
      <c r="G15958" s="8"/>
      <c r="J15958" s="8"/>
    </row>
    <row r="15959">
      <c r="C15959" s="15"/>
      <c r="E15959" s="8"/>
      <c r="G15959" s="8"/>
      <c r="J15959" s="8"/>
    </row>
    <row r="15960">
      <c r="C15960" s="15"/>
      <c r="E15960" s="8"/>
      <c r="G15960" s="8"/>
      <c r="J15960" s="8"/>
    </row>
    <row r="15961">
      <c r="C15961" s="15"/>
      <c r="E15961" s="8"/>
      <c r="G15961" s="8"/>
      <c r="J15961" s="8"/>
    </row>
    <row r="15962">
      <c r="C15962" s="15"/>
      <c r="E15962" s="8"/>
      <c r="G15962" s="8"/>
      <c r="J15962" s="8"/>
    </row>
    <row r="15963">
      <c r="C15963" s="15"/>
      <c r="E15963" s="8"/>
      <c r="G15963" s="8"/>
      <c r="J15963" s="8"/>
    </row>
    <row r="15964">
      <c r="C15964" s="15"/>
      <c r="E15964" s="8"/>
      <c r="G15964" s="8"/>
      <c r="J15964" s="8"/>
    </row>
    <row r="15965">
      <c r="C15965" s="15"/>
      <c r="E15965" s="8"/>
      <c r="G15965" s="8"/>
      <c r="J15965" s="8"/>
    </row>
    <row r="15966">
      <c r="C15966" s="15"/>
      <c r="E15966" s="8"/>
      <c r="G15966" s="8"/>
      <c r="J15966" s="8"/>
    </row>
    <row r="15967">
      <c r="C15967" s="15"/>
      <c r="E15967" s="8"/>
      <c r="G15967" s="8"/>
      <c r="J15967" s="8"/>
    </row>
    <row r="15968">
      <c r="C15968" s="15"/>
      <c r="E15968" s="8"/>
      <c r="G15968" s="8"/>
      <c r="J15968" s="8"/>
    </row>
    <row r="15969">
      <c r="C15969" s="15"/>
      <c r="E15969" s="8"/>
      <c r="G15969" s="8"/>
      <c r="J15969" s="8"/>
    </row>
    <row r="15970">
      <c r="C15970" s="15"/>
      <c r="E15970" s="8"/>
      <c r="G15970" s="8"/>
      <c r="J15970" s="8"/>
    </row>
    <row r="15971">
      <c r="C15971" s="15"/>
      <c r="E15971" s="8"/>
      <c r="G15971" s="8"/>
      <c r="J15971" s="8"/>
    </row>
    <row r="15972">
      <c r="C15972" s="15"/>
      <c r="E15972" s="8"/>
      <c r="G15972" s="8"/>
      <c r="J15972" s="8"/>
    </row>
    <row r="15973">
      <c r="C15973" s="15"/>
      <c r="E15973" s="8"/>
      <c r="G15973" s="8"/>
      <c r="J15973" s="8"/>
    </row>
    <row r="15974">
      <c r="C15974" s="15"/>
      <c r="E15974" s="8"/>
      <c r="G15974" s="8"/>
      <c r="J15974" s="8"/>
    </row>
    <row r="15975">
      <c r="C15975" s="15"/>
      <c r="E15975" s="8"/>
      <c r="G15975" s="8"/>
      <c r="J15975" s="8"/>
    </row>
    <row r="15976">
      <c r="C15976" s="15"/>
      <c r="E15976" s="8"/>
      <c r="G15976" s="8"/>
      <c r="J15976" s="8"/>
    </row>
    <row r="15977">
      <c r="C15977" s="15"/>
      <c r="E15977" s="8"/>
      <c r="G15977" s="8"/>
      <c r="J15977" s="8"/>
    </row>
    <row r="15978">
      <c r="C15978" s="15"/>
      <c r="E15978" s="8"/>
      <c r="G15978" s="8"/>
      <c r="J15978" s="8"/>
    </row>
    <row r="15979">
      <c r="C15979" s="15"/>
      <c r="E15979" s="8"/>
      <c r="G15979" s="8"/>
      <c r="J15979" s="8"/>
    </row>
    <row r="15980">
      <c r="C15980" s="15"/>
      <c r="E15980" s="8"/>
      <c r="G15980" s="8"/>
      <c r="J15980" s="8"/>
    </row>
    <row r="15981">
      <c r="C15981" s="15"/>
      <c r="E15981" s="8"/>
      <c r="G15981" s="8"/>
      <c r="J15981" s="8"/>
    </row>
    <row r="15982">
      <c r="C15982" s="15"/>
      <c r="E15982" s="8"/>
      <c r="G15982" s="8"/>
      <c r="J15982" s="8"/>
    </row>
    <row r="15983">
      <c r="C15983" s="15"/>
      <c r="E15983" s="8"/>
      <c r="G15983" s="8"/>
      <c r="J15983" s="8"/>
    </row>
    <row r="15984">
      <c r="C15984" s="15"/>
      <c r="E15984" s="8"/>
      <c r="G15984" s="8"/>
      <c r="J15984" s="8"/>
    </row>
    <row r="15985">
      <c r="C15985" s="15"/>
      <c r="E15985" s="8"/>
      <c r="G15985" s="8"/>
      <c r="J15985" s="8"/>
    </row>
    <row r="15986">
      <c r="C15986" s="15"/>
      <c r="E15986" s="8"/>
      <c r="G15986" s="8"/>
      <c r="J15986" s="8"/>
    </row>
    <row r="15987">
      <c r="C15987" s="15"/>
      <c r="E15987" s="8"/>
      <c r="G15987" s="8"/>
      <c r="J15987" s="8"/>
    </row>
    <row r="15988">
      <c r="C15988" s="15"/>
      <c r="E15988" s="8"/>
      <c r="G15988" s="8"/>
      <c r="J15988" s="8"/>
    </row>
    <row r="15989">
      <c r="C15989" s="15"/>
      <c r="E15989" s="8"/>
      <c r="G15989" s="8"/>
      <c r="J15989" s="8"/>
    </row>
    <row r="15990">
      <c r="C15990" s="15"/>
      <c r="E15990" s="8"/>
      <c r="G15990" s="8"/>
      <c r="J15990" s="8"/>
    </row>
    <row r="15991">
      <c r="C15991" s="15"/>
      <c r="E15991" s="8"/>
      <c r="G15991" s="8"/>
      <c r="J15991" s="8"/>
    </row>
    <row r="15992">
      <c r="C15992" s="15"/>
      <c r="E15992" s="8"/>
      <c r="G15992" s="8"/>
      <c r="J15992" s="8"/>
    </row>
    <row r="15993">
      <c r="C15993" s="15"/>
      <c r="E15993" s="8"/>
      <c r="G15993" s="8"/>
      <c r="J15993" s="8"/>
    </row>
    <row r="15994">
      <c r="C15994" s="15"/>
      <c r="E15994" s="8"/>
      <c r="G15994" s="8"/>
      <c r="J15994" s="8"/>
    </row>
    <row r="15995">
      <c r="C15995" s="15"/>
      <c r="E15995" s="8"/>
      <c r="G15995" s="8"/>
      <c r="J15995" s="8"/>
    </row>
    <row r="15996">
      <c r="C15996" s="15"/>
      <c r="E15996" s="8"/>
      <c r="G15996" s="8"/>
      <c r="J15996" s="8"/>
    </row>
    <row r="15997">
      <c r="C15997" s="15"/>
      <c r="E15997" s="8"/>
      <c r="G15997" s="8"/>
      <c r="J15997" s="8"/>
    </row>
    <row r="15998">
      <c r="C15998" s="15"/>
      <c r="E15998" s="8"/>
      <c r="G15998" s="8"/>
      <c r="J15998" s="8"/>
    </row>
    <row r="15999">
      <c r="C15999" s="15"/>
      <c r="E15999" s="8"/>
      <c r="G15999" s="8"/>
      <c r="J15999" s="8"/>
    </row>
    <row r="16000">
      <c r="C16000" s="15"/>
      <c r="E16000" s="8"/>
      <c r="G16000" s="8"/>
      <c r="J16000" s="8"/>
    </row>
    <row r="16001">
      <c r="C16001" s="15"/>
      <c r="E16001" s="8"/>
      <c r="G16001" s="8"/>
      <c r="J16001" s="8"/>
    </row>
    <row r="16002">
      <c r="C16002" s="15"/>
      <c r="E16002" s="8"/>
      <c r="G16002" s="8"/>
      <c r="J16002" s="8"/>
    </row>
    <row r="16003">
      <c r="C16003" s="15"/>
      <c r="E16003" s="8"/>
      <c r="G16003" s="8"/>
      <c r="J16003" s="8"/>
    </row>
    <row r="16004">
      <c r="C16004" s="15"/>
      <c r="E16004" s="8"/>
      <c r="G16004" s="8"/>
      <c r="J16004" s="8"/>
    </row>
    <row r="16005">
      <c r="C16005" s="15"/>
      <c r="E16005" s="8"/>
      <c r="G16005" s="8"/>
      <c r="J16005" s="8"/>
    </row>
    <row r="16006">
      <c r="C16006" s="15"/>
      <c r="E16006" s="8"/>
      <c r="G16006" s="8"/>
      <c r="J16006" s="8"/>
    </row>
    <row r="16007">
      <c r="C16007" s="15"/>
      <c r="E16007" s="8"/>
      <c r="G16007" s="8"/>
      <c r="J16007" s="8"/>
    </row>
    <row r="16008">
      <c r="C16008" s="15"/>
      <c r="E16008" s="8"/>
      <c r="G16008" s="8"/>
      <c r="J16008" s="8"/>
    </row>
    <row r="16009">
      <c r="C16009" s="15"/>
      <c r="E16009" s="8"/>
      <c r="G16009" s="8"/>
      <c r="J16009" s="8"/>
    </row>
    <row r="16010">
      <c r="C16010" s="15"/>
      <c r="E16010" s="8"/>
      <c r="G16010" s="8"/>
      <c r="J16010" s="8"/>
    </row>
    <row r="16011">
      <c r="C16011" s="15"/>
      <c r="E16011" s="8"/>
      <c r="G16011" s="8"/>
      <c r="J16011" s="8"/>
    </row>
    <row r="16012">
      <c r="C16012" s="15"/>
      <c r="E16012" s="8"/>
      <c r="G16012" s="8"/>
      <c r="J16012" s="8"/>
    </row>
    <row r="16013">
      <c r="C16013" s="15"/>
      <c r="E16013" s="8"/>
      <c r="G16013" s="8"/>
      <c r="J16013" s="8"/>
    </row>
    <row r="16014">
      <c r="C16014" s="15"/>
      <c r="E16014" s="8"/>
      <c r="G16014" s="8"/>
      <c r="J16014" s="8"/>
    </row>
    <row r="16015">
      <c r="C16015" s="15"/>
      <c r="E16015" s="8"/>
      <c r="G16015" s="8"/>
      <c r="J16015" s="8"/>
    </row>
    <row r="16016">
      <c r="C16016" s="15"/>
      <c r="E16016" s="8"/>
      <c r="G16016" s="8"/>
      <c r="J16016" s="8"/>
    </row>
    <row r="16017">
      <c r="C16017" s="15"/>
      <c r="E16017" s="8"/>
      <c r="G16017" s="8"/>
      <c r="J16017" s="8"/>
    </row>
    <row r="16018">
      <c r="C16018" s="15"/>
      <c r="E16018" s="8"/>
      <c r="G16018" s="8"/>
      <c r="J16018" s="8"/>
    </row>
    <row r="16019">
      <c r="C16019" s="15"/>
      <c r="E16019" s="8"/>
      <c r="G16019" s="8"/>
      <c r="J16019" s="8"/>
    </row>
    <row r="16020">
      <c r="C16020" s="15"/>
      <c r="E16020" s="8"/>
      <c r="G16020" s="8"/>
      <c r="J16020" s="8"/>
    </row>
    <row r="16021">
      <c r="C16021" s="15"/>
      <c r="E16021" s="8"/>
      <c r="G16021" s="8"/>
      <c r="J16021" s="8"/>
    </row>
    <row r="16022">
      <c r="C16022" s="15"/>
      <c r="E16022" s="8"/>
      <c r="G16022" s="8"/>
      <c r="J16022" s="8"/>
    </row>
    <row r="16023">
      <c r="C16023" s="15"/>
      <c r="E16023" s="8"/>
      <c r="G16023" s="8"/>
      <c r="J16023" s="8"/>
    </row>
    <row r="16024">
      <c r="C16024" s="15"/>
      <c r="E16024" s="8"/>
      <c r="G16024" s="8"/>
      <c r="J16024" s="8"/>
    </row>
    <row r="16025">
      <c r="C16025" s="15"/>
      <c r="E16025" s="8"/>
      <c r="G16025" s="8"/>
      <c r="J16025" s="8"/>
    </row>
    <row r="16026">
      <c r="C16026" s="15"/>
      <c r="E16026" s="8"/>
      <c r="G16026" s="8"/>
      <c r="J16026" s="8"/>
    </row>
    <row r="16027">
      <c r="C16027" s="15"/>
      <c r="E16027" s="8"/>
      <c r="G16027" s="8"/>
      <c r="J16027" s="8"/>
    </row>
    <row r="16028">
      <c r="C16028" s="15"/>
      <c r="E16028" s="8"/>
      <c r="G16028" s="8"/>
      <c r="J16028" s="8"/>
    </row>
    <row r="16029">
      <c r="C16029" s="15"/>
      <c r="E16029" s="8"/>
      <c r="G16029" s="8"/>
      <c r="J16029" s="8"/>
    </row>
    <row r="16030">
      <c r="C16030" s="15"/>
      <c r="E16030" s="8"/>
      <c r="G16030" s="8"/>
      <c r="J16030" s="8"/>
    </row>
    <row r="16031">
      <c r="C16031" s="15"/>
      <c r="E16031" s="8"/>
      <c r="G16031" s="8"/>
      <c r="J16031" s="8"/>
    </row>
    <row r="16032">
      <c r="C16032" s="15"/>
      <c r="E16032" s="8"/>
      <c r="G16032" s="8"/>
      <c r="J16032" s="8"/>
    </row>
    <row r="16033">
      <c r="C16033" s="15"/>
      <c r="E16033" s="8"/>
      <c r="G16033" s="8"/>
      <c r="J16033" s="8"/>
    </row>
    <row r="16034">
      <c r="C16034" s="15"/>
      <c r="E16034" s="8"/>
      <c r="G16034" s="8"/>
      <c r="J16034" s="8"/>
    </row>
    <row r="16035">
      <c r="C16035" s="15"/>
      <c r="E16035" s="8"/>
      <c r="G16035" s="8"/>
      <c r="J16035" s="8"/>
    </row>
    <row r="16036">
      <c r="C16036" s="15"/>
      <c r="E16036" s="8"/>
      <c r="G16036" s="8"/>
      <c r="J16036" s="8"/>
    </row>
    <row r="16037">
      <c r="C16037" s="15"/>
      <c r="E16037" s="8"/>
      <c r="G16037" s="8"/>
      <c r="J16037" s="8"/>
    </row>
    <row r="16038">
      <c r="C16038" s="15"/>
      <c r="E16038" s="8"/>
      <c r="G16038" s="8"/>
      <c r="J16038" s="8"/>
    </row>
    <row r="16039">
      <c r="C16039" s="15"/>
      <c r="E16039" s="8"/>
      <c r="G16039" s="8"/>
      <c r="J16039" s="8"/>
    </row>
    <row r="16040">
      <c r="C16040" s="15"/>
      <c r="E16040" s="8"/>
      <c r="G16040" s="8"/>
      <c r="J16040" s="8"/>
    </row>
    <row r="16041">
      <c r="C16041" s="15"/>
      <c r="E16041" s="8"/>
      <c r="G16041" s="8"/>
      <c r="J16041" s="8"/>
    </row>
    <row r="16042">
      <c r="C16042" s="15"/>
      <c r="E16042" s="8"/>
      <c r="G16042" s="8"/>
      <c r="J16042" s="8"/>
    </row>
    <row r="16043">
      <c r="C16043" s="15"/>
      <c r="E16043" s="8"/>
      <c r="G16043" s="8"/>
      <c r="J16043" s="8"/>
    </row>
    <row r="16044">
      <c r="C16044" s="15"/>
      <c r="E16044" s="8"/>
      <c r="G16044" s="8"/>
      <c r="J16044" s="8"/>
    </row>
    <row r="16045">
      <c r="C16045" s="15"/>
      <c r="E16045" s="8"/>
      <c r="G16045" s="8"/>
      <c r="J16045" s="8"/>
    </row>
    <row r="16046">
      <c r="C16046" s="15"/>
      <c r="E16046" s="8"/>
      <c r="G16046" s="8"/>
      <c r="J16046" s="8"/>
    </row>
    <row r="16047">
      <c r="C16047" s="15"/>
      <c r="E16047" s="8"/>
      <c r="G16047" s="8"/>
      <c r="J16047" s="8"/>
    </row>
    <row r="16048">
      <c r="C16048" s="15"/>
      <c r="E16048" s="8"/>
      <c r="G16048" s="8"/>
      <c r="J16048" s="8"/>
    </row>
    <row r="16049">
      <c r="C16049" s="15"/>
      <c r="E16049" s="8"/>
      <c r="G16049" s="8"/>
      <c r="J16049" s="8"/>
    </row>
    <row r="16050">
      <c r="C16050" s="15"/>
      <c r="E16050" s="8"/>
      <c r="G16050" s="8"/>
      <c r="J16050" s="8"/>
    </row>
    <row r="16051">
      <c r="C16051" s="15"/>
      <c r="E16051" s="8"/>
      <c r="G16051" s="8"/>
      <c r="J16051" s="8"/>
    </row>
    <row r="16052">
      <c r="C16052" s="15"/>
      <c r="E16052" s="8"/>
      <c r="G16052" s="8"/>
      <c r="J16052" s="8"/>
    </row>
    <row r="16053">
      <c r="C16053" s="15"/>
      <c r="E16053" s="8"/>
      <c r="G16053" s="8"/>
      <c r="J16053" s="8"/>
    </row>
    <row r="16054">
      <c r="C16054" s="15"/>
      <c r="E16054" s="8"/>
      <c r="G16054" s="8"/>
      <c r="J16054" s="8"/>
    </row>
    <row r="16055">
      <c r="C16055" s="15"/>
      <c r="E16055" s="8"/>
      <c r="G16055" s="8"/>
      <c r="J16055" s="8"/>
    </row>
    <row r="16056">
      <c r="C16056" s="15"/>
      <c r="E16056" s="8"/>
      <c r="G16056" s="8"/>
      <c r="J16056" s="8"/>
    </row>
    <row r="16057">
      <c r="C16057" s="15"/>
      <c r="E16057" s="8"/>
      <c r="G16057" s="8"/>
      <c r="J16057" s="8"/>
    </row>
    <row r="16058">
      <c r="C16058" s="15"/>
      <c r="E16058" s="8"/>
      <c r="G16058" s="8"/>
      <c r="J16058" s="8"/>
    </row>
    <row r="16059">
      <c r="C16059" s="15"/>
      <c r="E16059" s="8"/>
      <c r="G16059" s="8"/>
      <c r="J16059" s="8"/>
    </row>
    <row r="16060">
      <c r="C16060" s="15"/>
      <c r="E16060" s="8"/>
      <c r="G16060" s="8"/>
      <c r="J16060" s="8"/>
    </row>
    <row r="16061">
      <c r="C16061" s="15"/>
      <c r="E16061" s="8"/>
      <c r="G16061" s="8"/>
      <c r="J16061" s="8"/>
    </row>
    <row r="16062">
      <c r="C16062" s="15"/>
      <c r="E16062" s="8"/>
      <c r="G16062" s="8"/>
      <c r="J16062" s="8"/>
    </row>
    <row r="16063">
      <c r="C16063" s="15"/>
      <c r="E16063" s="8"/>
      <c r="G16063" s="8"/>
      <c r="J16063" s="8"/>
    </row>
    <row r="16064">
      <c r="C16064" s="15"/>
      <c r="E16064" s="8"/>
      <c r="G16064" s="8"/>
      <c r="J16064" s="8"/>
    </row>
    <row r="16065">
      <c r="C16065" s="15"/>
      <c r="E16065" s="8"/>
      <c r="G16065" s="8"/>
      <c r="J16065" s="8"/>
    </row>
    <row r="16066">
      <c r="C16066" s="15"/>
      <c r="E16066" s="8"/>
      <c r="G16066" s="8"/>
      <c r="J16066" s="8"/>
    </row>
    <row r="16067">
      <c r="C16067" s="15"/>
      <c r="E16067" s="8"/>
      <c r="G16067" s="8"/>
      <c r="J16067" s="8"/>
    </row>
    <row r="16068">
      <c r="C16068" s="15"/>
      <c r="E16068" s="8"/>
      <c r="G16068" s="8"/>
      <c r="J16068" s="8"/>
    </row>
    <row r="16069">
      <c r="C16069" s="15"/>
      <c r="E16069" s="8"/>
      <c r="G16069" s="8"/>
      <c r="J16069" s="8"/>
    </row>
    <row r="16070">
      <c r="C16070" s="15"/>
      <c r="E16070" s="8"/>
      <c r="G16070" s="8"/>
      <c r="J16070" s="8"/>
    </row>
    <row r="16071">
      <c r="C16071" s="15"/>
      <c r="E16071" s="8"/>
      <c r="G16071" s="8"/>
      <c r="J16071" s="8"/>
    </row>
    <row r="16072">
      <c r="C16072" s="15"/>
      <c r="E16072" s="8"/>
      <c r="G16072" s="8"/>
      <c r="J16072" s="8"/>
    </row>
    <row r="16073">
      <c r="C16073" s="15"/>
      <c r="E16073" s="8"/>
      <c r="G16073" s="8"/>
      <c r="J16073" s="8"/>
    </row>
    <row r="16074">
      <c r="C16074" s="15"/>
      <c r="E16074" s="8"/>
      <c r="G16074" s="8"/>
      <c r="J16074" s="8"/>
    </row>
    <row r="16075">
      <c r="C16075" s="15"/>
      <c r="E16075" s="8"/>
      <c r="G16075" s="8"/>
      <c r="J16075" s="8"/>
    </row>
    <row r="16076">
      <c r="C16076" s="15"/>
      <c r="E16076" s="8"/>
      <c r="G16076" s="8"/>
      <c r="J16076" s="8"/>
    </row>
    <row r="16077">
      <c r="C16077" s="15"/>
      <c r="E16077" s="8"/>
      <c r="G16077" s="8"/>
      <c r="J16077" s="8"/>
    </row>
    <row r="16078">
      <c r="C16078" s="15"/>
      <c r="E16078" s="8"/>
      <c r="G16078" s="8"/>
      <c r="J16078" s="8"/>
    </row>
    <row r="16079">
      <c r="C16079" s="15"/>
      <c r="E16079" s="8"/>
      <c r="G16079" s="8"/>
      <c r="J16079" s="8"/>
    </row>
    <row r="16080">
      <c r="C16080" s="15"/>
      <c r="E16080" s="8"/>
      <c r="G16080" s="8"/>
      <c r="J16080" s="8"/>
    </row>
    <row r="16081">
      <c r="C16081" s="15"/>
      <c r="E16081" s="8"/>
      <c r="G16081" s="8"/>
      <c r="J16081" s="8"/>
    </row>
    <row r="16082">
      <c r="C16082" s="15"/>
      <c r="E16082" s="8"/>
      <c r="G16082" s="8"/>
      <c r="J16082" s="8"/>
    </row>
    <row r="16083">
      <c r="C16083" s="15"/>
      <c r="E16083" s="8"/>
      <c r="G16083" s="8"/>
      <c r="J16083" s="8"/>
    </row>
    <row r="16084">
      <c r="C16084" s="15"/>
      <c r="E16084" s="8"/>
      <c r="G16084" s="8"/>
      <c r="J16084" s="8"/>
    </row>
    <row r="16085">
      <c r="C16085" s="15"/>
      <c r="E16085" s="8"/>
      <c r="G16085" s="8"/>
      <c r="J16085" s="8"/>
    </row>
    <row r="16086">
      <c r="C16086" s="15"/>
      <c r="E16086" s="8"/>
      <c r="G16086" s="8"/>
      <c r="J16086" s="8"/>
    </row>
    <row r="16087">
      <c r="C16087" s="15"/>
      <c r="E16087" s="8"/>
      <c r="G16087" s="8"/>
      <c r="J16087" s="8"/>
    </row>
    <row r="16088">
      <c r="C16088" s="15"/>
      <c r="E16088" s="8"/>
      <c r="G16088" s="8"/>
      <c r="J16088" s="8"/>
    </row>
    <row r="16089">
      <c r="C16089" s="15"/>
      <c r="E16089" s="8"/>
      <c r="G16089" s="8"/>
      <c r="J16089" s="8"/>
    </row>
    <row r="16090">
      <c r="C16090" s="15"/>
      <c r="E16090" s="8"/>
      <c r="G16090" s="8"/>
      <c r="J16090" s="8"/>
    </row>
    <row r="16091">
      <c r="C16091" s="15"/>
      <c r="E16091" s="8"/>
      <c r="G16091" s="8"/>
      <c r="J16091" s="8"/>
    </row>
    <row r="16092">
      <c r="C16092" s="15"/>
      <c r="E16092" s="8"/>
      <c r="G16092" s="8"/>
      <c r="J16092" s="8"/>
    </row>
    <row r="16093">
      <c r="C16093" s="15"/>
      <c r="E16093" s="8"/>
      <c r="G16093" s="8"/>
      <c r="J16093" s="8"/>
    </row>
    <row r="16094">
      <c r="C16094" s="15"/>
      <c r="E16094" s="8"/>
      <c r="G16094" s="8"/>
      <c r="J16094" s="8"/>
    </row>
    <row r="16095">
      <c r="C16095" s="15"/>
      <c r="E16095" s="8"/>
      <c r="G16095" s="8"/>
      <c r="J16095" s="8"/>
    </row>
    <row r="16096">
      <c r="C16096" s="15"/>
      <c r="E16096" s="8"/>
      <c r="G16096" s="8"/>
      <c r="J16096" s="8"/>
    </row>
    <row r="16097">
      <c r="C16097" s="15"/>
      <c r="E16097" s="8"/>
      <c r="G16097" s="8"/>
      <c r="J16097" s="8"/>
    </row>
    <row r="16098">
      <c r="C16098" s="15"/>
      <c r="E16098" s="8"/>
      <c r="G16098" s="8"/>
      <c r="J16098" s="8"/>
    </row>
    <row r="16099">
      <c r="C16099" s="15"/>
      <c r="E16099" s="8"/>
      <c r="G16099" s="8"/>
      <c r="J16099" s="8"/>
    </row>
    <row r="16100">
      <c r="C16100" s="15"/>
      <c r="E16100" s="8"/>
      <c r="G16100" s="8"/>
      <c r="J16100" s="8"/>
    </row>
    <row r="16101">
      <c r="C16101" s="15"/>
      <c r="E16101" s="8"/>
      <c r="G16101" s="8"/>
      <c r="J16101" s="8"/>
    </row>
    <row r="16102">
      <c r="C16102" s="15"/>
      <c r="E16102" s="8"/>
      <c r="G16102" s="8"/>
      <c r="J16102" s="8"/>
    </row>
    <row r="16103">
      <c r="C16103" s="15"/>
      <c r="E16103" s="8"/>
      <c r="G16103" s="8"/>
      <c r="J16103" s="8"/>
    </row>
    <row r="16104">
      <c r="C16104" s="15"/>
      <c r="E16104" s="8"/>
      <c r="G16104" s="8"/>
      <c r="J16104" s="8"/>
    </row>
    <row r="16105">
      <c r="C16105" s="15"/>
      <c r="E16105" s="8"/>
      <c r="G16105" s="8"/>
      <c r="J16105" s="8"/>
    </row>
    <row r="16106">
      <c r="C16106" s="15"/>
      <c r="E16106" s="8"/>
      <c r="G16106" s="8"/>
      <c r="J16106" s="8"/>
    </row>
    <row r="16107">
      <c r="C16107" s="15"/>
      <c r="E16107" s="8"/>
      <c r="G16107" s="8"/>
      <c r="J16107" s="8"/>
    </row>
    <row r="16108">
      <c r="C16108" s="15"/>
      <c r="E16108" s="8"/>
      <c r="G16108" s="8"/>
      <c r="J16108" s="8"/>
    </row>
    <row r="16109">
      <c r="C16109" s="15"/>
      <c r="E16109" s="8"/>
      <c r="G16109" s="8"/>
      <c r="J16109" s="8"/>
    </row>
    <row r="16110">
      <c r="C16110" s="15"/>
      <c r="E16110" s="8"/>
      <c r="G16110" s="8"/>
      <c r="J16110" s="8"/>
    </row>
    <row r="16111">
      <c r="C16111" s="15"/>
      <c r="E16111" s="8"/>
      <c r="G16111" s="8"/>
      <c r="J16111" s="8"/>
    </row>
    <row r="16112">
      <c r="C16112" s="15"/>
      <c r="E16112" s="8"/>
      <c r="G16112" s="8"/>
      <c r="J16112" s="8"/>
    </row>
    <row r="16113">
      <c r="C16113" s="15"/>
      <c r="E16113" s="8"/>
      <c r="G16113" s="8"/>
      <c r="J16113" s="8"/>
    </row>
    <row r="16114">
      <c r="C16114" s="15"/>
      <c r="E16114" s="8"/>
      <c r="G16114" s="8"/>
      <c r="J16114" s="8"/>
    </row>
    <row r="16115">
      <c r="C16115" s="15"/>
      <c r="E16115" s="8"/>
      <c r="G16115" s="8"/>
      <c r="J16115" s="8"/>
    </row>
    <row r="16116">
      <c r="C16116" s="15"/>
      <c r="E16116" s="8"/>
      <c r="G16116" s="8"/>
      <c r="J16116" s="8"/>
    </row>
    <row r="16117">
      <c r="C16117" s="15"/>
      <c r="E16117" s="8"/>
      <c r="G16117" s="8"/>
      <c r="J16117" s="8"/>
    </row>
    <row r="16118">
      <c r="C16118" s="15"/>
      <c r="E16118" s="8"/>
      <c r="G16118" s="8"/>
      <c r="J16118" s="8"/>
    </row>
    <row r="16119">
      <c r="C16119" s="15"/>
      <c r="E16119" s="8"/>
      <c r="G16119" s="8"/>
      <c r="J16119" s="8"/>
    </row>
    <row r="16120">
      <c r="C16120" s="15"/>
      <c r="E16120" s="8"/>
      <c r="G16120" s="8"/>
      <c r="J16120" s="8"/>
    </row>
    <row r="16121">
      <c r="C16121" s="15"/>
      <c r="E16121" s="8"/>
      <c r="G16121" s="8"/>
      <c r="J16121" s="8"/>
    </row>
    <row r="16122">
      <c r="C16122" s="15"/>
      <c r="E16122" s="8"/>
      <c r="G16122" s="8"/>
      <c r="J16122" s="8"/>
    </row>
    <row r="16123">
      <c r="C16123" s="15"/>
      <c r="E16123" s="8"/>
      <c r="G16123" s="8"/>
      <c r="J16123" s="8"/>
    </row>
    <row r="16124">
      <c r="C16124" s="15"/>
      <c r="E16124" s="8"/>
      <c r="G16124" s="8"/>
      <c r="J16124" s="8"/>
    </row>
    <row r="16125">
      <c r="C16125" s="15"/>
      <c r="E16125" s="8"/>
      <c r="G16125" s="8"/>
      <c r="J16125" s="8"/>
    </row>
    <row r="16126">
      <c r="C16126" s="15"/>
      <c r="E16126" s="8"/>
      <c r="G16126" s="8"/>
      <c r="J16126" s="8"/>
    </row>
    <row r="16127">
      <c r="C16127" s="15"/>
      <c r="E16127" s="8"/>
      <c r="G16127" s="8"/>
      <c r="J16127" s="8"/>
    </row>
    <row r="16128">
      <c r="C16128" s="15"/>
      <c r="E16128" s="8"/>
      <c r="G16128" s="8"/>
      <c r="J16128" s="8"/>
    </row>
    <row r="16129">
      <c r="C16129" s="15"/>
      <c r="E16129" s="8"/>
      <c r="G16129" s="8"/>
      <c r="J16129" s="8"/>
    </row>
    <row r="16130">
      <c r="C16130" s="15"/>
      <c r="E16130" s="8"/>
      <c r="G16130" s="8"/>
      <c r="J16130" s="8"/>
    </row>
    <row r="16131">
      <c r="C16131" s="15"/>
      <c r="E16131" s="8"/>
      <c r="G16131" s="8"/>
      <c r="J16131" s="8"/>
    </row>
    <row r="16132">
      <c r="C16132" s="15"/>
      <c r="E16132" s="8"/>
      <c r="G16132" s="8"/>
      <c r="J16132" s="8"/>
    </row>
    <row r="16133">
      <c r="C16133" s="15"/>
      <c r="E16133" s="8"/>
      <c r="G16133" s="8"/>
      <c r="J16133" s="8"/>
    </row>
    <row r="16134">
      <c r="C16134" s="15"/>
      <c r="E16134" s="8"/>
      <c r="G16134" s="8"/>
      <c r="J16134" s="8"/>
    </row>
    <row r="16135">
      <c r="C16135" s="15"/>
      <c r="E16135" s="8"/>
      <c r="G16135" s="8"/>
      <c r="J16135" s="8"/>
    </row>
    <row r="16136">
      <c r="C16136" s="15"/>
      <c r="E16136" s="8"/>
      <c r="G16136" s="8"/>
      <c r="J16136" s="8"/>
    </row>
    <row r="16137">
      <c r="C16137" s="15"/>
      <c r="E16137" s="8"/>
      <c r="G16137" s="8"/>
      <c r="J16137" s="8"/>
    </row>
    <row r="16138">
      <c r="C16138" s="15"/>
      <c r="E16138" s="8"/>
      <c r="G16138" s="8"/>
      <c r="J16138" s="8"/>
    </row>
    <row r="16139">
      <c r="C16139" s="15"/>
      <c r="E16139" s="8"/>
      <c r="G16139" s="8"/>
      <c r="J16139" s="8"/>
    </row>
    <row r="16140">
      <c r="C16140" s="15"/>
      <c r="E16140" s="8"/>
      <c r="G16140" s="8"/>
      <c r="J16140" s="8"/>
    </row>
    <row r="16141">
      <c r="C16141" s="15"/>
      <c r="E16141" s="8"/>
      <c r="G16141" s="8"/>
      <c r="J16141" s="8"/>
    </row>
    <row r="16142">
      <c r="C16142" s="15"/>
      <c r="E16142" s="8"/>
      <c r="G16142" s="8"/>
      <c r="J16142" s="8"/>
    </row>
    <row r="16143">
      <c r="C16143" s="15"/>
      <c r="E16143" s="8"/>
      <c r="G16143" s="8"/>
      <c r="J16143" s="8"/>
    </row>
    <row r="16144">
      <c r="C16144" s="15"/>
      <c r="E16144" s="8"/>
      <c r="G16144" s="8"/>
      <c r="J16144" s="8"/>
    </row>
    <row r="16145">
      <c r="C16145" s="15"/>
      <c r="E16145" s="8"/>
      <c r="G16145" s="8"/>
      <c r="J16145" s="8"/>
    </row>
    <row r="16146">
      <c r="C16146" s="15"/>
      <c r="E16146" s="8"/>
      <c r="G16146" s="8"/>
      <c r="J16146" s="8"/>
    </row>
    <row r="16147">
      <c r="C16147" s="15"/>
      <c r="E16147" s="8"/>
      <c r="G16147" s="8"/>
      <c r="J16147" s="8"/>
    </row>
    <row r="16148">
      <c r="C16148" s="15"/>
      <c r="E16148" s="8"/>
      <c r="G16148" s="8"/>
      <c r="J16148" s="8"/>
    </row>
    <row r="16149">
      <c r="C16149" s="15"/>
      <c r="E16149" s="8"/>
      <c r="G16149" s="8"/>
      <c r="J16149" s="8"/>
    </row>
    <row r="16150">
      <c r="C16150" s="15"/>
      <c r="E16150" s="8"/>
      <c r="G16150" s="8"/>
      <c r="J16150" s="8"/>
    </row>
    <row r="16151">
      <c r="C16151" s="15"/>
      <c r="E16151" s="8"/>
      <c r="G16151" s="8"/>
      <c r="J16151" s="8"/>
    </row>
    <row r="16152">
      <c r="C16152" s="15"/>
      <c r="E16152" s="8"/>
      <c r="G16152" s="8"/>
      <c r="J16152" s="8"/>
    </row>
    <row r="16153">
      <c r="C16153" s="15"/>
      <c r="E16153" s="8"/>
      <c r="G16153" s="8"/>
      <c r="J16153" s="8"/>
    </row>
    <row r="16154">
      <c r="C16154" s="15"/>
      <c r="E16154" s="8"/>
      <c r="G16154" s="8"/>
      <c r="J16154" s="8"/>
    </row>
    <row r="16155">
      <c r="C16155" s="15"/>
      <c r="E16155" s="8"/>
      <c r="G16155" s="8"/>
      <c r="J16155" s="8"/>
    </row>
    <row r="16156">
      <c r="C16156" s="15"/>
      <c r="E16156" s="8"/>
      <c r="G16156" s="8"/>
      <c r="J16156" s="8"/>
    </row>
    <row r="16157">
      <c r="C16157" s="15"/>
      <c r="E16157" s="8"/>
      <c r="G16157" s="8"/>
      <c r="J16157" s="8"/>
    </row>
    <row r="16158">
      <c r="C16158" s="15"/>
      <c r="E16158" s="8"/>
      <c r="G16158" s="8"/>
      <c r="J16158" s="8"/>
    </row>
    <row r="16159">
      <c r="C16159" s="15"/>
      <c r="E16159" s="8"/>
      <c r="G16159" s="8"/>
      <c r="J16159" s="8"/>
    </row>
    <row r="16160">
      <c r="C16160" s="15"/>
      <c r="E16160" s="8"/>
      <c r="G16160" s="8"/>
      <c r="J16160" s="8"/>
    </row>
    <row r="16161">
      <c r="C16161" s="15"/>
      <c r="E16161" s="8"/>
      <c r="G16161" s="8"/>
      <c r="J16161" s="8"/>
    </row>
    <row r="16162">
      <c r="C16162" s="15"/>
      <c r="E16162" s="8"/>
      <c r="G16162" s="8"/>
      <c r="J16162" s="8"/>
    </row>
    <row r="16163">
      <c r="C16163" s="15"/>
      <c r="E16163" s="8"/>
      <c r="G16163" s="8"/>
      <c r="J16163" s="8"/>
    </row>
    <row r="16164">
      <c r="C16164" s="15"/>
      <c r="E16164" s="8"/>
      <c r="G16164" s="8"/>
      <c r="J16164" s="8"/>
    </row>
    <row r="16165">
      <c r="C16165" s="15"/>
      <c r="E16165" s="8"/>
      <c r="G16165" s="8"/>
      <c r="J16165" s="8"/>
    </row>
    <row r="16166">
      <c r="C16166" s="15"/>
      <c r="E16166" s="8"/>
      <c r="G16166" s="8"/>
      <c r="J16166" s="8"/>
    </row>
    <row r="16167">
      <c r="C16167" s="15"/>
      <c r="E16167" s="8"/>
      <c r="G16167" s="8"/>
      <c r="J16167" s="8"/>
    </row>
    <row r="16168">
      <c r="C16168" s="15"/>
      <c r="E16168" s="8"/>
      <c r="G16168" s="8"/>
      <c r="J16168" s="8"/>
    </row>
    <row r="16169">
      <c r="C16169" s="15"/>
      <c r="E16169" s="8"/>
      <c r="G16169" s="8"/>
      <c r="J16169" s="8"/>
    </row>
    <row r="16170">
      <c r="C16170" s="15"/>
      <c r="E16170" s="8"/>
      <c r="G16170" s="8"/>
      <c r="J16170" s="8"/>
    </row>
    <row r="16171">
      <c r="C16171" s="15"/>
      <c r="E16171" s="8"/>
      <c r="G16171" s="8"/>
      <c r="J16171" s="8"/>
    </row>
    <row r="16172">
      <c r="C16172" s="15"/>
      <c r="E16172" s="8"/>
      <c r="G16172" s="8"/>
      <c r="J16172" s="8"/>
    </row>
    <row r="16173">
      <c r="C16173" s="15"/>
      <c r="E16173" s="8"/>
      <c r="G16173" s="8"/>
      <c r="J16173" s="8"/>
    </row>
    <row r="16174">
      <c r="C16174" s="15"/>
      <c r="E16174" s="8"/>
      <c r="G16174" s="8"/>
      <c r="J16174" s="8"/>
    </row>
    <row r="16175">
      <c r="C16175" s="15"/>
      <c r="E16175" s="8"/>
      <c r="G16175" s="8"/>
      <c r="J16175" s="8"/>
    </row>
    <row r="16176">
      <c r="C16176" s="15"/>
      <c r="E16176" s="8"/>
      <c r="G16176" s="8"/>
      <c r="J16176" s="8"/>
    </row>
    <row r="16177">
      <c r="C16177" s="15"/>
      <c r="E16177" s="8"/>
      <c r="G16177" s="8"/>
      <c r="J16177" s="8"/>
    </row>
    <row r="16178">
      <c r="C16178" s="15"/>
      <c r="E16178" s="8"/>
      <c r="G16178" s="8"/>
      <c r="J16178" s="8"/>
    </row>
    <row r="16179">
      <c r="C16179" s="15"/>
      <c r="E16179" s="8"/>
      <c r="G16179" s="8"/>
      <c r="J16179" s="8"/>
    </row>
    <row r="16180">
      <c r="C16180" s="15"/>
      <c r="E16180" s="8"/>
      <c r="G16180" s="8"/>
      <c r="J16180" s="8"/>
    </row>
    <row r="16181">
      <c r="C16181" s="15"/>
      <c r="E16181" s="8"/>
      <c r="G16181" s="8"/>
      <c r="J16181" s="8"/>
    </row>
    <row r="16182">
      <c r="C16182" s="15"/>
      <c r="E16182" s="8"/>
      <c r="G16182" s="8"/>
      <c r="J16182" s="8"/>
    </row>
    <row r="16183">
      <c r="C16183" s="15"/>
      <c r="E16183" s="8"/>
      <c r="G16183" s="8"/>
      <c r="J16183" s="8"/>
    </row>
    <row r="16184">
      <c r="C16184" s="15"/>
      <c r="E16184" s="8"/>
      <c r="G16184" s="8"/>
      <c r="J16184" s="8"/>
    </row>
    <row r="16185">
      <c r="C16185" s="15"/>
      <c r="E16185" s="8"/>
      <c r="G16185" s="8"/>
      <c r="J16185" s="8"/>
    </row>
    <row r="16186">
      <c r="C16186" s="15"/>
      <c r="E16186" s="8"/>
      <c r="G16186" s="8"/>
      <c r="J16186" s="8"/>
    </row>
    <row r="16187">
      <c r="C16187" s="15"/>
      <c r="E16187" s="8"/>
      <c r="G16187" s="8"/>
      <c r="J16187" s="8"/>
    </row>
    <row r="16188">
      <c r="C16188" s="15"/>
      <c r="E16188" s="8"/>
      <c r="G16188" s="8"/>
      <c r="J16188" s="8"/>
    </row>
    <row r="16189">
      <c r="C16189" s="15"/>
      <c r="E16189" s="8"/>
      <c r="G16189" s="8"/>
      <c r="J16189" s="8"/>
    </row>
    <row r="16190">
      <c r="C16190" s="15"/>
      <c r="E16190" s="8"/>
      <c r="G16190" s="8"/>
      <c r="J16190" s="8"/>
    </row>
    <row r="16191">
      <c r="C16191" s="15"/>
      <c r="E16191" s="8"/>
      <c r="G16191" s="8"/>
      <c r="J16191" s="8"/>
    </row>
    <row r="16192">
      <c r="C16192" s="15"/>
      <c r="E16192" s="8"/>
      <c r="G16192" s="8"/>
      <c r="J16192" s="8"/>
    </row>
    <row r="16193">
      <c r="C16193" s="15"/>
      <c r="E16193" s="8"/>
      <c r="G16193" s="8"/>
      <c r="J16193" s="8"/>
    </row>
    <row r="16194">
      <c r="C16194" s="15"/>
      <c r="E16194" s="8"/>
      <c r="G16194" s="8"/>
      <c r="J16194" s="8"/>
    </row>
    <row r="16195">
      <c r="C16195" s="15"/>
      <c r="E16195" s="8"/>
      <c r="G16195" s="8"/>
      <c r="J16195" s="8"/>
    </row>
    <row r="16196">
      <c r="C16196" s="15"/>
      <c r="E16196" s="8"/>
      <c r="G16196" s="8"/>
      <c r="J16196" s="8"/>
    </row>
    <row r="16197">
      <c r="C16197" s="15"/>
      <c r="E16197" s="8"/>
      <c r="G16197" s="8"/>
      <c r="J16197" s="8"/>
    </row>
    <row r="16198">
      <c r="C16198" s="15"/>
      <c r="E16198" s="8"/>
      <c r="G16198" s="8"/>
      <c r="J16198" s="8"/>
    </row>
    <row r="16199">
      <c r="C16199" s="15"/>
      <c r="E16199" s="8"/>
      <c r="G16199" s="8"/>
      <c r="J16199" s="8"/>
    </row>
    <row r="16200">
      <c r="C16200" s="15"/>
      <c r="E16200" s="8"/>
      <c r="G16200" s="8"/>
      <c r="J16200" s="8"/>
    </row>
    <row r="16201">
      <c r="C16201" s="15"/>
      <c r="E16201" s="8"/>
      <c r="G16201" s="8"/>
      <c r="J16201" s="8"/>
    </row>
    <row r="16202">
      <c r="C16202" s="15"/>
      <c r="E16202" s="8"/>
      <c r="G16202" s="8"/>
      <c r="J16202" s="8"/>
    </row>
    <row r="16203">
      <c r="C16203" s="15"/>
      <c r="E16203" s="8"/>
      <c r="G16203" s="8"/>
      <c r="J16203" s="8"/>
    </row>
    <row r="16204">
      <c r="C16204" s="15"/>
      <c r="E16204" s="8"/>
      <c r="G16204" s="8"/>
      <c r="J16204" s="8"/>
    </row>
    <row r="16205">
      <c r="C16205" s="15"/>
      <c r="E16205" s="8"/>
      <c r="G16205" s="8"/>
      <c r="J16205" s="8"/>
    </row>
    <row r="16206">
      <c r="C16206" s="15"/>
      <c r="E16206" s="8"/>
      <c r="G16206" s="8"/>
      <c r="J16206" s="8"/>
    </row>
    <row r="16207">
      <c r="C16207" s="15"/>
      <c r="E16207" s="8"/>
      <c r="G16207" s="8"/>
      <c r="J16207" s="8"/>
    </row>
    <row r="16208">
      <c r="C16208" s="15"/>
      <c r="E16208" s="8"/>
      <c r="G16208" s="8"/>
      <c r="J16208" s="8"/>
    </row>
    <row r="16209">
      <c r="C16209" s="15"/>
      <c r="E16209" s="8"/>
      <c r="G16209" s="8"/>
      <c r="J16209" s="8"/>
    </row>
    <row r="16210">
      <c r="C16210" s="15"/>
      <c r="E16210" s="8"/>
      <c r="G16210" s="8"/>
      <c r="J16210" s="8"/>
    </row>
    <row r="16211">
      <c r="C16211" s="15"/>
      <c r="E16211" s="8"/>
      <c r="G16211" s="8"/>
      <c r="J16211" s="8"/>
    </row>
    <row r="16212">
      <c r="C16212" s="15"/>
      <c r="E16212" s="8"/>
      <c r="G16212" s="8"/>
      <c r="J16212" s="8"/>
    </row>
    <row r="16213">
      <c r="C16213" s="15"/>
      <c r="E16213" s="8"/>
      <c r="G16213" s="8"/>
      <c r="J16213" s="8"/>
    </row>
    <row r="16214">
      <c r="C16214" s="15"/>
      <c r="E16214" s="8"/>
      <c r="G16214" s="8"/>
      <c r="J16214" s="8"/>
    </row>
    <row r="16215">
      <c r="C16215" s="15"/>
      <c r="E16215" s="8"/>
      <c r="G16215" s="8"/>
      <c r="J16215" s="8"/>
    </row>
    <row r="16216">
      <c r="C16216" s="15"/>
      <c r="E16216" s="8"/>
      <c r="G16216" s="8"/>
      <c r="J16216" s="8"/>
    </row>
    <row r="16217">
      <c r="C16217" s="15"/>
      <c r="E16217" s="8"/>
      <c r="G16217" s="8"/>
      <c r="J16217" s="8"/>
    </row>
    <row r="16218">
      <c r="C16218" s="15"/>
      <c r="E16218" s="8"/>
      <c r="G16218" s="8"/>
      <c r="J16218" s="8"/>
    </row>
    <row r="16219">
      <c r="C16219" s="15"/>
      <c r="E16219" s="8"/>
      <c r="G16219" s="8"/>
      <c r="J16219" s="8"/>
    </row>
    <row r="16220">
      <c r="C16220" s="15"/>
      <c r="E16220" s="8"/>
      <c r="G16220" s="8"/>
      <c r="J16220" s="8"/>
    </row>
    <row r="16221">
      <c r="C16221" s="15"/>
      <c r="E16221" s="8"/>
      <c r="G16221" s="8"/>
      <c r="J16221" s="8"/>
    </row>
    <row r="16222">
      <c r="C16222" s="15"/>
      <c r="E16222" s="8"/>
      <c r="G16222" s="8"/>
      <c r="J16222" s="8"/>
    </row>
    <row r="16223">
      <c r="C16223" s="15"/>
      <c r="E16223" s="8"/>
      <c r="G16223" s="8"/>
      <c r="J16223" s="8"/>
    </row>
    <row r="16224">
      <c r="C16224" s="15"/>
      <c r="E16224" s="8"/>
      <c r="G16224" s="8"/>
      <c r="J16224" s="8"/>
    </row>
    <row r="16225">
      <c r="C16225" s="15"/>
      <c r="E16225" s="8"/>
      <c r="G16225" s="8"/>
      <c r="J16225" s="8"/>
    </row>
    <row r="16226">
      <c r="C16226" s="15"/>
      <c r="E16226" s="8"/>
      <c r="G16226" s="8"/>
      <c r="J16226" s="8"/>
    </row>
    <row r="16227">
      <c r="C16227" s="15"/>
      <c r="E16227" s="8"/>
      <c r="G16227" s="8"/>
      <c r="J16227" s="8"/>
    </row>
    <row r="16228">
      <c r="C16228" s="15"/>
      <c r="E16228" s="8"/>
      <c r="G16228" s="8"/>
      <c r="J16228" s="8"/>
    </row>
    <row r="16229">
      <c r="C16229" s="15"/>
      <c r="E16229" s="8"/>
      <c r="G16229" s="8"/>
      <c r="J16229" s="8"/>
    </row>
    <row r="16230">
      <c r="C16230" s="15"/>
      <c r="E16230" s="8"/>
      <c r="G16230" s="8"/>
      <c r="J16230" s="8"/>
    </row>
    <row r="16231">
      <c r="C16231" s="15"/>
      <c r="E16231" s="8"/>
      <c r="G16231" s="8"/>
      <c r="J16231" s="8"/>
    </row>
    <row r="16232">
      <c r="C16232" s="15"/>
      <c r="E16232" s="8"/>
      <c r="G16232" s="8"/>
      <c r="J16232" s="8"/>
    </row>
    <row r="16233">
      <c r="C16233" s="15"/>
      <c r="E16233" s="8"/>
      <c r="G16233" s="8"/>
      <c r="J16233" s="8"/>
    </row>
    <row r="16234">
      <c r="C16234" s="15"/>
      <c r="E16234" s="8"/>
      <c r="G16234" s="8"/>
      <c r="J16234" s="8"/>
    </row>
    <row r="16235">
      <c r="C16235" s="15"/>
      <c r="E16235" s="8"/>
      <c r="G16235" s="8"/>
      <c r="J16235" s="8"/>
    </row>
    <row r="16236">
      <c r="C16236" s="15"/>
      <c r="E16236" s="8"/>
      <c r="G16236" s="8"/>
      <c r="J16236" s="8"/>
    </row>
    <row r="16237">
      <c r="C16237" s="15"/>
      <c r="E16237" s="8"/>
      <c r="G16237" s="8"/>
      <c r="J16237" s="8"/>
    </row>
    <row r="16238">
      <c r="C16238" s="15"/>
      <c r="E16238" s="8"/>
      <c r="G16238" s="8"/>
      <c r="J16238" s="8"/>
    </row>
    <row r="16239">
      <c r="C16239" s="15"/>
      <c r="E16239" s="8"/>
      <c r="G16239" s="8"/>
      <c r="J16239" s="8"/>
    </row>
    <row r="16240">
      <c r="C16240" s="15"/>
      <c r="E16240" s="8"/>
      <c r="G16240" s="8"/>
      <c r="J16240" s="8"/>
    </row>
    <row r="16241">
      <c r="C16241" s="15"/>
      <c r="E16241" s="8"/>
      <c r="G16241" s="8"/>
      <c r="J16241" s="8"/>
    </row>
    <row r="16242">
      <c r="C16242" s="15"/>
      <c r="E16242" s="8"/>
      <c r="G16242" s="8"/>
      <c r="J16242" s="8"/>
    </row>
    <row r="16243">
      <c r="C16243" s="15"/>
      <c r="E16243" s="8"/>
      <c r="G16243" s="8"/>
      <c r="J16243" s="8"/>
    </row>
    <row r="16244">
      <c r="C16244" s="15"/>
      <c r="E16244" s="8"/>
      <c r="G16244" s="8"/>
      <c r="J16244" s="8"/>
    </row>
    <row r="16245">
      <c r="C16245" s="15"/>
      <c r="E16245" s="8"/>
      <c r="G16245" s="8"/>
      <c r="J16245" s="8"/>
    </row>
    <row r="16246">
      <c r="C16246" s="15"/>
      <c r="E16246" s="8"/>
      <c r="G16246" s="8"/>
      <c r="J16246" s="8"/>
    </row>
    <row r="16247">
      <c r="C16247" s="15"/>
      <c r="E16247" s="8"/>
      <c r="G16247" s="8"/>
      <c r="J16247" s="8"/>
    </row>
    <row r="16248">
      <c r="C16248" s="15"/>
      <c r="E16248" s="8"/>
      <c r="G16248" s="8"/>
      <c r="J16248" s="8"/>
    </row>
    <row r="16249">
      <c r="C16249" s="15"/>
      <c r="E16249" s="8"/>
      <c r="G16249" s="8"/>
      <c r="J16249" s="8"/>
    </row>
    <row r="16250">
      <c r="C16250" s="15"/>
      <c r="E16250" s="8"/>
      <c r="G16250" s="8"/>
      <c r="J16250" s="8"/>
    </row>
    <row r="16251">
      <c r="C16251" s="15"/>
      <c r="E16251" s="8"/>
      <c r="G16251" s="8"/>
      <c r="J16251" s="8"/>
    </row>
    <row r="16252">
      <c r="C16252" s="15"/>
      <c r="E16252" s="8"/>
      <c r="G16252" s="8"/>
      <c r="J16252" s="8"/>
    </row>
    <row r="16253">
      <c r="C16253" s="15"/>
      <c r="E16253" s="8"/>
      <c r="G16253" s="8"/>
      <c r="J16253" s="8"/>
    </row>
    <row r="16254">
      <c r="C16254" s="15"/>
      <c r="E16254" s="8"/>
      <c r="G16254" s="8"/>
      <c r="J16254" s="8"/>
    </row>
    <row r="16255">
      <c r="C16255" s="15"/>
      <c r="E16255" s="8"/>
      <c r="G16255" s="8"/>
      <c r="J16255" s="8"/>
    </row>
    <row r="16256">
      <c r="C16256" s="15"/>
      <c r="E16256" s="8"/>
      <c r="G16256" s="8"/>
      <c r="J16256" s="8"/>
    </row>
    <row r="16257">
      <c r="C16257" s="15"/>
      <c r="E16257" s="8"/>
      <c r="G16257" s="8"/>
      <c r="J16257" s="8"/>
    </row>
    <row r="16258">
      <c r="C16258" s="15"/>
      <c r="E16258" s="8"/>
      <c r="G16258" s="8"/>
      <c r="J16258" s="8"/>
    </row>
    <row r="16259">
      <c r="C16259" s="15"/>
      <c r="E16259" s="8"/>
      <c r="G16259" s="8"/>
      <c r="J16259" s="8"/>
    </row>
    <row r="16260">
      <c r="C16260" s="15"/>
      <c r="E16260" s="8"/>
      <c r="G16260" s="8"/>
      <c r="J16260" s="8"/>
    </row>
    <row r="16261">
      <c r="C16261" s="15"/>
      <c r="E16261" s="8"/>
      <c r="G16261" s="8"/>
      <c r="J16261" s="8"/>
    </row>
    <row r="16262">
      <c r="C16262" s="15"/>
      <c r="E16262" s="8"/>
      <c r="G16262" s="8"/>
      <c r="J16262" s="8"/>
    </row>
    <row r="16263">
      <c r="C16263" s="15"/>
      <c r="E16263" s="8"/>
      <c r="G16263" s="8"/>
      <c r="J16263" s="8"/>
    </row>
    <row r="16264">
      <c r="C16264" s="15"/>
      <c r="E16264" s="8"/>
      <c r="G16264" s="8"/>
      <c r="J16264" s="8"/>
    </row>
    <row r="16265">
      <c r="C16265" s="15"/>
      <c r="E16265" s="8"/>
      <c r="G16265" s="8"/>
      <c r="J16265" s="8"/>
    </row>
    <row r="16266">
      <c r="C16266" s="15"/>
      <c r="E16266" s="8"/>
      <c r="G16266" s="8"/>
      <c r="J16266" s="8"/>
    </row>
    <row r="16267">
      <c r="C16267" s="15"/>
      <c r="E16267" s="8"/>
      <c r="G16267" s="8"/>
      <c r="J16267" s="8"/>
    </row>
    <row r="16268">
      <c r="C16268" s="15"/>
      <c r="E16268" s="8"/>
      <c r="G16268" s="8"/>
      <c r="J16268" s="8"/>
    </row>
    <row r="16269">
      <c r="C16269" s="15"/>
      <c r="E16269" s="8"/>
      <c r="G16269" s="8"/>
      <c r="J16269" s="8"/>
    </row>
    <row r="16270">
      <c r="C16270" s="15"/>
      <c r="E16270" s="8"/>
      <c r="G16270" s="8"/>
      <c r="J16270" s="8"/>
    </row>
    <row r="16271">
      <c r="C16271" s="15"/>
      <c r="E16271" s="8"/>
      <c r="G16271" s="8"/>
      <c r="J16271" s="8"/>
    </row>
    <row r="16272">
      <c r="C16272" s="15"/>
      <c r="E16272" s="8"/>
      <c r="G16272" s="8"/>
      <c r="J16272" s="8"/>
    </row>
    <row r="16273">
      <c r="C16273" s="15"/>
      <c r="E16273" s="8"/>
      <c r="G16273" s="8"/>
      <c r="J16273" s="8"/>
    </row>
    <row r="16274">
      <c r="C16274" s="15"/>
      <c r="E16274" s="8"/>
      <c r="G16274" s="8"/>
      <c r="J16274" s="8"/>
    </row>
    <row r="16275">
      <c r="C16275" s="15"/>
      <c r="E16275" s="8"/>
      <c r="G16275" s="8"/>
      <c r="J16275" s="8"/>
    </row>
    <row r="16276">
      <c r="C16276" s="15"/>
      <c r="E16276" s="8"/>
      <c r="G16276" s="8"/>
      <c r="J16276" s="8"/>
    </row>
    <row r="16277">
      <c r="C16277" s="15"/>
      <c r="E16277" s="8"/>
      <c r="G16277" s="8"/>
      <c r="J16277" s="8"/>
    </row>
    <row r="16278">
      <c r="C16278" s="15"/>
      <c r="E16278" s="8"/>
      <c r="G16278" s="8"/>
      <c r="J16278" s="8"/>
    </row>
    <row r="16279">
      <c r="C16279" s="15"/>
      <c r="E16279" s="8"/>
      <c r="G16279" s="8"/>
      <c r="J16279" s="8"/>
    </row>
    <row r="16280">
      <c r="C16280" s="15"/>
      <c r="E16280" s="8"/>
      <c r="G16280" s="8"/>
      <c r="J16280" s="8"/>
    </row>
    <row r="16281">
      <c r="C16281" s="15"/>
      <c r="E16281" s="8"/>
      <c r="G16281" s="8"/>
      <c r="J16281" s="8"/>
    </row>
    <row r="16282">
      <c r="C16282" s="15"/>
      <c r="E16282" s="8"/>
      <c r="G16282" s="8"/>
      <c r="J16282" s="8"/>
    </row>
    <row r="16283">
      <c r="C16283" s="15"/>
      <c r="E16283" s="8"/>
      <c r="G16283" s="8"/>
      <c r="J16283" s="8"/>
    </row>
    <row r="16284">
      <c r="C16284" s="15"/>
      <c r="E16284" s="8"/>
      <c r="G16284" s="8"/>
      <c r="J16284" s="8"/>
    </row>
    <row r="16285">
      <c r="C16285" s="15"/>
      <c r="E16285" s="8"/>
      <c r="G16285" s="8"/>
      <c r="J16285" s="8"/>
    </row>
    <row r="16286">
      <c r="C16286" s="15"/>
      <c r="E16286" s="8"/>
      <c r="G16286" s="8"/>
      <c r="J16286" s="8"/>
    </row>
    <row r="16287">
      <c r="C16287" s="15"/>
      <c r="E16287" s="8"/>
      <c r="G16287" s="8"/>
      <c r="J16287" s="8"/>
    </row>
    <row r="16288">
      <c r="C16288" s="15"/>
      <c r="E16288" s="8"/>
      <c r="G16288" s="8"/>
      <c r="J16288" s="8"/>
    </row>
    <row r="16289">
      <c r="C16289" s="15"/>
      <c r="E16289" s="8"/>
      <c r="G16289" s="8"/>
      <c r="J16289" s="8"/>
    </row>
    <row r="16290">
      <c r="C16290" s="15"/>
      <c r="E16290" s="8"/>
      <c r="G16290" s="8"/>
      <c r="J16290" s="8"/>
    </row>
    <row r="16291">
      <c r="C16291" s="15"/>
      <c r="E16291" s="8"/>
      <c r="G16291" s="8"/>
      <c r="J16291" s="8"/>
    </row>
    <row r="16292">
      <c r="C16292" s="15"/>
      <c r="E16292" s="8"/>
      <c r="G16292" s="8"/>
      <c r="J16292" s="8"/>
    </row>
    <row r="16293">
      <c r="C16293" s="15"/>
      <c r="E16293" s="8"/>
      <c r="G16293" s="8"/>
      <c r="J16293" s="8"/>
    </row>
    <row r="16294">
      <c r="C16294" s="15"/>
      <c r="E16294" s="8"/>
      <c r="G16294" s="8"/>
      <c r="J16294" s="8"/>
    </row>
    <row r="16295">
      <c r="C16295" s="15"/>
      <c r="E16295" s="8"/>
      <c r="G16295" s="8"/>
      <c r="J16295" s="8"/>
    </row>
    <row r="16296">
      <c r="C16296" s="15"/>
      <c r="E16296" s="8"/>
      <c r="G16296" s="8"/>
      <c r="J16296" s="8"/>
    </row>
    <row r="16297">
      <c r="C16297" s="15"/>
      <c r="E16297" s="8"/>
      <c r="G16297" s="8"/>
      <c r="J16297" s="8"/>
    </row>
    <row r="16298">
      <c r="C16298" s="15"/>
      <c r="E16298" s="8"/>
      <c r="G16298" s="8"/>
      <c r="J16298" s="8"/>
    </row>
    <row r="16299">
      <c r="C16299" s="15"/>
      <c r="E16299" s="8"/>
      <c r="G16299" s="8"/>
      <c r="J16299" s="8"/>
    </row>
    <row r="16300">
      <c r="C16300" s="15"/>
      <c r="E16300" s="8"/>
      <c r="G16300" s="8"/>
      <c r="J16300" s="8"/>
    </row>
    <row r="16301">
      <c r="C16301" s="15"/>
      <c r="E16301" s="8"/>
      <c r="G16301" s="8"/>
      <c r="J16301" s="8"/>
    </row>
    <row r="16302">
      <c r="C16302" s="15"/>
      <c r="E16302" s="8"/>
      <c r="G16302" s="8"/>
      <c r="J16302" s="8"/>
    </row>
    <row r="16303">
      <c r="C16303" s="15"/>
      <c r="E16303" s="8"/>
      <c r="G16303" s="8"/>
      <c r="J16303" s="8"/>
    </row>
    <row r="16304">
      <c r="C16304" s="15"/>
      <c r="E16304" s="8"/>
      <c r="G16304" s="8"/>
      <c r="J16304" s="8"/>
    </row>
    <row r="16305">
      <c r="C16305" s="15"/>
      <c r="E16305" s="8"/>
      <c r="G16305" s="8"/>
      <c r="J16305" s="8"/>
    </row>
    <row r="16306">
      <c r="C16306" s="15"/>
      <c r="E16306" s="8"/>
      <c r="G16306" s="8"/>
      <c r="J16306" s="8"/>
    </row>
    <row r="16307">
      <c r="C16307" s="15"/>
      <c r="E16307" s="8"/>
      <c r="G16307" s="8"/>
      <c r="J16307" s="8"/>
    </row>
    <row r="16308">
      <c r="C16308" s="15"/>
      <c r="E16308" s="8"/>
      <c r="G16308" s="8"/>
      <c r="J16308" s="8"/>
    </row>
    <row r="16309">
      <c r="C16309" s="15"/>
      <c r="E16309" s="8"/>
      <c r="G16309" s="8"/>
      <c r="J16309" s="8"/>
    </row>
    <row r="16310">
      <c r="C16310" s="15"/>
      <c r="E16310" s="8"/>
      <c r="G16310" s="8"/>
      <c r="J16310" s="8"/>
    </row>
    <row r="16311">
      <c r="C16311" s="15"/>
      <c r="E16311" s="8"/>
      <c r="G16311" s="8"/>
      <c r="J16311" s="8"/>
    </row>
    <row r="16312">
      <c r="C16312" s="15"/>
      <c r="E16312" s="8"/>
      <c r="G16312" s="8"/>
      <c r="J16312" s="8"/>
    </row>
    <row r="16313">
      <c r="C16313" s="15"/>
      <c r="E16313" s="8"/>
      <c r="G16313" s="8"/>
      <c r="J16313" s="8"/>
    </row>
    <row r="16314">
      <c r="C16314" s="15"/>
      <c r="E16314" s="8"/>
      <c r="G16314" s="8"/>
      <c r="J16314" s="8"/>
    </row>
    <row r="16315">
      <c r="C16315" s="15"/>
      <c r="E16315" s="8"/>
      <c r="G16315" s="8"/>
      <c r="J16315" s="8"/>
    </row>
    <row r="16316">
      <c r="C16316" s="15"/>
      <c r="E16316" s="8"/>
      <c r="G16316" s="8"/>
      <c r="J16316" s="8"/>
    </row>
    <row r="16317">
      <c r="C16317" s="15"/>
      <c r="E16317" s="8"/>
      <c r="G16317" s="8"/>
      <c r="J16317" s="8"/>
    </row>
    <row r="16318">
      <c r="C16318" s="15"/>
      <c r="E16318" s="8"/>
      <c r="G16318" s="8"/>
      <c r="J16318" s="8"/>
    </row>
    <row r="16319">
      <c r="C16319" s="15"/>
      <c r="E16319" s="8"/>
      <c r="G16319" s="8"/>
      <c r="J16319" s="8"/>
    </row>
    <row r="16320">
      <c r="C16320" s="15"/>
      <c r="E16320" s="8"/>
      <c r="G16320" s="8"/>
      <c r="J16320" s="8"/>
    </row>
    <row r="16321">
      <c r="C16321" s="15"/>
      <c r="E16321" s="8"/>
      <c r="G16321" s="8"/>
      <c r="J16321" s="8"/>
    </row>
    <row r="16322">
      <c r="C16322" s="15"/>
      <c r="E16322" s="8"/>
      <c r="G16322" s="8"/>
      <c r="J16322" s="8"/>
    </row>
    <row r="16323">
      <c r="C16323" s="15"/>
      <c r="E16323" s="8"/>
      <c r="G16323" s="8"/>
      <c r="J16323" s="8"/>
    </row>
    <row r="16324">
      <c r="C16324" s="15"/>
      <c r="E16324" s="8"/>
      <c r="G16324" s="8"/>
      <c r="J16324" s="8"/>
    </row>
    <row r="16325">
      <c r="C16325" s="15"/>
      <c r="E16325" s="8"/>
      <c r="G16325" s="8"/>
      <c r="J16325" s="8"/>
    </row>
    <row r="16326">
      <c r="C16326" s="15"/>
      <c r="E16326" s="8"/>
      <c r="G16326" s="8"/>
      <c r="J16326" s="8"/>
    </row>
    <row r="16327">
      <c r="C16327" s="15"/>
      <c r="E16327" s="8"/>
      <c r="G16327" s="8"/>
      <c r="J16327" s="8"/>
    </row>
    <row r="16328">
      <c r="C16328" s="15"/>
      <c r="E16328" s="8"/>
      <c r="G16328" s="8"/>
      <c r="J16328" s="8"/>
    </row>
    <row r="16329">
      <c r="C16329" s="15"/>
      <c r="E16329" s="8"/>
      <c r="G16329" s="8"/>
      <c r="J16329" s="8"/>
    </row>
    <row r="16330">
      <c r="C16330" s="15"/>
      <c r="E16330" s="8"/>
      <c r="G16330" s="8"/>
      <c r="J16330" s="8"/>
    </row>
    <row r="16331">
      <c r="C16331" s="15"/>
      <c r="E16331" s="8"/>
      <c r="G16331" s="8"/>
      <c r="J16331" s="8"/>
    </row>
    <row r="16332">
      <c r="C16332" s="15"/>
      <c r="E16332" s="8"/>
      <c r="G16332" s="8"/>
      <c r="J16332" s="8"/>
    </row>
    <row r="16333">
      <c r="C16333" s="15"/>
      <c r="E16333" s="8"/>
      <c r="G16333" s="8"/>
      <c r="J16333" s="8"/>
    </row>
    <row r="16334">
      <c r="C16334" s="15"/>
      <c r="E16334" s="8"/>
      <c r="G16334" s="8"/>
      <c r="J16334" s="8"/>
    </row>
    <row r="16335">
      <c r="C16335" s="15"/>
      <c r="E16335" s="8"/>
      <c r="G16335" s="8"/>
      <c r="J16335" s="8"/>
    </row>
    <row r="16336">
      <c r="C16336" s="15"/>
      <c r="E16336" s="8"/>
      <c r="G16336" s="8"/>
      <c r="J16336" s="8"/>
    </row>
    <row r="16337">
      <c r="C16337" s="15"/>
      <c r="E16337" s="8"/>
      <c r="G16337" s="8"/>
      <c r="J16337" s="8"/>
    </row>
    <row r="16338">
      <c r="C16338" s="15"/>
      <c r="E16338" s="8"/>
      <c r="G16338" s="8"/>
      <c r="J16338" s="8"/>
    </row>
    <row r="16339">
      <c r="C16339" s="15"/>
      <c r="E16339" s="8"/>
      <c r="G16339" s="8"/>
      <c r="J16339" s="8"/>
    </row>
    <row r="16340">
      <c r="C16340" s="15"/>
      <c r="E16340" s="8"/>
      <c r="G16340" s="8"/>
      <c r="J16340" s="8"/>
    </row>
    <row r="16341">
      <c r="C16341" s="15"/>
      <c r="E16341" s="8"/>
      <c r="G16341" s="8"/>
      <c r="J16341" s="8"/>
    </row>
    <row r="16342">
      <c r="C16342" s="15"/>
      <c r="E16342" s="8"/>
      <c r="G16342" s="8"/>
      <c r="J16342" s="8"/>
    </row>
    <row r="16343">
      <c r="C16343" s="15"/>
      <c r="E16343" s="8"/>
      <c r="G16343" s="8"/>
      <c r="J16343" s="8"/>
    </row>
    <row r="16344">
      <c r="C16344" s="15"/>
      <c r="E16344" s="8"/>
      <c r="G16344" s="8"/>
      <c r="J16344" s="8"/>
    </row>
    <row r="16345">
      <c r="C16345" s="15"/>
      <c r="E16345" s="8"/>
      <c r="G16345" s="8"/>
      <c r="J16345" s="8"/>
    </row>
    <row r="16346">
      <c r="C16346" s="15"/>
      <c r="E16346" s="8"/>
      <c r="G16346" s="8"/>
      <c r="J16346" s="8"/>
    </row>
    <row r="16347">
      <c r="C16347" s="15"/>
      <c r="E16347" s="8"/>
      <c r="G16347" s="8"/>
      <c r="J16347" s="8"/>
    </row>
    <row r="16348">
      <c r="C16348" s="15"/>
      <c r="E16348" s="8"/>
      <c r="G16348" s="8"/>
      <c r="J16348" s="8"/>
    </row>
    <row r="16349">
      <c r="C16349" s="15"/>
      <c r="E16349" s="8"/>
      <c r="G16349" s="8"/>
      <c r="J16349" s="8"/>
    </row>
    <row r="16350">
      <c r="C16350" s="15"/>
      <c r="E16350" s="8"/>
      <c r="G16350" s="8"/>
      <c r="J16350" s="8"/>
    </row>
    <row r="16351">
      <c r="C16351" s="15"/>
      <c r="E16351" s="8"/>
      <c r="G16351" s="8"/>
      <c r="J16351" s="8"/>
    </row>
    <row r="16352">
      <c r="C16352" s="15"/>
      <c r="E16352" s="8"/>
      <c r="G16352" s="8"/>
      <c r="J16352" s="8"/>
    </row>
    <row r="16353">
      <c r="C16353" s="15"/>
      <c r="E16353" s="8"/>
      <c r="G16353" s="8"/>
      <c r="J16353" s="8"/>
    </row>
    <row r="16354">
      <c r="C16354" s="15"/>
      <c r="E16354" s="8"/>
      <c r="G16354" s="8"/>
      <c r="J16354" s="8"/>
    </row>
    <row r="16355">
      <c r="C16355" s="15"/>
      <c r="E16355" s="8"/>
      <c r="G16355" s="8"/>
      <c r="J16355" s="8"/>
    </row>
    <row r="16356">
      <c r="C16356" s="15"/>
      <c r="E16356" s="8"/>
      <c r="G16356" s="8"/>
      <c r="J16356" s="8"/>
    </row>
    <row r="16357">
      <c r="C16357" s="15"/>
      <c r="E16357" s="8"/>
      <c r="G16357" s="8"/>
      <c r="J16357" s="8"/>
    </row>
    <row r="16358">
      <c r="C16358" s="15"/>
      <c r="E16358" s="8"/>
      <c r="G16358" s="8"/>
      <c r="J16358" s="8"/>
    </row>
    <row r="16359">
      <c r="C16359" s="15"/>
      <c r="E16359" s="8"/>
      <c r="G16359" s="8"/>
      <c r="J16359" s="8"/>
    </row>
    <row r="16360">
      <c r="C16360" s="15"/>
      <c r="E16360" s="8"/>
      <c r="G16360" s="8"/>
      <c r="J16360" s="8"/>
    </row>
    <row r="16361">
      <c r="C16361" s="15"/>
      <c r="E16361" s="8"/>
      <c r="G16361" s="8"/>
      <c r="J16361" s="8"/>
    </row>
    <row r="16362">
      <c r="C16362" s="15"/>
      <c r="E16362" s="8"/>
      <c r="G16362" s="8"/>
      <c r="J16362" s="8"/>
    </row>
    <row r="16363">
      <c r="C16363" s="15"/>
      <c r="E16363" s="8"/>
      <c r="G16363" s="8"/>
      <c r="J16363" s="8"/>
    </row>
    <row r="16364">
      <c r="C16364" s="15"/>
      <c r="E16364" s="8"/>
      <c r="G16364" s="8"/>
      <c r="J16364" s="8"/>
    </row>
    <row r="16365">
      <c r="C16365" s="15"/>
      <c r="E16365" s="8"/>
      <c r="G16365" s="8"/>
      <c r="J16365" s="8"/>
    </row>
    <row r="16366">
      <c r="C16366" s="15"/>
      <c r="E16366" s="8"/>
      <c r="G16366" s="8"/>
      <c r="J16366" s="8"/>
    </row>
    <row r="16367">
      <c r="C16367" s="15"/>
      <c r="E16367" s="8"/>
      <c r="G16367" s="8"/>
      <c r="J16367" s="8"/>
    </row>
    <row r="16368">
      <c r="C16368" s="15"/>
      <c r="E16368" s="8"/>
      <c r="G16368" s="8"/>
      <c r="J16368" s="8"/>
    </row>
    <row r="16369">
      <c r="C16369" s="15"/>
      <c r="E16369" s="8"/>
      <c r="G16369" s="8"/>
      <c r="J16369" s="8"/>
    </row>
    <row r="16370">
      <c r="C16370" s="15"/>
      <c r="E16370" s="8"/>
      <c r="G16370" s="8"/>
      <c r="J16370" s="8"/>
    </row>
    <row r="16371">
      <c r="C16371" s="15"/>
      <c r="E16371" s="8"/>
      <c r="G16371" s="8"/>
      <c r="J16371" s="8"/>
    </row>
    <row r="16372">
      <c r="C16372" s="15"/>
      <c r="E16372" s="8"/>
      <c r="G16372" s="8"/>
      <c r="J16372" s="8"/>
    </row>
    <row r="16373">
      <c r="C16373" s="15"/>
      <c r="E16373" s="8"/>
      <c r="G16373" s="8"/>
      <c r="J16373" s="8"/>
    </row>
    <row r="16374">
      <c r="C16374" s="15"/>
      <c r="E16374" s="8"/>
      <c r="G16374" s="8"/>
      <c r="J16374" s="8"/>
    </row>
    <row r="16375">
      <c r="C16375" s="15"/>
      <c r="E16375" s="8"/>
      <c r="G16375" s="8"/>
      <c r="J16375" s="8"/>
    </row>
    <row r="16376">
      <c r="C16376" s="15"/>
      <c r="E16376" s="8"/>
      <c r="G16376" s="8"/>
      <c r="J16376" s="8"/>
    </row>
    <row r="16377">
      <c r="C16377" s="15"/>
      <c r="E16377" s="8"/>
      <c r="G16377" s="8"/>
      <c r="J16377" s="8"/>
    </row>
    <row r="16378">
      <c r="C16378" s="15"/>
      <c r="E16378" s="8"/>
      <c r="G16378" s="8"/>
      <c r="J16378" s="8"/>
    </row>
    <row r="16379">
      <c r="C16379" s="15"/>
      <c r="E16379" s="8"/>
      <c r="G16379" s="8"/>
      <c r="J16379" s="8"/>
    </row>
    <row r="16380">
      <c r="C16380" s="15"/>
      <c r="E16380" s="8"/>
      <c r="G16380" s="8"/>
      <c r="J16380" s="8"/>
    </row>
    <row r="16381">
      <c r="C16381" s="15"/>
      <c r="E16381" s="8"/>
      <c r="G16381" s="8"/>
      <c r="J16381" s="8"/>
    </row>
    <row r="16382">
      <c r="C16382" s="15"/>
      <c r="E16382" s="8"/>
      <c r="G16382" s="8"/>
      <c r="J16382" s="8"/>
    </row>
    <row r="16383">
      <c r="C16383" s="15"/>
      <c r="E16383" s="8"/>
      <c r="G16383" s="8"/>
      <c r="J16383" s="8"/>
    </row>
    <row r="16384">
      <c r="C16384" s="15"/>
      <c r="E16384" s="8"/>
      <c r="G16384" s="8"/>
      <c r="J16384" s="8"/>
    </row>
    <row r="16385">
      <c r="C16385" s="15"/>
      <c r="E16385" s="8"/>
      <c r="G16385" s="8"/>
      <c r="J16385" s="8"/>
    </row>
    <row r="16386">
      <c r="C16386" s="15"/>
      <c r="E16386" s="8"/>
      <c r="G16386" s="8"/>
      <c r="J16386" s="8"/>
    </row>
    <row r="16387">
      <c r="C16387" s="15"/>
      <c r="E16387" s="8"/>
      <c r="G16387" s="8"/>
      <c r="J16387" s="8"/>
    </row>
    <row r="16388">
      <c r="C16388" s="15"/>
      <c r="E16388" s="8"/>
      <c r="G16388" s="8"/>
      <c r="J16388" s="8"/>
    </row>
    <row r="16389">
      <c r="C16389" s="15"/>
      <c r="E16389" s="8"/>
      <c r="G16389" s="8"/>
      <c r="J16389" s="8"/>
    </row>
    <row r="16390">
      <c r="C16390" s="15"/>
      <c r="E16390" s="8"/>
      <c r="G16390" s="8"/>
      <c r="J16390" s="8"/>
    </row>
    <row r="16391">
      <c r="C16391" s="15"/>
      <c r="E16391" s="8"/>
      <c r="G16391" s="8"/>
      <c r="J16391" s="8"/>
    </row>
    <row r="16392">
      <c r="C16392" s="15"/>
      <c r="E16392" s="8"/>
      <c r="G16392" s="8"/>
      <c r="J16392" s="8"/>
    </row>
    <row r="16393">
      <c r="C16393" s="15"/>
      <c r="E16393" s="8"/>
      <c r="G16393" s="8"/>
      <c r="J16393" s="8"/>
    </row>
    <row r="16394">
      <c r="C16394" s="15"/>
      <c r="E16394" s="8"/>
      <c r="G16394" s="8"/>
      <c r="J16394" s="8"/>
    </row>
    <row r="16395">
      <c r="C16395" s="15"/>
      <c r="E16395" s="8"/>
      <c r="G16395" s="8"/>
      <c r="J16395" s="8"/>
    </row>
    <row r="16396">
      <c r="C16396" s="15"/>
      <c r="E16396" s="8"/>
      <c r="G16396" s="8"/>
      <c r="J16396" s="8"/>
    </row>
    <row r="16397">
      <c r="C16397" s="15"/>
      <c r="E16397" s="8"/>
      <c r="G16397" s="8"/>
      <c r="J16397" s="8"/>
    </row>
    <row r="16398">
      <c r="C16398" s="15"/>
      <c r="E16398" s="8"/>
      <c r="G16398" s="8"/>
      <c r="J16398" s="8"/>
    </row>
    <row r="16399">
      <c r="C16399" s="15"/>
      <c r="E16399" s="8"/>
      <c r="G16399" s="8"/>
      <c r="J16399" s="8"/>
    </row>
    <row r="16400">
      <c r="C16400" s="15"/>
      <c r="E16400" s="8"/>
      <c r="G16400" s="8"/>
      <c r="J16400" s="8"/>
    </row>
    <row r="16401">
      <c r="C16401" s="15"/>
      <c r="E16401" s="8"/>
      <c r="G16401" s="8"/>
      <c r="J16401" s="8"/>
    </row>
    <row r="16402">
      <c r="C16402" s="15"/>
      <c r="E16402" s="8"/>
      <c r="G16402" s="8"/>
      <c r="J16402" s="8"/>
    </row>
    <row r="16403">
      <c r="C16403" s="15"/>
      <c r="E16403" s="8"/>
      <c r="G16403" s="8"/>
      <c r="J16403" s="8"/>
    </row>
    <row r="16404">
      <c r="C16404" s="15"/>
      <c r="E16404" s="8"/>
      <c r="G16404" s="8"/>
      <c r="J16404" s="8"/>
    </row>
    <row r="16405">
      <c r="C16405" s="15"/>
      <c r="E16405" s="8"/>
      <c r="G16405" s="8"/>
      <c r="J16405" s="8"/>
    </row>
    <row r="16406">
      <c r="C16406" s="15"/>
      <c r="E16406" s="8"/>
      <c r="G16406" s="8"/>
      <c r="J16406" s="8"/>
    </row>
    <row r="16407">
      <c r="C16407" s="15"/>
      <c r="E16407" s="8"/>
      <c r="G16407" s="8"/>
      <c r="J16407" s="8"/>
    </row>
    <row r="16408">
      <c r="C16408" s="15"/>
      <c r="E16408" s="8"/>
      <c r="G16408" s="8"/>
      <c r="J16408" s="8"/>
    </row>
    <row r="16409">
      <c r="C16409" s="15"/>
      <c r="E16409" s="8"/>
      <c r="G16409" s="8"/>
      <c r="J16409" s="8"/>
    </row>
    <row r="16410">
      <c r="C16410" s="15"/>
      <c r="E16410" s="8"/>
      <c r="G16410" s="8"/>
      <c r="J16410" s="8"/>
    </row>
    <row r="16411">
      <c r="C16411" s="15"/>
      <c r="E16411" s="8"/>
      <c r="G16411" s="8"/>
      <c r="J16411" s="8"/>
    </row>
    <row r="16412">
      <c r="C16412" s="15"/>
      <c r="E16412" s="8"/>
      <c r="G16412" s="8"/>
      <c r="J16412" s="8"/>
    </row>
    <row r="16413">
      <c r="C16413" s="15"/>
      <c r="E16413" s="8"/>
      <c r="G16413" s="8"/>
      <c r="J16413" s="8"/>
    </row>
    <row r="16414">
      <c r="C16414" s="15"/>
      <c r="E16414" s="8"/>
      <c r="G16414" s="8"/>
      <c r="J16414" s="8"/>
    </row>
    <row r="16415">
      <c r="C16415" s="15"/>
      <c r="E16415" s="8"/>
      <c r="G16415" s="8"/>
      <c r="J16415" s="8"/>
    </row>
    <row r="16416">
      <c r="C16416" s="15"/>
      <c r="E16416" s="8"/>
      <c r="G16416" s="8"/>
      <c r="J16416" s="8"/>
    </row>
    <row r="16417">
      <c r="C16417" s="15"/>
      <c r="E16417" s="8"/>
      <c r="G16417" s="8"/>
      <c r="J16417" s="8"/>
    </row>
    <row r="16418">
      <c r="C16418" s="15"/>
      <c r="E16418" s="8"/>
      <c r="G16418" s="8"/>
      <c r="J16418" s="8"/>
    </row>
    <row r="16419">
      <c r="C16419" s="15"/>
      <c r="E16419" s="8"/>
      <c r="G16419" s="8"/>
      <c r="J16419" s="8"/>
    </row>
    <row r="16420">
      <c r="C16420" s="15"/>
      <c r="E16420" s="8"/>
      <c r="G16420" s="8"/>
      <c r="J16420" s="8"/>
    </row>
    <row r="16421">
      <c r="C16421" s="15"/>
      <c r="E16421" s="8"/>
      <c r="G16421" s="8"/>
      <c r="J16421" s="8"/>
    </row>
    <row r="16422">
      <c r="C16422" s="15"/>
      <c r="E16422" s="8"/>
      <c r="G16422" s="8"/>
      <c r="J16422" s="8"/>
    </row>
    <row r="16423">
      <c r="C16423" s="15"/>
      <c r="E16423" s="8"/>
      <c r="G16423" s="8"/>
      <c r="J16423" s="8"/>
    </row>
    <row r="16424">
      <c r="C16424" s="15"/>
      <c r="E16424" s="8"/>
      <c r="G16424" s="8"/>
      <c r="J16424" s="8"/>
    </row>
    <row r="16425">
      <c r="C16425" s="15"/>
      <c r="E16425" s="8"/>
      <c r="G16425" s="8"/>
      <c r="J16425" s="8"/>
    </row>
    <row r="16426">
      <c r="C16426" s="15"/>
      <c r="E16426" s="8"/>
      <c r="G16426" s="8"/>
      <c r="J16426" s="8"/>
    </row>
    <row r="16427">
      <c r="C16427" s="15"/>
      <c r="E16427" s="8"/>
      <c r="G16427" s="8"/>
      <c r="J16427" s="8"/>
    </row>
    <row r="16428">
      <c r="C16428" s="15"/>
      <c r="E16428" s="8"/>
      <c r="G16428" s="8"/>
      <c r="J16428" s="8"/>
    </row>
    <row r="16429">
      <c r="C16429" s="15"/>
      <c r="E16429" s="8"/>
      <c r="G16429" s="8"/>
      <c r="J16429" s="8"/>
    </row>
    <row r="16430">
      <c r="C16430" s="15"/>
      <c r="E16430" s="8"/>
      <c r="G16430" s="8"/>
      <c r="J16430" s="8"/>
    </row>
    <row r="16431">
      <c r="C16431" s="15"/>
      <c r="E16431" s="8"/>
      <c r="G16431" s="8"/>
      <c r="J16431" s="8"/>
    </row>
    <row r="16432">
      <c r="C16432" s="15"/>
      <c r="E16432" s="8"/>
      <c r="G16432" s="8"/>
      <c r="J16432" s="8"/>
    </row>
    <row r="16433">
      <c r="C16433" s="15"/>
      <c r="E16433" s="8"/>
      <c r="G16433" s="8"/>
      <c r="J16433" s="8"/>
    </row>
    <row r="16434">
      <c r="C16434" s="15"/>
      <c r="E16434" s="8"/>
      <c r="G16434" s="8"/>
      <c r="J16434" s="8"/>
    </row>
    <row r="16435">
      <c r="C16435" s="15"/>
      <c r="E16435" s="8"/>
      <c r="G16435" s="8"/>
      <c r="J16435" s="8"/>
    </row>
    <row r="16436">
      <c r="C16436" s="15"/>
      <c r="E16436" s="8"/>
      <c r="G16436" s="8"/>
      <c r="J16436" s="8"/>
    </row>
    <row r="16437">
      <c r="C16437" s="15"/>
      <c r="E16437" s="8"/>
      <c r="G16437" s="8"/>
      <c r="J16437" s="8"/>
    </row>
    <row r="16438">
      <c r="C16438" s="15"/>
      <c r="E16438" s="8"/>
      <c r="G16438" s="8"/>
      <c r="J16438" s="8"/>
    </row>
    <row r="16439">
      <c r="C16439" s="15"/>
      <c r="E16439" s="8"/>
      <c r="G16439" s="8"/>
      <c r="J16439" s="8"/>
    </row>
    <row r="16440">
      <c r="C16440" s="15"/>
      <c r="E16440" s="8"/>
      <c r="G16440" s="8"/>
      <c r="J16440" s="8"/>
    </row>
    <row r="16441">
      <c r="C16441" s="15"/>
      <c r="E16441" s="8"/>
      <c r="G16441" s="8"/>
      <c r="J16441" s="8"/>
    </row>
    <row r="16442">
      <c r="C16442" s="15"/>
      <c r="E16442" s="8"/>
      <c r="G16442" s="8"/>
      <c r="J16442" s="8"/>
    </row>
    <row r="16443">
      <c r="C16443" s="15"/>
      <c r="E16443" s="8"/>
      <c r="G16443" s="8"/>
      <c r="J16443" s="8"/>
    </row>
    <row r="16444">
      <c r="C16444" s="15"/>
      <c r="E16444" s="8"/>
      <c r="G16444" s="8"/>
      <c r="J16444" s="8"/>
    </row>
    <row r="16445">
      <c r="C16445" s="15"/>
      <c r="E16445" s="8"/>
      <c r="G16445" s="8"/>
      <c r="J16445" s="8"/>
    </row>
    <row r="16446">
      <c r="C16446" s="15"/>
      <c r="E16446" s="8"/>
      <c r="G16446" s="8"/>
      <c r="J16446" s="8"/>
    </row>
    <row r="16447">
      <c r="C16447" s="15"/>
      <c r="E16447" s="8"/>
      <c r="G16447" s="8"/>
      <c r="J16447" s="8"/>
    </row>
    <row r="16448">
      <c r="C16448" s="15"/>
      <c r="E16448" s="8"/>
      <c r="G16448" s="8"/>
      <c r="J16448" s="8"/>
    </row>
    <row r="16449">
      <c r="C16449" s="15"/>
      <c r="E16449" s="8"/>
      <c r="G16449" s="8"/>
      <c r="J16449" s="8"/>
    </row>
    <row r="16450">
      <c r="C16450" s="15"/>
      <c r="E16450" s="8"/>
      <c r="G16450" s="8"/>
      <c r="J16450" s="8"/>
    </row>
    <row r="16451">
      <c r="C16451" s="15"/>
      <c r="E16451" s="8"/>
      <c r="G16451" s="8"/>
      <c r="J16451" s="8"/>
    </row>
    <row r="16452">
      <c r="C16452" s="15"/>
      <c r="E16452" s="8"/>
      <c r="G16452" s="8"/>
      <c r="J16452" s="8"/>
    </row>
    <row r="16453">
      <c r="C16453" s="15"/>
      <c r="E16453" s="8"/>
      <c r="G16453" s="8"/>
      <c r="J16453" s="8"/>
    </row>
    <row r="16454">
      <c r="C16454" s="15"/>
      <c r="E16454" s="8"/>
      <c r="G16454" s="8"/>
      <c r="J16454" s="8"/>
    </row>
    <row r="16455">
      <c r="C16455" s="15"/>
      <c r="E16455" s="8"/>
      <c r="G16455" s="8"/>
      <c r="J16455" s="8"/>
    </row>
    <row r="16456">
      <c r="C16456" s="15"/>
      <c r="E16456" s="8"/>
      <c r="G16456" s="8"/>
      <c r="J16456" s="8"/>
    </row>
    <row r="16457">
      <c r="C16457" s="15"/>
      <c r="E16457" s="8"/>
      <c r="G16457" s="8"/>
      <c r="J16457" s="8"/>
    </row>
    <row r="16458">
      <c r="C16458" s="15"/>
      <c r="E16458" s="8"/>
      <c r="G16458" s="8"/>
      <c r="J16458" s="8"/>
    </row>
    <row r="16459">
      <c r="C16459" s="15"/>
      <c r="E16459" s="8"/>
      <c r="G16459" s="8"/>
      <c r="J16459" s="8"/>
    </row>
    <row r="16460">
      <c r="C16460" s="15"/>
      <c r="E16460" s="8"/>
      <c r="G16460" s="8"/>
      <c r="J16460" s="8"/>
    </row>
    <row r="16461">
      <c r="C16461" s="15"/>
      <c r="E16461" s="8"/>
      <c r="G16461" s="8"/>
      <c r="J16461" s="8"/>
    </row>
    <row r="16462">
      <c r="C16462" s="15"/>
      <c r="E16462" s="8"/>
      <c r="G16462" s="8"/>
      <c r="J16462" s="8"/>
    </row>
    <row r="16463">
      <c r="C16463" s="15"/>
      <c r="E16463" s="8"/>
      <c r="G16463" s="8"/>
      <c r="J16463" s="8"/>
    </row>
    <row r="16464">
      <c r="C16464" s="15"/>
      <c r="E16464" s="8"/>
      <c r="G16464" s="8"/>
      <c r="J16464" s="8"/>
    </row>
    <row r="16465">
      <c r="C16465" s="15"/>
      <c r="E16465" s="8"/>
      <c r="G16465" s="8"/>
      <c r="J16465" s="8"/>
    </row>
    <row r="16466">
      <c r="C16466" s="15"/>
      <c r="E16466" s="8"/>
      <c r="G16466" s="8"/>
      <c r="J16466" s="8"/>
    </row>
    <row r="16467">
      <c r="C16467" s="15"/>
      <c r="E16467" s="8"/>
      <c r="G16467" s="8"/>
      <c r="J16467" s="8"/>
    </row>
    <row r="16468">
      <c r="C16468" s="15"/>
      <c r="E16468" s="8"/>
      <c r="G16468" s="8"/>
      <c r="J16468" s="8"/>
    </row>
    <row r="16469">
      <c r="C16469" s="15"/>
      <c r="E16469" s="8"/>
      <c r="G16469" s="8"/>
      <c r="J16469" s="8"/>
    </row>
    <row r="16470">
      <c r="C16470" s="15"/>
      <c r="E16470" s="8"/>
      <c r="G16470" s="8"/>
      <c r="J16470" s="8"/>
    </row>
    <row r="16471">
      <c r="C16471" s="15"/>
      <c r="E16471" s="8"/>
      <c r="G16471" s="8"/>
      <c r="J16471" s="8"/>
    </row>
    <row r="16472">
      <c r="C16472" s="15"/>
      <c r="E16472" s="8"/>
      <c r="G16472" s="8"/>
      <c r="J16472" s="8"/>
    </row>
    <row r="16473">
      <c r="C16473" s="15"/>
      <c r="E16473" s="8"/>
      <c r="G16473" s="8"/>
      <c r="J16473" s="8"/>
    </row>
    <row r="16474">
      <c r="C16474" s="15"/>
      <c r="E16474" s="8"/>
      <c r="G16474" s="8"/>
      <c r="J16474" s="8"/>
    </row>
    <row r="16475">
      <c r="C16475" s="15"/>
      <c r="E16475" s="8"/>
      <c r="G16475" s="8"/>
      <c r="J16475" s="8"/>
    </row>
    <row r="16476">
      <c r="C16476" s="15"/>
      <c r="E16476" s="8"/>
      <c r="G16476" s="8"/>
      <c r="J16476" s="8"/>
    </row>
    <row r="16477">
      <c r="C16477" s="15"/>
      <c r="E16477" s="8"/>
      <c r="G16477" s="8"/>
      <c r="J16477" s="8"/>
    </row>
    <row r="16478">
      <c r="C16478" s="15"/>
      <c r="E16478" s="8"/>
      <c r="G16478" s="8"/>
      <c r="J16478" s="8"/>
    </row>
    <row r="16479">
      <c r="C16479" s="15"/>
      <c r="E16479" s="8"/>
      <c r="G16479" s="8"/>
      <c r="J16479" s="8"/>
    </row>
    <row r="16480">
      <c r="C16480" s="15"/>
      <c r="E16480" s="8"/>
      <c r="G16480" s="8"/>
      <c r="J16480" s="8"/>
    </row>
    <row r="16481">
      <c r="C16481" s="15"/>
      <c r="E16481" s="8"/>
      <c r="G16481" s="8"/>
      <c r="J16481" s="8"/>
    </row>
    <row r="16482">
      <c r="C16482" s="15"/>
      <c r="E16482" s="8"/>
      <c r="G16482" s="8"/>
      <c r="J16482" s="8"/>
    </row>
    <row r="16483">
      <c r="C16483" s="15"/>
      <c r="E16483" s="8"/>
      <c r="G16483" s="8"/>
      <c r="J16483" s="8"/>
    </row>
    <row r="16484">
      <c r="C16484" s="15"/>
      <c r="E16484" s="8"/>
      <c r="G16484" s="8"/>
      <c r="J16484" s="8"/>
    </row>
    <row r="16485">
      <c r="C16485" s="15"/>
      <c r="E16485" s="8"/>
      <c r="G16485" s="8"/>
      <c r="J16485" s="8"/>
    </row>
    <row r="16486">
      <c r="C16486" s="15"/>
      <c r="E16486" s="8"/>
      <c r="G16486" s="8"/>
      <c r="J16486" s="8"/>
    </row>
    <row r="16487">
      <c r="C16487" s="15"/>
      <c r="E16487" s="8"/>
      <c r="G16487" s="8"/>
      <c r="J16487" s="8"/>
    </row>
    <row r="16488">
      <c r="C16488" s="15"/>
      <c r="E16488" s="8"/>
      <c r="G16488" s="8"/>
      <c r="J16488" s="8"/>
    </row>
    <row r="16489">
      <c r="C16489" s="15"/>
      <c r="E16489" s="8"/>
      <c r="G16489" s="8"/>
      <c r="J16489" s="8"/>
    </row>
    <row r="16490">
      <c r="C16490" s="15"/>
      <c r="E16490" s="8"/>
      <c r="G16490" s="8"/>
      <c r="J16490" s="8"/>
    </row>
    <row r="16491">
      <c r="C16491" s="15"/>
      <c r="E16491" s="8"/>
      <c r="G16491" s="8"/>
      <c r="J16491" s="8"/>
    </row>
    <row r="16492">
      <c r="C16492" s="15"/>
      <c r="E16492" s="8"/>
      <c r="G16492" s="8"/>
      <c r="J16492" s="8"/>
    </row>
    <row r="16493">
      <c r="C16493" s="15"/>
      <c r="E16493" s="8"/>
      <c r="G16493" s="8"/>
      <c r="J16493" s="8"/>
    </row>
    <row r="16494">
      <c r="C16494" s="15"/>
      <c r="E16494" s="8"/>
      <c r="G16494" s="8"/>
      <c r="J16494" s="8"/>
    </row>
    <row r="16495">
      <c r="C16495" s="15"/>
      <c r="E16495" s="8"/>
      <c r="G16495" s="8"/>
      <c r="J16495" s="8"/>
    </row>
    <row r="16496">
      <c r="C16496" s="15"/>
      <c r="E16496" s="8"/>
      <c r="G16496" s="8"/>
      <c r="J16496" s="8"/>
    </row>
    <row r="16497">
      <c r="C16497" s="15"/>
      <c r="E16497" s="8"/>
      <c r="G16497" s="8"/>
      <c r="J16497" s="8"/>
    </row>
    <row r="16498">
      <c r="C16498" s="15"/>
      <c r="E16498" s="8"/>
      <c r="G16498" s="8"/>
      <c r="J16498" s="8"/>
    </row>
    <row r="16499">
      <c r="C16499" s="15"/>
      <c r="E16499" s="8"/>
      <c r="G16499" s="8"/>
      <c r="J16499" s="8"/>
    </row>
    <row r="16500">
      <c r="C16500" s="15"/>
      <c r="E16500" s="8"/>
      <c r="G16500" s="8"/>
      <c r="J16500" s="8"/>
    </row>
    <row r="16501">
      <c r="C16501" s="15"/>
      <c r="E16501" s="8"/>
      <c r="G16501" s="8"/>
      <c r="J16501" s="8"/>
    </row>
    <row r="16502">
      <c r="C16502" s="15"/>
      <c r="E16502" s="8"/>
      <c r="G16502" s="8"/>
      <c r="J16502" s="8"/>
    </row>
    <row r="16503">
      <c r="C16503" s="15"/>
      <c r="E16503" s="8"/>
      <c r="G16503" s="8"/>
      <c r="J16503" s="8"/>
    </row>
    <row r="16504">
      <c r="C16504" s="15"/>
      <c r="E16504" s="8"/>
      <c r="G16504" s="8"/>
      <c r="J16504" s="8"/>
    </row>
    <row r="16505">
      <c r="C16505" s="15"/>
      <c r="E16505" s="8"/>
      <c r="G16505" s="8"/>
      <c r="J16505" s="8"/>
    </row>
    <row r="16506">
      <c r="C16506" s="15"/>
      <c r="E16506" s="8"/>
      <c r="G16506" s="8"/>
      <c r="J16506" s="8"/>
    </row>
    <row r="16507">
      <c r="C16507" s="15"/>
      <c r="E16507" s="8"/>
      <c r="G16507" s="8"/>
      <c r="J16507" s="8"/>
    </row>
    <row r="16508">
      <c r="C16508" s="15"/>
      <c r="E16508" s="8"/>
      <c r="G16508" s="8"/>
      <c r="J16508" s="8"/>
    </row>
    <row r="16509">
      <c r="C16509" s="15"/>
      <c r="E16509" s="8"/>
      <c r="G16509" s="8"/>
      <c r="J16509" s="8"/>
    </row>
    <row r="16510">
      <c r="C16510" s="15"/>
      <c r="E16510" s="8"/>
      <c r="G16510" s="8"/>
      <c r="J16510" s="8"/>
    </row>
    <row r="16511">
      <c r="C16511" s="15"/>
      <c r="E16511" s="8"/>
      <c r="G16511" s="8"/>
      <c r="J16511" s="8"/>
    </row>
    <row r="16512">
      <c r="C16512" s="15"/>
      <c r="E16512" s="8"/>
      <c r="G16512" s="8"/>
      <c r="J16512" s="8"/>
    </row>
    <row r="16513">
      <c r="C16513" s="15"/>
      <c r="E16513" s="8"/>
      <c r="G16513" s="8"/>
      <c r="J16513" s="8"/>
    </row>
    <row r="16514">
      <c r="C16514" s="15"/>
      <c r="E16514" s="8"/>
      <c r="G16514" s="8"/>
      <c r="J16514" s="8"/>
    </row>
    <row r="16515">
      <c r="C16515" s="15"/>
      <c r="E16515" s="8"/>
      <c r="G16515" s="8"/>
      <c r="J16515" s="8"/>
    </row>
    <row r="16516">
      <c r="C16516" s="15"/>
      <c r="E16516" s="8"/>
      <c r="G16516" s="8"/>
      <c r="J16516" s="8"/>
    </row>
    <row r="16517">
      <c r="C16517" s="15"/>
      <c r="E16517" s="8"/>
      <c r="G16517" s="8"/>
      <c r="J16517" s="8"/>
    </row>
    <row r="16518">
      <c r="C16518" s="15"/>
      <c r="E16518" s="8"/>
      <c r="G16518" s="8"/>
      <c r="J16518" s="8"/>
    </row>
    <row r="16519">
      <c r="C16519" s="15"/>
      <c r="E16519" s="8"/>
      <c r="G16519" s="8"/>
      <c r="J16519" s="8"/>
    </row>
    <row r="16520">
      <c r="C16520" s="15"/>
      <c r="E16520" s="8"/>
      <c r="G16520" s="8"/>
      <c r="J16520" s="8"/>
    </row>
    <row r="16521">
      <c r="C16521" s="15"/>
      <c r="E16521" s="8"/>
      <c r="G16521" s="8"/>
      <c r="J16521" s="8"/>
    </row>
    <row r="16522">
      <c r="C16522" s="15"/>
      <c r="E16522" s="8"/>
      <c r="G16522" s="8"/>
      <c r="J16522" s="8"/>
    </row>
    <row r="16523">
      <c r="C16523" s="15"/>
      <c r="E16523" s="8"/>
      <c r="G16523" s="8"/>
      <c r="J16523" s="8"/>
    </row>
    <row r="16524">
      <c r="C16524" s="15"/>
      <c r="E16524" s="8"/>
      <c r="G16524" s="8"/>
      <c r="J16524" s="8"/>
    </row>
    <row r="16525">
      <c r="C16525" s="15"/>
      <c r="E16525" s="8"/>
      <c r="G16525" s="8"/>
      <c r="J16525" s="8"/>
    </row>
    <row r="16526">
      <c r="C16526" s="15"/>
      <c r="E16526" s="8"/>
      <c r="G16526" s="8"/>
      <c r="J16526" s="8"/>
    </row>
    <row r="16527">
      <c r="C16527" s="15"/>
      <c r="E16527" s="8"/>
      <c r="G16527" s="8"/>
      <c r="J16527" s="8"/>
    </row>
    <row r="16528">
      <c r="C16528" s="15"/>
      <c r="E16528" s="8"/>
      <c r="G16528" s="8"/>
      <c r="J16528" s="8"/>
    </row>
    <row r="16529">
      <c r="C16529" s="15"/>
      <c r="E16529" s="8"/>
      <c r="G16529" s="8"/>
      <c r="J16529" s="8"/>
    </row>
    <row r="16530">
      <c r="C16530" s="15"/>
      <c r="E16530" s="8"/>
      <c r="G16530" s="8"/>
      <c r="J16530" s="8"/>
    </row>
    <row r="16531">
      <c r="C16531" s="15"/>
      <c r="E16531" s="8"/>
      <c r="G16531" s="8"/>
      <c r="J16531" s="8"/>
    </row>
    <row r="16532">
      <c r="C16532" s="15"/>
      <c r="E16532" s="8"/>
      <c r="G16532" s="8"/>
      <c r="J16532" s="8"/>
    </row>
    <row r="16533">
      <c r="C16533" s="15"/>
      <c r="E16533" s="8"/>
      <c r="G16533" s="8"/>
      <c r="J16533" s="8"/>
    </row>
    <row r="16534">
      <c r="C16534" s="15"/>
      <c r="E16534" s="8"/>
      <c r="G16534" s="8"/>
      <c r="J16534" s="8"/>
    </row>
    <row r="16535">
      <c r="C16535" s="15"/>
      <c r="E16535" s="8"/>
      <c r="G16535" s="8"/>
      <c r="J16535" s="8"/>
    </row>
    <row r="16536">
      <c r="C16536" s="15"/>
      <c r="E16536" s="8"/>
      <c r="G16536" s="8"/>
      <c r="J16536" s="8"/>
    </row>
    <row r="16537">
      <c r="C16537" s="15"/>
      <c r="E16537" s="8"/>
      <c r="G16537" s="8"/>
      <c r="J16537" s="8"/>
    </row>
    <row r="16538">
      <c r="C16538" s="15"/>
      <c r="E16538" s="8"/>
      <c r="G16538" s="8"/>
      <c r="J16538" s="8"/>
    </row>
    <row r="16539">
      <c r="C16539" s="15"/>
      <c r="E16539" s="8"/>
      <c r="G16539" s="8"/>
      <c r="J16539" s="8"/>
    </row>
    <row r="16540">
      <c r="C16540" s="15"/>
      <c r="E16540" s="8"/>
      <c r="G16540" s="8"/>
      <c r="J16540" s="8"/>
    </row>
    <row r="16541">
      <c r="C16541" s="15"/>
      <c r="E16541" s="8"/>
      <c r="G16541" s="8"/>
      <c r="J16541" s="8"/>
    </row>
    <row r="16542">
      <c r="C16542" s="15"/>
      <c r="E16542" s="8"/>
      <c r="G16542" s="8"/>
      <c r="J16542" s="8"/>
    </row>
    <row r="16543">
      <c r="C16543" s="15"/>
      <c r="E16543" s="8"/>
      <c r="G16543" s="8"/>
      <c r="J16543" s="8"/>
    </row>
    <row r="16544">
      <c r="C16544" s="15"/>
      <c r="E16544" s="8"/>
      <c r="G16544" s="8"/>
      <c r="J16544" s="8"/>
    </row>
    <row r="16545">
      <c r="C16545" s="15"/>
      <c r="E16545" s="8"/>
      <c r="G16545" s="8"/>
      <c r="J16545" s="8"/>
    </row>
    <row r="16546">
      <c r="C16546" s="15"/>
      <c r="E16546" s="8"/>
      <c r="G16546" s="8"/>
      <c r="J16546" s="8"/>
    </row>
    <row r="16547">
      <c r="C16547" s="15"/>
      <c r="E16547" s="8"/>
      <c r="G16547" s="8"/>
      <c r="J16547" s="8"/>
    </row>
    <row r="16548">
      <c r="C16548" s="15"/>
      <c r="E16548" s="8"/>
      <c r="G16548" s="8"/>
      <c r="J16548" s="8"/>
    </row>
    <row r="16549">
      <c r="C16549" s="15"/>
      <c r="E16549" s="8"/>
      <c r="G16549" s="8"/>
      <c r="J16549" s="8"/>
    </row>
    <row r="16550">
      <c r="C16550" s="15"/>
      <c r="E16550" s="8"/>
      <c r="G16550" s="8"/>
      <c r="J16550" s="8"/>
    </row>
    <row r="16551">
      <c r="C16551" s="15"/>
      <c r="E16551" s="8"/>
      <c r="G16551" s="8"/>
      <c r="J16551" s="8"/>
    </row>
    <row r="16552">
      <c r="C16552" s="15"/>
      <c r="E16552" s="8"/>
      <c r="G16552" s="8"/>
      <c r="J16552" s="8"/>
    </row>
    <row r="16553">
      <c r="C16553" s="15"/>
      <c r="E16553" s="8"/>
      <c r="G16553" s="8"/>
      <c r="J16553" s="8"/>
    </row>
    <row r="16554">
      <c r="C16554" s="15"/>
      <c r="E16554" s="8"/>
      <c r="G16554" s="8"/>
      <c r="J16554" s="8"/>
    </row>
    <row r="16555">
      <c r="C16555" s="15"/>
      <c r="E16555" s="8"/>
      <c r="G16555" s="8"/>
      <c r="J16555" s="8"/>
    </row>
    <row r="16556">
      <c r="C16556" s="15"/>
      <c r="E16556" s="8"/>
      <c r="G16556" s="8"/>
      <c r="J16556" s="8"/>
    </row>
    <row r="16557">
      <c r="C16557" s="15"/>
      <c r="E16557" s="8"/>
      <c r="G16557" s="8"/>
      <c r="J16557" s="8"/>
    </row>
    <row r="16558">
      <c r="C16558" s="15"/>
      <c r="E16558" s="8"/>
      <c r="G16558" s="8"/>
      <c r="J16558" s="8"/>
    </row>
    <row r="16559">
      <c r="C16559" s="15"/>
      <c r="E16559" s="8"/>
      <c r="G16559" s="8"/>
      <c r="J16559" s="8"/>
    </row>
    <row r="16560">
      <c r="C16560" s="15"/>
      <c r="E16560" s="8"/>
      <c r="G16560" s="8"/>
      <c r="J16560" s="8"/>
    </row>
    <row r="16561">
      <c r="C16561" s="15"/>
      <c r="E16561" s="8"/>
      <c r="G16561" s="8"/>
      <c r="J16561" s="8"/>
    </row>
    <row r="16562">
      <c r="C16562" s="15"/>
      <c r="E16562" s="8"/>
      <c r="G16562" s="8"/>
      <c r="J16562" s="8"/>
    </row>
    <row r="16563">
      <c r="C16563" s="15"/>
      <c r="E16563" s="8"/>
      <c r="G16563" s="8"/>
      <c r="J16563" s="8"/>
    </row>
    <row r="16564">
      <c r="C16564" s="15"/>
      <c r="E16564" s="8"/>
      <c r="G16564" s="8"/>
      <c r="J16564" s="8"/>
    </row>
    <row r="16565">
      <c r="C16565" s="15"/>
      <c r="E16565" s="8"/>
      <c r="G16565" s="8"/>
      <c r="J16565" s="8"/>
    </row>
    <row r="16566">
      <c r="C16566" s="15"/>
      <c r="E16566" s="8"/>
      <c r="G16566" s="8"/>
      <c r="J16566" s="8"/>
    </row>
    <row r="16567">
      <c r="C16567" s="15"/>
      <c r="E16567" s="8"/>
      <c r="G16567" s="8"/>
      <c r="J16567" s="8"/>
    </row>
    <row r="16568">
      <c r="C16568" s="15"/>
      <c r="E16568" s="8"/>
      <c r="G16568" s="8"/>
      <c r="J16568" s="8"/>
    </row>
    <row r="16569">
      <c r="C16569" s="15"/>
      <c r="E16569" s="8"/>
      <c r="G16569" s="8"/>
      <c r="J16569" s="8"/>
    </row>
    <row r="16570">
      <c r="C16570" s="15"/>
      <c r="E16570" s="8"/>
      <c r="G16570" s="8"/>
      <c r="J16570" s="8"/>
    </row>
    <row r="16571">
      <c r="C16571" s="15"/>
      <c r="E16571" s="8"/>
      <c r="G16571" s="8"/>
      <c r="J16571" s="8"/>
    </row>
    <row r="16572">
      <c r="C16572" s="15"/>
      <c r="E16572" s="8"/>
      <c r="G16572" s="8"/>
      <c r="J16572" s="8"/>
    </row>
    <row r="16573">
      <c r="C16573" s="15"/>
      <c r="E16573" s="8"/>
      <c r="G16573" s="8"/>
      <c r="J16573" s="8"/>
    </row>
    <row r="16574">
      <c r="C16574" s="15"/>
      <c r="E16574" s="8"/>
      <c r="G16574" s="8"/>
      <c r="J16574" s="8"/>
    </row>
    <row r="16575">
      <c r="C16575" s="15"/>
      <c r="E16575" s="8"/>
      <c r="G16575" s="8"/>
      <c r="J16575" s="8"/>
    </row>
    <row r="16576">
      <c r="C16576" s="15"/>
      <c r="E16576" s="8"/>
      <c r="G16576" s="8"/>
      <c r="J16576" s="8"/>
    </row>
    <row r="16577">
      <c r="C16577" s="15"/>
      <c r="E16577" s="8"/>
      <c r="G16577" s="8"/>
      <c r="J16577" s="8"/>
    </row>
    <row r="16578">
      <c r="C16578" s="15"/>
      <c r="E16578" s="8"/>
      <c r="G16578" s="8"/>
      <c r="J16578" s="8"/>
    </row>
    <row r="16579">
      <c r="C16579" s="15"/>
      <c r="E16579" s="8"/>
      <c r="G16579" s="8"/>
      <c r="J16579" s="8"/>
    </row>
    <row r="16580">
      <c r="C16580" s="15"/>
      <c r="E16580" s="8"/>
      <c r="G16580" s="8"/>
      <c r="J16580" s="8"/>
    </row>
    <row r="16581">
      <c r="C16581" s="15"/>
      <c r="E16581" s="8"/>
      <c r="G16581" s="8"/>
      <c r="J16581" s="8"/>
    </row>
    <row r="16582">
      <c r="C16582" s="15"/>
      <c r="E16582" s="8"/>
      <c r="G16582" s="8"/>
      <c r="J16582" s="8"/>
    </row>
    <row r="16583">
      <c r="C16583" s="15"/>
      <c r="E16583" s="8"/>
      <c r="G16583" s="8"/>
      <c r="J16583" s="8"/>
    </row>
    <row r="16584">
      <c r="C16584" s="15"/>
      <c r="E16584" s="8"/>
      <c r="G16584" s="8"/>
      <c r="J16584" s="8"/>
    </row>
    <row r="16585">
      <c r="C16585" s="15"/>
      <c r="E16585" s="8"/>
      <c r="G16585" s="8"/>
      <c r="J16585" s="8"/>
    </row>
    <row r="16586">
      <c r="C16586" s="15"/>
      <c r="E16586" s="8"/>
      <c r="G16586" s="8"/>
      <c r="J16586" s="8"/>
    </row>
    <row r="16587">
      <c r="C16587" s="15"/>
      <c r="E16587" s="8"/>
      <c r="G16587" s="8"/>
      <c r="J16587" s="8"/>
    </row>
    <row r="16588">
      <c r="C16588" s="15"/>
      <c r="E16588" s="8"/>
      <c r="G16588" s="8"/>
      <c r="J16588" s="8"/>
    </row>
    <row r="16589">
      <c r="C16589" s="15"/>
      <c r="E16589" s="8"/>
      <c r="G16589" s="8"/>
      <c r="J16589" s="8"/>
    </row>
    <row r="16590">
      <c r="C16590" s="15"/>
      <c r="E16590" s="8"/>
      <c r="G16590" s="8"/>
      <c r="J16590" s="8"/>
    </row>
    <row r="16591">
      <c r="C16591" s="15"/>
      <c r="E16591" s="8"/>
      <c r="G16591" s="8"/>
      <c r="J16591" s="8"/>
    </row>
    <row r="16592">
      <c r="C16592" s="15"/>
      <c r="E16592" s="8"/>
      <c r="G16592" s="8"/>
      <c r="J16592" s="8"/>
    </row>
    <row r="16593">
      <c r="C16593" s="15"/>
      <c r="E16593" s="8"/>
      <c r="G16593" s="8"/>
      <c r="J16593" s="8"/>
    </row>
    <row r="16594">
      <c r="C16594" s="15"/>
      <c r="E16594" s="8"/>
      <c r="G16594" s="8"/>
      <c r="J16594" s="8"/>
    </row>
    <row r="16595">
      <c r="C16595" s="15"/>
      <c r="E16595" s="8"/>
      <c r="G16595" s="8"/>
      <c r="J16595" s="8"/>
    </row>
    <row r="16596">
      <c r="C16596" s="15"/>
      <c r="E16596" s="8"/>
      <c r="G16596" s="8"/>
      <c r="J16596" s="8"/>
    </row>
    <row r="16597">
      <c r="C16597" s="15"/>
      <c r="E16597" s="8"/>
      <c r="G16597" s="8"/>
      <c r="J16597" s="8"/>
    </row>
    <row r="16598">
      <c r="C16598" s="15"/>
      <c r="E16598" s="8"/>
      <c r="G16598" s="8"/>
      <c r="J16598" s="8"/>
    </row>
    <row r="16599">
      <c r="C16599" s="15"/>
      <c r="E16599" s="8"/>
      <c r="G16599" s="8"/>
      <c r="J16599" s="8"/>
    </row>
    <row r="16600">
      <c r="C16600" s="15"/>
      <c r="E16600" s="8"/>
      <c r="G16600" s="8"/>
      <c r="J16600" s="8"/>
    </row>
    <row r="16601">
      <c r="C16601" s="15"/>
      <c r="E16601" s="8"/>
      <c r="G16601" s="8"/>
      <c r="J16601" s="8"/>
    </row>
    <row r="16602">
      <c r="C16602" s="15"/>
      <c r="E16602" s="8"/>
      <c r="G16602" s="8"/>
      <c r="J16602" s="8"/>
    </row>
    <row r="16603">
      <c r="C16603" s="15"/>
      <c r="E16603" s="8"/>
      <c r="G16603" s="8"/>
      <c r="J16603" s="8"/>
    </row>
    <row r="16604">
      <c r="C16604" s="15"/>
      <c r="E16604" s="8"/>
      <c r="G16604" s="8"/>
      <c r="J16604" s="8"/>
    </row>
    <row r="16605">
      <c r="C16605" s="15"/>
      <c r="E16605" s="8"/>
      <c r="G16605" s="8"/>
      <c r="J16605" s="8"/>
    </row>
    <row r="16606">
      <c r="C16606" s="15"/>
      <c r="E16606" s="8"/>
      <c r="G16606" s="8"/>
      <c r="J16606" s="8"/>
    </row>
    <row r="16607">
      <c r="C16607" s="15"/>
      <c r="E16607" s="8"/>
      <c r="G16607" s="8"/>
      <c r="J16607" s="8"/>
    </row>
    <row r="16608">
      <c r="C16608" s="15"/>
      <c r="E16608" s="8"/>
      <c r="G16608" s="8"/>
      <c r="J16608" s="8"/>
    </row>
    <row r="16609">
      <c r="C16609" s="15"/>
      <c r="E16609" s="8"/>
      <c r="G16609" s="8"/>
      <c r="J16609" s="8"/>
    </row>
    <row r="16610">
      <c r="C16610" s="15"/>
      <c r="E16610" s="8"/>
      <c r="G16610" s="8"/>
      <c r="J16610" s="8"/>
    </row>
    <row r="16611">
      <c r="C16611" s="15"/>
      <c r="E16611" s="8"/>
      <c r="G16611" s="8"/>
      <c r="J16611" s="8"/>
    </row>
    <row r="16612">
      <c r="C16612" s="15"/>
      <c r="E16612" s="8"/>
      <c r="G16612" s="8"/>
      <c r="J16612" s="8"/>
    </row>
    <row r="16613">
      <c r="C16613" s="15"/>
      <c r="E16613" s="8"/>
      <c r="G16613" s="8"/>
      <c r="J16613" s="8"/>
    </row>
    <row r="16614">
      <c r="C16614" s="15"/>
      <c r="E16614" s="8"/>
      <c r="G16614" s="8"/>
      <c r="J16614" s="8"/>
    </row>
    <row r="16615">
      <c r="C16615" s="15"/>
      <c r="E16615" s="8"/>
      <c r="G16615" s="8"/>
      <c r="J16615" s="8"/>
    </row>
    <row r="16616">
      <c r="C16616" s="15"/>
      <c r="E16616" s="8"/>
      <c r="G16616" s="8"/>
      <c r="J16616" s="8"/>
    </row>
    <row r="16617">
      <c r="C16617" s="15"/>
      <c r="E16617" s="8"/>
      <c r="G16617" s="8"/>
      <c r="J16617" s="8"/>
    </row>
    <row r="16618">
      <c r="C16618" s="15"/>
      <c r="E16618" s="8"/>
      <c r="G16618" s="8"/>
      <c r="J16618" s="8"/>
    </row>
    <row r="16619">
      <c r="C16619" s="15"/>
      <c r="E16619" s="8"/>
      <c r="G16619" s="8"/>
      <c r="J16619" s="8"/>
    </row>
    <row r="16620">
      <c r="C16620" s="15"/>
      <c r="E16620" s="8"/>
      <c r="G16620" s="8"/>
      <c r="J16620" s="8"/>
    </row>
    <row r="16621">
      <c r="C16621" s="15"/>
      <c r="E16621" s="8"/>
      <c r="G16621" s="8"/>
      <c r="J16621" s="8"/>
    </row>
    <row r="16622">
      <c r="C16622" s="15"/>
      <c r="E16622" s="8"/>
      <c r="G16622" s="8"/>
      <c r="J16622" s="8"/>
    </row>
    <row r="16623">
      <c r="C16623" s="15"/>
      <c r="E16623" s="8"/>
      <c r="G16623" s="8"/>
      <c r="J16623" s="8"/>
    </row>
    <row r="16624">
      <c r="C16624" s="15"/>
      <c r="E16624" s="8"/>
      <c r="G16624" s="8"/>
      <c r="J16624" s="8"/>
    </row>
    <row r="16625">
      <c r="C16625" s="15"/>
      <c r="E16625" s="8"/>
      <c r="G16625" s="8"/>
      <c r="J16625" s="8"/>
    </row>
    <row r="16626">
      <c r="C16626" s="15"/>
      <c r="E16626" s="8"/>
      <c r="G16626" s="8"/>
      <c r="J16626" s="8"/>
    </row>
    <row r="16627">
      <c r="C16627" s="15"/>
      <c r="E16627" s="8"/>
      <c r="G16627" s="8"/>
      <c r="J16627" s="8"/>
    </row>
    <row r="16628">
      <c r="C16628" s="15"/>
      <c r="E16628" s="8"/>
      <c r="G16628" s="8"/>
      <c r="J16628" s="8"/>
    </row>
    <row r="16629">
      <c r="C16629" s="15"/>
      <c r="E16629" s="8"/>
      <c r="G16629" s="8"/>
      <c r="J16629" s="8"/>
    </row>
    <row r="16630">
      <c r="C16630" s="15"/>
      <c r="E16630" s="8"/>
      <c r="G16630" s="8"/>
      <c r="J16630" s="8"/>
    </row>
    <row r="16631">
      <c r="C16631" s="15"/>
      <c r="E16631" s="8"/>
      <c r="G16631" s="8"/>
      <c r="J16631" s="8"/>
    </row>
    <row r="16632">
      <c r="C16632" s="15"/>
      <c r="E16632" s="8"/>
      <c r="G16632" s="8"/>
      <c r="J16632" s="8"/>
    </row>
    <row r="16633">
      <c r="C16633" s="15"/>
      <c r="E16633" s="8"/>
      <c r="G16633" s="8"/>
      <c r="J16633" s="8"/>
    </row>
    <row r="16634">
      <c r="C16634" s="15"/>
      <c r="E16634" s="8"/>
      <c r="G16634" s="8"/>
      <c r="J16634" s="8"/>
    </row>
    <row r="16635">
      <c r="C16635" s="15"/>
      <c r="E16635" s="8"/>
      <c r="G16635" s="8"/>
      <c r="J16635" s="8"/>
    </row>
    <row r="16636">
      <c r="C16636" s="15"/>
      <c r="E16636" s="8"/>
      <c r="G16636" s="8"/>
      <c r="J16636" s="8"/>
    </row>
    <row r="16637">
      <c r="C16637" s="15"/>
      <c r="E16637" s="8"/>
      <c r="G16637" s="8"/>
      <c r="J16637" s="8"/>
    </row>
    <row r="16638">
      <c r="C16638" s="15"/>
      <c r="E16638" s="8"/>
      <c r="G16638" s="8"/>
      <c r="J16638" s="8"/>
    </row>
    <row r="16639">
      <c r="C16639" s="15"/>
      <c r="E16639" s="8"/>
      <c r="G16639" s="8"/>
      <c r="J16639" s="8"/>
    </row>
    <row r="16640">
      <c r="C16640" s="15"/>
      <c r="E16640" s="8"/>
      <c r="G16640" s="8"/>
      <c r="J16640" s="8"/>
    </row>
    <row r="16641">
      <c r="C16641" s="15"/>
      <c r="E16641" s="8"/>
      <c r="G16641" s="8"/>
      <c r="J16641" s="8"/>
    </row>
    <row r="16642">
      <c r="C16642" s="15"/>
      <c r="E16642" s="8"/>
      <c r="G16642" s="8"/>
      <c r="J16642" s="8"/>
    </row>
    <row r="16643">
      <c r="C16643" s="15"/>
      <c r="E16643" s="8"/>
      <c r="G16643" s="8"/>
      <c r="J16643" s="8"/>
    </row>
    <row r="16644">
      <c r="C16644" s="15"/>
      <c r="E16644" s="8"/>
      <c r="G16644" s="8"/>
      <c r="J16644" s="8"/>
    </row>
    <row r="16645">
      <c r="C16645" s="15"/>
      <c r="E16645" s="8"/>
      <c r="G16645" s="8"/>
      <c r="J16645" s="8"/>
    </row>
    <row r="16646">
      <c r="C16646" s="15"/>
      <c r="E16646" s="8"/>
      <c r="G16646" s="8"/>
      <c r="J16646" s="8"/>
    </row>
    <row r="16647">
      <c r="C16647" s="15"/>
      <c r="E16647" s="8"/>
      <c r="G16647" s="8"/>
      <c r="J16647" s="8"/>
    </row>
    <row r="16648">
      <c r="C16648" s="15"/>
      <c r="E16648" s="8"/>
      <c r="G16648" s="8"/>
      <c r="J16648" s="8"/>
    </row>
    <row r="16649">
      <c r="C16649" s="15"/>
      <c r="E16649" s="8"/>
      <c r="G16649" s="8"/>
      <c r="J16649" s="8"/>
    </row>
    <row r="16650">
      <c r="C16650" s="15"/>
      <c r="E16650" s="8"/>
      <c r="G16650" s="8"/>
      <c r="J16650" s="8"/>
    </row>
    <row r="16651">
      <c r="C16651" s="15"/>
      <c r="E16651" s="8"/>
      <c r="G16651" s="8"/>
      <c r="J16651" s="8"/>
    </row>
    <row r="16652">
      <c r="C16652" s="15"/>
      <c r="E16652" s="8"/>
      <c r="G16652" s="8"/>
      <c r="J16652" s="8"/>
    </row>
    <row r="16653">
      <c r="C16653" s="15"/>
      <c r="E16653" s="8"/>
      <c r="G16653" s="8"/>
      <c r="J16653" s="8"/>
    </row>
    <row r="16654">
      <c r="C16654" s="15"/>
      <c r="E16654" s="8"/>
      <c r="G16654" s="8"/>
      <c r="J16654" s="8"/>
    </row>
    <row r="16655">
      <c r="C16655" s="15"/>
      <c r="E16655" s="8"/>
      <c r="G16655" s="8"/>
      <c r="J16655" s="8"/>
    </row>
    <row r="16656">
      <c r="C16656" s="15"/>
      <c r="E16656" s="8"/>
      <c r="G16656" s="8"/>
      <c r="J16656" s="8"/>
    </row>
    <row r="16657">
      <c r="C16657" s="15"/>
      <c r="E16657" s="8"/>
      <c r="G16657" s="8"/>
      <c r="J16657" s="8"/>
    </row>
    <row r="16658">
      <c r="C16658" s="15"/>
      <c r="E16658" s="8"/>
      <c r="G16658" s="8"/>
      <c r="J16658" s="8"/>
    </row>
    <row r="16659">
      <c r="C16659" s="15"/>
      <c r="E16659" s="8"/>
      <c r="G16659" s="8"/>
      <c r="J16659" s="8"/>
    </row>
    <row r="16660">
      <c r="C16660" s="15"/>
      <c r="E16660" s="8"/>
      <c r="G16660" s="8"/>
      <c r="J16660" s="8"/>
    </row>
    <row r="16661">
      <c r="C16661" s="15"/>
      <c r="E16661" s="8"/>
      <c r="G16661" s="8"/>
      <c r="J16661" s="8"/>
    </row>
    <row r="16662">
      <c r="C16662" s="15"/>
      <c r="E16662" s="8"/>
      <c r="G16662" s="8"/>
      <c r="J16662" s="8"/>
    </row>
    <row r="16663">
      <c r="C16663" s="15"/>
      <c r="E16663" s="8"/>
      <c r="G16663" s="8"/>
      <c r="J16663" s="8"/>
    </row>
    <row r="16664">
      <c r="C16664" s="15"/>
      <c r="E16664" s="8"/>
      <c r="G16664" s="8"/>
      <c r="J16664" s="8"/>
    </row>
    <row r="16665">
      <c r="C16665" s="15"/>
      <c r="E16665" s="8"/>
      <c r="G16665" s="8"/>
      <c r="J16665" s="8"/>
    </row>
    <row r="16666">
      <c r="C16666" s="15"/>
      <c r="E16666" s="8"/>
      <c r="G16666" s="8"/>
      <c r="J16666" s="8"/>
    </row>
    <row r="16667">
      <c r="C16667" s="15"/>
      <c r="E16667" s="8"/>
      <c r="G16667" s="8"/>
      <c r="J16667" s="8"/>
    </row>
    <row r="16668">
      <c r="C16668" s="15"/>
      <c r="E16668" s="8"/>
      <c r="G16668" s="8"/>
      <c r="J16668" s="8"/>
    </row>
    <row r="16669">
      <c r="C16669" s="15"/>
      <c r="E16669" s="8"/>
      <c r="G16669" s="8"/>
      <c r="J16669" s="8"/>
    </row>
    <row r="16670">
      <c r="C16670" s="15"/>
      <c r="E16670" s="8"/>
      <c r="G16670" s="8"/>
      <c r="J16670" s="8"/>
    </row>
    <row r="16671">
      <c r="C16671" s="15"/>
      <c r="E16671" s="8"/>
      <c r="G16671" s="8"/>
      <c r="J16671" s="8"/>
    </row>
    <row r="16672">
      <c r="C16672" s="15"/>
      <c r="E16672" s="8"/>
      <c r="G16672" s="8"/>
      <c r="J16672" s="8"/>
    </row>
    <row r="16673">
      <c r="C16673" s="15"/>
      <c r="E16673" s="8"/>
      <c r="G16673" s="8"/>
      <c r="J16673" s="8"/>
    </row>
    <row r="16674">
      <c r="C16674" s="15"/>
      <c r="E16674" s="8"/>
      <c r="G16674" s="8"/>
      <c r="J16674" s="8"/>
    </row>
    <row r="16675">
      <c r="C16675" s="15"/>
      <c r="E16675" s="8"/>
      <c r="G16675" s="8"/>
      <c r="J16675" s="8"/>
    </row>
    <row r="16676">
      <c r="C16676" s="15"/>
      <c r="E16676" s="8"/>
      <c r="G16676" s="8"/>
      <c r="J16676" s="8"/>
    </row>
    <row r="16677">
      <c r="C16677" s="15"/>
      <c r="E16677" s="8"/>
      <c r="G16677" s="8"/>
      <c r="J16677" s="8"/>
    </row>
    <row r="16678">
      <c r="C16678" s="15"/>
      <c r="E16678" s="8"/>
      <c r="G16678" s="8"/>
      <c r="J16678" s="8"/>
    </row>
    <row r="16679">
      <c r="C16679" s="15"/>
      <c r="E16679" s="8"/>
      <c r="G16679" s="8"/>
      <c r="J16679" s="8"/>
    </row>
    <row r="16680">
      <c r="C16680" s="15"/>
      <c r="E16680" s="8"/>
      <c r="G16680" s="8"/>
      <c r="J16680" s="8"/>
    </row>
    <row r="16681">
      <c r="C16681" s="15"/>
      <c r="E16681" s="8"/>
      <c r="G16681" s="8"/>
      <c r="J16681" s="8"/>
    </row>
    <row r="16682">
      <c r="C16682" s="15"/>
      <c r="E16682" s="8"/>
      <c r="G16682" s="8"/>
      <c r="J16682" s="8"/>
    </row>
    <row r="16683">
      <c r="C16683" s="15"/>
      <c r="E16683" s="8"/>
      <c r="G16683" s="8"/>
      <c r="J16683" s="8"/>
    </row>
    <row r="16684">
      <c r="C16684" s="15"/>
      <c r="E16684" s="8"/>
      <c r="G16684" s="8"/>
      <c r="J16684" s="8"/>
    </row>
    <row r="16685">
      <c r="C16685" s="15"/>
      <c r="E16685" s="8"/>
      <c r="G16685" s="8"/>
      <c r="J16685" s="8"/>
    </row>
    <row r="16686">
      <c r="C16686" s="15"/>
      <c r="E16686" s="8"/>
      <c r="G16686" s="8"/>
      <c r="J16686" s="8"/>
    </row>
    <row r="16687">
      <c r="C16687" s="15"/>
      <c r="E16687" s="8"/>
      <c r="G16687" s="8"/>
      <c r="J16687" s="8"/>
    </row>
    <row r="16688">
      <c r="C16688" s="15"/>
      <c r="E16688" s="8"/>
      <c r="G16688" s="8"/>
      <c r="J16688" s="8"/>
    </row>
    <row r="16689">
      <c r="C16689" s="15"/>
      <c r="E16689" s="8"/>
      <c r="G16689" s="8"/>
      <c r="J16689" s="8"/>
    </row>
    <row r="16690">
      <c r="C16690" s="15"/>
      <c r="E16690" s="8"/>
      <c r="G16690" s="8"/>
      <c r="J16690" s="8"/>
    </row>
    <row r="16691">
      <c r="C16691" s="15"/>
      <c r="E16691" s="8"/>
      <c r="G16691" s="8"/>
      <c r="J16691" s="8"/>
    </row>
    <row r="16692">
      <c r="C16692" s="15"/>
      <c r="E16692" s="8"/>
      <c r="G16692" s="8"/>
      <c r="J16692" s="8"/>
    </row>
    <row r="16693">
      <c r="C16693" s="15"/>
      <c r="E16693" s="8"/>
      <c r="G16693" s="8"/>
      <c r="J16693" s="8"/>
    </row>
    <row r="16694">
      <c r="C16694" s="15"/>
      <c r="E16694" s="8"/>
      <c r="G16694" s="8"/>
      <c r="J16694" s="8"/>
    </row>
    <row r="16695">
      <c r="C16695" s="15"/>
      <c r="E16695" s="8"/>
      <c r="G16695" s="8"/>
      <c r="J16695" s="8"/>
    </row>
    <row r="16696">
      <c r="C16696" s="15"/>
      <c r="E16696" s="8"/>
      <c r="G16696" s="8"/>
      <c r="J16696" s="8"/>
    </row>
    <row r="16697">
      <c r="C16697" s="15"/>
      <c r="E16697" s="8"/>
      <c r="G16697" s="8"/>
      <c r="J16697" s="8"/>
    </row>
    <row r="16698">
      <c r="C16698" s="15"/>
      <c r="E16698" s="8"/>
      <c r="G16698" s="8"/>
      <c r="J16698" s="8"/>
    </row>
    <row r="16699">
      <c r="C16699" s="15"/>
      <c r="E16699" s="8"/>
      <c r="G16699" s="8"/>
      <c r="J16699" s="8"/>
    </row>
    <row r="16700">
      <c r="C16700" s="15"/>
      <c r="E16700" s="8"/>
      <c r="G16700" s="8"/>
      <c r="J16700" s="8"/>
    </row>
    <row r="16701">
      <c r="C16701" s="15"/>
      <c r="E16701" s="8"/>
      <c r="G16701" s="8"/>
      <c r="J16701" s="8"/>
    </row>
    <row r="16702">
      <c r="C16702" s="15"/>
      <c r="E16702" s="8"/>
      <c r="G16702" s="8"/>
      <c r="J16702" s="8"/>
    </row>
    <row r="16703">
      <c r="C16703" s="15"/>
      <c r="E16703" s="8"/>
      <c r="G16703" s="8"/>
      <c r="J16703" s="8"/>
    </row>
    <row r="16704">
      <c r="C16704" s="15"/>
      <c r="E16704" s="8"/>
      <c r="G16704" s="8"/>
      <c r="J16704" s="8"/>
    </row>
    <row r="16705">
      <c r="C16705" s="15"/>
      <c r="E16705" s="8"/>
      <c r="G16705" s="8"/>
      <c r="J16705" s="8"/>
    </row>
    <row r="16706">
      <c r="C16706" s="15"/>
      <c r="E16706" s="8"/>
      <c r="G16706" s="8"/>
      <c r="J16706" s="8"/>
    </row>
    <row r="16707">
      <c r="C16707" s="15"/>
      <c r="E16707" s="8"/>
      <c r="G16707" s="8"/>
      <c r="J16707" s="8"/>
    </row>
    <row r="16708">
      <c r="C16708" s="15"/>
      <c r="E16708" s="8"/>
      <c r="G16708" s="8"/>
      <c r="J16708" s="8"/>
    </row>
    <row r="16709">
      <c r="C16709" s="15"/>
      <c r="E16709" s="8"/>
      <c r="G16709" s="8"/>
      <c r="J16709" s="8"/>
    </row>
    <row r="16710">
      <c r="C16710" s="15"/>
      <c r="E16710" s="8"/>
      <c r="G16710" s="8"/>
      <c r="J16710" s="8"/>
    </row>
    <row r="16711">
      <c r="C16711" s="15"/>
      <c r="E16711" s="8"/>
      <c r="G16711" s="8"/>
      <c r="J16711" s="8"/>
    </row>
    <row r="16712">
      <c r="C16712" s="15"/>
      <c r="E16712" s="8"/>
      <c r="G16712" s="8"/>
      <c r="J16712" s="8"/>
    </row>
    <row r="16713">
      <c r="C16713" s="15"/>
      <c r="E16713" s="8"/>
      <c r="G16713" s="8"/>
      <c r="J16713" s="8"/>
    </row>
    <row r="16714">
      <c r="C16714" s="15"/>
      <c r="E16714" s="8"/>
      <c r="G16714" s="8"/>
      <c r="J16714" s="8"/>
    </row>
    <row r="16715">
      <c r="C16715" s="15"/>
      <c r="E16715" s="8"/>
      <c r="G16715" s="8"/>
      <c r="J16715" s="8"/>
    </row>
    <row r="16716">
      <c r="C16716" s="15"/>
      <c r="E16716" s="8"/>
      <c r="G16716" s="8"/>
      <c r="J16716" s="8"/>
    </row>
    <row r="16717">
      <c r="C16717" s="15"/>
      <c r="E16717" s="8"/>
      <c r="G16717" s="8"/>
      <c r="J16717" s="8"/>
    </row>
    <row r="16718">
      <c r="C16718" s="15"/>
      <c r="E16718" s="8"/>
      <c r="G16718" s="8"/>
      <c r="J16718" s="8"/>
    </row>
    <row r="16719">
      <c r="C16719" s="15"/>
      <c r="E16719" s="8"/>
      <c r="G16719" s="8"/>
      <c r="J16719" s="8"/>
    </row>
    <row r="16720">
      <c r="C16720" s="15"/>
      <c r="E16720" s="8"/>
      <c r="G16720" s="8"/>
      <c r="J16720" s="8"/>
    </row>
    <row r="16721">
      <c r="C16721" s="15"/>
      <c r="E16721" s="8"/>
      <c r="G16721" s="8"/>
      <c r="J16721" s="8"/>
    </row>
    <row r="16722">
      <c r="C16722" s="15"/>
      <c r="E16722" s="8"/>
      <c r="G16722" s="8"/>
      <c r="J16722" s="8"/>
    </row>
    <row r="16723">
      <c r="C16723" s="15"/>
      <c r="E16723" s="8"/>
      <c r="G16723" s="8"/>
      <c r="J16723" s="8"/>
    </row>
    <row r="16724">
      <c r="C16724" s="15"/>
      <c r="E16724" s="8"/>
      <c r="G16724" s="8"/>
      <c r="J16724" s="8"/>
    </row>
    <row r="16725">
      <c r="C16725" s="15"/>
      <c r="E16725" s="8"/>
      <c r="G16725" s="8"/>
      <c r="J16725" s="8"/>
    </row>
    <row r="16726">
      <c r="C16726" s="15"/>
      <c r="E16726" s="8"/>
      <c r="G16726" s="8"/>
      <c r="J16726" s="8"/>
    </row>
    <row r="16727">
      <c r="C16727" s="15"/>
      <c r="E16727" s="8"/>
      <c r="G16727" s="8"/>
      <c r="J16727" s="8"/>
    </row>
    <row r="16728">
      <c r="C16728" s="15"/>
      <c r="E16728" s="8"/>
      <c r="G16728" s="8"/>
      <c r="J16728" s="8"/>
    </row>
    <row r="16729">
      <c r="C16729" s="15"/>
      <c r="E16729" s="8"/>
      <c r="G16729" s="8"/>
      <c r="J16729" s="8"/>
    </row>
    <row r="16730">
      <c r="C16730" s="15"/>
      <c r="E16730" s="8"/>
      <c r="G16730" s="8"/>
      <c r="J16730" s="8"/>
    </row>
    <row r="16731">
      <c r="C16731" s="15"/>
      <c r="E16731" s="8"/>
      <c r="G16731" s="8"/>
      <c r="J16731" s="8"/>
    </row>
    <row r="16732">
      <c r="C16732" s="15"/>
      <c r="E16732" s="8"/>
      <c r="G16732" s="8"/>
      <c r="J16732" s="8"/>
    </row>
    <row r="16733">
      <c r="C16733" s="15"/>
      <c r="E16733" s="8"/>
      <c r="G16733" s="8"/>
      <c r="J16733" s="8"/>
    </row>
    <row r="16734">
      <c r="C16734" s="15"/>
      <c r="E16734" s="8"/>
      <c r="G16734" s="8"/>
      <c r="J16734" s="8"/>
    </row>
    <row r="16735">
      <c r="C16735" s="15"/>
      <c r="E16735" s="8"/>
      <c r="G16735" s="8"/>
      <c r="J16735" s="8"/>
    </row>
    <row r="16736">
      <c r="C16736" s="15"/>
      <c r="E16736" s="8"/>
      <c r="G16736" s="8"/>
      <c r="J16736" s="8"/>
    </row>
    <row r="16737">
      <c r="C16737" s="15"/>
      <c r="E16737" s="8"/>
      <c r="G16737" s="8"/>
      <c r="J16737" s="8"/>
    </row>
    <row r="16738">
      <c r="C16738" s="15"/>
      <c r="E16738" s="8"/>
      <c r="G16738" s="8"/>
      <c r="J16738" s="8"/>
    </row>
    <row r="16739">
      <c r="C16739" s="15"/>
      <c r="E16739" s="8"/>
      <c r="G16739" s="8"/>
      <c r="J16739" s="8"/>
    </row>
    <row r="16740">
      <c r="C16740" s="15"/>
      <c r="E16740" s="8"/>
      <c r="G16740" s="8"/>
      <c r="J16740" s="8"/>
    </row>
    <row r="16741">
      <c r="C16741" s="15"/>
      <c r="E16741" s="8"/>
      <c r="G16741" s="8"/>
      <c r="J16741" s="8"/>
    </row>
    <row r="16742">
      <c r="C16742" s="15"/>
      <c r="E16742" s="8"/>
      <c r="G16742" s="8"/>
      <c r="J16742" s="8"/>
    </row>
    <row r="16743">
      <c r="C16743" s="15"/>
      <c r="E16743" s="8"/>
      <c r="G16743" s="8"/>
      <c r="J16743" s="8"/>
    </row>
    <row r="16744">
      <c r="C16744" s="15"/>
      <c r="E16744" s="8"/>
      <c r="G16744" s="8"/>
      <c r="J16744" s="8"/>
    </row>
    <row r="16745">
      <c r="C16745" s="15"/>
      <c r="E16745" s="8"/>
      <c r="G16745" s="8"/>
      <c r="J16745" s="8"/>
    </row>
    <row r="16746">
      <c r="C16746" s="15"/>
      <c r="E16746" s="8"/>
      <c r="G16746" s="8"/>
      <c r="J16746" s="8"/>
    </row>
    <row r="16747">
      <c r="C16747" s="15"/>
      <c r="E16747" s="8"/>
      <c r="G16747" s="8"/>
      <c r="J16747" s="8"/>
    </row>
    <row r="16748">
      <c r="C16748" s="15"/>
      <c r="E16748" s="8"/>
      <c r="G16748" s="8"/>
      <c r="J16748" s="8"/>
    </row>
    <row r="16749">
      <c r="C16749" s="15"/>
      <c r="E16749" s="8"/>
      <c r="G16749" s="8"/>
      <c r="J16749" s="8"/>
    </row>
    <row r="16750">
      <c r="C16750" s="15"/>
      <c r="E16750" s="8"/>
      <c r="G16750" s="8"/>
      <c r="J16750" s="8"/>
    </row>
    <row r="16751">
      <c r="C16751" s="15"/>
      <c r="E16751" s="8"/>
      <c r="G16751" s="8"/>
      <c r="J16751" s="8"/>
    </row>
    <row r="16752">
      <c r="C16752" s="15"/>
      <c r="E16752" s="8"/>
      <c r="G16752" s="8"/>
      <c r="J16752" s="8"/>
    </row>
    <row r="16753">
      <c r="C16753" s="15"/>
      <c r="E16753" s="8"/>
      <c r="G16753" s="8"/>
      <c r="J16753" s="8"/>
    </row>
    <row r="16754">
      <c r="C16754" s="15"/>
      <c r="E16754" s="8"/>
      <c r="G16754" s="8"/>
      <c r="J16754" s="8"/>
    </row>
    <row r="16755">
      <c r="C16755" s="15"/>
      <c r="E16755" s="8"/>
      <c r="G16755" s="8"/>
      <c r="J16755" s="8"/>
    </row>
    <row r="16756">
      <c r="C16756" s="15"/>
      <c r="E16756" s="8"/>
      <c r="G16756" s="8"/>
      <c r="J16756" s="8"/>
    </row>
    <row r="16757">
      <c r="C16757" s="15"/>
      <c r="E16757" s="8"/>
      <c r="G16757" s="8"/>
      <c r="J16757" s="8"/>
    </row>
    <row r="16758">
      <c r="C16758" s="15"/>
      <c r="E16758" s="8"/>
      <c r="G16758" s="8"/>
      <c r="J16758" s="8"/>
    </row>
    <row r="16759">
      <c r="C16759" s="15"/>
      <c r="E16759" s="8"/>
      <c r="G16759" s="8"/>
      <c r="J16759" s="8"/>
    </row>
    <row r="16760">
      <c r="C16760" s="15"/>
      <c r="E16760" s="8"/>
      <c r="G16760" s="8"/>
      <c r="J16760" s="8"/>
    </row>
    <row r="16761">
      <c r="C16761" s="15"/>
      <c r="E16761" s="8"/>
      <c r="G16761" s="8"/>
      <c r="J16761" s="8"/>
    </row>
    <row r="16762">
      <c r="C16762" s="15"/>
      <c r="E16762" s="8"/>
      <c r="G16762" s="8"/>
      <c r="J16762" s="8"/>
    </row>
    <row r="16763">
      <c r="C16763" s="15"/>
      <c r="E16763" s="8"/>
      <c r="G16763" s="8"/>
      <c r="J16763" s="8"/>
    </row>
    <row r="16764">
      <c r="C16764" s="15"/>
      <c r="E16764" s="8"/>
      <c r="G16764" s="8"/>
      <c r="J16764" s="8"/>
    </row>
    <row r="16765">
      <c r="C16765" s="15"/>
      <c r="E16765" s="8"/>
      <c r="G16765" s="8"/>
      <c r="J16765" s="8"/>
    </row>
    <row r="16766">
      <c r="C16766" s="15"/>
      <c r="E16766" s="8"/>
      <c r="G16766" s="8"/>
      <c r="J16766" s="8"/>
    </row>
    <row r="16767">
      <c r="C16767" s="15"/>
      <c r="E16767" s="8"/>
      <c r="G16767" s="8"/>
      <c r="J16767" s="8"/>
    </row>
    <row r="16768">
      <c r="C16768" s="15"/>
      <c r="E16768" s="8"/>
      <c r="G16768" s="8"/>
      <c r="J16768" s="8"/>
    </row>
    <row r="16769">
      <c r="C16769" s="15"/>
      <c r="E16769" s="8"/>
      <c r="G16769" s="8"/>
      <c r="J16769" s="8"/>
    </row>
    <row r="16770">
      <c r="C16770" s="15"/>
      <c r="E16770" s="8"/>
      <c r="G16770" s="8"/>
      <c r="J16770" s="8"/>
    </row>
    <row r="16771">
      <c r="C16771" s="15"/>
      <c r="E16771" s="8"/>
      <c r="G16771" s="8"/>
      <c r="J16771" s="8"/>
    </row>
    <row r="16772">
      <c r="C16772" s="15"/>
      <c r="E16772" s="8"/>
      <c r="G16772" s="8"/>
      <c r="J16772" s="8"/>
    </row>
    <row r="16773">
      <c r="C16773" s="15"/>
      <c r="E16773" s="8"/>
      <c r="G16773" s="8"/>
      <c r="J16773" s="8"/>
    </row>
    <row r="16774">
      <c r="C16774" s="15"/>
      <c r="E16774" s="8"/>
      <c r="G16774" s="8"/>
      <c r="J16774" s="8"/>
    </row>
    <row r="16775">
      <c r="C16775" s="15"/>
      <c r="E16775" s="8"/>
      <c r="G16775" s="8"/>
      <c r="J16775" s="8"/>
    </row>
    <row r="16776">
      <c r="C16776" s="15"/>
      <c r="E16776" s="8"/>
      <c r="G16776" s="8"/>
      <c r="J16776" s="8"/>
    </row>
    <row r="16777">
      <c r="C16777" s="15"/>
      <c r="E16777" s="8"/>
      <c r="G16777" s="8"/>
      <c r="J16777" s="8"/>
    </row>
    <row r="16778">
      <c r="C16778" s="15"/>
      <c r="E16778" s="8"/>
      <c r="G16778" s="8"/>
      <c r="J16778" s="8"/>
    </row>
    <row r="16779">
      <c r="C16779" s="15"/>
      <c r="E16779" s="8"/>
      <c r="G16779" s="8"/>
      <c r="J16779" s="8"/>
    </row>
    <row r="16780">
      <c r="C16780" s="15"/>
      <c r="E16780" s="8"/>
      <c r="G16780" s="8"/>
      <c r="J16780" s="8"/>
    </row>
    <row r="16781">
      <c r="C16781" s="15"/>
      <c r="E16781" s="8"/>
      <c r="G16781" s="8"/>
      <c r="J16781" s="8"/>
    </row>
    <row r="16782">
      <c r="C16782" s="15"/>
      <c r="E16782" s="8"/>
      <c r="G16782" s="8"/>
      <c r="J16782" s="8"/>
    </row>
    <row r="16783">
      <c r="C16783" s="15"/>
      <c r="E16783" s="8"/>
      <c r="G16783" s="8"/>
      <c r="J16783" s="8"/>
    </row>
    <row r="16784">
      <c r="C16784" s="15"/>
      <c r="E16784" s="8"/>
      <c r="G16784" s="8"/>
      <c r="J16784" s="8"/>
    </row>
    <row r="16785">
      <c r="C16785" s="15"/>
      <c r="E16785" s="8"/>
      <c r="G16785" s="8"/>
      <c r="J16785" s="8"/>
    </row>
    <row r="16786">
      <c r="C16786" s="15"/>
      <c r="E16786" s="8"/>
      <c r="G16786" s="8"/>
      <c r="J16786" s="8"/>
    </row>
    <row r="16787">
      <c r="C16787" s="15"/>
      <c r="E16787" s="8"/>
      <c r="G16787" s="8"/>
      <c r="J16787" s="8"/>
    </row>
    <row r="16788">
      <c r="C16788" s="15"/>
      <c r="E16788" s="8"/>
      <c r="G16788" s="8"/>
      <c r="J16788" s="8"/>
    </row>
    <row r="16789">
      <c r="C16789" s="15"/>
      <c r="E16789" s="8"/>
      <c r="G16789" s="8"/>
      <c r="J16789" s="8"/>
    </row>
    <row r="16790">
      <c r="C16790" s="15"/>
      <c r="E16790" s="8"/>
      <c r="G16790" s="8"/>
      <c r="J16790" s="8"/>
    </row>
    <row r="16791">
      <c r="C16791" s="15"/>
      <c r="E16791" s="8"/>
      <c r="G16791" s="8"/>
      <c r="J16791" s="8"/>
    </row>
    <row r="16792">
      <c r="C16792" s="15"/>
      <c r="E16792" s="8"/>
      <c r="G16792" s="8"/>
      <c r="J16792" s="8"/>
    </row>
    <row r="16793">
      <c r="C16793" s="15"/>
      <c r="E16793" s="8"/>
      <c r="G16793" s="8"/>
      <c r="J16793" s="8"/>
    </row>
    <row r="16794">
      <c r="C16794" s="15"/>
      <c r="E16794" s="8"/>
      <c r="G16794" s="8"/>
      <c r="J16794" s="8"/>
    </row>
    <row r="16795">
      <c r="C16795" s="15"/>
      <c r="E16795" s="8"/>
      <c r="G16795" s="8"/>
      <c r="J16795" s="8"/>
    </row>
    <row r="16796">
      <c r="C16796" s="15"/>
      <c r="E16796" s="8"/>
      <c r="G16796" s="8"/>
      <c r="J16796" s="8"/>
    </row>
    <row r="16797">
      <c r="C16797" s="15"/>
      <c r="E16797" s="8"/>
      <c r="G16797" s="8"/>
      <c r="J16797" s="8"/>
    </row>
    <row r="16798">
      <c r="C16798" s="15"/>
      <c r="E16798" s="8"/>
      <c r="G16798" s="8"/>
      <c r="J16798" s="8"/>
    </row>
    <row r="16799">
      <c r="C16799" s="15"/>
      <c r="E16799" s="8"/>
      <c r="G16799" s="8"/>
      <c r="J16799" s="8"/>
    </row>
    <row r="16800">
      <c r="C16800" s="15"/>
      <c r="E16800" s="8"/>
      <c r="G16800" s="8"/>
      <c r="J16800" s="8"/>
    </row>
    <row r="16801">
      <c r="C16801" s="15"/>
      <c r="E16801" s="8"/>
      <c r="G16801" s="8"/>
      <c r="J16801" s="8"/>
    </row>
    <row r="16802">
      <c r="C16802" s="15"/>
      <c r="E16802" s="8"/>
      <c r="G16802" s="8"/>
      <c r="J16802" s="8"/>
    </row>
    <row r="16803">
      <c r="C16803" s="15"/>
      <c r="E16803" s="8"/>
      <c r="G16803" s="8"/>
      <c r="J16803" s="8"/>
    </row>
    <row r="16804">
      <c r="C16804" s="15"/>
      <c r="E16804" s="8"/>
      <c r="G16804" s="8"/>
      <c r="J16804" s="8"/>
    </row>
    <row r="16805">
      <c r="C16805" s="15"/>
      <c r="E16805" s="8"/>
      <c r="G16805" s="8"/>
      <c r="J16805" s="8"/>
    </row>
    <row r="16806">
      <c r="C16806" s="15"/>
      <c r="E16806" s="8"/>
      <c r="G16806" s="8"/>
      <c r="J16806" s="8"/>
    </row>
    <row r="16807">
      <c r="C16807" s="15"/>
      <c r="E16807" s="8"/>
      <c r="G16807" s="8"/>
      <c r="J16807" s="8"/>
    </row>
    <row r="16808">
      <c r="C16808" s="15"/>
      <c r="E16808" s="8"/>
      <c r="G16808" s="8"/>
      <c r="J16808" s="8"/>
    </row>
    <row r="16809">
      <c r="C16809" s="15"/>
      <c r="E16809" s="8"/>
      <c r="G16809" s="8"/>
      <c r="J16809" s="8"/>
    </row>
    <row r="16810">
      <c r="C16810" s="15"/>
      <c r="E16810" s="8"/>
      <c r="G16810" s="8"/>
      <c r="J16810" s="8"/>
    </row>
    <row r="16811">
      <c r="C16811" s="15"/>
      <c r="E16811" s="8"/>
      <c r="G16811" s="8"/>
      <c r="J16811" s="8"/>
    </row>
    <row r="16812">
      <c r="C16812" s="15"/>
      <c r="E16812" s="8"/>
      <c r="G16812" s="8"/>
      <c r="J16812" s="8"/>
    </row>
    <row r="16813">
      <c r="C16813" s="15"/>
      <c r="E16813" s="8"/>
      <c r="G16813" s="8"/>
      <c r="J16813" s="8"/>
    </row>
    <row r="16814">
      <c r="C16814" s="15"/>
      <c r="E16814" s="8"/>
      <c r="G16814" s="8"/>
      <c r="J16814" s="8"/>
    </row>
    <row r="16815">
      <c r="C16815" s="15"/>
      <c r="E16815" s="8"/>
      <c r="G16815" s="8"/>
      <c r="J16815" s="8"/>
    </row>
    <row r="16816">
      <c r="C16816" s="15"/>
      <c r="E16816" s="8"/>
      <c r="G16816" s="8"/>
      <c r="J16816" s="8"/>
    </row>
    <row r="16817">
      <c r="C16817" s="15"/>
      <c r="E16817" s="8"/>
      <c r="G16817" s="8"/>
      <c r="J16817" s="8"/>
    </row>
    <row r="16818">
      <c r="C16818" s="15"/>
      <c r="E16818" s="8"/>
      <c r="G16818" s="8"/>
      <c r="J16818" s="8"/>
    </row>
    <row r="16819">
      <c r="C16819" s="15"/>
      <c r="E16819" s="8"/>
      <c r="G16819" s="8"/>
      <c r="J16819" s="8"/>
    </row>
    <row r="16820">
      <c r="C16820" s="15"/>
      <c r="E16820" s="8"/>
      <c r="G16820" s="8"/>
      <c r="J16820" s="8"/>
    </row>
    <row r="16821">
      <c r="C16821" s="15"/>
      <c r="E16821" s="8"/>
      <c r="G16821" s="8"/>
      <c r="J16821" s="8"/>
    </row>
    <row r="16822">
      <c r="C16822" s="15"/>
      <c r="E16822" s="8"/>
      <c r="G16822" s="8"/>
      <c r="J16822" s="8"/>
    </row>
    <row r="16823">
      <c r="C16823" s="15"/>
      <c r="E16823" s="8"/>
      <c r="G16823" s="8"/>
      <c r="J16823" s="8"/>
    </row>
    <row r="16824">
      <c r="C16824" s="15"/>
      <c r="E16824" s="8"/>
      <c r="G16824" s="8"/>
      <c r="J16824" s="8"/>
    </row>
    <row r="16825">
      <c r="C16825" s="15"/>
      <c r="E16825" s="8"/>
      <c r="G16825" s="8"/>
      <c r="J16825" s="8"/>
    </row>
    <row r="16826">
      <c r="C16826" s="15"/>
      <c r="E16826" s="8"/>
      <c r="G16826" s="8"/>
      <c r="J16826" s="8"/>
    </row>
    <row r="16827">
      <c r="C16827" s="15"/>
      <c r="E16827" s="8"/>
      <c r="G16827" s="8"/>
      <c r="J16827" s="8"/>
    </row>
    <row r="16828">
      <c r="C16828" s="15"/>
      <c r="E16828" s="8"/>
      <c r="G16828" s="8"/>
      <c r="J16828" s="8"/>
    </row>
    <row r="16829">
      <c r="C16829" s="15"/>
      <c r="E16829" s="8"/>
      <c r="G16829" s="8"/>
      <c r="J16829" s="8"/>
    </row>
    <row r="16830">
      <c r="C16830" s="15"/>
      <c r="E16830" s="8"/>
      <c r="G16830" s="8"/>
      <c r="J16830" s="8"/>
    </row>
    <row r="16831">
      <c r="C16831" s="15"/>
      <c r="E16831" s="8"/>
      <c r="G16831" s="8"/>
      <c r="J16831" s="8"/>
    </row>
    <row r="16832">
      <c r="C16832" s="15"/>
      <c r="E16832" s="8"/>
      <c r="G16832" s="8"/>
      <c r="J16832" s="8"/>
    </row>
    <row r="16833">
      <c r="C16833" s="15"/>
      <c r="E16833" s="8"/>
      <c r="G16833" s="8"/>
      <c r="J16833" s="8"/>
    </row>
    <row r="16834">
      <c r="C16834" s="15"/>
      <c r="E16834" s="8"/>
      <c r="G16834" s="8"/>
      <c r="J16834" s="8"/>
    </row>
    <row r="16835">
      <c r="C16835" s="15"/>
      <c r="E16835" s="8"/>
      <c r="G16835" s="8"/>
      <c r="J16835" s="8"/>
    </row>
    <row r="16836">
      <c r="C16836" s="15"/>
      <c r="E16836" s="8"/>
      <c r="G16836" s="8"/>
      <c r="J16836" s="8"/>
    </row>
    <row r="16837">
      <c r="C16837" s="15"/>
      <c r="E16837" s="8"/>
      <c r="G16837" s="8"/>
      <c r="J16837" s="8"/>
    </row>
    <row r="16838">
      <c r="C16838" s="15"/>
      <c r="E16838" s="8"/>
      <c r="G16838" s="8"/>
      <c r="J16838" s="8"/>
    </row>
    <row r="16839">
      <c r="C16839" s="15"/>
      <c r="E16839" s="8"/>
      <c r="G16839" s="8"/>
      <c r="J16839" s="8"/>
    </row>
    <row r="16840">
      <c r="C16840" s="15"/>
      <c r="E16840" s="8"/>
      <c r="G16840" s="8"/>
      <c r="J16840" s="8"/>
    </row>
    <row r="16841">
      <c r="C16841" s="15"/>
      <c r="E16841" s="8"/>
      <c r="G16841" s="8"/>
      <c r="J16841" s="8"/>
    </row>
    <row r="16842">
      <c r="C16842" s="15"/>
      <c r="E16842" s="8"/>
      <c r="G16842" s="8"/>
      <c r="J16842" s="8"/>
    </row>
    <row r="16843">
      <c r="C16843" s="15"/>
      <c r="E16843" s="8"/>
      <c r="G16843" s="8"/>
      <c r="J16843" s="8"/>
    </row>
    <row r="16844">
      <c r="C16844" s="15"/>
      <c r="E16844" s="8"/>
      <c r="G16844" s="8"/>
      <c r="J16844" s="8"/>
    </row>
    <row r="16845">
      <c r="C16845" s="15"/>
      <c r="E16845" s="8"/>
      <c r="G16845" s="8"/>
      <c r="J16845" s="8"/>
    </row>
    <row r="16846">
      <c r="C16846" s="15"/>
      <c r="E16846" s="8"/>
      <c r="G16846" s="8"/>
      <c r="J16846" s="8"/>
    </row>
    <row r="16847">
      <c r="C16847" s="15"/>
      <c r="E16847" s="8"/>
      <c r="G16847" s="8"/>
      <c r="J16847" s="8"/>
    </row>
    <row r="16848">
      <c r="C16848" s="15"/>
      <c r="E16848" s="8"/>
      <c r="G16848" s="8"/>
      <c r="J16848" s="8"/>
    </row>
    <row r="16849">
      <c r="C16849" s="15"/>
      <c r="E16849" s="8"/>
      <c r="G16849" s="8"/>
      <c r="J16849" s="8"/>
    </row>
    <row r="16850">
      <c r="C16850" s="15"/>
      <c r="E16850" s="8"/>
      <c r="G16850" s="8"/>
      <c r="J16850" s="8"/>
    </row>
    <row r="16851">
      <c r="C16851" s="15"/>
      <c r="E16851" s="8"/>
      <c r="G16851" s="8"/>
      <c r="J16851" s="8"/>
    </row>
    <row r="16852">
      <c r="C16852" s="15"/>
      <c r="E16852" s="8"/>
      <c r="G16852" s="8"/>
      <c r="J16852" s="8"/>
    </row>
    <row r="16853">
      <c r="C16853" s="15"/>
      <c r="E16853" s="8"/>
      <c r="G16853" s="8"/>
      <c r="J16853" s="8"/>
    </row>
    <row r="16854">
      <c r="C16854" s="15"/>
      <c r="E16854" s="8"/>
      <c r="G16854" s="8"/>
      <c r="J16854" s="8"/>
    </row>
    <row r="16855">
      <c r="C16855" s="15"/>
      <c r="E16855" s="8"/>
      <c r="G16855" s="8"/>
      <c r="J16855" s="8"/>
    </row>
    <row r="16856">
      <c r="C16856" s="15"/>
      <c r="E16856" s="8"/>
      <c r="G16856" s="8"/>
      <c r="J16856" s="8"/>
    </row>
    <row r="16857">
      <c r="C16857" s="15"/>
      <c r="E16857" s="8"/>
      <c r="G16857" s="8"/>
      <c r="J16857" s="8"/>
    </row>
    <row r="16858">
      <c r="C16858" s="15"/>
      <c r="E16858" s="8"/>
      <c r="G16858" s="8"/>
      <c r="J16858" s="8"/>
    </row>
    <row r="16859">
      <c r="C16859" s="15"/>
      <c r="E16859" s="8"/>
      <c r="G16859" s="8"/>
      <c r="J16859" s="8"/>
    </row>
    <row r="16860">
      <c r="C16860" s="15"/>
      <c r="E16860" s="8"/>
      <c r="G16860" s="8"/>
      <c r="J16860" s="8"/>
    </row>
    <row r="16861">
      <c r="C16861" s="15"/>
      <c r="E16861" s="8"/>
      <c r="G16861" s="8"/>
      <c r="J16861" s="8"/>
    </row>
    <row r="16862">
      <c r="C16862" s="15"/>
      <c r="E16862" s="8"/>
      <c r="G16862" s="8"/>
      <c r="J16862" s="8"/>
    </row>
    <row r="16863">
      <c r="C16863" s="15"/>
      <c r="E16863" s="8"/>
      <c r="G16863" s="8"/>
      <c r="J16863" s="8"/>
    </row>
    <row r="16864">
      <c r="C16864" s="15"/>
      <c r="E16864" s="8"/>
      <c r="G16864" s="8"/>
      <c r="J16864" s="8"/>
    </row>
    <row r="16865">
      <c r="C16865" s="15"/>
      <c r="E16865" s="8"/>
      <c r="G16865" s="8"/>
      <c r="J16865" s="8"/>
    </row>
    <row r="16866">
      <c r="C16866" s="15"/>
      <c r="E16866" s="8"/>
      <c r="G16866" s="8"/>
      <c r="J16866" s="8"/>
    </row>
    <row r="16867">
      <c r="C16867" s="15"/>
      <c r="E16867" s="8"/>
      <c r="G16867" s="8"/>
      <c r="J16867" s="8"/>
    </row>
    <row r="16868">
      <c r="C16868" s="15"/>
      <c r="E16868" s="8"/>
      <c r="G16868" s="8"/>
      <c r="J16868" s="8"/>
    </row>
    <row r="16869">
      <c r="C16869" s="15"/>
      <c r="E16869" s="8"/>
      <c r="G16869" s="8"/>
      <c r="J16869" s="8"/>
    </row>
    <row r="16870">
      <c r="C16870" s="15"/>
      <c r="E16870" s="8"/>
      <c r="G16870" s="8"/>
      <c r="J16870" s="8"/>
    </row>
    <row r="16871">
      <c r="C16871" s="15"/>
      <c r="E16871" s="8"/>
      <c r="G16871" s="8"/>
      <c r="J16871" s="8"/>
    </row>
    <row r="16872">
      <c r="C16872" s="15"/>
      <c r="E16872" s="8"/>
      <c r="G16872" s="8"/>
      <c r="J16872" s="8"/>
    </row>
    <row r="16873">
      <c r="C16873" s="15"/>
      <c r="E16873" s="8"/>
      <c r="G16873" s="8"/>
      <c r="J16873" s="8"/>
    </row>
    <row r="16874">
      <c r="C16874" s="15"/>
      <c r="E16874" s="8"/>
      <c r="G16874" s="8"/>
      <c r="J16874" s="8"/>
    </row>
    <row r="16875">
      <c r="C16875" s="15"/>
      <c r="E16875" s="8"/>
      <c r="G16875" s="8"/>
      <c r="J16875" s="8"/>
    </row>
    <row r="16876">
      <c r="C16876" s="15"/>
      <c r="E16876" s="8"/>
      <c r="G16876" s="8"/>
      <c r="J16876" s="8"/>
    </row>
    <row r="16877">
      <c r="C16877" s="15"/>
      <c r="E16877" s="8"/>
      <c r="G16877" s="8"/>
      <c r="J16877" s="8"/>
    </row>
    <row r="16878">
      <c r="C16878" s="15"/>
      <c r="E16878" s="8"/>
      <c r="G16878" s="8"/>
      <c r="J16878" s="8"/>
    </row>
    <row r="16879">
      <c r="C16879" s="15"/>
      <c r="E16879" s="8"/>
      <c r="G16879" s="8"/>
      <c r="J16879" s="8"/>
    </row>
    <row r="16880">
      <c r="C16880" s="15"/>
      <c r="E16880" s="8"/>
      <c r="G16880" s="8"/>
      <c r="J16880" s="8"/>
    </row>
    <row r="16881">
      <c r="C16881" s="15"/>
      <c r="E16881" s="8"/>
      <c r="G16881" s="8"/>
      <c r="J16881" s="8"/>
    </row>
    <row r="16882">
      <c r="C16882" s="15"/>
      <c r="E16882" s="8"/>
      <c r="G16882" s="8"/>
      <c r="J16882" s="8"/>
    </row>
    <row r="16883">
      <c r="C16883" s="15"/>
      <c r="E16883" s="8"/>
      <c r="G16883" s="8"/>
      <c r="J16883" s="8"/>
    </row>
    <row r="16884">
      <c r="C16884" s="15"/>
      <c r="E16884" s="8"/>
      <c r="G16884" s="8"/>
      <c r="J16884" s="8"/>
    </row>
    <row r="16885">
      <c r="C16885" s="15"/>
      <c r="E16885" s="8"/>
      <c r="G16885" s="8"/>
      <c r="J16885" s="8"/>
    </row>
    <row r="16886">
      <c r="C16886" s="15"/>
      <c r="E16886" s="8"/>
      <c r="G16886" s="8"/>
      <c r="J16886" s="8"/>
    </row>
    <row r="16887">
      <c r="C16887" s="15"/>
      <c r="E16887" s="8"/>
      <c r="G16887" s="8"/>
      <c r="J16887" s="8"/>
    </row>
    <row r="16888">
      <c r="C16888" s="15"/>
      <c r="E16888" s="8"/>
      <c r="G16888" s="8"/>
      <c r="J16888" s="8"/>
    </row>
    <row r="16889">
      <c r="C16889" s="15"/>
      <c r="E16889" s="8"/>
      <c r="G16889" s="8"/>
      <c r="J16889" s="8"/>
    </row>
    <row r="16890">
      <c r="C16890" s="15"/>
      <c r="E16890" s="8"/>
      <c r="G16890" s="8"/>
      <c r="J16890" s="8"/>
    </row>
    <row r="16891">
      <c r="C16891" s="15"/>
      <c r="E16891" s="8"/>
      <c r="G16891" s="8"/>
      <c r="J16891" s="8"/>
    </row>
    <row r="16892">
      <c r="C16892" s="15"/>
      <c r="E16892" s="8"/>
      <c r="G16892" s="8"/>
      <c r="J16892" s="8"/>
    </row>
    <row r="16893">
      <c r="C16893" s="15"/>
      <c r="E16893" s="8"/>
      <c r="G16893" s="8"/>
      <c r="J16893" s="8"/>
    </row>
    <row r="16894">
      <c r="C16894" s="15"/>
      <c r="E16894" s="8"/>
      <c r="G16894" s="8"/>
      <c r="J16894" s="8"/>
    </row>
    <row r="16895">
      <c r="C16895" s="15"/>
      <c r="E16895" s="8"/>
      <c r="G16895" s="8"/>
      <c r="J16895" s="8"/>
    </row>
    <row r="16896">
      <c r="C16896" s="15"/>
      <c r="E16896" s="8"/>
      <c r="G16896" s="8"/>
      <c r="J16896" s="8"/>
    </row>
    <row r="16897">
      <c r="C16897" s="15"/>
      <c r="E16897" s="8"/>
      <c r="G16897" s="8"/>
      <c r="J16897" s="8"/>
    </row>
    <row r="16898">
      <c r="C16898" s="15"/>
      <c r="E16898" s="8"/>
      <c r="G16898" s="8"/>
      <c r="J16898" s="8"/>
    </row>
    <row r="16899">
      <c r="C16899" s="15"/>
      <c r="E16899" s="8"/>
      <c r="G16899" s="8"/>
      <c r="J16899" s="8"/>
    </row>
    <row r="16900">
      <c r="C16900" s="15"/>
      <c r="E16900" s="8"/>
      <c r="G16900" s="8"/>
      <c r="J16900" s="8"/>
    </row>
    <row r="16901">
      <c r="C16901" s="15"/>
      <c r="E16901" s="8"/>
      <c r="G16901" s="8"/>
      <c r="J16901" s="8"/>
    </row>
    <row r="16902">
      <c r="C16902" s="15"/>
      <c r="E16902" s="8"/>
      <c r="G16902" s="8"/>
      <c r="J16902" s="8"/>
    </row>
    <row r="16903">
      <c r="C16903" s="15"/>
      <c r="E16903" s="8"/>
      <c r="G16903" s="8"/>
      <c r="J16903" s="8"/>
    </row>
    <row r="16904">
      <c r="C16904" s="15"/>
      <c r="E16904" s="8"/>
      <c r="G16904" s="8"/>
      <c r="J16904" s="8"/>
    </row>
    <row r="16905">
      <c r="C16905" s="15"/>
      <c r="E16905" s="8"/>
      <c r="G16905" s="8"/>
      <c r="J16905" s="8"/>
    </row>
    <row r="16906">
      <c r="C16906" s="15"/>
      <c r="E16906" s="8"/>
      <c r="G16906" s="8"/>
      <c r="J16906" s="8"/>
    </row>
    <row r="16907">
      <c r="C16907" s="15"/>
      <c r="E16907" s="8"/>
      <c r="G16907" s="8"/>
      <c r="J16907" s="8"/>
    </row>
    <row r="16908">
      <c r="C16908" s="15"/>
      <c r="E16908" s="8"/>
      <c r="G16908" s="8"/>
      <c r="J16908" s="8"/>
    </row>
    <row r="16909">
      <c r="C16909" s="15"/>
      <c r="E16909" s="8"/>
      <c r="G16909" s="8"/>
      <c r="J16909" s="8"/>
    </row>
    <row r="16910">
      <c r="C16910" s="15"/>
      <c r="E16910" s="8"/>
      <c r="G16910" s="8"/>
      <c r="J16910" s="8"/>
    </row>
    <row r="16911">
      <c r="C16911" s="15"/>
      <c r="E16911" s="8"/>
      <c r="G16911" s="8"/>
      <c r="J16911" s="8"/>
    </row>
    <row r="16912">
      <c r="C16912" s="15"/>
      <c r="E16912" s="8"/>
      <c r="G16912" s="8"/>
      <c r="J16912" s="8"/>
    </row>
    <row r="16913">
      <c r="C16913" s="15"/>
      <c r="E16913" s="8"/>
      <c r="G16913" s="8"/>
      <c r="J16913" s="8"/>
    </row>
    <row r="16914">
      <c r="C16914" s="15"/>
      <c r="E16914" s="8"/>
      <c r="G16914" s="8"/>
      <c r="J16914" s="8"/>
    </row>
    <row r="16915">
      <c r="C16915" s="15"/>
      <c r="E16915" s="8"/>
      <c r="G16915" s="8"/>
      <c r="J16915" s="8"/>
    </row>
    <row r="16916">
      <c r="C16916" s="15"/>
      <c r="E16916" s="8"/>
      <c r="G16916" s="8"/>
      <c r="J16916" s="8"/>
    </row>
    <row r="16917">
      <c r="C16917" s="15"/>
      <c r="E16917" s="8"/>
      <c r="G16917" s="8"/>
      <c r="J16917" s="8"/>
    </row>
    <row r="16918">
      <c r="C16918" s="15"/>
      <c r="E16918" s="8"/>
      <c r="G16918" s="8"/>
      <c r="J16918" s="8"/>
    </row>
    <row r="16919">
      <c r="C16919" s="15"/>
      <c r="E16919" s="8"/>
      <c r="G16919" s="8"/>
      <c r="J16919" s="8"/>
    </row>
    <row r="16920">
      <c r="C16920" s="15"/>
      <c r="E16920" s="8"/>
      <c r="G16920" s="8"/>
      <c r="J16920" s="8"/>
    </row>
    <row r="16921">
      <c r="C16921" s="15"/>
      <c r="E16921" s="8"/>
      <c r="G16921" s="8"/>
      <c r="J16921" s="8"/>
    </row>
    <row r="16922">
      <c r="C16922" s="15"/>
      <c r="E16922" s="8"/>
      <c r="G16922" s="8"/>
      <c r="J16922" s="8"/>
    </row>
    <row r="16923">
      <c r="C16923" s="15"/>
      <c r="E16923" s="8"/>
      <c r="G16923" s="8"/>
      <c r="J16923" s="8"/>
    </row>
    <row r="16924">
      <c r="C16924" s="15"/>
      <c r="E16924" s="8"/>
      <c r="G16924" s="8"/>
      <c r="J16924" s="8"/>
    </row>
    <row r="16925">
      <c r="C16925" s="15"/>
      <c r="E16925" s="8"/>
      <c r="G16925" s="8"/>
      <c r="J16925" s="8"/>
    </row>
    <row r="16926">
      <c r="C16926" s="15"/>
      <c r="E16926" s="8"/>
      <c r="G16926" s="8"/>
      <c r="J16926" s="8"/>
    </row>
    <row r="16927">
      <c r="C16927" s="15"/>
      <c r="E16927" s="8"/>
      <c r="G16927" s="8"/>
      <c r="J16927" s="8"/>
    </row>
    <row r="16928">
      <c r="C16928" s="15"/>
      <c r="E16928" s="8"/>
      <c r="G16928" s="8"/>
      <c r="J16928" s="8"/>
    </row>
    <row r="16929">
      <c r="C16929" s="15"/>
      <c r="E16929" s="8"/>
      <c r="G16929" s="8"/>
      <c r="J16929" s="8"/>
    </row>
    <row r="16930">
      <c r="C16930" s="15"/>
      <c r="E16930" s="8"/>
      <c r="G16930" s="8"/>
      <c r="J16930" s="8"/>
    </row>
    <row r="16931">
      <c r="C16931" s="15"/>
      <c r="E16931" s="8"/>
      <c r="G16931" s="8"/>
      <c r="J16931" s="8"/>
    </row>
    <row r="16932">
      <c r="C16932" s="15"/>
      <c r="E16932" s="8"/>
      <c r="G16932" s="8"/>
      <c r="J16932" s="8"/>
    </row>
    <row r="16933">
      <c r="C16933" s="15"/>
      <c r="E16933" s="8"/>
      <c r="G16933" s="8"/>
      <c r="J16933" s="8"/>
    </row>
    <row r="16934">
      <c r="C16934" s="15"/>
      <c r="E16934" s="8"/>
      <c r="G16934" s="8"/>
      <c r="J16934" s="8"/>
    </row>
    <row r="16935">
      <c r="C16935" s="15"/>
      <c r="E16935" s="8"/>
      <c r="G16935" s="8"/>
      <c r="J16935" s="8"/>
    </row>
    <row r="16936">
      <c r="C16936" s="15"/>
      <c r="E16936" s="8"/>
      <c r="G16936" s="8"/>
      <c r="J16936" s="8"/>
    </row>
    <row r="16937">
      <c r="C16937" s="15"/>
      <c r="E16937" s="8"/>
      <c r="G16937" s="8"/>
      <c r="J16937" s="8"/>
    </row>
    <row r="16938">
      <c r="C16938" s="15"/>
      <c r="E16938" s="8"/>
      <c r="G16938" s="8"/>
      <c r="J16938" s="8"/>
    </row>
    <row r="16939">
      <c r="C16939" s="15"/>
      <c r="E16939" s="8"/>
      <c r="G16939" s="8"/>
      <c r="J16939" s="8"/>
    </row>
    <row r="16940">
      <c r="C16940" s="15"/>
      <c r="E16940" s="8"/>
      <c r="G16940" s="8"/>
      <c r="J16940" s="8"/>
    </row>
    <row r="16941">
      <c r="C16941" s="15"/>
      <c r="E16941" s="8"/>
      <c r="G16941" s="8"/>
      <c r="J16941" s="8"/>
    </row>
    <row r="16942">
      <c r="C16942" s="15"/>
      <c r="E16942" s="8"/>
      <c r="G16942" s="8"/>
      <c r="J16942" s="8"/>
    </row>
    <row r="16943">
      <c r="C16943" s="15"/>
      <c r="E16943" s="8"/>
      <c r="G16943" s="8"/>
      <c r="J16943" s="8"/>
    </row>
    <row r="16944">
      <c r="C16944" s="15"/>
      <c r="E16944" s="8"/>
      <c r="G16944" s="8"/>
      <c r="J16944" s="8"/>
    </row>
    <row r="16945">
      <c r="C16945" s="15"/>
      <c r="E16945" s="8"/>
      <c r="G16945" s="8"/>
      <c r="J16945" s="8"/>
    </row>
    <row r="16946">
      <c r="C16946" s="15"/>
      <c r="E16946" s="8"/>
      <c r="G16946" s="8"/>
      <c r="J16946" s="8"/>
    </row>
    <row r="16947">
      <c r="C16947" s="15"/>
      <c r="E16947" s="8"/>
      <c r="G16947" s="8"/>
      <c r="J16947" s="8"/>
    </row>
    <row r="16948">
      <c r="C16948" s="15"/>
      <c r="E16948" s="8"/>
      <c r="G16948" s="8"/>
      <c r="J16948" s="8"/>
    </row>
    <row r="16949">
      <c r="C16949" s="15"/>
      <c r="E16949" s="8"/>
      <c r="G16949" s="8"/>
      <c r="J16949" s="8"/>
    </row>
    <row r="16950">
      <c r="C16950" s="15"/>
      <c r="E16950" s="8"/>
      <c r="G16950" s="8"/>
      <c r="J16950" s="8"/>
    </row>
    <row r="16951">
      <c r="C16951" s="15"/>
      <c r="E16951" s="8"/>
      <c r="G16951" s="8"/>
      <c r="J16951" s="8"/>
    </row>
    <row r="16952">
      <c r="C16952" s="15"/>
      <c r="E16952" s="8"/>
      <c r="G16952" s="8"/>
      <c r="J16952" s="8"/>
    </row>
    <row r="16953">
      <c r="C16953" s="15"/>
      <c r="E16953" s="8"/>
      <c r="G16953" s="8"/>
      <c r="J16953" s="8"/>
    </row>
    <row r="16954">
      <c r="C16954" s="15"/>
      <c r="E16954" s="8"/>
      <c r="G16954" s="8"/>
      <c r="J16954" s="8"/>
    </row>
    <row r="16955">
      <c r="C16955" s="15"/>
      <c r="E16955" s="8"/>
      <c r="G16955" s="8"/>
      <c r="J16955" s="8"/>
    </row>
    <row r="16956">
      <c r="C16956" s="15"/>
      <c r="E16956" s="8"/>
      <c r="G16956" s="8"/>
      <c r="J16956" s="8"/>
    </row>
    <row r="16957">
      <c r="C16957" s="15"/>
      <c r="E16957" s="8"/>
      <c r="G16957" s="8"/>
      <c r="J16957" s="8"/>
    </row>
    <row r="16958">
      <c r="C16958" s="15"/>
      <c r="E16958" s="8"/>
      <c r="G16958" s="8"/>
      <c r="J16958" s="8"/>
    </row>
    <row r="16959">
      <c r="C16959" s="15"/>
      <c r="E16959" s="8"/>
      <c r="G16959" s="8"/>
      <c r="J16959" s="8"/>
    </row>
    <row r="16960">
      <c r="C16960" s="15"/>
      <c r="E16960" s="8"/>
      <c r="G16960" s="8"/>
      <c r="J16960" s="8"/>
    </row>
    <row r="16961">
      <c r="C16961" s="15"/>
      <c r="E16961" s="8"/>
      <c r="G16961" s="8"/>
      <c r="J16961" s="8"/>
    </row>
    <row r="16962">
      <c r="C16962" s="15"/>
      <c r="E16962" s="8"/>
      <c r="G16962" s="8"/>
      <c r="J16962" s="8"/>
    </row>
    <row r="16963">
      <c r="C16963" s="15"/>
      <c r="E16963" s="8"/>
      <c r="G16963" s="8"/>
      <c r="J16963" s="8"/>
    </row>
    <row r="16964">
      <c r="C16964" s="15"/>
      <c r="E16964" s="8"/>
      <c r="G16964" s="8"/>
      <c r="J16964" s="8"/>
    </row>
    <row r="16965">
      <c r="C16965" s="15"/>
      <c r="E16965" s="8"/>
      <c r="G16965" s="8"/>
      <c r="J16965" s="8"/>
    </row>
    <row r="16966">
      <c r="C16966" s="15"/>
      <c r="E16966" s="8"/>
      <c r="G16966" s="8"/>
      <c r="J16966" s="8"/>
    </row>
    <row r="16967">
      <c r="C16967" s="15"/>
      <c r="E16967" s="8"/>
      <c r="G16967" s="8"/>
      <c r="J16967" s="8"/>
    </row>
    <row r="16968">
      <c r="C16968" s="15"/>
      <c r="E16968" s="8"/>
      <c r="G16968" s="8"/>
      <c r="J16968" s="8"/>
    </row>
    <row r="16969">
      <c r="C16969" s="15"/>
      <c r="E16969" s="8"/>
      <c r="G16969" s="8"/>
      <c r="J16969" s="8"/>
    </row>
    <row r="16970">
      <c r="C16970" s="15"/>
      <c r="E16970" s="8"/>
      <c r="G16970" s="8"/>
      <c r="J16970" s="8"/>
    </row>
    <row r="16971">
      <c r="C16971" s="15"/>
      <c r="E16971" s="8"/>
      <c r="G16971" s="8"/>
      <c r="J16971" s="8"/>
    </row>
    <row r="16972">
      <c r="C16972" s="15"/>
      <c r="E16972" s="8"/>
      <c r="G16972" s="8"/>
      <c r="J16972" s="8"/>
    </row>
    <row r="16973">
      <c r="C16973" s="15"/>
      <c r="E16973" s="8"/>
      <c r="G16973" s="8"/>
      <c r="J16973" s="8"/>
    </row>
    <row r="16974">
      <c r="C16974" s="15"/>
      <c r="E16974" s="8"/>
      <c r="G16974" s="8"/>
      <c r="J16974" s="8"/>
    </row>
    <row r="16975">
      <c r="C16975" s="15"/>
      <c r="E16975" s="8"/>
      <c r="G16975" s="8"/>
      <c r="J16975" s="8"/>
    </row>
    <row r="16976">
      <c r="C16976" s="15"/>
      <c r="E16976" s="8"/>
      <c r="G16976" s="8"/>
      <c r="J16976" s="8"/>
    </row>
    <row r="16977">
      <c r="C16977" s="15"/>
      <c r="E16977" s="8"/>
      <c r="G16977" s="8"/>
      <c r="J16977" s="8"/>
    </row>
    <row r="16978">
      <c r="C16978" s="15"/>
      <c r="E16978" s="8"/>
      <c r="G16978" s="8"/>
      <c r="J16978" s="8"/>
    </row>
    <row r="16979">
      <c r="C16979" s="15"/>
      <c r="E16979" s="8"/>
      <c r="G16979" s="8"/>
      <c r="J16979" s="8"/>
    </row>
    <row r="16980">
      <c r="C16980" s="15"/>
      <c r="E16980" s="8"/>
      <c r="G16980" s="8"/>
      <c r="J16980" s="8"/>
    </row>
    <row r="16981">
      <c r="C16981" s="15"/>
      <c r="E16981" s="8"/>
      <c r="G16981" s="8"/>
      <c r="J16981" s="8"/>
    </row>
    <row r="16982">
      <c r="C16982" s="15"/>
      <c r="E16982" s="8"/>
      <c r="G16982" s="8"/>
      <c r="J16982" s="8"/>
    </row>
    <row r="16983">
      <c r="C16983" s="15"/>
      <c r="E16983" s="8"/>
      <c r="G16983" s="8"/>
      <c r="J16983" s="8"/>
    </row>
    <row r="16984">
      <c r="C16984" s="15"/>
      <c r="E16984" s="8"/>
      <c r="G16984" s="8"/>
      <c r="J16984" s="8"/>
    </row>
    <row r="16985">
      <c r="C16985" s="15"/>
      <c r="E16985" s="8"/>
      <c r="G16985" s="8"/>
      <c r="J16985" s="8"/>
    </row>
    <row r="16986">
      <c r="C16986" s="15"/>
      <c r="E16986" s="8"/>
      <c r="G16986" s="8"/>
      <c r="J16986" s="8"/>
    </row>
    <row r="16987">
      <c r="C16987" s="15"/>
      <c r="E16987" s="8"/>
      <c r="G16987" s="8"/>
      <c r="J16987" s="8"/>
    </row>
    <row r="16988">
      <c r="C16988" s="15"/>
      <c r="E16988" s="8"/>
      <c r="G16988" s="8"/>
      <c r="J16988" s="8"/>
    </row>
    <row r="16989">
      <c r="C16989" s="15"/>
      <c r="E16989" s="8"/>
      <c r="G16989" s="8"/>
      <c r="J16989" s="8"/>
    </row>
    <row r="16990">
      <c r="C16990" s="15"/>
      <c r="E16990" s="8"/>
      <c r="G16990" s="8"/>
      <c r="J16990" s="8"/>
    </row>
    <row r="16991">
      <c r="C16991" s="15"/>
      <c r="E16991" s="8"/>
      <c r="G16991" s="8"/>
      <c r="J16991" s="8"/>
    </row>
    <row r="16992">
      <c r="C16992" s="15"/>
      <c r="E16992" s="8"/>
      <c r="G16992" s="8"/>
      <c r="J16992" s="8"/>
    </row>
    <row r="16993">
      <c r="C16993" s="15"/>
      <c r="E16993" s="8"/>
      <c r="G16993" s="8"/>
      <c r="J16993" s="8"/>
    </row>
    <row r="16994">
      <c r="C16994" s="15"/>
      <c r="E16994" s="8"/>
      <c r="G16994" s="8"/>
      <c r="J16994" s="8"/>
    </row>
    <row r="16995">
      <c r="C16995" s="15"/>
      <c r="E16995" s="8"/>
      <c r="G16995" s="8"/>
      <c r="J16995" s="8"/>
    </row>
    <row r="16996">
      <c r="C16996" s="15"/>
      <c r="E16996" s="8"/>
      <c r="G16996" s="8"/>
      <c r="J16996" s="8"/>
    </row>
    <row r="16997">
      <c r="C16997" s="15"/>
      <c r="E16997" s="8"/>
      <c r="G16997" s="8"/>
      <c r="J16997" s="8"/>
    </row>
    <row r="16998">
      <c r="C16998" s="15"/>
      <c r="E16998" s="8"/>
      <c r="G16998" s="8"/>
      <c r="J16998" s="8"/>
    </row>
    <row r="16999">
      <c r="C16999" s="15"/>
      <c r="E16999" s="8"/>
      <c r="G16999" s="8"/>
      <c r="J16999" s="8"/>
    </row>
    <row r="17000">
      <c r="C17000" s="15"/>
      <c r="E17000" s="8"/>
      <c r="G17000" s="8"/>
      <c r="J17000" s="8"/>
    </row>
    <row r="17001">
      <c r="C17001" s="15"/>
      <c r="E17001" s="8"/>
      <c r="G17001" s="8"/>
      <c r="J17001" s="8"/>
    </row>
    <row r="17002">
      <c r="C17002" s="15"/>
      <c r="E17002" s="8"/>
      <c r="G17002" s="8"/>
      <c r="J17002" s="8"/>
    </row>
    <row r="17003">
      <c r="C17003" s="15"/>
      <c r="E17003" s="8"/>
      <c r="G17003" s="8"/>
      <c r="J17003" s="8"/>
    </row>
    <row r="17004">
      <c r="C17004" s="15"/>
      <c r="E17004" s="8"/>
      <c r="G17004" s="8"/>
      <c r="J17004" s="8"/>
    </row>
    <row r="17005">
      <c r="C17005" s="15"/>
      <c r="E17005" s="8"/>
      <c r="G17005" s="8"/>
      <c r="J17005" s="8"/>
    </row>
    <row r="17006">
      <c r="C17006" s="15"/>
      <c r="E17006" s="8"/>
      <c r="G17006" s="8"/>
      <c r="J17006" s="8"/>
    </row>
    <row r="17007">
      <c r="C17007" s="15"/>
      <c r="E17007" s="8"/>
      <c r="G17007" s="8"/>
      <c r="J17007" s="8"/>
    </row>
    <row r="17008">
      <c r="C17008" s="15"/>
      <c r="E17008" s="8"/>
      <c r="G17008" s="8"/>
      <c r="J17008" s="8"/>
    </row>
    <row r="17009">
      <c r="C17009" s="15"/>
      <c r="E17009" s="8"/>
      <c r="G17009" s="8"/>
      <c r="J17009" s="8"/>
    </row>
    <row r="17010">
      <c r="C17010" s="15"/>
      <c r="E17010" s="8"/>
      <c r="G17010" s="8"/>
      <c r="J17010" s="8"/>
    </row>
    <row r="17011">
      <c r="C17011" s="15"/>
      <c r="E17011" s="8"/>
      <c r="G17011" s="8"/>
      <c r="J17011" s="8"/>
    </row>
    <row r="17012">
      <c r="C17012" s="15"/>
      <c r="E17012" s="8"/>
      <c r="G17012" s="8"/>
      <c r="J17012" s="8"/>
    </row>
    <row r="17013">
      <c r="C17013" s="15"/>
      <c r="E17013" s="8"/>
      <c r="G17013" s="8"/>
      <c r="J17013" s="8"/>
    </row>
    <row r="17014">
      <c r="C17014" s="15"/>
      <c r="E17014" s="8"/>
      <c r="G17014" s="8"/>
      <c r="J17014" s="8"/>
    </row>
    <row r="17015">
      <c r="C17015" s="15"/>
      <c r="E17015" s="8"/>
      <c r="G17015" s="8"/>
      <c r="J17015" s="8"/>
    </row>
    <row r="17016">
      <c r="C17016" s="15"/>
      <c r="E17016" s="8"/>
      <c r="G17016" s="8"/>
      <c r="J17016" s="8"/>
    </row>
    <row r="17017">
      <c r="C17017" s="15"/>
      <c r="E17017" s="8"/>
      <c r="G17017" s="8"/>
      <c r="J17017" s="8"/>
    </row>
    <row r="17018">
      <c r="C17018" s="15"/>
      <c r="E17018" s="8"/>
      <c r="G17018" s="8"/>
      <c r="J17018" s="8"/>
    </row>
    <row r="17019">
      <c r="C17019" s="15"/>
      <c r="E17019" s="8"/>
      <c r="G17019" s="8"/>
      <c r="J17019" s="8"/>
    </row>
    <row r="17020">
      <c r="C17020" s="15"/>
      <c r="E17020" s="8"/>
      <c r="G17020" s="8"/>
      <c r="J17020" s="8"/>
    </row>
    <row r="17021">
      <c r="C17021" s="15"/>
      <c r="E17021" s="8"/>
      <c r="G17021" s="8"/>
      <c r="J17021" s="8"/>
    </row>
    <row r="17022">
      <c r="C17022" s="15"/>
      <c r="E17022" s="8"/>
      <c r="G17022" s="8"/>
      <c r="J17022" s="8"/>
    </row>
    <row r="17023">
      <c r="C17023" s="15"/>
      <c r="E17023" s="8"/>
      <c r="G17023" s="8"/>
      <c r="J17023" s="8"/>
    </row>
    <row r="17024">
      <c r="C17024" s="15"/>
      <c r="E17024" s="8"/>
      <c r="G17024" s="8"/>
      <c r="J17024" s="8"/>
    </row>
    <row r="17025">
      <c r="C17025" s="15"/>
      <c r="E17025" s="8"/>
      <c r="G17025" s="8"/>
      <c r="J17025" s="8"/>
    </row>
    <row r="17026">
      <c r="C17026" s="15"/>
      <c r="E17026" s="8"/>
      <c r="G17026" s="8"/>
      <c r="J17026" s="8"/>
    </row>
    <row r="17027">
      <c r="C17027" s="15"/>
      <c r="E17027" s="8"/>
      <c r="G17027" s="8"/>
      <c r="J17027" s="8"/>
    </row>
    <row r="17028">
      <c r="C17028" s="15"/>
      <c r="E17028" s="8"/>
      <c r="G17028" s="8"/>
      <c r="J17028" s="8"/>
    </row>
    <row r="17029">
      <c r="C17029" s="15"/>
      <c r="E17029" s="8"/>
      <c r="G17029" s="8"/>
      <c r="J17029" s="8"/>
    </row>
    <row r="17030">
      <c r="C17030" s="15"/>
      <c r="E17030" s="8"/>
      <c r="G17030" s="8"/>
      <c r="J17030" s="8"/>
    </row>
    <row r="17031">
      <c r="C17031" s="15"/>
      <c r="E17031" s="8"/>
      <c r="G17031" s="8"/>
      <c r="J17031" s="8"/>
    </row>
    <row r="17032">
      <c r="C17032" s="15"/>
      <c r="E17032" s="8"/>
      <c r="G17032" s="8"/>
      <c r="J17032" s="8"/>
    </row>
    <row r="17033">
      <c r="C17033" s="15"/>
      <c r="E17033" s="8"/>
      <c r="G17033" s="8"/>
      <c r="J17033" s="8"/>
    </row>
    <row r="17034">
      <c r="C17034" s="15"/>
      <c r="E17034" s="8"/>
      <c r="G17034" s="8"/>
      <c r="J17034" s="8"/>
    </row>
    <row r="17035">
      <c r="C17035" s="15"/>
      <c r="E17035" s="8"/>
      <c r="G17035" s="8"/>
      <c r="J17035" s="8"/>
    </row>
    <row r="17036">
      <c r="C17036" s="15"/>
      <c r="E17036" s="8"/>
      <c r="G17036" s="8"/>
      <c r="J17036" s="8"/>
    </row>
    <row r="17037">
      <c r="C17037" s="15"/>
      <c r="E17037" s="8"/>
      <c r="G17037" s="8"/>
      <c r="J17037" s="8"/>
    </row>
    <row r="17038">
      <c r="C17038" s="15"/>
      <c r="E17038" s="8"/>
      <c r="G17038" s="8"/>
      <c r="J17038" s="8"/>
    </row>
    <row r="17039">
      <c r="C17039" s="15"/>
      <c r="E17039" s="8"/>
      <c r="G17039" s="8"/>
      <c r="J17039" s="8"/>
    </row>
    <row r="17040">
      <c r="C17040" s="15"/>
      <c r="E17040" s="8"/>
      <c r="G17040" s="8"/>
      <c r="J17040" s="8"/>
    </row>
    <row r="17041">
      <c r="C17041" s="15"/>
      <c r="E17041" s="8"/>
      <c r="G17041" s="8"/>
      <c r="J17041" s="8"/>
    </row>
    <row r="17042">
      <c r="C17042" s="15"/>
      <c r="E17042" s="8"/>
      <c r="G17042" s="8"/>
      <c r="J17042" s="8"/>
    </row>
    <row r="17043">
      <c r="C17043" s="15"/>
      <c r="E17043" s="8"/>
      <c r="G17043" s="8"/>
      <c r="J17043" s="8"/>
    </row>
    <row r="17044">
      <c r="C17044" s="15"/>
      <c r="E17044" s="8"/>
      <c r="G17044" s="8"/>
      <c r="J17044" s="8"/>
    </row>
    <row r="17045">
      <c r="C17045" s="15"/>
      <c r="E17045" s="8"/>
      <c r="G17045" s="8"/>
      <c r="J17045" s="8"/>
    </row>
    <row r="17046">
      <c r="C17046" s="15"/>
      <c r="E17046" s="8"/>
      <c r="G17046" s="8"/>
      <c r="J17046" s="8"/>
    </row>
    <row r="17047">
      <c r="C17047" s="15"/>
      <c r="E17047" s="8"/>
      <c r="G17047" s="8"/>
      <c r="J17047" s="8"/>
    </row>
    <row r="17048">
      <c r="C17048" s="15"/>
      <c r="E17048" s="8"/>
      <c r="G17048" s="8"/>
      <c r="J17048" s="8"/>
    </row>
    <row r="17049">
      <c r="C17049" s="15"/>
      <c r="E17049" s="8"/>
      <c r="G17049" s="8"/>
      <c r="J17049" s="8"/>
    </row>
    <row r="17050">
      <c r="C17050" s="15"/>
      <c r="E17050" s="8"/>
      <c r="G17050" s="8"/>
      <c r="J17050" s="8"/>
    </row>
    <row r="17051">
      <c r="C17051" s="15"/>
      <c r="E17051" s="8"/>
      <c r="G17051" s="8"/>
      <c r="J17051" s="8"/>
    </row>
    <row r="17052">
      <c r="C17052" s="15"/>
      <c r="E17052" s="8"/>
      <c r="G17052" s="8"/>
      <c r="J17052" s="8"/>
    </row>
    <row r="17053">
      <c r="C17053" s="15"/>
      <c r="E17053" s="8"/>
      <c r="G17053" s="8"/>
      <c r="J17053" s="8"/>
    </row>
    <row r="17054">
      <c r="C17054" s="15"/>
      <c r="E17054" s="8"/>
      <c r="G17054" s="8"/>
      <c r="J17054" s="8"/>
    </row>
    <row r="17055">
      <c r="C17055" s="15"/>
      <c r="E17055" s="8"/>
      <c r="G17055" s="8"/>
      <c r="J17055" s="8"/>
    </row>
    <row r="17056">
      <c r="C17056" s="15"/>
      <c r="E17056" s="8"/>
      <c r="G17056" s="8"/>
      <c r="J17056" s="8"/>
    </row>
    <row r="17057">
      <c r="C17057" s="15"/>
      <c r="E17057" s="8"/>
      <c r="G17057" s="8"/>
      <c r="J17057" s="8"/>
    </row>
    <row r="17058">
      <c r="C17058" s="15"/>
      <c r="E17058" s="8"/>
      <c r="G17058" s="8"/>
      <c r="J17058" s="8"/>
    </row>
    <row r="17059">
      <c r="C17059" s="15"/>
      <c r="E17059" s="8"/>
      <c r="G17059" s="8"/>
      <c r="J17059" s="8"/>
    </row>
    <row r="17060">
      <c r="C17060" s="15"/>
      <c r="E17060" s="8"/>
      <c r="G17060" s="8"/>
      <c r="J17060" s="8"/>
    </row>
    <row r="17061">
      <c r="C17061" s="15"/>
      <c r="E17061" s="8"/>
      <c r="G17061" s="8"/>
      <c r="J17061" s="8"/>
    </row>
    <row r="17062">
      <c r="C17062" s="15"/>
      <c r="E17062" s="8"/>
      <c r="G17062" s="8"/>
      <c r="J17062" s="8"/>
    </row>
    <row r="17063">
      <c r="C17063" s="15"/>
      <c r="E17063" s="8"/>
      <c r="G17063" s="8"/>
      <c r="J17063" s="8"/>
    </row>
    <row r="17064">
      <c r="C17064" s="15"/>
      <c r="E17064" s="8"/>
      <c r="G17064" s="8"/>
      <c r="J17064" s="8"/>
    </row>
    <row r="17065">
      <c r="C17065" s="15"/>
      <c r="E17065" s="8"/>
      <c r="G17065" s="8"/>
      <c r="J17065" s="8"/>
    </row>
    <row r="17066">
      <c r="C17066" s="15"/>
      <c r="E17066" s="8"/>
      <c r="G17066" s="8"/>
      <c r="J17066" s="8"/>
    </row>
    <row r="17067">
      <c r="C17067" s="15"/>
      <c r="E17067" s="8"/>
      <c r="G17067" s="8"/>
      <c r="J17067" s="8"/>
    </row>
    <row r="17068">
      <c r="C17068" s="15"/>
      <c r="E17068" s="8"/>
      <c r="G17068" s="8"/>
      <c r="J17068" s="8"/>
    </row>
    <row r="17069">
      <c r="C17069" s="15"/>
      <c r="E17069" s="8"/>
      <c r="G17069" s="8"/>
      <c r="J17069" s="8"/>
    </row>
    <row r="17070">
      <c r="C17070" s="15"/>
      <c r="E17070" s="8"/>
      <c r="G17070" s="8"/>
      <c r="J17070" s="8"/>
    </row>
    <row r="17071">
      <c r="C17071" s="15"/>
      <c r="E17071" s="8"/>
      <c r="G17071" s="8"/>
      <c r="J17071" s="8"/>
    </row>
    <row r="17072">
      <c r="C17072" s="15"/>
      <c r="E17072" s="8"/>
      <c r="G17072" s="8"/>
      <c r="J17072" s="8"/>
    </row>
    <row r="17073">
      <c r="C17073" s="15"/>
      <c r="E17073" s="8"/>
      <c r="G17073" s="8"/>
      <c r="J17073" s="8"/>
    </row>
    <row r="17074">
      <c r="C17074" s="15"/>
      <c r="E17074" s="8"/>
      <c r="G17074" s="8"/>
      <c r="J17074" s="8"/>
    </row>
    <row r="17075">
      <c r="C17075" s="15"/>
      <c r="E17075" s="8"/>
      <c r="G17075" s="8"/>
      <c r="J17075" s="8"/>
    </row>
    <row r="17076">
      <c r="C17076" s="15"/>
      <c r="E17076" s="8"/>
      <c r="G17076" s="8"/>
      <c r="J17076" s="8"/>
    </row>
    <row r="17077">
      <c r="C17077" s="15"/>
      <c r="E17077" s="8"/>
      <c r="G17077" s="8"/>
      <c r="J17077" s="8"/>
    </row>
    <row r="17078">
      <c r="C17078" s="15"/>
      <c r="E17078" s="8"/>
      <c r="G17078" s="8"/>
      <c r="J17078" s="8"/>
    </row>
    <row r="17079">
      <c r="C17079" s="15"/>
      <c r="E17079" s="8"/>
      <c r="G17079" s="8"/>
      <c r="J17079" s="8"/>
    </row>
    <row r="17080">
      <c r="C17080" s="15"/>
      <c r="E17080" s="8"/>
      <c r="G17080" s="8"/>
      <c r="J17080" s="8"/>
    </row>
    <row r="17081">
      <c r="C17081" s="15"/>
      <c r="E17081" s="8"/>
      <c r="G17081" s="8"/>
      <c r="J17081" s="8"/>
    </row>
    <row r="17082">
      <c r="C17082" s="15"/>
      <c r="E17082" s="8"/>
      <c r="G17082" s="8"/>
      <c r="J17082" s="8"/>
    </row>
    <row r="17083">
      <c r="C17083" s="15"/>
      <c r="E17083" s="8"/>
      <c r="G17083" s="8"/>
      <c r="J17083" s="8"/>
    </row>
    <row r="17084">
      <c r="C17084" s="15"/>
      <c r="E17084" s="8"/>
      <c r="G17084" s="8"/>
      <c r="J17084" s="8"/>
    </row>
    <row r="17085">
      <c r="C17085" s="15"/>
      <c r="E17085" s="8"/>
      <c r="G17085" s="8"/>
      <c r="J17085" s="8"/>
    </row>
    <row r="17086">
      <c r="C17086" s="15"/>
      <c r="E17086" s="8"/>
      <c r="G17086" s="8"/>
      <c r="J17086" s="8"/>
    </row>
    <row r="17087">
      <c r="C17087" s="15"/>
      <c r="E17087" s="8"/>
      <c r="G17087" s="8"/>
      <c r="J17087" s="8"/>
    </row>
    <row r="17088">
      <c r="C17088" s="15"/>
      <c r="E17088" s="8"/>
      <c r="G17088" s="8"/>
      <c r="J17088" s="8"/>
    </row>
    <row r="17089">
      <c r="C17089" s="15"/>
      <c r="E17089" s="8"/>
      <c r="G17089" s="8"/>
      <c r="J17089" s="8"/>
    </row>
    <row r="17090">
      <c r="C17090" s="15"/>
      <c r="E17090" s="8"/>
      <c r="G17090" s="8"/>
      <c r="J17090" s="8"/>
    </row>
    <row r="17091">
      <c r="C17091" s="15"/>
      <c r="E17091" s="8"/>
      <c r="G17091" s="8"/>
      <c r="J17091" s="8"/>
    </row>
    <row r="17092">
      <c r="C17092" s="15"/>
      <c r="E17092" s="8"/>
      <c r="G17092" s="8"/>
      <c r="J17092" s="8"/>
    </row>
    <row r="17093">
      <c r="C17093" s="15"/>
      <c r="E17093" s="8"/>
      <c r="G17093" s="8"/>
      <c r="J17093" s="8"/>
    </row>
    <row r="17094">
      <c r="C17094" s="15"/>
      <c r="E17094" s="8"/>
      <c r="G17094" s="8"/>
      <c r="J17094" s="8"/>
    </row>
    <row r="17095">
      <c r="C17095" s="15"/>
      <c r="E17095" s="8"/>
      <c r="G17095" s="8"/>
      <c r="J17095" s="8"/>
    </row>
    <row r="17096">
      <c r="C17096" s="15"/>
      <c r="E17096" s="8"/>
      <c r="G17096" s="8"/>
      <c r="J17096" s="8"/>
    </row>
    <row r="17097">
      <c r="C17097" s="15"/>
      <c r="E17097" s="8"/>
      <c r="G17097" s="8"/>
      <c r="J17097" s="8"/>
    </row>
    <row r="17098">
      <c r="C17098" s="15"/>
      <c r="E17098" s="8"/>
      <c r="G17098" s="8"/>
      <c r="J17098" s="8"/>
    </row>
    <row r="17099">
      <c r="C17099" s="15"/>
      <c r="E17099" s="8"/>
      <c r="G17099" s="8"/>
      <c r="J17099" s="8"/>
    </row>
    <row r="17100">
      <c r="C17100" s="15"/>
      <c r="E17100" s="8"/>
      <c r="G17100" s="8"/>
      <c r="J17100" s="8"/>
    </row>
    <row r="17101">
      <c r="C17101" s="15"/>
      <c r="E17101" s="8"/>
      <c r="G17101" s="8"/>
      <c r="J17101" s="8"/>
    </row>
    <row r="17102">
      <c r="C17102" s="15"/>
      <c r="E17102" s="8"/>
      <c r="G17102" s="8"/>
      <c r="J17102" s="8"/>
    </row>
    <row r="17103">
      <c r="C17103" s="15"/>
      <c r="E17103" s="8"/>
      <c r="G17103" s="8"/>
      <c r="J17103" s="8"/>
    </row>
    <row r="17104">
      <c r="C17104" s="15"/>
      <c r="E17104" s="8"/>
      <c r="G17104" s="8"/>
      <c r="J17104" s="8"/>
    </row>
    <row r="17105">
      <c r="C17105" s="15"/>
      <c r="E17105" s="8"/>
      <c r="G17105" s="8"/>
      <c r="J17105" s="8"/>
    </row>
    <row r="17106">
      <c r="C17106" s="15"/>
      <c r="E17106" s="8"/>
      <c r="G17106" s="8"/>
      <c r="J17106" s="8"/>
    </row>
    <row r="17107">
      <c r="C17107" s="15"/>
      <c r="E17107" s="8"/>
      <c r="G17107" s="8"/>
      <c r="J17107" s="8"/>
    </row>
    <row r="17108">
      <c r="C17108" s="15"/>
      <c r="E17108" s="8"/>
      <c r="G17108" s="8"/>
      <c r="J17108" s="8"/>
    </row>
    <row r="17109">
      <c r="C17109" s="15"/>
      <c r="E17109" s="8"/>
      <c r="G17109" s="8"/>
      <c r="J17109" s="8"/>
    </row>
    <row r="17110">
      <c r="C17110" s="15"/>
      <c r="E17110" s="8"/>
      <c r="G17110" s="8"/>
      <c r="J17110" s="8"/>
    </row>
    <row r="17111">
      <c r="C17111" s="15"/>
      <c r="E17111" s="8"/>
      <c r="G17111" s="8"/>
      <c r="J17111" s="8"/>
    </row>
    <row r="17112">
      <c r="C17112" s="15"/>
      <c r="E17112" s="8"/>
      <c r="G17112" s="8"/>
      <c r="J17112" s="8"/>
    </row>
    <row r="17113">
      <c r="C17113" s="15"/>
      <c r="E17113" s="8"/>
      <c r="G17113" s="8"/>
      <c r="J17113" s="8"/>
    </row>
    <row r="17114">
      <c r="C17114" s="15"/>
      <c r="E17114" s="8"/>
      <c r="G17114" s="8"/>
      <c r="J17114" s="8"/>
    </row>
    <row r="17115">
      <c r="C17115" s="15"/>
      <c r="E17115" s="8"/>
      <c r="G17115" s="8"/>
      <c r="J17115" s="8"/>
    </row>
    <row r="17116">
      <c r="C17116" s="15"/>
      <c r="E17116" s="8"/>
      <c r="G17116" s="8"/>
      <c r="J17116" s="8"/>
    </row>
    <row r="17117">
      <c r="C17117" s="15"/>
      <c r="E17117" s="8"/>
      <c r="G17117" s="8"/>
      <c r="J17117" s="8"/>
    </row>
    <row r="17118">
      <c r="C17118" s="15"/>
      <c r="E17118" s="8"/>
      <c r="G17118" s="8"/>
      <c r="J17118" s="8"/>
    </row>
    <row r="17119">
      <c r="C17119" s="15"/>
      <c r="E17119" s="8"/>
      <c r="G17119" s="8"/>
      <c r="J17119" s="8"/>
    </row>
    <row r="17120">
      <c r="C17120" s="15"/>
      <c r="E17120" s="8"/>
      <c r="G17120" s="8"/>
      <c r="J17120" s="8"/>
    </row>
    <row r="17121">
      <c r="C17121" s="15"/>
      <c r="E17121" s="8"/>
      <c r="G17121" s="8"/>
      <c r="J17121" s="8"/>
    </row>
    <row r="17122">
      <c r="C17122" s="15"/>
      <c r="E17122" s="8"/>
      <c r="G17122" s="8"/>
      <c r="J17122" s="8"/>
    </row>
    <row r="17123">
      <c r="C17123" s="15"/>
      <c r="E17123" s="8"/>
      <c r="G17123" s="8"/>
      <c r="J17123" s="8"/>
    </row>
    <row r="17124">
      <c r="C17124" s="15"/>
      <c r="E17124" s="8"/>
      <c r="G17124" s="8"/>
      <c r="J17124" s="8"/>
    </row>
    <row r="17125">
      <c r="C17125" s="15"/>
      <c r="E17125" s="8"/>
      <c r="G17125" s="8"/>
      <c r="J17125" s="8"/>
    </row>
    <row r="17126">
      <c r="C17126" s="15"/>
      <c r="E17126" s="8"/>
      <c r="G17126" s="8"/>
      <c r="J17126" s="8"/>
    </row>
    <row r="17127">
      <c r="C17127" s="15"/>
      <c r="E17127" s="8"/>
      <c r="G17127" s="8"/>
      <c r="J17127" s="8"/>
    </row>
    <row r="17128">
      <c r="C17128" s="15"/>
      <c r="E17128" s="8"/>
      <c r="G17128" s="8"/>
      <c r="J17128" s="8"/>
    </row>
    <row r="17129">
      <c r="C17129" s="15"/>
      <c r="E17129" s="8"/>
      <c r="G17129" s="8"/>
      <c r="J17129" s="8"/>
    </row>
    <row r="17130">
      <c r="C17130" s="15"/>
      <c r="E17130" s="8"/>
      <c r="G17130" s="8"/>
      <c r="J17130" s="8"/>
    </row>
    <row r="17131">
      <c r="C17131" s="15"/>
      <c r="E17131" s="8"/>
      <c r="G17131" s="8"/>
      <c r="J17131" s="8"/>
    </row>
    <row r="17132">
      <c r="C17132" s="15"/>
      <c r="E17132" s="8"/>
      <c r="G17132" s="8"/>
      <c r="J17132" s="8"/>
    </row>
    <row r="17133">
      <c r="C17133" s="15"/>
      <c r="E17133" s="8"/>
      <c r="G17133" s="8"/>
      <c r="J17133" s="8"/>
    </row>
    <row r="17134">
      <c r="C17134" s="15"/>
      <c r="E17134" s="8"/>
      <c r="G17134" s="8"/>
      <c r="J17134" s="8"/>
    </row>
    <row r="17135">
      <c r="C17135" s="15"/>
      <c r="E17135" s="8"/>
      <c r="G17135" s="8"/>
      <c r="J17135" s="8"/>
    </row>
    <row r="17136">
      <c r="C17136" s="15"/>
      <c r="E17136" s="8"/>
      <c r="G17136" s="8"/>
      <c r="J17136" s="8"/>
    </row>
    <row r="17137">
      <c r="C17137" s="15"/>
      <c r="E17137" s="8"/>
      <c r="G17137" s="8"/>
      <c r="J17137" s="8"/>
    </row>
    <row r="17138">
      <c r="C17138" s="15"/>
      <c r="E17138" s="8"/>
      <c r="G17138" s="8"/>
      <c r="J17138" s="8"/>
    </row>
    <row r="17139">
      <c r="C17139" s="15"/>
      <c r="E17139" s="8"/>
      <c r="G17139" s="8"/>
      <c r="J17139" s="8"/>
    </row>
    <row r="17140">
      <c r="C17140" s="15"/>
      <c r="E17140" s="8"/>
      <c r="G17140" s="8"/>
      <c r="J17140" s="8"/>
    </row>
    <row r="17141">
      <c r="C17141" s="15"/>
      <c r="E17141" s="8"/>
      <c r="G17141" s="8"/>
      <c r="J17141" s="8"/>
    </row>
    <row r="17142">
      <c r="C17142" s="15"/>
      <c r="E17142" s="8"/>
      <c r="G17142" s="8"/>
      <c r="J17142" s="8"/>
    </row>
    <row r="17143">
      <c r="C17143" s="15"/>
      <c r="E17143" s="8"/>
      <c r="G17143" s="8"/>
      <c r="J17143" s="8"/>
    </row>
    <row r="17144">
      <c r="C17144" s="15"/>
      <c r="E17144" s="8"/>
      <c r="G17144" s="8"/>
      <c r="J17144" s="8"/>
    </row>
    <row r="17145">
      <c r="C17145" s="15"/>
      <c r="E17145" s="8"/>
      <c r="G17145" s="8"/>
      <c r="J17145" s="8"/>
    </row>
    <row r="17146">
      <c r="C17146" s="15"/>
      <c r="E17146" s="8"/>
      <c r="G17146" s="8"/>
      <c r="J17146" s="8"/>
    </row>
    <row r="17147">
      <c r="C17147" s="15"/>
      <c r="E17147" s="8"/>
      <c r="G17147" s="8"/>
      <c r="J17147" s="8"/>
    </row>
    <row r="17148">
      <c r="C17148" s="15"/>
      <c r="E17148" s="8"/>
      <c r="G17148" s="8"/>
      <c r="J17148" s="8"/>
    </row>
    <row r="17149">
      <c r="C17149" s="15"/>
      <c r="E17149" s="8"/>
      <c r="G17149" s="8"/>
      <c r="J17149" s="8"/>
    </row>
    <row r="17150">
      <c r="C17150" s="15"/>
      <c r="E17150" s="8"/>
      <c r="G17150" s="8"/>
      <c r="J17150" s="8"/>
    </row>
    <row r="17151">
      <c r="C17151" s="15"/>
      <c r="E17151" s="8"/>
      <c r="G17151" s="8"/>
      <c r="J17151" s="8"/>
    </row>
    <row r="17152">
      <c r="C17152" s="15"/>
      <c r="E17152" s="8"/>
      <c r="G17152" s="8"/>
      <c r="J17152" s="8"/>
    </row>
    <row r="17153">
      <c r="C17153" s="15"/>
      <c r="E17153" s="8"/>
      <c r="G17153" s="8"/>
      <c r="J17153" s="8"/>
    </row>
    <row r="17154">
      <c r="C17154" s="15"/>
      <c r="E17154" s="8"/>
      <c r="G17154" s="8"/>
      <c r="J17154" s="8"/>
    </row>
    <row r="17155">
      <c r="C17155" s="15"/>
      <c r="E17155" s="8"/>
      <c r="G17155" s="8"/>
      <c r="J17155" s="8"/>
    </row>
    <row r="17156">
      <c r="C17156" s="15"/>
      <c r="E17156" s="8"/>
      <c r="G17156" s="8"/>
      <c r="J17156" s="8"/>
    </row>
    <row r="17157">
      <c r="C17157" s="15"/>
      <c r="E17157" s="8"/>
      <c r="G17157" s="8"/>
      <c r="J17157" s="8"/>
    </row>
    <row r="17158">
      <c r="C17158" s="15"/>
      <c r="E17158" s="8"/>
      <c r="G17158" s="8"/>
      <c r="J17158" s="8"/>
    </row>
    <row r="17159">
      <c r="C17159" s="15"/>
      <c r="E17159" s="8"/>
      <c r="G17159" s="8"/>
      <c r="J17159" s="8"/>
    </row>
    <row r="17160">
      <c r="C17160" s="15"/>
      <c r="E17160" s="8"/>
      <c r="G17160" s="8"/>
      <c r="J17160" s="8"/>
    </row>
    <row r="17161">
      <c r="C17161" s="15"/>
      <c r="E17161" s="8"/>
      <c r="G17161" s="8"/>
      <c r="J17161" s="8"/>
    </row>
    <row r="17162">
      <c r="C17162" s="15"/>
      <c r="E17162" s="8"/>
      <c r="G17162" s="8"/>
      <c r="J17162" s="8"/>
    </row>
    <row r="17163">
      <c r="C17163" s="15"/>
      <c r="E17163" s="8"/>
      <c r="G17163" s="8"/>
      <c r="J17163" s="8"/>
    </row>
    <row r="17164">
      <c r="C17164" s="15"/>
      <c r="E17164" s="8"/>
      <c r="G17164" s="8"/>
      <c r="J17164" s="8"/>
    </row>
    <row r="17165">
      <c r="C17165" s="15"/>
      <c r="E17165" s="8"/>
      <c r="G17165" s="8"/>
      <c r="J17165" s="8"/>
    </row>
    <row r="17166">
      <c r="C17166" s="15"/>
      <c r="E17166" s="8"/>
      <c r="G17166" s="8"/>
      <c r="J17166" s="8"/>
    </row>
    <row r="17167">
      <c r="C17167" s="15"/>
      <c r="E17167" s="8"/>
      <c r="G17167" s="8"/>
      <c r="J17167" s="8"/>
    </row>
    <row r="17168">
      <c r="C17168" s="15"/>
      <c r="E17168" s="8"/>
      <c r="G17168" s="8"/>
      <c r="J17168" s="8"/>
    </row>
    <row r="17169">
      <c r="C17169" s="15"/>
      <c r="E17169" s="8"/>
      <c r="G17169" s="8"/>
      <c r="J17169" s="8"/>
    </row>
    <row r="17170">
      <c r="C17170" s="15"/>
      <c r="E17170" s="8"/>
      <c r="G17170" s="8"/>
      <c r="J17170" s="8"/>
    </row>
    <row r="17171">
      <c r="C17171" s="15"/>
      <c r="E17171" s="8"/>
      <c r="G17171" s="8"/>
      <c r="J17171" s="8"/>
    </row>
    <row r="17172">
      <c r="C17172" s="15"/>
      <c r="E17172" s="8"/>
      <c r="G17172" s="8"/>
      <c r="J17172" s="8"/>
    </row>
    <row r="17173">
      <c r="C17173" s="15"/>
      <c r="E17173" s="8"/>
      <c r="G17173" s="8"/>
      <c r="J17173" s="8"/>
    </row>
    <row r="17174">
      <c r="C17174" s="15"/>
      <c r="E17174" s="8"/>
      <c r="G17174" s="8"/>
      <c r="J17174" s="8"/>
    </row>
    <row r="17175">
      <c r="C17175" s="15"/>
      <c r="E17175" s="8"/>
      <c r="G17175" s="8"/>
      <c r="J17175" s="8"/>
    </row>
    <row r="17176">
      <c r="C17176" s="15"/>
      <c r="E17176" s="8"/>
      <c r="G17176" s="8"/>
      <c r="J17176" s="8"/>
    </row>
    <row r="17177">
      <c r="C17177" s="15"/>
      <c r="E17177" s="8"/>
      <c r="G17177" s="8"/>
      <c r="J17177" s="8"/>
    </row>
    <row r="17178">
      <c r="C17178" s="15"/>
      <c r="E17178" s="8"/>
      <c r="G17178" s="8"/>
      <c r="J17178" s="8"/>
    </row>
    <row r="17179">
      <c r="C17179" s="15"/>
      <c r="E17179" s="8"/>
      <c r="G17179" s="8"/>
      <c r="J17179" s="8"/>
    </row>
    <row r="17180">
      <c r="C17180" s="15"/>
      <c r="E17180" s="8"/>
      <c r="G17180" s="8"/>
      <c r="J17180" s="8"/>
    </row>
    <row r="17181">
      <c r="C17181" s="15"/>
      <c r="E17181" s="8"/>
      <c r="G17181" s="8"/>
      <c r="J17181" s="8"/>
    </row>
    <row r="17182">
      <c r="C17182" s="15"/>
      <c r="E17182" s="8"/>
      <c r="G17182" s="8"/>
      <c r="J17182" s="8"/>
    </row>
    <row r="17183">
      <c r="C17183" s="15"/>
      <c r="E17183" s="8"/>
      <c r="G17183" s="8"/>
      <c r="J17183" s="8"/>
    </row>
    <row r="17184">
      <c r="C17184" s="15"/>
      <c r="E17184" s="8"/>
      <c r="G17184" s="8"/>
      <c r="J17184" s="8"/>
    </row>
    <row r="17185">
      <c r="C17185" s="15"/>
      <c r="E17185" s="8"/>
      <c r="G17185" s="8"/>
      <c r="J17185" s="8"/>
    </row>
    <row r="17186">
      <c r="C17186" s="15"/>
      <c r="E17186" s="8"/>
      <c r="G17186" s="8"/>
      <c r="J17186" s="8"/>
    </row>
    <row r="17187">
      <c r="C17187" s="15"/>
      <c r="E17187" s="8"/>
      <c r="G17187" s="8"/>
      <c r="J17187" s="8"/>
    </row>
    <row r="17188">
      <c r="C17188" s="15"/>
      <c r="E17188" s="8"/>
      <c r="G17188" s="8"/>
      <c r="J17188" s="8"/>
    </row>
    <row r="17189">
      <c r="C17189" s="15"/>
      <c r="E17189" s="8"/>
      <c r="G17189" s="8"/>
      <c r="J17189" s="8"/>
    </row>
    <row r="17190">
      <c r="C17190" s="15"/>
      <c r="E17190" s="8"/>
      <c r="G17190" s="8"/>
      <c r="J17190" s="8"/>
    </row>
    <row r="17191">
      <c r="C17191" s="15"/>
      <c r="E17191" s="8"/>
      <c r="G17191" s="8"/>
      <c r="J17191" s="8"/>
    </row>
    <row r="17192">
      <c r="C17192" s="15"/>
      <c r="E17192" s="8"/>
      <c r="G17192" s="8"/>
      <c r="J17192" s="8"/>
    </row>
    <row r="17193">
      <c r="C17193" s="15"/>
      <c r="E17193" s="8"/>
      <c r="G17193" s="8"/>
      <c r="J17193" s="8"/>
    </row>
    <row r="17194">
      <c r="C17194" s="15"/>
      <c r="E17194" s="8"/>
      <c r="G17194" s="8"/>
      <c r="J17194" s="8"/>
    </row>
    <row r="17195">
      <c r="C17195" s="15"/>
      <c r="E17195" s="8"/>
      <c r="G17195" s="8"/>
      <c r="J17195" s="8"/>
    </row>
    <row r="17196">
      <c r="C17196" s="15"/>
      <c r="E17196" s="8"/>
      <c r="G17196" s="8"/>
      <c r="J17196" s="8"/>
    </row>
    <row r="17197">
      <c r="C17197" s="15"/>
      <c r="E17197" s="8"/>
      <c r="G17197" s="8"/>
      <c r="J17197" s="8"/>
    </row>
    <row r="17198">
      <c r="C17198" s="15"/>
      <c r="E17198" s="8"/>
      <c r="G17198" s="8"/>
      <c r="J17198" s="8"/>
    </row>
    <row r="17199">
      <c r="C17199" s="15"/>
      <c r="E17199" s="8"/>
      <c r="G17199" s="8"/>
      <c r="J17199" s="8"/>
    </row>
    <row r="17200">
      <c r="C17200" s="15"/>
      <c r="E17200" s="8"/>
      <c r="G17200" s="8"/>
      <c r="J17200" s="8"/>
    </row>
    <row r="17201">
      <c r="C17201" s="15"/>
      <c r="E17201" s="8"/>
      <c r="G17201" s="8"/>
      <c r="J17201" s="8"/>
    </row>
    <row r="17202">
      <c r="C17202" s="15"/>
      <c r="E17202" s="8"/>
      <c r="G17202" s="8"/>
      <c r="J17202" s="8"/>
    </row>
    <row r="17203">
      <c r="C17203" s="15"/>
      <c r="E17203" s="8"/>
      <c r="G17203" s="8"/>
      <c r="J17203" s="8"/>
    </row>
    <row r="17204">
      <c r="C17204" s="15"/>
      <c r="E17204" s="8"/>
      <c r="G17204" s="8"/>
      <c r="J17204" s="8"/>
    </row>
    <row r="17205">
      <c r="C17205" s="15"/>
      <c r="E17205" s="8"/>
      <c r="G17205" s="8"/>
      <c r="J17205" s="8"/>
    </row>
    <row r="17206">
      <c r="C17206" s="15"/>
      <c r="E17206" s="8"/>
      <c r="G17206" s="8"/>
      <c r="J17206" s="8"/>
    </row>
    <row r="17207">
      <c r="C17207" s="15"/>
      <c r="E17207" s="8"/>
      <c r="G17207" s="8"/>
      <c r="J17207" s="8"/>
    </row>
    <row r="17208">
      <c r="C17208" s="15"/>
      <c r="E17208" s="8"/>
      <c r="G17208" s="8"/>
      <c r="J17208" s="8"/>
    </row>
    <row r="17209">
      <c r="C17209" s="15"/>
      <c r="E17209" s="8"/>
      <c r="G17209" s="8"/>
      <c r="J17209" s="8"/>
    </row>
    <row r="17210">
      <c r="C17210" s="15"/>
      <c r="E17210" s="8"/>
      <c r="G17210" s="8"/>
      <c r="J17210" s="8"/>
    </row>
    <row r="17211">
      <c r="C17211" s="15"/>
      <c r="E17211" s="8"/>
      <c r="G17211" s="8"/>
      <c r="J17211" s="8"/>
    </row>
    <row r="17212">
      <c r="C17212" s="15"/>
      <c r="E17212" s="8"/>
      <c r="G17212" s="8"/>
      <c r="J17212" s="8"/>
    </row>
    <row r="17213">
      <c r="C17213" s="15"/>
      <c r="E17213" s="8"/>
      <c r="G17213" s="8"/>
      <c r="J17213" s="8"/>
    </row>
    <row r="17214">
      <c r="C17214" s="15"/>
      <c r="E17214" s="8"/>
      <c r="G17214" s="8"/>
      <c r="J17214" s="8"/>
    </row>
    <row r="17215">
      <c r="C17215" s="15"/>
      <c r="E17215" s="8"/>
      <c r="G17215" s="8"/>
      <c r="J17215" s="8"/>
    </row>
    <row r="17216">
      <c r="C17216" s="15"/>
      <c r="E17216" s="8"/>
      <c r="G17216" s="8"/>
      <c r="J17216" s="8"/>
    </row>
    <row r="17217">
      <c r="C17217" s="15"/>
      <c r="E17217" s="8"/>
      <c r="G17217" s="8"/>
      <c r="J17217" s="8"/>
    </row>
    <row r="17218">
      <c r="C17218" s="15"/>
      <c r="E17218" s="8"/>
      <c r="G17218" s="8"/>
      <c r="J17218" s="8"/>
    </row>
    <row r="17219">
      <c r="C17219" s="15"/>
      <c r="E17219" s="8"/>
      <c r="G17219" s="8"/>
      <c r="J17219" s="8"/>
    </row>
    <row r="17220">
      <c r="C17220" s="15"/>
      <c r="E17220" s="8"/>
      <c r="G17220" s="8"/>
      <c r="J17220" s="8"/>
    </row>
    <row r="17221">
      <c r="C17221" s="15"/>
      <c r="E17221" s="8"/>
      <c r="G17221" s="8"/>
      <c r="J17221" s="8"/>
    </row>
    <row r="17222">
      <c r="C17222" s="15"/>
      <c r="E17222" s="8"/>
      <c r="G17222" s="8"/>
      <c r="J17222" s="8"/>
    </row>
    <row r="17223">
      <c r="C17223" s="15"/>
      <c r="E17223" s="8"/>
      <c r="G17223" s="8"/>
      <c r="J17223" s="8"/>
    </row>
    <row r="17224">
      <c r="C17224" s="15"/>
      <c r="E17224" s="8"/>
      <c r="G17224" s="8"/>
      <c r="J17224" s="8"/>
    </row>
    <row r="17225">
      <c r="C17225" s="15"/>
      <c r="E17225" s="8"/>
      <c r="G17225" s="8"/>
      <c r="J17225" s="8"/>
    </row>
    <row r="17226">
      <c r="C17226" s="15"/>
      <c r="E17226" s="8"/>
      <c r="G17226" s="8"/>
      <c r="J17226" s="8"/>
    </row>
    <row r="17227">
      <c r="C17227" s="15"/>
      <c r="E17227" s="8"/>
      <c r="G17227" s="8"/>
      <c r="J17227" s="8"/>
    </row>
    <row r="17228">
      <c r="C17228" s="15"/>
      <c r="E17228" s="8"/>
      <c r="G17228" s="8"/>
      <c r="J17228" s="8"/>
    </row>
    <row r="17229">
      <c r="C17229" s="15"/>
      <c r="E17229" s="8"/>
      <c r="G17229" s="8"/>
      <c r="J17229" s="8"/>
    </row>
    <row r="17230">
      <c r="C17230" s="15"/>
      <c r="E17230" s="8"/>
      <c r="G17230" s="8"/>
      <c r="J17230" s="8"/>
    </row>
    <row r="17231">
      <c r="C17231" s="15"/>
      <c r="E17231" s="8"/>
      <c r="G17231" s="8"/>
      <c r="J17231" s="8"/>
    </row>
    <row r="17232">
      <c r="C17232" s="15"/>
      <c r="E17232" s="8"/>
      <c r="G17232" s="8"/>
      <c r="J17232" s="8"/>
    </row>
    <row r="17233">
      <c r="C17233" s="15"/>
      <c r="E17233" s="8"/>
      <c r="G17233" s="8"/>
      <c r="J17233" s="8"/>
    </row>
    <row r="17234">
      <c r="C17234" s="15"/>
      <c r="E17234" s="8"/>
      <c r="G17234" s="8"/>
      <c r="J17234" s="8"/>
    </row>
    <row r="17235">
      <c r="C17235" s="15"/>
      <c r="E17235" s="8"/>
      <c r="G17235" s="8"/>
      <c r="J17235" s="8"/>
    </row>
    <row r="17236">
      <c r="C17236" s="15"/>
      <c r="E17236" s="8"/>
      <c r="G17236" s="8"/>
      <c r="J17236" s="8"/>
    </row>
    <row r="17237">
      <c r="C17237" s="15"/>
      <c r="E17237" s="8"/>
      <c r="G17237" s="8"/>
      <c r="J17237" s="8"/>
    </row>
    <row r="17238">
      <c r="C17238" s="15"/>
      <c r="E17238" s="8"/>
      <c r="G17238" s="8"/>
      <c r="J17238" s="8"/>
    </row>
    <row r="17239">
      <c r="C17239" s="15"/>
      <c r="E17239" s="8"/>
      <c r="G17239" s="8"/>
      <c r="J17239" s="8"/>
    </row>
    <row r="17240">
      <c r="C17240" s="15"/>
      <c r="E17240" s="8"/>
      <c r="G17240" s="8"/>
      <c r="J17240" s="8"/>
    </row>
    <row r="17241">
      <c r="C17241" s="15"/>
      <c r="E17241" s="8"/>
      <c r="G17241" s="8"/>
      <c r="J17241" s="8"/>
    </row>
    <row r="17242">
      <c r="C17242" s="15"/>
      <c r="E17242" s="8"/>
      <c r="G17242" s="8"/>
      <c r="J17242" s="8"/>
    </row>
    <row r="17243">
      <c r="C17243" s="15"/>
      <c r="E17243" s="8"/>
      <c r="G17243" s="8"/>
      <c r="J17243" s="8"/>
    </row>
    <row r="17244">
      <c r="C17244" s="15"/>
      <c r="E17244" s="8"/>
      <c r="G17244" s="8"/>
      <c r="J17244" s="8"/>
    </row>
    <row r="17245">
      <c r="C17245" s="15"/>
      <c r="E17245" s="8"/>
      <c r="G17245" s="8"/>
      <c r="J17245" s="8"/>
    </row>
    <row r="17246">
      <c r="C17246" s="15"/>
      <c r="E17246" s="8"/>
      <c r="G17246" s="8"/>
      <c r="J17246" s="8"/>
    </row>
    <row r="17247">
      <c r="C17247" s="15"/>
      <c r="E17247" s="8"/>
      <c r="G17247" s="8"/>
      <c r="J17247" s="8"/>
    </row>
    <row r="17248">
      <c r="C17248" s="15"/>
      <c r="E17248" s="8"/>
      <c r="G17248" s="8"/>
      <c r="J17248" s="8"/>
    </row>
    <row r="17249">
      <c r="C17249" s="15"/>
      <c r="E17249" s="8"/>
      <c r="G17249" s="8"/>
      <c r="J17249" s="8"/>
    </row>
    <row r="17250">
      <c r="C17250" s="15"/>
      <c r="E17250" s="8"/>
      <c r="G17250" s="8"/>
      <c r="J17250" s="8"/>
    </row>
    <row r="17251">
      <c r="C17251" s="15"/>
      <c r="E17251" s="8"/>
      <c r="G17251" s="8"/>
      <c r="J17251" s="8"/>
    </row>
    <row r="17252">
      <c r="C17252" s="15"/>
      <c r="E17252" s="8"/>
      <c r="G17252" s="8"/>
      <c r="J17252" s="8"/>
    </row>
    <row r="17253">
      <c r="C17253" s="15"/>
      <c r="E17253" s="8"/>
      <c r="G17253" s="8"/>
      <c r="J17253" s="8"/>
    </row>
    <row r="17254">
      <c r="C17254" s="15"/>
      <c r="E17254" s="8"/>
      <c r="G17254" s="8"/>
      <c r="J17254" s="8"/>
    </row>
    <row r="17255">
      <c r="C17255" s="15"/>
      <c r="E17255" s="8"/>
      <c r="G17255" s="8"/>
      <c r="J17255" s="8"/>
    </row>
    <row r="17256">
      <c r="C17256" s="15"/>
      <c r="E17256" s="8"/>
      <c r="G17256" s="8"/>
      <c r="J17256" s="8"/>
    </row>
    <row r="17257">
      <c r="C17257" s="15"/>
      <c r="E17257" s="8"/>
      <c r="G17257" s="8"/>
      <c r="J17257" s="8"/>
    </row>
    <row r="17258">
      <c r="C17258" s="15"/>
      <c r="E17258" s="8"/>
      <c r="G17258" s="8"/>
      <c r="J17258" s="8"/>
    </row>
    <row r="17259">
      <c r="C17259" s="15"/>
      <c r="E17259" s="8"/>
      <c r="G17259" s="8"/>
      <c r="J17259" s="8"/>
    </row>
    <row r="17260">
      <c r="C17260" s="15"/>
      <c r="E17260" s="8"/>
      <c r="G17260" s="8"/>
      <c r="J17260" s="8"/>
    </row>
    <row r="17261">
      <c r="C17261" s="15"/>
      <c r="E17261" s="8"/>
      <c r="G17261" s="8"/>
      <c r="J17261" s="8"/>
    </row>
    <row r="17262">
      <c r="C17262" s="15"/>
      <c r="E17262" s="8"/>
      <c r="G17262" s="8"/>
      <c r="J17262" s="8"/>
    </row>
    <row r="17263">
      <c r="C17263" s="15"/>
      <c r="E17263" s="8"/>
      <c r="G17263" s="8"/>
      <c r="J17263" s="8"/>
    </row>
    <row r="17264">
      <c r="C17264" s="15"/>
      <c r="E17264" s="8"/>
      <c r="G17264" s="8"/>
      <c r="J17264" s="8"/>
    </row>
    <row r="17265">
      <c r="C17265" s="15"/>
      <c r="E17265" s="8"/>
      <c r="G17265" s="8"/>
      <c r="J17265" s="8"/>
    </row>
    <row r="17266">
      <c r="C17266" s="15"/>
      <c r="E17266" s="8"/>
      <c r="G17266" s="8"/>
      <c r="J17266" s="8"/>
    </row>
    <row r="17267">
      <c r="C17267" s="15"/>
      <c r="E17267" s="8"/>
      <c r="G17267" s="8"/>
      <c r="J17267" s="8"/>
    </row>
    <row r="17268">
      <c r="C17268" s="15"/>
      <c r="E17268" s="8"/>
      <c r="G17268" s="8"/>
      <c r="J17268" s="8"/>
    </row>
    <row r="17269">
      <c r="C17269" s="15"/>
      <c r="E17269" s="8"/>
      <c r="G17269" s="8"/>
      <c r="J17269" s="8"/>
    </row>
    <row r="17270">
      <c r="C17270" s="15"/>
      <c r="E17270" s="8"/>
      <c r="G17270" s="8"/>
      <c r="J17270" s="8"/>
    </row>
    <row r="17271">
      <c r="C17271" s="15"/>
      <c r="E17271" s="8"/>
      <c r="G17271" s="8"/>
      <c r="J17271" s="8"/>
    </row>
    <row r="17272">
      <c r="C17272" s="15"/>
      <c r="E17272" s="8"/>
      <c r="G17272" s="8"/>
      <c r="J17272" s="8"/>
    </row>
    <row r="17273">
      <c r="C17273" s="15"/>
      <c r="E17273" s="8"/>
      <c r="G17273" s="8"/>
      <c r="J17273" s="8"/>
    </row>
    <row r="17274">
      <c r="C17274" s="15"/>
      <c r="E17274" s="8"/>
      <c r="G17274" s="8"/>
      <c r="J17274" s="8"/>
    </row>
    <row r="17275">
      <c r="C17275" s="15"/>
      <c r="E17275" s="8"/>
      <c r="G17275" s="8"/>
      <c r="J17275" s="8"/>
    </row>
    <row r="17276">
      <c r="C17276" s="15"/>
      <c r="E17276" s="8"/>
      <c r="G17276" s="8"/>
      <c r="J17276" s="8"/>
    </row>
    <row r="17277">
      <c r="C17277" s="15"/>
      <c r="E17277" s="8"/>
      <c r="G17277" s="8"/>
      <c r="J17277" s="8"/>
    </row>
    <row r="17278">
      <c r="C17278" s="15"/>
      <c r="E17278" s="8"/>
      <c r="G17278" s="8"/>
      <c r="J17278" s="8"/>
    </row>
    <row r="17279">
      <c r="C17279" s="15"/>
      <c r="E17279" s="8"/>
      <c r="G17279" s="8"/>
      <c r="J17279" s="8"/>
    </row>
    <row r="17280">
      <c r="C17280" s="15"/>
      <c r="E17280" s="8"/>
      <c r="G17280" s="8"/>
      <c r="J17280" s="8"/>
    </row>
    <row r="17281">
      <c r="C17281" s="15"/>
      <c r="E17281" s="8"/>
      <c r="G17281" s="8"/>
      <c r="J17281" s="8"/>
    </row>
    <row r="17282">
      <c r="C17282" s="15"/>
      <c r="E17282" s="8"/>
      <c r="G17282" s="8"/>
      <c r="J17282" s="8"/>
    </row>
    <row r="17283">
      <c r="C17283" s="15"/>
      <c r="E17283" s="8"/>
      <c r="G17283" s="8"/>
      <c r="J17283" s="8"/>
    </row>
    <row r="17284">
      <c r="C17284" s="15"/>
      <c r="E17284" s="8"/>
      <c r="G17284" s="8"/>
      <c r="J17284" s="8"/>
    </row>
    <row r="17285">
      <c r="C17285" s="15"/>
      <c r="E17285" s="8"/>
      <c r="G17285" s="8"/>
      <c r="J17285" s="8"/>
    </row>
    <row r="17286">
      <c r="C17286" s="15"/>
      <c r="E17286" s="8"/>
      <c r="G17286" s="8"/>
      <c r="J17286" s="8"/>
    </row>
    <row r="17287">
      <c r="C17287" s="15"/>
      <c r="E17287" s="8"/>
      <c r="G17287" s="8"/>
      <c r="J17287" s="8"/>
    </row>
    <row r="17288">
      <c r="C17288" s="15"/>
      <c r="E17288" s="8"/>
      <c r="G17288" s="8"/>
      <c r="J17288" s="8"/>
    </row>
    <row r="17289">
      <c r="C17289" s="15"/>
      <c r="E17289" s="8"/>
      <c r="G17289" s="8"/>
      <c r="J17289" s="8"/>
    </row>
    <row r="17290">
      <c r="C17290" s="15"/>
      <c r="E17290" s="8"/>
      <c r="G17290" s="8"/>
      <c r="J17290" s="8"/>
    </row>
    <row r="17291">
      <c r="C17291" s="15"/>
      <c r="E17291" s="8"/>
      <c r="G17291" s="8"/>
      <c r="J17291" s="8"/>
    </row>
    <row r="17292">
      <c r="C17292" s="15"/>
      <c r="E17292" s="8"/>
      <c r="G17292" s="8"/>
      <c r="J17292" s="8"/>
    </row>
    <row r="17293">
      <c r="C17293" s="15"/>
      <c r="E17293" s="8"/>
      <c r="G17293" s="8"/>
      <c r="J17293" s="8"/>
    </row>
    <row r="17294">
      <c r="C17294" s="15"/>
      <c r="E17294" s="8"/>
      <c r="G17294" s="8"/>
      <c r="J17294" s="8"/>
    </row>
    <row r="17295">
      <c r="C17295" s="15"/>
      <c r="E17295" s="8"/>
      <c r="G17295" s="8"/>
      <c r="J17295" s="8"/>
    </row>
    <row r="17296">
      <c r="C17296" s="15"/>
      <c r="E17296" s="8"/>
      <c r="G17296" s="8"/>
      <c r="J17296" s="8"/>
    </row>
    <row r="17297">
      <c r="C17297" s="15"/>
      <c r="E17297" s="8"/>
      <c r="G17297" s="8"/>
      <c r="J17297" s="8"/>
    </row>
    <row r="17298">
      <c r="C17298" s="15"/>
      <c r="E17298" s="8"/>
      <c r="G17298" s="8"/>
      <c r="J17298" s="8"/>
    </row>
    <row r="17299">
      <c r="C17299" s="15"/>
      <c r="E17299" s="8"/>
      <c r="G17299" s="8"/>
      <c r="J17299" s="8"/>
    </row>
    <row r="17300">
      <c r="C17300" s="15"/>
      <c r="E17300" s="8"/>
      <c r="G17300" s="8"/>
      <c r="J17300" s="8"/>
    </row>
    <row r="17301">
      <c r="C17301" s="15"/>
      <c r="E17301" s="8"/>
      <c r="G17301" s="8"/>
      <c r="J17301" s="8"/>
    </row>
    <row r="17302">
      <c r="C17302" s="15"/>
      <c r="E17302" s="8"/>
      <c r="G17302" s="8"/>
      <c r="J17302" s="8"/>
    </row>
    <row r="17303">
      <c r="C17303" s="15"/>
      <c r="E17303" s="8"/>
      <c r="G17303" s="8"/>
      <c r="J17303" s="8"/>
    </row>
    <row r="17304">
      <c r="C17304" s="15"/>
      <c r="E17304" s="8"/>
      <c r="G17304" s="8"/>
      <c r="J17304" s="8"/>
    </row>
    <row r="17305">
      <c r="C17305" s="15"/>
      <c r="E17305" s="8"/>
      <c r="G17305" s="8"/>
      <c r="J17305" s="8"/>
    </row>
    <row r="17306">
      <c r="C17306" s="15"/>
      <c r="E17306" s="8"/>
      <c r="G17306" s="8"/>
      <c r="J17306" s="8"/>
    </row>
    <row r="17307">
      <c r="C17307" s="15"/>
      <c r="E17307" s="8"/>
      <c r="G17307" s="8"/>
      <c r="J17307" s="8"/>
    </row>
    <row r="17308">
      <c r="C17308" s="15"/>
      <c r="E17308" s="8"/>
      <c r="G17308" s="8"/>
      <c r="J17308" s="8"/>
    </row>
    <row r="17309">
      <c r="C17309" s="15"/>
      <c r="E17309" s="8"/>
      <c r="G17309" s="8"/>
      <c r="J17309" s="8"/>
    </row>
    <row r="17310">
      <c r="C17310" s="15"/>
      <c r="E17310" s="8"/>
      <c r="G17310" s="8"/>
      <c r="J17310" s="8"/>
    </row>
    <row r="17311">
      <c r="C17311" s="15"/>
      <c r="E17311" s="8"/>
      <c r="G17311" s="8"/>
      <c r="J17311" s="8"/>
    </row>
    <row r="17312">
      <c r="C17312" s="15"/>
      <c r="E17312" s="8"/>
      <c r="G17312" s="8"/>
      <c r="J17312" s="8"/>
    </row>
    <row r="17313">
      <c r="C17313" s="15"/>
      <c r="E17313" s="8"/>
      <c r="G17313" s="8"/>
      <c r="J17313" s="8"/>
    </row>
    <row r="17314">
      <c r="C17314" s="15"/>
      <c r="E17314" s="8"/>
      <c r="G17314" s="8"/>
      <c r="J17314" s="8"/>
    </row>
    <row r="17315">
      <c r="C17315" s="15"/>
      <c r="E17315" s="8"/>
      <c r="G17315" s="8"/>
      <c r="J17315" s="8"/>
    </row>
    <row r="17316">
      <c r="C17316" s="15"/>
      <c r="E17316" s="8"/>
      <c r="G17316" s="8"/>
      <c r="J17316" s="8"/>
    </row>
    <row r="17317">
      <c r="C17317" s="15"/>
      <c r="E17317" s="8"/>
      <c r="G17317" s="8"/>
      <c r="J17317" s="8"/>
    </row>
    <row r="17318">
      <c r="C17318" s="15"/>
      <c r="E17318" s="8"/>
      <c r="G17318" s="8"/>
      <c r="J17318" s="8"/>
    </row>
    <row r="17319">
      <c r="C17319" s="15"/>
      <c r="E17319" s="8"/>
      <c r="G17319" s="8"/>
      <c r="J17319" s="8"/>
    </row>
    <row r="17320">
      <c r="C17320" s="15"/>
      <c r="E17320" s="8"/>
      <c r="G17320" s="8"/>
      <c r="J17320" s="8"/>
    </row>
    <row r="17321">
      <c r="C17321" s="15"/>
      <c r="E17321" s="8"/>
      <c r="G17321" s="8"/>
      <c r="J17321" s="8"/>
    </row>
    <row r="17322">
      <c r="C17322" s="15"/>
      <c r="E17322" s="8"/>
      <c r="G17322" s="8"/>
      <c r="J17322" s="8"/>
    </row>
    <row r="17323">
      <c r="C17323" s="15"/>
      <c r="E17323" s="8"/>
      <c r="G17323" s="8"/>
      <c r="J17323" s="8"/>
    </row>
    <row r="17324">
      <c r="C17324" s="15"/>
      <c r="E17324" s="8"/>
      <c r="G17324" s="8"/>
      <c r="J17324" s="8"/>
    </row>
    <row r="17325">
      <c r="C17325" s="15"/>
      <c r="E17325" s="8"/>
      <c r="G17325" s="8"/>
      <c r="J17325" s="8"/>
    </row>
    <row r="17326">
      <c r="C17326" s="15"/>
      <c r="E17326" s="8"/>
      <c r="G17326" s="8"/>
      <c r="J17326" s="8"/>
    </row>
    <row r="17327">
      <c r="C17327" s="15"/>
      <c r="E17327" s="8"/>
      <c r="G17327" s="8"/>
      <c r="J17327" s="8"/>
    </row>
    <row r="17328">
      <c r="C17328" s="15"/>
      <c r="E17328" s="8"/>
      <c r="G17328" s="8"/>
      <c r="J17328" s="8"/>
    </row>
    <row r="17329">
      <c r="C17329" s="15"/>
      <c r="E17329" s="8"/>
      <c r="G17329" s="8"/>
      <c r="J17329" s="8"/>
    </row>
    <row r="17330">
      <c r="C17330" s="15"/>
      <c r="E17330" s="8"/>
      <c r="G17330" s="8"/>
      <c r="J17330" s="8"/>
    </row>
    <row r="17331">
      <c r="C17331" s="15"/>
      <c r="E17331" s="8"/>
      <c r="G17331" s="8"/>
      <c r="J17331" s="8"/>
    </row>
    <row r="17332">
      <c r="C17332" s="15"/>
      <c r="E17332" s="8"/>
      <c r="G17332" s="8"/>
      <c r="J17332" s="8"/>
    </row>
    <row r="17333">
      <c r="C17333" s="15"/>
      <c r="E17333" s="8"/>
      <c r="G17333" s="8"/>
      <c r="J17333" s="8"/>
    </row>
    <row r="17334">
      <c r="C17334" s="15"/>
      <c r="E17334" s="8"/>
      <c r="G17334" s="8"/>
      <c r="J17334" s="8"/>
    </row>
    <row r="17335">
      <c r="C17335" s="15"/>
      <c r="E17335" s="8"/>
      <c r="G17335" s="8"/>
      <c r="J17335" s="8"/>
    </row>
    <row r="17336">
      <c r="C17336" s="15"/>
      <c r="E17336" s="8"/>
      <c r="G17336" s="8"/>
      <c r="J17336" s="8"/>
    </row>
    <row r="17337">
      <c r="C17337" s="15"/>
      <c r="E17337" s="8"/>
      <c r="G17337" s="8"/>
      <c r="J17337" s="8"/>
    </row>
    <row r="17338">
      <c r="C17338" s="15"/>
      <c r="E17338" s="8"/>
      <c r="G17338" s="8"/>
      <c r="J17338" s="8"/>
    </row>
    <row r="17339">
      <c r="C17339" s="15"/>
      <c r="E17339" s="8"/>
      <c r="G17339" s="8"/>
      <c r="J17339" s="8"/>
    </row>
    <row r="17340">
      <c r="C17340" s="15"/>
      <c r="E17340" s="8"/>
      <c r="G17340" s="8"/>
      <c r="J17340" s="8"/>
    </row>
    <row r="17341">
      <c r="C17341" s="15"/>
      <c r="E17341" s="8"/>
      <c r="G17341" s="8"/>
      <c r="J17341" s="8"/>
    </row>
    <row r="17342">
      <c r="C17342" s="15"/>
      <c r="E17342" s="8"/>
      <c r="G17342" s="8"/>
      <c r="J17342" s="8"/>
    </row>
    <row r="17343">
      <c r="C17343" s="15"/>
      <c r="E17343" s="8"/>
      <c r="G17343" s="8"/>
      <c r="J17343" s="8"/>
    </row>
    <row r="17344">
      <c r="C17344" s="15"/>
      <c r="E17344" s="8"/>
      <c r="G17344" s="8"/>
      <c r="J17344" s="8"/>
    </row>
    <row r="17345">
      <c r="C17345" s="15"/>
      <c r="E17345" s="8"/>
      <c r="G17345" s="8"/>
      <c r="J17345" s="8"/>
    </row>
    <row r="17346">
      <c r="C17346" s="15"/>
      <c r="E17346" s="8"/>
      <c r="G17346" s="8"/>
      <c r="J17346" s="8"/>
    </row>
    <row r="17347">
      <c r="C17347" s="15"/>
      <c r="E17347" s="8"/>
      <c r="G17347" s="8"/>
      <c r="J17347" s="8"/>
    </row>
    <row r="17348">
      <c r="C17348" s="15"/>
      <c r="E17348" s="8"/>
      <c r="G17348" s="8"/>
      <c r="J17348" s="8"/>
    </row>
    <row r="17349">
      <c r="C17349" s="15"/>
      <c r="E17349" s="8"/>
      <c r="G17349" s="8"/>
      <c r="J17349" s="8"/>
    </row>
    <row r="17350">
      <c r="C17350" s="15"/>
      <c r="E17350" s="8"/>
      <c r="G17350" s="8"/>
      <c r="J17350" s="8"/>
    </row>
    <row r="17351">
      <c r="C17351" s="15"/>
      <c r="E17351" s="8"/>
      <c r="G17351" s="8"/>
      <c r="J17351" s="8"/>
    </row>
    <row r="17352">
      <c r="C17352" s="15"/>
      <c r="E17352" s="8"/>
      <c r="G17352" s="8"/>
      <c r="J17352" s="8"/>
    </row>
    <row r="17353">
      <c r="C17353" s="15"/>
      <c r="E17353" s="8"/>
      <c r="G17353" s="8"/>
      <c r="J17353" s="8"/>
    </row>
    <row r="17354">
      <c r="C17354" s="15"/>
      <c r="E17354" s="8"/>
      <c r="G17354" s="8"/>
      <c r="J17354" s="8"/>
    </row>
    <row r="17355">
      <c r="C17355" s="15"/>
      <c r="E17355" s="8"/>
      <c r="G17355" s="8"/>
      <c r="J17355" s="8"/>
    </row>
    <row r="17356">
      <c r="C17356" s="15"/>
      <c r="E17356" s="8"/>
      <c r="G17356" s="8"/>
      <c r="J17356" s="8"/>
    </row>
    <row r="17357">
      <c r="C17357" s="15"/>
      <c r="E17357" s="8"/>
      <c r="G17357" s="8"/>
      <c r="J17357" s="8"/>
    </row>
    <row r="17358">
      <c r="C17358" s="15"/>
      <c r="E17358" s="8"/>
      <c r="G17358" s="8"/>
      <c r="J17358" s="8"/>
    </row>
    <row r="17359">
      <c r="C17359" s="15"/>
      <c r="E17359" s="8"/>
      <c r="G17359" s="8"/>
      <c r="J17359" s="8"/>
    </row>
    <row r="17360">
      <c r="C17360" s="15"/>
      <c r="E17360" s="8"/>
      <c r="G17360" s="8"/>
      <c r="J17360" s="8"/>
    </row>
    <row r="17361">
      <c r="C17361" s="15"/>
      <c r="E17361" s="8"/>
      <c r="G17361" s="8"/>
      <c r="J17361" s="8"/>
    </row>
    <row r="17362">
      <c r="C17362" s="15"/>
      <c r="E17362" s="8"/>
      <c r="G17362" s="8"/>
      <c r="J17362" s="8"/>
    </row>
    <row r="17363">
      <c r="C17363" s="15"/>
      <c r="E17363" s="8"/>
      <c r="G17363" s="8"/>
      <c r="J17363" s="8"/>
    </row>
    <row r="17364">
      <c r="C17364" s="15"/>
      <c r="E17364" s="8"/>
      <c r="G17364" s="8"/>
      <c r="J17364" s="8"/>
    </row>
    <row r="17365">
      <c r="C17365" s="15"/>
      <c r="E17365" s="8"/>
      <c r="G17365" s="8"/>
      <c r="J17365" s="8"/>
    </row>
    <row r="17366">
      <c r="C17366" s="15"/>
      <c r="E17366" s="8"/>
      <c r="G17366" s="8"/>
      <c r="J17366" s="8"/>
    </row>
    <row r="17367">
      <c r="C17367" s="15"/>
      <c r="E17367" s="8"/>
      <c r="G17367" s="8"/>
      <c r="J17367" s="8"/>
    </row>
    <row r="17368">
      <c r="C17368" s="15"/>
      <c r="E17368" s="8"/>
      <c r="G17368" s="8"/>
      <c r="J17368" s="8"/>
    </row>
    <row r="17369">
      <c r="C17369" s="15"/>
      <c r="E17369" s="8"/>
      <c r="G17369" s="8"/>
      <c r="J17369" s="8"/>
    </row>
    <row r="17370">
      <c r="C17370" s="15"/>
      <c r="E17370" s="8"/>
      <c r="G17370" s="8"/>
      <c r="J17370" s="8"/>
    </row>
    <row r="17371">
      <c r="C17371" s="15"/>
      <c r="E17371" s="8"/>
      <c r="G17371" s="8"/>
      <c r="J17371" s="8"/>
    </row>
    <row r="17372">
      <c r="C17372" s="15"/>
      <c r="E17372" s="8"/>
      <c r="G17372" s="8"/>
      <c r="J17372" s="8"/>
    </row>
    <row r="17373">
      <c r="C17373" s="15"/>
      <c r="E17373" s="8"/>
      <c r="G17373" s="8"/>
      <c r="J17373" s="8"/>
    </row>
    <row r="17374">
      <c r="C17374" s="15"/>
      <c r="E17374" s="8"/>
      <c r="G17374" s="8"/>
      <c r="J17374" s="8"/>
    </row>
    <row r="17375">
      <c r="C17375" s="15"/>
      <c r="E17375" s="8"/>
      <c r="G17375" s="8"/>
      <c r="J17375" s="8"/>
    </row>
    <row r="17376">
      <c r="C17376" s="15"/>
      <c r="E17376" s="8"/>
      <c r="G17376" s="8"/>
      <c r="J17376" s="8"/>
    </row>
    <row r="17377">
      <c r="C17377" s="15"/>
      <c r="E17377" s="8"/>
      <c r="G17377" s="8"/>
      <c r="J17377" s="8"/>
    </row>
    <row r="17378">
      <c r="C17378" s="15"/>
      <c r="E17378" s="8"/>
      <c r="G17378" s="8"/>
      <c r="J17378" s="8"/>
    </row>
    <row r="17379">
      <c r="C17379" s="15"/>
      <c r="E17379" s="8"/>
      <c r="G17379" s="8"/>
      <c r="J17379" s="8"/>
    </row>
    <row r="17380">
      <c r="C17380" s="15"/>
      <c r="E17380" s="8"/>
      <c r="G17380" s="8"/>
      <c r="J17380" s="8"/>
    </row>
    <row r="17381">
      <c r="C17381" s="15"/>
      <c r="E17381" s="8"/>
      <c r="G17381" s="8"/>
      <c r="J17381" s="8"/>
    </row>
    <row r="17382">
      <c r="C17382" s="15"/>
      <c r="E17382" s="8"/>
      <c r="G17382" s="8"/>
      <c r="J17382" s="8"/>
    </row>
    <row r="17383">
      <c r="C17383" s="15"/>
      <c r="E17383" s="8"/>
      <c r="G17383" s="8"/>
      <c r="J17383" s="8"/>
    </row>
    <row r="17384">
      <c r="C17384" s="15"/>
      <c r="E17384" s="8"/>
      <c r="G17384" s="8"/>
      <c r="J17384" s="8"/>
    </row>
    <row r="17385">
      <c r="C17385" s="15"/>
      <c r="E17385" s="8"/>
      <c r="G17385" s="8"/>
      <c r="J17385" s="8"/>
    </row>
    <row r="17386">
      <c r="C17386" s="15"/>
      <c r="E17386" s="8"/>
      <c r="G17386" s="8"/>
      <c r="J17386" s="8"/>
    </row>
    <row r="17387">
      <c r="C17387" s="15"/>
      <c r="E17387" s="8"/>
      <c r="G17387" s="8"/>
      <c r="J17387" s="8"/>
    </row>
    <row r="17388">
      <c r="C17388" s="15"/>
      <c r="E17388" s="8"/>
      <c r="G17388" s="8"/>
      <c r="J17388" s="8"/>
    </row>
    <row r="17389">
      <c r="C17389" s="15"/>
      <c r="E17389" s="8"/>
      <c r="G17389" s="8"/>
      <c r="J17389" s="8"/>
    </row>
    <row r="17390">
      <c r="C17390" s="15"/>
      <c r="E17390" s="8"/>
      <c r="G17390" s="8"/>
      <c r="J17390" s="8"/>
    </row>
    <row r="17391">
      <c r="C17391" s="15"/>
      <c r="E17391" s="8"/>
      <c r="G17391" s="8"/>
      <c r="J17391" s="8"/>
    </row>
    <row r="17392">
      <c r="C17392" s="15"/>
      <c r="E17392" s="8"/>
      <c r="G17392" s="8"/>
      <c r="J17392" s="8"/>
    </row>
    <row r="17393">
      <c r="C17393" s="15"/>
      <c r="E17393" s="8"/>
      <c r="G17393" s="8"/>
      <c r="J17393" s="8"/>
    </row>
    <row r="17394">
      <c r="C17394" s="15"/>
      <c r="E17394" s="8"/>
      <c r="G17394" s="8"/>
      <c r="J17394" s="8"/>
    </row>
    <row r="17395">
      <c r="C17395" s="15"/>
      <c r="E17395" s="8"/>
      <c r="G17395" s="8"/>
      <c r="J17395" s="8"/>
    </row>
    <row r="17396">
      <c r="C17396" s="15"/>
      <c r="E17396" s="8"/>
      <c r="G17396" s="8"/>
      <c r="J17396" s="8"/>
    </row>
    <row r="17397">
      <c r="C17397" s="15"/>
      <c r="E17397" s="8"/>
      <c r="G17397" s="8"/>
      <c r="J17397" s="8"/>
    </row>
    <row r="17398">
      <c r="C17398" s="15"/>
      <c r="E17398" s="8"/>
      <c r="G17398" s="8"/>
      <c r="J17398" s="8"/>
    </row>
    <row r="17399">
      <c r="C17399" s="15"/>
      <c r="E17399" s="8"/>
      <c r="G17399" s="8"/>
      <c r="J17399" s="8"/>
    </row>
    <row r="17400">
      <c r="C17400" s="15"/>
      <c r="E17400" s="8"/>
      <c r="G17400" s="8"/>
      <c r="J17400" s="8"/>
    </row>
    <row r="17401">
      <c r="C17401" s="15"/>
      <c r="E17401" s="8"/>
      <c r="G17401" s="8"/>
      <c r="J17401" s="8"/>
    </row>
    <row r="17402">
      <c r="C17402" s="15"/>
      <c r="E17402" s="8"/>
      <c r="G17402" s="8"/>
      <c r="J17402" s="8"/>
    </row>
    <row r="17403">
      <c r="C17403" s="15"/>
      <c r="E17403" s="8"/>
      <c r="G17403" s="8"/>
      <c r="J17403" s="8"/>
    </row>
    <row r="17404">
      <c r="C17404" s="15"/>
      <c r="E17404" s="8"/>
      <c r="G17404" s="8"/>
      <c r="J17404" s="8"/>
    </row>
    <row r="17405">
      <c r="C17405" s="15"/>
      <c r="E17405" s="8"/>
      <c r="G17405" s="8"/>
      <c r="J17405" s="8"/>
    </row>
    <row r="17406">
      <c r="C17406" s="15"/>
      <c r="E17406" s="8"/>
      <c r="G17406" s="8"/>
      <c r="J17406" s="8"/>
    </row>
    <row r="17407">
      <c r="C17407" s="15"/>
      <c r="E17407" s="8"/>
      <c r="G17407" s="8"/>
      <c r="J17407" s="8"/>
    </row>
    <row r="17408">
      <c r="C17408" s="15"/>
      <c r="E17408" s="8"/>
      <c r="G17408" s="8"/>
      <c r="J17408" s="8"/>
    </row>
    <row r="17409">
      <c r="C17409" s="15"/>
      <c r="E17409" s="8"/>
      <c r="G17409" s="8"/>
      <c r="J17409" s="8"/>
    </row>
    <row r="17410">
      <c r="C17410" s="15"/>
      <c r="E17410" s="8"/>
      <c r="G17410" s="8"/>
      <c r="J17410" s="8"/>
    </row>
    <row r="17411">
      <c r="C17411" s="15"/>
      <c r="E17411" s="8"/>
      <c r="G17411" s="8"/>
      <c r="J17411" s="8"/>
    </row>
    <row r="17412">
      <c r="C17412" s="15"/>
      <c r="E17412" s="8"/>
      <c r="G17412" s="8"/>
      <c r="J17412" s="8"/>
    </row>
    <row r="17413">
      <c r="C17413" s="15"/>
      <c r="E17413" s="8"/>
      <c r="G17413" s="8"/>
      <c r="J17413" s="8"/>
    </row>
    <row r="17414">
      <c r="C17414" s="15"/>
      <c r="E17414" s="8"/>
      <c r="G17414" s="8"/>
      <c r="J17414" s="8"/>
    </row>
    <row r="17415">
      <c r="C17415" s="15"/>
      <c r="E17415" s="8"/>
      <c r="G17415" s="8"/>
      <c r="J17415" s="8"/>
    </row>
    <row r="17416">
      <c r="C17416" s="15"/>
      <c r="E17416" s="8"/>
      <c r="G17416" s="8"/>
      <c r="J17416" s="8"/>
    </row>
    <row r="17417">
      <c r="C17417" s="15"/>
      <c r="E17417" s="8"/>
      <c r="G17417" s="8"/>
      <c r="J17417" s="8"/>
    </row>
    <row r="17418">
      <c r="C17418" s="15"/>
      <c r="E17418" s="8"/>
      <c r="G17418" s="8"/>
      <c r="J17418" s="8"/>
    </row>
    <row r="17419">
      <c r="C17419" s="15"/>
      <c r="E17419" s="8"/>
      <c r="G17419" s="8"/>
      <c r="J17419" s="8"/>
    </row>
    <row r="17420">
      <c r="C17420" s="15"/>
      <c r="E17420" s="8"/>
      <c r="G17420" s="8"/>
      <c r="J17420" s="8"/>
    </row>
    <row r="17421">
      <c r="C17421" s="15"/>
      <c r="E17421" s="8"/>
      <c r="G17421" s="8"/>
      <c r="J17421" s="8"/>
    </row>
    <row r="17422">
      <c r="C17422" s="15"/>
      <c r="E17422" s="8"/>
      <c r="G17422" s="8"/>
      <c r="J17422" s="8"/>
    </row>
    <row r="17423">
      <c r="C17423" s="15"/>
      <c r="E17423" s="8"/>
      <c r="G17423" s="8"/>
      <c r="J17423" s="8"/>
    </row>
    <row r="17424">
      <c r="C17424" s="15"/>
      <c r="E17424" s="8"/>
      <c r="G17424" s="8"/>
      <c r="J17424" s="8"/>
    </row>
    <row r="17425">
      <c r="C17425" s="15"/>
      <c r="E17425" s="8"/>
      <c r="G17425" s="8"/>
      <c r="J17425" s="8"/>
    </row>
    <row r="17426">
      <c r="C17426" s="15"/>
      <c r="E17426" s="8"/>
      <c r="G17426" s="8"/>
      <c r="J17426" s="8"/>
    </row>
    <row r="17427">
      <c r="C17427" s="15"/>
      <c r="E17427" s="8"/>
      <c r="G17427" s="8"/>
      <c r="J17427" s="8"/>
    </row>
    <row r="17428">
      <c r="C17428" s="15"/>
      <c r="E17428" s="8"/>
      <c r="G17428" s="8"/>
      <c r="J17428" s="8"/>
    </row>
    <row r="17429">
      <c r="C17429" s="15"/>
      <c r="E17429" s="8"/>
      <c r="G17429" s="8"/>
      <c r="J17429" s="8"/>
    </row>
    <row r="17430">
      <c r="C17430" s="15"/>
      <c r="E17430" s="8"/>
      <c r="G17430" s="8"/>
      <c r="J17430" s="8"/>
    </row>
    <row r="17431">
      <c r="C17431" s="15"/>
      <c r="E17431" s="8"/>
      <c r="G17431" s="8"/>
      <c r="J17431" s="8"/>
    </row>
    <row r="17432">
      <c r="C17432" s="15"/>
      <c r="E17432" s="8"/>
      <c r="G17432" s="8"/>
      <c r="J17432" s="8"/>
    </row>
    <row r="17433">
      <c r="C17433" s="15"/>
      <c r="E17433" s="8"/>
      <c r="G17433" s="8"/>
      <c r="J17433" s="8"/>
    </row>
    <row r="17434">
      <c r="C17434" s="15"/>
      <c r="E17434" s="8"/>
      <c r="G17434" s="8"/>
      <c r="J17434" s="8"/>
    </row>
    <row r="17435">
      <c r="C17435" s="15"/>
      <c r="E17435" s="8"/>
      <c r="G17435" s="8"/>
      <c r="J17435" s="8"/>
    </row>
    <row r="17436">
      <c r="C17436" s="15"/>
      <c r="E17436" s="8"/>
      <c r="G17436" s="8"/>
      <c r="J17436" s="8"/>
    </row>
    <row r="17437">
      <c r="C17437" s="15"/>
      <c r="E17437" s="8"/>
      <c r="G17437" s="8"/>
      <c r="J17437" s="8"/>
    </row>
    <row r="17438">
      <c r="C17438" s="15"/>
      <c r="E17438" s="8"/>
      <c r="G17438" s="8"/>
      <c r="J17438" s="8"/>
    </row>
    <row r="17439">
      <c r="C17439" s="15"/>
      <c r="E17439" s="8"/>
      <c r="G17439" s="8"/>
      <c r="J17439" s="8"/>
    </row>
    <row r="17440">
      <c r="C17440" s="15"/>
      <c r="E17440" s="8"/>
      <c r="G17440" s="8"/>
      <c r="J17440" s="8"/>
    </row>
    <row r="17441">
      <c r="C17441" s="15"/>
      <c r="E17441" s="8"/>
      <c r="G17441" s="8"/>
      <c r="J17441" s="8"/>
    </row>
    <row r="17442">
      <c r="C17442" s="15"/>
      <c r="E17442" s="8"/>
      <c r="G17442" s="8"/>
      <c r="J17442" s="8"/>
    </row>
    <row r="17443">
      <c r="C17443" s="15"/>
      <c r="E17443" s="8"/>
      <c r="G17443" s="8"/>
      <c r="J17443" s="8"/>
    </row>
    <row r="17444">
      <c r="C17444" s="15"/>
      <c r="E17444" s="8"/>
      <c r="G17444" s="8"/>
      <c r="J17444" s="8"/>
    </row>
    <row r="17445">
      <c r="C17445" s="15"/>
      <c r="E17445" s="8"/>
      <c r="G17445" s="8"/>
      <c r="J17445" s="8"/>
    </row>
    <row r="17446">
      <c r="C17446" s="15"/>
      <c r="E17446" s="8"/>
      <c r="G17446" s="8"/>
      <c r="J17446" s="8"/>
    </row>
    <row r="17447">
      <c r="C17447" s="15"/>
      <c r="E17447" s="8"/>
      <c r="G17447" s="8"/>
      <c r="J17447" s="8"/>
    </row>
    <row r="17448">
      <c r="C17448" s="15"/>
      <c r="E17448" s="8"/>
      <c r="G17448" s="8"/>
      <c r="J17448" s="8"/>
    </row>
    <row r="17449">
      <c r="C17449" s="15"/>
      <c r="E17449" s="8"/>
      <c r="G17449" s="8"/>
      <c r="J17449" s="8"/>
    </row>
    <row r="17450">
      <c r="C17450" s="15"/>
      <c r="E17450" s="8"/>
      <c r="G17450" s="8"/>
      <c r="J17450" s="8"/>
    </row>
    <row r="17451">
      <c r="C17451" s="15"/>
      <c r="E17451" s="8"/>
      <c r="G17451" s="8"/>
      <c r="J17451" s="8"/>
    </row>
    <row r="17452">
      <c r="C17452" s="15"/>
      <c r="E17452" s="8"/>
      <c r="G17452" s="8"/>
      <c r="J17452" s="8"/>
    </row>
    <row r="17453">
      <c r="C17453" s="15"/>
      <c r="E17453" s="8"/>
      <c r="G17453" s="8"/>
      <c r="J17453" s="8"/>
    </row>
    <row r="17454">
      <c r="C17454" s="15"/>
      <c r="E17454" s="8"/>
      <c r="G17454" s="8"/>
      <c r="J17454" s="8"/>
    </row>
    <row r="17455">
      <c r="C17455" s="15"/>
      <c r="E17455" s="8"/>
      <c r="G17455" s="8"/>
      <c r="J17455" s="8"/>
    </row>
    <row r="17456">
      <c r="C17456" s="15"/>
      <c r="E17456" s="8"/>
      <c r="G17456" s="8"/>
      <c r="J17456" s="8"/>
    </row>
    <row r="17457">
      <c r="C17457" s="15"/>
      <c r="E17457" s="8"/>
      <c r="G17457" s="8"/>
      <c r="J17457" s="8"/>
    </row>
    <row r="17458">
      <c r="C17458" s="15"/>
      <c r="E17458" s="8"/>
      <c r="G17458" s="8"/>
      <c r="J17458" s="8"/>
    </row>
    <row r="17459">
      <c r="C17459" s="15"/>
      <c r="E17459" s="8"/>
      <c r="G17459" s="8"/>
      <c r="J17459" s="8"/>
    </row>
    <row r="17460">
      <c r="C17460" s="15"/>
      <c r="E17460" s="8"/>
      <c r="G17460" s="8"/>
      <c r="J17460" s="8"/>
    </row>
    <row r="17461">
      <c r="C17461" s="15"/>
      <c r="E17461" s="8"/>
      <c r="G17461" s="8"/>
      <c r="J17461" s="8"/>
    </row>
    <row r="17462">
      <c r="C17462" s="15"/>
      <c r="E17462" s="8"/>
      <c r="G17462" s="8"/>
      <c r="J17462" s="8"/>
    </row>
    <row r="17463">
      <c r="C17463" s="15"/>
      <c r="E17463" s="8"/>
      <c r="G17463" s="8"/>
      <c r="J17463" s="8"/>
    </row>
    <row r="17464">
      <c r="C17464" s="15"/>
      <c r="E17464" s="8"/>
      <c r="G17464" s="8"/>
      <c r="J17464" s="8"/>
    </row>
    <row r="17465">
      <c r="C17465" s="15"/>
      <c r="E17465" s="8"/>
      <c r="G17465" s="8"/>
      <c r="J17465" s="8"/>
    </row>
    <row r="17466">
      <c r="C17466" s="15"/>
      <c r="E17466" s="8"/>
      <c r="G17466" s="8"/>
      <c r="J17466" s="8"/>
    </row>
    <row r="17467">
      <c r="C17467" s="15"/>
      <c r="E17467" s="8"/>
      <c r="G17467" s="8"/>
      <c r="J17467" s="8"/>
    </row>
    <row r="17468">
      <c r="C17468" s="15"/>
      <c r="E17468" s="8"/>
      <c r="G17468" s="8"/>
      <c r="J17468" s="8"/>
    </row>
    <row r="17469">
      <c r="C17469" s="15"/>
      <c r="E17469" s="8"/>
      <c r="G17469" s="8"/>
      <c r="J17469" s="8"/>
    </row>
    <row r="17470">
      <c r="C17470" s="15"/>
      <c r="E17470" s="8"/>
      <c r="G17470" s="8"/>
      <c r="J17470" s="8"/>
    </row>
    <row r="17471">
      <c r="C17471" s="15"/>
      <c r="E17471" s="8"/>
      <c r="G17471" s="8"/>
      <c r="J17471" s="8"/>
    </row>
    <row r="17472">
      <c r="C17472" s="15"/>
      <c r="E17472" s="8"/>
      <c r="G17472" s="8"/>
      <c r="J17472" s="8"/>
    </row>
    <row r="17473">
      <c r="C17473" s="15"/>
      <c r="E17473" s="8"/>
      <c r="G17473" s="8"/>
      <c r="J17473" s="8"/>
    </row>
    <row r="17474">
      <c r="C17474" s="15"/>
      <c r="E17474" s="8"/>
      <c r="G17474" s="8"/>
      <c r="J17474" s="8"/>
    </row>
    <row r="17475">
      <c r="C17475" s="15"/>
      <c r="E17475" s="8"/>
      <c r="G17475" s="8"/>
      <c r="J17475" s="8"/>
    </row>
    <row r="17476">
      <c r="C17476" s="15"/>
      <c r="E17476" s="8"/>
      <c r="G17476" s="8"/>
      <c r="J17476" s="8"/>
    </row>
    <row r="17477">
      <c r="C17477" s="15"/>
      <c r="E17477" s="8"/>
      <c r="G17477" s="8"/>
      <c r="J17477" s="8"/>
    </row>
    <row r="17478">
      <c r="C17478" s="15"/>
      <c r="E17478" s="8"/>
      <c r="G17478" s="8"/>
      <c r="J17478" s="8"/>
    </row>
    <row r="17479">
      <c r="C17479" s="15"/>
      <c r="E17479" s="8"/>
      <c r="G17479" s="8"/>
      <c r="J17479" s="8"/>
    </row>
    <row r="17480">
      <c r="C17480" s="15"/>
      <c r="E17480" s="8"/>
      <c r="G17480" s="8"/>
      <c r="J17480" s="8"/>
    </row>
    <row r="17481">
      <c r="C17481" s="15"/>
      <c r="E17481" s="8"/>
      <c r="G17481" s="8"/>
      <c r="J17481" s="8"/>
    </row>
    <row r="17482">
      <c r="C17482" s="15"/>
      <c r="E17482" s="8"/>
      <c r="G17482" s="8"/>
      <c r="J17482" s="8"/>
    </row>
    <row r="17483">
      <c r="C17483" s="15"/>
      <c r="E17483" s="8"/>
      <c r="G17483" s="8"/>
      <c r="J17483" s="8"/>
    </row>
    <row r="17484">
      <c r="C17484" s="15"/>
      <c r="E17484" s="8"/>
      <c r="G17484" s="8"/>
      <c r="J17484" s="8"/>
    </row>
    <row r="17485">
      <c r="C17485" s="15"/>
      <c r="E17485" s="8"/>
      <c r="G17485" s="8"/>
      <c r="J17485" s="8"/>
    </row>
    <row r="17486">
      <c r="C17486" s="15"/>
      <c r="E17486" s="8"/>
      <c r="G17486" s="8"/>
      <c r="J17486" s="8"/>
    </row>
    <row r="17487">
      <c r="C17487" s="15"/>
      <c r="E17487" s="8"/>
      <c r="G17487" s="8"/>
      <c r="J17487" s="8"/>
    </row>
    <row r="17488">
      <c r="C17488" s="15"/>
      <c r="E17488" s="8"/>
      <c r="G17488" s="8"/>
      <c r="J17488" s="8"/>
    </row>
    <row r="17489">
      <c r="C17489" s="15"/>
      <c r="E17489" s="8"/>
      <c r="G17489" s="8"/>
      <c r="J17489" s="8"/>
    </row>
    <row r="17490">
      <c r="C17490" s="15"/>
      <c r="E17490" s="8"/>
      <c r="G17490" s="8"/>
      <c r="J17490" s="8"/>
    </row>
    <row r="17491">
      <c r="C17491" s="15"/>
      <c r="E17491" s="8"/>
      <c r="G17491" s="8"/>
      <c r="J17491" s="8"/>
    </row>
    <row r="17492">
      <c r="C17492" s="15"/>
      <c r="E17492" s="8"/>
      <c r="G17492" s="8"/>
      <c r="J17492" s="8"/>
    </row>
    <row r="17493">
      <c r="C17493" s="15"/>
      <c r="E17493" s="8"/>
      <c r="G17493" s="8"/>
      <c r="J17493" s="8"/>
    </row>
    <row r="17494">
      <c r="C17494" s="15"/>
      <c r="E17494" s="8"/>
      <c r="G17494" s="8"/>
      <c r="J17494" s="8"/>
    </row>
    <row r="17495">
      <c r="C17495" s="15"/>
      <c r="E17495" s="8"/>
      <c r="G17495" s="8"/>
      <c r="J17495" s="8"/>
    </row>
    <row r="17496">
      <c r="C17496" s="15"/>
      <c r="E17496" s="8"/>
      <c r="G17496" s="8"/>
      <c r="J17496" s="8"/>
    </row>
    <row r="17497">
      <c r="C17497" s="15"/>
      <c r="E17497" s="8"/>
      <c r="G17497" s="8"/>
      <c r="J17497" s="8"/>
    </row>
    <row r="17498">
      <c r="C17498" s="15"/>
      <c r="E17498" s="8"/>
      <c r="G17498" s="8"/>
      <c r="J17498" s="8"/>
    </row>
    <row r="17499">
      <c r="C17499" s="15"/>
      <c r="E17499" s="8"/>
      <c r="G17499" s="8"/>
      <c r="J17499" s="8"/>
    </row>
    <row r="17500">
      <c r="C17500" s="15"/>
      <c r="E17500" s="8"/>
      <c r="G17500" s="8"/>
      <c r="J17500" s="8"/>
    </row>
    <row r="17501">
      <c r="C17501" s="15"/>
      <c r="E17501" s="8"/>
      <c r="G17501" s="8"/>
      <c r="J17501" s="8"/>
    </row>
    <row r="17502">
      <c r="C17502" s="15"/>
      <c r="E17502" s="8"/>
      <c r="G17502" s="8"/>
      <c r="J17502" s="8"/>
    </row>
    <row r="17503">
      <c r="C17503" s="15"/>
      <c r="E17503" s="8"/>
      <c r="G17503" s="8"/>
      <c r="J17503" s="8"/>
    </row>
    <row r="17504">
      <c r="C17504" s="15"/>
      <c r="E17504" s="8"/>
      <c r="G17504" s="8"/>
      <c r="J17504" s="8"/>
    </row>
    <row r="17505">
      <c r="C17505" s="15"/>
      <c r="E17505" s="8"/>
      <c r="G17505" s="8"/>
      <c r="J17505" s="8"/>
    </row>
    <row r="17506">
      <c r="C17506" s="15"/>
      <c r="E17506" s="8"/>
      <c r="G17506" s="8"/>
      <c r="J17506" s="8"/>
    </row>
    <row r="17507">
      <c r="C17507" s="15"/>
      <c r="E17507" s="8"/>
      <c r="G17507" s="8"/>
      <c r="J17507" s="8"/>
    </row>
    <row r="17508">
      <c r="C17508" s="15"/>
      <c r="E17508" s="8"/>
      <c r="G17508" s="8"/>
      <c r="J17508" s="8"/>
    </row>
    <row r="17509">
      <c r="C17509" s="15"/>
      <c r="E17509" s="8"/>
      <c r="G17509" s="8"/>
      <c r="J17509" s="8"/>
    </row>
    <row r="17510">
      <c r="C17510" s="15"/>
      <c r="E17510" s="8"/>
      <c r="G17510" s="8"/>
      <c r="J17510" s="8"/>
    </row>
    <row r="17511">
      <c r="C17511" s="15"/>
      <c r="E17511" s="8"/>
      <c r="G17511" s="8"/>
      <c r="J17511" s="8"/>
    </row>
    <row r="17512">
      <c r="C17512" s="15"/>
      <c r="E17512" s="8"/>
      <c r="G17512" s="8"/>
      <c r="J17512" s="8"/>
    </row>
    <row r="17513">
      <c r="C17513" s="15"/>
      <c r="E17513" s="8"/>
      <c r="G17513" s="8"/>
      <c r="J17513" s="8"/>
    </row>
    <row r="17514">
      <c r="C17514" s="15"/>
      <c r="E17514" s="8"/>
      <c r="G17514" s="8"/>
      <c r="J17514" s="8"/>
    </row>
    <row r="17515">
      <c r="C17515" s="15"/>
      <c r="E17515" s="8"/>
      <c r="G17515" s="8"/>
      <c r="J17515" s="8"/>
    </row>
    <row r="17516">
      <c r="C17516" s="15"/>
      <c r="E17516" s="8"/>
      <c r="G17516" s="8"/>
      <c r="J17516" s="8"/>
    </row>
    <row r="17517">
      <c r="C17517" s="15"/>
      <c r="E17517" s="8"/>
      <c r="G17517" s="8"/>
      <c r="J17517" s="8"/>
    </row>
    <row r="17518">
      <c r="C17518" s="15"/>
      <c r="E17518" s="8"/>
      <c r="G17518" s="8"/>
      <c r="J17518" s="8"/>
    </row>
    <row r="17519">
      <c r="C17519" s="15"/>
      <c r="E17519" s="8"/>
      <c r="G17519" s="8"/>
      <c r="J17519" s="8"/>
    </row>
    <row r="17520">
      <c r="C17520" s="15"/>
      <c r="E17520" s="8"/>
      <c r="G17520" s="8"/>
      <c r="J17520" s="8"/>
    </row>
    <row r="17521">
      <c r="C17521" s="15"/>
      <c r="E17521" s="8"/>
      <c r="G17521" s="8"/>
      <c r="J17521" s="8"/>
    </row>
    <row r="17522">
      <c r="C17522" s="15"/>
      <c r="E17522" s="8"/>
      <c r="G17522" s="8"/>
      <c r="J17522" s="8"/>
    </row>
    <row r="17523">
      <c r="C17523" s="15"/>
      <c r="E17523" s="8"/>
      <c r="G17523" s="8"/>
      <c r="J17523" s="8"/>
    </row>
    <row r="17524">
      <c r="C17524" s="15"/>
      <c r="E17524" s="8"/>
      <c r="G17524" s="8"/>
      <c r="J17524" s="8"/>
    </row>
    <row r="17525">
      <c r="C17525" s="15"/>
      <c r="E17525" s="8"/>
      <c r="G17525" s="8"/>
      <c r="J17525" s="8"/>
    </row>
    <row r="17526">
      <c r="C17526" s="15"/>
      <c r="E17526" s="8"/>
      <c r="G17526" s="8"/>
      <c r="J17526" s="8"/>
    </row>
    <row r="17527">
      <c r="C17527" s="15"/>
      <c r="E17527" s="8"/>
      <c r="G17527" s="8"/>
      <c r="J17527" s="8"/>
    </row>
    <row r="17528">
      <c r="C17528" s="15"/>
      <c r="E17528" s="8"/>
      <c r="G17528" s="8"/>
      <c r="J17528" s="8"/>
    </row>
    <row r="17529">
      <c r="C17529" s="15"/>
      <c r="E17529" s="8"/>
      <c r="G17529" s="8"/>
      <c r="J17529" s="8"/>
    </row>
    <row r="17530">
      <c r="C17530" s="15"/>
      <c r="E17530" s="8"/>
      <c r="G17530" s="8"/>
      <c r="J17530" s="8"/>
    </row>
    <row r="17531">
      <c r="C17531" s="15"/>
      <c r="E17531" s="8"/>
      <c r="G17531" s="8"/>
      <c r="J17531" s="8"/>
    </row>
    <row r="17532">
      <c r="C17532" s="15"/>
      <c r="E17532" s="8"/>
      <c r="G17532" s="8"/>
      <c r="J17532" s="8"/>
    </row>
    <row r="17533">
      <c r="C17533" s="15"/>
      <c r="E17533" s="8"/>
      <c r="G17533" s="8"/>
      <c r="J17533" s="8"/>
    </row>
    <row r="17534">
      <c r="C17534" s="15"/>
      <c r="E17534" s="8"/>
      <c r="G17534" s="8"/>
      <c r="J17534" s="8"/>
    </row>
    <row r="17535">
      <c r="C17535" s="15"/>
      <c r="E17535" s="8"/>
      <c r="G17535" s="8"/>
      <c r="J17535" s="8"/>
    </row>
    <row r="17536">
      <c r="C17536" s="15"/>
      <c r="E17536" s="8"/>
      <c r="G17536" s="8"/>
      <c r="J17536" s="8"/>
    </row>
    <row r="17537">
      <c r="C17537" s="15"/>
      <c r="E17537" s="8"/>
      <c r="G17537" s="8"/>
      <c r="J17537" s="8"/>
    </row>
    <row r="17538">
      <c r="C17538" s="15"/>
      <c r="E17538" s="8"/>
      <c r="G17538" s="8"/>
      <c r="J17538" s="8"/>
    </row>
    <row r="17539">
      <c r="C17539" s="15"/>
      <c r="E17539" s="8"/>
      <c r="G17539" s="8"/>
      <c r="J17539" s="8"/>
    </row>
    <row r="17540">
      <c r="C17540" s="15"/>
      <c r="E17540" s="8"/>
      <c r="G17540" s="8"/>
      <c r="J17540" s="8"/>
    </row>
    <row r="17541">
      <c r="C17541" s="15"/>
      <c r="E17541" s="8"/>
      <c r="G17541" s="8"/>
      <c r="J17541" s="8"/>
    </row>
    <row r="17542">
      <c r="C17542" s="15"/>
      <c r="E17542" s="8"/>
      <c r="G17542" s="8"/>
      <c r="J17542" s="8"/>
    </row>
    <row r="17543">
      <c r="C17543" s="15"/>
      <c r="E17543" s="8"/>
      <c r="G17543" s="8"/>
      <c r="J17543" s="8"/>
    </row>
    <row r="17544">
      <c r="C17544" s="15"/>
      <c r="E17544" s="8"/>
      <c r="G17544" s="8"/>
      <c r="J17544" s="8"/>
    </row>
    <row r="17545">
      <c r="C17545" s="15"/>
      <c r="E17545" s="8"/>
      <c r="G17545" s="8"/>
      <c r="J17545" s="8"/>
    </row>
    <row r="17546">
      <c r="C17546" s="15"/>
      <c r="E17546" s="8"/>
      <c r="G17546" s="8"/>
      <c r="J17546" s="8"/>
    </row>
    <row r="17547">
      <c r="C17547" s="15"/>
      <c r="E17547" s="8"/>
      <c r="G17547" s="8"/>
      <c r="J17547" s="8"/>
    </row>
    <row r="17548">
      <c r="C17548" s="15"/>
      <c r="E17548" s="8"/>
      <c r="G17548" s="8"/>
      <c r="J17548" s="8"/>
    </row>
    <row r="17549">
      <c r="C17549" s="15"/>
      <c r="E17549" s="8"/>
      <c r="G17549" s="8"/>
      <c r="J17549" s="8"/>
    </row>
    <row r="17550">
      <c r="C17550" s="15"/>
      <c r="E17550" s="8"/>
      <c r="G17550" s="8"/>
      <c r="J17550" s="8"/>
    </row>
    <row r="17551">
      <c r="C17551" s="15"/>
      <c r="E17551" s="8"/>
      <c r="G17551" s="8"/>
      <c r="J17551" s="8"/>
    </row>
    <row r="17552">
      <c r="C17552" s="15"/>
      <c r="E17552" s="8"/>
      <c r="G17552" s="8"/>
      <c r="J17552" s="8"/>
    </row>
    <row r="17553">
      <c r="C17553" s="15"/>
      <c r="E17553" s="8"/>
      <c r="G17553" s="8"/>
      <c r="J17553" s="8"/>
    </row>
    <row r="17554">
      <c r="C17554" s="15"/>
      <c r="E17554" s="8"/>
      <c r="G17554" s="8"/>
      <c r="J17554" s="8"/>
    </row>
    <row r="17555">
      <c r="C17555" s="15"/>
      <c r="E17555" s="8"/>
      <c r="G17555" s="8"/>
      <c r="J17555" s="8"/>
    </row>
    <row r="17556">
      <c r="C17556" s="15"/>
      <c r="E17556" s="8"/>
      <c r="G17556" s="8"/>
      <c r="J17556" s="8"/>
    </row>
    <row r="17557">
      <c r="C17557" s="15"/>
      <c r="E17557" s="8"/>
      <c r="G17557" s="8"/>
      <c r="J17557" s="8"/>
    </row>
    <row r="17558">
      <c r="C17558" s="15"/>
      <c r="E17558" s="8"/>
      <c r="G17558" s="8"/>
      <c r="J17558" s="8"/>
    </row>
    <row r="17559">
      <c r="C17559" s="15"/>
      <c r="E17559" s="8"/>
      <c r="G17559" s="8"/>
      <c r="J17559" s="8"/>
    </row>
    <row r="17560">
      <c r="C17560" s="15"/>
      <c r="E17560" s="8"/>
      <c r="G17560" s="8"/>
      <c r="J17560" s="8"/>
    </row>
    <row r="17561">
      <c r="C17561" s="15"/>
      <c r="E17561" s="8"/>
      <c r="G17561" s="8"/>
      <c r="J17561" s="8"/>
    </row>
    <row r="17562">
      <c r="C17562" s="15"/>
      <c r="E17562" s="8"/>
      <c r="G17562" s="8"/>
      <c r="J17562" s="8"/>
    </row>
    <row r="17563">
      <c r="C17563" s="15"/>
      <c r="E17563" s="8"/>
      <c r="G17563" s="8"/>
      <c r="J17563" s="8"/>
    </row>
    <row r="17564">
      <c r="C17564" s="15"/>
      <c r="E17564" s="8"/>
      <c r="G17564" s="8"/>
      <c r="J17564" s="8"/>
    </row>
    <row r="17565">
      <c r="C17565" s="15"/>
      <c r="E17565" s="8"/>
      <c r="G17565" s="8"/>
      <c r="J17565" s="8"/>
    </row>
    <row r="17566">
      <c r="C17566" s="15"/>
      <c r="E17566" s="8"/>
      <c r="G17566" s="8"/>
      <c r="J17566" s="8"/>
    </row>
    <row r="17567">
      <c r="C17567" s="15"/>
      <c r="E17567" s="8"/>
      <c r="G17567" s="8"/>
      <c r="J17567" s="8"/>
    </row>
    <row r="17568">
      <c r="C17568" s="15"/>
      <c r="E17568" s="8"/>
      <c r="G17568" s="8"/>
      <c r="J17568" s="8"/>
    </row>
    <row r="17569">
      <c r="C17569" s="15"/>
      <c r="E17569" s="8"/>
      <c r="G17569" s="8"/>
      <c r="J17569" s="8"/>
    </row>
    <row r="17570">
      <c r="C17570" s="15"/>
      <c r="E17570" s="8"/>
      <c r="G17570" s="8"/>
      <c r="J17570" s="8"/>
    </row>
    <row r="17571">
      <c r="C17571" s="15"/>
      <c r="E17571" s="8"/>
      <c r="G17571" s="8"/>
      <c r="J17571" s="8"/>
    </row>
    <row r="17572">
      <c r="C17572" s="15"/>
      <c r="E17572" s="8"/>
      <c r="G17572" s="8"/>
      <c r="J17572" s="8"/>
    </row>
    <row r="17573">
      <c r="C17573" s="15"/>
      <c r="E17573" s="8"/>
      <c r="G17573" s="8"/>
      <c r="J17573" s="8"/>
    </row>
    <row r="17574">
      <c r="C17574" s="15"/>
      <c r="E17574" s="8"/>
      <c r="G17574" s="8"/>
      <c r="J17574" s="8"/>
    </row>
    <row r="17575">
      <c r="C17575" s="15"/>
      <c r="E17575" s="8"/>
      <c r="G17575" s="8"/>
      <c r="J17575" s="8"/>
    </row>
    <row r="17576">
      <c r="C17576" s="15"/>
      <c r="E17576" s="8"/>
      <c r="G17576" s="8"/>
      <c r="J17576" s="8"/>
    </row>
    <row r="17577">
      <c r="C17577" s="15"/>
      <c r="E17577" s="8"/>
      <c r="G17577" s="8"/>
      <c r="J17577" s="8"/>
    </row>
    <row r="17578">
      <c r="C17578" s="15"/>
      <c r="E17578" s="8"/>
      <c r="G17578" s="8"/>
      <c r="J17578" s="8"/>
    </row>
    <row r="17579">
      <c r="C17579" s="15"/>
      <c r="E17579" s="8"/>
      <c r="G17579" s="8"/>
      <c r="J17579" s="8"/>
    </row>
    <row r="17580">
      <c r="C17580" s="15"/>
      <c r="E17580" s="8"/>
      <c r="G17580" s="8"/>
      <c r="J17580" s="8"/>
    </row>
    <row r="17581">
      <c r="C17581" s="15"/>
      <c r="E17581" s="8"/>
      <c r="G17581" s="8"/>
      <c r="J17581" s="8"/>
    </row>
    <row r="17582">
      <c r="C17582" s="15"/>
      <c r="E17582" s="8"/>
      <c r="G17582" s="8"/>
      <c r="J17582" s="8"/>
    </row>
    <row r="17583">
      <c r="C17583" s="15"/>
      <c r="E17583" s="8"/>
      <c r="G17583" s="8"/>
      <c r="J17583" s="8"/>
    </row>
    <row r="17584">
      <c r="C17584" s="15"/>
      <c r="E17584" s="8"/>
      <c r="G17584" s="8"/>
      <c r="J17584" s="8"/>
    </row>
    <row r="17585">
      <c r="C17585" s="15"/>
      <c r="E17585" s="8"/>
      <c r="G17585" s="8"/>
      <c r="J17585" s="8"/>
    </row>
    <row r="17586">
      <c r="C17586" s="15"/>
      <c r="E17586" s="8"/>
      <c r="G17586" s="8"/>
      <c r="J17586" s="8"/>
    </row>
    <row r="17587">
      <c r="C17587" s="15"/>
      <c r="E17587" s="8"/>
      <c r="G17587" s="8"/>
      <c r="J17587" s="8"/>
    </row>
    <row r="17588">
      <c r="C17588" s="15"/>
      <c r="E17588" s="8"/>
      <c r="G17588" s="8"/>
      <c r="J17588" s="8"/>
    </row>
    <row r="17589">
      <c r="C17589" s="15"/>
      <c r="E17589" s="8"/>
      <c r="G17589" s="8"/>
      <c r="J17589" s="8"/>
    </row>
    <row r="17590">
      <c r="C17590" s="15"/>
      <c r="E17590" s="8"/>
      <c r="G17590" s="8"/>
      <c r="J17590" s="8"/>
    </row>
    <row r="17591">
      <c r="C17591" s="15"/>
      <c r="E17591" s="8"/>
      <c r="G17591" s="8"/>
      <c r="J17591" s="8"/>
    </row>
    <row r="17592">
      <c r="C17592" s="15"/>
      <c r="E17592" s="8"/>
      <c r="G17592" s="8"/>
      <c r="J17592" s="8"/>
    </row>
    <row r="17593">
      <c r="C17593" s="15"/>
      <c r="E17593" s="8"/>
      <c r="G17593" s="8"/>
      <c r="J17593" s="8"/>
    </row>
    <row r="17594">
      <c r="C17594" s="15"/>
      <c r="E17594" s="8"/>
      <c r="G17594" s="8"/>
      <c r="J17594" s="8"/>
    </row>
    <row r="17595">
      <c r="C17595" s="15"/>
      <c r="E17595" s="8"/>
      <c r="G17595" s="8"/>
      <c r="J17595" s="8"/>
    </row>
    <row r="17596">
      <c r="C17596" s="15"/>
      <c r="E17596" s="8"/>
      <c r="G17596" s="8"/>
      <c r="J17596" s="8"/>
    </row>
    <row r="17597">
      <c r="C17597" s="15"/>
      <c r="E17597" s="8"/>
      <c r="G17597" s="8"/>
      <c r="J17597" s="8"/>
    </row>
    <row r="17598">
      <c r="C17598" s="15"/>
      <c r="E17598" s="8"/>
      <c r="G17598" s="8"/>
      <c r="J17598" s="8"/>
    </row>
    <row r="17599">
      <c r="C17599" s="15"/>
      <c r="E17599" s="8"/>
      <c r="G17599" s="8"/>
      <c r="J17599" s="8"/>
    </row>
    <row r="17600">
      <c r="C17600" s="15"/>
      <c r="E17600" s="8"/>
      <c r="G17600" s="8"/>
      <c r="J17600" s="8"/>
    </row>
    <row r="17601">
      <c r="C17601" s="15"/>
      <c r="E17601" s="8"/>
      <c r="G17601" s="8"/>
      <c r="J17601" s="8"/>
    </row>
    <row r="17602">
      <c r="C17602" s="15"/>
      <c r="E17602" s="8"/>
      <c r="G17602" s="8"/>
      <c r="J17602" s="8"/>
    </row>
    <row r="17603">
      <c r="C17603" s="15"/>
      <c r="E17603" s="8"/>
      <c r="G17603" s="8"/>
      <c r="J17603" s="8"/>
    </row>
    <row r="17604">
      <c r="C17604" s="15"/>
      <c r="E17604" s="8"/>
      <c r="G17604" s="8"/>
      <c r="J17604" s="8"/>
    </row>
    <row r="17605">
      <c r="C17605" s="15"/>
      <c r="E17605" s="8"/>
      <c r="G17605" s="8"/>
      <c r="J17605" s="8"/>
    </row>
    <row r="17606">
      <c r="C17606" s="15"/>
      <c r="E17606" s="8"/>
      <c r="G17606" s="8"/>
      <c r="J17606" s="8"/>
    </row>
    <row r="17607">
      <c r="C17607" s="15"/>
      <c r="E17607" s="8"/>
      <c r="G17607" s="8"/>
      <c r="J17607" s="8"/>
    </row>
    <row r="17608">
      <c r="C17608" s="15"/>
      <c r="E17608" s="8"/>
      <c r="G17608" s="8"/>
      <c r="J17608" s="8"/>
    </row>
    <row r="17609">
      <c r="C17609" s="15"/>
      <c r="E17609" s="8"/>
      <c r="G17609" s="8"/>
      <c r="J17609" s="8"/>
    </row>
    <row r="17610">
      <c r="C17610" s="15"/>
      <c r="E17610" s="8"/>
      <c r="G17610" s="8"/>
      <c r="J17610" s="8"/>
    </row>
    <row r="17611">
      <c r="C17611" s="15"/>
      <c r="E17611" s="8"/>
      <c r="G17611" s="8"/>
      <c r="J17611" s="8"/>
    </row>
    <row r="17612">
      <c r="C17612" s="15"/>
      <c r="E17612" s="8"/>
      <c r="G17612" s="8"/>
      <c r="J17612" s="8"/>
    </row>
    <row r="17613">
      <c r="C17613" s="15"/>
      <c r="E17613" s="8"/>
      <c r="G17613" s="8"/>
      <c r="J17613" s="8"/>
    </row>
    <row r="17614">
      <c r="C17614" s="15"/>
      <c r="E17614" s="8"/>
      <c r="G17614" s="8"/>
      <c r="J17614" s="8"/>
    </row>
    <row r="17615">
      <c r="C17615" s="15"/>
      <c r="E17615" s="8"/>
      <c r="G17615" s="8"/>
      <c r="J17615" s="8"/>
    </row>
    <row r="17616">
      <c r="C17616" s="15"/>
      <c r="E17616" s="8"/>
      <c r="G17616" s="8"/>
      <c r="J17616" s="8"/>
    </row>
    <row r="17617">
      <c r="C17617" s="15"/>
      <c r="E17617" s="8"/>
      <c r="G17617" s="8"/>
      <c r="J17617" s="8"/>
    </row>
    <row r="17618">
      <c r="C17618" s="15"/>
      <c r="E17618" s="8"/>
      <c r="G17618" s="8"/>
      <c r="J17618" s="8"/>
    </row>
    <row r="17619">
      <c r="C17619" s="15"/>
      <c r="E17619" s="8"/>
      <c r="G17619" s="8"/>
      <c r="J17619" s="8"/>
    </row>
    <row r="17620">
      <c r="C17620" s="15"/>
      <c r="E17620" s="8"/>
      <c r="G17620" s="8"/>
      <c r="J17620" s="8"/>
    </row>
    <row r="17621">
      <c r="C17621" s="15"/>
      <c r="E17621" s="8"/>
      <c r="G17621" s="8"/>
      <c r="J17621" s="8"/>
    </row>
    <row r="17622">
      <c r="C17622" s="15"/>
      <c r="E17622" s="8"/>
      <c r="G17622" s="8"/>
      <c r="J17622" s="8"/>
    </row>
    <row r="17623">
      <c r="C17623" s="15"/>
      <c r="E17623" s="8"/>
      <c r="G17623" s="8"/>
      <c r="J17623" s="8"/>
    </row>
    <row r="17624">
      <c r="C17624" s="15"/>
      <c r="E17624" s="8"/>
      <c r="G17624" s="8"/>
      <c r="J17624" s="8"/>
    </row>
    <row r="17625">
      <c r="C17625" s="15"/>
      <c r="E17625" s="8"/>
      <c r="G17625" s="8"/>
      <c r="J17625" s="8"/>
    </row>
    <row r="17626">
      <c r="C17626" s="15"/>
      <c r="E17626" s="8"/>
      <c r="G17626" s="8"/>
      <c r="J17626" s="8"/>
    </row>
    <row r="17627">
      <c r="C17627" s="15"/>
      <c r="E17627" s="8"/>
      <c r="G17627" s="8"/>
      <c r="J17627" s="8"/>
    </row>
    <row r="17628">
      <c r="C17628" s="15"/>
      <c r="E17628" s="8"/>
      <c r="G17628" s="8"/>
      <c r="J17628" s="8"/>
    </row>
    <row r="17629">
      <c r="C17629" s="15"/>
      <c r="E17629" s="8"/>
      <c r="G17629" s="8"/>
      <c r="J17629" s="8"/>
    </row>
    <row r="17630">
      <c r="C17630" s="15"/>
      <c r="E17630" s="8"/>
      <c r="G17630" s="8"/>
      <c r="J17630" s="8"/>
    </row>
    <row r="17631">
      <c r="C17631" s="15"/>
      <c r="E17631" s="8"/>
      <c r="G17631" s="8"/>
      <c r="J17631" s="8"/>
    </row>
    <row r="17632">
      <c r="C17632" s="15"/>
      <c r="E17632" s="8"/>
      <c r="G17632" s="8"/>
      <c r="J17632" s="8"/>
    </row>
    <row r="17633">
      <c r="C17633" s="15"/>
      <c r="E17633" s="8"/>
      <c r="G17633" s="8"/>
      <c r="J17633" s="8"/>
    </row>
    <row r="17634">
      <c r="C17634" s="15"/>
      <c r="E17634" s="8"/>
      <c r="G17634" s="8"/>
      <c r="J17634" s="8"/>
    </row>
    <row r="17635">
      <c r="C17635" s="15"/>
      <c r="E17635" s="8"/>
      <c r="G17635" s="8"/>
      <c r="J17635" s="8"/>
    </row>
    <row r="17636">
      <c r="C17636" s="15"/>
      <c r="E17636" s="8"/>
      <c r="G17636" s="8"/>
      <c r="J17636" s="8"/>
    </row>
    <row r="17637">
      <c r="C17637" s="15"/>
      <c r="E17637" s="8"/>
      <c r="G17637" s="8"/>
      <c r="J17637" s="8"/>
    </row>
    <row r="17638">
      <c r="C17638" s="15"/>
      <c r="E17638" s="8"/>
      <c r="G17638" s="8"/>
      <c r="J17638" s="8"/>
    </row>
    <row r="17639">
      <c r="C17639" s="15"/>
      <c r="E17639" s="8"/>
      <c r="G17639" s="8"/>
      <c r="J17639" s="8"/>
    </row>
    <row r="17640">
      <c r="C17640" s="15"/>
      <c r="E17640" s="8"/>
      <c r="G17640" s="8"/>
      <c r="J17640" s="8"/>
    </row>
    <row r="17641">
      <c r="C17641" s="15"/>
      <c r="E17641" s="8"/>
      <c r="G17641" s="8"/>
      <c r="J17641" s="8"/>
    </row>
    <row r="17642">
      <c r="C17642" s="15"/>
      <c r="E17642" s="8"/>
      <c r="G17642" s="8"/>
      <c r="J17642" s="8"/>
    </row>
    <row r="17643">
      <c r="C17643" s="15"/>
      <c r="E17643" s="8"/>
      <c r="G17643" s="8"/>
      <c r="J17643" s="8"/>
    </row>
    <row r="17644">
      <c r="C17644" s="15"/>
      <c r="E17644" s="8"/>
      <c r="G17644" s="8"/>
      <c r="J17644" s="8"/>
    </row>
    <row r="17645">
      <c r="C17645" s="15"/>
      <c r="E17645" s="8"/>
      <c r="G17645" s="8"/>
      <c r="J17645" s="8"/>
    </row>
    <row r="17646">
      <c r="C17646" s="15"/>
      <c r="E17646" s="8"/>
      <c r="G17646" s="8"/>
      <c r="J17646" s="8"/>
    </row>
    <row r="17647">
      <c r="C17647" s="15"/>
      <c r="E17647" s="8"/>
      <c r="G17647" s="8"/>
      <c r="J17647" s="8"/>
    </row>
    <row r="17648">
      <c r="C17648" s="15"/>
      <c r="E17648" s="8"/>
      <c r="G17648" s="8"/>
      <c r="J17648" s="8"/>
    </row>
    <row r="17649">
      <c r="C17649" s="15"/>
      <c r="E17649" s="8"/>
      <c r="G17649" s="8"/>
      <c r="J17649" s="8"/>
    </row>
    <row r="17650">
      <c r="C17650" s="15"/>
      <c r="E17650" s="8"/>
      <c r="G17650" s="8"/>
      <c r="J17650" s="8"/>
    </row>
    <row r="17651">
      <c r="C17651" s="15"/>
      <c r="E17651" s="8"/>
      <c r="G17651" s="8"/>
      <c r="J17651" s="8"/>
    </row>
    <row r="17652">
      <c r="C17652" s="15"/>
      <c r="E17652" s="8"/>
      <c r="G17652" s="8"/>
      <c r="J17652" s="8"/>
    </row>
    <row r="17653">
      <c r="C17653" s="15"/>
      <c r="E17653" s="8"/>
      <c r="G17653" s="8"/>
      <c r="J17653" s="8"/>
    </row>
    <row r="17654">
      <c r="C17654" s="15"/>
      <c r="E17654" s="8"/>
      <c r="G17654" s="8"/>
      <c r="J17654" s="8"/>
    </row>
    <row r="17655">
      <c r="C17655" s="15"/>
      <c r="E17655" s="8"/>
      <c r="G17655" s="8"/>
      <c r="J17655" s="8"/>
    </row>
    <row r="17656">
      <c r="C17656" s="15"/>
      <c r="E17656" s="8"/>
      <c r="G17656" s="8"/>
      <c r="J17656" s="8"/>
    </row>
    <row r="17657">
      <c r="C17657" s="15"/>
      <c r="E17657" s="8"/>
      <c r="G17657" s="8"/>
      <c r="J17657" s="8"/>
    </row>
    <row r="17658">
      <c r="C17658" s="15"/>
      <c r="E17658" s="8"/>
      <c r="G17658" s="8"/>
      <c r="J17658" s="8"/>
    </row>
    <row r="17659">
      <c r="C17659" s="15"/>
      <c r="E17659" s="8"/>
      <c r="G17659" s="8"/>
      <c r="J17659" s="8"/>
    </row>
    <row r="17660">
      <c r="C17660" s="15"/>
      <c r="E17660" s="8"/>
      <c r="G17660" s="8"/>
      <c r="J17660" s="8"/>
    </row>
    <row r="17661">
      <c r="C17661" s="15"/>
      <c r="E17661" s="8"/>
      <c r="G17661" s="8"/>
      <c r="J17661" s="8"/>
    </row>
    <row r="17662">
      <c r="C17662" s="15"/>
      <c r="E17662" s="8"/>
      <c r="G17662" s="8"/>
      <c r="J17662" s="8"/>
    </row>
    <row r="17663">
      <c r="C17663" s="15"/>
      <c r="E17663" s="8"/>
      <c r="G17663" s="8"/>
      <c r="J17663" s="8"/>
    </row>
    <row r="17664">
      <c r="C17664" s="15"/>
      <c r="E17664" s="8"/>
      <c r="G17664" s="8"/>
      <c r="J17664" s="8"/>
    </row>
    <row r="17665">
      <c r="C17665" s="15"/>
      <c r="E17665" s="8"/>
      <c r="G17665" s="8"/>
      <c r="J17665" s="8"/>
    </row>
    <row r="17666">
      <c r="C17666" s="15"/>
      <c r="E17666" s="8"/>
      <c r="G17666" s="8"/>
      <c r="J17666" s="8"/>
    </row>
    <row r="17667">
      <c r="C17667" s="15"/>
      <c r="E17667" s="8"/>
      <c r="G17667" s="8"/>
      <c r="J17667" s="8"/>
    </row>
    <row r="17668">
      <c r="C17668" s="15"/>
      <c r="E17668" s="8"/>
      <c r="G17668" s="8"/>
      <c r="J17668" s="8"/>
    </row>
    <row r="17669">
      <c r="C17669" s="15"/>
      <c r="E17669" s="8"/>
      <c r="G17669" s="8"/>
      <c r="J17669" s="8"/>
    </row>
    <row r="17670">
      <c r="C17670" s="15"/>
      <c r="E17670" s="8"/>
      <c r="G17670" s="8"/>
      <c r="J17670" s="8"/>
    </row>
    <row r="17671">
      <c r="C17671" s="15"/>
      <c r="E17671" s="8"/>
      <c r="G17671" s="8"/>
      <c r="J17671" s="8"/>
    </row>
    <row r="17672">
      <c r="C17672" s="15"/>
      <c r="E17672" s="8"/>
      <c r="G17672" s="8"/>
      <c r="J17672" s="8"/>
    </row>
    <row r="17673">
      <c r="C17673" s="15"/>
      <c r="E17673" s="8"/>
      <c r="G17673" s="8"/>
      <c r="J17673" s="8"/>
    </row>
    <row r="17674">
      <c r="C17674" s="15"/>
      <c r="E17674" s="8"/>
      <c r="G17674" s="8"/>
      <c r="J17674" s="8"/>
    </row>
    <row r="17675">
      <c r="C17675" s="15"/>
      <c r="E17675" s="8"/>
      <c r="G17675" s="8"/>
      <c r="J17675" s="8"/>
    </row>
    <row r="17676">
      <c r="C17676" s="15"/>
      <c r="E17676" s="8"/>
      <c r="G17676" s="8"/>
      <c r="J17676" s="8"/>
    </row>
    <row r="17677">
      <c r="C17677" s="15"/>
      <c r="E17677" s="8"/>
      <c r="G17677" s="8"/>
      <c r="J17677" s="8"/>
    </row>
    <row r="17678">
      <c r="C17678" s="15"/>
      <c r="E17678" s="8"/>
      <c r="G17678" s="8"/>
      <c r="J17678" s="8"/>
    </row>
    <row r="17679">
      <c r="C17679" s="15"/>
      <c r="E17679" s="8"/>
      <c r="G17679" s="8"/>
      <c r="J17679" s="8"/>
    </row>
    <row r="17680">
      <c r="C17680" s="15"/>
      <c r="E17680" s="8"/>
      <c r="G17680" s="8"/>
      <c r="J17680" s="8"/>
    </row>
    <row r="17681">
      <c r="C17681" s="15"/>
      <c r="E17681" s="8"/>
      <c r="G17681" s="8"/>
      <c r="J17681" s="8"/>
    </row>
    <row r="17682">
      <c r="C17682" s="15"/>
      <c r="E17682" s="8"/>
      <c r="G17682" s="8"/>
      <c r="J17682" s="8"/>
    </row>
    <row r="17683">
      <c r="C17683" s="15"/>
      <c r="E17683" s="8"/>
      <c r="G17683" s="8"/>
      <c r="J17683" s="8"/>
    </row>
    <row r="17684">
      <c r="C17684" s="15"/>
      <c r="E17684" s="8"/>
      <c r="G17684" s="8"/>
      <c r="J17684" s="8"/>
    </row>
    <row r="17685">
      <c r="C17685" s="15"/>
      <c r="E17685" s="8"/>
      <c r="G17685" s="8"/>
      <c r="J17685" s="8"/>
    </row>
    <row r="17686">
      <c r="C17686" s="15"/>
      <c r="E17686" s="8"/>
      <c r="G17686" s="8"/>
      <c r="J17686" s="8"/>
    </row>
    <row r="17687">
      <c r="C17687" s="15"/>
      <c r="E17687" s="8"/>
      <c r="G17687" s="8"/>
      <c r="J17687" s="8"/>
    </row>
    <row r="17688">
      <c r="C17688" s="15"/>
      <c r="E17688" s="8"/>
      <c r="G17688" s="8"/>
      <c r="J17688" s="8"/>
    </row>
    <row r="17689">
      <c r="C17689" s="15"/>
      <c r="E17689" s="8"/>
      <c r="G17689" s="8"/>
      <c r="J17689" s="8"/>
    </row>
    <row r="17690">
      <c r="C17690" s="15"/>
      <c r="E17690" s="8"/>
      <c r="G17690" s="8"/>
      <c r="J17690" s="8"/>
    </row>
    <row r="17691">
      <c r="C17691" s="15"/>
      <c r="E17691" s="8"/>
      <c r="G17691" s="8"/>
      <c r="J17691" s="8"/>
    </row>
    <row r="17692">
      <c r="C17692" s="15"/>
      <c r="E17692" s="8"/>
      <c r="G17692" s="8"/>
      <c r="J17692" s="8"/>
    </row>
    <row r="17693">
      <c r="C17693" s="15"/>
      <c r="E17693" s="8"/>
      <c r="G17693" s="8"/>
      <c r="J17693" s="8"/>
    </row>
    <row r="17694">
      <c r="C17694" s="15"/>
      <c r="E17694" s="8"/>
      <c r="G17694" s="8"/>
      <c r="J17694" s="8"/>
    </row>
    <row r="17695">
      <c r="C17695" s="15"/>
      <c r="E17695" s="8"/>
      <c r="G17695" s="8"/>
      <c r="J17695" s="8"/>
    </row>
    <row r="17696">
      <c r="C17696" s="15"/>
      <c r="E17696" s="8"/>
      <c r="G17696" s="8"/>
      <c r="J17696" s="8"/>
    </row>
    <row r="17697">
      <c r="C17697" s="15"/>
      <c r="E17697" s="8"/>
      <c r="G17697" s="8"/>
      <c r="J17697" s="8"/>
    </row>
    <row r="17698">
      <c r="C17698" s="15"/>
      <c r="E17698" s="8"/>
      <c r="G17698" s="8"/>
      <c r="J17698" s="8"/>
    </row>
    <row r="17699">
      <c r="C17699" s="15"/>
      <c r="E17699" s="8"/>
      <c r="G17699" s="8"/>
      <c r="J17699" s="8"/>
    </row>
    <row r="17700">
      <c r="C17700" s="15"/>
      <c r="E17700" s="8"/>
      <c r="G17700" s="8"/>
      <c r="J17700" s="8"/>
    </row>
    <row r="17701">
      <c r="C17701" s="15"/>
      <c r="E17701" s="8"/>
      <c r="G17701" s="8"/>
      <c r="J17701" s="8"/>
    </row>
    <row r="17702">
      <c r="C17702" s="15"/>
      <c r="E17702" s="8"/>
      <c r="G17702" s="8"/>
      <c r="J17702" s="8"/>
    </row>
    <row r="17703">
      <c r="C17703" s="15"/>
      <c r="E17703" s="8"/>
      <c r="G17703" s="8"/>
      <c r="J17703" s="8"/>
    </row>
    <row r="17704">
      <c r="C17704" s="15"/>
      <c r="E17704" s="8"/>
      <c r="G17704" s="8"/>
      <c r="J17704" s="8"/>
    </row>
    <row r="17705">
      <c r="C17705" s="15"/>
      <c r="E17705" s="8"/>
      <c r="G17705" s="8"/>
      <c r="J17705" s="8"/>
    </row>
    <row r="17706">
      <c r="C17706" s="15"/>
      <c r="E17706" s="8"/>
      <c r="G17706" s="8"/>
      <c r="J17706" s="8"/>
    </row>
    <row r="17707">
      <c r="C17707" s="15"/>
      <c r="E17707" s="8"/>
      <c r="G17707" s="8"/>
      <c r="J17707" s="8"/>
    </row>
    <row r="17708">
      <c r="C17708" s="15"/>
      <c r="E17708" s="8"/>
      <c r="G17708" s="8"/>
      <c r="J17708" s="8"/>
    </row>
    <row r="17709">
      <c r="C17709" s="15"/>
      <c r="E17709" s="8"/>
      <c r="G17709" s="8"/>
      <c r="J17709" s="8"/>
    </row>
    <row r="17710">
      <c r="C17710" s="15"/>
      <c r="E17710" s="8"/>
      <c r="G17710" s="8"/>
      <c r="J17710" s="8"/>
    </row>
    <row r="17711">
      <c r="C17711" s="15"/>
      <c r="E17711" s="8"/>
      <c r="G17711" s="8"/>
      <c r="J17711" s="8"/>
    </row>
    <row r="17712">
      <c r="C17712" s="15"/>
      <c r="E17712" s="8"/>
      <c r="G17712" s="8"/>
      <c r="J17712" s="8"/>
    </row>
    <row r="17713">
      <c r="C17713" s="15"/>
      <c r="E17713" s="8"/>
      <c r="G17713" s="8"/>
      <c r="J17713" s="8"/>
    </row>
    <row r="17714">
      <c r="C17714" s="15"/>
      <c r="E17714" s="8"/>
      <c r="G17714" s="8"/>
      <c r="J17714" s="8"/>
    </row>
    <row r="17715">
      <c r="C17715" s="15"/>
      <c r="E17715" s="8"/>
      <c r="G17715" s="8"/>
      <c r="J17715" s="8"/>
    </row>
    <row r="17716">
      <c r="C17716" s="15"/>
      <c r="E17716" s="8"/>
      <c r="G17716" s="8"/>
      <c r="J17716" s="8"/>
    </row>
    <row r="17717">
      <c r="C17717" s="15"/>
      <c r="E17717" s="8"/>
      <c r="G17717" s="8"/>
      <c r="J17717" s="8"/>
    </row>
    <row r="17718">
      <c r="C17718" s="15"/>
      <c r="E17718" s="8"/>
      <c r="G17718" s="8"/>
      <c r="J17718" s="8"/>
    </row>
    <row r="17719">
      <c r="C17719" s="15"/>
      <c r="E17719" s="8"/>
      <c r="G17719" s="8"/>
      <c r="J17719" s="8"/>
    </row>
    <row r="17720">
      <c r="C17720" s="15"/>
      <c r="E17720" s="8"/>
      <c r="G17720" s="8"/>
      <c r="J17720" s="8"/>
    </row>
    <row r="17721">
      <c r="C17721" s="15"/>
      <c r="E17721" s="8"/>
      <c r="G17721" s="8"/>
      <c r="J17721" s="8"/>
    </row>
    <row r="17722">
      <c r="C17722" s="15"/>
      <c r="E17722" s="8"/>
      <c r="G17722" s="8"/>
      <c r="J17722" s="8"/>
    </row>
    <row r="17723">
      <c r="C17723" s="15"/>
      <c r="E17723" s="8"/>
      <c r="G17723" s="8"/>
      <c r="J17723" s="8"/>
    </row>
    <row r="17724">
      <c r="C17724" s="15"/>
      <c r="E17724" s="8"/>
      <c r="G17724" s="8"/>
      <c r="J17724" s="8"/>
    </row>
    <row r="17725">
      <c r="C17725" s="15"/>
      <c r="E17725" s="8"/>
      <c r="G17725" s="8"/>
      <c r="J17725" s="8"/>
    </row>
    <row r="17726">
      <c r="C17726" s="15"/>
      <c r="E17726" s="8"/>
      <c r="G17726" s="8"/>
      <c r="J17726" s="8"/>
    </row>
    <row r="17727">
      <c r="C17727" s="15"/>
      <c r="E17727" s="8"/>
      <c r="G17727" s="8"/>
      <c r="J17727" s="8"/>
    </row>
    <row r="17728">
      <c r="C17728" s="15"/>
      <c r="E17728" s="8"/>
      <c r="G17728" s="8"/>
      <c r="J17728" s="8"/>
    </row>
    <row r="17729">
      <c r="C17729" s="15"/>
      <c r="E17729" s="8"/>
      <c r="G17729" s="8"/>
      <c r="J17729" s="8"/>
    </row>
    <row r="17730">
      <c r="C17730" s="15"/>
      <c r="E17730" s="8"/>
      <c r="G17730" s="8"/>
      <c r="J17730" s="8"/>
    </row>
    <row r="17731">
      <c r="C17731" s="15"/>
      <c r="E17731" s="8"/>
      <c r="G17731" s="8"/>
      <c r="J17731" s="8"/>
    </row>
    <row r="17732">
      <c r="C17732" s="15"/>
      <c r="E17732" s="8"/>
      <c r="G17732" s="8"/>
      <c r="J17732" s="8"/>
    </row>
    <row r="17733">
      <c r="C17733" s="15"/>
      <c r="E17733" s="8"/>
      <c r="G17733" s="8"/>
      <c r="J17733" s="8"/>
    </row>
    <row r="17734">
      <c r="C17734" s="15"/>
      <c r="E17734" s="8"/>
      <c r="G17734" s="8"/>
      <c r="J17734" s="8"/>
    </row>
    <row r="17735">
      <c r="C17735" s="15"/>
      <c r="E17735" s="8"/>
      <c r="G17735" s="8"/>
      <c r="J17735" s="8"/>
    </row>
    <row r="17736">
      <c r="C17736" s="15"/>
      <c r="E17736" s="8"/>
      <c r="G17736" s="8"/>
      <c r="J17736" s="8"/>
    </row>
    <row r="17737">
      <c r="C17737" s="15"/>
      <c r="E17737" s="8"/>
      <c r="G17737" s="8"/>
      <c r="J17737" s="8"/>
    </row>
    <row r="17738">
      <c r="C17738" s="15"/>
      <c r="E17738" s="8"/>
      <c r="G17738" s="8"/>
      <c r="J17738" s="8"/>
    </row>
    <row r="17739">
      <c r="C17739" s="15"/>
      <c r="E17739" s="8"/>
      <c r="G17739" s="8"/>
      <c r="J17739" s="8"/>
    </row>
    <row r="17740">
      <c r="C17740" s="15"/>
      <c r="E17740" s="8"/>
      <c r="G17740" s="8"/>
      <c r="J17740" s="8"/>
    </row>
    <row r="17741">
      <c r="C17741" s="15"/>
      <c r="E17741" s="8"/>
      <c r="G17741" s="8"/>
      <c r="J17741" s="8"/>
    </row>
    <row r="17742">
      <c r="C17742" s="15"/>
      <c r="E17742" s="8"/>
      <c r="G17742" s="8"/>
      <c r="J17742" s="8"/>
    </row>
    <row r="17743">
      <c r="C17743" s="15"/>
      <c r="E17743" s="8"/>
      <c r="G17743" s="8"/>
      <c r="J17743" s="8"/>
    </row>
    <row r="17744">
      <c r="C17744" s="15"/>
      <c r="E17744" s="8"/>
      <c r="G17744" s="8"/>
      <c r="J17744" s="8"/>
    </row>
    <row r="17745">
      <c r="C17745" s="15"/>
      <c r="E17745" s="8"/>
      <c r="G17745" s="8"/>
      <c r="J17745" s="8"/>
    </row>
    <row r="17746">
      <c r="C17746" s="15"/>
      <c r="E17746" s="8"/>
      <c r="G17746" s="8"/>
      <c r="J17746" s="8"/>
    </row>
    <row r="17747">
      <c r="C17747" s="15"/>
      <c r="E17747" s="8"/>
      <c r="G17747" s="8"/>
      <c r="J17747" s="8"/>
    </row>
    <row r="17748">
      <c r="C17748" s="15"/>
      <c r="E17748" s="8"/>
      <c r="G17748" s="8"/>
      <c r="J17748" s="8"/>
    </row>
    <row r="17749">
      <c r="C17749" s="15"/>
      <c r="E17749" s="8"/>
      <c r="G17749" s="8"/>
      <c r="J17749" s="8"/>
    </row>
    <row r="17750">
      <c r="C17750" s="15"/>
      <c r="E17750" s="8"/>
      <c r="G17750" s="8"/>
      <c r="J17750" s="8"/>
    </row>
    <row r="17751">
      <c r="C17751" s="15"/>
      <c r="E17751" s="8"/>
      <c r="G17751" s="8"/>
      <c r="J17751" s="8"/>
    </row>
    <row r="17752">
      <c r="C17752" s="15"/>
      <c r="E17752" s="8"/>
      <c r="G17752" s="8"/>
      <c r="J17752" s="8"/>
    </row>
    <row r="17753">
      <c r="C17753" s="15"/>
      <c r="E17753" s="8"/>
      <c r="G17753" s="8"/>
      <c r="J17753" s="8"/>
    </row>
    <row r="17754">
      <c r="C17754" s="15"/>
      <c r="E17754" s="8"/>
      <c r="G17754" s="8"/>
      <c r="J17754" s="8"/>
    </row>
    <row r="17755">
      <c r="C17755" s="15"/>
      <c r="E17755" s="8"/>
      <c r="G17755" s="8"/>
      <c r="J17755" s="8"/>
    </row>
    <row r="17756">
      <c r="C17756" s="15"/>
      <c r="E17756" s="8"/>
      <c r="G17756" s="8"/>
      <c r="J17756" s="8"/>
    </row>
    <row r="17757">
      <c r="C17757" s="15"/>
      <c r="E17757" s="8"/>
      <c r="G17757" s="8"/>
      <c r="J17757" s="8"/>
    </row>
    <row r="17758">
      <c r="C17758" s="15"/>
      <c r="E17758" s="8"/>
      <c r="G17758" s="8"/>
      <c r="J17758" s="8"/>
    </row>
    <row r="17759">
      <c r="C17759" s="15"/>
      <c r="E17759" s="8"/>
      <c r="G17759" s="8"/>
      <c r="J17759" s="8"/>
    </row>
    <row r="17760">
      <c r="C17760" s="15"/>
      <c r="E17760" s="8"/>
      <c r="G17760" s="8"/>
      <c r="J17760" s="8"/>
    </row>
    <row r="17761">
      <c r="C17761" s="15"/>
      <c r="E17761" s="8"/>
      <c r="G17761" s="8"/>
      <c r="J17761" s="8"/>
    </row>
    <row r="17762">
      <c r="C17762" s="15"/>
      <c r="E17762" s="8"/>
      <c r="G17762" s="8"/>
      <c r="J17762" s="8"/>
    </row>
    <row r="17763">
      <c r="C17763" s="15"/>
      <c r="E17763" s="8"/>
      <c r="G17763" s="8"/>
      <c r="J17763" s="8"/>
    </row>
    <row r="17764">
      <c r="C17764" s="15"/>
      <c r="E17764" s="8"/>
      <c r="G17764" s="8"/>
      <c r="J17764" s="8"/>
    </row>
    <row r="17765">
      <c r="C17765" s="15"/>
      <c r="E17765" s="8"/>
      <c r="G17765" s="8"/>
      <c r="J17765" s="8"/>
    </row>
    <row r="17766">
      <c r="C17766" s="15"/>
      <c r="E17766" s="8"/>
      <c r="G17766" s="8"/>
      <c r="J17766" s="8"/>
    </row>
    <row r="17767">
      <c r="C17767" s="15"/>
      <c r="E17767" s="8"/>
      <c r="G17767" s="8"/>
      <c r="J17767" s="8"/>
    </row>
    <row r="17768">
      <c r="C17768" s="15"/>
      <c r="E17768" s="8"/>
      <c r="G17768" s="8"/>
      <c r="J17768" s="8"/>
    </row>
    <row r="17769">
      <c r="C17769" s="15"/>
      <c r="E17769" s="8"/>
      <c r="G17769" s="8"/>
      <c r="J17769" s="8"/>
    </row>
    <row r="17770">
      <c r="C17770" s="15"/>
      <c r="E17770" s="8"/>
      <c r="G17770" s="8"/>
      <c r="J17770" s="8"/>
    </row>
    <row r="17771">
      <c r="C17771" s="15"/>
      <c r="E17771" s="8"/>
      <c r="G17771" s="8"/>
      <c r="J17771" s="8"/>
    </row>
    <row r="17772">
      <c r="C17772" s="15"/>
      <c r="E17772" s="8"/>
      <c r="G17772" s="8"/>
      <c r="J17772" s="8"/>
    </row>
    <row r="17773">
      <c r="C17773" s="15"/>
      <c r="E17773" s="8"/>
      <c r="G17773" s="8"/>
      <c r="J17773" s="8"/>
    </row>
    <row r="17774">
      <c r="C17774" s="15"/>
      <c r="E17774" s="8"/>
      <c r="G17774" s="8"/>
      <c r="J17774" s="8"/>
    </row>
    <row r="17775">
      <c r="C17775" s="15"/>
      <c r="E17775" s="8"/>
      <c r="G17775" s="8"/>
      <c r="J17775" s="8"/>
    </row>
    <row r="17776">
      <c r="C17776" s="15"/>
      <c r="E17776" s="8"/>
      <c r="G17776" s="8"/>
      <c r="J17776" s="8"/>
    </row>
    <row r="17777">
      <c r="C17777" s="15"/>
      <c r="E17777" s="8"/>
      <c r="G17777" s="8"/>
      <c r="J17777" s="8"/>
    </row>
    <row r="17778">
      <c r="C17778" s="15"/>
      <c r="E17778" s="8"/>
      <c r="G17778" s="8"/>
      <c r="J17778" s="8"/>
    </row>
    <row r="17779">
      <c r="C17779" s="15"/>
      <c r="E17779" s="8"/>
      <c r="G17779" s="8"/>
      <c r="J17779" s="8"/>
    </row>
    <row r="17780">
      <c r="C17780" s="15"/>
      <c r="E17780" s="8"/>
      <c r="G17780" s="8"/>
      <c r="J17780" s="8"/>
    </row>
    <row r="17781">
      <c r="C17781" s="15"/>
      <c r="E17781" s="8"/>
      <c r="G17781" s="8"/>
      <c r="J17781" s="8"/>
    </row>
    <row r="17782">
      <c r="C17782" s="15"/>
      <c r="E17782" s="8"/>
      <c r="G17782" s="8"/>
      <c r="J17782" s="8"/>
    </row>
    <row r="17783">
      <c r="C17783" s="15"/>
      <c r="E17783" s="8"/>
      <c r="G17783" s="8"/>
      <c r="J17783" s="8"/>
    </row>
    <row r="17784">
      <c r="C17784" s="15"/>
      <c r="E17784" s="8"/>
      <c r="G17784" s="8"/>
      <c r="J17784" s="8"/>
    </row>
    <row r="17785">
      <c r="C17785" s="15"/>
      <c r="E17785" s="8"/>
      <c r="G17785" s="8"/>
      <c r="J17785" s="8"/>
    </row>
    <row r="17786">
      <c r="C17786" s="15"/>
      <c r="E17786" s="8"/>
      <c r="G17786" s="8"/>
      <c r="J17786" s="8"/>
    </row>
    <row r="17787">
      <c r="C17787" s="15"/>
      <c r="E17787" s="8"/>
      <c r="G17787" s="8"/>
      <c r="J17787" s="8"/>
    </row>
    <row r="17788">
      <c r="C17788" s="15"/>
      <c r="E17788" s="8"/>
      <c r="G17788" s="8"/>
      <c r="J17788" s="8"/>
    </row>
    <row r="17789">
      <c r="C17789" s="15"/>
      <c r="E17789" s="8"/>
      <c r="G17789" s="8"/>
      <c r="J17789" s="8"/>
    </row>
    <row r="17790">
      <c r="C17790" s="15"/>
      <c r="E17790" s="8"/>
      <c r="G17790" s="8"/>
      <c r="J17790" s="8"/>
    </row>
    <row r="17791">
      <c r="C17791" s="15"/>
      <c r="E17791" s="8"/>
      <c r="G17791" s="8"/>
      <c r="J17791" s="8"/>
    </row>
    <row r="17792">
      <c r="C17792" s="15"/>
      <c r="E17792" s="8"/>
      <c r="G17792" s="8"/>
      <c r="J17792" s="8"/>
    </row>
    <row r="17793">
      <c r="C17793" s="15"/>
      <c r="E17793" s="8"/>
      <c r="G17793" s="8"/>
      <c r="J17793" s="8"/>
    </row>
    <row r="17794">
      <c r="C17794" s="15"/>
      <c r="E17794" s="8"/>
      <c r="G17794" s="8"/>
      <c r="J17794" s="8"/>
    </row>
    <row r="17795">
      <c r="C17795" s="15"/>
      <c r="E17795" s="8"/>
      <c r="G17795" s="8"/>
      <c r="J17795" s="8"/>
    </row>
    <row r="17796">
      <c r="C17796" s="15"/>
      <c r="E17796" s="8"/>
      <c r="G17796" s="8"/>
      <c r="J17796" s="8"/>
    </row>
    <row r="17797">
      <c r="C17797" s="15"/>
      <c r="E17797" s="8"/>
      <c r="G17797" s="8"/>
      <c r="J17797" s="8"/>
    </row>
    <row r="17798">
      <c r="C17798" s="15"/>
      <c r="E17798" s="8"/>
      <c r="G17798" s="8"/>
      <c r="J17798" s="8"/>
    </row>
    <row r="17799">
      <c r="C17799" s="15"/>
      <c r="E17799" s="8"/>
      <c r="G17799" s="8"/>
      <c r="J17799" s="8"/>
    </row>
    <row r="17800">
      <c r="C17800" s="15"/>
      <c r="E17800" s="8"/>
      <c r="G17800" s="8"/>
      <c r="J17800" s="8"/>
    </row>
    <row r="17801">
      <c r="C17801" s="15"/>
      <c r="E17801" s="8"/>
      <c r="G17801" s="8"/>
      <c r="J17801" s="8"/>
    </row>
    <row r="17802">
      <c r="C17802" s="15"/>
      <c r="E17802" s="8"/>
      <c r="G17802" s="8"/>
      <c r="J17802" s="8"/>
    </row>
    <row r="17803">
      <c r="C17803" s="15"/>
      <c r="E17803" s="8"/>
      <c r="G17803" s="8"/>
      <c r="J17803" s="8"/>
    </row>
    <row r="17804">
      <c r="C17804" s="15"/>
      <c r="E17804" s="8"/>
      <c r="G17804" s="8"/>
      <c r="J17804" s="8"/>
    </row>
    <row r="17805">
      <c r="C17805" s="15"/>
      <c r="E17805" s="8"/>
      <c r="G17805" s="8"/>
      <c r="J17805" s="8"/>
    </row>
    <row r="17806">
      <c r="C17806" s="15"/>
      <c r="E17806" s="8"/>
      <c r="G17806" s="8"/>
      <c r="J17806" s="8"/>
    </row>
    <row r="17807">
      <c r="C17807" s="15"/>
      <c r="E17807" s="8"/>
      <c r="G17807" s="8"/>
      <c r="J17807" s="8"/>
    </row>
    <row r="17808">
      <c r="C17808" s="15"/>
      <c r="E17808" s="8"/>
      <c r="G17808" s="8"/>
      <c r="J17808" s="8"/>
    </row>
    <row r="17809">
      <c r="C17809" s="15"/>
      <c r="E17809" s="8"/>
      <c r="G17809" s="8"/>
      <c r="J17809" s="8"/>
    </row>
    <row r="17810">
      <c r="C17810" s="15"/>
      <c r="E17810" s="8"/>
      <c r="G17810" s="8"/>
      <c r="J17810" s="8"/>
    </row>
    <row r="17811">
      <c r="C17811" s="15"/>
      <c r="E17811" s="8"/>
      <c r="G17811" s="8"/>
      <c r="J17811" s="8"/>
    </row>
    <row r="17812">
      <c r="C17812" s="15"/>
      <c r="E17812" s="8"/>
      <c r="G17812" s="8"/>
      <c r="J17812" s="8"/>
    </row>
    <row r="17813">
      <c r="C17813" s="15"/>
      <c r="E17813" s="8"/>
      <c r="G17813" s="8"/>
      <c r="J17813" s="8"/>
    </row>
    <row r="17814">
      <c r="C17814" s="15"/>
      <c r="E17814" s="8"/>
      <c r="G17814" s="8"/>
      <c r="J17814" s="8"/>
    </row>
    <row r="17815">
      <c r="C17815" s="15"/>
      <c r="E17815" s="8"/>
      <c r="G17815" s="8"/>
      <c r="J17815" s="8"/>
    </row>
    <row r="17816">
      <c r="C17816" s="15"/>
      <c r="E17816" s="8"/>
      <c r="G17816" s="8"/>
      <c r="J17816" s="8"/>
    </row>
    <row r="17817">
      <c r="C17817" s="15"/>
      <c r="E17817" s="8"/>
      <c r="G17817" s="8"/>
      <c r="J17817" s="8"/>
    </row>
    <row r="17818">
      <c r="C17818" s="15"/>
      <c r="E17818" s="8"/>
      <c r="G17818" s="8"/>
      <c r="J17818" s="8"/>
    </row>
    <row r="17819">
      <c r="C17819" s="15"/>
      <c r="E17819" s="8"/>
      <c r="G17819" s="8"/>
      <c r="J17819" s="8"/>
    </row>
    <row r="17820">
      <c r="C17820" s="15"/>
      <c r="E17820" s="8"/>
      <c r="G17820" s="8"/>
      <c r="J17820" s="8"/>
    </row>
    <row r="17821">
      <c r="C17821" s="15"/>
      <c r="E17821" s="8"/>
      <c r="G17821" s="8"/>
      <c r="J17821" s="8"/>
    </row>
    <row r="17822">
      <c r="C17822" s="15"/>
      <c r="E17822" s="8"/>
      <c r="G17822" s="8"/>
      <c r="J17822" s="8"/>
    </row>
    <row r="17823">
      <c r="C17823" s="15"/>
      <c r="E17823" s="8"/>
      <c r="G17823" s="8"/>
      <c r="J17823" s="8"/>
    </row>
    <row r="17824">
      <c r="C17824" s="15"/>
      <c r="E17824" s="8"/>
      <c r="G17824" s="8"/>
      <c r="J17824" s="8"/>
    </row>
    <row r="17825">
      <c r="C17825" s="15"/>
      <c r="E17825" s="8"/>
      <c r="G17825" s="8"/>
      <c r="J17825" s="8"/>
    </row>
    <row r="17826">
      <c r="C17826" s="15"/>
      <c r="E17826" s="8"/>
      <c r="G17826" s="8"/>
      <c r="J17826" s="8"/>
    </row>
    <row r="17827">
      <c r="C17827" s="15"/>
      <c r="E17827" s="8"/>
      <c r="G17827" s="8"/>
      <c r="J17827" s="8"/>
    </row>
    <row r="17828">
      <c r="C17828" s="15"/>
      <c r="E17828" s="8"/>
      <c r="G17828" s="8"/>
      <c r="J17828" s="8"/>
    </row>
    <row r="17829">
      <c r="C17829" s="15"/>
      <c r="E17829" s="8"/>
      <c r="G17829" s="8"/>
      <c r="J17829" s="8"/>
    </row>
    <row r="17830">
      <c r="C17830" s="15"/>
      <c r="E17830" s="8"/>
      <c r="G17830" s="8"/>
      <c r="J17830" s="8"/>
    </row>
    <row r="17831">
      <c r="C17831" s="15"/>
      <c r="E17831" s="8"/>
      <c r="G17831" s="8"/>
      <c r="J17831" s="8"/>
    </row>
    <row r="17832">
      <c r="C17832" s="15"/>
      <c r="E17832" s="8"/>
      <c r="G17832" s="8"/>
      <c r="J17832" s="8"/>
    </row>
    <row r="17833">
      <c r="C17833" s="15"/>
      <c r="E17833" s="8"/>
      <c r="G17833" s="8"/>
      <c r="J17833" s="8"/>
    </row>
    <row r="17834">
      <c r="C17834" s="15"/>
      <c r="E17834" s="8"/>
      <c r="G17834" s="8"/>
      <c r="J17834" s="8"/>
    </row>
    <row r="17835">
      <c r="C17835" s="15"/>
      <c r="E17835" s="8"/>
      <c r="G17835" s="8"/>
      <c r="J17835" s="8"/>
    </row>
    <row r="17836">
      <c r="C17836" s="15"/>
      <c r="E17836" s="8"/>
      <c r="G17836" s="8"/>
      <c r="J17836" s="8"/>
    </row>
    <row r="17837">
      <c r="C17837" s="15"/>
      <c r="E17837" s="8"/>
      <c r="G17837" s="8"/>
      <c r="J17837" s="8"/>
    </row>
    <row r="17838">
      <c r="C17838" s="15"/>
      <c r="E17838" s="8"/>
      <c r="G17838" s="8"/>
      <c r="J17838" s="8"/>
    </row>
    <row r="17839">
      <c r="C17839" s="15"/>
      <c r="E17839" s="8"/>
      <c r="G17839" s="8"/>
      <c r="J17839" s="8"/>
    </row>
    <row r="17840">
      <c r="C17840" s="15"/>
      <c r="E17840" s="8"/>
      <c r="G17840" s="8"/>
      <c r="J17840" s="8"/>
    </row>
    <row r="17841">
      <c r="C17841" s="15"/>
      <c r="E17841" s="8"/>
      <c r="G17841" s="8"/>
      <c r="J17841" s="8"/>
    </row>
    <row r="17842">
      <c r="C17842" s="15"/>
      <c r="E17842" s="8"/>
      <c r="G17842" s="8"/>
      <c r="J17842" s="8"/>
    </row>
    <row r="17843">
      <c r="C17843" s="15"/>
      <c r="E17843" s="8"/>
      <c r="G17843" s="8"/>
      <c r="J17843" s="8"/>
    </row>
    <row r="17844">
      <c r="C17844" s="15"/>
      <c r="E17844" s="8"/>
      <c r="G17844" s="8"/>
      <c r="J17844" s="8"/>
    </row>
    <row r="17845">
      <c r="C17845" s="15"/>
      <c r="E17845" s="8"/>
      <c r="G17845" s="8"/>
      <c r="J17845" s="8"/>
    </row>
    <row r="17846">
      <c r="C17846" s="15"/>
      <c r="E17846" s="8"/>
      <c r="G17846" s="8"/>
      <c r="J17846" s="8"/>
    </row>
    <row r="17847">
      <c r="C17847" s="15"/>
      <c r="E17847" s="8"/>
      <c r="G17847" s="8"/>
      <c r="J17847" s="8"/>
    </row>
    <row r="17848">
      <c r="C17848" s="15"/>
      <c r="E17848" s="8"/>
      <c r="G17848" s="8"/>
      <c r="J17848" s="8"/>
    </row>
    <row r="17849">
      <c r="C17849" s="15"/>
      <c r="E17849" s="8"/>
      <c r="G17849" s="8"/>
      <c r="J17849" s="8"/>
    </row>
    <row r="17850">
      <c r="C17850" s="15"/>
      <c r="E17850" s="8"/>
      <c r="G17850" s="8"/>
      <c r="J17850" s="8"/>
    </row>
    <row r="17851">
      <c r="C17851" s="15"/>
      <c r="E17851" s="8"/>
      <c r="G17851" s="8"/>
      <c r="J17851" s="8"/>
    </row>
    <row r="17852">
      <c r="C17852" s="15"/>
      <c r="E17852" s="8"/>
      <c r="G17852" s="8"/>
      <c r="J17852" s="8"/>
    </row>
    <row r="17853">
      <c r="C17853" s="15"/>
      <c r="E17853" s="8"/>
      <c r="G17853" s="8"/>
      <c r="J17853" s="8"/>
    </row>
    <row r="17854">
      <c r="C17854" s="15"/>
      <c r="E17854" s="8"/>
      <c r="G17854" s="8"/>
      <c r="J17854" s="8"/>
    </row>
    <row r="17855">
      <c r="C17855" s="15"/>
      <c r="E17855" s="8"/>
      <c r="G17855" s="8"/>
      <c r="J17855" s="8"/>
    </row>
    <row r="17856">
      <c r="C17856" s="15"/>
      <c r="E17856" s="8"/>
      <c r="G17856" s="8"/>
      <c r="J17856" s="8"/>
    </row>
    <row r="17857">
      <c r="C17857" s="15"/>
      <c r="E17857" s="8"/>
      <c r="G17857" s="8"/>
      <c r="J17857" s="8"/>
    </row>
    <row r="17858">
      <c r="C17858" s="15"/>
      <c r="E17858" s="8"/>
      <c r="G17858" s="8"/>
      <c r="J17858" s="8"/>
    </row>
    <row r="17859">
      <c r="C17859" s="15"/>
      <c r="E17859" s="8"/>
      <c r="G17859" s="8"/>
      <c r="J17859" s="8"/>
    </row>
    <row r="17860">
      <c r="C17860" s="15"/>
      <c r="E17860" s="8"/>
      <c r="G17860" s="8"/>
      <c r="J17860" s="8"/>
    </row>
    <row r="17861">
      <c r="C17861" s="15"/>
      <c r="E17861" s="8"/>
      <c r="G17861" s="8"/>
      <c r="J17861" s="8"/>
    </row>
    <row r="17862">
      <c r="C17862" s="15"/>
      <c r="E17862" s="8"/>
      <c r="G17862" s="8"/>
      <c r="J17862" s="8"/>
    </row>
    <row r="17863">
      <c r="C17863" s="15"/>
      <c r="E17863" s="8"/>
      <c r="G17863" s="8"/>
      <c r="J17863" s="8"/>
    </row>
    <row r="17864">
      <c r="C17864" s="15"/>
      <c r="E17864" s="8"/>
      <c r="G17864" s="8"/>
      <c r="J17864" s="8"/>
    </row>
    <row r="17865">
      <c r="C17865" s="15"/>
      <c r="E17865" s="8"/>
      <c r="G17865" s="8"/>
      <c r="J17865" s="8"/>
    </row>
    <row r="17866">
      <c r="C17866" s="15"/>
      <c r="E17866" s="8"/>
      <c r="G17866" s="8"/>
      <c r="J17866" s="8"/>
    </row>
    <row r="17867">
      <c r="C17867" s="15"/>
      <c r="E17867" s="8"/>
      <c r="G17867" s="8"/>
      <c r="J17867" s="8"/>
    </row>
    <row r="17868">
      <c r="C17868" s="15"/>
      <c r="E17868" s="8"/>
      <c r="G17868" s="8"/>
      <c r="J17868" s="8"/>
    </row>
    <row r="17869">
      <c r="C17869" s="15"/>
      <c r="E17869" s="8"/>
      <c r="G17869" s="8"/>
      <c r="J17869" s="8"/>
    </row>
    <row r="17870">
      <c r="C17870" s="15"/>
      <c r="E17870" s="8"/>
      <c r="G17870" s="8"/>
      <c r="J17870" s="8"/>
    </row>
    <row r="17871">
      <c r="C17871" s="15"/>
      <c r="E17871" s="8"/>
      <c r="G17871" s="8"/>
      <c r="J17871" s="8"/>
    </row>
    <row r="17872">
      <c r="C17872" s="15"/>
      <c r="E17872" s="8"/>
      <c r="G17872" s="8"/>
      <c r="J17872" s="8"/>
    </row>
    <row r="17873">
      <c r="C17873" s="15"/>
      <c r="E17873" s="8"/>
      <c r="G17873" s="8"/>
      <c r="J17873" s="8"/>
    </row>
    <row r="17874">
      <c r="C17874" s="15"/>
      <c r="E17874" s="8"/>
      <c r="G17874" s="8"/>
      <c r="J17874" s="8"/>
    </row>
    <row r="17875">
      <c r="C17875" s="15"/>
      <c r="E17875" s="8"/>
      <c r="G17875" s="8"/>
      <c r="J17875" s="8"/>
    </row>
    <row r="17876">
      <c r="C17876" s="15"/>
      <c r="E17876" s="8"/>
      <c r="G17876" s="8"/>
      <c r="J17876" s="8"/>
    </row>
    <row r="17877">
      <c r="C17877" s="15"/>
      <c r="E17877" s="8"/>
      <c r="G17877" s="8"/>
      <c r="J17877" s="8"/>
    </row>
    <row r="17878">
      <c r="C17878" s="15"/>
      <c r="E17878" s="8"/>
      <c r="G17878" s="8"/>
      <c r="J17878" s="8"/>
    </row>
    <row r="17879">
      <c r="C17879" s="15"/>
      <c r="E17879" s="8"/>
      <c r="G17879" s="8"/>
      <c r="J17879" s="8"/>
    </row>
    <row r="17880">
      <c r="C17880" s="15"/>
      <c r="E17880" s="8"/>
      <c r="G17880" s="8"/>
      <c r="J17880" s="8"/>
    </row>
    <row r="17881">
      <c r="C17881" s="15"/>
      <c r="E17881" s="8"/>
      <c r="G17881" s="8"/>
      <c r="J17881" s="8"/>
    </row>
    <row r="17882">
      <c r="C17882" s="15"/>
      <c r="E17882" s="8"/>
      <c r="G17882" s="8"/>
      <c r="J17882" s="8"/>
    </row>
    <row r="17883">
      <c r="C17883" s="15"/>
      <c r="E17883" s="8"/>
      <c r="G17883" s="8"/>
      <c r="J17883" s="8"/>
    </row>
    <row r="17884">
      <c r="C17884" s="15"/>
      <c r="E17884" s="8"/>
      <c r="G17884" s="8"/>
      <c r="J17884" s="8"/>
    </row>
    <row r="17885">
      <c r="C17885" s="15"/>
      <c r="E17885" s="8"/>
      <c r="G17885" s="8"/>
      <c r="J17885" s="8"/>
    </row>
    <row r="17886">
      <c r="C17886" s="15"/>
      <c r="E17886" s="8"/>
      <c r="G17886" s="8"/>
      <c r="J17886" s="8"/>
    </row>
    <row r="17887">
      <c r="C17887" s="15"/>
      <c r="E17887" s="8"/>
      <c r="G17887" s="8"/>
      <c r="J17887" s="8"/>
    </row>
    <row r="17888">
      <c r="C17888" s="15"/>
      <c r="E17888" s="8"/>
      <c r="G17888" s="8"/>
      <c r="J17888" s="8"/>
    </row>
    <row r="17889">
      <c r="C17889" s="15"/>
      <c r="E17889" s="8"/>
      <c r="G17889" s="8"/>
      <c r="J17889" s="8"/>
    </row>
    <row r="17890">
      <c r="C17890" s="15"/>
      <c r="E17890" s="8"/>
      <c r="G17890" s="8"/>
      <c r="J17890" s="8"/>
    </row>
    <row r="17891">
      <c r="C17891" s="15"/>
      <c r="E17891" s="8"/>
      <c r="G17891" s="8"/>
      <c r="J17891" s="8"/>
    </row>
    <row r="17892">
      <c r="C17892" s="15"/>
      <c r="E17892" s="8"/>
      <c r="G17892" s="8"/>
      <c r="J17892" s="8"/>
    </row>
    <row r="17893">
      <c r="C17893" s="15"/>
      <c r="E17893" s="8"/>
      <c r="G17893" s="8"/>
      <c r="J17893" s="8"/>
    </row>
    <row r="17894">
      <c r="C17894" s="15"/>
      <c r="E17894" s="8"/>
      <c r="G17894" s="8"/>
      <c r="J17894" s="8"/>
    </row>
    <row r="17895">
      <c r="C17895" s="15"/>
      <c r="E17895" s="8"/>
      <c r="G17895" s="8"/>
      <c r="J17895" s="8"/>
    </row>
    <row r="17896">
      <c r="C17896" s="15"/>
      <c r="E17896" s="8"/>
      <c r="G17896" s="8"/>
      <c r="J17896" s="8"/>
    </row>
    <row r="17897">
      <c r="C17897" s="15"/>
      <c r="E17897" s="8"/>
      <c r="G17897" s="8"/>
      <c r="J17897" s="8"/>
    </row>
    <row r="17898">
      <c r="C17898" s="15"/>
      <c r="E17898" s="8"/>
      <c r="G17898" s="8"/>
      <c r="J17898" s="8"/>
    </row>
    <row r="17899">
      <c r="C17899" s="15"/>
      <c r="E17899" s="8"/>
      <c r="G17899" s="8"/>
      <c r="J17899" s="8"/>
    </row>
    <row r="17900">
      <c r="C17900" s="15"/>
      <c r="E17900" s="8"/>
      <c r="G17900" s="8"/>
      <c r="J17900" s="8"/>
    </row>
    <row r="17901">
      <c r="C17901" s="15"/>
      <c r="E17901" s="8"/>
      <c r="G17901" s="8"/>
      <c r="J17901" s="8"/>
    </row>
    <row r="17902">
      <c r="C17902" s="15"/>
      <c r="E17902" s="8"/>
      <c r="G17902" s="8"/>
      <c r="J17902" s="8"/>
    </row>
    <row r="17903">
      <c r="C17903" s="15"/>
      <c r="E17903" s="8"/>
      <c r="G17903" s="8"/>
      <c r="J17903" s="8"/>
    </row>
    <row r="17904">
      <c r="C17904" s="15"/>
      <c r="E17904" s="8"/>
      <c r="G17904" s="8"/>
      <c r="J17904" s="8"/>
    </row>
    <row r="17905">
      <c r="C17905" s="15"/>
      <c r="E17905" s="8"/>
      <c r="G17905" s="8"/>
      <c r="J17905" s="8"/>
    </row>
    <row r="17906">
      <c r="C17906" s="15"/>
      <c r="E17906" s="8"/>
      <c r="G17906" s="8"/>
      <c r="J17906" s="8"/>
    </row>
    <row r="17907">
      <c r="C17907" s="15"/>
      <c r="E17907" s="8"/>
      <c r="G17907" s="8"/>
      <c r="J17907" s="8"/>
    </row>
    <row r="17908">
      <c r="C17908" s="15"/>
      <c r="E17908" s="8"/>
      <c r="G17908" s="8"/>
      <c r="J17908" s="8"/>
    </row>
    <row r="17909">
      <c r="C17909" s="15"/>
      <c r="E17909" s="8"/>
      <c r="G17909" s="8"/>
      <c r="J17909" s="8"/>
    </row>
    <row r="17910">
      <c r="C17910" s="15"/>
      <c r="E17910" s="8"/>
      <c r="G17910" s="8"/>
      <c r="J17910" s="8"/>
    </row>
    <row r="17911">
      <c r="C17911" s="15"/>
      <c r="E17911" s="8"/>
      <c r="G17911" s="8"/>
      <c r="J17911" s="8"/>
    </row>
    <row r="17912">
      <c r="C17912" s="15"/>
      <c r="E17912" s="8"/>
      <c r="G17912" s="8"/>
      <c r="J17912" s="8"/>
    </row>
    <row r="17913">
      <c r="C17913" s="15"/>
      <c r="E17913" s="8"/>
      <c r="G17913" s="8"/>
      <c r="J17913" s="8"/>
    </row>
    <row r="17914">
      <c r="C17914" s="15"/>
      <c r="E17914" s="8"/>
      <c r="G17914" s="8"/>
      <c r="J17914" s="8"/>
    </row>
    <row r="17915">
      <c r="C17915" s="15"/>
      <c r="E17915" s="8"/>
      <c r="G17915" s="8"/>
      <c r="J17915" s="8"/>
    </row>
    <row r="17916">
      <c r="C17916" s="15"/>
      <c r="E17916" s="8"/>
      <c r="G17916" s="8"/>
      <c r="J17916" s="8"/>
    </row>
    <row r="17917">
      <c r="C17917" s="15"/>
      <c r="E17917" s="8"/>
      <c r="G17917" s="8"/>
      <c r="J17917" s="8"/>
    </row>
    <row r="17918">
      <c r="C17918" s="15"/>
      <c r="E17918" s="8"/>
      <c r="G17918" s="8"/>
      <c r="J17918" s="8"/>
    </row>
    <row r="17919">
      <c r="C17919" s="15"/>
      <c r="E17919" s="8"/>
      <c r="G17919" s="8"/>
      <c r="J17919" s="8"/>
    </row>
    <row r="17920">
      <c r="C17920" s="15"/>
      <c r="E17920" s="8"/>
      <c r="G17920" s="8"/>
      <c r="J17920" s="8"/>
    </row>
    <row r="17921">
      <c r="C17921" s="15"/>
      <c r="E17921" s="8"/>
      <c r="G17921" s="8"/>
      <c r="J17921" s="8"/>
    </row>
    <row r="17922">
      <c r="C17922" s="15"/>
      <c r="E17922" s="8"/>
      <c r="G17922" s="8"/>
      <c r="J17922" s="8"/>
    </row>
    <row r="17923">
      <c r="C17923" s="15"/>
      <c r="E17923" s="8"/>
      <c r="G17923" s="8"/>
      <c r="J17923" s="8"/>
    </row>
    <row r="17924">
      <c r="C17924" s="15"/>
      <c r="E17924" s="8"/>
      <c r="G17924" s="8"/>
      <c r="J17924" s="8"/>
    </row>
    <row r="17925">
      <c r="C17925" s="15"/>
      <c r="E17925" s="8"/>
      <c r="G17925" s="8"/>
      <c r="J17925" s="8"/>
    </row>
    <row r="17926">
      <c r="C17926" s="15"/>
      <c r="E17926" s="8"/>
      <c r="G17926" s="8"/>
      <c r="J17926" s="8"/>
    </row>
    <row r="17927">
      <c r="C17927" s="15"/>
      <c r="E17927" s="8"/>
      <c r="G17927" s="8"/>
      <c r="J17927" s="8"/>
    </row>
    <row r="17928">
      <c r="C17928" s="15"/>
      <c r="E17928" s="8"/>
      <c r="G17928" s="8"/>
      <c r="J17928" s="8"/>
    </row>
    <row r="17929">
      <c r="C17929" s="15"/>
      <c r="E17929" s="8"/>
      <c r="G17929" s="8"/>
      <c r="J17929" s="8"/>
    </row>
    <row r="17930">
      <c r="C17930" s="15"/>
      <c r="E17930" s="8"/>
      <c r="G17930" s="8"/>
      <c r="J17930" s="8"/>
    </row>
    <row r="17931">
      <c r="C17931" s="15"/>
      <c r="E17931" s="8"/>
      <c r="G17931" s="8"/>
      <c r="J17931" s="8"/>
    </row>
    <row r="17932">
      <c r="C17932" s="15"/>
      <c r="E17932" s="8"/>
      <c r="G17932" s="8"/>
      <c r="J17932" s="8"/>
    </row>
    <row r="17933">
      <c r="C17933" s="15"/>
      <c r="E17933" s="8"/>
      <c r="G17933" s="8"/>
      <c r="J17933" s="8"/>
    </row>
    <row r="17934">
      <c r="C17934" s="15"/>
      <c r="E17934" s="8"/>
      <c r="G17934" s="8"/>
      <c r="J17934" s="8"/>
    </row>
    <row r="17935">
      <c r="C17935" s="15"/>
      <c r="E17935" s="8"/>
      <c r="G17935" s="8"/>
      <c r="J17935" s="8"/>
    </row>
    <row r="17936">
      <c r="C17936" s="15"/>
      <c r="E17936" s="8"/>
      <c r="G17936" s="8"/>
      <c r="J17936" s="8"/>
    </row>
    <row r="17937">
      <c r="C17937" s="15"/>
      <c r="E17937" s="8"/>
      <c r="G17937" s="8"/>
      <c r="J17937" s="8"/>
    </row>
    <row r="17938">
      <c r="C17938" s="15"/>
      <c r="E17938" s="8"/>
      <c r="G17938" s="8"/>
      <c r="J17938" s="8"/>
    </row>
    <row r="17939">
      <c r="C17939" s="15"/>
      <c r="E17939" s="8"/>
      <c r="G17939" s="8"/>
      <c r="J17939" s="8"/>
    </row>
    <row r="17940">
      <c r="C17940" s="15"/>
      <c r="E17940" s="8"/>
      <c r="G17940" s="8"/>
      <c r="J17940" s="8"/>
    </row>
    <row r="17941">
      <c r="C17941" s="15"/>
      <c r="E17941" s="8"/>
      <c r="G17941" s="8"/>
      <c r="J17941" s="8"/>
    </row>
    <row r="17942">
      <c r="C17942" s="15"/>
      <c r="E17942" s="8"/>
      <c r="G17942" s="8"/>
      <c r="J17942" s="8"/>
    </row>
    <row r="17943">
      <c r="C17943" s="15"/>
      <c r="E17943" s="8"/>
      <c r="G17943" s="8"/>
      <c r="J17943" s="8"/>
    </row>
    <row r="17944">
      <c r="C17944" s="15"/>
      <c r="E17944" s="8"/>
      <c r="G17944" s="8"/>
      <c r="J17944" s="8"/>
    </row>
    <row r="17945">
      <c r="C17945" s="15"/>
      <c r="E17945" s="8"/>
      <c r="G17945" s="8"/>
      <c r="J17945" s="8"/>
    </row>
    <row r="17946">
      <c r="C17946" s="15"/>
      <c r="E17946" s="8"/>
      <c r="G17946" s="8"/>
      <c r="J17946" s="8"/>
    </row>
    <row r="17947">
      <c r="C17947" s="15"/>
      <c r="E17947" s="8"/>
      <c r="G17947" s="8"/>
      <c r="J17947" s="8"/>
    </row>
    <row r="17948">
      <c r="C17948" s="15"/>
      <c r="E17948" s="8"/>
      <c r="G17948" s="8"/>
      <c r="J17948" s="8"/>
    </row>
    <row r="17949">
      <c r="C17949" s="15"/>
      <c r="E17949" s="8"/>
      <c r="G17949" s="8"/>
      <c r="J17949" s="8"/>
    </row>
    <row r="17950">
      <c r="C17950" s="15"/>
      <c r="E17950" s="8"/>
      <c r="G17950" s="8"/>
      <c r="J17950" s="8"/>
    </row>
    <row r="17951">
      <c r="C17951" s="15"/>
      <c r="E17951" s="8"/>
      <c r="G17951" s="8"/>
      <c r="J17951" s="8"/>
    </row>
    <row r="17952">
      <c r="C17952" s="15"/>
      <c r="E17952" s="8"/>
      <c r="G17952" s="8"/>
      <c r="J17952" s="8"/>
    </row>
    <row r="17953">
      <c r="C17953" s="15"/>
      <c r="E17953" s="8"/>
      <c r="G17953" s="8"/>
      <c r="J17953" s="8"/>
    </row>
    <row r="17954">
      <c r="C17954" s="15"/>
      <c r="E17954" s="8"/>
      <c r="G17954" s="8"/>
      <c r="J17954" s="8"/>
    </row>
    <row r="17955">
      <c r="C17955" s="15"/>
      <c r="E17955" s="8"/>
      <c r="G17955" s="8"/>
      <c r="J17955" s="8"/>
    </row>
    <row r="17956">
      <c r="C17956" s="15"/>
      <c r="E17956" s="8"/>
      <c r="G17956" s="8"/>
      <c r="J17956" s="8"/>
    </row>
    <row r="17957">
      <c r="C17957" s="15"/>
      <c r="E17957" s="8"/>
      <c r="G17957" s="8"/>
      <c r="J17957" s="8"/>
    </row>
    <row r="17958">
      <c r="C17958" s="15"/>
      <c r="E17958" s="8"/>
      <c r="G17958" s="8"/>
      <c r="J17958" s="8"/>
    </row>
    <row r="17959">
      <c r="C17959" s="15"/>
      <c r="E17959" s="8"/>
      <c r="G17959" s="8"/>
      <c r="J17959" s="8"/>
    </row>
    <row r="17960">
      <c r="C17960" s="15"/>
      <c r="E17960" s="8"/>
      <c r="G17960" s="8"/>
      <c r="J17960" s="8"/>
    </row>
    <row r="17961">
      <c r="C17961" s="15"/>
      <c r="E17961" s="8"/>
      <c r="G17961" s="8"/>
      <c r="J17961" s="8"/>
    </row>
    <row r="17962">
      <c r="C17962" s="15"/>
      <c r="E17962" s="8"/>
      <c r="G17962" s="8"/>
      <c r="J17962" s="8"/>
    </row>
    <row r="17963">
      <c r="C17963" s="15"/>
      <c r="E17963" s="8"/>
      <c r="G17963" s="8"/>
      <c r="J17963" s="8"/>
    </row>
    <row r="17964">
      <c r="C17964" s="15"/>
      <c r="E17964" s="8"/>
      <c r="G17964" s="8"/>
      <c r="J17964" s="8"/>
    </row>
    <row r="17965">
      <c r="C17965" s="15"/>
      <c r="E17965" s="8"/>
      <c r="G17965" s="8"/>
      <c r="J17965" s="8"/>
    </row>
    <row r="17966">
      <c r="C17966" s="15"/>
      <c r="E17966" s="8"/>
      <c r="G17966" s="8"/>
      <c r="J17966" s="8"/>
    </row>
    <row r="17967">
      <c r="C17967" s="15"/>
      <c r="E17967" s="8"/>
      <c r="G17967" s="8"/>
      <c r="J17967" s="8"/>
    </row>
    <row r="17968">
      <c r="C17968" s="15"/>
      <c r="E17968" s="8"/>
      <c r="G17968" s="8"/>
      <c r="J17968" s="8"/>
    </row>
    <row r="17969">
      <c r="C17969" s="15"/>
      <c r="E17969" s="8"/>
      <c r="G17969" s="8"/>
      <c r="J17969" s="8"/>
    </row>
    <row r="17970">
      <c r="C17970" s="15"/>
      <c r="E17970" s="8"/>
      <c r="G17970" s="8"/>
      <c r="J17970" s="8"/>
    </row>
    <row r="17971">
      <c r="C17971" s="15"/>
      <c r="E17971" s="8"/>
      <c r="G17971" s="8"/>
      <c r="J17971" s="8"/>
    </row>
    <row r="17972">
      <c r="C17972" s="15"/>
      <c r="E17972" s="8"/>
      <c r="G17972" s="8"/>
      <c r="J17972" s="8"/>
    </row>
    <row r="17973">
      <c r="C17973" s="15"/>
      <c r="E17973" s="8"/>
      <c r="G17973" s="8"/>
      <c r="J17973" s="8"/>
    </row>
    <row r="17974">
      <c r="C17974" s="15"/>
      <c r="E17974" s="8"/>
      <c r="G17974" s="8"/>
      <c r="J17974" s="8"/>
    </row>
    <row r="17975">
      <c r="C17975" s="15"/>
      <c r="E17975" s="8"/>
      <c r="G17975" s="8"/>
      <c r="J17975" s="8"/>
    </row>
    <row r="17976">
      <c r="C17976" s="15"/>
      <c r="E17976" s="8"/>
      <c r="G17976" s="8"/>
      <c r="J17976" s="8"/>
    </row>
    <row r="17977">
      <c r="C17977" s="15"/>
      <c r="E17977" s="8"/>
      <c r="G17977" s="8"/>
      <c r="J17977" s="8"/>
    </row>
    <row r="17978">
      <c r="C17978" s="15"/>
      <c r="E17978" s="8"/>
      <c r="G17978" s="8"/>
      <c r="J17978" s="8"/>
    </row>
    <row r="17979">
      <c r="C17979" s="15"/>
      <c r="E17979" s="8"/>
      <c r="G17979" s="8"/>
      <c r="J17979" s="8"/>
    </row>
    <row r="17980">
      <c r="C17980" s="15"/>
      <c r="E17980" s="8"/>
      <c r="G17980" s="8"/>
      <c r="J17980" s="8"/>
    </row>
    <row r="17981">
      <c r="C17981" s="15"/>
      <c r="E17981" s="8"/>
      <c r="G17981" s="8"/>
      <c r="J17981" s="8"/>
    </row>
    <row r="17982">
      <c r="C17982" s="15"/>
      <c r="E17982" s="8"/>
      <c r="G17982" s="8"/>
      <c r="J17982" s="8"/>
    </row>
    <row r="17983">
      <c r="C17983" s="15"/>
      <c r="E17983" s="8"/>
      <c r="G17983" s="8"/>
      <c r="J17983" s="8"/>
    </row>
    <row r="17984">
      <c r="C17984" s="15"/>
      <c r="E17984" s="8"/>
      <c r="G17984" s="8"/>
      <c r="J17984" s="8"/>
    </row>
    <row r="17985">
      <c r="C17985" s="15"/>
      <c r="E17985" s="8"/>
      <c r="G17985" s="8"/>
      <c r="J17985" s="8"/>
    </row>
    <row r="17986">
      <c r="C17986" s="15"/>
      <c r="E17986" s="8"/>
      <c r="G17986" s="8"/>
      <c r="J17986" s="8"/>
    </row>
    <row r="17987">
      <c r="C17987" s="15"/>
      <c r="E17987" s="8"/>
      <c r="G17987" s="8"/>
      <c r="J17987" s="8"/>
    </row>
    <row r="17988">
      <c r="C17988" s="15"/>
      <c r="E17988" s="8"/>
      <c r="G17988" s="8"/>
      <c r="J17988" s="8"/>
    </row>
    <row r="17989">
      <c r="C17989" s="15"/>
      <c r="E17989" s="8"/>
      <c r="G17989" s="8"/>
      <c r="J17989" s="8"/>
    </row>
    <row r="17990">
      <c r="C17990" s="15"/>
      <c r="E17990" s="8"/>
      <c r="G17990" s="8"/>
      <c r="J17990" s="8"/>
    </row>
    <row r="17991">
      <c r="C17991" s="15"/>
      <c r="E17991" s="8"/>
      <c r="G17991" s="8"/>
      <c r="J17991" s="8"/>
    </row>
    <row r="17992">
      <c r="C17992" s="15"/>
      <c r="E17992" s="8"/>
      <c r="G17992" s="8"/>
      <c r="J17992" s="8"/>
    </row>
    <row r="17993">
      <c r="C17993" s="15"/>
      <c r="E17993" s="8"/>
      <c r="G17993" s="8"/>
      <c r="J17993" s="8"/>
    </row>
    <row r="17994">
      <c r="C17994" s="15"/>
      <c r="E17994" s="8"/>
      <c r="G17994" s="8"/>
      <c r="J17994" s="8"/>
    </row>
    <row r="17995">
      <c r="C17995" s="15"/>
      <c r="E17995" s="8"/>
      <c r="G17995" s="8"/>
      <c r="J17995" s="8"/>
    </row>
    <row r="17996">
      <c r="C17996" s="15"/>
      <c r="E17996" s="8"/>
      <c r="G17996" s="8"/>
      <c r="J17996" s="8"/>
    </row>
    <row r="17997">
      <c r="C17997" s="15"/>
      <c r="E17997" s="8"/>
      <c r="G17997" s="8"/>
      <c r="J17997" s="8"/>
    </row>
    <row r="17998">
      <c r="C17998" s="15"/>
      <c r="E17998" s="8"/>
      <c r="G17998" s="8"/>
      <c r="J17998" s="8"/>
    </row>
    <row r="17999">
      <c r="C17999" s="15"/>
      <c r="E17999" s="8"/>
      <c r="G17999" s="8"/>
      <c r="J17999" s="8"/>
    </row>
    <row r="18000">
      <c r="C18000" s="15"/>
      <c r="E18000" s="8"/>
      <c r="G18000" s="8"/>
      <c r="J18000" s="8"/>
    </row>
    <row r="18001">
      <c r="C18001" s="15"/>
      <c r="E18001" s="8"/>
      <c r="G18001" s="8"/>
      <c r="J18001" s="8"/>
    </row>
    <row r="18002">
      <c r="C18002" s="15"/>
      <c r="E18002" s="8"/>
      <c r="G18002" s="8"/>
      <c r="J18002" s="8"/>
    </row>
    <row r="18003">
      <c r="C18003" s="15"/>
      <c r="E18003" s="8"/>
      <c r="G18003" s="8"/>
      <c r="J18003" s="8"/>
    </row>
    <row r="18004">
      <c r="C18004" s="15"/>
      <c r="E18004" s="8"/>
      <c r="G18004" s="8"/>
      <c r="J18004" s="8"/>
    </row>
    <row r="18005">
      <c r="C18005" s="15"/>
      <c r="E18005" s="8"/>
      <c r="G18005" s="8"/>
      <c r="J18005" s="8"/>
    </row>
    <row r="18006">
      <c r="C18006" s="15"/>
      <c r="E18006" s="8"/>
      <c r="G18006" s="8"/>
      <c r="J18006" s="8"/>
    </row>
    <row r="18007">
      <c r="C18007" s="15"/>
      <c r="E18007" s="8"/>
      <c r="G18007" s="8"/>
      <c r="J18007" s="8"/>
    </row>
    <row r="18008">
      <c r="C18008" s="15"/>
      <c r="E18008" s="8"/>
      <c r="G18008" s="8"/>
      <c r="J18008" s="8"/>
    </row>
    <row r="18009">
      <c r="C18009" s="15"/>
      <c r="E18009" s="8"/>
      <c r="G18009" s="8"/>
      <c r="J18009" s="8"/>
    </row>
    <row r="18010">
      <c r="C18010" s="15"/>
      <c r="E18010" s="8"/>
      <c r="G18010" s="8"/>
      <c r="J18010" s="8"/>
    </row>
    <row r="18011">
      <c r="C18011" s="15"/>
      <c r="E18011" s="8"/>
      <c r="G18011" s="8"/>
      <c r="J18011" s="8"/>
    </row>
    <row r="18012">
      <c r="C18012" s="15"/>
      <c r="E18012" s="8"/>
      <c r="G18012" s="8"/>
      <c r="J18012" s="8"/>
    </row>
    <row r="18013">
      <c r="C18013" s="15"/>
      <c r="E18013" s="8"/>
      <c r="G18013" s="8"/>
      <c r="J18013" s="8"/>
    </row>
    <row r="18014">
      <c r="C18014" s="15"/>
      <c r="E18014" s="8"/>
      <c r="G18014" s="8"/>
      <c r="J18014" s="8"/>
    </row>
    <row r="18015">
      <c r="C18015" s="15"/>
      <c r="E18015" s="8"/>
      <c r="G18015" s="8"/>
      <c r="J18015" s="8"/>
    </row>
    <row r="18016">
      <c r="C18016" s="15"/>
      <c r="E18016" s="8"/>
      <c r="G18016" s="8"/>
      <c r="J18016" s="8"/>
    </row>
    <row r="18017">
      <c r="C18017" s="15"/>
      <c r="E18017" s="8"/>
      <c r="G18017" s="8"/>
      <c r="J18017" s="8"/>
    </row>
    <row r="18018">
      <c r="C18018" s="15"/>
      <c r="E18018" s="8"/>
      <c r="G18018" s="8"/>
      <c r="J18018" s="8"/>
    </row>
    <row r="18019">
      <c r="C18019" s="15"/>
      <c r="E18019" s="8"/>
      <c r="G18019" s="8"/>
      <c r="J18019" s="8"/>
    </row>
    <row r="18020">
      <c r="C18020" s="15"/>
      <c r="E18020" s="8"/>
      <c r="G18020" s="8"/>
      <c r="J18020" s="8"/>
    </row>
    <row r="18021">
      <c r="C18021" s="15"/>
      <c r="E18021" s="8"/>
      <c r="G18021" s="8"/>
      <c r="J18021" s="8"/>
    </row>
    <row r="18022">
      <c r="C18022" s="15"/>
      <c r="E18022" s="8"/>
      <c r="G18022" s="8"/>
      <c r="J18022" s="8"/>
    </row>
    <row r="18023">
      <c r="C18023" s="15"/>
      <c r="E18023" s="8"/>
      <c r="G18023" s="8"/>
      <c r="J18023" s="8"/>
    </row>
    <row r="18024">
      <c r="C18024" s="15"/>
      <c r="E18024" s="8"/>
      <c r="G18024" s="8"/>
      <c r="J18024" s="8"/>
    </row>
    <row r="18025">
      <c r="C18025" s="15"/>
      <c r="E18025" s="8"/>
      <c r="G18025" s="8"/>
      <c r="J18025" s="8"/>
    </row>
    <row r="18026">
      <c r="C18026" s="15"/>
      <c r="E18026" s="8"/>
      <c r="G18026" s="8"/>
      <c r="J18026" s="8"/>
    </row>
    <row r="18027">
      <c r="C18027" s="15"/>
      <c r="E18027" s="8"/>
      <c r="G18027" s="8"/>
      <c r="J18027" s="8"/>
    </row>
    <row r="18028">
      <c r="C18028" s="15"/>
      <c r="E18028" s="8"/>
      <c r="G18028" s="8"/>
      <c r="J18028" s="8"/>
    </row>
    <row r="18029">
      <c r="C18029" s="15"/>
      <c r="E18029" s="8"/>
      <c r="G18029" s="8"/>
      <c r="J18029" s="8"/>
    </row>
    <row r="18030">
      <c r="C18030" s="15"/>
      <c r="E18030" s="8"/>
      <c r="G18030" s="8"/>
      <c r="J18030" s="8"/>
    </row>
    <row r="18031">
      <c r="C18031" s="15"/>
      <c r="E18031" s="8"/>
      <c r="G18031" s="8"/>
      <c r="J18031" s="8"/>
    </row>
    <row r="18032">
      <c r="C18032" s="15"/>
      <c r="E18032" s="8"/>
      <c r="G18032" s="8"/>
      <c r="J18032" s="8"/>
    </row>
    <row r="18033">
      <c r="C18033" s="15"/>
      <c r="E18033" s="8"/>
      <c r="G18033" s="8"/>
      <c r="J18033" s="8"/>
    </row>
    <row r="18034">
      <c r="C18034" s="15"/>
      <c r="E18034" s="8"/>
      <c r="G18034" s="8"/>
      <c r="J18034" s="8"/>
    </row>
    <row r="18035">
      <c r="C18035" s="15"/>
      <c r="E18035" s="8"/>
      <c r="G18035" s="8"/>
      <c r="J18035" s="8"/>
    </row>
    <row r="18036">
      <c r="C18036" s="15"/>
      <c r="E18036" s="8"/>
      <c r="G18036" s="8"/>
      <c r="J18036" s="8"/>
    </row>
    <row r="18037">
      <c r="C18037" s="15"/>
      <c r="E18037" s="8"/>
      <c r="G18037" s="8"/>
      <c r="J18037" s="8"/>
    </row>
    <row r="18038">
      <c r="C18038" s="15"/>
      <c r="E18038" s="8"/>
      <c r="G18038" s="8"/>
      <c r="J18038" s="8"/>
    </row>
    <row r="18039">
      <c r="C18039" s="15"/>
      <c r="E18039" s="8"/>
      <c r="G18039" s="8"/>
      <c r="J18039" s="8"/>
    </row>
    <row r="18040">
      <c r="C18040" s="15"/>
      <c r="E18040" s="8"/>
      <c r="G18040" s="8"/>
      <c r="J18040" s="8"/>
    </row>
    <row r="18041">
      <c r="C18041" s="15"/>
      <c r="E18041" s="8"/>
      <c r="G18041" s="8"/>
      <c r="J18041" s="8"/>
    </row>
    <row r="18042">
      <c r="C18042" s="15"/>
      <c r="E18042" s="8"/>
      <c r="G18042" s="8"/>
      <c r="J18042" s="8"/>
    </row>
    <row r="18043">
      <c r="C18043" s="15"/>
      <c r="E18043" s="8"/>
      <c r="G18043" s="8"/>
      <c r="J18043" s="8"/>
    </row>
    <row r="18044">
      <c r="C18044" s="15"/>
      <c r="E18044" s="8"/>
      <c r="G18044" s="8"/>
      <c r="J18044" s="8"/>
    </row>
    <row r="18045">
      <c r="C18045" s="15"/>
      <c r="E18045" s="8"/>
      <c r="G18045" s="8"/>
      <c r="J18045" s="8"/>
    </row>
    <row r="18046">
      <c r="C18046" s="15"/>
      <c r="E18046" s="8"/>
      <c r="G18046" s="8"/>
      <c r="J18046" s="8"/>
    </row>
    <row r="18047">
      <c r="C18047" s="15"/>
      <c r="E18047" s="8"/>
      <c r="G18047" s="8"/>
      <c r="J18047" s="8"/>
    </row>
    <row r="18048">
      <c r="C18048" s="15"/>
      <c r="E18048" s="8"/>
      <c r="G18048" s="8"/>
      <c r="J18048" s="8"/>
    </row>
    <row r="18049">
      <c r="C18049" s="15"/>
      <c r="E18049" s="8"/>
      <c r="G18049" s="8"/>
      <c r="J18049" s="8"/>
    </row>
    <row r="18050">
      <c r="C18050" s="15"/>
      <c r="E18050" s="8"/>
      <c r="G18050" s="8"/>
      <c r="J18050" s="8"/>
    </row>
    <row r="18051">
      <c r="C18051" s="15"/>
      <c r="E18051" s="8"/>
      <c r="G18051" s="8"/>
      <c r="J18051" s="8"/>
    </row>
    <row r="18052">
      <c r="C18052" s="15"/>
      <c r="E18052" s="8"/>
      <c r="G18052" s="8"/>
      <c r="J18052" s="8"/>
    </row>
    <row r="18053">
      <c r="C18053" s="15"/>
      <c r="E18053" s="8"/>
      <c r="G18053" s="8"/>
      <c r="J18053" s="8"/>
    </row>
    <row r="18054">
      <c r="C18054" s="15"/>
      <c r="E18054" s="8"/>
      <c r="G18054" s="8"/>
      <c r="J18054" s="8"/>
    </row>
    <row r="18055">
      <c r="C18055" s="15"/>
      <c r="E18055" s="8"/>
      <c r="G18055" s="8"/>
      <c r="J18055" s="8"/>
    </row>
    <row r="18056">
      <c r="C18056" s="15"/>
      <c r="E18056" s="8"/>
      <c r="G18056" s="8"/>
      <c r="J18056" s="8"/>
    </row>
    <row r="18057">
      <c r="C18057" s="15"/>
      <c r="E18057" s="8"/>
      <c r="G18057" s="8"/>
      <c r="J18057" s="8"/>
    </row>
    <row r="18058">
      <c r="C18058" s="15"/>
      <c r="E18058" s="8"/>
      <c r="G18058" s="8"/>
      <c r="J18058" s="8"/>
    </row>
    <row r="18059">
      <c r="C18059" s="15"/>
      <c r="E18059" s="8"/>
      <c r="G18059" s="8"/>
      <c r="J18059" s="8"/>
    </row>
    <row r="18060">
      <c r="C18060" s="15"/>
      <c r="E18060" s="8"/>
      <c r="G18060" s="8"/>
      <c r="J18060" s="8"/>
    </row>
    <row r="18061">
      <c r="C18061" s="15"/>
      <c r="E18061" s="8"/>
      <c r="G18061" s="8"/>
      <c r="J18061" s="8"/>
    </row>
    <row r="18062">
      <c r="C18062" s="15"/>
      <c r="E18062" s="8"/>
      <c r="G18062" s="8"/>
      <c r="J18062" s="8"/>
    </row>
    <row r="18063">
      <c r="C18063" s="15"/>
      <c r="E18063" s="8"/>
      <c r="G18063" s="8"/>
      <c r="J18063" s="8"/>
    </row>
    <row r="18064">
      <c r="C18064" s="15"/>
      <c r="E18064" s="8"/>
      <c r="G18064" s="8"/>
      <c r="J18064" s="8"/>
    </row>
    <row r="18065">
      <c r="C18065" s="15"/>
      <c r="E18065" s="8"/>
      <c r="G18065" s="8"/>
      <c r="J18065" s="8"/>
    </row>
    <row r="18066">
      <c r="C18066" s="15"/>
      <c r="E18066" s="8"/>
      <c r="G18066" s="8"/>
      <c r="J18066" s="8"/>
    </row>
    <row r="18067">
      <c r="C18067" s="15"/>
      <c r="E18067" s="8"/>
      <c r="G18067" s="8"/>
      <c r="J18067" s="8"/>
    </row>
    <row r="18068">
      <c r="C18068" s="15"/>
      <c r="E18068" s="8"/>
      <c r="G18068" s="8"/>
      <c r="J18068" s="8"/>
    </row>
    <row r="18069">
      <c r="C18069" s="15"/>
      <c r="E18069" s="8"/>
      <c r="G18069" s="8"/>
      <c r="J18069" s="8"/>
    </row>
    <row r="18070">
      <c r="C18070" s="15"/>
      <c r="E18070" s="8"/>
      <c r="G18070" s="8"/>
      <c r="J18070" s="8"/>
    </row>
    <row r="18071">
      <c r="C18071" s="15"/>
      <c r="E18071" s="8"/>
      <c r="G18071" s="8"/>
      <c r="J18071" s="8"/>
    </row>
    <row r="18072">
      <c r="C18072" s="15"/>
      <c r="E18072" s="8"/>
      <c r="G18072" s="8"/>
      <c r="J18072" s="8"/>
    </row>
    <row r="18073">
      <c r="C18073" s="15"/>
      <c r="E18073" s="8"/>
      <c r="G18073" s="8"/>
      <c r="J18073" s="8"/>
    </row>
    <row r="18074">
      <c r="C18074" s="15"/>
      <c r="E18074" s="8"/>
      <c r="G18074" s="8"/>
      <c r="J18074" s="8"/>
    </row>
    <row r="18075">
      <c r="C18075" s="15"/>
      <c r="E18075" s="8"/>
      <c r="G18075" s="8"/>
      <c r="J18075" s="8"/>
    </row>
    <row r="18076">
      <c r="C18076" s="15"/>
      <c r="E18076" s="8"/>
      <c r="G18076" s="8"/>
      <c r="J18076" s="8"/>
    </row>
    <row r="18077">
      <c r="C18077" s="15"/>
      <c r="E18077" s="8"/>
      <c r="G18077" s="8"/>
      <c r="J18077" s="8"/>
    </row>
    <row r="18078">
      <c r="C18078" s="15"/>
      <c r="E18078" s="8"/>
      <c r="G18078" s="8"/>
      <c r="J18078" s="8"/>
    </row>
    <row r="18079">
      <c r="C18079" s="15"/>
      <c r="E18079" s="8"/>
      <c r="G18079" s="8"/>
      <c r="J18079" s="8"/>
    </row>
    <row r="18080">
      <c r="C18080" s="15"/>
      <c r="E18080" s="8"/>
      <c r="G18080" s="8"/>
      <c r="J18080" s="8"/>
    </row>
    <row r="18081">
      <c r="C18081" s="15"/>
      <c r="E18081" s="8"/>
      <c r="G18081" s="8"/>
      <c r="J18081" s="8"/>
    </row>
    <row r="18082">
      <c r="C18082" s="15"/>
      <c r="E18082" s="8"/>
      <c r="G18082" s="8"/>
      <c r="J18082" s="8"/>
    </row>
    <row r="18083">
      <c r="C18083" s="15"/>
      <c r="E18083" s="8"/>
      <c r="G18083" s="8"/>
      <c r="J18083" s="8"/>
    </row>
    <row r="18084">
      <c r="C18084" s="15"/>
      <c r="E18084" s="8"/>
      <c r="G18084" s="8"/>
      <c r="J18084" s="8"/>
    </row>
    <row r="18085">
      <c r="C18085" s="15"/>
      <c r="E18085" s="8"/>
      <c r="G18085" s="8"/>
      <c r="J18085" s="8"/>
    </row>
    <row r="18086">
      <c r="C18086" s="15"/>
      <c r="E18086" s="8"/>
      <c r="G18086" s="8"/>
      <c r="J18086" s="8"/>
    </row>
    <row r="18087">
      <c r="C18087" s="15"/>
      <c r="E18087" s="8"/>
      <c r="G18087" s="8"/>
      <c r="J18087" s="8"/>
    </row>
    <row r="18088">
      <c r="C18088" s="15"/>
      <c r="E18088" s="8"/>
      <c r="G18088" s="8"/>
      <c r="J18088" s="8"/>
    </row>
    <row r="18089">
      <c r="C18089" s="15"/>
      <c r="E18089" s="8"/>
      <c r="G18089" s="8"/>
      <c r="J18089" s="8"/>
    </row>
    <row r="18090">
      <c r="C18090" s="15"/>
      <c r="E18090" s="8"/>
      <c r="G18090" s="8"/>
      <c r="J18090" s="8"/>
    </row>
    <row r="18091">
      <c r="C18091" s="15"/>
      <c r="E18091" s="8"/>
      <c r="G18091" s="8"/>
      <c r="J18091" s="8"/>
    </row>
    <row r="18092">
      <c r="C18092" s="15"/>
      <c r="E18092" s="8"/>
      <c r="G18092" s="8"/>
      <c r="J18092" s="8"/>
    </row>
    <row r="18093">
      <c r="C18093" s="15"/>
      <c r="E18093" s="8"/>
      <c r="G18093" s="8"/>
      <c r="J18093" s="8"/>
    </row>
    <row r="18094">
      <c r="C18094" s="15"/>
      <c r="E18094" s="8"/>
      <c r="G18094" s="8"/>
      <c r="J18094" s="8"/>
    </row>
    <row r="18095">
      <c r="C18095" s="15"/>
      <c r="E18095" s="8"/>
      <c r="G18095" s="8"/>
      <c r="J18095" s="8"/>
    </row>
    <row r="18096">
      <c r="C18096" s="15"/>
      <c r="E18096" s="8"/>
      <c r="G18096" s="8"/>
      <c r="J18096" s="8"/>
    </row>
    <row r="18097">
      <c r="C18097" s="15"/>
      <c r="E18097" s="8"/>
      <c r="G18097" s="8"/>
      <c r="J18097" s="8"/>
    </row>
    <row r="18098">
      <c r="C18098" s="15"/>
      <c r="E18098" s="8"/>
      <c r="G18098" s="8"/>
      <c r="J18098" s="8"/>
    </row>
    <row r="18099">
      <c r="C18099" s="15"/>
      <c r="E18099" s="8"/>
      <c r="G18099" s="8"/>
      <c r="J18099" s="8"/>
    </row>
    <row r="18100">
      <c r="C18100" s="15"/>
      <c r="E18100" s="8"/>
      <c r="G18100" s="8"/>
      <c r="J18100" s="8"/>
    </row>
    <row r="18101">
      <c r="C18101" s="15"/>
      <c r="E18101" s="8"/>
      <c r="G18101" s="8"/>
      <c r="J18101" s="8"/>
    </row>
    <row r="18102">
      <c r="C18102" s="15"/>
      <c r="E18102" s="8"/>
      <c r="G18102" s="8"/>
      <c r="J18102" s="8"/>
    </row>
    <row r="18103">
      <c r="C18103" s="15"/>
      <c r="E18103" s="8"/>
      <c r="G18103" s="8"/>
      <c r="J18103" s="8"/>
    </row>
    <row r="18104">
      <c r="C18104" s="15"/>
      <c r="E18104" s="8"/>
      <c r="G18104" s="8"/>
      <c r="J18104" s="8"/>
    </row>
    <row r="18105">
      <c r="C18105" s="15"/>
      <c r="E18105" s="8"/>
      <c r="G18105" s="8"/>
      <c r="J18105" s="8"/>
    </row>
    <row r="18106">
      <c r="C18106" s="15"/>
      <c r="E18106" s="8"/>
      <c r="G18106" s="8"/>
      <c r="J18106" s="8"/>
    </row>
    <row r="18107">
      <c r="C18107" s="15"/>
      <c r="E18107" s="8"/>
      <c r="G18107" s="8"/>
      <c r="J18107" s="8"/>
    </row>
    <row r="18108">
      <c r="C18108" s="15"/>
      <c r="E18108" s="8"/>
      <c r="G18108" s="8"/>
      <c r="J18108" s="8"/>
    </row>
    <row r="18109">
      <c r="C18109" s="15"/>
      <c r="E18109" s="8"/>
      <c r="G18109" s="8"/>
      <c r="J18109" s="8"/>
    </row>
    <row r="18110">
      <c r="C18110" s="15"/>
      <c r="E18110" s="8"/>
      <c r="G18110" s="8"/>
      <c r="J18110" s="8"/>
    </row>
    <row r="18111">
      <c r="C18111" s="15"/>
      <c r="E18111" s="8"/>
      <c r="G18111" s="8"/>
      <c r="J18111" s="8"/>
    </row>
    <row r="18112">
      <c r="C18112" s="15"/>
      <c r="E18112" s="8"/>
      <c r="G18112" s="8"/>
      <c r="J18112" s="8"/>
    </row>
    <row r="18113">
      <c r="C18113" s="15"/>
      <c r="E18113" s="8"/>
      <c r="G18113" s="8"/>
      <c r="J18113" s="8"/>
    </row>
    <row r="18114">
      <c r="C18114" s="15"/>
      <c r="E18114" s="8"/>
      <c r="G18114" s="8"/>
      <c r="J18114" s="8"/>
    </row>
    <row r="18115">
      <c r="C18115" s="15"/>
      <c r="E18115" s="8"/>
      <c r="G18115" s="8"/>
      <c r="J18115" s="8"/>
    </row>
    <row r="18116">
      <c r="C18116" s="15"/>
      <c r="E18116" s="8"/>
      <c r="G18116" s="8"/>
      <c r="J18116" s="8"/>
    </row>
    <row r="18117">
      <c r="C18117" s="15"/>
      <c r="E18117" s="8"/>
      <c r="G18117" s="8"/>
      <c r="J18117" s="8"/>
    </row>
    <row r="18118">
      <c r="C18118" s="15"/>
      <c r="E18118" s="8"/>
      <c r="G18118" s="8"/>
      <c r="J18118" s="8"/>
    </row>
    <row r="18119">
      <c r="C18119" s="15"/>
      <c r="E18119" s="8"/>
      <c r="G18119" s="8"/>
      <c r="J18119" s="8"/>
    </row>
    <row r="18120">
      <c r="C18120" s="15"/>
      <c r="E18120" s="8"/>
      <c r="G18120" s="8"/>
      <c r="J18120" s="8"/>
    </row>
    <row r="18121">
      <c r="C18121" s="15"/>
      <c r="E18121" s="8"/>
      <c r="G18121" s="8"/>
      <c r="J18121" s="8"/>
    </row>
    <row r="18122">
      <c r="C18122" s="15"/>
      <c r="E18122" s="8"/>
      <c r="G18122" s="8"/>
      <c r="J18122" s="8"/>
    </row>
    <row r="18123">
      <c r="C18123" s="15"/>
      <c r="E18123" s="8"/>
      <c r="G18123" s="8"/>
      <c r="J18123" s="8"/>
    </row>
    <row r="18124">
      <c r="C18124" s="15"/>
      <c r="E18124" s="8"/>
      <c r="G18124" s="8"/>
      <c r="J18124" s="8"/>
    </row>
    <row r="18125">
      <c r="C18125" s="15"/>
      <c r="E18125" s="8"/>
      <c r="G18125" s="8"/>
      <c r="J18125" s="8"/>
    </row>
    <row r="18126">
      <c r="C18126" s="15"/>
      <c r="E18126" s="8"/>
      <c r="G18126" s="8"/>
      <c r="J18126" s="8"/>
    </row>
    <row r="18127">
      <c r="C18127" s="15"/>
      <c r="E18127" s="8"/>
      <c r="G18127" s="8"/>
      <c r="J18127" s="8"/>
    </row>
    <row r="18128">
      <c r="C18128" s="15"/>
      <c r="E18128" s="8"/>
      <c r="G18128" s="8"/>
      <c r="J18128" s="8"/>
    </row>
    <row r="18129">
      <c r="C18129" s="15"/>
      <c r="E18129" s="8"/>
      <c r="G18129" s="8"/>
      <c r="J18129" s="8"/>
    </row>
    <row r="18130">
      <c r="C18130" s="15"/>
      <c r="E18130" s="8"/>
      <c r="G18130" s="8"/>
      <c r="J18130" s="8"/>
    </row>
    <row r="18131">
      <c r="C18131" s="15"/>
      <c r="E18131" s="8"/>
      <c r="G18131" s="8"/>
      <c r="J18131" s="8"/>
    </row>
    <row r="18132">
      <c r="C18132" s="15"/>
      <c r="E18132" s="8"/>
      <c r="G18132" s="8"/>
      <c r="J18132" s="8"/>
    </row>
    <row r="18133">
      <c r="C18133" s="15"/>
      <c r="E18133" s="8"/>
      <c r="G18133" s="8"/>
      <c r="J18133" s="8"/>
    </row>
    <row r="18134">
      <c r="C18134" s="15"/>
      <c r="E18134" s="8"/>
      <c r="G18134" s="8"/>
      <c r="J18134" s="8"/>
    </row>
    <row r="18135">
      <c r="C18135" s="15"/>
      <c r="E18135" s="8"/>
      <c r="G18135" s="8"/>
      <c r="J18135" s="8"/>
    </row>
    <row r="18136">
      <c r="C18136" s="15"/>
      <c r="E18136" s="8"/>
      <c r="G18136" s="8"/>
      <c r="J18136" s="8"/>
    </row>
    <row r="18137">
      <c r="C18137" s="15"/>
      <c r="E18137" s="8"/>
      <c r="G18137" s="8"/>
      <c r="J18137" s="8"/>
    </row>
    <row r="18138">
      <c r="C18138" s="15"/>
      <c r="E18138" s="8"/>
      <c r="G18138" s="8"/>
      <c r="J18138" s="8"/>
    </row>
    <row r="18139">
      <c r="C18139" s="15"/>
      <c r="E18139" s="8"/>
      <c r="G18139" s="8"/>
      <c r="J18139" s="8"/>
    </row>
    <row r="18140">
      <c r="C18140" s="15"/>
      <c r="E18140" s="8"/>
      <c r="G18140" s="8"/>
      <c r="J18140" s="8"/>
    </row>
    <row r="18141">
      <c r="C18141" s="15"/>
      <c r="E18141" s="8"/>
      <c r="G18141" s="8"/>
      <c r="J18141" s="8"/>
    </row>
    <row r="18142">
      <c r="C18142" s="15"/>
      <c r="E18142" s="8"/>
      <c r="G18142" s="8"/>
      <c r="J18142" s="8"/>
    </row>
    <row r="18143">
      <c r="C18143" s="15"/>
      <c r="E18143" s="8"/>
      <c r="G18143" s="8"/>
      <c r="J18143" s="8"/>
    </row>
    <row r="18144">
      <c r="C18144" s="15"/>
      <c r="E18144" s="8"/>
      <c r="G18144" s="8"/>
      <c r="J18144" s="8"/>
    </row>
    <row r="18145">
      <c r="C18145" s="15"/>
      <c r="E18145" s="8"/>
      <c r="G18145" s="8"/>
      <c r="J18145" s="8"/>
    </row>
    <row r="18146">
      <c r="C18146" s="15"/>
      <c r="E18146" s="8"/>
      <c r="G18146" s="8"/>
      <c r="J18146" s="8"/>
    </row>
    <row r="18147">
      <c r="C18147" s="15"/>
      <c r="E18147" s="8"/>
      <c r="G18147" s="8"/>
      <c r="J18147" s="8"/>
    </row>
    <row r="18148">
      <c r="C18148" s="15"/>
      <c r="E18148" s="8"/>
      <c r="G18148" s="8"/>
      <c r="J18148" s="8"/>
    </row>
    <row r="18149">
      <c r="C18149" s="15"/>
      <c r="E18149" s="8"/>
      <c r="G18149" s="8"/>
      <c r="J18149" s="8"/>
    </row>
    <row r="18150">
      <c r="C18150" s="15"/>
      <c r="E18150" s="8"/>
      <c r="G18150" s="8"/>
      <c r="J18150" s="8"/>
    </row>
    <row r="18151">
      <c r="C18151" s="15"/>
      <c r="E18151" s="8"/>
      <c r="G18151" s="8"/>
      <c r="J18151" s="8"/>
    </row>
    <row r="18152">
      <c r="C18152" s="15"/>
      <c r="E18152" s="8"/>
      <c r="G18152" s="8"/>
      <c r="J18152" s="8"/>
    </row>
    <row r="18153">
      <c r="C18153" s="15"/>
      <c r="E18153" s="8"/>
      <c r="G18153" s="8"/>
      <c r="J18153" s="8"/>
    </row>
    <row r="18154">
      <c r="C18154" s="15"/>
      <c r="E18154" s="8"/>
      <c r="G18154" s="8"/>
      <c r="J18154" s="8"/>
    </row>
    <row r="18155">
      <c r="C18155" s="15"/>
      <c r="E18155" s="8"/>
      <c r="G18155" s="8"/>
      <c r="J18155" s="8"/>
    </row>
    <row r="18156">
      <c r="C18156" s="15"/>
      <c r="E18156" s="8"/>
      <c r="G18156" s="8"/>
      <c r="J18156" s="8"/>
    </row>
    <row r="18157">
      <c r="C18157" s="15"/>
      <c r="E18157" s="8"/>
      <c r="G18157" s="8"/>
      <c r="J18157" s="8"/>
    </row>
    <row r="18158">
      <c r="C18158" s="15"/>
      <c r="E18158" s="8"/>
      <c r="G18158" s="8"/>
      <c r="J18158" s="8"/>
    </row>
    <row r="18159">
      <c r="C18159" s="15"/>
      <c r="E18159" s="8"/>
      <c r="G18159" s="8"/>
      <c r="J18159" s="8"/>
    </row>
    <row r="18160">
      <c r="C18160" s="15"/>
      <c r="E18160" s="8"/>
      <c r="G18160" s="8"/>
      <c r="J18160" s="8"/>
    </row>
    <row r="18161">
      <c r="C18161" s="15"/>
      <c r="E18161" s="8"/>
      <c r="G18161" s="8"/>
      <c r="J18161" s="8"/>
    </row>
    <row r="18162">
      <c r="C18162" s="15"/>
      <c r="E18162" s="8"/>
      <c r="G18162" s="8"/>
      <c r="J18162" s="8"/>
    </row>
    <row r="18163">
      <c r="C18163" s="15"/>
      <c r="E18163" s="8"/>
      <c r="G18163" s="8"/>
      <c r="J18163" s="8"/>
    </row>
    <row r="18164">
      <c r="C18164" s="15"/>
      <c r="E18164" s="8"/>
      <c r="G18164" s="8"/>
      <c r="J18164" s="8"/>
    </row>
    <row r="18165">
      <c r="C18165" s="15"/>
      <c r="E18165" s="8"/>
      <c r="G18165" s="8"/>
      <c r="J18165" s="8"/>
    </row>
    <row r="18166">
      <c r="C18166" s="15"/>
      <c r="E18166" s="8"/>
      <c r="G18166" s="8"/>
      <c r="J18166" s="8"/>
    </row>
    <row r="18167">
      <c r="C18167" s="15"/>
      <c r="E18167" s="8"/>
      <c r="G18167" s="8"/>
      <c r="J18167" s="8"/>
    </row>
    <row r="18168">
      <c r="C18168" s="15"/>
      <c r="E18168" s="8"/>
      <c r="G18168" s="8"/>
      <c r="J18168" s="8"/>
    </row>
    <row r="18169">
      <c r="C18169" s="15"/>
      <c r="E18169" s="8"/>
      <c r="G18169" s="8"/>
      <c r="J18169" s="8"/>
    </row>
    <row r="18170">
      <c r="C18170" s="15"/>
      <c r="E18170" s="8"/>
      <c r="G18170" s="8"/>
      <c r="J18170" s="8"/>
    </row>
    <row r="18171">
      <c r="C18171" s="15"/>
      <c r="E18171" s="8"/>
      <c r="G18171" s="8"/>
      <c r="J18171" s="8"/>
    </row>
    <row r="18172">
      <c r="C18172" s="15"/>
      <c r="E18172" s="8"/>
      <c r="G18172" s="8"/>
      <c r="J18172" s="8"/>
    </row>
    <row r="18173">
      <c r="C18173" s="15"/>
      <c r="E18173" s="8"/>
      <c r="G18173" s="8"/>
      <c r="J18173" s="8"/>
    </row>
    <row r="18174">
      <c r="C18174" s="15"/>
      <c r="E18174" s="8"/>
      <c r="G18174" s="8"/>
      <c r="J18174" s="8"/>
    </row>
    <row r="18175">
      <c r="C18175" s="15"/>
      <c r="E18175" s="8"/>
      <c r="G18175" s="8"/>
      <c r="J18175" s="8"/>
    </row>
    <row r="18176">
      <c r="C18176" s="15"/>
      <c r="E18176" s="8"/>
      <c r="G18176" s="8"/>
      <c r="J18176" s="8"/>
    </row>
    <row r="18177">
      <c r="C18177" s="15"/>
      <c r="E18177" s="8"/>
      <c r="G18177" s="8"/>
      <c r="J18177" s="8"/>
    </row>
    <row r="18178">
      <c r="C18178" s="15"/>
      <c r="E18178" s="8"/>
      <c r="G18178" s="8"/>
      <c r="J18178" s="8"/>
    </row>
    <row r="18179">
      <c r="C18179" s="15"/>
      <c r="E18179" s="8"/>
      <c r="G18179" s="8"/>
      <c r="J18179" s="8"/>
    </row>
    <row r="18180">
      <c r="C18180" s="15"/>
      <c r="E18180" s="8"/>
      <c r="G18180" s="8"/>
      <c r="J18180" s="8"/>
    </row>
    <row r="18181">
      <c r="C18181" s="15"/>
      <c r="E18181" s="8"/>
      <c r="G18181" s="8"/>
      <c r="J18181" s="8"/>
    </row>
    <row r="18182">
      <c r="C18182" s="15"/>
      <c r="E18182" s="8"/>
      <c r="G18182" s="8"/>
      <c r="J18182" s="8"/>
    </row>
    <row r="18183">
      <c r="C18183" s="15"/>
      <c r="E18183" s="8"/>
      <c r="G18183" s="8"/>
      <c r="J18183" s="8"/>
    </row>
    <row r="18184">
      <c r="C18184" s="15"/>
      <c r="E18184" s="8"/>
      <c r="G18184" s="8"/>
      <c r="J18184" s="8"/>
    </row>
    <row r="18185">
      <c r="C18185" s="15"/>
      <c r="E18185" s="8"/>
      <c r="G18185" s="8"/>
      <c r="J18185" s="8"/>
    </row>
    <row r="18186">
      <c r="C18186" s="15"/>
      <c r="E18186" s="8"/>
      <c r="G18186" s="8"/>
      <c r="J18186" s="8"/>
    </row>
    <row r="18187">
      <c r="C18187" s="15"/>
      <c r="E18187" s="8"/>
      <c r="G18187" s="8"/>
      <c r="J18187" s="8"/>
    </row>
    <row r="18188">
      <c r="C18188" s="15"/>
      <c r="E18188" s="8"/>
      <c r="G18188" s="8"/>
      <c r="J18188" s="8"/>
    </row>
    <row r="18189">
      <c r="C18189" s="15"/>
      <c r="E18189" s="8"/>
      <c r="G18189" s="8"/>
      <c r="J18189" s="8"/>
    </row>
    <row r="18190">
      <c r="C18190" s="15"/>
      <c r="E18190" s="8"/>
      <c r="G18190" s="8"/>
      <c r="J18190" s="8"/>
    </row>
    <row r="18191">
      <c r="C18191" s="15"/>
      <c r="E18191" s="8"/>
      <c r="G18191" s="8"/>
      <c r="J18191" s="8"/>
    </row>
    <row r="18192">
      <c r="C18192" s="15"/>
      <c r="E18192" s="8"/>
      <c r="G18192" s="8"/>
      <c r="J18192" s="8"/>
    </row>
    <row r="18193">
      <c r="C18193" s="15"/>
      <c r="E18193" s="8"/>
      <c r="G18193" s="8"/>
      <c r="J18193" s="8"/>
    </row>
    <row r="18194">
      <c r="C18194" s="15"/>
      <c r="E18194" s="8"/>
      <c r="G18194" s="8"/>
      <c r="J18194" s="8"/>
    </row>
    <row r="18195">
      <c r="C18195" s="15"/>
      <c r="E18195" s="8"/>
      <c r="G18195" s="8"/>
      <c r="J18195" s="8"/>
    </row>
    <row r="18196">
      <c r="C18196" s="15"/>
      <c r="E18196" s="8"/>
      <c r="G18196" s="8"/>
      <c r="J18196" s="8"/>
    </row>
    <row r="18197">
      <c r="C18197" s="15"/>
      <c r="E18197" s="8"/>
      <c r="G18197" s="8"/>
      <c r="J18197" s="8"/>
    </row>
    <row r="18198">
      <c r="C18198" s="15"/>
      <c r="E18198" s="8"/>
      <c r="G18198" s="8"/>
      <c r="J18198" s="8"/>
    </row>
    <row r="18199">
      <c r="C18199" s="15"/>
      <c r="E18199" s="8"/>
      <c r="G18199" s="8"/>
      <c r="J18199" s="8"/>
    </row>
    <row r="18200">
      <c r="C18200" s="15"/>
      <c r="E18200" s="8"/>
      <c r="G18200" s="8"/>
      <c r="J18200" s="8"/>
    </row>
    <row r="18201">
      <c r="C18201" s="15"/>
      <c r="E18201" s="8"/>
      <c r="G18201" s="8"/>
      <c r="J18201" s="8"/>
    </row>
    <row r="18202">
      <c r="C18202" s="15"/>
      <c r="E18202" s="8"/>
      <c r="G18202" s="8"/>
      <c r="J18202" s="8"/>
    </row>
    <row r="18203">
      <c r="C18203" s="15"/>
      <c r="E18203" s="8"/>
      <c r="G18203" s="8"/>
      <c r="J18203" s="8"/>
    </row>
    <row r="18204">
      <c r="C18204" s="15"/>
      <c r="E18204" s="8"/>
      <c r="G18204" s="8"/>
      <c r="J18204" s="8"/>
    </row>
    <row r="18205">
      <c r="C18205" s="15"/>
      <c r="E18205" s="8"/>
      <c r="G18205" s="8"/>
      <c r="J18205" s="8"/>
    </row>
    <row r="18206">
      <c r="C18206" s="15"/>
      <c r="E18206" s="8"/>
      <c r="G18206" s="8"/>
      <c r="J18206" s="8"/>
    </row>
    <row r="18207">
      <c r="C18207" s="15"/>
      <c r="E18207" s="8"/>
      <c r="G18207" s="8"/>
      <c r="J18207" s="8"/>
    </row>
    <row r="18208">
      <c r="C18208" s="15"/>
      <c r="E18208" s="8"/>
      <c r="G18208" s="8"/>
      <c r="J18208" s="8"/>
    </row>
    <row r="18209">
      <c r="C18209" s="15"/>
      <c r="E18209" s="8"/>
      <c r="G18209" s="8"/>
      <c r="J18209" s="8"/>
    </row>
    <row r="18210">
      <c r="C18210" s="15"/>
      <c r="E18210" s="8"/>
      <c r="G18210" s="8"/>
      <c r="J18210" s="8"/>
    </row>
    <row r="18211">
      <c r="C18211" s="15"/>
      <c r="E18211" s="8"/>
      <c r="G18211" s="8"/>
      <c r="J18211" s="8"/>
    </row>
    <row r="18212">
      <c r="C18212" s="15"/>
      <c r="E18212" s="8"/>
      <c r="G18212" s="8"/>
      <c r="J18212" s="8"/>
    </row>
    <row r="18213">
      <c r="C18213" s="15"/>
      <c r="E18213" s="8"/>
      <c r="G18213" s="8"/>
      <c r="J18213" s="8"/>
    </row>
    <row r="18214">
      <c r="C18214" s="15"/>
      <c r="E18214" s="8"/>
      <c r="G18214" s="8"/>
      <c r="J18214" s="8"/>
    </row>
    <row r="18215">
      <c r="C18215" s="15"/>
      <c r="E18215" s="8"/>
      <c r="G18215" s="8"/>
      <c r="J18215" s="8"/>
    </row>
    <row r="18216">
      <c r="C18216" s="15"/>
      <c r="E18216" s="8"/>
      <c r="G18216" s="8"/>
      <c r="J18216" s="8"/>
    </row>
    <row r="18217">
      <c r="C18217" s="15"/>
      <c r="E18217" s="8"/>
      <c r="G18217" s="8"/>
      <c r="J18217" s="8"/>
    </row>
    <row r="18218">
      <c r="C18218" s="15"/>
      <c r="E18218" s="8"/>
      <c r="G18218" s="8"/>
      <c r="J18218" s="8"/>
    </row>
    <row r="18219">
      <c r="C18219" s="15"/>
      <c r="E18219" s="8"/>
      <c r="G18219" s="8"/>
      <c r="J18219" s="8"/>
    </row>
    <row r="18220">
      <c r="C18220" s="15"/>
      <c r="E18220" s="8"/>
      <c r="G18220" s="8"/>
      <c r="J18220" s="8"/>
    </row>
    <row r="18221">
      <c r="C18221" s="15"/>
      <c r="E18221" s="8"/>
      <c r="G18221" s="8"/>
      <c r="J18221" s="8"/>
    </row>
    <row r="18222">
      <c r="C18222" s="15"/>
      <c r="E18222" s="8"/>
      <c r="G18222" s="8"/>
      <c r="J18222" s="8"/>
    </row>
    <row r="18223">
      <c r="C18223" s="15"/>
      <c r="E18223" s="8"/>
      <c r="G18223" s="8"/>
      <c r="J18223" s="8"/>
    </row>
    <row r="18224">
      <c r="C18224" s="15"/>
      <c r="E18224" s="8"/>
      <c r="G18224" s="8"/>
      <c r="J18224" s="8"/>
    </row>
    <row r="18225">
      <c r="C18225" s="15"/>
      <c r="E18225" s="8"/>
      <c r="G18225" s="8"/>
      <c r="J18225" s="8"/>
    </row>
    <row r="18226">
      <c r="C18226" s="15"/>
      <c r="E18226" s="8"/>
      <c r="G18226" s="8"/>
      <c r="J18226" s="8"/>
    </row>
    <row r="18227">
      <c r="C18227" s="15"/>
      <c r="E18227" s="8"/>
      <c r="G18227" s="8"/>
      <c r="J18227" s="8"/>
    </row>
    <row r="18228">
      <c r="C18228" s="15"/>
      <c r="E18228" s="8"/>
      <c r="G18228" s="8"/>
      <c r="J18228" s="8"/>
    </row>
    <row r="18229">
      <c r="C18229" s="15"/>
      <c r="E18229" s="8"/>
      <c r="G18229" s="8"/>
      <c r="J18229" s="8"/>
    </row>
    <row r="18230">
      <c r="C18230" s="15"/>
      <c r="E18230" s="8"/>
      <c r="G18230" s="8"/>
      <c r="J18230" s="8"/>
    </row>
    <row r="18231">
      <c r="C18231" s="15"/>
      <c r="E18231" s="8"/>
      <c r="G18231" s="8"/>
      <c r="J18231" s="8"/>
    </row>
    <row r="18232">
      <c r="C18232" s="15"/>
      <c r="E18232" s="8"/>
      <c r="G18232" s="8"/>
      <c r="J18232" s="8"/>
    </row>
    <row r="18233">
      <c r="C18233" s="15"/>
      <c r="E18233" s="8"/>
      <c r="G18233" s="8"/>
      <c r="J18233" s="8"/>
    </row>
    <row r="18234">
      <c r="C18234" s="15"/>
      <c r="E18234" s="8"/>
      <c r="G18234" s="8"/>
      <c r="J18234" s="8"/>
    </row>
    <row r="18235">
      <c r="C18235" s="15"/>
      <c r="E18235" s="8"/>
      <c r="G18235" s="8"/>
      <c r="J18235" s="8"/>
    </row>
    <row r="18236">
      <c r="C18236" s="15"/>
      <c r="E18236" s="8"/>
      <c r="G18236" s="8"/>
      <c r="J18236" s="8"/>
    </row>
    <row r="18237">
      <c r="C18237" s="15"/>
      <c r="E18237" s="8"/>
      <c r="G18237" s="8"/>
      <c r="J18237" s="8"/>
    </row>
    <row r="18238">
      <c r="C18238" s="15"/>
      <c r="E18238" s="8"/>
      <c r="G18238" s="8"/>
      <c r="J18238" s="8"/>
    </row>
    <row r="18239">
      <c r="C18239" s="15"/>
      <c r="E18239" s="8"/>
      <c r="G18239" s="8"/>
      <c r="J18239" s="8"/>
    </row>
    <row r="18240">
      <c r="C18240" s="15"/>
      <c r="E18240" s="8"/>
      <c r="G18240" s="8"/>
      <c r="J18240" s="8"/>
    </row>
    <row r="18241">
      <c r="C18241" s="15"/>
      <c r="E18241" s="8"/>
      <c r="G18241" s="8"/>
      <c r="J18241" s="8"/>
    </row>
    <row r="18242">
      <c r="C18242" s="15"/>
      <c r="E18242" s="8"/>
      <c r="G18242" s="8"/>
      <c r="J18242" s="8"/>
    </row>
    <row r="18243">
      <c r="C18243" s="15"/>
      <c r="E18243" s="8"/>
      <c r="G18243" s="8"/>
      <c r="J18243" s="8"/>
    </row>
    <row r="18244">
      <c r="C18244" s="15"/>
      <c r="E18244" s="8"/>
      <c r="G18244" s="8"/>
      <c r="J18244" s="8"/>
    </row>
    <row r="18245">
      <c r="C18245" s="15"/>
      <c r="E18245" s="8"/>
      <c r="G18245" s="8"/>
      <c r="J18245" s="8"/>
    </row>
    <row r="18246">
      <c r="C18246" s="15"/>
      <c r="E18246" s="8"/>
      <c r="G18246" s="8"/>
      <c r="J18246" s="8"/>
    </row>
    <row r="18247">
      <c r="C18247" s="15"/>
      <c r="E18247" s="8"/>
      <c r="G18247" s="8"/>
      <c r="J18247" s="8"/>
    </row>
    <row r="18248">
      <c r="C18248" s="15"/>
      <c r="E18248" s="8"/>
      <c r="G18248" s="8"/>
      <c r="J18248" s="8"/>
    </row>
    <row r="18249">
      <c r="C18249" s="15"/>
      <c r="E18249" s="8"/>
      <c r="G18249" s="8"/>
      <c r="J18249" s="8"/>
    </row>
    <row r="18250">
      <c r="C18250" s="15"/>
      <c r="E18250" s="8"/>
      <c r="G18250" s="8"/>
      <c r="J18250" s="8"/>
    </row>
    <row r="18251">
      <c r="C18251" s="15"/>
      <c r="E18251" s="8"/>
      <c r="G18251" s="8"/>
      <c r="J18251" s="8"/>
    </row>
    <row r="18252">
      <c r="C18252" s="15"/>
      <c r="E18252" s="8"/>
      <c r="G18252" s="8"/>
      <c r="J18252" s="8"/>
    </row>
    <row r="18253">
      <c r="C18253" s="15"/>
      <c r="E18253" s="8"/>
      <c r="G18253" s="8"/>
      <c r="J18253" s="8"/>
    </row>
    <row r="18254">
      <c r="C18254" s="15"/>
      <c r="E18254" s="8"/>
      <c r="G18254" s="8"/>
      <c r="J18254" s="8"/>
    </row>
    <row r="18255">
      <c r="C18255" s="15"/>
      <c r="E18255" s="8"/>
      <c r="G18255" s="8"/>
      <c r="J18255" s="8"/>
    </row>
    <row r="18256">
      <c r="C18256" s="15"/>
      <c r="E18256" s="8"/>
      <c r="G18256" s="8"/>
      <c r="J18256" s="8"/>
    </row>
    <row r="18257">
      <c r="C18257" s="15"/>
      <c r="E18257" s="8"/>
      <c r="G18257" s="8"/>
      <c r="J18257" s="8"/>
    </row>
    <row r="18258">
      <c r="C18258" s="15"/>
      <c r="E18258" s="8"/>
      <c r="G18258" s="8"/>
      <c r="J18258" s="8"/>
    </row>
    <row r="18259">
      <c r="C18259" s="15"/>
      <c r="E18259" s="8"/>
      <c r="G18259" s="8"/>
      <c r="J18259" s="8"/>
    </row>
    <row r="18260">
      <c r="C18260" s="15"/>
      <c r="E18260" s="8"/>
      <c r="G18260" s="8"/>
      <c r="J18260" s="8"/>
    </row>
    <row r="18261">
      <c r="C18261" s="15"/>
      <c r="E18261" s="8"/>
      <c r="G18261" s="8"/>
      <c r="J18261" s="8"/>
    </row>
    <row r="18262">
      <c r="C18262" s="15"/>
      <c r="E18262" s="8"/>
      <c r="G18262" s="8"/>
      <c r="J18262" s="8"/>
    </row>
    <row r="18263">
      <c r="C18263" s="15"/>
      <c r="E18263" s="8"/>
      <c r="G18263" s="8"/>
      <c r="J18263" s="8"/>
    </row>
    <row r="18264">
      <c r="C18264" s="15"/>
      <c r="E18264" s="8"/>
      <c r="G18264" s="8"/>
      <c r="J18264" s="8"/>
    </row>
    <row r="18265">
      <c r="C18265" s="15"/>
      <c r="E18265" s="8"/>
      <c r="G18265" s="8"/>
      <c r="J18265" s="8"/>
    </row>
    <row r="18266">
      <c r="C18266" s="15"/>
      <c r="E18266" s="8"/>
      <c r="G18266" s="8"/>
      <c r="J18266" s="8"/>
    </row>
    <row r="18267">
      <c r="C18267" s="15"/>
      <c r="E18267" s="8"/>
      <c r="G18267" s="8"/>
      <c r="J18267" s="8"/>
    </row>
    <row r="18268">
      <c r="C18268" s="15"/>
      <c r="E18268" s="8"/>
      <c r="G18268" s="8"/>
      <c r="J18268" s="8"/>
    </row>
    <row r="18269">
      <c r="C18269" s="15"/>
      <c r="E18269" s="8"/>
      <c r="G18269" s="8"/>
      <c r="J18269" s="8"/>
    </row>
    <row r="18270">
      <c r="C18270" s="15"/>
      <c r="E18270" s="8"/>
      <c r="G18270" s="8"/>
      <c r="J18270" s="8"/>
    </row>
    <row r="18271">
      <c r="C18271" s="15"/>
      <c r="E18271" s="8"/>
      <c r="G18271" s="8"/>
      <c r="J18271" s="8"/>
    </row>
    <row r="18272">
      <c r="C18272" s="15"/>
      <c r="E18272" s="8"/>
      <c r="G18272" s="8"/>
      <c r="J18272" s="8"/>
    </row>
    <row r="18273">
      <c r="C18273" s="15"/>
      <c r="E18273" s="8"/>
      <c r="G18273" s="8"/>
      <c r="J18273" s="8"/>
    </row>
    <row r="18274">
      <c r="C18274" s="15"/>
      <c r="E18274" s="8"/>
      <c r="G18274" s="8"/>
      <c r="J18274" s="8"/>
    </row>
    <row r="18275">
      <c r="C18275" s="15"/>
      <c r="E18275" s="8"/>
      <c r="G18275" s="8"/>
      <c r="J18275" s="8"/>
    </row>
    <row r="18276">
      <c r="C18276" s="15"/>
      <c r="E18276" s="8"/>
      <c r="G18276" s="8"/>
      <c r="J18276" s="8"/>
    </row>
    <row r="18277">
      <c r="C18277" s="15"/>
      <c r="E18277" s="8"/>
      <c r="G18277" s="8"/>
      <c r="J18277" s="8"/>
    </row>
    <row r="18278">
      <c r="C18278" s="15"/>
      <c r="E18278" s="8"/>
      <c r="G18278" s="8"/>
      <c r="J18278" s="8"/>
    </row>
    <row r="18279">
      <c r="C18279" s="15"/>
      <c r="E18279" s="8"/>
      <c r="G18279" s="8"/>
      <c r="J18279" s="8"/>
    </row>
    <row r="18280">
      <c r="C18280" s="15"/>
      <c r="E18280" s="8"/>
      <c r="G18280" s="8"/>
      <c r="J18280" s="8"/>
    </row>
    <row r="18281">
      <c r="C18281" s="15"/>
      <c r="E18281" s="8"/>
      <c r="G18281" s="8"/>
      <c r="J18281" s="8"/>
    </row>
    <row r="18282">
      <c r="C18282" s="15"/>
      <c r="E18282" s="8"/>
      <c r="G18282" s="8"/>
      <c r="J18282" s="8"/>
    </row>
    <row r="18283">
      <c r="C18283" s="15"/>
      <c r="E18283" s="8"/>
      <c r="G18283" s="8"/>
      <c r="J18283" s="8"/>
    </row>
    <row r="18284">
      <c r="C18284" s="15"/>
      <c r="E18284" s="8"/>
      <c r="G18284" s="8"/>
      <c r="J18284" s="8"/>
    </row>
    <row r="18285">
      <c r="C18285" s="15"/>
      <c r="E18285" s="8"/>
      <c r="G18285" s="8"/>
      <c r="J18285" s="8"/>
    </row>
    <row r="18286">
      <c r="C18286" s="15"/>
      <c r="E18286" s="8"/>
      <c r="G18286" s="8"/>
      <c r="J18286" s="8"/>
    </row>
    <row r="18287">
      <c r="C18287" s="15"/>
      <c r="E18287" s="8"/>
      <c r="G18287" s="8"/>
      <c r="J18287" s="8"/>
    </row>
    <row r="18288">
      <c r="C18288" s="15"/>
      <c r="E18288" s="8"/>
      <c r="G18288" s="8"/>
      <c r="J18288" s="8"/>
    </row>
    <row r="18289">
      <c r="C18289" s="15"/>
      <c r="E18289" s="8"/>
      <c r="G18289" s="8"/>
      <c r="J18289" s="8"/>
    </row>
    <row r="18290">
      <c r="C18290" s="15"/>
      <c r="E18290" s="8"/>
      <c r="G18290" s="8"/>
      <c r="J18290" s="8"/>
    </row>
    <row r="18291">
      <c r="C18291" s="15"/>
      <c r="E18291" s="8"/>
      <c r="G18291" s="8"/>
      <c r="J18291" s="8"/>
    </row>
    <row r="18292">
      <c r="C18292" s="15"/>
      <c r="E18292" s="8"/>
      <c r="G18292" s="8"/>
      <c r="J18292" s="8"/>
    </row>
    <row r="18293">
      <c r="C18293" s="15"/>
      <c r="E18293" s="8"/>
      <c r="G18293" s="8"/>
      <c r="J18293" s="8"/>
    </row>
    <row r="18294">
      <c r="C18294" s="15"/>
      <c r="E18294" s="8"/>
      <c r="G18294" s="8"/>
      <c r="J18294" s="8"/>
    </row>
    <row r="18295">
      <c r="C18295" s="15"/>
      <c r="E18295" s="8"/>
      <c r="G18295" s="8"/>
      <c r="J18295" s="8"/>
    </row>
    <row r="18296">
      <c r="C18296" s="15"/>
      <c r="E18296" s="8"/>
      <c r="G18296" s="8"/>
      <c r="J18296" s="8"/>
    </row>
    <row r="18297">
      <c r="C18297" s="15"/>
      <c r="E18297" s="8"/>
      <c r="G18297" s="8"/>
      <c r="J18297" s="8"/>
    </row>
    <row r="18298">
      <c r="C18298" s="15"/>
      <c r="E18298" s="8"/>
      <c r="G18298" s="8"/>
      <c r="J18298" s="8"/>
    </row>
    <row r="18299">
      <c r="C18299" s="15"/>
      <c r="E18299" s="8"/>
      <c r="G18299" s="8"/>
      <c r="J18299" s="8"/>
    </row>
    <row r="18300">
      <c r="C18300" s="15"/>
      <c r="E18300" s="8"/>
      <c r="G18300" s="8"/>
      <c r="J18300" s="8"/>
    </row>
    <row r="18301">
      <c r="C18301" s="15"/>
      <c r="E18301" s="8"/>
      <c r="G18301" s="8"/>
      <c r="J18301" s="8"/>
    </row>
    <row r="18302">
      <c r="C18302" s="15"/>
      <c r="E18302" s="8"/>
      <c r="G18302" s="8"/>
      <c r="J18302" s="8"/>
    </row>
    <row r="18303">
      <c r="C18303" s="15"/>
      <c r="E18303" s="8"/>
      <c r="G18303" s="8"/>
      <c r="J18303" s="8"/>
    </row>
    <row r="18304">
      <c r="C18304" s="15"/>
      <c r="E18304" s="8"/>
      <c r="G18304" s="8"/>
      <c r="J18304" s="8"/>
    </row>
    <row r="18305">
      <c r="C18305" s="15"/>
      <c r="E18305" s="8"/>
      <c r="G18305" s="8"/>
      <c r="J18305" s="8"/>
    </row>
    <row r="18306">
      <c r="C18306" s="15"/>
      <c r="E18306" s="8"/>
      <c r="G18306" s="8"/>
      <c r="J18306" s="8"/>
    </row>
    <row r="18307">
      <c r="C18307" s="15"/>
      <c r="E18307" s="8"/>
      <c r="G18307" s="8"/>
      <c r="J18307" s="8"/>
    </row>
    <row r="18308">
      <c r="C18308" s="15"/>
      <c r="E18308" s="8"/>
      <c r="G18308" s="8"/>
      <c r="J18308" s="8"/>
    </row>
    <row r="18309">
      <c r="C18309" s="15"/>
      <c r="E18309" s="8"/>
      <c r="G18309" s="8"/>
      <c r="J18309" s="8"/>
    </row>
    <row r="18310">
      <c r="C18310" s="15"/>
      <c r="E18310" s="8"/>
      <c r="G18310" s="8"/>
      <c r="J18310" s="8"/>
    </row>
    <row r="18311">
      <c r="C18311" s="15"/>
      <c r="E18311" s="8"/>
      <c r="G18311" s="8"/>
      <c r="J18311" s="8"/>
    </row>
    <row r="18312">
      <c r="C18312" s="15"/>
      <c r="E18312" s="8"/>
      <c r="G18312" s="8"/>
      <c r="J18312" s="8"/>
    </row>
    <row r="18313">
      <c r="C18313" s="15"/>
      <c r="E18313" s="8"/>
      <c r="G18313" s="8"/>
      <c r="J18313" s="8"/>
    </row>
    <row r="18314">
      <c r="C18314" s="15"/>
      <c r="E18314" s="8"/>
      <c r="G18314" s="8"/>
      <c r="J18314" s="8"/>
    </row>
    <row r="18315">
      <c r="C18315" s="15"/>
      <c r="E18315" s="8"/>
      <c r="G18315" s="8"/>
      <c r="J18315" s="8"/>
    </row>
    <row r="18316">
      <c r="C18316" s="15"/>
      <c r="E18316" s="8"/>
      <c r="G18316" s="8"/>
      <c r="J18316" s="8"/>
    </row>
    <row r="18317">
      <c r="C18317" s="15"/>
      <c r="E18317" s="8"/>
      <c r="G18317" s="8"/>
      <c r="J18317" s="8"/>
    </row>
    <row r="18318">
      <c r="C18318" s="15"/>
      <c r="E18318" s="8"/>
      <c r="G18318" s="8"/>
      <c r="J18318" s="8"/>
    </row>
    <row r="18319">
      <c r="C18319" s="15"/>
      <c r="E18319" s="8"/>
      <c r="G18319" s="8"/>
      <c r="J18319" s="8"/>
    </row>
    <row r="18320">
      <c r="C18320" s="15"/>
      <c r="E18320" s="8"/>
      <c r="G18320" s="8"/>
      <c r="J18320" s="8"/>
    </row>
    <row r="18321">
      <c r="C18321" s="15"/>
      <c r="E18321" s="8"/>
      <c r="G18321" s="8"/>
      <c r="J18321" s="8"/>
    </row>
    <row r="18322">
      <c r="C18322" s="15"/>
      <c r="E18322" s="8"/>
      <c r="G18322" s="8"/>
      <c r="J18322" s="8"/>
    </row>
    <row r="18323">
      <c r="C18323" s="15"/>
      <c r="E18323" s="8"/>
      <c r="G18323" s="8"/>
      <c r="J18323" s="8"/>
    </row>
    <row r="18324">
      <c r="C18324" s="15"/>
      <c r="E18324" s="8"/>
      <c r="G18324" s="8"/>
      <c r="J18324" s="8"/>
    </row>
    <row r="18325">
      <c r="C18325" s="15"/>
      <c r="E18325" s="8"/>
      <c r="G18325" s="8"/>
      <c r="J18325" s="8"/>
    </row>
    <row r="18326">
      <c r="C18326" s="15"/>
      <c r="E18326" s="8"/>
      <c r="G18326" s="8"/>
      <c r="J18326" s="8"/>
    </row>
    <row r="18327">
      <c r="C18327" s="15"/>
      <c r="E18327" s="8"/>
      <c r="G18327" s="8"/>
      <c r="J18327" s="8"/>
    </row>
    <row r="18328">
      <c r="C18328" s="15"/>
      <c r="E18328" s="8"/>
      <c r="G18328" s="8"/>
      <c r="J18328" s="8"/>
    </row>
    <row r="18329">
      <c r="C18329" s="15"/>
      <c r="E18329" s="8"/>
      <c r="G18329" s="8"/>
      <c r="J18329" s="8"/>
    </row>
    <row r="18330">
      <c r="C18330" s="15"/>
      <c r="E18330" s="8"/>
      <c r="G18330" s="8"/>
      <c r="J18330" s="8"/>
    </row>
    <row r="18331">
      <c r="C18331" s="15"/>
      <c r="E18331" s="8"/>
      <c r="G18331" s="8"/>
      <c r="J18331" s="8"/>
    </row>
    <row r="18332">
      <c r="C18332" s="15"/>
      <c r="E18332" s="8"/>
      <c r="G18332" s="8"/>
      <c r="J18332" s="8"/>
    </row>
    <row r="18333">
      <c r="C18333" s="15"/>
      <c r="E18333" s="8"/>
      <c r="G18333" s="8"/>
      <c r="J18333" s="8"/>
    </row>
    <row r="18334">
      <c r="C18334" s="15"/>
      <c r="E18334" s="8"/>
      <c r="G18334" s="8"/>
      <c r="J18334" s="8"/>
    </row>
    <row r="18335">
      <c r="C18335" s="15"/>
      <c r="E18335" s="8"/>
      <c r="G18335" s="8"/>
      <c r="J18335" s="8"/>
    </row>
    <row r="18336">
      <c r="C18336" s="15"/>
      <c r="E18336" s="8"/>
      <c r="G18336" s="8"/>
      <c r="J18336" s="8"/>
    </row>
    <row r="18337">
      <c r="C18337" s="15"/>
      <c r="E18337" s="8"/>
      <c r="G18337" s="8"/>
      <c r="J18337" s="8"/>
    </row>
    <row r="18338">
      <c r="C18338" s="15"/>
      <c r="E18338" s="8"/>
      <c r="G18338" s="8"/>
      <c r="J18338" s="8"/>
    </row>
    <row r="18339">
      <c r="C18339" s="15"/>
      <c r="E18339" s="8"/>
      <c r="G18339" s="8"/>
      <c r="J18339" s="8"/>
    </row>
    <row r="18340">
      <c r="C18340" s="15"/>
      <c r="E18340" s="8"/>
      <c r="G18340" s="8"/>
      <c r="J18340" s="8"/>
    </row>
    <row r="18341">
      <c r="C18341" s="15"/>
      <c r="E18341" s="8"/>
      <c r="G18341" s="8"/>
      <c r="J18341" s="8"/>
    </row>
    <row r="18342">
      <c r="C18342" s="15"/>
      <c r="E18342" s="8"/>
      <c r="G18342" s="8"/>
      <c r="J18342" s="8"/>
    </row>
    <row r="18343">
      <c r="C18343" s="15"/>
      <c r="E18343" s="8"/>
      <c r="G18343" s="8"/>
      <c r="J18343" s="8"/>
    </row>
    <row r="18344">
      <c r="C18344" s="15"/>
      <c r="E18344" s="8"/>
      <c r="G18344" s="8"/>
      <c r="J18344" s="8"/>
    </row>
    <row r="18345">
      <c r="C18345" s="15"/>
      <c r="E18345" s="8"/>
      <c r="G18345" s="8"/>
      <c r="J18345" s="8"/>
    </row>
    <row r="18346">
      <c r="C18346" s="15"/>
      <c r="E18346" s="8"/>
      <c r="G18346" s="8"/>
      <c r="J18346" s="8"/>
    </row>
    <row r="18347">
      <c r="C18347" s="15"/>
      <c r="E18347" s="8"/>
      <c r="G18347" s="8"/>
      <c r="J18347" s="8"/>
    </row>
    <row r="18348">
      <c r="C18348" s="15"/>
      <c r="E18348" s="8"/>
      <c r="G18348" s="8"/>
      <c r="J18348" s="8"/>
    </row>
    <row r="18349">
      <c r="C18349" s="15"/>
      <c r="E18349" s="8"/>
      <c r="G18349" s="8"/>
      <c r="J18349" s="8"/>
    </row>
    <row r="18350">
      <c r="C18350" s="15"/>
      <c r="E18350" s="8"/>
      <c r="G18350" s="8"/>
      <c r="J18350" s="8"/>
    </row>
    <row r="18351">
      <c r="C18351" s="15"/>
      <c r="E18351" s="8"/>
      <c r="G18351" s="8"/>
      <c r="J18351" s="8"/>
    </row>
    <row r="18352">
      <c r="C18352" s="15"/>
      <c r="E18352" s="8"/>
      <c r="G18352" s="8"/>
      <c r="J18352" s="8"/>
    </row>
    <row r="18353">
      <c r="C18353" s="15"/>
      <c r="E18353" s="8"/>
      <c r="G18353" s="8"/>
      <c r="J18353" s="8"/>
    </row>
    <row r="18354">
      <c r="C18354" s="15"/>
      <c r="E18354" s="8"/>
      <c r="G18354" s="8"/>
      <c r="J18354" s="8"/>
    </row>
    <row r="18355">
      <c r="C18355" s="15"/>
      <c r="E18355" s="8"/>
      <c r="G18355" s="8"/>
      <c r="J18355" s="8"/>
    </row>
    <row r="18356">
      <c r="C18356" s="15"/>
      <c r="E18356" s="8"/>
      <c r="G18356" s="8"/>
      <c r="J18356" s="8"/>
    </row>
    <row r="18357">
      <c r="C18357" s="15"/>
      <c r="E18357" s="8"/>
      <c r="G18357" s="8"/>
      <c r="J18357" s="8"/>
    </row>
    <row r="18358">
      <c r="C18358" s="15"/>
      <c r="E18358" s="8"/>
      <c r="G18358" s="8"/>
      <c r="J18358" s="8"/>
    </row>
    <row r="18359">
      <c r="C18359" s="15"/>
      <c r="E18359" s="8"/>
      <c r="G18359" s="8"/>
      <c r="J18359" s="8"/>
    </row>
    <row r="18360">
      <c r="C18360" s="15"/>
      <c r="E18360" s="8"/>
      <c r="G18360" s="8"/>
      <c r="J18360" s="8"/>
    </row>
    <row r="18361">
      <c r="C18361" s="15"/>
      <c r="E18361" s="8"/>
      <c r="G18361" s="8"/>
      <c r="J18361" s="8"/>
    </row>
    <row r="18362">
      <c r="C18362" s="15"/>
      <c r="E18362" s="8"/>
      <c r="G18362" s="8"/>
      <c r="J18362" s="8"/>
    </row>
    <row r="18363">
      <c r="C18363" s="15"/>
      <c r="E18363" s="8"/>
      <c r="G18363" s="8"/>
      <c r="J18363" s="8"/>
    </row>
    <row r="18364">
      <c r="C18364" s="15"/>
      <c r="E18364" s="8"/>
      <c r="G18364" s="8"/>
      <c r="J18364" s="8"/>
    </row>
    <row r="18365">
      <c r="C18365" s="15"/>
      <c r="E18365" s="8"/>
      <c r="G18365" s="8"/>
      <c r="J18365" s="8"/>
    </row>
    <row r="18366">
      <c r="C18366" s="15"/>
      <c r="E18366" s="8"/>
      <c r="G18366" s="8"/>
      <c r="J18366" s="8"/>
    </row>
    <row r="18367">
      <c r="C18367" s="15"/>
      <c r="E18367" s="8"/>
      <c r="G18367" s="8"/>
      <c r="J18367" s="8"/>
    </row>
    <row r="18368">
      <c r="C18368" s="15"/>
      <c r="E18368" s="8"/>
      <c r="G18368" s="8"/>
      <c r="J18368" s="8"/>
    </row>
    <row r="18369">
      <c r="C18369" s="15"/>
      <c r="E18369" s="8"/>
      <c r="G18369" s="8"/>
      <c r="J18369" s="8"/>
    </row>
    <row r="18370">
      <c r="C18370" s="15"/>
      <c r="E18370" s="8"/>
      <c r="G18370" s="8"/>
      <c r="J18370" s="8"/>
    </row>
    <row r="18371">
      <c r="C18371" s="15"/>
      <c r="E18371" s="8"/>
      <c r="G18371" s="8"/>
      <c r="J18371" s="8"/>
    </row>
    <row r="18372">
      <c r="C18372" s="15"/>
      <c r="E18372" s="8"/>
      <c r="G18372" s="8"/>
      <c r="J18372" s="8"/>
    </row>
    <row r="18373">
      <c r="C18373" s="15"/>
      <c r="E18373" s="8"/>
      <c r="G18373" s="8"/>
      <c r="J18373" s="8"/>
    </row>
    <row r="18374">
      <c r="C18374" s="15"/>
      <c r="E18374" s="8"/>
      <c r="G18374" s="8"/>
      <c r="J18374" s="8"/>
    </row>
    <row r="18375">
      <c r="C18375" s="15"/>
      <c r="E18375" s="8"/>
      <c r="G18375" s="8"/>
      <c r="J18375" s="8"/>
    </row>
    <row r="18376">
      <c r="C18376" s="15"/>
      <c r="E18376" s="8"/>
      <c r="G18376" s="8"/>
      <c r="J18376" s="8"/>
    </row>
    <row r="18377">
      <c r="C18377" s="15"/>
      <c r="E18377" s="8"/>
      <c r="G18377" s="8"/>
      <c r="J18377" s="8"/>
    </row>
    <row r="18378">
      <c r="C18378" s="15"/>
      <c r="E18378" s="8"/>
      <c r="G18378" s="8"/>
      <c r="J18378" s="8"/>
    </row>
    <row r="18379">
      <c r="C18379" s="15"/>
      <c r="E18379" s="8"/>
      <c r="G18379" s="8"/>
      <c r="J18379" s="8"/>
    </row>
    <row r="18380">
      <c r="C18380" s="15"/>
      <c r="E18380" s="8"/>
      <c r="G18380" s="8"/>
      <c r="J18380" s="8"/>
    </row>
    <row r="18381">
      <c r="C18381" s="15"/>
      <c r="E18381" s="8"/>
      <c r="G18381" s="8"/>
      <c r="J18381" s="8"/>
    </row>
    <row r="18382">
      <c r="C18382" s="15"/>
      <c r="E18382" s="8"/>
      <c r="G18382" s="8"/>
      <c r="J18382" s="8"/>
    </row>
    <row r="18383">
      <c r="C18383" s="15"/>
      <c r="E18383" s="8"/>
      <c r="G18383" s="8"/>
      <c r="J18383" s="8"/>
    </row>
    <row r="18384">
      <c r="C18384" s="15"/>
      <c r="E18384" s="8"/>
      <c r="G18384" s="8"/>
      <c r="J18384" s="8"/>
    </row>
    <row r="18385">
      <c r="C18385" s="15"/>
      <c r="E18385" s="8"/>
      <c r="G18385" s="8"/>
      <c r="J18385" s="8"/>
    </row>
    <row r="18386">
      <c r="C18386" s="15"/>
      <c r="E18386" s="8"/>
      <c r="G18386" s="8"/>
      <c r="J18386" s="8"/>
    </row>
    <row r="18387">
      <c r="C18387" s="15"/>
      <c r="E18387" s="8"/>
      <c r="G18387" s="8"/>
      <c r="J18387" s="8"/>
    </row>
    <row r="18388">
      <c r="C18388" s="15"/>
      <c r="E18388" s="8"/>
      <c r="G18388" s="8"/>
      <c r="J18388" s="8"/>
    </row>
    <row r="18389">
      <c r="C18389" s="15"/>
      <c r="E18389" s="8"/>
      <c r="G18389" s="8"/>
      <c r="J18389" s="8"/>
    </row>
    <row r="18390">
      <c r="C18390" s="15"/>
      <c r="E18390" s="8"/>
      <c r="G18390" s="8"/>
      <c r="J18390" s="8"/>
    </row>
    <row r="18391">
      <c r="C18391" s="15"/>
      <c r="E18391" s="8"/>
      <c r="G18391" s="8"/>
      <c r="J18391" s="8"/>
    </row>
    <row r="18392">
      <c r="C18392" s="15"/>
      <c r="E18392" s="8"/>
      <c r="G18392" s="8"/>
      <c r="J18392" s="8"/>
    </row>
    <row r="18393">
      <c r="C18393" s="15"/>
      <c r="E18393" s="8"/>
      <c r="G18393" s="8"/>
      <c r="J18393" s="8"/>
    </row>
    <row r="18394">
      <c r="C18394" s="15"/>
      <c r="E18394" s="8"/>
      <c r="G18394" s="8"/>
      <c r="J18394" s="8"/>
    </row>
    <row r="18395">
      <c r="C18395" s="15"/>
      <c r="E18395" s="8"/>
      <c r="G18395" s="8"/>
      <c r="J18395" s="8"/>
    </row>
    <row r="18396">
      <c r="C18396" s="15"/>
      <c r="E18396" s="8"/>
      <c r="G18396" s="8"/>
      <c r="J18396" s="8"/>
    </row>
    <row r="18397">
      <c r="C18397" s="15"/>
      <c r="E18397" s="8"/>
      <c r="G18397" s="8"/>
      <c r="J18397" s="8"/>
    </row>
    <row r="18398">
      <c r="C18398" s="15"/>
      <c r="E18398" s="8"/>
      <c r="G18398" s="8"/>
      <c r="J18398" s="8"/>
    </row>
    <row r="18399">
      <c r="C18399" s="15"/>
      <c r="E18399" s="8"/>
      <c r="G18399" s="8"/>
      <c r="J18399" s="8"/>
    </row>
    <row r="18400">
      <c r="C18400" s="15"/>
      <c r="E18400" s="8"/>
      <c r="G18400" s="8"/>
      <c r="J18400" s="8"/>
    </row>
    <row r="18401">
      <c r="C18401" s="15"/>
      <c r="E18401" s="8"/>
      <c r="G18401" s="8"/>
      <c r="J18401" s="8"/>
    </row>
    <row r="18402">
      <c r="C18402" s="15"/>
      <c r="E18402" s="8"/>
      <c r="G18402" s="8"/>
      <c r="J18402" s="8"/>
    </row>
    <row r="18403">
      <c r="C18403" s="15"/>
      <c r="E18403" s="8"/>
      <c r="G18403" s="8"/>
      <c r="J18403" s="8"/>
    </row>
    <row r="18404">
      <c r="C18404" s="15"/>
      <c r="E18404" s="8"/>
      <c r="G18404" s="8"/>
      <c r="J18404" s="8"/>
    </row>
    <row r="18405">
      <c r="C18405" s="15"/>
      <c r="E18405" s="8"/>
      <c r="G18405" s="8"/>
      <c r="J18405" s="8"/>
    </row>
    <row r="18406">
      <c r="C18406" s="15"/>
      <c r="E18406" s="8"/>
      <c r="G18406" s="8"/>
      <c r="J18406" s="8"/>
    </row>
    <row r="18407">
      <c r="C18407" s="15"/>
      <c r="E18407" s="8"/>
      <c r="G18407" s="8"/>
      <c r="J18407" s="8"/>
    </row>
    <row r="18408">
      <c r="C18408" s="15"/>
      <c r="E18408" s="8"/>
      <c r="G18408" s="8"/>
      <c r="J18408" s="8"/>
    </row>
    <row r="18409">
      <c r="C18409" s="15"/>
      <c r="E18409" s="8"/>
      <c r="G18409" s="8"/>
      <c r="J18409" s="8"/>
    </row>
    <row r="18410">
      <c r="C18410" s="15"/>
      <c r="E18410" s="8"/>
      <c r="G18410" s="8"/>
      <c r="J18410" s="8"/>
    </row>
    <row r="18411">
      <c r="C18411" s="15"/>
      <c r="E18411" s="8"/>
      <c r="G18411" s="8"/>
      <c r="J18411" s="8"/>
    </row>
    <row r="18412">
      <c r="C18412" s="15"/>
      <c r="E18412" s="8"/>
      <c r="G18412" s="8"/>
      <c r="J18412" s="8"/>
    </row>
    <row r="18413">
      <c r="C18413" s="15"/>
      <c r="E18413" s="8"/>
      <c r="G18413" s="8"/>
      <c r="J18413" s="8"/>
    </row>
    <row r="18414">
      <c r="C18414" s="15"/>
      <c r="E18414" s="8"/>
      <c r="G18414" s="8"/>
      <c r="J18414" s="8"/>
    </row>
    <row r="18415">
      <c r="C18415" s="15"/>
      <c r="E18415" s="8"/>
      <c r="G18415" s="8"/>
      <c r="J18415" s="8"/>
    </row>
    <row r="18416">
      <c r="C18416" s="15"/>
      <c r="E18416" s="8"/>
      <c r="G18416" s="8"/>
      <c r="J18416" s="8"/>
    </row>
    <row r="18417">
      <c r="C18417" s="15"/>
      <c r="E18417" s="8"/>
      <c r="G18417" s="8"/>
      <c r="J18417" s="8"/>
    </row>
    <row r="18418">
      <c r="C18418" s="15"/>
      <c r="E18418" s="8"/>
      <c r="G18418" s="8"/>
      <c r="J18418" s="8"/>
    </row>
    <row r="18419">
      <c r="C18419" s="15"/>
      <c r="E18419" s="8"/>
      <c r="G18419" s="8"/>
      <c r="J18419" s="8"/>
    </row>
    <row r="18420">
      <c r="C18420" s="15"/>
      <c r="E18420" s="8"/>
      <c r="G18420" s="8"/>
      <c r="J18420" s="8"/>
    </row>
    <row r="18421">
      <c r="C18421" s="15"/>
      <c r="E18421" s="8"/>
      <c r="G18421" s="8"/>
      <c r="J18421" s="8"/>
    </row>
    <row r="18422">
      <c r="C18422" s="15"/>
      <c r="E18422" s="8"/>
      <c r="G18422" s="8"/>
      <c r="J18422" s="8"/>
    </row>
    <row r="18423">
      <c r="C18423" s="15"/>
      <c r="E18423" s="8"/>
      <c r="G18423" s="8"/>
      <c r="J18423" s="8"/>
    </row>
    <row r="18424">
      <c r="C18424" s="15"/>
      <c r="E18424" s="8"/>
      <c r="G18424" s="8"/>
      <c r="J18424" s="8"/>
    </row>
    <row r="18425">
      <c r="C18425" s="15"/>
      <c r="E18425" s="8"/>
      <c r="G18425" s="8"/>
      <c r="J18425" s="8"/>
    </row>
    <row r="18426">
      <c r="C18426" s="15"/>
      <c r="E18426" s="8"/>
      <c r="G18426" s="8"/>
      <c r="J18426" s="8"/>
    </row>
    <row r="18427">
      <c r="C18427" s="15"/>
      <c r="E18427" s="8"/>
      <c r="G18427" s="8"/>
      <c r="J18427" s="8"/>
    </row>
    <row r="18428">
      <c r="C18428" s="15"/>
      <c r="E18428" s="8"/>
      <c r="G18428" s="8"/>
      <c r="J18428" s="8"/>
    </row>
    <row r="18429">
      <c r="C18429" s="15"/>
      <c r="E18429" s="8"/>
      <c r="G18429" s="8"/>
      <c r="J18429" s="8"/>
    </row>
    <row r="18430">
      <c r="C18430" s="15"/>
      <c r="E18430" s="8"/>
      <c r="G18430" s="8"/>
      <c r="J18430" s="8"/>
    </row>
    <row r="18431">
      <c r="C18431" s="15"/>
      <c r="E18431" s="8"/>
      <c r="G18431" s="8"/>
      <c r="J18431" s="8"/>
    </row>
    <row r="18432">
      <c r="C18432" s="15"/>
      <c r="E18432" s="8"/>
      <c r="G18432" s="8"/>
      <c r="J18432" s="8"/>
    </row>
    <row r="18433">
      <c r="C18433" s="15"/>
      <c r="E18433" s="8"/>
      <c r="G18433" s="8"/>
      <c r="J18433" s="8"/>
    </row>
    <row r="18434">
      <c r="C18434" s="15"/>
      <c r="E18434" s="8"/>
      <c r="G18434" s="8"/>
      <c r="J18434" s="8"/>
    </row>
    <row r="18435">
      <c r="C18435" s="15"/>
      <c r="E18435" s="8"/>
      <c r="G18435" s="8"/>
      <c r="J18435" s="8"/>
    </row>
    <row r="18436">
      <c r="C18436" s="15"/>
      <c r="E18436" s="8"/>
      <c r="G18436" s="8"/>
      <c r="J18436" s="8"/>
    </row>
    <row r="18437">
      <c r="C18437" s="15"/>
      <c r="E18437" s="8"/>
      <c r="G18437" s="8"/>
      <c r="J18437" s="8"/>
    </row>
    <row r="18438">
      <c r="C18438" s="15"/>
      <c r="E18438" s="8"/>
      <c r="G18438" s="8"/>
      <c r="J18438" s="8"/>
    </row>
    <row r="18439">
      <c r="C18439" s="15"/>
      <c r="E18439" s="8"/>
      <c r="G18439" s="8"/>
      <c r="J18439" s="8"/>
    </row>
    <row r="18440">
      <c r="C18440" s="15"/>
      <c r="E18440" s="8"/>
      <c r="G18440" s="8"/>
      <c r="J18440" s="8"/>
    </row>
    <row r="18441">
      <c r="C18441" s="15"/>
      <c r="E18441" s="8"/>
      <c r="G18441" s="8"/>
      <c r="J18441" s="8"/>
    </row>
    <row r="18442">
      <c r="C18442" s="15"/>
      <c r="E18442" s="8"/>
      <c r="G18442" s="8"/>
      <c r="J18442" s="8"/>
    </row>
    <row r="18443">
      <c r="C18443" s="15"/>
      <c r="E18443" s="8"/>
      <c r="G18443" s="8"/>
      <c r="J18443" s="8"/>
    </row>
    <row r="18444">
      <c r="C18444" s="15"/>
      <c r="E18444" s="8"/>
      <c r="G18444" s="8"/>
      <c r="J18444" s="8"/>
    </row>
    <row r="18445">
      <c r="C18445" s="15"/>
      <c r="E18445" s="8"/>
      <c r="G18445" s="8"/>
      <c r="J18445" s="8"/>
    </row>
    <row r="18446">
      <c r="C18446" s="15"/>
      <c r="E18446" s="8"/>
      <c r="G18446" s="8"/>
      <c r="J18446" s="8"/>
    </row>
    <row r="18447">
      <c r="C18447" s="15"/>
      <c r="E18447" s="8"/>
      <c r="G18447" s="8"/>
      <c r="J18447" s="8"/>
    </row>
    <row r="18448">
      <c r="C18448" s="15"/>
      <c r="E18448" s="8"/>
      <c r="G18448" s="8"/>
      <c r="J18448" s="8"/>
    </row>
    <row r="18449">
      <c r="C18449" s="15"/>
      <c r="E18449" s="8"/>
      <c r="G18449" s="8"/>
      <c r="J18449" s="8"/>
    </row>
    <row r="18450">
      <c r="C18450" s="15"/>
      <c r="E18450" s="8"/>
      <c r="G18450" s="8"/>
      <c r="J18450" s="8"/>
    </row>
    <row r="18451">
      <c r="C18451" s="15"/>
      <c r="E18451" s="8"/>
      <c r="G18451" s="8"/>
      <c r="J18451" s="8"/>
    </row>
    <row r="18452">
      <c r="C18452" s="15"/>
      <c r="E18452" s="8"/>
      <c r="G18452" s="8"/>
      <c r="J18452" s="8"/>
    </row>
    <row r="18453">
      <c r="C18453" s="15"/>
      <c r="E18453" s="8"/>
      <c r="G18453" s="8"/>
      <c r="J18453" s="8"/>
    </row>
    <row r="18454">
      <c r="C18454" s="15"/>
      <c r="E18454" s="8"/>
      <c r="G18454" s="8"/>
      <c r="J18454" s="8"/>
    </row>
    <row r="18455">
      <c r="C18455" s="15"/>
      <c r="E18455" s="8"/>
      <c r="G18455" s="8"/>
      <c r="J18455" s="8"/>
    </row>
    <row r="18456">
      <c r="C18456" s="15"/>
      <c r="E18456" s="8"/>
      <c r="G18456" s="8"/>
      <c r="J18456" s="8"/>
    </row>
    <row r="18457">
      <c r="C18457" s="15"/>
      <c r="E18457" s="8"/>
      <c r="G18457" s="8"/>
      <c r="J18457" s="8"/>
    </row>
    <row r="18458">
      <c r="C18458" s="15"/>
      <c r="E18458" s="8"/>
      <c r="G18458" s="8"/>
      <c r="J18458" s="8"/>
    </row>
    <row r="18459">
      <c r="C18459" s="15"/>
      <c r="E18459" s="8"/>
      <c r="G18459" s="8"/>
      <c r="J18459" s="8"/>
    </row>
    <row r="18460">
      <c r="C18460" s="15"/>
      <c r="E18460" s="8"/>
      <c r="G18460" s="8"/>
      <c r="J18460" s="8"/>
    </row>
    <row r="18461">
      <c r="C18461" s="15"/>
      <c r="E18461" s="8"/>
      <c r="G18461" s="8"/>
      <c r="J18461" s="8"/>
    </row>
    <row r="18462">
      <c r="C18462" s="15"/>
      <c r="E18462" s="8"/>
      <c r="G18462" s="8"/>
      <c r="J18462" s="8"/>
    </row>
    <row r="18463">
      <c r="C18463" s="15"/>
      <c r="E18463" s="8"/>
      <c r="G18463" s="8"/>
      <c r="J18463" s="8"/>
    </row>
    <row r="18464">
      <c r="C18464" s="15"/>
      <c r="E18464" s="8"/>
      <c r="G18464" s="8"/>
      <c r="J18464" s="8"/>
    </row>
    <row r="18465">
      <c r="C18465" s="15"/>
      <c r="E18465" s="8"/>
      <c r="G18465" s="8"/>
      <c r="J18465" s="8"/>
    </row>
    <row r="18466">
      <c r="C18466" s="15"/>
      <c r="E18466" s="8"/>
      <c r="G18466" s="8"/>
      <c r="J18466" s="8"/>
    </row>
    <row r="18467">
      <c r="C18467" s="15"/>
      <c r="E18467" s="8"/>
      <c r="G18467" s="8"/>
      <c r="J18467" s="8"/>
    </row>
    <row r="18468">
      <c r="C18468" s="15"/>
      <c r="E18468" s="8"/>
      <c r="G18468" s="8"/>
      <c r="J18468" s="8"/>
    </row>
    <row r="18469">
      <c r="C18469" s="15"/>
      <c r="E18469" s="8"/>
      <c r="G18469" s="8"/>
      <c r="J18469" s="8"/>
    </row>
    <row r="18470">
      <c r="C18470" s="15"/>
      <c r="E18470" s="8"/>
      <c r="G18470" s="8"/>
      <c r="J18470" s="8"/>
    </row>
    <row r="18471">
      <c r="C18471" s="15"/>
      <c r="E18471" s="8"/>
      <c r="G18471" s="8"/>
      <c r="J18471" s="8"/>
    </row>
    <row r="18472">
      <c r="C18472" s="15"/>
      <c r="E18472" s="8"/>
      <c r="G18472" s="8"/>
      <c r="J18472" s="8"/>
    </row>
    <row r="18473">
      <c r="C18473" s="15"/>
      <c r="E18473" s="8"/>
      <c r="G18473" s="8"/>
      <c r="J18473" s="8"/>
    </row>
    <row r="18474">
      <c r="C18474" s="15"/>
      <c r="E18474" s="8"/>
      <c r="G18474" s="8"/>
      <c r="J18474" s="8"/>
    </row>
    <row r="18475">
      <c r="C18475" s="15"/>
      <c r="E18475" s="8"/>
      <c r="G18475" s="8"/>
      <c r="J18475" s="8"/>
    </row>
    <row r="18476">
      <c r="C18476" s="15"/>
      <c r="E18476" s="8"/>
      <c r="G18476" s="8"/>
      <c r="J18476" s="8"/>
    </row>
    <row r="18477">
      <c r="C18477" s="15"/>
      <c r="E18477" s="8"/>
      <c r="G18477" s="8"/>
      <c r="J18477" s="8"/>
    </row>
    <row r="18478">
      <c r="C18478" s="15"/>
      <c r="E18478" s="8"/>
      <c r="G18478" s="8"/>
      <c r="J18478" s="8"/>
    </row>
    <row r="18479">
      <c r="C18479" s="15"/>
      <c r="E18479" s="8"/>
      <c r="G18479" s="8"/>
      <c r="J18479" s="8"/>
    </row>
    <row r="18480">
      <c r="C18480" s="15"/>
      <c r="E18480" s="8"/>
      <c r="G18480" s="8"/>
      <c r="J18480" s="8"/>
    </row>
    <row r="18481">
      <c r="C18481" s="15"/>
      <c r="E18481" s="8"/>
      <c r="G18481" s="8"/>
      <c r="J18481" s="8"/>
    </row>
    <row r="18482">
      <c r="C18482" s="15"/>
      <c r="E18482" s="8"/>
      <c r="G18482" s="8"/>
      <c r="J18482" s="8"/>
    </row>
    <row r="18483">
      <c r="C18483" s="15"/>
      <c r="E18483" s="8"/>
      <c r="G18483" s="8"/>
      <c r="J18483" s="8"/>
    </row>
    <row r="18484">
      <c r="C18484" s="15"/>
      <c r="E18484" s="8"/>
      <c r="G18484" s="8"/>
      <c r="J18484" s="8"/>
    </row>
    <row r="18485">
      <c r="C18485" s="15"/>
      <c r="E18485" s="8"/>
      <c r="G18485" s="8"/>
      <c r="J18485" s="8"/>
    </row>
    <row r="18486">
      <c r="C18486" s="15"/>
      <c r="E18486" s="8"/>
      <c r="G18486" s="8"/>
      <c r="J18486" s="8"/>
    </row>
    <row r="18487">
      <c r="C18487" s="15"/>
      <c r="E18487" s="8"/>
      <c r="G18487" s="8"/>
      <c r="J18487" s="8"/>
    </row>
    <row r="18488">
      <c r="C18488" s="15"/>
      <c r="E18488" s="8"/>
      <c r="G18488" s="8"/>
      <c r="J18488" s="8"/>
    </row>
    <row r="18489">
      <c r="C18489" s="15"/>
      <c r="E18489" s="8"/>
      <c r="G18489" s="8"/>
      <c r="J18489" s="8"/>
    </row>
    <row r="18490">
      <c r="C18490" s="15"/>
      <c r="E18490" s="8"/>
      <c r="G18490" s="8"/>
      <c r="J18490" s="8"/>
    </row>
    <row r="18491">
      <c r="C18491" s="15"/>
      <c r="E18491" s="8"/>
      <c r="G18491" s="8"/>
      <c r="J18491" s="8"/>
    </row>
    <row r="18492">
      <c r="C18492" s="15"/>
      <c r="E18492" s="8"/>
      <c r="G18492" s="8"/>
      <c r="J18492" s="8"/>
    </row>
    <row r="18493">
      <c r="C18493" s="15"/>
      <c r="E18493" s="8"/>
      <c r="G18493" s="8"/>
      <c r="J18493" s="8"/>
    </row>
    <row r="18494">
      <c r="C18494" s="15"/>
      <c r="E18494" s="8"/>
      <c r="G18494" s="8"/>
      <c r="J18494" s="8"/>
    </row>
    <row r="18495">
      <c r="C18495" s="15"/>
      <c r="E18495" s="8"/>
      <c r="G18495" s="8"/>
      <c r="J18495" s="8"/>
    </row>
    <row r="18496">
      <c r="C18496" s="15"/>
      <c r="E18496" s="8"/>
      <c r="G18496" s="8"/>
      <c r="J18496" s="8"/>
    </row>
    <row r="18497">
      <c r="C18497" s="15"/>
      <c r="E18497" s="8"/>
      <c r="G18497" s="8"/>
      <c r="J18497" s="8"/>
    </row>
    <row r="18498">
      <c r="C18498" s="15"/>
      <c r="E18498" s="8"/>
      <c r="G18498" s="8"/>
      <c r="J18498" s="8"/>
    </row>
    <row r="18499">
      <c r="C18499" s="15"/>
      <c r="E18499" s="8"/>
      <c r="G18499" s="8"/>
      <c r="J18499" s="8"/>
    </row>
    <row r="18500">
      <c r="C18500" s="15"/>
      <c r="E18500" s="8"/>
      <c r="G18500" s="8"/>
      <c r="J18500" s="8"/>
    </row>
    <row r="18501">
      <c r="C18501" s="15"/>
      <c r="E18501" s="8"/>
      <c r="G18501" s="8"/>
      <c r="J18501" s="8"/>
    </row>
    <row r="18502">
      <c r="C18502" s="15"/>
      <c r="E18502" s="8"/>
      <c r="G18502" s="8"/>
      <c r="J18502" s="8"/>
    </row>
    <row r="18503">
      <c r="C18503" s="15"/>
      <c r="E18503" s="8"/>
      <c r="G18503" s="8"/>
      <c r="J18503" s="8"/>
    </row>
    <row r="18504">
      <c r="C18504" s="15"/>
      <c r="E18504" s="8"/>
      <c r="G18504" s="8"/>
      <c r="J18504" s="8"/>
    </row>
    <row r="18505">
      <c r="C18505" s="15"/>
      <c r="E18505" s="8"/>
      <c r="G18505" s="8"/>
      <c r="J18505" s="8"/>
    </row>
    <row r="18506">
      <c r="C18506" s="15"/>
      <c r="E18506" s="8"/>
      <c r="G18506" s="8"/>
      <c r="J18506" s="8"/>
    </row>
    <row r="18507">
      <c r="C18507" s="15"/>
      <c r="E18507" s="8"/>
      <c r="G18507" s="8"/>
      <c r="J18507" s="8"/>
    </row>
    <row r="18508">
      <c r="C18508" s="15"/>
      <c r="E18508" s="8"/>
      <c r="G18508" s="8"/>
      <c r="J18508" s="8"/>
    </row>
    <row r="18509">
      <c r="C18509" s="15"/>
      <c r="E18509" s="8"/>
      <c r="G18509" s="8"/>
      <c r="J18509" s="8"/>
    </row>
    <row r="18510">
      <c r="C18510" s="15"/>
      <c r="E18510" s="8"/>
      <c r="G18510" s="8"/>
      <c r="J18510" s="8"/>
    </row>
    <row r="18511">
      <c r="C18511" s="15"/>
      <c r="E18511" s="8"/>
      <c r="G18511" s="8"/>
      <c r="J18511" s="8"/>
    </row>
    <row r="18512">
      <c r="C18512" s="15"/>
      <c r="E18512" s="8"/>
      <c r="G18512" s="8"/>
      <c r="J18512" s="8"/>
    </row>
    <row r="18513">
      <c r="C18513" s="15"/>
      <c r="E18513" s="8"/>
      <c r="G18513" s="8"/>
      <c r="J18513" s="8"/>
    </row>
    <row r="18514">
      <c r="C18514" s="15"/>
      <c r="E18514" s="8"/>
      <c r="G18514" s="8"/>
      <c r="J18514" s="8"/>
    </row>
    <row r="18515">
      <c r="C18515" s="15"/>
      <c r="E18515" s="8"/>
      <c r="G18515" s="8"/>
      <c r="J18515" s="8"/>
    </row>
    <row r="18516">
      <c r="C18516" s="15"/>
      <c r="E18516" s="8"/>
      <c r="G18516" s="8"/>
      <c r="J18516" s="8"/>
    </row>
    <row r="18517">
      <c r="C18517" s="15"/>
      <c r="E18517" s="8"/>
      <c r="G18517" s="8"/>
      <c r="J18517" s="8"/>
    </row>
    <row r="18518">
      <c r="C18518" s="15"/>
      <c r="E18518" s="8"/>
      <c r="G18518" s="8"/>
      <c r="J18518" s="8"/>
    </row>
    <row r="18519">
      <c r="C18519" s="15"/>
      <c r="E18519" s="8"/>
      <c r="G18519" s="8"/>
      <c r="J18519" s="8"/>
    </row>
    <row r="18520">
      <c r="C18520" s="15"/>
      <c r="E18520" s="8"/>
      <c r="G18520" s="8"/>
      <c r="J18520" s="8"/>
    </row>
    <row r="18521">
      <c r="C18521" s="15"/>
      <c r="E18521" s="8"/>
      <c r="G18521" s="8"/>
      <c r="J18521" s="8"/>
    </row>
    <row r="18522">
      <c r="C18522" s="15"/>
      <c r="E18522" s="8"/>
      <c r="G18522" s="8"/>
      <c r="J18522" s="8"/>
    </row>
    <row r="18523">
      <c r="C18523" s="15"/>
      <c r="E18523" s="8"/>
      <c r="G18523" s="8"/>
      <c r="J18523" s="8"/>
    </row>
    <row r="18524">
      <c r="C18524" s="15"/>
      <c r="E18524" s="8"/>
      <c r="G18524" s="8"/>
      <c r="J18524" s="8"/>
    </row>
    <row r="18525">
      <c r="C18525" s="15"/>
      <c r="E18525" s="8"/>
      <c r="G18525" s="8"/>
      <c r="J18525" s="8"/>
    </row>
    <row r="18526">
      <c r="C18526" s="15"/>
      <c r="E18526" s="8"/>
      <c r="G18526" s="8"/>
      <c r="J18526" s="8"/>
    </row>
    <row r="18527">
      <c r="C18527" s="15"/>
      <c r="E18527" s="8"/>
      <c r="G18527" s="8"/>
      <c r="J18527" s="8"/>
    </row>
    <row r="18528">
      <c r="C18528" s="15"/>
      <c r="E18528" s="8"/>
      <c r="G18528" s="8"/>
      <c r="J18528" s="8"/>
    </row>
    <row r="18529">
      <c r="C18529" s="15"/>
      <c r="E18529" s="8"/>
      <c r="G18529" s="8"/>
      <c r="J18529" s="8"/>
    </row>
    <row r="18530">
      <c r="C18530" s="15"/>
      <c r="E18530" s="8"/>
      <c r="G18530" s="8"/>
      <c r="J18530" s="8"/>
    </row>
    <row r="18531">
      <c r="C18531" s="15"/>
      <c r="E18531" s="8"/>
      <c r="G18531" s="8"/>
      <c r="J18531" s="8"/>
    </row>
    <row r="18532">
      <c r="C18532" s="15"/>
      <c r="E18532" s="8"/>
      <c r="G18532" s="8"/>
      <c r="J18532" s="8"/>
    </row>
    <row r="18533">
      <c r="C18533" s="15"/>
      <c r="E18533" s="8"/>
      <c r="G18533" s="8"/>
      <c r="J18533" s="8"/>
    </row>
    <row r="18534">
      <c r="C18534" s="15"/>
      <c r="E18534" s="8"/>
      <c r="G18534" s="8"/>
      <c r="J18534" s="8"/>
    </row>
    <row r="18535">
      <c r="C18535" s="15"/>
      <c r="E18535" s="8"/>
      <c r="G18535" s="8"/>
      <c r="J18535" s="8"/>
    </row>
    <row r="18536">
      <c r="C18536" s="15"/>
      <c r="E18536" s="8"/>
      <c r="G18536" s="8"/>
      <c r="J18536" s="8"/>
    </row>
    <row r="18537">
      <c r="C18537" s="15"/>
      <c r="E18537" s="8"/>
      <c r="G18537" s="8"/>
      <c r="J18537" s="8"/>
    </row>
    <row r="18538">
      <c r="C18538" s="15"/>
      <c r="E18538" s="8"/>
      <c r="G18538" s="8"/>
      <c r="J18538" s="8"/>
    </row>
    <row r="18539">
      <c r="C18539" s="15"/>
      <c r="E18539" s="8"/>
      <c r="G18539" s="8"/>
      <c r="J18539" s="8"/>
    </row>
    <row r="18540">
      <c r="C18540" s="15"/>
      <c r="E18540" s="8"/>
      <c r="G18540" s="8"/>
      <c r="J18540" s="8"/>
    </row>
    <row r="18541">
      <c r="C18541" s="15"/>
      <c r="E18541" s="8"/>
      <c r="G18541" s="8"/>
      <c r="J18541" s="8"/>
    </row>
    <row r="18542">
      <c r="C18542" s="15"/>
      <c r="E18542" s="8"/>
      <c r="G18542" s="8"/>
      <c r="J18542" s="8"/>
    </row>
    <row r="18543">
      <c r="C18543" s="15"/>
      <c r="E18543" s="8"/>
      <c r="G18543" s="8"/>
      <c r="J18543" s="8"/>
    </row>
    <row r="18544">
      <c r="C18544" s="15"/>
      <c r="E18544" s="8"/>
      <c r="G18544" s="8"/>
      <c r="J18544" s="8"/>
    </row>
    <row r="18545">
      <c r="C18545" s="15"/>
      <c r="E18545" s="8"/>
      <c r="G18545" s="8"/>
      <c r="J18545" s="8"/>
    </row>
    <row r="18546">
      <c r="C18546" s="15"/>
      <c r="E18546" s="8"/>
      <c r="G18546" s="8"/>
      <c r="J18546" s="8"/>
    </row>
    <row r="18547">
      <c r="C18547" s="15"/>
      <c r="E18547" s="8"/>
      <c r="G18547" s="8"/>
      <c r="J18547" s="8"/>
    </row>
    <row r="18548">
      <c r="C18548" s="15"/>
      <c r="E18548" s="8"/>
      <c r="G18548" s="8"/>
      <c r="J18548" s="8"/>
    </row>
    <row r="18549">
      <c r="C18549" s="15"/>
      <c r="E18549" s="8"/>
      <c r="G18549" s="8"/>
      <c r="J18549" s="8"/>
    </row>
    <row r="18550">
      <c r="C18550" s="15"/>
      <c r="E18550" s="8"/>
      <c r="G18550" s="8"/>
      <c r="J18550" s="8"/>
    </row>
    <row r="18551">
      <c r="C18551" s="15"/>
      <c r="E18551" s="8"/>
      <c r="G18551" s="8"/>
      <c r="J18551" s="8"/>
    </row>
    <row r="18552">
      <c r="C18552" s="15"/>
      <c r="E18552" s="8"/>
      <c r="G18552" s="8"/>
      <c r="J18552" s="8"/>
    </row>
    <row r="18553">
      <c r="C18553" s="15"/>
      <c r="E18553" s="8"/>
      <c r="G18553" s="8"/>
      <c r="J18553" s="8"/>
    </row>
    <row r="18554">
      <c r="C18554" s="15"/>
      <c r="E18554" s="8"/>
      <c r="G18554" s="8"/>
      <c r="J18554" s="8"/>
    </row>
    <row r="18555">
      <c r="C18555" s="15"/>
      <c r="E18555" s="8"/>
      <c r="G18555" s="8"/>
      <c r="J18555" s="8"/>
    </row>
    <row r="18556">
      <c r="C18556" s="15"/>
      <c r="E18556" s="8"/>
      <c r="G18556" s="8"/>
      <c r="J18556" s="8"/>
    </row>
    <row r="18557">
      <c r="C18557" s="15"/>
      <c r="E18557" s="8"/>
      <c r="G18557" s="8"/>
      <c r="J18557" s="8"/>
    </row>
    <row r="18558">
      <c r="C18558" s="15"/>
      <c r="E18558" s="8"/>
      <c r="G18558" s="8"/>
      <c r="J18558" s="8"/>
    </row>
    <row r="18559">
      <c r="C18559" s="15"/>
      <c r="E18559" s="8"/>
      <c r="G18559" s="8"/>
      <c r="J18559" s="8"/>
    </row>
    <row r="18560">
      <c r="C18560" s="15"/>
      <c r="E18560" s="8"/>
      <c r="G18560" s="8"/>
      <c r="J18560" s="8"/>
    </row>
    <row r="18561">
      <c r="C18561" s="15"/>
      <c r="E18561" s="8"/>
      <c r="G18561" s="8"/>
      <c r="J18561" s="8"/>
    </row>
    <row r="18562">
      <c r="C18562" s="15"/>
      <c r="E18562" s="8"/>
      <c r="G18562" s="8"/>
      <c r="J18562" s="8"/>
    </row>
    <row r="18563">
      <c r="C18563" s="15"/>
      <c r="E18563" s="8"/>
      <c r="G18563" s="8"/>
      <c r="J18563" s="8"/>
    </row>
    <row r="18564">
      <c r="C18564" s="15"/>
      <c r="E18564" s="8"/>
      <c r="G18564" s="8"/>
      <c r="J18564" s="8"/>
    </row>
    <row r="18565">
      <c r="C18565" s="15"/>
      <c r="E18565" s="8"/>
      <c r="G18565" s="8"/>
      <c r="J18565" s="8"/>
    </row>
    <row r="18566">
      <c r="C18566" s="15"/>
      <c r="E18566" s="8"/>
      <c r="G18566" s="8"/>
      <c r="J18566" s="8"/>
    </row>
    <row r="18567">
      <c r="C18567" s="15"/>
      <c r="E18567" s="8"/>
      <c r="G18567" s="8"/>
      <c r="J18567" s="8"/>
    </row>
    <row r="18568">
      <c r="C18568" s="15"/>
      <c r="E18568" s="8"/>
      <c r="G18568" s="8"/>
      <c r="J18568" s="8"/>
    </row>
    <row r="18569">
      <c r="C18569" s="15"/>
      <c r="E18569" s="8"/>
      <c r="G18569" s="8"/>
      <c r="J18569" s="8"/>
    </row>
    <row r="18570">
      <c r="C18570" s="15"/>
      <c r="E18570" s="8"/>
      <c r="G18570" s="8"/>
      <c r="J18570" s="8"/>
    </row>
    <row r="18571">
      <c r="C18571" s="15"/>
      <c r="E18571" s="8"/>
      <c r="G18571" s="8"/>
      <c r="J18571" s="8"/>
    </row>
    <row r="18572">
      <c r="C18572" s="15"/>
      <c r="E18572" s="8"/>
      <c r="G18572" s="8"/>
      <c r="J18572" s="8"/>
    </row>
    <row r="18573">
      <c r="C18573" s="15"/>
      <c r="E18573" s="8"/>
      <c r="G18573" s="8"/>
      <c r="J18573" s="8"/>
    </row>
    <row r="18574">
      <c r="C18574" s="15"/>
      <c r="E18574" s="8"/>
      <c r="G18574" s="8"/>
      <c r="J18574" s="8"/>
    </row>
    <row r="18575">
      <c r="C18575" s="15"/>
      <c r="E18575" s="8"/>
      <c r="G18575" s="8"/>
      <c r="J18575" s="8"/>
    </row>
    <row r="18576">
      <c r="C18576" s="15"/>
      <c r="E18576" s="8"/>
      <c r="G18576" s="8"/>
      <c r="J18576" s="8"/>
    </row>
    <row r="18577">
      <c r="C18577" s="15"/>
      <c r="E18577" s="8"/>
      <c r="G18577" s="8"/>
      <c r="J18577" s="8"/>
    </row>
    <row r="18578">
      <c r="C18578" s="15"/>
      <c r="E18578" s="8"/>
      <c r="G18578" s="8"/>
      <c r="J18578" s="8"/>
    </row>
    <row r="18579">
      <c r="C18579" s="15"/>
      <c r="E18579" s="8"/>
      <c r="G18579" s="8"/>
      <c r="J18579" s="8"/>
    </row>
    <row r="18580">
      <c r="C18580" s="15"/>
      <c r="E18580" s="8"/>
      <c r="G18580" s="8"/>
      <c r="J18580" s="8"/>
    </row>
    <row r="18581">
      <c r="C18581" s="15"/>
      <c r="E18581" s="8"/>
      <c r="G18581" s="8"/>
      <c r="J18581" s="8"/>
    </row>
    <row r="18582">
      <c r="C18582" s="15"/>
      <c r="E18582" s="8"/>
      <c r="G18582" s="8"/>
      <c r="J18582" s="8"/>
    </row>
    <row r="18583">
      <c r="C18583" s="15"/>
      <c r="E18583" s="8"/>
      <c r="G18583" s="8"/>
      <c r="J18583" s="8"/>
    </row>
    <row r="18584">
      <c r="C18584" s="15"/>
      <c r="E18584" s="8"/>
      <c r="G18584" s="8"/>
      <c r="J18584" s="8"/>
    </row>
    <row r="18585">
      <c r="C18585" s="15"/>
      <c r="E18585" s="8"/>
      <c r="G18585" s="8"/>
      <c r="J18585" s="8"/>
    </row>
    <row r="18586">
      <c r="C18586" s="15"/>
      <c r="E18586" s="8"/>
      <c r="G18586" s="8"/>
      <c r="J18586" s="8"/>
    </row>
    <row r="18587">
      <c r="C18587" s="15"/>
      <c r="E18587" s="8"/>
      <c r="G18587" s="8"/>
      <c r="J18587" s="8"/>
    </row>
    <row r="18588">
      <c r="C18588" s="15"/>
      <c r="E18588" s="8"/>
      <c r="G18588" s="8"/>
      <c r="J18588" s="8"/>
    </row>
    <row r="18589">
      <c r="C18589" s="15"/>
      <c r="E18589" s="8"/>
      <c r="G18589" s="8"/>
      <c r="J18589" s="8"/>
    </row>
    <row r="18590">
      <c r="C18590" s="15"/>
      <c r="E18590" s="8"/>
      <c r="G18590" s="8"/>
      <c r="J18590" s="8"/>
    </row>
    <row r="18591">
      <c r="C18591" s="15"/>
      <c r="E18591" s="8"/>
      <c r="G18591" s="8"/>
      <c r="J18591" s="8"/>
    </row>
    <row r="18592">
      <c r="C18592" s="15"/>
      <c r="E18592" s="8"/>
      <c r="G18592" s="8"/>
      <c r="J18592" s="8"/>
    </row>
    <row r="18593">
      <c r="C18593" s="15"/>
      <c r="E18593" s="8"/>
      <c r="G18593" s="8"/>
      <c r="J18593" s="8"/>
    </row>
    <row r="18594">
      <c r="C18594" s="15"/>
      <c r="E18594" s="8"/>
      <c r="G18594" s="8"/>
      <c r="J18594" s="8"/>
    </row>
    <row r="18595">
      <c r="C18595" s="15"/>
      <c r="E18595" s="8"/>
      <c r="G18595" s="8"/>
      <c r="J18595" s="8"/>
    </row>
    <row r="18596">
      <c r="C18596" s="15"/>
      <c r="E18596" s="8"/>
      <c r="G18596" s="8"/>
      <c r="J18596" s="8"/>
    </row>
    <row r="18597">
      <c r="C18597" s="15"/>
      <c r="E18597" s="8"/>
      <c r="G18597" s="8"/>
      <c r="J18597" s="8"/>
    </row>
    <row r="18598">
      <c r="C18598" s="15"/>
      <c r="E18598" s="8"/>
      <c r="G18598" s="8"/>
      <c r="J18598" s="8"/>
    </row>
    <row r="18599">
      <c r="C18599" s="15"/>
      <c r="E18599" s="8"/>
      <c r="G18599" s="8"/>
      <c r="J18599" s="8"/>
    </row>
    <row r="18600">
      <c r="C18600" s="15"/>
      <c r="E18600" s="8"/>
      <c r="G18600" s="8"/>
      <c r="J18600" s="8"/>
    </row>
    <row r="18601">
      <c r="C18601" s="15"/>
      <c r="E18601" s="8"/>
      <c r="G18601" s="8"/>
      <c r="J18601" s="8"/>
    </row>
    <row r="18602">
      <c r="C18602" s="15"/>
      <c r="E18602" s="8"/>
      <c r="G18602" s="8"/>
      <c r="J18602" s="8"/>
    </row>
    <row r="18603">
      <c r="C18603" s="15"/>
      <c r="E18603" s="8"/>
      <c r="G18603" s="8"/>
      <c r="J18603" s="8"/>
    </row>
    <row r="18604">
      <c r="C18604" s="15"/>
      <c r="E18604" s="8"/>
      <c r="G18604" s="8"/>
      <c r="J18604" s="8"/>
    </row>
    <row r="18605">
      <c r="C18605" s="15"/>
      <c r="E18605" s="8"/>
      <c r="G18605" s="8"/>
      <c r="J18605" s="8"/>
    </row>
    <row r="18606">
      <c r="C18606" s="15"/>
      <c r="E18606" s="8"/>
      <c r="G18606" s="8"/>
      <c r="J18606" s="8"/>
    </row>
    <row r="18607">
      <c r="C18607" s="15"/>
      <c r="E18607" s="8"/>
      <c r="G18607" s="8"/>
      <c r="J18607" s="8"/>
    </row>
    <row r="18608">
      <c r="C18608" s="15"/>
      <c r="E18608" s="8"/>
      <c r="G18608" s="8"/>
      <c r="J18608" s="8"/>
    </row>
    <row r="18609">
      <c r="C18609" s="15"/>
      <c r="E18609" s="8"/>
      <c r="G18609" s="8"/>
      <c r="J18609" s="8"/>
    </row>
    <row r="18610">
      <c r="C18610" s="15"/>
      <c r="E18610" s="8"/>
      <c r="G18610" s="8"/>
      <c r="J18610" s="8"/>
    </row>
    <row r="18611">
      <c r="C18611" s="15"/>
      <c r="E18611" s="8"/>
      <c r="G18611" s="8"/>
      <c r="J18611" s="8"/>
    </row>
    <row r="18612">
      <c r="C18612" s="15"/>
      <c r="E18612" s="8"/>
      <c r="G18612" s="8"/>
      <c r="J18612" s="8"/>
    </row>
    <row r="18613">
      <c r="C18613" s="15"/>
      <c r="E18613" s="8"/>
      <c r="G18613" s="8"/>
      <c r="J18613" s="8"/>
    </row>
    <row r="18614">
      <c r="C18614" s="15"/>
      <c r="E18614" s="8"/>
      <c r="G18614" s="8"/>
      <c r="J18614" s="8"/>
    </row>
    <row r="18615">
      <c r="C18615" s="15"/>
      <c r="E18615" s="8"/>
      <c r="G18615" s="8"/>
      <c r="J18615" s="8"/>
    </row>
    <row r="18616">
      <c r="C18616" s="15"/>
      <c r="E18616" s="8"/>
      <c r="G18616" s="8"/>
      <c r="J18616" s="8"/>
    </row>
    <row r="18617">
      <c r="C18617" s="15"/>
      <c r="E18617" s="8"/>
      <c r="G18617" s="8"/>
      <c r="J18617" s="8"/>
    </row>
    <row r="18618">
      <c r="C18618" s="15"/>
      <c r="E18618" s="8"/>
      <c r="G18618" s="8"/>
      <c r="J18618" s="8"/>
    </row>
    <row r="18619">
      <c r="C18619" s="15"/>
      <c r="E18619" s="8"/>
      <c r="G18619" s="8"/>
      <c r="J18619" s="8"/>
    </row>
    <row r="18620">
      <c r="C18620" s="15"/>
      <c r="E18620" s="8"/>
      <c r="G18620" s="8"/>
      <c r="J18620" s="8"/>
    </row>
    <row r="18621">
      <c r="C18621" s="15"/>
      <c r="E18621" s="8"/>
      <c r="G18621" s="8"/>
      <c r="J18621" s="8"/>
    </row>
    <row r="18622">
      <c r="C18622" s="15"/>
      <c r="E18622" s="8"/>
      <c r="G18622" s="8"/>
      <c r="J18622" s="8"/>
    </row>
    <row r="18623">
      <c r="C18623" s="15"/>
      <c r="E18623" s="8"/>
      <c r="G18623" s="8"/>
      <c r="J18623" s="8"/>
    </row>
    <row r="18624">
      <c r="C18624" s="15"/>
      <c r="E18624" s="8"/>
      <c r="G18624" s="8"/>
      <c r="J18624" s="8"/>
    </row>
    <row r="18625">
      <c r="C18625" s="15"/>
      <c r="E18625" s="8"/>
      <c r="G18625" s="8"/>
      <c r="J18625" s="8"/>
    </row>
    <row r="18626">
      <c r="C18626" s="15"/>
      <c r="E18626" s="8"/>
      <c r="G18626" s="8"/>
      <c r="J18626" s="8"/>
    </row>
    <row r="18627">
      <c r="C18627" s="15"/>
      <c r="E18627" s="8"/>
      <c r="G18627" s="8"/>
      <c r="J18627" s="8"/>
    </row>
    <row r="18628">
      <c r="C18628" s="15"/>
      <c r="E18628" s="8"/>
      <c r="G18628" s="8"/>
      <c r="J18628" s="8"/>
    </row>
    <row r="18629">
      <c r="C18629" s="15"/>
      <c r="E18629" s="8"/>
      <c r="G18629" s="8"/>
      <c r="J18629" s="8"/>
    </row>
    <row r="18630">
      <c r="C18630" s="15"/>
      <c r="E18630" s="8"/>
      <c r="G18630" s="8"/>
      <c r="J18630" s="8"/>
    </row>
    <row r="18631">
      <c r="C18631" s="15"/>
      <c r="E18631" s="8"/>
      <c r="G18631" s="8"/>
      <c r="J18631" s="8"/>
    </row>
    <row r="18632">
      <c r="C18632" s="15"/>
      <c r="E18632" s="8"/>
      <c r="G18632" s="8"/>
      <c r="J18632" s="8"/>
    </row>
    <row r="18633">
      <c r="C18633" s="15"/>
      <c r="E18633" s="8"/>
      <c r="G18633" s="8"/>
      <c r="J18633" s="8"/>
    </row>
    <row r="18634">
      <c r="C18634" s="15"/>
      <c r="E18634" s="8"/>
      <c r="G18634" s="8"/>
      <c r="J18634" s="8"/>
    </row>
    <row r="18635">
      <c r="C18635" s="15"/>
      <c r="E18635" s="8"/>
      <c r="G18635" s="8"/>
      <c r="J18635" s="8"/>
    </row>
    <row r="18636">
      <c r="C18636" s="15"/>
      <c r="E18636" s="8"/>
      <c r="G18636" s="8"/>
      <c r="J18636" s="8"/>
    </row>
    <row r="18637">
      <c r="C18637" s="15"/>
      <c r="E18637" s="8"/>
      <c r="G18637" s="8"/>
      <c r="J18637" s="8"/>
    </row>
    <row r="18638">
      <c r="C18638" s="15"/>
      <c r="E18638" s="8"/>
      <c r="G18638" s="8"/>
      <c r="J18638" s="8"/>
    </row>
    <row r="18639">
      <c r="C18639" s="15"/>
      <c r="E18639" s="8"/>
      <c r="G18639" s="8"/>
      <c r="J18639" s="8"/>
    </row>
    <row r="18640">
      <c r="C18640" s="15"/>
      <c r="E18640" s="8"/>
      <c r="G18640" s="8"/>
      <c r="J18640" s="8"/>
    </row>
    <row r="18641">
      <c r="C18641" s="15"/>
      <c r="E18641" s="8"/>
      <c r="G18641" s="8"/>
      <c r="J18641" s="8"/>
    </row>
    <row r="18642">
      <c r="C18642" s="15"/>
      <c r="E18642" s="8"/>
      <c r="G18642" s="8"/>
      <c r="J18642" s="8"/>
    </row>
    <row r="18643">
      <c r="C18643" s="15"/>
      <c r="E18643" s="8"/>
      <c r="G18643" s="8"/>
      <c r="J18643" s="8"/>
    </row>
    <row r="18644">
      <c r="C18644" s="15"/>
      <c r="E18644" s="8"/>
      <c r="G18644" s="8"/>
      <c r="J18644" s="8"/>
    </row>
    <row r="18645">
      <c r="C18645" s="15"/>
      <c r="E18645" s="8"/>
      <c r="G18645" s="8"/>
      <c r="J18645" s="8"/>
    </row>
    <row r="18646">
      <c r="C18646" s="15"/>
      <c r="E18646" s="8"/>
      <c r="G18646" s="8"/>
      <c r="J18646" s="8"/>
    </row>
    <row r="18647">
      <c r="C18647" s="15"/>
      <c r="E18647" s="8"/>
      <c r="G18647" s="8"/>
      <c r="J18647" s="8"/>
    </row>
    <row r="18648">
      <c r="C18648" s="15"/>
      <c r="E18648" s="8"/>
      <c r="G18648" s="8"/>
      <c r="J18648" s="8"/>
    </row>
    <row r="18649">
      <c r="C18649" s="15"/>
      <c r="E18649" s="8"/>
      <c r="G18649" s="8"/>
      <c r="J18649" s="8"/>
    </row>
    <row r="18650">
      <c r="C18650" s="15"/>
      <c r="E18650" s="8"/>
      <c r="G18650" s="8"/>
      <c r="J18650" s="8"/>
    </row>
    <row r="18651">
      <c r="C18651" s="15"/>
      <c r="E18651" s="8"/>
      <c r="G18651" s="8"/>
      <c r="J18651" s="8"/>
    </row>
    <row r="18652">
      <c r="C18652" s="15"/>
      <c r="E18652" s="8"/>
      <c r="G18652" s="8"/>
      <c r="J18652" s="8"/>
    </row>
    <row r="18653">
      <c r="C18653" s="15"/>
      <c r="E18653" s="8"/>
      <c r="G18653" s="8"/>
      <c r="J18653" s="8"/>
    </row>
    <row r="18654">
      <c r="C18654" s="15"/>
      <c r="E18654" s="8"/>
      <c r="G18654" s="8"/>
      <c r="J18654" s="8"/>
    </row>
    <row r="18655">
      <c r="C18655" s="15"/>
      <c r="E18655" s="8"/>
      <c r="G18655" s="8"/>
      <c r="J18655" s="8"/>
    </row>
    <row r="18656">
      <c r="C18656" s="15"/>
      <c r="E18656" s="8"/>
      <c r="G18656" s="8"/>
      <c r="J18656" s="8"/>
    </row>
    <row r="18657">
      <c r="C18657" s="15"/>
      <c r="E18657" s="8"/>
      <c r="G18657" s="8"/>
      <c r="J18657" s="8"/>
    </row>
    <row r="18658">
      <c r="C18658" s="15"/>
      <c r="E18658" s="8"/>
      <c r="G18658" s="8"/>
      <c r="J18658" s="8"/>
    </row>
    <row r="18659">
      <c r="C18659" s="15"/>
      <c r="E18659" s="8"/>
      <c r="G18659" s="8"/>
      <c r="J18659" s="8"/>
    </row>
    <row r="18660">
      <c r="C18660" s="15"/>
      <c r="E18660" s="8"/>
      <c r="G18660" s="8"/>
      <c r="J18660" s="8"/>
    </row>
    <row r="18661">
      <c r="C18661" s="15"/>
      <c r="E18661" s="8"/>
      <c r="G18661" s="8"/>
      <c r="J18661" s="8"/>
    </row>
    <row r="18662">
      <c r="C18662" s="15"/>
      <c r="E18662" s="8"/>
      <c r="G18662" s="8"/>
      <c r="J18662" s="8"/>
    </row>
    <row r="18663">
      <c r="C18663" s="15"/>
      <c r="E18663" s="8"/>
      <c r="G18663" s="8"/>
      <c r="J18663" s="8"/>
    </row>
    <row r="18664">
      <c r="C18664" s="15"/>
      <c r="E18664" s="8"/>
      <c r="G18664" s="8"/>
      <c r="J18664" s="8"/>
    </row>
    <row r="18665">
      <c r="C18665" s="15"/>
      <c r="E18665" s="8"/>
      <c r="G18665" s="8"/>
      <c r="J18665" s="8"/>
    </row>
    <row r="18666">
      <c r="C18666" s="15"/>
      <c r="E18666" s="8"/>
      <c r="G18666" s="8"/>
      <c r="J18666" s="8"/>
    </row>
    <row r="18667">
      <c r="C18667" s="15"/>
      <c r="E18667" s="8"/>
      <c r="G18667" s="8"/>
      <c r="J18667" s="8"/>
    </row>
    <row r="18668">
      <c r="C18668" s="15"/>
      <c r="E18668" s="8"/>
      <c r="G18668" s="8"/>
      <c r="J18668" s="8"/>
    </row>
    <row r="18669">
      <c r="C18669" s="15"/>
      <c r="E18669" s="8"/>
      <c r="G18669" s="8"/>
      <c r="J18669" s="8"/>
    </row>
    <row r="18670">
      <c r="C18670" s="15"/>
      <c r="E18670" s="8"/>
      <c r="G18670" s="8"/>
      <c r="J18670" s="8"/>
    </row>
    <row r="18671">
      <c r="C18671" s="15"/>
      <c r="E18671" s="8"/>
      <c r="G18671" s="8"/>
      <c r="J18671" s="8"/>
    </row>
    <row r="18672">
      <c r="C18672" s="15"/>
      <c r="E18672" s="8"/>
      <c r="G18672" s="8"/>
      <c r="J18672" s="8"/>
    </row>
    <row r="18673">
      <c r="C18673" s="15"/>
      <c r="E18673" s="8"/>
      <c r="G18673" s="8"/>
      <c r="J18673" s="8"/>
    </row>
    <row r="18674">
      <c r="C18674" s="15"/>
      <c r="E18674" s="8"/>
      <c r="G18674" s="8"/>
      <c r="J18674" s="8"/>
    </row>
    <row r="18675">
      <c r="C18675" s="15"/>
      <c r="E18675" s="8"/>
      <c r="G18675" s="8"/>
      <c r="J18675" s="8"/>
    </row>
    <row r="18676">
      <c r="C18676" s="15"/>
      <c r="E18676" s="8"/>
      <c r="G18676" s="8"/>
      <c r="J18676" s="8"/>
    </row>
    <row r="18677">
      <c r="C18677" s="15"/>
      <c r="E18677" s="8"/>
      <c r="G18677" s="8"/>
      <c r="J18677" s="8"/>
    </row>
    <row r="18678">
      <c r="C18678" s="15"/>
      <c r="E18678" s="8"/>
      <c r="G18678" s="8"/>
      <c r="J18678" s="8"/>
    </row>
    <row r="18679">
      <c r="C18679" s="15"/>
      <c r="E18679" s="8"/>
      <c r="G18679" s="8"/>
      <c r="J18679" s="8"/>
    </row>
    <row r="18680">
      <c r="C18680" s="15"/>
      <c r="E18680" s="8"/>
      <c r="G18680" s="8"/>
      <c r="J18680" s="8"/>
    </row>
    <row r="18681">
      <c r="C18681" s="15"/>
      <c r="E18681" s="8"/>
      <c r="G18681" s="8"/>
      <c r="J18681" s="8"/>
    </row>
    <row r="18682">
      <c r="C18682" s="15"/>
      <c r="E18682" s="8"/>
      <c r="G18682" s="8"/>
      <c r="J18682" s="8"/>
    </row>
    <row r="18683">
      <c r="C18683" s="15"/>
      <c r="E18683" s="8"/>
      <c r="G18683" s="8"/>
      <c r="J18683" s="8"/>
    </row>
    <row r="18684">
      <c r="C18684" s="15"/>
      <c r="E18684" s="8"/>
      <c r="G18684" s="8"/>
      <c r="J18684" s="8"/>
    </row>
    <row r="18685">
      <c r="C18685" s="15"/>
      <c r="E18685" s="8"/>
      <c r="G18685" s="8"/>
      <c r="J18685" s="8"/>
    </row>
    <row r="18686">
      <c r="C18686" s="15"/>
      <c r="E18686" s="8"/>
      <c r="G18686" s="8"/>
      <c r="J18686" s="8"/>
    </row>
    <row r="18687">
      <c r="C18687" s="15"/>
      <c r="E18687" s="8"/>
      <c r="G18687" s="8"/>
      <c r="J18687" s="8"/>
    </row>
    <row r="18688">
      <c r="C18688" s="15"/>
      <c r="E18688" s="8"/>
      <c r="G18688" s="8"/>
      <c r="J18688" s="8"/>
    </row>
    <row r="18689">
      <c r="C18689" s="15"/>
      <c r="E18689" s="8"/>
      <c r="G18689" s="8"/>
      <c r="J18689" s="8"/>
    </row>
    <row r="18690">
      <c r="C18690" s="15"/>
      <c r="E18690" s="8"/>
      <c r="G18690" s="8"/>
      <c r="J18690" s="8"/>
    </row>
    <row r="18691">
      <c r="C18691" s="15"/>
      <c r="E18691" s="8"/>
      <c r="G18691" s="8"/>
      <c r="J18691" s="8"/>
    </row>
    <row r="18692">
      <c r="C18692" s="15"/>
      <c r="E18692" s="8"/>
      <c r="G18692" s="8"/>
      <c r="J18692" s="8"/>
    </row>
    <row r="18693">
      <c r="C18693" s="15"/>
      <c r="E18693" s="8"/>
      <c r="G18693" s="8"/>
      <c r="J18693" s="8"/>
    </row>
    <row r="18694">
      <c r="C18694" s="15"/>
      <c r="E18694" s="8"/>
      <c r="G18694" s="8"/>
      <c r="J18694" s="8"/>
    </row>
    <row r="18695">
      <c r="C18695" s="15"/>
      <c r="E18695" s="8"/>
      <c r="G18695" s="8"/>
      <c r="J18695" s="8"/>
    </row>
    <row r="18696">
      <c r="C18696" s="15"/>
      <c r="E18696" s="8"/>
      <c r="G18696" s="8"/>
      <c r="J18696" s="8"/>
    </row>
    <row r="18697">
      <c r="C18697" s="15"/>
      <c r="E18697" s="8"/>
      <c r="G18697" s="8"/>
      <c r="J18697" s="8"/>
    </row>
    <row r="18698">
      <c r="C18698" s="15"/>
      <c r="E18698" s="8"/>
      <c r="G18698" s="8"/>
      <c r="J18698" s="8"/>
    </row>
    <row r="18699">
      <c r="C18699" s="15"/>
      <c r="E18699" s="8"/>
      <c r="G18699" s="8"/>
      <c r="J18699" s="8"/>
    </row>
    <row r="18700">
      <c r="C18700" s="15"/>
      <c r="E18700" s="8"/>
      <c r="G18700" s="8"/>
      <c r="J18700" s="8"/>
    </row>
    <row r="18701">
      <c r="C18701" s="15"/>
      <c r="E18701" s="8"/>
      <c r="G18701" s="8"/>
      <c r="J18701" s="8"/>
    </row>
    <row r="18702">
      <c r="C18702" s="15"/>
      <c r="E18702" s="8"/>
      <c r="G18702" s="8"/>
      <c r="J18702" s="8"/>
    </row>
    <row r="18703">
      <c r="C18703" s="15"/>
      <c r="E18703" s="8"/>
      <c r="G18703" s="8"/>
      <c r="J18703" s="8"/>
    </row>
    <row r="18704">
      <c r="C18704" s="15"/>
      <c r="E18704" s="8"/>
      <c r="G18704" s="8"/>
      <c r="J18704" s="8"/>
    </row>
    <row r="18705">
      <c r="C18705" s="15"/>
      <c r="E18705" s="8"/>
      <c r="G18705" s="8"/>
      <c r="J18705" s="8"/>
    </row>
    <row r="18706">
      <c r="C18706" s="15"/>
      <c r="E18706" s="8"/>
      <c r="G18706" s="8"/>
      <c r="J18706" s="8"/>
    </row>
    <row r="18707">
      <c r="C18707" s="15"/>
      <c r="E18707" s="8"/>
      <c r="G18707" s="8"/>
      <c r="J18707" s="8"/>
    </row>
    <row r="18708">
      <c r="C18708" s="15"/>
      <c r="E18708" s="8"/>
      <c r="G18708" s="8"/>
      <c r="J18708" s="8"/>
    </row>
    <row r="18709">
      <c r="C18709" s="15"/>
      <c r="E18709" s="8"/>
      <c r="G18709" s="8"/>
      <c r="J18709" s="8"/>
    </row>
    <row r="18710">
      <c r="C18710" s="15"/>
      <c r="E18710" s="8"/>
      <c r="G18710" s="8"/>
      <c r="J18710" s="8"/>
    </row>
    <row r="18711">
      <c r="C18711" s="15"/>
      <c r="E18711" s="8"/>
      <c r="G18711" s="8"/>
      <c r="J18711" s="8"/>
    </row>
    <row r="18712">
      <c r="C18712" s="15"/>
      <c r="E18712" s="8"/>
      <c r="G18712" s="8"/>
      <c r="J18712" s="8"/>
    </row>
    <row r="18713">
      <c r="C18713" s="15"/>
      <c r="E18713" s="8"/>
      <c r="G18713" s="8"/>
      <c r="J18713" s="8"/>
    </row>
    <row r="18714">
      <c r="C18714" s="15"/>
      <c r="E18714" s="8"/>
      <c r="G18714" s="8"/>
      <c r="J18714" s="8"/>
    </row>
    <row r="18715">
      <c r="C18715" s="15"/>
      <c r="E18715" s="8"/>
      <c r="G18715" s="8"/>
      <c r="J18715" s="8"/>
    </row>
    <row r="18716">
      <c r="C18716" s="15"/>
      <c r="E18716" s="8"/>
      <c r="G18716" s="8"/>
      <c r="J18716" s="8"/>
    </row>
    <row r="18717">
      <c r="C18717" s="15"/>
      <c r="E18717" s="8"/>
      <c r="G18717" s="8"/>
      <c r="J18717" s="8"/>
    </row>
    <row r="18718">
      <c r="C18718" s="15"/>
      <c r="E18718" s="8"/>
      <c r="G18718" s="8"/>
      <c r="J18718" s="8"/>
    </row>
    <row r="18719">
      <c r="C18719" s="15"/>
      <c r="E18719" s="8"/>
      <c r="G18719" s="8"/>
      <c r="J18719" s="8"/>
    </row>
    <row r="18720">
      <c r="C18720" s="15"/>
      <c r="E18720" s="8"/>
      <c r="G18720" s="8"/>
      <c r="J18720" s="8"/>
    </row>
    <row r="18721">
      <c r="C18721" s="15"/>
      <c r="E18721" s="8"/>
      <c r="G18721" s="8"/>
      <c r="J18721" s="8"/>
    </row>
    <row r="18722">
      <c r="C18722" s="15"/>
      <c r="E18722" s="8"/>
      <c r="G18722" s="8"/>
      <c r="J18722" s="8"/>
    </row>
    <row r="18723">
      <c r="C18723" s="15"/>
      <c r="E18723" s="8"/>
      <c r="G18723" s="8"/>
      <c r="J18723" s="8"/>
    </row>
    <row r="18724">
      <c r="C18724" s="15"/>
      <c r="E18724" s="8"/>
      <c r="G18724" s="8"/>
      <c r="J18724" s="8"/>
    </row>
    <row r="18725">
      <c r="C18725" s="15"/>
      <c r="E18725" s="8"/>
      <c r="G18725" s="8"/>
      <c r="J18725" s="8"/>
    </row>
    <row r="18726">
      <c r="C18726" s="15"/>
      <c r="E18726" s="8"/>
      <c r="G18726" s="8"/>
      <c r="J18726" s="8"/>
    </row>
    <row r="18727">
      <c r="C18727" s="15"/>
      <c r="E18727" s="8"/>
      <c r="G18727" s="8"/>
      <c r="J18727" s="8"/>
    </row>
    <row r="18728">
      <c r="C18728" s="15"/>
      <c r="E18728" s="8"/>
      <c r="G18728" s="8"/>
      <c r="J18728" s="8"/>
    </row>
    <row r="18729">
      <c r="C18729" s="15"/>
      <c r="E18729" s="8"/>
      <c r="G18729" s="8"/>
      <c r="J18729" s="8"/>
    </row>
    <row r="18730">
      <c r="C18730" s="15"/>
      <c r="E18730" s="8"/>
      <c r="G18730" s="8"/>
      <c r="J18730" s="8"/>
    </row>
    <row r="18731">
      <c r="C18731" s="15"/>
      <c r="E18731" s="8"/>
      <c r="G18731" s="8"/>
      <c r="J18731" s="8"/>
    </row>
    <row r="18732">
      <c r="C18732" s="15"/>
      <c r="E18732" s="8"/>
      <c r="G18732" s="8"/>
      <c r="J18732" s="8"/>
    </row>
    <row r="18733">
      <c r="C18733" s="15"/>
      <c r="E18733" s="8"/>
      <c r="G18733" s="8"/>
      <c r="J18733" s="8"/>
    </row>
    <row r="18734">
      <c r="C18734" s="15"/>
      <c r="E18734" s="8"/>
      <c r="G18734" s="8"/>
      <c r="J18734" s="8"/>
    </row>
    <row r="18735">
      <c r="C18735" s="15"/>
      <c r="E18735" s="8"/>
      <c r="G18735" s="8"/>
      <c r="J18735" s="8"/>
    </row>
    <row r="18736">
      <c r="C18736" s="15"/>
      <c r="E18736" s="8"/>
      <c r="G18736" s="8"/>
      <c r="J18736" s="8"/>
    </row>
    <row r="18737">
      <c r="C18737" s="15"/>
      <c r="E18737" s="8"/>
      <c r="G18737" s="8"/>
      <c r="J18737" s="8"/>
    </row>
    <row r="18738">
      <c r="C18738" s="15"/>
      <c r="E18738" s="8"/>
      <c r="G18738" s="8"/>
      <c r="J18738" s="8"/>
    </row>
    <row r="18739">
      <c r="C18739" s="15"/>
      <c r="E18739" s="8"/>
      <c r="G18739" s="8"/>
      <c r="J18739" s="8"/>
    </row>
    <row r="18740">
      <c r="C18740" s="15"/>
      <c r="E18740" s="8"/>
      <c r="G18740" s="8"/>
      <c r="J18740" s="8"/>
    </row>
    <row r="18741">
      <c r="C18741" s="15"/>
      <c r="E18741" s="8"/>
      <c r="G18741" s="8"/>
      <c r="J18741" s="8"/>
    </row>
    <row r="18742">
      <c r="C18742" s="15"/>
      <c r="E18742" s="8"/>
      <c r="G18742" s="8"/>
      <c r="J18742" s="8"/>
    </row>
    <row r="18743">
      <c r="C18743" s="15"/>
      <c r="E18743" s="8"/>
      <c r="G18743" s="8"/>
      <c r="J18743" s="8"/>
    </row>
    <row r="18744">
      <c r="C18744" s="15"/>
      <c r="E18744" s="8"/>
      <c r="G18744" s="8"/>
      <c r="J18744" s="8"/>
    </row>
    <row r="18745">
      <c r="C18745" s="15"/>
      <c r="E18745" s="8"/>
      <c r="G18745" s="8"/>
      <c r="J18745" s="8"/>
    </row>
    <row r="18746">
      <c r="C18746" s="15"/>
      <c r="E18746" s="8"/>
      <c r="G18746" s="8"/>
      <c r="J18746" s="8"/>
    </row>
    <row r="18747">
      <c r="C18747" s="15"/>
      <c r="E18747" s="8"/>
      <c r="G18747" s="8"/>
      <c r="J18747" s="8"/>
    </row>
    <row r="18748">
      <c r="C18748" s="15"/>
      <c r="E18748" s="8"/>
      <c r="G18748" s="8"/>
      <c r="J18748" s="8"/>
    </row>
    <row r="18749">
      <c r="C18749" s="15"/>
      <c r="E18749" s="8"/>
      <c r="G18749" s="8"/>
      <c r="J18749" s="8"/>
    </row>
    <row r="18750">
      <c r="C18750" s="15"/>
      <c r="E18750" s="8"/>
      <c r="G18750" s="8"/>
      <c r="J18750" s="8"/>
    </row>
    <row r="18751">
      <c r="C18751" s="15"/>
      <c r="E18751" s="8"/>
      <c r="G18751" s="8"/>
      <c r="J18751" s="8"/>
    </row>
    <row r="18752">
      <c r="C18752" s="15"/>
      <c r="E18752" s="8"/>
      <c r="G18752" s="8"/>
      <c r="J18752" s="8"/>
    </row>
    <row r="18753">
      <c r="C18753" s="15"/>
      <c r="E18753" s="8"/>
      <c r="G18753" s="8"/>
      <c r="J18753" s="8"/>
    </row>
    <row r="18754">
      <c r="C18754" s="15"/>
      <c r="E18754" s="8"/>
      <c r="G18754" s="8"/>
      <c r="J18754" s="8"/>
    </row>
    <row r="18755">
      <c r="C18755" s="15"/>
      <c r="E18755" s="8"/>
      <c r="G18755" s="8"/>
      <c r="J18755" s="8"/>
    </row>
    <row r="18756">
      <c r="C18756" s="15"/>
      <c r="E18756" s="8"/>
      <c r="G18756" s="8"/>
      <c r="J18756" s="8"/>
    </row>
    <row r="18757">
      <c r="C18757" s="15"/>
      <c r="E18757" s="8"/>
      <c r="G18757" s="8"/>
      <c r="J18757" s="8"/>
    </row>
    <row r="18758">
      <c r="C18758" s="15"/>
      <c r="E18758" s="8"/>
      <c r="G18758" s="8"/>
      <c r="J18758" s="8"/>
    </row>
    <row r="18759">
      <c r="C18759" s="15"/>
      <c r="E18759" s="8"/>
      <c r="G18759" s="8"/>
      <c r="J18759" s="8"/>
    </row>
    <row r="18760">
      <c r="C18760" s="15"/>
      <c r="E18760" s="8"/>
      <c r="G18760" s="8"/>
      <c r="J18760" s="8"/>
    </row>
    <row r="18761">
      <c r="C18761" s="15"/>
      <c r="E18761" s="8"/>
      <c r="G18761" s="8"/>
      <c r="J18761" s="8"/>
    </row>
    <row r="18762">
      <c r="C18762" s="15"/>
      <c r="E18762" s="8"/>
      <c r="G18762" s="8"/>
      <c r="J18762" s="8"/>
    </row>
    <row r="18763">
      <c r="C18763" s="15"/>
      <c r="E18763" s="8"/>
      <c r="G18763" s="8"/>
      <c r="J18763" s="8"/>
    </row>
    <row r="18764">
      <c r="C18764" s="15"/>
      <c r="E18764" s="8"/>
      <c r="G18764" s="8"/>
      <c r="J18764" s="8"/>
    </row>
    <row r="18765">
      <c r="C18765" s="15"/>
      <c r="E18765" s="8"/>
      <c r="G18765" s="8"/>
      <c r="J18765" s="8"/>
    </row>
    <row r="18766">
      <c r="C18766" s="15"/>
      <c r="E18766" s="8"/>
      <c r="G18766" s="8"/>
      <c r="J18766" s="8"/>
    </row>
    <row r="18767">
      <c r="C18767" s="15"/>
      <c r="E18767" s="8"/>
      <c r="G18767" s="8"/>
      <c r="J18767" s="8"/>
    </row>
    <row r="18768">
      <c r="C18768" s="15"/>
      <c r="E18768" s="8"/>
      <c r="G18768" s="8"/>
      <c r="J18768" s="8"/>
    </row>
    <row r="18769">
      <c r="C18769" s="15"/>
      <c r="E18769" s="8"/>
      <c r="G18769" s="8"/>
      <c r="J18769" s="8"/>
    </row>
    <row r="18770">
      <c r="C18770" s="15"/>
      <c r="E18770" s="8"/>
      <c r="G18770" s="8"/>
      <c r="J18770" s="8"/>
    </row>
    <row r="18771">
      <c r="C18771" s="15"/>
      <c r="E18771" s="8"/>
      <c r="G18771" s="8"/>
      <c r="J18771" s="8"/>
    </row>
    <row r="18772">
      <c r="C18772" s="15"/>
      <c r="E18772" s="8"/>
      <c r="G18772" s="8"/>
      <c r="J18772" s="8"/>
    </row>
    <row r="18773">
      <c r="C18773" s="15"/>
      <c r="E18773" s="8"/>
      <c r="G18773" s="8"/>
      <c r="J18773" s="8"/>
    </row>
    <row r="18774">
      <c r="C18774" s="15"/>
      <c r="E18774" s="8"/>
      <c r="G18774" s="8"/>
      <c r="J18774" s="8"/>
    </row>
    <row r="18775">
      <c r="C18775" s="15"/>
      <c r="E18775" s="8"/>
      <c r="G18775" s="8"/>
      <c r="J18775" s="8"/>
    </row>
    <row r="18776">
      <c r="C18776" s="15"/>
      <c r="E18776" s="8"/>
      <c r="G18776" s="8"/>
      <c r="J18776" s="8"/>
    </row>
    <row r="18777">
      <c r="C18777" s="15"/>
      <c r="E18777" s="8"/>
      <c r="G18777" s="8"/>
      <c r="J18777" s="8"/>
    </row>
    <row r="18778">
      <c r="C18778" s="15"/>
      <c r="E18778" s="8"/>
      <c r="G18778" s="8"/>
      <c r="J18778" s="8"/>
    </row>
    <row r="18779">
      <c r="C18779" s="15"/>
      <c r="E18779" s="8"/>
      <c r="G18779" s="8"/>
      <c r="J18779" s="8"/>
    </row>
    <row r="18780">
      <c r="C18780" s="15"/>
      <c r="E18780" s="8"/>
      <c r="G18780" s="8"/>
      <c r="J18780" s="8"/>
    </row>
    <row r="18781">
      <c r="C18781" s="15"/>
      <c r="E18781" s="8"/>
      <c r="G18781" s="8"/>
      <c r="J18781" s="8"/>
    </row>
    <row r="18782">
      <c r="C18782" s="15"/>
      <c r="E18782" s="8"/>
      <c r="G18782" s="8"/>
      <c r="J18782" s="8"/>
    </row>
    <row r="18783">
      <c r="C18783" s="15"/>
      <c r="E18783" s="8"/>
      <c r="G18783" s="8"/>
      <c r="J18783" s="8"/>
    </row>
    <row r="18784">
      <c r="C18784" s="15"/>
      <c r="E18784" s="8"/>
      <c r="G18784" s="8"/>
      <c r="J18784" s="8"/>
    </row>
    <row r="18785">
      <c r="C18785" s="15"/>
      <c r="E18785" s="8"/>
      <c r="G18785" s="8"/>
      <c r="J18785" s="8"/>
    </row>
    <row r="18786">
      <c r="C18786" s="15"/>
      <c r="E18786" s="8"/>
      <c r="G18786" s="8"/>
      <c r="J18786" s="8"/>
    </row>
    <row r="18787">
      <c r="C18787" s="15"/>
      <c r="E18787" s="8"/>
      <c r="G18787" s="8"/>
      <c r="J18787" s="8"/>
    </row>
    <row r="18788">
      <c r="C18788" s="15"/>
      <c r="E18788" s="8"/>
      <c r="G18788" s="8"/>
      <c r="J18788" s="8"/>
    </row>
    <row r="18789">
      <c r="C18789" s="15"/>
      <c r="E18789" s="8"/>
      <c r="G18789" s="8"/>
      <c r="J18789" s="8"/>
    </row>
    <row r="18790">
      <c r="C18790" s="15"/>
      <c r="E18790" s="8"/>
      <c r="G18790" s="8"/>
      <c r="J18790" s="8"/>
    </row>
    <row r="18791">
      <c r="C18791" s="15"/>
      <c r="E18791" s="8"/>
      <c r="G18791" s="8"/>
      <c r="J18791" s="8"/>
    </row>
    <row r="18792">
      <c r="C18792" s="15"/>
      <c r="E18792" s="8"/>
      <c r="G18792" s="8"/>
      <c r="J18792" s="8"/>
    </row>
    <row r="18793">
      <c r="C18793" s="15"/>
      <c r="E18793" s="8"/>
      <c r="G18793" s="8"/>
      <c r="J18793" s="8"/>
    </row>
    <row r="18794">
      <c r="C18794" s="15"/>
      <c r="E18794" s="8"/>
      <c r="G18794" s="8"/>
      <c r="J18794" s="8"/>
    </row>
    <row r="18795">
      <c r="C18795" s="15"/>
      <c r="E18795" s="8"/>
      <c r="G18795" s="8"/>
      <c r="J18795" s="8"/>
    </row>
    <row r="18796">
      <c r="C18796" s="15"/>
      <c r="E18796" s="8"/>
      <c r="G18796" s="8"/>
      <c r="J18796" s="8"/>
    </row>
    <row r="18797">
      <c r="C18797" s="15"/>
      <c r="E18797" s="8"/>
      <c r="G18797" s="8"/>
      <c r="J18797" s="8"/>
    </row>
    <row r="18798">
      <c r="C18798" s="15"/>
      <c r="E18798" s="8"/>
      <c r="G18798" s="8"/>
      <c r="J18798" s="8"/>
    </row>
    <row r="18799">
      <c r="C18799" s="15"/>
      <c r="E18799" s="8"/>
      <c r="G18799" s="8"/>
      <c r="J18799" s="8"/>
    </row>
    <row r="18800">
      <c r="C18800" s="15"/>
      <c r="E18800" s="8"/>
      <c r="G18800" s="8"/>
      <c r="J18800" s="8"/>
    </row>
    <row r="18801">
      <c r="C18801" s="15"/>
      <c r="E18801" s="8"/>
      <c r="G18801" s="8"/>
      <c r="J18801" s="8"/>
    </row>
    <row r="18802">
      <c r="C18802" s="15"/>
      <c r="E18802" s="8"/>
      <c r="G18802" s="8"/>
      <c r="J18802" s="8"/>
    </row>
    <row r="18803">
      <c r="C18803" s="15"/>
      <c r="E18803" s="8"/>
      <c r="G18803" s="8"/>
      <c r="J18803" s="8"/>
    </row>
    <row r="18804">
      <c r="C18804" s="15"/>
      <c r="E18804" s="8"/>
      <c r="G18804" s="8"/>
      <c r="J18804" s="8"/>
    </row>
    <row r="18805">
      <c r="C18805" s="15"/>
      <c r="E18805" s="8"/>
      <c r="G18805" s="8"/>
      <c r="J18805" s="8"/>
    </row>
    <row r="18806">
      <c r="C18806" s="15"/>
      <c r="E18806" s="8"/>
      <c r="G18806" s="8"/>
      <c r="J18806" s="8"/>
    </row>
    <row r="18807">
      <c r="C18807" s="15"/>
      <c r="E18807" s="8"/>
      <c r="G18807" s="8"/>
      <c r="J18807" s="8"/>
    </row>
    <row r="18808">
      <c r="C18808" s="15"/>
      <c r="E18808" s="8"/>
      <c r="G18808" s="8"/>
      <c r="J18808" s="8"/>
    </row>
    <row r="18809">
      <c r="C18809" s="15"/>
      <c r="E18809" s="8"/>
      <c r="G18809" s="8"/>
      <c r="J18809" s="8"/>
    </row>
    <row r="18810">
      <c r="C18810" s="15"/>
      <c r="E18810" s="8"/>
      <c r="G18810" s="8"/>
      <c r="J18810" s="8"/>
    </row>
    <row r="18811">
      <c r="C18811" s="15"/>
      <c r="E18811" s="8"/>
      <c r="G18811" s="8"/>
      <c r="J18811" s="8"/>
    </row>
    <row r="18812">
      <c r="C18812" s="15"/>
      <c r="E18812" s="8"/>
      <c r="G18812" s="8"/>
      <c r="J18812" s="8"/>
    </row>
    <row r="18813">
      <c r="C18813" s="15"/>
      <c r="E18813" s="8"/>
      <c r="G18813" s="8"/>
      <c r="J18813" s="8"/>
    </row>
    <row r="18814">
      <c r="C18814" s="15"/>
      <c r="E18814" s="8"/>
      <c r="G18814" s="8"/>
      <c r="J18814" s="8"/>
    </row>
    <row r="18815">
      <c r="C18815" s="15"/>
      <c r="E18815" s="8"/>
      <c r="G18815" s="8"/>
      <c r="J18815" s="8"/>
    </row>
    <row r="18816">
      <c r="C18816" s="15"/>
      <c r="E18816" s="8"/>
      <c r="G18816" s="8"/>
      <c r="J18816" s="8"/>
    </row>
    <row r="18817">
      <c r="C18817" s="15"/>
      <c r="E18817" s="8"/>
      <c r="G18817" s="8"/>
      <c r="J18817" s="8"/>
    </row>
    <row r="18818">
      <c r="C18818" s="15"/>
      <c r="E18818" s="8"/>
      <c r="G18818" s="8"/>
      <c r="J18818" s="8"/>
    </row>
    <row r="18819">
      <c r="C18819" s="15"/>
      <c r="E18819" s="8"/>
      <c r="G18819" s="8"/>
      <c r="J18819" s="8"/>
    </row>
    <row r="18820">
      <c r="C18820" s="15"/>
      <c r="E18820" s="8"/>
      <c r="G18820" s="8"/>
      <c r="J18820" s="8"/>
    </row>
    <row r="18821">
      <c r="C18821" s="15"/>
      <c r="E18821" s="8"/>
      <c r="G18821" s="8"/>
      <c r="J18821" s="8"/>
    </row>
    <row r="18822">
      <c r="C18822" s="15"/>
      <c r="E18822" s="8"/>
      <c r="G18822" s="8"/>
      <c r="J18822" s="8"/>
    </row>
    <row r="18823">
      <c r="C18823" s="15"/>
      <c r="E18823" s="8"/>
      <c r="G18823" s="8"/>
      <c r="J18823" s="8"/>
    </row>
    <row r="18824">
      <c r="C18824" s="15"/>
      <c r="E18824" s="8"/>
      <c r="G18824" s="8"/>
      <c r="J18824" s="8"/>
    </row>
    <row r="18825">
      <c r="C18825" s="15"/>
      <c r="E18825" s="8"/>
      <c r="G18825" s="8"/>
      <c r="J18825" s="8"/>
    </row>
    <row r="18826">
      <c r="C18826" s="15"/>
      <c r="E18826" s="8"/>
      <c r="G18826" s="8"/>
      <c r="J18826" s="8"/>
    </row>
    <row r="18827">
      <c r="C18827" s="15"/>
      <c r="E18827" s="8"/>
      <c r="G18827" s="8"/>
      <c r="J18827" s="8"/>
    </row>
    <row r="18828">
      <c r="C18828" s="15"/>
      <c r="E18828" s="8"/>
      <c r="G18828" s="8"/>
      <c r="J18828" s="8"/>
    </row>
    <row r="18829">
      <c r="C18829" s="15"/>
      <c r="E18829" s="8"/>
      <c r="G18829" s="8"/>
      <c r="J18829" s="8"/>
    </row>
    <row r="18830">
      <c r="C18830" s="15"/>
      <c r="E18830" s="8"/>
      <c r="G18830" s="8"/>
      <c r="J18830" s="8"/>
    </row>
    <row r="18831">
      <c r="C18831" s="15"/>
      <c r="E18831" s="8"/>
      <c r="G18831" s="8"/>
      <c r="J18831" s="8"/>
    </row>
    <row r="18832">
      <c r="C18832" s="15"/>
      <c r="E18832" s="8"/>
      <c r="G18832" s="8"/>
      <c r="J18832" s="8"/>
    </row>
    <row r="18833">
      <c r="C18833" s="15"/>
      <c r="E18833" s="8"/>
      <c r="G18833" s="8"/>
      <c r="J18833" s="8"/>
    </row>
    <row r="18834">
      <c r="C18834" s="15"/>
      <c r="E18834" s="8"/>
      <c r="G18834" s="8"/>
      <c r="J18834" s="8"/>
    </row>
    <row r="18835">
      <c r="C18835" s="15"/>
      <c r="E18835" s="8"/>
      <c r="G18835" s="8"/>
      <c r="J18835" s="8"/>
    </row>
    <row r="18836">
      <c r="C18836" s="15"/>
      <c r="E18836" s="8"/>
      <c r="G18836" s="8"/>
      <c r="J18836" s="8"/>
    </row>
    <row r="18837">
      <c r="C18837" s="15"/>
      <c r="E18837" s="8"/>
      <c r="G18837" s="8"/>
      <c r="J18837" s="8"/>
    </row>
    <row r="18838">
      <c r="C18838" s="15"/>
      <c r="E18838" s="8"/>
      <c r="G18838" s="8"/>
      <c r="J18838" s="8"/>
    </row>
    <row r="18839">
      <c r="C18839" s="15"/>
      <c r="E18839" s="8"/>
      <c r="G18839" s="8"/>
      <c r="J18839" s="8"/>
    </row>
    <row r="18840">
      <c r="C18840" s="15"/>
      <c r="E18840" s="8"/>
      <c r="G18840" s="8"/>
      <c r="J18840" s="8"/>
    </row>
    <row r="18841">
      <c r="C18841" s="15"/>
      <c r="E18841" s="8"/>
      <c r="G18841" s="8"/>
      <c r="J18841" s="8"/>
    </row>
    <row r="18842">
      <c r="C18842" s="15"/>
      <c r="E18842" s="8"/>
      <c r="G18842" s="8"/>
      <c r="J18842" s="8"/>
    </row>
    <row r="18843">
      <c r="C18843" s="15"/>
      <c r="E18843" s="8"/>
      <c r="G18843" s="8"/>
      <c r="J18843" s="8"/>
    </row>
    <row r="18844">
      <c r="C18844" s="15"/>
      <c r="E18844" s="8"/>
      <c r="G18844" s="8"/>
      <c r="J18844" s="8"/>
    </row>
    <row r="18845">
      <c r="C18845" s="15"/>
      <c r="E18845" s="8"/>
      <c r="G18845" s="8"/>
      <c r="J18845" s="8"/>
    </row>
    <row r="18846">
      <c r="C18846" s="15"/>
      <c r="E18846" s="8"/>
      <c r="G18846" s="8"/>
      <c r="J18846" s="8"/>
    </row>
    <row r="18847">
      <c r="C18847" s="15"/>
      <c r="E18847" s="8"/>
      <c r="G18847" s="8"/>
      <c r="J18847" s="8"/>
    </row>
    <row r="18848">
      <c r="C18848" s="15"/>
      <c r="E18848" s="8"/>
      <c r="G18848" s="8"/>
      <c r="J18848" s="8"/>
    </row>
    <row r="18849">
      <c r="C18849" s="15"/>
      <c r="E18849" s="8"/>
      <c r="G18849" s="8"/>
      <c r="J18849" s="8"/>
    </row>
    <row r="18850">
      <c r="C18850" s="15"/>
      <c r="E18850" s="8"/>
      <c r="G18850" s="8"/>
      <c r="J18850" s="8"/>
    </row>
    <row r="18851">
      <c r="C18851" s="15"/>
      <c r="E18851" s="8"/>
      <c r="G18851" s="8"/>
      <c r="J18851" s="8"/>
    </row>
    <row r="18852">
      <c r="C18852" s="15"/>
      <c r="E18852" s="8"/>
      <c r="G18852" s="8"/>
      <c r="J18852" s="8"/>
    </row>
    <row r="18853">
      <c r="C18853" s="15"/>
      <c r="E18853" s="8"/>
      <c r="G18853" s="8"/>
      <c r="J18853" s="8"/>
    </row>
    <row r="18854">
      <c r="C18854" s="15"/>
      <c r="E18854" s="8"/>
      <c r="G18854" s="8"/>
      <c r="J18854" s="8"/>
    </row>
    <row r="18855">
      <c r="C18855" s="15"/>
      <c r="E18855" s="8"/>
      <c r="G18855" s="8"/>
      <c r="J18855" s="8"/>
    </row>
    <row r="18856">
      <c r="C18856" s="15"/>
      <c r="E18856" s="8"/>
      <c r="G18856" s="8"/>
      <c r="J18856" s="8"/>
    </row>
    <row r="18857">
      <c r="C18857" s="15"/>
      <c r="E18857" s="8"/>
      <c r="G18857" s="8"/>
      <c r="J18857" s="8"/>
    </row>
    <row r="18858">
      <c r="C18858" s="15"/>
      <c r="E18858" s="8"/>
      <c r="G18858" s="8"/>
      <c r="J18858" s="8"/>
    </row>
    <row r="18859">
      <c r="C18859" s="15"/>
      <c r="E18859" s="8"/>
      <c r="G18859" s="8"/>
      <c r="J18859" s="8"/>
    </row>
    <row r="18860">
      <c r="C18860" s="15"/>
      <c r="E18860" s="8"/>
      <c r="G18860" s="8"/>
      <c r="J18860" s="8"/>
    </row>
    <row r="18861">
      <c r="C18861" s="15"/>
      <c r="E18861" s="8"/>
      <c r="G18861" s="8"/>
      <c r="J18861" s="8"/>
    </row>
    <row r="18862">
      <c r="C18862" s="15"/>
      <c r="E18862" s="8"/>
      <c r="G18862" s="8"/>
      <c r="J18862" s="8"/>
    </row>
    <row r="18863">
      <c r="C18863" s="15"/>
      <c r="E18863" s="8"/>
      <c r="G18863" s="8"/>
      <c r="J18863" s="8"/>
    </row>
    <row r="18864">
      <c r="C18864" s="15"/>
      <c r="E18864" s="8"/>
      <c r="G18864" s="8"/>
      <c r="J18864" s="8"/>
    </row>
    <row r="18865">
      <c r="C18865" s="15"/>
      <c r="E18865" s="8"/>
      <c r="G18865" s="8"/>
      <c r="J18865" s="8"/>
    </row>
    <row r="18866">
      <c r="C18866" s="15"/>
      <c r="E18866" s="8"/>
      <c r="G18866" s="8"/>
      <c r="J18866" s="8"/>
    </row>
    <row r="18867">
      <c r="C18867" s="15"/>
      <c r="E18867" s="8"/>
      <c r="G18867" s="8"/>
      <c r="J18867" s="8"/>
    </row>
    <row r="18868">
      <c r="C18868" s="15"/>
      <c r="E18868" s="8"/>
      <c r="G18868" s="8"/>
      <c r="J18868" s="8"/>
    </row>
    <row r="18869">
      <c r="C18869" s="15"/>
      <c r="E18869" s="8"/>
      <c r="G18869" s="8"/>
      <c r="J18869" s="8"/>
    </row>
    <row r="18870">
      <c r="C18870" s="15"/>
      <c r="E18870" s="8"/>
      <c r="G18870" s="8"/>
      <c r="J18870" s="8"/>
    </row>
    <row r="18871">
      <c r="C18871" s="15"/>
      <c r="E18871" s="8"/>
      <c r="G18871" s="8"/>
      <c r="J18871" s="8"/>
    </row>
    <row r="18872">
      <c r="C18872" s="15"/>
      <c r="E18872" s="8"/>
      <c r="G18872" s="8"/>
      <c r="J18872" s="8"/>
    </row>
    <row r="18873">
      <c r="C18873" s="15"/>
      <c r="E18873" s="8"/>
      <c r="G18873" s="8"/>
      <c r="J18873" s="8"/>
    </row>
    <row r="18874">
      <c r="C18874" s="15"/>
      <c r="E18874" s="8"/>
      <c r="G18874" s="8"/>
      <c r="J18874" s="8"/>
    </row>
    <row r="18875">
      <c r="C18875" s="15"/>
      <c r="E18875" s="8"/>
      <c r="G18875" s="8"/>
      <c r="J18875" s="8"/>
    </row>
    <row r="18876">
      <c r="C18876" s="15"/>
      <c r="E18876" s="8"/>
      <c r="G18876" s="8"/>
      <c r="J18876" s="8"/>
    </row>
    <row r="18877">
      <c r="C18877" s="15"/>
      <c r="E18877" s="8"/>
      <c r="G18877" s="8"/>
      <c r="J18877" s="8"/>
    </row>
    <row r="18878">
      <c r="C18878" s="15"/>
      <c r="E18878" s="8"/>
      <c r="G18878" s="8"/>
      <c r="J18878" s="8"/>
    </row>
    <row r="18879">
      <c r="C18879" s="15"/>
      <c r="E18879" s="8"/>
      <c r="G18879" s="8"/>
      <c r="J18879" s="8"/>
    </row>
    <row r="18880">
      <c r="C18880" s="15"/>
      <c r="E18880" s="8"/>
      <c r="G18880" s="8"/>
      <c r="J18880" s="8"/>
    </row>
    <row r="18881">
      <c r="C18881" s="15"/>
      <c r="E18881" s="8"/>
      <c r="G18881" s="8"/>
      <c r="J18881" s="8"/>
    </row>
    <row r="18882">
      <c r="C18882" s="15"/>
      <c r="E18882" s="8"/>
      <c r="G18882" s="8"/>
      <c r="J18882" s="8"/>
    </row>
    <row r="18883">
      <c r="C18883" s="15"/>
      <c r="E18883" s="8"/>
      <c r="G18883" s="8"/>
      <c r="J18883" s="8"/>
    </row>
    <row r="18884">
      <c r="C18884" s="15"/>
      <c r="E18884" s="8"/>
      <c r="G18884" s="8"/>
      <c r="J18884" s="8"/>
    </row>
    <row r="18885">
      <c r="C18885" s="15"/>
      <c r="E18885" s="8"/>
      <c r="G18885" s="8"/>
      <c r="J18885" s="8"/>
    </row>
    <row r="18886">
      <c r="C18886" s="15"/>
      <c r="E18886" s="8"/>
      <c r="G18886" s="8"/>
      <c r="J18886" s="8"/>
    </row>
    <row r="18887">
      <c r="C18887" s="15"/>
      <c r="E18887" s="8"/>
      <c r="G18887" s="8"/>
      <c r="J18887" s="8"/>
    </row>
    <row r="18888">
      <c r="C18888" s="15"/>
      <c r="E18888" s="8"/>
      <c r="G18888" s="8"/>
      <c r="J18888" s="8"/>
    </row>
    <row r="18889">
      <c r="C18889" s="15"/>
      <c r="E18889" s="8"/>
      <c r="G18889" s="8"/>
      <c r="J18889" s="8"/>
    </row>
    <row r="18890">
      <c r="C18890" s="15"/>
      <c r="E18890" s="8"/>
      <c r="G18890" s="8"/>
      <c r="J18890" s="8"/>
    </row>
    <row r="18891">
      <c r="C18891" s="15"/>
      <c r="E18891" s="8"/>
      <c r="G18891" s="8"/>
      <c r="J18891" s="8"/>
    </row>
    <row r="18892">
      <c r="C18892" s="15"/>
      <c r="E18892" s="8"/>
      <c r="G18892" s="8"/>
      <c r="J18892" s="8"/>
    </row>
    <row r="18893">
      <c r="C18893" s="15"/>
      <c r="E18893" s="8"/>
      <c r="G18893" s="8"/>
      <c r="J18893" s="8"/>
    </row>
    <row r="18894">
      <c r="C18894" s="15"/>
      <c r="E18894" s="8"/>
      <c r="G18894" s="8"/>
      <c r="J18894" s="8"/>
    </row>
    <row r="18895">
      <c r="C18895" s="15"/>
      <c r="E18895" s="8"/>
      <c r="G18895" s="8"/>
      <c r="J18895" s="8"/>
    </row>
    <row r="18896">
      <c r="C18896" s="15"/>
      <c r="E18896" s="8"/>
      <c r="G18896" s="8"/>
      <c r="J18896" s="8"/>
    </row>
    <row r="18897">
      <c r="C18897" s="15"/>
      <c r="E18897" s="8"/>
      <c r="G18897" s="8"/>
      <c r="J18897" s="8"/>
    </row>
    <row r="18898">
      <c r="C18898" s="15"/>
      <c r="E18898" s="8"/>
      <c r="G18898" s="8"/>
      <c r="J18898" s="8"/>
    </row>
    <row r="18899">
      <c r="C18899" s="15"/>
      <c r="E18899" s="8"/>
      <c r="G18899" s="8"/>
      <c r="J18899" s="8"/>
    </row>
    <row r="18900">
      <c r="C18900" s="15"/>
      <c r="E18900" s="8"/>
      <c r="G18900" s="8"/>
      <c r="J18900" s="8"/>
    </row>
    <row r="18901">
      <c r="C18901" s="15"/>
      <c r="E18901" s="8"/>
      <c r="G18901" s="8"/>
      <c r="J18901" s="8"/>
    </row>
    <row r="18902">
      <c r="C18902" s="15"/>
      <c r="E18902" s="8"/>
      <c r="G18902" s="8"/>
      <c r="J18902" s="8"/>
    </row>
    <row r="18903">
      <c r="C18903" s="15"/>
      <c r="E18903" s="8"/>
      <c r="G18903" s="8"/>
      <c r="J18903" s="8"/>
    </row>
    <row r="18904">
      <c r="C18904" s="15"/>
      <c r="E18904" s="8"/>
      <c r="G18904" s="8"/>
      <c r="J18904" s="8"/>
    </row>
    <row r="18905">
      <c r="C18905" s="15"/>
      <c r="E18905" s="8"/>
      <c r="G18905" s="8"/>
      <c r="J18905" s="8"/>
    </row>
    <row r="18906">
      <c r="C18906" s="15"/>
      <c r="E18906" s="8"/>
      <c r="G18906" s="8"/>
      <c r="J18906" s="8"/>
    </row>
    <row r="18907">
      <c r="C18907" s="15"/>
      <c r="E18907" s="8"/>
      <c r="G18907" s="8"/>
      <c r="J18907" s="8"/>
    </row>
    <row r="18908">
      <c r="C18908" s="15"/>
      <c r="E18908" s="8"/>
      <c r="G18908" s="8"/>
      <c r="J18908" s="8"/>
    </row>
    <row r="18909">
      <c r="C18909" s="15"/>
      <c r="E18909" s="8"/>
      <c r="G18909" s="8"/>
      <c r="J18909" s="8"/>
    </row>
    <row r="18910">
      <c r="C18910" s="15"/>
      <c r="E18910" s="8"/>
      <c r="G18910" s="8"/>
      <c r="J18910" s="8"/>
    </row>
    <row r="18911">
      <c r="C18911" s="15"/>
      <c r="E18911" s="8"/>
      <c r="G18911" s="8"/>
      <c r="J18911" s="8"/>
    </row>
    <row r="18912">
      <c r="C18912" s="15"/>
      <c r="E18912" s="8"/>
      <c r="G18912" s="8"/>
      <c r="J18912" s="8"/>
    </row>
    <row r="18913">
      <c r="C18913" s="15"/>
      <c r="E18913" s="8"/>
      <c r="G18913" s="8"/>
      <c r="J18913" s="8"/>
    </row>
    <row r="18914">
      <c r="C18914" s="15"/>
      <c r="E18914" s="8"/>
      <c r="G18914" s="8"/>
      <c r="J18914" s="8"/>
    </row>
    <row r="18915">
      <c r="C18915" s="15"/>
      <c r="E18915" s="8"/>
      <c r="G18915" s="8"/>
      <c r="J18915" s="8"/>
    </row>
    <row r="18916">
      <c r="C18916" s="15"/>
      <c r="E18916" s="8"/>
      <c r="G18916" s="8"/>
      <c r="J18916" s="8"/>
    </row>
    <row r="18917">
      <c r="C18917" s="15"/>
      <c r="E18917" s="8"/>
      <c r="G18917" s="8"/>
      <c r="J18917" s="8"/>
    </row>
    <row r="18918">
      <c r="C18918" s="15"/>
      <c r="E18918" s="8"/>
      <c r="G18918" s="8"/>
      <c r="J18918" s="8"/>
    </row>
    <row r="18919">
      <c r="C18919" s="15"/>
      <c r="E18919" s="8"/>
      <c r="G18919" s="8"/>
      <c r="J18919" s="8"/>
    </row>
    <row r="18920">
      <c r="C18920" s="15"/>
      <c r="E18920" s="8"/>
      <c r="G18920" s="8"/>
      <c r="J18920" s="8"/>
    </row>
    <row r="18921">
      <c r="C18921" s="15"/>
      <c r="E18921" s="8"/>
      <c r="G18921" s="8"/>
      <c r="J18921" s="8"/>
    </row>
    <row r="18922">
      <c r="C18922" s="15"/>
      <c r="E18922" s="8"/>
      <c r="G18922" s="8"/>
      <c r="J18922" s="8"/>
    </row>
    <row r="18923">
      <c r="C18923" s="15"/>
      <c r="E18923" s="8"/>
      <c r="G18923" s="8"/>
      <c r="J18923" s="8"/>
    </row>
    <row r="18924">
      <c r="C18924" s="15"/>
      <c r="E18924" s="8"/>
      <c r="G18924" s="8"/>
      <c r="J18924" s="8"/>
    </row>
    <row r="18925">
      <c r="C18925" s="15"/>
      <c r="E18925" s="8"/>
      <c r="G18925" s="8"/>
      <c r="J18925" s="8"/>
    </row>
    <row r="18926">
      <c r="C18926" s="15"/>
      <c r="E18926" s="8"/>
      <c r="G18926" s="8"/>
      <c r="J18926" s="8"/>
    </row>
    <row r="18927">
      <c r="C18927" s="15"/>
      <c r="E18927" s="8"/>
      <c r="G18927" s="8"/>
      <c r="J18927" s="8"/>
    </row>
    <row r="18928">
      <c r="C18928" s="15"/>
      <c r="E18928" s="8"/>
      <c r="G18928" s="8"/>
      <c r="J18928" s="8"/>
    </row>
    <row r="18929">
      <c r="C18929" s="15"/>
      <c r="E18929" s="8"/>
      <c r="G18929" s="8"/>
      <c r="J18929" s="8"/>
    </row>
    <row r="18930">
      <c r="C18930" s="15"/>
      <c r="E18930" s="8"/>
      <c r="G18930" s="8"/>
      <c r="J18930" s="8"/>
    </row>
    <row r="18931">
      <c r="C18931" s="15"/>
      <c r="E18931" s="8"/>
      <c r="G18931" s="8"/>
      <c r="J18931" s="8"/>
    </row>
    <row r="18932">
      <c r="C18932" s="15"/>
      <c r="E18932" s="8"/>
      <c r="G18932" s="8"/>
      <c r="J18932" s="8"/>
    </row>
    <row r="18933">
      <c r="C18933" s="15"/>
      <c r="E18933" s="8"/>
      <c r="G18933" s="8"/>
      <c r="J18933" s="8"/>
    </row>
    <row r="18934">
      <c r="C18934" s="15"/>
      <c r="E18934" s="8"/>
      <c r="G18934" s="8"/>
      <c r="J18934" s="8"/>
    </row>
    <row r="18935">
      <c r="C18935" s="15"/>
      <c r="E18935" s="8"/>
      <c r="G18935" s="8"/>
      <c r="J18935" s="8"/>
    </row>
    <row r="18936">
      <c r="C18936" s="15"/>
      <c r="E18936" s="8"/>
      <c r="G18936" s="8"/>
      <c r="J18936" s="8"/>
    </row>
    <row r="18937">
      <c r="C18937" s="15"/>
      <c r="E18937" s="8"/>
      <c r="G18937" s="8"/>
      <c r="J18937" s="8"/>
    </row>
    <row r="18938">
      <c r="C18938" s="15"/>
      <c r="E18938" s="8"/>
      <c r="G18938" s="8"/>
      <c r="J18938" s="8"/>
    </row>
    <row r="18939">
      <c r="C18939" s="15"/>
      <c r="E18939" s="8"/>
      <c r="G18939" s="8"/>
      <c r="J18939" s="8"/>
    </row>
    <row r="18940">
      <c r="C18940" s="15"/>
      <c r="E18940" s="8"/>
      <c r="G18940" s="8"/>
      <c r="J18940" s="8"/>
    </row>
    <row r="18941">
      <c r="C18941" s="15"/>
      <c r="E18941" s="8"/>
      <c r="G18941" s="8"/>
      <c r="J18941" s="8"/>
    </row>
    <row r="18942">
      <c r="C18942" s="15"/>
      <c r="E18942" s="8"/>
      <c r="G18942" s="8"/>
      <c r="J18942" s="8"/>
    </row>
    <row r="18943">
      <c r="C18943" s="15"/>
      <c r="E18943" s="8"/>
      <c r="G18943" s="8"/>
      <c r="J18943" s="8"/>
    </row>
    <row r="18944">
      <c r="C18944" s="15"/>
      <c r="E18944" s="8"/>
      <c r="G18944" s="8"/>
      <c r="J18944" s="8"/>
    </row>
    <row r="18945">
      <c r="C18945" s="15"/>
      <c r="E18945" s="8"/>
      <c r="G18945" s="8"/>
      <c r="J18945" s="8"/>
    </row>
    <row r="18946">
      <c r="C18946" s="15"/>
      <c r="E18946" s="8"/>
      <c r="G18946" s="8"/>
      <c r="J18946" s="8"/>
    </row>
    <row r="18947">
      <c r="C18947" s="15"/>
      <c r="E18947" s="8"/>
      <c r="G18947" s="8"/>
      <c r="J18947" s="8"/>
    </row>
    <row r="18948">
      <c r="C18948" s="15"/>
      <c r="E18948" s="8"/>
      <c r="G18948" s="8"/>
      <c r="J18948" s="8"/>
    </row>
    <row r="18949">
      <c r="C18949" s="15"/>
      <c r="E18949" s="8"/>
      <c r="G18949" s="8"/>
      <c r="J18949" s="8"/>
    </row>
    <row r="18950">
      <c r="C18950" s="15"/>
      <c r="E18950" s="8"/>
      <c r="G18950" s="8"/>
      <c r="J18950" s="8"/>
    </row>
    <row r="18951">
      <c r="C18951" s="15"/>
      <c r="E18951" s="8"/>
      <c r="G18951" s="8"/>
      <c r="J18951" s="8"/>
    </row>
    <row r="18952">
      <c r="C18952" s="15"/>
      <c r="E18952" s="8"/>
      <c r="G18952" s="8"/>
      <c r="J18952" s="8"/>
    </row>
    <row r="18953">
      <c r="C18953" s="15"/>
      <c r="E18953" s="8"/>
      <c r="G18953" s="8"/>
      <c r="J18953" s="8"/>
    </row>
    <row r="18954">
      <c r="C18954" s="15"/>
      <c r="E18954" s="8"/>
      <c r="G18954" s="8"/>
      <c r="J18954" s="8"/>
    </row>
    <row r="18955">
      <c r="C18955" s="15"/>
      <c r="E18955" s="8"/>
      <c r="G18955" s="8"/>
      <c r="J18955" s="8"/>
    </row>
    <row r="18956">
      <c r="C18956" s="15"/>
      <c r="E18956" s="8"/>
      <c r="G18956" s="8"/>
      <c r="J18956" s="8"/>
    </row>
    <row r="18957">
      <c r="C18957" s="15"/>
      <c r="E18957" s="8"/>
      <c r="G18957" s="8"/>
      <c r="J18957" s="8"/>
    </row>
    <row r="18958">
      <c r="C18958" s="15"/>
      <c r="E18958" s="8"/>
      <c r="G18958" s="8"/>
      <c r="J18958" s="8"/>
    </row>
    <row r="18959">
      <c r="C18959" s="15"/>
      <c r="E18959" s="8"/>
      <c r="G18959" s="8"/>
      <c r="J18959" s="8"/>
    </row>
    <row r="18960">
      <c r="C18960" s="15"/>
      <c r="E18960" s="8"/>
      <c r="G18960" s="8"/>
      <c r="J18960" s="8"/>
    </row>
    <row r="18961">
      <c r="C18961" s="15"/>
      <c r="E18961" s="8"/>
      <c r="G18961" s="8"/>
      <c r="J18961" s="8"/>
    </row>
    <row r="18962">
      <c r="C18962" s="15"/>
      <c r="E18962" s="8"/>
      <c r="G18962" s="8"/>
      <c r="J18962" s="8"/>
    </row>
    <row r="18963">
      <c r="C18963" s="15"/>
      <c r="E18963" s="8"/>
      <c r="G18963" s="8"/>
      <c r="J18963" s="8"/>
    </row>
    <row r="18964">
      <c r="C18964" s="15"/>
      <c r="E18964" s="8"/>
      <c r="G18964" s="8"/>
      <c r="J18964" s="8"/>
    </row>
    <row r="18965">
      <c r="C18965" s="15"/>
      <c r="E18965" s="8"/>
      <c r="G18965" s="8"/>
      <c r="J18965" s="8"/>
    </row>
    <row r="18966">
      <c r="C18966" s="15"/>
      <c r="E18966" s="8"/>
      <c r="G18966" s="8"/>
      <c r="J18966" s="8"/>
    </row>
    <row r="18967">
      <c r="C18967" s="15"/>
      <c r="E18967" s="8"/>
      <c r="G18967" s="8"/>
      <c r="J18967" s="8"/>
    </row>
    <row r="18968">
      <c r="C18968" s="15"/>
      <c r="E18968" s="8"/>
      <c r="G18968" s="8"/>
      <c r="J18968" s="8"/>
    </row>
    <row r="18969">
      <c r="C18969" s="15"/>
      <c r="E18969" s="8"/>
      <c r="G18969" s="8"/>
      <c r="J18969" s="8"/>
    </row>
    <row r="18970">
      <c r="C18970" s="15"/>
      <c r="E18970" s="8"/>
      <c r="G18970" s="8"/>
      <c r="J18970" s="8"/>
    </row>
    <row r="18971">
      <c r="C18971" s="15"/>
      <c r="E18971" s="8"/>
      <c r="G18971" s="8"/>
      <c r="J18971" s="8"/>
    </row>
    <row r="18972">
      <c r="C18972" s="15"/>
      <c r="E18972" s="8"/>
      <c r="G18972" s="8"/>
      <c r="J18972" s="8"/>
    </row>
    <row r="18973">
      <c r="C18973" s="15"/>
      <c r="E18973" s="8"/>
      <c r="G18973" s="8"/>
      <c r="J18973" s="8"/>
    </row>
    <row r="18974">
      <c r="C18974" s="15"/>
      <c r="E18974" s="8"/>
      <c r="G18974" s="8"/>
      <c r="J18974" s="8"/>
    </row>
    <row r="18975">
      <c r="C18975" s="15"/>
      <c r="E18975" s="8"/>
      <c r="G18975" s="8"/>
      <c r="J18975" s="8"/>
    </row>
    <row r="18976">
      <c r="C18976" s="15"/>
      <c r="E18976" s="8"/>
      <c r="G18976" s="8"/>
      <c r="J18976" s="8"/>
    </row>
    <row r="18977">
      <c r="C18977" s="15"/>
      <c r="E18977" s="8"/>
      <c r="G18977" s="8"/>
      <c r="J18977" s="8"/>
    </row>
    <row r="18978">
      <c r="C18978" s="15"/>
      <c r="E18978" s="8"/>
      <c r="G18978" s="8"/>
      <c r="J18978" s="8"/>
    </row>
    <row r="18979">
      <c r="C18979" s="15"/>
      <c r="E18979" s="8"/>
      <c r="G18979" s="8"/>
      <c r="J18979" s="8"/>
    </row>
    <row r="18980">
      <c r="C18980" s="15"/>
      <c r="E18980" s="8"/>
      <c r="G18980" s="8"/>
      <c r="J18980" s="8"/>
    </row>
    <row r="18981">
      <c r="C18981" s="15"/>
      <c r="E18981" s="8"/>
      <c r="G18981" s="8"/>
      <c r="J18981" s="8"/>
    </row>
    <row r="18982">
      <c r="C18982" s="15"/>
      <c r="E18982" s="8"/>
      <c r="G18982" s="8"/>
      <c r="J18982" s="8"/>
    </row>
    <row r="18983">
      <c r="C18983" s="15"/>
      <c r="E18983" s="8"/>
      <c r="G18983" s="8"/>
      <c r="J18983" s="8"/>
    </row>
    <row r="18984">
      <c r="C18984" s="15"/>
      <c r="E18984" s="8"/>
      <c r="G18984" s="8"/>
      <c r="J18984" s="8"/>
    </row>
    <row r="18985">
      <c r="C18985" s="15"/>
      <c r="E18985" s="8"/>
      <c r="G18985" s="8"/>
      <c r="J18985" s="8"/>
    </row>
    <row r="18986">
      <c r="C18986" s="15"/>
      <c r="E18986" s="8"/>
      <c r="G18986" s="8"/>
      <c r="J18986" s="8"/>
    </row>
    <row r="18987">
      <c r="C18987" s="15"/>
      <c r="E18987" s="8"/>
      <c r="G18987" s="8"/>
      <c r="J18987" s="8"/>
    </row>
    <row r="18988">
      <c r="C18988" s="15"/>
      <c r="E18988" s="8"/>
      <c r="G18988" s="8"/>
      <c r="J18988" s="8"/>
    </row>
    <row r="18989">
      <c r="C18989" s="15"/>
      <c r="E18989" s="8"/>
      <c r="G18989" s="8"/>
      <c r="J18989" s="8"/>
    </row>
    <row r="18990">
      <c r="C18990" s="15"/>
      <c r="E18990" s="8"/>
      <c r="G18990" s="8"/>
      <c r="J18990" s="8"/>
    </row>
    <row r="18991">
      <c r="C18991" s="15"/>
      <c r="E18991" s="8"/>
      <c r="G18991" s="8"/>
      <c r="J18991" s="8"/>
    </row>
    <row r="18992">
      <c r="C18992" s="15"/>
      <c r="E18992" s="8"/>
      <c r="G18992" s="8"/>
      <c r="J18992" s="8"/>
    </row>
    <row r="18993">
      <c r="C18993" s="15"/>
      <c r="E18993" s="8"/>
      <c r="G18993" s="8"/>
      <c r="J18993" s="8"/>
    </row>
    <row r="18994">
      <c r="C18994" s="15"/>
      <c r="E18994" s="8"/>
      <c r="G18994" s="8"/>
      <c r="J18994" s="8"/>
    </row>
    <row r="18995">
      <c r="C18995" s="15"/>
      <c r="E18995" s="8"/>
      <c r="G18995" s="8"/>
      <c r="J18995" s="8"/>
    </row>
    <row r="18996">
      <c r="C18996" s="15"/>
      <c r="E18996" s="8"/>
      <c r="G18996" s="8"/>
      <c r="J18996" s="8"/>
    </row>
    <row r="18997">
      <c r="C18997" s="15"/>
      <c r="E18997" s="8"/>
      <c r="G18997" s="8"/>
      <c r="J18997" s="8"/>
    </row>
    <row r="18998">
      <c r="C18998" s="15"/>
      <c r="E18998" s="8"/>
      <c r="G18998" s="8"/>
      <c r="J18998" s="8"/>
    </row>
    <row r="18999">
      <c r="C18999" s="15"/>
      <c r="E18999" s="8"/>
      <c r="G18999" s="8"/>
      <c r="J18999" s="8"/>
    </row>
    <row r="19000">
      <c r="C19000" s="15"/>
      <c r="E19000" s="8"/>
      <c r="G19000" s="8"/>
      <c r="J19000" s="8"/>
    </row>
    <row r="19001">
      <c r="C19001" s="15"/>
      <c r="E19001" s="8"/>
      <c r="G19001" s="8"/>
      <c r="J19001" s="8"/>
    </row>
    <row r="19002">
      <c r="C19002" s="15"/>
      <c r="E19002" s="8"/>
      <c r="G19002" s="8"/>
      <c r="J19002" s="8"/>
    </row>
    <row r="19003">
      <c r="C19003" s="15"/>
      <c r="E19003" s="8"/>
      <c r="G19003" s="8"/>
      <c r="J19003" s="8"/>
    </row>
    <row r="19004">
      <c r="C19004" s="15"/>
      <c r="E19004" s="8"/>
      <c r="G19004" s="8"/>
      <c r="J19004" s="8"/>
    </row>
    <row r="19005">
      <c r="C19005" s="15"/>
      <c r="E19005" s="8"/>
      <c r="G19005" s="8"/>
      <c r="J19005" s="8"/>
    </row>
    <row r="19006">
      <c r="C19006" s="15"/>
      <c r="E19006" s="8"/>
      <c r="G19006" s="8"/>
      <c r="J19006" s="8"/>
    </row>
    <row r="19007">
      <c r="C19007" s="15"/>
      <c r="E19007" s="8"/>
      <c r="G19007" s="8"/>
      <c r="J19007" s="8"/>
    </row>
    <row r="19008">
      <c r="C19008" s="15"/>
      <c r="E19008" s="8"/>
      <c r="G19008" s="8"/>
      <c r="J19008" s="8"/>
    </row>
    <row r="19009">
      <c r="C19009" s="15"/>
      <c r="E19009" s="8"/>
      <c r="G19009" s="8"/>
      <c r="J19009" s="8"/>
    </row>
    <row r="19010">
      <c r="C19010" s="15"/>
      <c r="E19010" s="8"/>
      <c r="G19010" s="8"/>
      <c r="J19010" s="8"/>
    </row>
    <row r="19011">
      <c r="C19011" s="15"/>
      <c r="E19011" s="8"/>
      <c r="G19011" s="8"/>
      <c r="J19011" s="8"/>
    </row>
    <row r="19012">
      <c r="C19012" s="15"/>
      <c r="E19012" s="8"/>
      <c r="G19012" s="8"/>
      <c r="J19012" s="8"/>
    </row>
    <row r="19013">
      <c r="C19013" s="15"/>
      <c r="E19013" s="8"/>
      <c r="G19013" s="8"/>
      <c r="J19013" s="8"/>
    </row>
    <row r="19014">
      <c r="C19014" s="15"/>
      <c r="E19014" s="8"/>
      <c r="G19014" s="8"/>
      <c r="J19014" s="8"/>
    </row>
    <row r="19015">
      <c r="C19015" s="15"/>
      <c r="E19015" s="8"/>
      <c r="G19015" s="8"/>
      <c r="J19015" s="8"/>
    </row>
    <row r="19016">
      <c r="C19016" s="15"/>
      <c r="E19016" s="8"/>
      <c r="G19016" s="8"/>
      <c r="J19016" s="8"/>
    </row>
    <row r="19017">
      <c r="C19017" s="15"/>
      <c r="E19017" s="8"/>
      <c r="G19017" s="8"/>
      <c r="J19017" s="8"/>
    </row>
    <row r="19018">
      <c r="C19018" s="15"/>
      <c r="E19018" s="8"/>
      <c r="G19018" s="8"/>
      <c r="J19018" s="8"/>
    </row>
    <row r="19019">
      <c r="C19019" s="15"/>
      <c r="E19019" s="8"/>
      <c r="G19019" s="8"/>
      <c r="J19019" s="8"/>
    </row>
    <row r="19020">
      <c r="C19020" s="15"/>
      <c r="E19020" s="8"/>
      <c r="G19020" s="8"/>
      <c r="J19020" s="8"/>
    </row>
    <row r="19021">
      <c r="C19021" s="15"/>
      <c r="E19021" s="8"/>
      <c r="G19021" s="8"/>
      <c r="J19021" s="8"/>
    </row>
    <row r="19022">
      <c r="C19022" s="15"/>
      <c r="E19022" s="8"/>
      <c r="G19022" s="8"/>
      <c r="J19022" s="8"/>
    </row>
    <row r="19023">
      <c r="C19023" s="15"/>
      <c r="E19023" s="8"/>
      <c r="G19023" s="8"/>
      <c r="J19023" s="8"/>
    </row>
    <row r="19024">
      <c r="C19024" s="15"/>
      <c r="E19024" s="8"/>
      <c r="G19024" s="8"/>
      <c r="J19024" s="8"/>
    </row>
    <row r="19025">
      <c r="C19025" s="15"/>
      <c r="E19025" s="8"/>
      <c r="G19025" s="8"/>
      <c r="J19025" s="8"/>
    </row>
    <row r="19026">
      <c r="C19026" s="15"/>
      <c r="E19026" s="8"/>
      <c r="G19026" s="8"/>
      <c r="J19026" s="8"/>
    </row>
    <row r="19027">
      <c r="C19027" s="15"/>
      <c r="E19027" s="8"/>
      <c r="G19027" s="8"/>
      <c r="J19027" s="8"/>
    </row>
    <row r="19028">
      <c r="C19028" s="15"/>
      <c r="E19028" s="8"/>
      <c r="G19028" s="8"/>
      <c r="J19028" s="8"/>
    </row>
    <row r="19029">
      <c r="C19029" s="15"/>
      <c r="E19029" s="8"/>
      <c r="G19029" s="8"/>
      <c r="J19029" s="8"/>
    </row>
    <row r="19030">
      <c r="C19030" s="15"/>
      <c r="E19030" s="8"/>
      <c r="G19030" s="8"/>
      <c r="J19030" s="8"/>
    </row>
    <row r="19031">
      <c r="C19031" s="15"/>
      <c r="E19031" s="8"/>
      <c r="G19031" s="8"/>
      <c r="J19031" s="8"/>
    </row>
    <row r="19032">
      <c r="C19032" s="15"/>
      <c r="E19032" s="8"/>
      <c r="G19032" s="8"/>
      <c r="J19032" s="8"/>
    </row>
    <row r="19033">
      <c r="C19033" s="15"/>
      <c r="E19033" s="8"/>
      <c r="G19033" s="8"/>
      <c r="J19033" s="8"/>
    </row>
    <row r="19034">
      <c r="C19034" s="15"/>
      <c r="E19034" s="8"/>
      <c r="G19034" s="8"/>
      <c r="J19034" s="8"/>
    </row>
    <row r="19035">
      <c r="C19035" s="15"/>
      <c r="E19035" s="8"/>
      <c r="G19035" s="8"/>
      <c r="J19035" s="8"/>
    </row>
    <row r="19036">
      <c r="C19036" s="15"/>
      <c r="E19036" s="8"/>
      <c r="G19036" s="8"/>
      <c r="J19036" s="8"/>
    </row>
    <row r="19037">
      <c r="C19037" s="15"/>
      <c r="E19037" s="8"/>
      <c r="G19037" s="8"/>
      <c r="J19037" s="8"/>
    </row>
    <row r="19038">
      <c r="C19038" s="15"/>
      <c r="E19038" s="8"/>
      <c r="G19038" s="8"/>
      <c r="J19038" s="8"/>
    </row>
    <row r="19039">
      <c r="C19039" s="15"/>
      <c r="E19039" s="8"/>
      <c r="G19039" s="8"/>
      <c r="J19039" s="8"/>
    </row>
    <row r="19040">
      <c r="C19040" s="15"/>
      <c r="E19040" s="8"/>
      <c r="G19040" s="8"/>
      <c r="J19040" s="8"/>
    </row>
    <row r="19041">
      <c r="C19041" s="15"/>
      <c r="E19041" s="8"/>
      <c r="G19041" s="8"/>
      <c r="J19041" s="8"/>
    </row>
    <row r="19042">
      <c r="C19042" s="15"/>
      <c r="E19042" s="8"/>
      <c r="G19042" s="8"/>
      <c r="J19042" s="8"/>
    </row>
    <row r="19043">
      <c r="C19043" s="15"/>
      <c r="E19043" s="8"/>
      <c r="G19043" s="8"/>
      <c r="J19043" s="8"/>
    </row>
    <row r="19044">
      <c r="C19044" s="15"/>
      <c r="E19044" s="8"/>
      <c r="G19044" s="8"/>
      <c r="J19044" s="8"/>
    </row>
    <row r="19045">
      <c r="C19045" s="15"/>
      <c r="E19045" s="8"/>
      <c r="G19045" s="8"/>
      <c r="J19045" s="8"/>
    </row>
    <row r="19046">
      <c r="C19046" s="15"/>
      <c r="E19046" s="8"/>
      <c r="G19046" s="8"/>
      <c r="J19046" s="8"/>
    </row>
    <row r="19047">
      <c r="C19047" s="15"/>
      <c r="E19047" s="8"/>
      <c r="G19047" s="8"/>
      <c r="J19047" s="8"/>
    </row>
    <row r="19048">
      <c r="C19048" s="15"/>
      <c r="E19048" s="8"/>
      <c r="G19048" s="8"/>
      <c r="J19048" s="8"/>
    </row>
    <row r="19049">
      <c r="C19049" s="15"/>
      <c r="E19049" s="8"/>
      <c r="G19049" s="8"/>
      <c r="J19049" s="8"/>
    </row>
    <row r="19050">
      <c r="C19050" s="15"/>
      <c r="E19050" s="8"/>
      <c r="G19050" s="8"/>
      <c r="J19050" s="8"/>
    </row>
    <row r="19051">
      <c r="C19051" s="15"/>
      <c r="E19051" s="8"/>
      <c r="G19051" s="8"/>
      <c r="J19051" s="8"/>
    </row>
    <row r="19052">
      <c r="C19052" s="15"/>
      <c r="E19052" s="8"/>
      <c r="G19052" s="8"/>
      <c r="J19052" s="8"/>
    </row>
    <row r="19053">
      <c r="C19053" s="15"/>
      <c r="E19053" s="8"/>
      <c r="G19053" s="8"/>
      <c r="J19053" s="8"/>
    </row>
    <row r="19054">
      <c r="C19054" s="15"/>
      <c r="E19054" s="8"/>
      <c r="G19054" s="8"/>
      <c r="J19054" s="8"/>
    </row>
    <row r="19055">
      <c r="C19055" s="15"/>
      <c r="E19055" s="8"/>
      <c r="G19055" s="8"/>
      <c r="J19055" s="8"/>
    </row>
    <row r="19056">
      <c r="C19056" s="15"/>
      <c r="E19056" s="8"/>
      <c r="G19056" s="8"/>
      <c r="J19056" s="8"/>
    </row>
    <row r="19057">
      <c r="C19057" s="15"/>
      <c r="E19057" s="8"/>
      <c r="G19057" s="8"/>
      <c r="J19057" s="8"/>
    </row>
    <row r="19058">
      <c r="C19058" s="15"/>
      <c r="E19058" s="8"/>
      <c r="G19058" s="8"/>
      <c r="J19058" s="8"/>
    </row>
    <row r="19059">
      <c r="C19059" s="15"/>
      <c r="E19059" s="8"/>
      <c r="G19059" s="8"/>
      <c r="J19059" s="8"/>
    </row>
    <row r="19060">
      <c r="C19060" s="15"/>
      <c r="E19060" s="8"/>
      <c r="G19060" s="8"/>
      <c r="J19060" s="8"/>
    </row>
    <row r="19061">
      <c r="C19061" s="15"/>
      <c r="E19061" s="8"/>
      <c r="G19061" s="8"/>
      <c r="J19061" s="8"/>
    </row>
    <row r="19062">
      <c r="C19062" s="15"/>
      <c r="E19062" s="8"/>
      <c r="G19062" s="8"/>
      <c r="J19062" s="8"/>
    </row>
    <row r="19063">
      <c r="C19063" s="15"/>
      <c r="E19063" s="8"/>
      <c r="G19063" s="8"/>
      <c r="J19063" s="8"/>
    </row>
    <row r="19064">
      <c r="C19064" s="15"/>
      <c r="E19064" s="8"/>
      <c r="G19064" s="8"/>
      <c r="J19064" s="8"/>
    </row>
    <row r="19065">
      <c r="C19065" s="15"/>
      <c r="E19065" s="8"/>
      <c r="G19065" s="8"/>
      <c r="J19065" s="8"/>
    </row>
    <row r="19066">
      <c r="C19066" s="15"/>
      <c r="E19066" s="8"/>
      <c r="G19066" s="8"/>
      <c r="J19066" s="8"/>
    </row>
    <row r="19067">
      <c r="C19067" s="15"/>
      <c r="E19067" s="8"/>
      <c r="G19067" s="8"/>
      <c r="J19067" s="8"/>
    </row>
    <row r="19068">
      <c r="C19068" s="15"/>
      <c r="E19068" s="8"/>
      <c r="G19068" s="8"/>
      <c r="J19068" s="8"/>
    </row>
    <row r="19069">
      <c r="C19069" s="15"/>
      <c r="E19069" s="8"/>
      <c r="G19069" s="8"/>
      <c r="J19069" s="8"/>
    </row>
    <row r="19070">
      <c r="C19070" s="15"/>
      <c r="E19070" s="8"/>
      <c r="G19070" s="8"/>
      <c r="J19070" s="8"/>
    </row>
    <row r="19071">
      <c r="C19071" s="15"/>
      <c r="E19071" s="8"/>
      <c r="G19071" s="8"/>
      <c r="J19071" s="8"/>
    </row>
    <row r="19072">
      <c r="C19072" s="15"/>
      <c r="E19072" s="8"/>
      <c r="G19072" s="8"/>
      <c r="J19072" s="8"/>
    </row>
    <row r="19073">
      <c r="C19073" s="15"/>
      <c r="E19073" s="8"/>
      <c r="G19073" s="8"/>
      <c r="J19073" s="8"/>
    </row>
    <row r="19074">
      <c r="C19074" s="15"/>
      <c r="E19074" s="8"/>
      <c r="G19074" s="8"/>
      <c r="J19074" s="8"/>
    </row>
    <row r="19075">
      <c r="C19075" s="15"/>
      <c r="E19075" s="8"/>
      <c r="G19075" s="8"/>
      <c r="J19075" s="8"/>
    </row>
    <row r="19076">
      <c r="C19076" s="15"/>
      <c r="E19076" s="8"/>
      <c r="G19076" s="8"/>
      <c r="J19076" s="8"/>
    </row>
    <row r="19077">
      <c r="C19077" s="15"/>
      <c r="E19077" s="8"/>
      <c r="G19077" s="8"/>
      <c r="J19077" s="8"/>
    </row>
    <row r="19078">
      <c r="C19078" s="15"/>
      <c r="E19078" s="8"/>
      <c r="G19078" s="8"/>
      <c r="J19078" s="8"/>
    </row>
    <row r="19079">
      <c r="C19079" s="15"/>
      <c r="E19079" s="8"/>
      <c r="G19079" s="8"/>
      <c r="J19079" s="8"/>
    </row>
    <row r="19080">
      <c r="C19080" s="15"/>
      <c r="E19080" s="8"/>
      <c r="G19080" s="8"/>
      <c r="J19080" s="8"/>
    </row>
    <row r="19081">
      <c r="C19081" s="15"/>
      <c r="E19081" s="8"/>
      <c r="G19081" s="8"/>
      <c r="J19081" s="8"/>
    </row>
    <row r="19082">
      <c r="C19082" s="15"/>
      <c r="E19082" s="8"/>
      <c r="G19082" s="8"/>
      <c r="J19082" s="8"/>
    </row>
    <row r="19083">
      <c r="C19083" s="15"/>
      <c r="E19083" s="8"/>
      <c r="G19083" s="8"/>
      <c r="J19083" s="8"/>
    </row>
    <row r="19084">
      <c r="C19084" s="15"/>
      <c r="E19084" s="8"/>
      <c r="G19084" s="8"/>
      <c r="J19084" s="8"/>
    </row>
    <row r="19085">
      <c r="C19085" s="15"/>
      <c r="E19085" s="8"/>
      <c r="G19085" s="8"/>
      <c r="J19085" s="8"/>
    </row>
    <row r="19086">
      <c r="C19086" s="15"/>
      <c r="E19086" s="8"/>
      <c r="G19086" s="8"/>
      <c r="J19086" s="8"/>
    </row>
    <row r="19087">
      <c r="C19087" s="15"/>
      <c r="E19087" s="8"/>
      <c r="G19087" s="8"/>
      <c r="J19087" s="8"/>
    </row>
    <row r="19088">
      <c r="C19088" s="15"/>
      <c r="E19088" s="8"/>
      <c r="G19088" s="8"/>
      <c r="J19088" s="8"/>
    </row>
    <row r="19089">
      <c r="C19089" s="15"/>
      <c r="E19089" s="8"/>
      <c r="G19089" s="8"/>
      <c r="J19089" s="8"/>
    </row>
    <row r="19090">
      <c r="C19090" s="15"/>
      <c r="E19090" s="8"/>
      <c r="G19090" s="8"/>
      <c r="J19090" s="8"/>
    </row>
    <row r="19091">
      <c r="C19091" s="15"/>
      <c r="E19091" s="8"/>
      <c r="G19091" s="8"/>
      <c r="J19091" s="8"/>
    </row>
    <row r="19092">
      <c r="C19092" s="15"/>
      <c r="E19092" s="8"/>
      <c r="G19092" s="8"/>
      <c r="J19092" s="8"/>
    </row>
    <row r="19093">
      <c r="C19093" s="15"/>
      <c r="E19093" s="8"/>
      <c r="G19093" s="8"/>
      <c r="J19093" s="8"/>
    </row>
    <row r="19094">
      <c r="C19094" s="15"/>
      <c r="E19094" s="8"/>
      <c r="G19094" s="8"/>
      <c r="J19094" s="8"/>
    </row>
    <row r="19095">
      <c r="C19095" s="15"/>
      <c r="E19095" s="8"/>
      <c r="G19095" s="8"/>
      <c r="J19095" s="8"/>
    </row>
    <row r="19096">
      <c r="C19096" s="15"/>
      <c r="E19096" s="8"/>
      <c r="G19096" s="8"/>
      <c r="J19096" s="8"/>
    </row>
    <row r="19097">
      <c r="C19097" s="15"/>
      <c r="E19097" s="8"/>
      <c r="G19097" s="8"/>
      <c r="J19097" s="8"/>
    </row>
    <row r="19098">
      <c r="C19098" s="15"/>
      <c r="E19098" s="8"/>
      <c r="G19098" s="8"/>
      <c r="J19098" s="8"/>
    </row>
    <row r="19099">
      <c r="C19099" s="15"/>
      <c r="E19099" s="8"/>
      <c r="G19099" s="8"/>
      <c r="J19099" s="8"/>
    </row>
    <row r="19100">
      <c r="C19100" s="15"/>
      <c r="E19100" s="8"/>
      <c r="G19100" s="8"/>
      <c r="J19100" s="8"/>
    </row>
    <row r="19101">
      <c r="C19101" s="15"/>
      <c r="E19101" s="8"/>
      <c r="G19101" s="8"/>
      <c r="J19101" s="8"/>
    </row>
    <row r="19102">
      <c r="C19102" s="15"/>
      <c r="E19102" s="8"/>
      <c r="G19102" s="8"/>
      <c r="J19102" s="8"/>
    </row>
    <row r="19103">
      <c r="C19103" s="15"/>
      <c r="E19103" s="8"/>
      <c r="G19103" s="8"/>
      <c r="J19103" s="8"/>
    </row>
    <row r="19104">
      <c r="C19104" s="15"/>
      <c r="E19104" s="8"/>
      <c r="G19104" s="8"/>
      <c r="J19104" s="8"/>
    </row>
    <row r="19105">
      <c r="C19105" s="15"/>
      <c r="E19105" s="8"/>
      <c r="G19105" s="8"/>
      <c r="J19105" s="8"/>
    </row>
    <row r="19106">
      <c r="C19106" s="15"/>
      <c r="E19106" s="8"/>
      <c r="G19106" s="8"/>
      <c r="J19106" s="8"/>
    </row>
    <row r="19107">
      <c r="C19107" s="15"/>
      <c r="E19107" s="8"/>
      <c r="G19107" s="8"/>
      <c r="J19107" s="8"/>
    </row>
    <row r="19108">
      <c r="C19108" s="15"/>
      <c r="E19108" s="8"/>
      <c r="G19108" s="8"/>
      <c r="J19108" s="8"/>
    </row>
    <row r="19109">
      <c r="C19109" s="15"/>
      <c r="E19109" s="8"/>
      <c r="G19109" s="8"/>
      <c r="J19109" s="8"/>
    </row>
    <row r="19110">
      <c r="C19110" s="15"/>
      <c r="E19110" s="8"/>
      <c r="G19110" s="8"/>
      <c r="J19110" s="8"/>
    </row>
    <row r="19111">
      <c r="C19111" s="15"/>
      <c r="E19111" s="8"/>
      <c r="G19111" s="8"/>
      <c r="J19111" s="8"/>
    </row>
    <row r="19112">
      <c r="C19112" s="15"/>
      <c r="E19112" s="8"/>
      <c r="G19112" s="8"/>
      <c r="J19112" s="8"/>
    </row>
    <row r="19113">
      <c r="C19113" s="15"/>
      <c r="E19113" s="8"/>
      <c r="G19113" s="8"/>
      <c r="J19113" s="8"/>
    </row>
    <row r="19114">
      <c r="C19114" s="15"/>
      <c r="E19114" s="8"/>
      <c r="G19114" s="8"/>
      <c r="J19114" s="8"/>
    </row>
    <row r="19115">
      <c r="C19115" s="15"/>
      <c r="E19115" s="8"/>
      <c r="G19115" s="8"/>
      <c r="J19115" s="8"/>
    </row>
    <row r="19116">
      <c r="C19116" s="15"/>
      <c r="E19116" s="8"/>
      <c r="G19116" s="8"/>
      <c r="J19116" s="8"/>
    </row>
    <row r="19117">
      <c r="C19117" s="15"/>
      <c r="E19117" s="8"/>
      <c r="G19117" s="8"/>
      <c r="J19117" s="8"/>
    </row>
    <row r="19118">
      <c r="C19118" s="15"/>
      <c r="E19118" s="8"/>
      <c r="G19118" s="8"/>
      <c r="J19118" s="8"/>
    </row>
    <row r="19119">
      <c r="C19119" s="15"/>
      <c r="E19119" s="8"/>
      <c r="G19119" s="8"/>
      <c r="J19119" s="8"/>
    </row>
    <row r="19120">
      <c r="C19120" s="15"/>
      <c r="E19120" s="8"/>
      <c r="G19120" s="8"/>
      <c r="J19120" s="8"/>
    </row>
    <row r="19121">
      <c r="C19121" s="15"/>
      <c r="E19121" s="8"/>
      <c r="G19121" s="8"/>
      <c r="J19121" s="8"/>
    </row>
    <row r="19122">
      <c r="C19122" s="15"/>
      <c r="E19122" s="8"/>
      <c r="G19122" s="8"/>
      <c r="J19122" s="8"/>
    </row>
    <row r="19123">
      <c r="C19123" s="15"/>
      <c r="E19123" s="8"/>
      <c r="G19123" s="8"/>
      <c r="J19123" s="8"/>
    </row>
    <row r="19124">
      <c r="C19124" s="15"/>
      <c r="E19124" s="8"/>
      <c r="G19124" s="8"/>
      <c r="J19124" s="8"/>
    </row>
    <row r="19125">
      <c r="C19125" s="15"/>
      <c r="E19125" s="8"/>
      <c r="G19125" s="8"/>
      <c r="J19125" s="8"/>
    </row>
    <row r="19126">
      <c r="C19126" s="15"/>
      <c r="E19126" s="8"/>
      <c r="G19126" s="8"/>
      <c r="J19126" s="8"/>
    </row>
    <row r="19127">
      <c r="C19127" s="15"/>
      <c r="E19127" s="8"/>
      <c r="G19127" s="8"/>
      <c r="J19127" s="8"/>
    </row>
    <row r="19128">
      <c r="C19128" s="15"/>
      <c r="E19128" s="8"/>
      <c r="G19128" s="8"/>
      <c r="J19128" s="8"/>
    </row>
    <row r="19129">
      <c r="C19129" s="15"/>
      <c r="E19129" s="8"/>
      <c r="G19129" s="8"/>
      <c r="J19129" s="8"/>
    </row>
    <row r="19130">
      <c r="C19130" s="15"/>
      <c r="E19130" s="8"/>
      <c r="G19130" s="8"/>
      <c r="J19130" s="8"/>
    </row>
    <row r="19131">
      <c r="C19131" s="15"/>
      <c r="E19131" s="8"/>
      <c r="G19131" s="8"/>
      <c r="J19131" s="8"/>
    </row>
    <row r="19132">
      <c r="C19132" s="15"/>
      <c r="E19132" s="8"/>
      <c r="G19132" s="8"/>
      <c r="J19132" s="8"/>
    </row>
    <row r="19133">
      <c r="C19133" s="15"/>
      <c r="E19133" s="8"/>
      <c r="G19133" s="8"/>
      <c r="J19133" s="8"/>
    </row>
    <row r="19134">
      <c r="C19134" s="15"/>
      <c r="E19134" s="8"/>
      <c r="G19134" s="8"/>
      <c r="J19134" s="8"/>
    </row>
    <row r="19135">
      <c r="C19135" s="15"/>
      <c r="E19135" s="8"/>
      <c r="G19135" s="8"/>
      <c r="J19135" s="8"/>
    </row>
    <row r="19136">
      <c r="C19136" s="15"/>
      <c r="E19136" s="8"/>
      <c r="G19136" s="8"/>
      <c r="J19136" s="8"/>
    </row>
    <row r="19137">
      <c r="C19137" s="15"/>
      <c r="E19137" s="8"/>
      <c r="G19137" s="8"/>
      <c r="J19137" s="8"/>
    </row>
    <row r="19138">
      <c r="C19138" s="15"/>
      <c r="E19138" s="8"/>
      <c r="G19138" s="8"/>
      <c r="J19138" s="8"/>
    </row>
    <row r="19139">
      <c r="C19139" s="15"/>
      <c r="E19139" s="8"/>
      <c r="G19139" s="8"/>
      <c r="J19139" s="8"/>
    </row>
    <row r="19140">
      <c r="C19140" s="15"/>
      <c r="E19140" s="8"/>
      <c r="G19140" s="8"/>
      <c r="J19140" s="8"/>
    </row>
    <row r="19141">
      <c r="C19141" s="15"/>
      <c r="E19141" s="8"/>
      <c r="G19141" s="8"/>
      <c r="J19141" s="8"/>
    </row>
    <row r="19142">
      <c r="C19142" s="15"/>
      <c r="E19142" s="8"/>
      <c r="G19142" s="8"/>
      <c r="J19142" s="8"/>
    </row>
    <row r="19143">
      <c r="C19143" s="15"/>
      <c r="E19143" s="8"/>
      <c r="G19143" s="8"/>
      <c r="J19143" s="8"/>
    </row>
    <row r="19144">
      <c r="C19144" s="15"/>
      <c r="E19144" s="8"/>
      <c r="G19144" s="8"/>
      <c r="J19144" s="8"/>
    </row>
    <row r="19145">
      <c r="C19145" s="15"/>
      <c r="E19145" s="8"/>
      <c r="G19145" s="8"/>
      <c r="J19145" s="8"/>
    </row>
    <row r="19146">
      <c r="C19146" s="15"/>
      <c r="E19146" s="8"/>
      <c r="G19146" s="8"/>
      <c r="J19146" s="8"/>
    </row>
    <row r="19147">
      <c r="C19147" s="15"/>
      <c r="E19147" s="8"/>
      <c r="G19147" s="8"/>
      <c r="J19147" s="8"/>
    </row>
    <row r="19148">
      <c r="C19148" s="15"/>
      <c r="E19148" s="8"/>
      <c r="G19148" s="8"/>
      <c r="J19148" s="8"/>
    </row>
    <row r="19149">
      <c r="C19149" s="15"/>
      <c r="E19149" s="8"/>
      <c r="G19149" s="8"/>
      <c r="J19149" s="8"/>
    </row>
    <row r="19150">
      <c r="C19150" s="15"/>
      <c r="E19150" s="8"/>
      <c r="G19150" s="8"/>
      <c r="J19150" s="8"/>
    </row>
    <row r="19151">
      <c r="C19151" s="15"/>
      <c r="E19151" s="8"/>
      <c r="G19151" s="8"/>
      <c r="J19151" s="8"/>
    </row>
    <row r="19152">
      <c r="C19152" s="15"/>
      <c r="E19152" s="8"/>
      <c r="G19152" s="8"/>
      <c r="J19152" s="8"/>
    </row>
    <row r="19153">
      <c r="C19153" s="15"/>
      <c r="E19153" s="8"/>
      <c r="G19153" s="8"/>
      <c r="J19153" s="8"/>
    </row>
    <row r="19154">
      <c r="C19154" s="15"/>
      <c r="E19154" s="8"/>
      <c r="G19154" s="8"/>
      <c r="J19154" s="8"/>
    </row>
    <row r="19155">
      <c r="C19155" s="15"/>
      <c r="E19155" s="8"/>
      <c r="G19155" s="8"/>
      <c r="J19155" s="8"/>
    </row>
    <row r="19156">
      <c r="C19156" s="15"/>
      <c r="E19156" s="8"/>
      <c r="G19156" s="8"/>
      <c r="J19156" s="8"/>
    </row>
    <row r="19157">
      <c r="C19157" s="15"/>
      <c r="E19157" s="8"/>
      <c r="G19157" s="8"/>
      <c r="J19157" s="8"/>
    </row>
    <row r="19158">
      <c r="C19158" s="15"/>
      <c r="E19158" s="8"/>
      <c r="G19158" s="8"/>
      <c r="J19158" s="8"/>
    </row>
    <row r="19159">
      <c r="C19159" s="15"/>
      <c r="E19159" s="8"/>
      <c r="G19159" s="8"/>
      <c r="J19159" s="8"/>
    </row>
    <row r="19160">
      <c r="C19160" s="15"/>
      <c r="E19160" s="8"/>
      <c r="G19160" s="8"/>
      <c r="J19160" s="8"/>
    </row>
    <row r="19161">
      <c r="C19161" s="15"/>
      <c r="E19161" s="8"/>
      <c r="G19161" s="8"/>
      <c r="J19161" s="8"/>
    </row>
    <row r="19162">
      <c r="C19162" s="15"/>
      <c r="E19162" s="8"/>
      <c r="G19162" s="8"/>
      <c r="J19162" s="8"/>
    </row>
    <row r="19163">
      <c r="C19163" s="15"/>
      <c r="E19163" s="8"/>
      <c r="G19163" s="8"/>
      <c r="J19163" s="8"/>
    </row>
    <row r="19164">
      <c r="C19164" s="15"/>
      <c r="E19164" s="8"/>
      <c r="G19164" s="8"/>
      <c r="J19164" s="8"/>
    </row>
    <row r="19165">
      <c r="C19165" s="15"/>
      <c r="E19165" s="8"/>
      <c r="G19165" s="8"/>
      <c r="J19165" s="8"/>
    </row>
    <row r="19166">
      <c r="C19166" s="15"/>
      <c r="E19166" s="8"/>
      <c r="G19166" s="8"/>
      <c r="J19166" s="8"/>
    </row>
    <row r="19167">
      <c r="C19167" s="15"/>
      <c r="E19167" s="8"/>
      <c r="G19167" s="8"/>
      <c r="J19167" s="8"/>
    </row>
    <row r="19168">
      <c r="C19168" s="15"/>
      <c r="E19168" s="8"/>
      <c r="G19168" s="8"/>
      <c r="J19168" s="8"/>
    </row>
    <row r="19169">
      <c r="C19169" s="15"/>
      <c r="E19169" s="8"/>
      <c r="G19169" s="8"/>
      <c r="J19169" s="8"/>
    </row>
    <row r="19170">
      <c r="C19170" s="15"/>
      <c r="E19170" s="8"/>
      <c r="G19170" s="8"/>
      <c r="J19170" s="8"/>
    </row>
    <row r="19171">
      <c r="C19171" s="15"/>
      <c r="E19171" s="8"/>
      <c r="G19171" s="8"/>
      <c r="J19171" s="8"/>
    </row>
    <row r="19172">
      <c r="C19172" s="15"/>
      <c r="E19172" s="8"/>
      <c r="G19172" s="8"/>
      <c r="J19172" s="8"/>
    </row>
    <row r="19173">
      <c r="C19173" s="15"/>
      <c r="E19173" s="8"/>
      <c r="G19173" s="8"/>
      <c r="J19173" s="8"/>
    </row>
    <row r="19174">
      <c r="C19174" s="15"/>
      <c r="E19174" s="8"/>
      <c r="G19174" s="8"/>
      <c r="J19174" s="8"/>
    </row>
    <row r="19175">
      <c r="C19175" s="15"/>
      <c r="E19175" s="8"/>
      <c r="G19175" s="8"/>
      <c r="J19175" s="8"/>
    </row>
    <row r="19176">
      <c r="C19176" s="15"/>
      <c r="E19176" s="8"/>
      <c r="G19176" s="8"/>
      <c r="J19176" s="8"/>
    </row>
    <row r="19177">
      <c r="C19177" s="15"/>
      <c r="E19177" s="8"/>
      <c r="G19177" s="8"/>
      <c r="J19177" s="8"/>
    </row>
    <row r="19178">
      <c r="C19178" s="15"/>
      <c r="E19178" s="8"/>
      <c r="G19178" s="8"/>
      <c r="J19178" s="8"/>
    </row>
    <row r="19179">
      <c r="C19179" s="15"/>
      <c r="E19179" s="8"/>
      <c r="G19179" s="8"/>
      <c r="J19179" s="8"/>
    </row>
    <row r="19180">
      <c r="C19180" s="15"/>
      <c r="E19180" s="8"/>
      <c r="G19180" s="8"/>
      <c r="J19180" s="8"/>
    </row>
    <row r="19181">
      <c r="C19181" s="15"/>
      <c r="E19181" s="8"/>
      <c r="G19181" s="8"/>
      <c r="J19181" s="8"/>
    </row>
    <row r="19182">
      <c r="C19182" s="15"/>
      <c r="E19182" s="8"/>
      <c r="G19182" s="8"/>
      <c r="J19182" s="8"/>
    </row>
    <row r="19183">
      <c r="C19183" s="15"/>
      <c r="E19183" s="8"/>
      <c r="G19183" s="8"/>
      <c r="J19183" s="8"/>
    </row>
    <row r="19184">
      <c r="C19184" s="15"/>
      <c r="E19184" s="8"/>
      <c r="G19184" s="8"/>
      <c r="J19184" s="8"/>
    </row>
    <row r="19185">
      <c r="C19185" s="15"/>
      <c r="E19185" s="8"/>
      <c r="G19185" s="8"/>
      <c r="J19185" s="8"/>
    </row>
    <row r="19186">
      <c r="C19186" s="15"/>
      <c r="E19186" s="8"/>
      <c r="G19186" s="8"/>
      <c r="J19186" s="8"/>
    </row>
    <row r="19187">
      <c r="C19187" s="15"/>
      <c r="E19187" s="8"/>
      <c r="G19187" s="8"/>
      <c r="J19187" s="8"/>
    </row>
    <row r="19188">
      <c r="C19188" s="15"/>
      <c r="E19188" s="8"/>
      <c r="G19188" s="8"/>
      <c r="J19188" s="8"/>
    </row>
    <row r="19189">
      <c r="C19189" s="15"/>
      <c r="E19189" s="8"/>
      <c r="G19189" s="8"/>
      <c r="J19189" s="8"/>
    </row>
    <row r="19190">
      <c r="C19190" s="15"/>
      <c r="E19190" s="8"/>
      <c r="G19190" s="8"/>
      <c r="J19190" s="8"/>
    </row>
    <row r="19191">
      <c r="C19191" s="15"/>
      <c r="E19191" s="8"/>
      <c r="G19191" s="8"/>
      <c r="J19191" s="8"/>
    </row>
    <row r="19192">
      <c r="C19192" s="15"/>
      <c r="E19192" s="8"/>
      <c r="G19192" s="8"/>
      <c r="J19192" s="8"/>
    </row>
    <row r="19193">
      <c r="C19193" s="15"/>
      <c r="E19193" s="8"/>
      <c r="G19193" s="8"/>
      <c r="J19193" s="8"/>
    </row>
    <row r="19194">
      <c r="C19194" s="15"/>
      <c r="E19194" s="8"/>
      <c r="G19194" s="8"/>
      <c r="J19194" s="8"/>
    </row>
    <row r="19195">
      <c r="C19195" s="15"/>
      <c r="E19195" s="8"/>
      <c r="G19195" s="8"/>
      <c r="J19195" s="8"/>
    </row>
    <row r="19196">
      <c r="C19196" s="15"/>
      <c r="E19196" s="8"/>
      <c r="G19196" s="8"/>
      <c r="J19196" s="8"/>
    </row>
    <row r="19197">
      <c r="C19197" s="15"/>
      <c r="E19197" s="8"/>
      <c r="G19197" s="8"/>
      <c r="J19197" s="8"/>
    </row>
    <row r="19198">
      <c r="C19198" s="15"/>
      <c r="E19198" s="8"/>
      <c r="G19198" s="8"/>
      <c r="J19198" s="8"/>
    </row>
    <row r="19199">
      <c r="C19199" s="15"/>
      <c r="E19199" s="8"/>
      <c r="G19199" s="8"/>
      <c r="J19199" s="8"/>
    </row>
    <row r="19200">
      <c r="C19200" s="15"/>
      <c r="E19200" s="8"/>
      <c r="G19200" s="8"/>
      <c r="J19200" s="8"/>
    </row>
    <row r="19201">
      <c r="C19201" s="15"/>
      <c r="E19201" s="8"/>
      <c r="G19201" s="8"/>
      <c r="J19201" s="8"/>
    </row>
    <row r="19202">
      <c r="C19202" s="15"/>
      <c r="E19202" s="8"/>
      <c r="G19202" s="8"/>
      <c r="J19202" s="8"/>
    </row>
    <row r="19203">
      <c r="C19203" s="15"/>
      <c r="E19203" s="8"/>
      <c r="G19203" s="8"/>
      <c r="J19203" s="8"/>
    </row>
    <row r="19204">
      <c r="C19204" s="15"/>
      <c r="E19204" s="8"/>
      <c r="G19204" s="8"/>
      <c r="J19204" s="8"/>
    </row>
    <row r="19205">
      <c r="C19205" s="15"/>
      <c r="E19205" s="8"/>
      <c r="G19205" s="8"/>
      <c r="J19205" s="8"/>
    </row>
    <row r="19206">
      <c r="C19206" s="15"/>
      <c r="E19206" s="8"/>
      <c r="G19206" s="8"/>
      <c r="J19206" s="8"/>
    </row>
    <row r="19207">
      <c r="C19207" s="15"/>
      <c r="E19207" s="8"/>
      <c r="G19207" s="8"/>
      <c r="J19207" s="8"/>
    </row>
    <row r="19208">
      <c r="C19208" s="15"/>
      <c r="E19208" s="8"/>
      <c r="G19208" s="8"/>
      <c r="J19208" s="8"/>
    </row>
    <row r="19209">
      <c r="C19209" s="15"/>
      <c r="E19209" s="8"/>
      <c r="G19209" s="8"/>
      <c r="J19209" s="8"/>
    </row>
    <row r="19210">
      <c r="C19210" s="15"/>
      <c r="E19210" s="8"/>
      <c r="G19210" s="8"/>
      <c r="J19210" s="8"/>
    </row>
    <row r="19211">
      <c r="C19211" s="15"/>
      <c r="E19211" s="8"/>
      <c r="G19211" s="8"/>
      <c r="J19211" s="8"/>
    </row>
    <row r="19212">
      <c r="C19212" s="15"/>
      <c r="E19212" s="8"/>
      <c r="G19212" s="8"/>
      <c r="J19212" s="8"/>
    </row>
    <row r="19213">
      <c r="C19213" s="15"/>
      <c r="E19213" s="8"/>
      <c r="G19213" s="8"/>
      <c r="J19213" s="8"/>
    </row>
    <row r="19214">
      <c r="C19214" s="15"/>
      <c r="E19214" s="8"/>
      <c r="G19214" s="8"/>
      <c r="J19214" s="8"/>
    </row>
    <row r="19215">
      <c r="C19215" s="15"/>
      <c r="E19215" s="8"/>
      <c r="G19215" s="8"/>
      <c r="J19215" s="8"/>
    </row>
    <row r="19216">
      <c r="C19216" s="15"/>
      <c r="E19216" s="8"/>
      <c r="G19216" s="8"/>
      <c r="J19216" s="8"/>
    </row>
    <row r="19217">
      <c r="C19217" s="15"/>
      <c r="E19217" s="8"/>
      <c r="G19217" s="8"/>
      <c r="J19217" s="8"/>
    </row>
    <row r="19218">
      <c r="C19218" s="15"/>
      <c r="E19218" s="8"/>
      <c r="G19218" s="8"/>
      <c r="J19218" s="8"/>
    </row>
    <row r="19219">
      <c r="C19219" s="15"/>
      <c r="E19219" s="8"/>
      <c r="G19219" s="8"/>
      <c r="J19219" s="8"/>
    </row>
    <row r="19220">
      <c r="C19220" s="15"/>
      <c r="E19220" s="8"/>
      <c r="G19220" s="8"/>
      <c r="J19220" s="8"/>
    </row>
    <row r="19221">
      <c r="C19221" s="15"/>
      <c r="E19221" s="8"/>
      <c r="G19221" s="8"/>
      <c r="J19221" s="8"/>
    </row>
    <row r="19222">
      <c r="C19222" s="15"/>
      <c r="E19222" s="8"/>
      <c r="G19222" s="8"/>
      <c r="J19222" s="8"/>
    </row>
    <row r="19223">
      <c r="C19223" s="15"/>
      <c r="E19223" s="8"/>
      <c r="G19223" s="8"/>
      <c r="J19223" s="8"/>
    </row>
    <row r="19224">
      <c r="C19224" s="15"/>
      <c r="E19224" s="8"/>
      <c r="G19224" s="8"/>
      <c r="J19224" s="8"/>
    </row>
    <row r="19225">
      <c r="C19225" s="15"/>
      <c r="E19225" s="8"/>
      <c r="G19225" s="8"/>
      <c r="J19225" s="8"/>
    </row>
    <row r="19226">
      <c r="C19226" s="15"/>
      <c r="E19226" s="8"/>
      <c r="G19226" s="8"/>
      <c r="J19226" s="8"/>
    </row>
    <row r="19227">
      <c r="C19227" s="15"/>
      <c r="E19227" s="8"/>
      <c r="G19227" s="8"/>
      <c r="J19227" s="8"/>
    </row>
    <row r="19228">
      <c r="C19228" s="15"/>
      <c r="E19228" s="8"/>
      <c r="G19228" s="8"/>
      <c r="J19228" s="8"/>
    </row>
    <row r="19229">
      <c r="C19229" s="15"/>
      <c r="E19229" s="8"/>
      <c r="G19229" s="8"/>
      <c r="J19229" s="8"/>
    </row>
    <row r="19230">
      <c r="C19230" s="15"/>
      <c r="E19230" s="8"/>
      <c r="G19230" s="8"/>
      <c r="J19230" s="8"/>
    </row>
    <row r="19231">
      <c r="C19231" s="15"/>
      <c r="E19231" s="8"/>
      <c r="G19231" s="8"/>
      <c r="J19231" s="8"/>
    </row>
    <row r="19232">
      <c r="C19232" s="15"/>
      <c r="E19232" s="8"/>
      <c r="G19232" s="8"/>
      <c r="J19232" s="8"/>
    </row>
    <row r="19233">
      <c r="C19233" s="15"/>
      <c r="E19233" s="8"/>
      <c r="G19233" s="8"/>
      <c r="J19233" s="8"/>
    </row>
    <row r="19234">
      <c r="C19234" s="15"/>
      <c r="E19234" s="8"/>
      <c r="G19234" s="8"/>
      <c r="J19234" s="8"/>
    </row>
    <row r="19235">
      <c r="C19235" s="15"/>
      <c r="E19235" s="8"/>
      <c r="G19235" s="8"/>
      <c r="J19235" s="8"/>
    </row>
    <row r="19236">
      <c r="C19236" s="15"/>
      <c r="E19236" s="8"/>
      <c r="G19236" s="8"/>
      <c r="J19236" s="8"/>
    </row>
    <row r="19237">
      <c r="C19237" s="15"/>
      <c r="E19237" s="8"/>
      <c r="G19237" s="8"/>
      <c r="J19237" s="8"/>
    </row>
    <row r="19238">
      <c r="C19238" s="15"/>
      <c r="E19238" s="8"/>
      <c r="G19238" s="8"/>
      <c r="J19238" s="8"/>
    </row>
    <row r="19239">
      <c r="C19239" s="15"/>
      <c r="E19239" s="8"/>
      <c r="G19239" s="8"/>
      <c r="J19239" s="8"/>
    </row>
    <row r="19240">
      <c r="C19240" s="15"/>
      <c r="E19240" s="8"/>
      <c r="G19240" s="8"/>
      <c r="J19240" s="8"/>
    </row>
    <row r="19241">
      <c r="C19241" s="15"/>
      <c r="E19241" s="8"/>
      <c r="G19241" s="8"/>
      <c r="J19241" s="8"/>
    </row>
    <row r="19242">
      <c r="C19242" s="15"/>
      <c r="E19242" s="8"/>
      <c r="G19242" s="8"/>
      <c r="J19242" s="8"/>
    </row>
    <row r="19243">
      <c r="C19243" s="15"/>
      <c r="E19243" s="8"/>
      <c r="G19243" s="8"/>
      <c r="J19243" s="8"/>
    </row>
    <row r="19244">
      <c r="C19244" s="15"/>
      <c r="E19244" s="8"/>
      <c r="G19244" s="8"/>
      <c r="J19244" s="8"/>
    </row>
    <row r="19245">
      <c r="C19245" s="15"/>
      <c r="E19245" s="8"/>
      <c r="G19245" s="8"/>
      <c r="J19245" s="8"/>
    </row>
    <row r="19246">
      <c r="C19246" s="15"/>
      <c r="E19246" s="8"/>
      <c r="G19246" s="8"/>
      <c r="J19246" s="8"/>
    </row>
    <row r="19247">
      <c r="C19247" s="15"/>
      <c r="E19247" s="8"/>
      <c r="G19247" s="8"/>
      <c r="J19247" s="8"/>
    </row>
    <row r="19248">
      <c r="C19248" s="15"/>
      <c r="E19248" s="8"/>
      <c r="G19248" s="8"/>
      <c r="J19248" s="8"/>
    </row>
    <row r="19249">
      <c r="C19249" s="15"/>
      <c r="E19249" s="8"/>
      <c r="G19249" s="8"/>
      <c r="J19249" s="8"/>
    </row>
    <row r="19250">
      <c r="C19250" s="15"/>
      <c r="E19250" s="8"/>
      <c r="G19250" s="8"/>
      <c r="J19250" s="8"/>
    </row>
    <row r="19251">
      <c r="C19251" s="15"/>
      <c r="E19251" s="8"/>
      <c r="G19251" s="8"/>
      <c r="J19251" s="8"/>
    </row>
    <row r="19252">
      <c r="C19252" s="15"/>
      <c r="E19252" s="8"/>
      <c r="G19252" s="8"/>
      <c r="J19252" s="8"/>
    </row>
    <row r="19253">
      <c r="C19253" s="15"/>
      <c r="E19253" s="8"/>
      <c r="G19253" s="8"/>
      <c r="J19253" s="8"/>
    </row>
    <row r="19254">
      <c r="C19254" s="15"/>
      <c r="E19254" s="8"/>
      <c r="G19254" s="8"/>
      <c r="J19254" s="8"/>
    </row>
    <row r="19255">
      <c r="C19255" s="15"/>
      <c r="E19255" s="8"/>
      <c r="G19255" s="8"/>
      <c r="J19255" s="8"/>
    </row>
    <row r="19256">
      <c r="C19256" s="15"/>
      <c r="E19256" s="8"/>
      <c r="G19256" s="8"/>
      <c r="J19256" s="8"/>
    </row>
    <row r="19257">
      <c r="C19257" s="15"/>
      <c r="E19257" s="8"/>
      <c r="G19257" s="8"/>
      <c r="J19257" s="8"/>
    </row>
    <row r="19258">
      <c r="C19258" s="15"/>
      <c r="E19258" s="8"/>
      <c r="G19258" s="8"/>
      <c r="J19258" s="8"/>
    </row>
    <row r="19259">
      <c r="C19259" s="15"/>
      <c r="E19259" s="8"/>
      <c r="G19259" s="8"/>
      <c r="J19259" s="8"/>
    </row>
    <row r="19260">
      <c r="C19260" s="15"/>
      <c r="E19260" s="8"/>
      <c r="G19260" s="8"/>
      <c r="J19260" s="8"/>
    </row>
    <row r="19261">
      <c r="C19261" s="15"/>
      <c r="E19261" s="8"/>
      <c r="G19261" s="8"/>
      <c r="J19261" s="8"/>
    </row>
    <row r="19262">
      <c r="C19262" s="15"/>
      <c r="E19262" s="8"/>
      <c r="G19262" s="8"/>
      <c r="J19262" s="8"/>
    </row>
    <row r="19263">
      <c r="C19263" s="15"/>
      <c r="E19263" s="8"/>
      <c r="G19263" s="8"/>
      <c r="J19263" s="8"/>
    </row>
    <row r="19264">
      <c r="C19264" s="15"/>
      <c r="E19264" s="8"/>
      <c r="G19264" s="8"/>
      <c r="J19264" s="8"/>
    </row>
    <row r="19265">
      <c r="C19265" s="15"/>
      <c r="E19265" s="8"/>
      <c r="G19265" s="8"/>
      <c r="J19265" s="8"/>
    </row>
    <row r="19266">
      <c r="C19266" s="15"/>
      <c r="E19266" s="8"/>
      <c r="G19266" s="8"/>
      <c r="J19266" s="8"/>
    </row>
    <row r="19267">
      <c r="C19267" s="15"/>
      <c r="E19267" s="8"/>
      <c r="G19267" s="8"/>
      <c r="J19267" s="8"/>
    </row>
    <row r="19268">
      <c r="C19268" s="15"/>
      <c r="E19268" s="8"/>
      <c r="G19268" s="8"/>
      <c r="J19268" s="8"/>
    </row>
    <row r="19269">
      <c r="C19269" s="15"/>
      <c r="E19269" s="8"/>
      <c r="G19269" s="8"/>
      <c r="J19269" s="8"/>
    </row>
    <row r="19270">
      <c r="C19270" s="15"/>
      <c r="E19270" s="8"/>
      <c r="G19270" s="8"/>
      <c r="J19270" s="8"/>
    </row>
    <row r="19271">
      <c r="C19271" s="15"/>
      <c r="E19271" s="8"/>
      <c r="G19271" s="8"/>
      <c r="J19271" s="8"/>
    </row>
    <row r="19272">
      <c r="C19272" s="15"/>
      <c r="E19272" s="8"/>
      <c r="G19272" s="8"/>
      <c r="J19272" s="8"/>
    </row>
    <row r="19273">
      <c r="C19273" s="15"/>
      <c r="E19273" s="8"/>
      <c r="G19273" s="8"/>
      <c r="J19273" s="8"/>
    </row>
    <row r="19274">
      <c r="C19274" s="15"/>
      <c r="E19274" s="8"/>
      <c r="G19274" s="8"/>
      <c r="J19274" s="8"/>
    </row>
    <row r="19275">
      <c r="C19275" s="15"/>
      <c r="E19275" s="8"/>
      <c r="G19275" s="8"/>
      <c r="J19275" s="8"/>
    </row>
    <row r="19276">
      <c r="C19276" s="15"/>
      <c r="E19276" s="8"/>
      <c r="G19276" s="8"/>
      <c r="J19276" s="8"/>
    </row>
    <row r="19277">
      <c r="C19277" s="15"/>
      <c r="E19277" s="8"/>
      <c r="G19277" s="8"/>
      <c r="J19277" s="8"/>
    </row>
    <row r="19278">
      <c r="C19278" s="15"/>
      <c r="E19278" s="8"/>
      <c r="G19278" s="8"/>
      <c r="J19278" s="8"/>
    </row>
    <row r="19279">
      <c r="C19279" s="15"/>
      <c r="E19279" s="8"/>
      <c r="G19279" s="8"/>
      <c r="J19279" s="8"/>
    </row>
    <row r="19280">
      <c r="C19280" s="15"/>
      <c r="E19280" s="8"/>
      <c r="G19280" s="8"/>
      <c r="J19280" s="8"/>
    </row>
    <row r="19281">
      <c r="C19281" s="15"/>
      <c r="E19281" s="8"/>
      <c r="G19281" s="8"/>
      <c r="J19281" s="8"/>
    </row>
    <row r="19282">
      <c r="C19282" s="15"/>
      <c r="E19282" s="8"/>
      <c r="G19282" s="8"/>
      <c r="J19282" s="8"/>
    </row>
    <row r="19283">
      <c r="C19283" s="15"/>
      <c r="E19283" s="8"/>
      <c r="G19283" s="8"/>
      <c r="J19283" s="8"/>
    </row>
    <row r="19284">
      <c r="C19284" s="15"/>
      <c r="E19284" s="8"/>
      <c r="G19284" s="8"/>
      <c r="J19284" s="8"/>
    </row>
    <row r="19285">
      <c r="C19285" s="15"/>
      <c r="E19285" s="8"/>
      <c r="G19285" s="8"/>
      <c r="J19285" s="8"/>
    </row>
    <row r="19286">
      <c r="C19286" s="15"/>
      <c r="E19286" s="8"/>
      <c r="G19286" s="8"/>
      <c r="J19286" s="8"/>
    </row>
    <row r="19287">
      <c r="C19287" s="15"/>
      <c r="E19287" s="8"/>
      <c r="G19287" s="8"/>
      <c r="J19287" s="8"/>
    </row>
    <row r="19288">
      <c r="C19288" s="15"/>
      <c r="E19288" s="8"/>
      <c r="G19288" s="8"/>
      <c r="J19288" s="8"/>
    </row>
    <row r="19289">
      <c r="C19289" s="15"/>
      <c r="E19289" s="8"/>
      <c r="G19289" s="8"/>
      <c r="J19289" s="8"/>
    </row>
    <row r="19290">
      <c r="C19290" s="15"/>
      <c r="E19290" s="8"/>
      <c r="G19290" s="8"/>
      <c r="J19290" s="8"/>
    </row>
    <row r="19291">
      <c r="C19291" s="15"/>
      <c r="E19291" s="8"/>
      <c r="G19291" s="8"/>
      <c r="J19291" s="8"/>
    </row>
    <row r="19292">
      <c r="C19292" s="15"/>
      <c r="E19292" s="8"/>
      <c r="G19292" s="8"/>
      <c r="J19292" s="8"/>
    </row>
    <row r="19293">
      <c r="C19293" s="15"/>
      <c r="E19293" s="8"/>
      <c r="G19293" s="8"/>
      <c r="J19293" s="8"/>
    </row>
    <row r="19294">
      <c r="C19294" s="15"/>
      <c r="E19294" s="8"/>
      <c r="G19294" s="8"/>
      <c r="J19294" s="8"/>
    </row>
    <row r="19295">
      <c r="C19295" s="15"/>
      <c r="E19295" s="8"/>
      <c r="G19295" s="8"/>
      <c r="J19295" s="8"/>
    </row>
    <row r="19296">
      <c r="C19296" s="15"/>
      <c r="E19296" s="8"/>
      <c r="G19296" s="8"/>
      <c r="J19296" s="8"/>
    </row>
    <row r="19297">
      <c r="C19297" s="15"/>
      <c r="E19297" s="8"/>
      <c r="G19297" s="8"/>
      <c r="J19297" s="8"/>
    </row>
    <row r="19298">
      <c r="C19298" s="15"/>
      <c r="E19298" s="8"/>
      <c r="G19298" s="8"/>
      <c r="J19298" s="8"/>
    </row>
    <row r="19299">
      <c r="C19299" s="15"/>
      <c r="E19299" s="8"/>
      <c r="G19299" s="8"/>
      <c r="J19299" s="8"/>
    </row>
    <row r="19300">
      <c r="C19300" s="15"/>
      <c r="E19300" s="8"/>
      <c r="G19300" s="8"/>
      <c r="J19300" s="8"/>
    </row>
    <row r="19301">
      <c r="C19301" s="15"/>
      <c r="E19301" s="8"/>
      <c r="G19301" s="8"/>
      <c r="J19301" s="8"/>
    </row>
    <row r="19302">
      <c r="C19302" s="15"/>
      <c r="E19302" s="8"/>
      <c r="G19302" s="8"/>
      <c r="J19302" s="8"/>
    </row>
    <row r="19303">
      <c r="C19303" s="15"/>
      <c r="E19303" s="8"/>
      <c r="G19303" s="8"/>
      <c r="J19303" s="8"/>
    </row>
    <row r="19304">
      <c r="C19304" s="15"/>
      <c r="E19304" s="8"/>
      <c r="G19304" s="8"/>
      <c r="J19304" s="8"/>
    </row>
    <row r="19305">
      <c r="C19305" s="15"/>
      <c r="E19305" s="8"/>
      <c r="G19305" s="8"/>
      <c r="J19305" s="8"/>
    </row>
    <row r="19306">
      <c r="C19306" s="15"/>
      <c r="E19306" s="8"/>
      <c r="G19306" s="8"/>
      <c r="J19306" s="8"/>
    </row>
    <row r="19307">
      <c r="C19307" s="15"/>
      <c r="E19307" s="8"/>
      <c r="G19307" s="8"/>
      <c r="J19307" s="8"/>
    </row>
    <row r="19308">
      <c r="C19308" s="15"/>
      <c r="E19308" s="8"/>
      <c r="G19308" s="8"/>
      <c r="J19308" s="8"/>
    </row>
    <row r="19309">
      <c r="C19309" s="15"/>
      <c r="E19309" s="8"/>
      <c r="G19309" s="8"/>
      <c r="J19309" s="8"/>
    </row>
    <row r="19310">
      <c r="C19310" s="15"/>
      <c r="E19310" s="8"/>
      <c r="G19310" s="8"/>
      <c r="J19310" s="8"/>
    </row>
    <row r="19311">
      <c r="C19311" s="15"/>
      <c r="E19311" s="8"/>
      <c r="G19311" s="8"/>
      <c r="J19311" s="8"/>
    </row>
    <row r="19312">
      <c r="C19312" s="15"/>
      <c r="E19312" s="8"/>
      <c r="G19312" s="8"/>
      <c r="J19312" s="8"/>
    </row>
    <row r="19313">
      <c r="C19313" s="15"/>
      <c r="E19313" s="8"/>
      <c r="G19313" s="8"/>
      <c r="J19313" s="8"/>
    </row>
    <row r="19314">
      <c r="C19314" s="15"/>
      <c r="E19314" s="8"/>
      <c r="G19314" s="8"/>
      <c r="J19314" s="8"/>
    </row>
    <row r="19315">
      <c r="C19315" s="15"/>
      <c r="E19315" s="8"/>
      <c r="G19315" s="8"/>
      <c r="J19315" s="8"/>
    </row>
    <row r="19316">
      <c r="C19316" s="15"/>
      <c r="E19316" s="8"/>
      <c r="G19316" s="8"/>
      <c r="J19316" s="8"/>
    </row>
    <row r="19317">
      <c r="C19317" s="15"/>
      <c r="E19317" s="8"/>
      <c r="G19317" s="8"/>
      <c r="J19317" s="8"/>
    </row>
    <row r="19318">
      <c r="C19318" s="15"/>
      <c r="E19318" s="8"/>
      <c r="G19318" s="8"/>
      <c r="J19318" s="8"/>
    </row>
    <row r="19319">
      <c r="C19319" s="15"/>
      <c r="E19319" s="8"/>
      <c r="G19319" s="8"/>
      <c r="J19319" s="8"/>
    </row>
    <row r="19320">
      <c r="C19320" s="15"/>
      <c r="E19320" s="8"/>
      <c r="G19320" s="8"/>
      <c r="J19320" s="8"/>
    </row>
    <row r="19321">
      <c r="C19321" s="15"/>
      <c r="E19321" s="8"/>
      <c r="G19321" s="8"/>
      <c r="J19321" s="8"/>
    </row>
    <row r="19322">
      <c r="C19322" s="15"/>
      <c r="E19322" s="8"/>
      <c r="G19322" s="8"/>
      <c r="J19322" s="8"/>
    </row>
    <row r="19323">
      <c r="C19323" s="15"/>
      <c r="E19323" s="8"/>
      <c r="G19323" s="8"/>
      <c r="J19323" s="8"/>
    </row>
    <row r="19324">
      <c r="C19324" s="15"/>
      <c r="E19324" s="8"/>
      <c r="G19324" s="8"/>
      <c r="J19324" s="8"/>
    </row>
    <row r="19325">
      <c r="C19325" s="15"/>
      <c r="E19325" s="8"/>
      <c r="G19325" s="8"/>
      <c r="J19325" s="8"/>
    </row>
    <row r="19326">
      <c r="C19326" s="15"/>
      <c r="E19326" s="8"/>
      <c r="G19326" s="8"/>
      <c r="J19326" s="8"/>
    </row>
    <row r="19327">
      <c r="C19327" s="15"/>
      <c r="E19327" s="8"/>
      <c r="G19327" s="8"/>
      <c r="J19327" s="8"/>
    </row>
    <row r="19328">
      <c r="C19328" s="15"/>
      <c r="E19328" s="8"/>
      <c r="G19328" s="8"/>
      <c r="J19328" s="8"/>
    </row>
    <row r="19329">
      <c r="C19329" s="15"/>
      <c r="E19329" s="8"/>
      <c r="G19329" s="8"/>
      <c r="J19329" s="8"/>
    </row>
    <row r="19330">
      <c r="C19330" s="15"/>
      <c r="E19330" s="8"/>
      <c r="G19330" s="8"/>
      <c r="J19330" s="8"/>
    </row>
    <row r="19331">
      <c r="C19331" s="15"/>
      <c r="E19331" s="8"/>
      <c r="G19331" s="8"/>
      <c r="J19331" s="8"/>
    </row>
    <row r="19332">
      <c r="C19332" s="15"/>
      <c r="E19332" s="8"/>
      <c r="G19332" s="8"/>
      <c r="J19332" s="8"/>
    </row>
    <row r="19333">
      <c r="C19333" s="15"/>
      <c r="E19333" s="8"/>
      <c r="G19333" s="8"/>
      <c r="J19333" s="8"/>
    </row>
    <row r="19334">
      <c r="C19334" s="15"/>
      <c r="E19334" s="8"/>
      <c r="G19334" s="8"/>
      <c r="J19334" s="8"/>
    </row>
    <row r="19335">
      <c r="C19335" s="15"/>
      <c r="E19335" s="8"/>
      <c r="G19335" s="8"/>
      <c r="J19335" s="8"/>
    </row>
    <row r="19336">
      <c r="C19336" s="15"/>
      <c r="E19336" s="8"/>
      <c r="G19336" s="8"/>
      <c r="J19336" s="8"/>
    </row>
    <row r="19337">
      <c r="C19337" s="15"/>
      <c r="E19337" s="8"/>
      <c r="G19337" s="8"/>
      <c r="J19337" s="8"/>
    </row>
    <row r="19338">
      <c r="C19338" s="15"/>
      <c r="E19338" s="8"/>
      <c r="G19338" s="8"/>
      <c r="J19338" s="8"/>
    </row>
    <row r="19339">
      <c r="C19339" s="15"/>
      <c r="E19339" s="8"/>
      <c r="G19339" s="8"/>
      <c r="J19339" s="8"/>
    </row>
    <row r="19340">
      <c r="C19340" s="15"/>
      <c r="E19340" s="8"/>
      <c r="G19340" s="8"/>
      <c r="J19340" s="8"/>
    </row>
    <row r="19341">
      <c r="C19341" s="15"/>
      <c r="E19341" s="8"/>
      <c r="G19341" s="8"/>
      <c r="J19341" s="8"/>
    </row>
    <row r="19342">
      <c r="C19342" s="15"/>
      <c r="E19342" s="8"/>
      <c r="G19342" s="8"/>
      <c r="J19342" s="8"/>
    </row>
    <row r="19343">
      <c r="C19343" s="15"/>
      <c r="E19343" s="8"/>
      <c r="G19343" s="8"/>
      <c r="J19343" s="8"/>
    </row>
    <row r="19344">
      <c r="C19344" s="15"/>
      <c r="E19344" s="8"/>
      <c r="G19344" s="8"/>
      <c r="J19344" s="8"/>
    </row>
    <row r="19345">
      <c r="C19345" s="15"/>
      <c r="E19345" s="8"/>
      <c r="G19345" s="8"/>
      <c r="J19345" s="8"/>
    </row>
    <row r="19346">
      <c r="C19346" s="15"/>
      <c r="E19346" s="8"/>
      <c r="G19346" s="8"/>
      <c r="J19346" s="8"/>
    </row>
    <row r="19347">
      <c r="C19347" s="15"/>
      <c r="E19347" s="8"/>
      <c r="G19347" s="8"/>
      <c r="J19347" s="8"/>
    </row>
    <row r="19348">
      <c r="C19348" s="15"/>
      <c r="E19348" s="8"/>
      <c r="G19348" s="8"/>
      <c r="J19348" s="8"/>
    </row>
    <row r="19349">
      <c r="C19349" s="15"/>
      <c r="E19349" s="8"/>
      <c r="G19349" s="8"/>
      <c r="J19349" s="8"/>
    </row>
    <row r="19350">
      <c r="C19350" s="15"/>
      <c r="E19350" s="8"/>
      <c r="G19350" s="8"/>
      <c r="J19350" s="8"/>
    </row>
    <row r="19351">
      <c r="C19351" s="15"/>
      <c r="E19351" s="8"/>
      <c r="G19351" s="8"/>
      <c r="J19351" s="8"/>
    </row>
    <row r="19352">
      <c r="C19352" s="15"/>
      <c r="E19352" s="8"/>
      <c r="G19352" s="8"/>
      <c r="J19352" s="8"/>
    </row>
    <row r="19353">
      <c r="C19353" s="15"/>
      <c r="E19353" s="8"/>
      <c r="G19353" s="8"/>
      <c r="J19353" s="8"/>
    </row>
    <row r="19354">
      <c r="C19354" s="15"/>
      <c r="E19354" s="8"/>
      <c r="G19354" s="8"/>
      <c r="J19354" s="8"/>
    </row>
    <row r="19355">
      <c r="C19355" s="15"/>
      <c r="E19355" s="8"/>
      <c r="G19355" s="8"/>
      <c r="J19355" s="8"/>
    </row>
    <row r="19356">
      <c r="C19356" s="15"/>
      <c r="E19356" s="8"/>
      <c r="G19356" s="8"/>
      <c r="J19356" s="8"/>
    </row>
    <row r="19357">
      <c r="C19357" s="15"/>
      <c r="E19357" s="8"/>
      <c r="G19357" s="8"/>
      <c r="J19357" s="8"/>
    </row>
    <row r="19358">
      <c r="C19358" s="15"/>
      <c r="E19358" s="8"/>
      <c r="G19358" s="8"/>
      <c r="J19358" s="8"/>
    </row>
    <row r="19359">
      <c r="C19359" s="15"/>
      <c r="E19359" s="8"/>
      <c r="G19359" s="8"/>
      <c r="J19359" s="8"/>
    </row>
    <row r="19360">
      <c r="C19360" s="15"/>
      <c r="E19360" s="8"/>
      <c r="G19360" s="8"/>
      <c r="J19360" s="8"/>
    </row>
    <row r="19361">
      <c r="C19361" s="15"/>
      <c r="E19361" s="8"/>
      <c r="G19361" s="8"/>
      <c r="J19361" s="8"/>
    </row>
    <row r="19362">
      <c r="C19362" s="15"/>
      <c r="E19362" s="8"/>
      <c r="G19362" s="8"/>
      <c r="J19362" s="8"/>
    </row>
    <row r="19363">
      <c r="C19363" s="15"/>
      <c r="E19363" s="8"/>
      <c r="G19363" s="8"/>
      <c r="J19363" s="8"/>
    </row>
    <row r="19364">
      <c r="C19364" s="15"/>
      <c r="E19364" s="8"/>
      <c r="G19364" s="8"/>
      <c r="J19364" s="8"/>
    </row>
    <row r="19365">
      <c r="C19365" s="15"/>
      <c r="E19365" s="8"/>
      <c r="G19365" s="8"/>
      <c r="J19365" s="8"/>
    </row>
    <row r="19366">
      <c r="C19366" s="15"/>
      <c r="E19366" s="8"/>
      <c r="G19366" s="8"/>
      <c r="J19366" s="8"/>
    </row>
    <row r="19367">
      <c r="C19367" s="15"/>
      <c r="E19367" s="8"/>
      <c r="G19367" s="8"/>
      <c r="J19367" s="8"/>
    </row>
    <row r="19368">
      <c r="C19368" s="15"/>
      <c r="E19368" s="8"/>
      <c r="G19368" s="8"/>
      <c r="J19368" s="8"/>
    </row>
    <row r="19369">
      <c r="C19369" s="15"/>
      <c r="E19369" s="8"/>
      <c r="G19369" s="8"/>
      <c r="J19369" s="8"/>
    </row>
    <row r="19370">
      <c r="C19370" s="15"/>
      <c r="E19370" s="8"/>
      <c r="G19370" s="8"/>
      <c r="J19370" s="8"/>
    </row>
    <row r="19371">
      <c r="C19371" s="15"/>
      <c r="E19371" s="8"/>
      <c r="G19371" s="8"/>
      <c r="J19371" s="8"/>
    </row>
    <row r="19372">
      <c r="C19372" s="15"/>
      <c r="E19372" s="8"/>
      <c r="G19372" s="8"/>
      <c r="J19372" s="8"/>
    </row>
    <row r="19373">
      <c r="C19373" s="15"/>
      <c r="E19373" s="8"/>
      <c r="G19373" s="8"/>
      <c r="J19373" s="8"/>
    </row>
    <row r="19374">
      <c r="C19374" s="15"/>
      <c r="E19374" s="8"/>
      <c r="G19374" s="8"/>
      <c r="J19374" s="8"/>
    </row>
    <row r="19375">
      <c r="C19375" s="15"/>
      <c r="E19375" s="8"/>
      <c r="G19375" s="8"/>
      <c r="J19375" s="8"/>
    </row>
    <row r="19376">
      <c r="C19376" s="15"/>
      <c r="E19376" s="8"/>
      <c r="G19376" s="8"/>
      <c r="J19376" s="8"/>
    </row>
    <row r="19377">
      <c r="C19377" s="15"/>
      <c r="E19377" s="8"/>
      <c r="G19377" s="8"/>
      <c r="J19377" s="8"/>
    </row>
    <row r="19378">
      <c r="C19378" s="15"/>
      <c r="E19378" s="8"/>
      <c r="G19378" s="8"/>
      <c r="J19378" s="8"/>
    </row>
    <row r="19379">
      <c r="C19379" s="15"/>
      <c r="E19379" s="8"/>
      <c r="G19379" s="8"/>
      <c r="J19379" s="8"/>
    </row>
    <row r="19380">
      <c r="C19380" s="15"/>
      <c r="E19380" s="8"/>
      <c r="G19380" s="8"/>
      <c r="J19380" s="8"/>
    </row>
    <row r="19381">
      <c r="C19381" s="15"/>
      <c r="E19381" s="8"/>
      <c r="G19381" s="8"/>
      <c r="J19381" s="8"/>
    </row>
    <row r="19382">
      <c r="C19382" s="15"/>
      <c r="E19382" s="8"/>
      <c r="G19382" s="8"/>
      <c r="J19382" s="8"/>
    </row>
    <row r="19383">
      <c r="C19383" s="15"/>
      <c r="E19383" s="8"/>
      <c r="G19383" s="8"/>
      <c r="J19383" s="8"/>
    </row>
    <row r="19384">
      <c r="C19384" s="15"/>
      <c r="E19384" s="8"/>
      <c r="G19384" s="8"/>
      <c r="J19384" s="8"/>
    </row>
    <row r="19385">
      <c r="C19385" s="15"/>
      <c r="E19385" s="8"/>
      <c r="G19385" s="8"/>
      <c r="J19385" s="8"/>
    </row>
    <row r="19386">
      <c r="C19386" s="15"/>
      <c r="E19386" s="8"/>
      <c r="G19386" s="8"/>
      <c r="J19386" s="8"/>
    </row>
    <row r="19387">
      <c r="C19387" s="15"/>
      <c r="E19387" s="8"/>
      <c r="G19387" s="8"/>
      <c r="J19387" s="8"/>
    </row>
    <row r="19388">
      <c r="C19388" s="15"/>
      <c r="E19388" s="8"/>
      <c r="G19388" s="8"/>
      <c r="J19388" s="8"/>
    </row>
    <row r="19389">
      <c r="C19389" s="15"/>
      <c r="E19389" s="8"/>
      <c r="G19389" s="8"/>
      <c r="J19389" s="8"/>
    </row>
    <row r="19390">
      <c r="C19390" s="15"/>
      <c r="E19390" s="8"/>
      <c r="G19390" s="8"/>
      <c r="J19390" s="8"/>
    </row>
    <row r="19391">
      <c r="C19391" s="15"/>
      <c r="E19391" s="8"/>
      <c r="G19391" s="8"/>
      <c r="J19391" s="8"/>
    </row>
    <row r="19392">
      <c r="C19392" s="15"/>
      <c r="E19392" s="8"/>
      <c r="G19392" s="8"/>
      <c r="J19392" s="8"/>
    </row>
    <row r="19393">
      <c r="C19393" s="15"/>
      <c r="E19393" s="8"/>
      <c r="G19393" s="8"/>
      <c r="J19393" s="8"/>
    </row>
    <row r="19394">
      <c r="C19394" s="15"/>
      <c r="E19394" s="8"/>
      <c r="G19394" s="8"/>
      <c r="J19394" s="8"/>
    </row>
    <row r="19395">
      <c r="C19395" s="15"/>
      <c r="E19395" s="8"/>
      <c r="G19395" s="8"/>
      <c r="J19395" s="8"/>
    </row>
    <row r="19396">
      <c r="C19396" s="15"/>
      <c r="E19396" s="8"/>
      <c r="G19396" s="8"/>
      <c r="J19396" s="8"/>
    </row>
    <row r="19397">
      <c r="C19397" s="15"/>
      <c r="E19397" s="8"/>
      <c r="G19397" s="8"/>
      <c r="J19397" s="8"/>
    </row>
    <row r="19398">
      <c r="C19398" s="15"/>
      <c r="E19398" s="8"/>
      <c r="G19398" s="8"/>
      <c r="J19398" s="8"/>
    </row>
    <row r="19399">
      <c r="C19399" s="15"/>
      <c r="E19399" s="8"/>
      <c r="G19399" s="8"/>
      <c r="J19399" s="8"/>
    </row>
    <row r="19400">
      <c r="C19400" s="15"/>
      <c r="E19400" s="8"/>
      <c r="G19400" s="8"/>
      <c r="J19400" s="8"/>
    </row>
    <row r="19401">
      <c r="C19401" s="15"/>
      <c r="E19401" s="8"/>
      <c r="G19401" s="8"/>
      <c r="J19401" s="8"/>
    </row>
    <row r="19402">
      <c r="C19402" s="15"/>
      <c r="E19402" s="8"/>
      <c r="G19402" s="8"/>
      <c r="J19402" s="8"/>
    </row>
    <row r="19403">
      <c r="C19403" s="15"/>
      <c r="E19403" s="8"/>
      <c r="G19403" s="8"/>
      <c r="J19403" s="8"/>
    </row>
    <row r="19404">
      <c r="C19404" s="15"/>
      <c r="E19404" s="8"/>
      <c r="G19404" s="8"/>
      <c r="J19404" s="8"/>
    </row>
    <row r="19405">
      <c r="C19405" s="15"/>
      <c r="E19405" s="8"/>
      <c r="G19405" s="8"/>
      <c r="J19405" s="8"/>
    </row>
    <row r="19406">
      <c r="C19406" s="15"/>
      <c r="E19406" s="8"/>
      <c r="G19406" s="8"/>
      <c r="J19406" s="8"/>
    </row>
    <row r="19407">
      <c r="C19407" s="15"/>
      <c r="E19407" s="8"/>
      <c r="G19407" s="8"/>
      <c r="J19407" s="8"/>
    </row>
    <row r="19408">
      <c r="C19408" s="15"/>
      <c r="E19408" s="8"/>
      <c r="G19408" s="8"/>
      <c r="J19408" s="8"/>
    </row>
    <row r="19409">
      <c r="C19409" s="15"/>
      <c r="E19409" s="8"/>
      <c r="G19409" s="8"/>
      <c r="J19409" s="8"/>
    </row>
    <row r="19410">
      <c r="C19410" s="15"/>
      <c r="E19410" s="8"/>
      <c r="G19410" s="8"/>
      <c r="J19410" s="8"/>
    </row>
    <row r="19411">
      <c r="C19411" s="15"/>
      <c r="E19411" s="8"/>
      <c r="G19411" s="8"/>
      <c r="J19411" s="8"/>
    </row>
    <row r="19412">
      <c r="C19412" s="15"/>
      <c r="E19412" s="8"/>
      <c r="G19412" s="8"/>
      <c r="J19412" s="8"/>
    </row>
    <row r="19413">
      <c r="C19413" s="15"/>
      <c r="E19413" s="8"/>
      <c r="G19413" s="8"/>
      <c r="J19413" s="8"/>
    </row>
    <row r="19414">
      <c r="C19414" s="15"/>
      <c r="E19414" s="8"/>
      <c r="G19414" s="8"/>
      <c r="J19414" s="8"/>
    </row>
    <row r="19415">
      <c r="C19415" s="15"/>
      <c r="E19415" s="8"/>
      <c r="G19415" s="8"/>
      <c r="J19415" s="8"/>
    </row>
    <row r="19416">
      <c r="C19416" s="15"/>
      <c r="E19416" s="8"/>
      <c r="G19416" s="8"/>
      <c r="J19416" s="8"/>
    </row>
    <row r="19417">
      <c r="C19417" s="15"/>
      <c r="E19417" s="8"/>
      <c r="G19417" s="8"/>
      <c r="J19417" s="8"/>
    </row>
    <row r="19418">
      <c r="C19418" s="15"/>
      <c r="E19418" s="8"/>
      <c r="G19418" s="8"/>
      <c r="J19418" s="8"/>
    </row>
    <row r="19419">
      <c r="C19419" s="15"/>
      <c r="E19419" s="8"/>
      <c r="G19419" s="8"/>
      <c r="J19419" s="8"/>
    </row>
    <row r="19420">
      <c r="C19420" s="15"/>
      <c r="E19420" s="8"/>
      <c r="G19420" s="8"/>
      <c r="J19420" s="8"/>
    </row>
    <row r="19421">
      <c r="C19421" s="15"/>
      <c r="E19421" s="8"/>
      <c r="G19421" s="8"/>
      <c r="J19421" s="8"/>
    </row>
    <row r="19422">
      <c r="C19422" s="15"/>
      <c r="E19422" s="8"/>
      <c r="G19422" s="8"/>
      <c r="J19422" s="8"/>
    </row>
    <row r="19423">
      <c r="C19423" s="15"/>
      <c r="E19423" s="8"/>
      <c r="G19423" s="8"/>
      <c r="J19423" s="8"/>
    </row>
    <row r="19424">
      <c r="C19424" s="15"/>
      <c r="E19424" s="8"/>
      <c r="G19424" s="8"/>
      <c r="J19424" s="8"/>
    </row>
    <row r="19425">
      <c r="C19425" s="15"/>
      <c r="E19425" s="8"/>
      <c r="G19425" s="8"/>
      <c r="J19425" s="8"/>
    </row>
    <row r="19426">
      <c r="C19426" s="15"/>
      <c r="E19426" s="8"/>
      <c r="G19426" s="8"/>
      <c r="J19426" s="8"/>
    </row>
    <row r="19427">
      <c r="C19427" s="15"/>
      <c r="E19427" s="8"/>
      <c r="G19427" s="8"/>
      <c r="J19427" s="8"/>
    </row>
    <row r="19428">
      <c r="C19428" s="15"/>
      <c r="E19428" s="8"/>
      <c r="G19428" s="8"/>
      <c r="J19428" s="8"/>
    </row>
    <row r="19429">
      <c r="C19429" s="15"/>
      <c r="E19429" s="8"/>
      <c r="G19429" s="8"/>
      <c r="J19429" s="8"/>
    </row>
    <row r="19430">
      <c r="C19430" s="15"/>
      <c r="E19430" s="8"/>
      <c r="G19430" s="8"/>
      <c r="J19430" s="8"/>
    </row>
    <row r="19431">
      <c r="C19431" s="15"/>
      <c r="E19431" s="8"/>
      <c r="G19431" s="8"/>
      <c r="J19431" s="8"/>
    </row>
    <row r="19432">
      <c r="C19432" s="15"/>
      <c r="E19432" s="8"/>
      <c r="G19432" s="8"/>
      <c r="J19432" s="8"/>
    </row>
    <row r="19433">
      <c r="C19433" s="15"/>
      <c r="E19433" s="8"/>
      <c r="G19433" s="8"/>
      <c r="J19433" s="8"/>
    </row>
    <row r="19434">
      <c r="C19434" s="15"/>
      <c r="E19434" s="8"/>
      <c r="G19434" s="8"/>
      <c r="J19434" s="8"/>
    </row>
    <row r="19435">
      <c r="C19435" s="15"/>
      <c r="E19435" s="8"/>
      <c r="G19435" s="8"/>
      <c r="J19435" s="8"/>
    </row>
    <row r="19436">
      <c r="C19436" s="15"/>
      <c r="E19436" s="8"/>
      <c r="G19436" s="8"/>
      <c r="J19436" s="8"/>
    </row>
    <row r="19437">
      <c r="C19437" s="15"/>
      <c r="E19437" s="8"/>
      <c r="G19437" s="8"/>
      <c r="J19437" s="8"/>
    </row>
    <row r="19438">
      <c r="C19438" s="15"/>
      <c r="E19438" s="8"/>
      <c r="G19438" s="8"/>
      <c r="J19438" s="8"/>
    </row>
    <row r="19439">
      <c r="C19439" s="15"/>
      <c r="E19439" s="8"/>
      <c r="G19439" s="8"/>
      <c r="J19439" s="8"/>
    </row>
    <row r="19440">
      <c r="C19440" s="15"/>
      <c r="E19440" s="8"/>
      <c r="G19440" s="8"/>
      <c r="J19440" s="8"/>
    </row>
    <row r="19441">
      <c r="C19441" s="15"/>
      <c r="E19441" s="8"/>
      <c r="G19441" s="8"/>
      <c r="J19441" s="8"/>
    </row>
    <row r="19442">
      <c r="C19442" s="15"/>
      <c r="E19442" s="8"/>
      <c r="G19442" s="8"/>
      <c r="J19442" s="8"/>
    </row>
    <row r="19443">
      <c r="C19443" s="15"/>
      <c r="E19443" s="8"/>
      <c r="G19443" s="8"/>
      <c r="J19443" s="8"/>
    </row>
    <row r="19444">
      <c r="C19444" s="15"/>
      <c r="E19444" s="8"/>
      <c r="G19444" s="8"/>
      <c r="J19444" s="8"/>
    </row>
    <row r="19445">
      <c r="C19445" s="15"/>
      <c r="E19445" s="8"/>
      <c r="G19445" s="8"/>
      <c r="J19445" s="8"/>
    </row>
    <row r="19446">
      <c r="C19446" s="15"/>
      <c r="E19446" s="8"/>
      <c r="G19446" s="8"/>
      <c r="J19446" s="8"/>
    </row>
    <row r="19447">
      <c r="C19447" s="15"/>
      <c r="E19447" s="8"/>
      <c r="G19447" s="8"/>
      <c r="J19447" s="8"/>
    </row>
    <row r="19448">
      <c r="C19448" s="15"/>
      <c r="E19448" s="8"/>
      <c r="G19448" s="8"/>
      <c r="J19448" s="8"/>
    </row>
    <row r="19449">
      <c r="C19449" s="15"/>
      <c r="E19449" s="8"/>
      <c r="G19449" s="8"/>
      <c r="J19449" s="8"/>
    </row>
    <row r="19450">
      <c r="C19450" s="15"/>
      <c r="E19450" s="8"/>
      <c r="G19450" s="8"/>
      <c r="J19450" s="8"/>
    </row>
    <row r="19451">
      <c r="C19451" s="15"/>
      <c r="E19451" s="8"/>
      <c r="G19451" s="8"/>
      <c r="J19451" s="8"/>
    </row>
    <row r="19452">
      <c r="C19452" s="15"/>
      <c r="E19452" s="8"/>
      <c r="G19452" s="8"/>
      <c r="J19452" s="8"/>
    </row>
    <row r="19453">
      <c r="C19453" s="15"/>
      <c r="E19453" s="8"/>
      <c r="G19453" s="8"/>
      <c r="J19453" s="8"/>
    </row>
    <row r="19454">
      <c r="C19454" s="15"/>
      <c r="E19454" s="8"/>
      <c r="G19454" s="8"/>
      <c r="J19454" s="8"/>
    </row>
    <row r="19455">
      <c r="C19455" s="15"/>
      <c r="E19455" s="8"/>
      <c r="G19455" s="8"/>
      <c r="J19455" s="8"/>
    </row>
    <row r="19456">
      <c r="C19456" s="15"/>
      <c r="E19456" s="8"/>
      <c r="G19456" s="8"/>
      <c r="J19456" s="8"/>
    </row>
    <row r="19457">
      <c r="C19457" s="15"/>
      <c r="E19457" s="8"/>
      <c r="G19457" s="8"/>
      <c r="J19457" s="8"/>
    </row>
    <row r="19458">
      <c r="C19458" s="15"/>
      <c r="E19458" s="8"/>
      <c r="G19458" s="8"/>
      <c r="J19458" s="8"/>
    </row>
    <row r="19459">
      <c r="C19459" s="15"/>
      <c r="E19459" s="8"/>
      <c r="G19459" s="8"/>
      <c r="J19459" s="8"/>
    </row>
    <row r="19460">
      <c r="C19460" s="15"/>
      <c r="E19460" s="8"/>
      <c r="G19460" s="8"/>
      <c r="J19460" s="8"/>
    </row>
    <row r="19461">
      <c r="C19461" s="15"/>
      <c r="E19461" s="8"/>
      <c r="G19461" s="8"/>
      <c r="J19461" s="8"/>
    </row>
    <row r="19462">
      <c r="C19462" s="15"/>
      <c r="E19462" s="8"/>
      <c r="G19462" s="8"/>
      <c r="J19462" s="8"/>
    </row>
    <row r="19463">
      <c r="C19463" s="15"/>
      <c r="E19463" s="8"/>
      <c r="G19463" s="8"/>
      <c r="J19463" s="8"/>
    </row>
    <row r="19464">
      <c r="C19464" s="15"/>
      <c r="E19464" s="8"/>
      <c r="G19464" s="8"/>
      <c r="J19464" s="8"/>
    </row>
    <row r="19465">
      <c r="C19465" s="15"/>
      <c r="E19465" s="8"/>
      <c r="G19465" s="8"/>
      <c r="J19465" s="8"/>
    </row>
    <row r="19466">
      <c r="C19466" s="15"/>
      <c r="E19466" s="8"/>
      <c r="G19466" s="8"/>
      <c r="J19466" s="8"/>
    </row>
    <row r="19467">
      <c r="C19467" s="15"/>
      <c r="E19467" s="8"/>
      <c r="G19467" s="8"/>
      <c r="J19467" s="8"/>
    </row>
    <row r="19468">
      <c r="C19468" s="15"/>
      <c r="E19468" s="8"/>
      <c r="G19468" s="8"/>
      <c r="J19468" s="8"/>
    </row>
    <row r="19469">
      <c r="C19469" s="15"/>
      <c r="E19469" s="8"/>
      <c r="G19469" s="8"/>
      <c r="J19469" s="8"/>
    </row>
    <row r="19470">
      <c r="C19470" s="15"/>
      <c r="E19470" s="8"/>
      <c r="G19470" s="8"/>
      <c r="J19470" s="8"/>
    </row>
    <row r="19471">
      <c r="C19471" s="15"/>
      <c r="E19471" s="8"/>
      <c r="G19471" s="8"/>
      <c r="J19471" s="8"/>
    </row>
    <row r="19472">
      <c r="C19472" s="15"/>
      <c r="E19472" s="8"/>
      <c r="G19472" s="8"/>
      <c r="J19472" s="8"/>
    </row>
    <row r="19473">
      <c r="C19473" s="15"/>
      <c r="E19473" s="8"/>
      <c r="G19473" s="8"/>
      <c r="J19473" s="8"/>
    </row>
    <row r="19474">
      <c r="C19474" s="15"/>
      <c r="E19474" s="8"/>
      <c r="G19474" s="8"/>
      <c r="J19474" s="8"/>
    </row>
    <row r="19475">
      <c r="C19475" s="15"/>
      <c r="E19475" s="8"/>
      <c r="G19475" s="8"/>
      <c r="J19475" s="8"/>
    </row>
    <row r="19476">
      <c r="C19476" s="15"/>
      <c r="E19476" s="8"/>
      <c r="G19476" s="8"/>
      <c r="J19476" s="8"/>
    </row>
    <row r="19477">
      <c r="C19477" s="15"/>
      <c r="E19477" s="8"/>
      <c r="G19477" s="8"/>
      <c r="J19477" s="8"/>
    </row>
    <row r="19478">
      <c r="C19478" s="15"/>
      <c r="E19478" s="8"/>
      <c r="G19478" s="8"/>
      <c r="J19478" s="8"/>
    </row>
    <row r="19479">
      <c r="C19479" s="15"/>
      <c r="E19479" s="8"/>
      <c r="G19479" s="8"/>
      <c r="J19479" s="8"/>
    </row>
    <row r="19480">
      <c r="C19480" s="15"/>
      <c r="E19480" s="8"/>
      <c r="G19480" s="8"/>
      <c r="J19480" s="8"/>
    </row>
    <row r="19481">
      <c r="C19481" s="15"/>
      <c r="E19481" s="8"/>
      <c r="G19481" s="8"/>
      <c r="J19481" s="8"/>
    </row>
    <row r="19482">
      <c r="C19482" s="15"/>
      <c r="E19482" s="8"/>
      <c r="G19482" s="8"/>
      <c r="J19482" s="8"/>
    </row>
    <row r="19483">
      <c r="C19483" s="15"/>
      <c r="E19483" s="8"/>
      <c r="G19483" s="8"/>
      <c r="J19483" s="8"/>
    </row>
    <row r="19484">
      <c r="C19484" s="15"/>
      <c r="E19484" s="8"/>
      <c r="G19484" s="8"/>
      <c r="J19484" s="8"/>
    </row>
    <row r="19485">
      <c r="C19485" s="15"/>
      <c r="E19485" s="8"/>
      <c r="G19485" s="8"/>
      <c r="J19485" s="8"/>
    </row>
    <row r="19486">
      <c r="C19486" s="15"/>
      <c r="E19486" s="8"/>
      <c r="G19486" s="8"/>
      <c r="J19486" s="8"/>
    </row>
    <row r="19487">
      <c r="C19487" s="15"/>
      <c r="E19487" s="8"/>
      <c r="G19487" s="8"/>
      <c r="J19487" s="8"/>
    </row>
    <row r="19488">
      <c r="C19488" s="15"/>
      <c r="E19488" s="8"/>
      <c r="G19488" s="8"/>
      <c r="J19488" s="8"/>
    </row>
    <row r="19489">
      <c r="C19489" s="15"/>
      <c r="E19489" s="8"/>
      <c r="G19489" s="8"/>
      <c r="J19489" s="8"/>
    </row>
    <row r="19490">
      <c r="C19490" s="15"/>
      <c r="E19490" s="8"/>
      <c r="G19490" s="8"/>
      <c r="J19490" s="8"/>
    </row>
    <row r="19491">
      <c r="C19491" s="15"/>
      <c r="E19491" s="8"/>
      <c r="G19491" s="8"/>
      <c r="J19491" s="8"/>
    </row>
    <row r="19492">
      <c r="C19492" s="15"/>
      <c r="E19492" s="8"/>
      <c r="G19492" s="8"/>
      <c r="J19492" s="8"/>
    </row>
    <row r="19493">
      <c r="C19493" s="15"/>
      <c r="E19493" s="8"/>
      <c r="G19493" s="8"/>
      <c r="J19493" s="8"/>
    </row>
    <row r="19494">
      <c r="C19494" s="15"/>
      <c r="E19494" s="8"/>
      <c r="G19494" s="8"/>
      <c r="J19494" s="8"/>
    </row>
    <row r="19495">
      <c r="C19495" s="15"/>
      <c r="E19495" s="8"/>
      <c r="G19495" s="8"/>
      <c r="J19495" s="8"/>
    </row>
    <row r="19496">
      <c r="C19496" s="15"/>
      <c r="E19496" s="8"/>
      <c r="G19496" s="8"/>
      <c r="J19496" s="8"/>
    </row>
    <row r="19497">
      <c r="C19497" s="15"/>
      <c r="E19497" s="8"/>
      <c r="G19497" s="8"/>
      <c r="J19497" s="8"/>
    </row>
    <row r="19498">
      <c r="C19498" s="15"/>
      <c r="E19498" s="8"/>
      <c r="G19498" s="8"/>
      <c r="J19498" s="8"/>
    </row>
    <row r="19499">
      <c r="C19499" s="15"/>
      <c r="E19499" s="8"/>
      <c r="G19499" s="8"/>
      <c r="J19499" s="8"/>
    </row>
    <row r="19500">
      <c r="C19500" s="15"/>
      <c r="E19500" s="8"/>
      <c r="G19500" s="8"/>
      <c r="J19500" s="8"/>
    </row>
    <row r="19501">
      <c r="C19501" s="15"/>
      <c r="E19501" s="8"/>
      <c r="G19501" s="8"/>
      <c r="J19501" s="8"/>
    </row>
    <row r="19502">
      <c r="C19502" s="15"/>
      <c r="E19502" s="8"/>
      <c r="G19502" s="8"/>
      <c r="J19502" s="8"/>
    </row>
    <row r="19503">
      <c r="C19503" s="15"/>
      <c r="E19503" s="8"/>
      <c r="G19503" s="8"/>
      <c r="J19503" s="8"/>
    </row>
    <row r="19504">
      <c r="C19504" s="15"/>
      <c r="E19504" s="8"/>
      <c r="G19504" s="8"/>
      <c r="J19504" s="8"/>
    </row>
    <row r="19505">
      <c r="C19505" s="15"/>
      <c r="E19505" s="8"/>
      <c r="G19505" s="8"/>
      <c r="J19505" s="8"/>
    </row>
    <row r="19506">
      <c r="C19506" s="15"/>
      <c r="E19506" s="8"/>
      <c r="G19506" s="8"/>
      <c r="J19506" s="8"/>
    </row>
    <row r="19507">
      <c r="C19507" s="15"/>
      <c r="E19507" s="8"/>
      <c r="G19507" s="8"/>
      <c r="J19507" s="8"/>
    </row>
    <row r="19508">
      <c r="C19508" s="15"/>
      <c r="E19508" s="8"/>
      <c r="G19508" s="8"/>
      <c r="J19508" s="8"/>
    </row>
    <row r="19509">
      <c r="C19509" s="15"/>
      <c r="E19509" s="8"/>
      <c r="G19509" s="8"/>
      <c r="J19509" s="8"/>
    </row>
    <row r="19510">
      <c r="C19510" s="15"/>
      <c r="E19510" s="8"/>
      <c r="G19510" s="8"/>
      <c r="J19510" s="8"/>
    </row>
    <row r="19511">
      <c r="C19511" s="15"/>
      <c r="E19511" s="8"/>
      <c r="G19511" s="8"/>
      <c r="J19511" s="8"/>
    </row>
    <row r="19512">
      <c r="C19512" s="15"/>
      <c r="E19512" s="8"/>
      <c r="G19512" s="8"/>
      <c r="J19512" s="8"/>
    </row>
    <row r="19513">
      <c r="C19513" s="15"/>
      <c r="E19513" s="8"/>
      <c r="G19513" s="8"/>
      <c r="J19513" s="8"/>
    </row>
    <row r="19514">
      <c r="C19514" s="15"/>
      <c r="E19514" s="8"/>
      <c r="G19514" s="8"/>
      <c r="J19514" s="8"/>
    </row>
    <row r="19515">
      <c r="C19515" s="15"/>
      <c r="E19515" s="8"/>
      <c r="G19515" s="8"/>
      <c r="J19515" s="8"/>
    </row>
    <row r="19516">
      <c r="C19516" s="15"/>
      <c r="E19516" s="8"/>
      <c r="G19516" s="8"/>
      <c r="J19516" s="8"/>
    </row>
    <row r="19517">
      <c r="C19517" s="15"/>
      <c r="E19517" s="8"/>
      <c r="G19517" s="8"/>
      <c r="J19517" s="8"/>
    </row>
    <row r="19518">
      <c r="C19518" s="15"/>
      <c r="E19518" s="8"/>
      <c r="G19518" s="8"/>
      <c r="J19518" s="8"/>
    </row>
    <row r="19519">
      <c r="C19519" s="15"/>
      <c r="E19519" s="8"/>
      <c r="G19519" s="8"/>
      <c r="J19519" s="8"/>
    </row>
    <row r="19520">
      <c r="C19520" s="15"/>
      <c r="E19520" s="8"/>
      <c r="G19520" s="8"/>
      <c r="J19520" s="8"/>
    </row>
    <row r="19521">
      <c r="C19521" s="15"/>
      <c r="E19521" s="8"/>
      <c r="G19521" s="8"/>
      <c r="J19521" s="8"/>
    </row>
    <row r="19522">
      <c r="C19522" s="15"/>
      <c r="E19522" s="8"/>
      <c r="G19522" s="8"/>
      <c r="J19522" s="8"/>
    </row>
    <row r="19523">
      <c r="C19523" s="15"/>
      <c r="E19523" s="8"/>
      <c r="G19523" s="8"/>
      <c r="J19523" s="8"/>
    </row>
    <row r="19524">
      <c r="C19524" s="15"/>
      <c r="E19524" s="8"/>
      <c r="G19524" s="8"/>
      <c r="J19524" s="8"/>
    </row>
    <row r="19525">
      <c r="C19525" s="15"/>
      <c r="E19525" s="8"/>
      <c r="G19525" s="8"/>
      <c r="J19525" s="8"/>
    </row>
    <row r="19526">
      <c r="C19526" s="15"/>
      <c r="E19526" s="8"/>
      <c r="G19526" s="8"/>
      <c r="J19526" s="8"/>
    </row>
    <row r="19527">
      <c r="C19527" s="15"/>
      <c r="E19527" s="8"/>
      <c r="G19527" s="8"/>
      <c r="J19527" s="8"/>
    </row>
    <row r="19528">
      <c r="C19528" s="15"/>
      <c r="E19528" s="8"/>
      <c r="G19528" s="8"/>
      <c r="J19528" s="8"/>
    </row>
    <row r="19529">
      <c r="C19529" s="15"/>
      <c r="E19529" s="8"/>
      <c r="G19529" s="8"/>
      <c r="J19529" s="8"/>
    </row>
    <row r="19530">
      <c r="C19530" s="15"/>
      <c r="E19530" s="8"/>
      <c r="G19530" s="8"/>
      <c r="J19530" s="8"/>
    </row>
    <row r="19531">
      <c r="C19531" s="15"/>
      <c r="E19531" s="8"/>
      <c r="G19531" s="8"/>
      <c r="J19531" s="8"/>
    </row>
    <row r="19532">
      <c r="C19532" s="15"/>
      <c r="E19532" s="8"/>
      <c r="G19532" s="8"/>
      <c r="J19532" s="8"/>
    </row>
    <row r="19533">
      <c r="C19533" s="15"/>
      <c r="E19533" s="8"/>
      <c r="G19533" s="8"/>
      <c r="J19533" s="8"/>
    </row>
    <row r="19534">
      <c r="C19534" s="15"/>
      <c r="E19534" s="8"/>
      <c r="G19534" s="8"/>
      <c r="J19534" s="8"/>
    </row>
    <row r="19535">
      <c r="C19535" s="15"/>
      <c r="E19535" s="8"/>
      <c r="G19535" s="8"/>
      <c r="J19535" s="8"/>
    </row>
    <row r="19536">
      <c r="C19536" s="15"/>
      <c r="E19536" s="8"/>
      <c r="G19536" s="8"/>
      <c r="J19536" s="8"/>
    </row>
    <row r="19537">
      <c r="C19537" s="15"/>
      <c r="E19537" s="8"/>
      <c r="G19537" s="8"/>
      <c r="J19537" s="8"/>
    </row>
    <row r="19538">
      <c r="C19538" s="15"/>
      <c r="E19538" s="8"/>
      <c r="G19538" s="8"/>
      <c r="J19538" s="8"/>
    </row>
    <row r="19539">
      <c r="C19539" s="15"/>
      <c r="E19539" s="8"/>
      <c r="G19539" s="8"/>
      <c r="J19539" s="8"/>
    </row>
    <row r="19540">
      <c r="C19540" s="15"/>
      <c r="E19540" s="8"/>
      <c r="G19540" s="8"/>
      <c r="J19540" s="8"/>
    </row>
    <row r="19541">
      <c r="C19541" s="15"/>
      <c r="E19541" s="8"/>
      <c r="G19541" s="8"/>
      <c r="J19541" s="8"/>
    </row>
    <row r="19542">
      <c r="C19542" s="15"/>
      <c r="E19542" s="8"/>
      <c r="G19542" s="8"/>
      <c r="J19542" s="8"/>
    </row>
    <row r="19543">
      <c r="C19543" s="15"/>
      <c r="E19543" s="8"/>
      <c r="G19543" s="8"/>
      <c r="J19543" s="8"/>
    </row>
    <row r="19544">
      <c r="C19544" s="15"/>
      <c r="E19544" s="8"/>
      <c r="G19544" s="8"/>
      <c r="J19544" s="8"/>
    </row>
    <row r="19545">
      <c r="C19545" s="15"/>
      <c r="E19545" s="8"/>
      <c r="G19545" s="8"/>
      <c r="J19545" s="8"/>
    </row>
    <row r="19546">
      <c r="C19546" s="15"/>
      <c r="E19546" s="8"/>
      <c r="G19546" s="8"/>
      <c r="J19546" s="8"/>
    </row>
    <row r="19547">
      <c r="C19547" s="15"/>
      <c r="E19547" s="8"/>
      <c r="G19547" s="8"/>
      <c r="J19547" s="8"/>
    </row>
    <row r="19548">
      <c r="C19548" s="15"/>
      <c r="E19548" s="8"/>
      <c r="G19548" s="8"/>
      <c r="J19548" s="8"/>
    </row>
    <row r="19549">
      <c r="C19549" s="15"/>
      <c r="E19549" s="8"/>
      <c r="G19549" s="8"/>
      <c r="J19549" s="8"/>
    </row>
    <row r="19550">
      <c r="C19550" s="15"/>
      <c r="E19550" s="8"/>
      <c r="G19550" s="8"/>
      <c r="J19550" s="8"/>
    </row>
    <row r="19551">
      <c r="C19551" s="15"/>
      <c r="E19551" s="8"/>
      <c r="G19551" s="8"/>
      <c r="J19551" s="8"/>
    </row>
    <row r="19552">
      <c r="C19552" s="15"/>
      <c r="E19552" s="8"/>
      <c r="G19552" s="8"/>
      <c r="J19552" s="8"/>
    </row>
    <row r="19553">
      <c r="C19553" s="15"/>
      <c r="E19553" s="8"/>
      <c r="G19553" s="8"/>
      <c r="J19553" s="8"/>
    </row>
    <row r="19554">
      <c r="C19554" s="15"/>
      <c r="E19554" s="8"/>
      <c r="G19554" s="8"/>
      <c r="J19554" s="8"/>
    </row>
    <row r="19555">
      <c r="C19555" s="15"/>
      <c r="E19555" s="8"/>
      <c r="G19555" s="8"/>
      <c r="J19555" s="8"/>
    </row>
    <row r="19556">
      <c r="C19556" s="15"/>
      <c r="E19556" s="8"/>
      <c r="G19556" s="8"/>
      <c r="J19556" s="8"/>
    </row>
    <row r="19557">
      <c r="C19557" s="15"/>
      <c r="E19557" s="8"/>
      <c r="G19557" s="8"/>
      <c r="J19557" s="8"/>
    </row>
    <row r="19558">
      <c r="C19558" s="15"/>
      <c r="E19558" s="8"/>
      <c r="G19558" s="8"/>
      <c r="J19558" s="8"/>
    </row>
    <row r="19559">
      <c r="C19559" s="15"/>
      <c r="E19559" s="8"/>
      <c r="G19559" s="8"/>
      <c r="J19559" s="8"/>
    </row>
    <row r="19560">
      <c r="C19560" s="15"/>
      <c r="E19560" s="8"/>
      <c r="G19560" s="8"/>
      <c r="J19560" s="8"/>
    </row>
    <row r="19561">
      <c r="C19561" s="15"/>
      <c r="E19561" s="8"/>
      <c r="G19561" s="8"/>
      <c r="J19561" s="8"/>
    </row>
    <row r="19562">
      <c r="C19562" s="15"/>
      <c r="E19562" s="8"/>
      <c r="G19562" s="8"/>
      <c r="J19562" s="8"/>
    </row>
    <row r="19563">
      <c r="C19563" s="15"/>
      <c r="E19563" s="8"/>
      <c r="G19563" s="8"/>
      <c r="J19563" s="8"/>
    </row>
    <row r="19564">
      <c r="C19564" s="15"/>
      <c r="E19564" s="8"/>
      <c r="G19564" s="8"/>
      <c r="J19564" s="8"/>
    </row>
    <row r="19565">
      <c r="C19565" s="15"/>
      <c r="E19565" s="8"/>
      <c r="G19565" s="8"/>
      <c r="J19565" s="8"/>
    </row>
    <row r="19566">
      <c r="C19566" s="15"/>
      <c r="E19566" s="8"/>
      <c r="G19566" s="8"/>
      <c r="J19566" s="8"/>
    </row>
    <row r="19567">
      <c r="C19567" s="15"/>
      <c r="E19567" s="8"/>
      <c r="G19567" s="8"/>
      <c r="J19567" s="8"/>
    </row>
    <row r="19568">
      <c r="C19568" s="15"/>
      <c r="E19568" s="8"/>
      <c r="G19568" s="8"/>
      <c r="J19568" s="8"/>
    </row>
    <row r="19569">
      <c r="C19569" s="15"/>
      <c r="E19569" s="8"/>
      <c r="G19569" s="8"/>
      <c r="J19569" s="8"/>
    </row>
    <row r="19570">
      <c r="C19570" s="15"/>
      <c r="E19570" s="8"/>
      <c r="G19570" s="8"/>
      <c r="J19570" s="8"/>
    </row>
    <row r="19571">
      <c r="C19571" s="15"/>
      <c r="E19571" s="8"/>
      <c r="G19571" s="8"/>
      <c r="J19571" s="8"/>
    </row>
    <row r="19572">
      <c r="C19572" s="15"/>
      <c r="E19572" s="8"/>
      <c r="G19572" s="8"/>
      <c r="J19572" s="8"/>
    </row>
    <row r="19573">
      <c r="C19573" s="15"/>
      <c r="E19573" s="8"/>
      <c r="G19573" s="8"/>
      <c r="J19573" s="8"/>
    </row>
    <row r="19574">
      <c r="C19574" s="15"/>
      <c r="E19574" s="8"/>
      <c r="G19574" s="8"/>
      <c r="J19574" s="8"/>
    </row>
    <row r="19575">
      <c r="C19575" s="15"/>
      <c r="E19575" s="8"/>
      <c r="G19575" s="8"/>
      <c r="J19575" s="8"/>
    </row>
    <row r="19576">
      <c r="C19576" s="15"/>
      <c r="E19576" s="8"/>
      <c r="G19576" s="8"/>
      <c r="J19576" s="8"/>
    </row>
    <row r="19577">
      <c r="C19577" s="15"/>
      <c r="E19577" s="8"/>
      <c r="G19577" s="8"/>
      <c r="J19577" s="8"/>
    </row>
    <row r="19578">
      <c r="C19578" s="15"/>
      <c r="E19578" s="8"/>
      <c r="G19578" s="8"/>
      <c r="J19578" s="8"/>
    </row>
    <row r="19579">
      <c r="C19579" s="15"/>
      <c r="E19579" s="8"/>
      <c r="G19579" s="8"/>
      <c r="J19579" s="8"/>
    </row>
    <row r="19580">
      <c r="C19580" s="15"/>
      <c r="E19580" s="8"/>
      <c r="G19580" s="8"/>
      <c r="J19580" s="8"/>
    </row>
    <row r="19581">
      <c r="C19581" s="15"/>
      <c r="E19581" s="8"/>
      <c r="G19581" s="8"/>
      <c r="J19581" s="8"/>
    </row>
    <row r="19582">
      <c r="C19582" s="15"/>
      <c r="E19582" s="8"/>
      <c r="G19582" s="8"/>
      <c r="J19582" s="8"/>
    </row>
    <row r="19583">
      <c r="C19583" s="15"/>
      <c r="E19583" s="8"/>
      <c r="G19583" s="8"/>
      <c r="J19583" s="8"/>
    </row>
    <row r="19584">
      <c r="C19584" s="15"/>
      <c r="E19584" s="8"/>
      <c r="G19584" s="8"/>
      <c r="J19584" s="8"/>
    </row>
    <row r="19585">
      <c r="C19585" s="15"/>
      <c r="E19585" s="8"/>
      <c r="G19585" s="8"/>
      <c r="J19585" s="8"/>
    </row>
    <row r="19586">
      <c r="C19586" s="15"/>
      <c r="E19586" s="8"/>
      <c r="G19586" s="8"/>
      <c r="J19586" s="8"/>
    </row>
    <row r="19587">
      <c r="C19587" s="15"/>
      <c r="E19587" s="8"/>
      <c r="G19587" s="8"/>
      <c r="J19587" s="8"/>
    </row>
    <row r="19588">
      <c r="C19588" s="15"/>
      <c r="E19588" s="8"/>
      <c r="G19588" s="8"/>
      <c r="J19588" s="8"/>
    </row>
    <row r="19589">
      <c r="C19589" s="15"/>
      <c r="E19589" s="8"/>
      <c r="G19589" s="8"/>
      <c r="J19589" s="8"/>
    </row>
    <row r="19590">
      <c r="C19590" s="15"/>
      <c r="E19590" s="8"/>
      <c r="G19590" s="8"/>
      <c r="J19590" s="8"/>
    </row>
    <row r="19591">
      <c r="C19591" s="15"/>
      <c r="E19591" s="8"/>
      <c r="G19591" s="8"/>
      <c r="J19591" s="8"/>
    </row>
    <row r="19592">
      <c r="C19592" s="15"/>
      <c r="E19592" s="8"/>
      <c r="G19592" s="8"/>
      <c r="J19592" s="8"/>
    </row>
    <row r="19593">
      <c r="C19593" s="15"/>
      <c r="E19593" s="8"/>
      <c r="G19593" s="8"/>
      <c r="J19593" s="8"/>
    </row>
    <row r="19594">
      <c r="C19594" s="15"/>
      <c r="E19594" s="8"/>
      <c r="G19594" s="8"/>
      <c r="J19594" s="8"/>
    </row>
    <row r="19595">
      <c r="C19595" s="15"/>
      <c r="E19595" s="8"/>
      <c r="G19595" s="8"/>
      <c r="J19595" s="8"/>
    </row>
    <row r="19596">
      <c r="C19596" s="15"/>
      <c r="E19596" s="8"/>
      <c r="G19596" s="8"/>
      <c r="J19596" s="8"/>
    </row>
    <row r="19597">
      <c r="C19597" s="15"/>
      <c r="E19597" s="8"/>
      <c r="G19597" s="8"/>
      <c r="J19597" s="8"/>
    </row>
    <row r="19598">
      <c r="C19598" s="15"/>
      <c r="E19598" s="8"/>
      <c r="G19598" s="8"/>
      <c r="J19598" s="8"/>
    </row>
    <row r="19599">
      <c r="C19599" s="15"/>
      <c r="E19599" s="8"/>
      <c r="G19599" s="8"/>
      <c r="J19599" s="8"/>
    </row>
    <row r="19600">
      <c r="C19600" s="15"/>
      <c r="E19600" s="8"/>
      <c r="G19600" s="8"/>
      <c r="J19600" s="8"/>
    </row>
    <row r="19601">
      <c r="C19601" s="15"/>
      <c r="E19601" s="8"/>
      <c r="G19601" s="8"/>
      <c r="J19601" s="8"/>
    </row>
    <row r="19602">
      <c r="C19602" s="15"/>
      <c r="E19602" s="8"/>
      <c r="G19602" s="8"/>
      <c r="J19602" s="8"/>
    </row>
    <row r="19603">
      <c r="C19603" s="15"/>
      <c r="E19603" s="8"/>
      <c r="G19603" s="8"/>
      <c r="J19603" s="8"/>
    </row>
    <row r="19604">
      <c r="C19604" s="15"/>
      <c r="E19604" s="8"/>
      <c r="G19604" s="8"/>
      <c r="J19604" s="8"/>
    </row>
    <row r="19605">
      <c r="C19605" s="15"/>
      <c r="E19605" s="8"/>
      <c r="G19605" s="8"/>
      <c r="J19605" s="8"/>
    </row>
    <row r="19606">
      <c r="C19606" s="15"/>
      <c r="E19606" s="8"/>
      <c r="G19606" s="8"/>
      <c r="J19606" s="8"/>
    </row>
    <row r="19607">
      <c r="C19607" s="15"/>
      <c r="E19607" s="8"/>
      <c r="G19607" s="8"/>
      <c r="J19607" s="8"/>
    </row>
    <row r="19608">
      <c r="C19608" s="15"/>
      <c r="E19608" s="8"/>
      <c r="G19608" s="8"/>
      <c r="J19608" s="8"/>
    </row>
    <row r="19609">
      <c r="C19609" s="15"/>
      <c r="E19609" s="8"/>
      <c r="G19609" s="8"/>
      <c r="J19609" s="8"/>
    </row>
    <row r="19610">
      <c r="C19610" s="15"/>
      <c r="E19610" s="8"/>
      <c r="G19610" s="8"/>
      <c r="J19610" s="8"/>
    </row>
    <row r="19611">
      <c r="C19611" s="15"/>
      <c r="E19611" s="8"/>
      <c r="G19611" s="8"/>
      <c r="J19611" s="8"/>
    </row>
    <row r="19612">
      <c r="C19612" s="15"/>
      <c r="E19612" s="8"/>
      <c r="G19612" s="8"/>
      <c r="J19612" s="8"/>
    </row>
    <row r="19613">
      <c r="C19613" s="15"/>
      <c r="E19613" s="8"/>
      <c r="G19613" s="8"/>
      <c r="J19613" s="8"/>
    </row>
    <row r="19614">
      <c r="C19614" s="15"/>
      <c r="E19614" s="8"/>
      <c r="G19614" s="8"/>
      <c r="J19614" s="8"/>
    </row>
    <row r="19615">
      <c r="C19615" s="15"/>
      <c r="E19615" s="8"/>
      <c r="G19615" s="8"/>
      <c r="J19615" s="8"/>
    </row>
    <row r="19616">
      <c r="C19616" s="15"/>
      <c r="E19616" s="8"/>
      <c r="G19616" s="8"/>
      <c r="J19616" s="8"/>
    </row>
    <row r="19617">
      <c r="C19617" s="15"/>
      <c r="E19617" s="8"/>
      <c r="G19617" s="8"/>
      <c r="J19617" s="8"/>
    </row>
    <row r="19618">
      <c r="C19618" s="15"/>
      <c r="E19618" s="8"/>
      <c r="G19618" s="8"/>
      <c r="J19618" s="8"/>
    </row>
    <row r="19619">
      <c r="C19619" s="15"/>
      <c r="E19619" s="8"/>
      <c r="G19619" s="8"/>
      <c r="J19619" s="8"/>
    </row>
    <row r="19620">
      <c r="C19620" s="15"/>
      <c r="E19620" s="8"/>
      <c r="G19620" s="8"/>
      <c r="J19620" s="8"/>
    </row>
    <row r="19621">
      <c r="C19621" s="15"/>
      <c r="E19621" s="8"/>
      <c r="G19621" s="8"/>
      <c r="J19621" s="8"/>
    </row>
    <row r="19622">
      <c r="C19622" s="15"/>
      <c r="E19622" s="8"/>
      <c r="G19622" s="8"/>
      <c r="J19622" s="8"/>
    </row>
    <row r="19623">
      <c r="C19623" s="15"/>
      <c r="E19623" s="8"/>
      <c r="G19623" s="8"/>
      <c r="J19623" s="8"/>
    </row>
    <row r="19624">
      <c r="C19624" s="15"/>
      <c r="E19624" s="8"/>
      <c r="G19624" s="8"/>
      <c r="J19624" s="8"/>
    </row>
    <row r="19625">
      <c r="C19625" s="15"/>
      <c r="E19625" s="8"/>
      <c r="G19625" s="8"/>
      <c r="J19625" s="8"/>
    </row>
    <row r="19626">
      <c r="C19626" s="15"/>
      <c r="E19626" s="8"/>
      <c r="G19626" s="8"/>
      <c r="J19626" s="8"/>
    </row>
    <row r="19627">
      <c r="C19627" s="15"/>
      <c r="E19627" s="8"/>
      <c r="G19627" s="8"/>
      <c r="J19627" s="8"/>
    </row>
    <row r="19628">
      <c r="C19628" s="15"/>
      <c r="E19628" s="8"/>
      <c r="G19628" s="8"/>
      <c r="J19628" s="8"/>
    </row>
    <row r="19629">
      <c r="C19629" s="15"/>
      <c r="E19629" s="8"/>
      <c r="G19629" s="8"/>
      <c r="J19629" s="8"/>
    </row>
    <row r="19630">
      <c r="C19630" s="15"/>
      <c r="E19630" s="8"/>
      <c r="G19630" s="8"/>
      <c r="J19630" s="8"/>
    </row>
    <row r="19631">
      <c r="C19631" s="15"/>
      <c r="E19631" s="8"/>
      <c r="G19631" s="8"/>
      <c r="J19631" s="8"/>
    </row>
    <row r="19632">
      <c r="C19632" s="15"/>
      <c r="E19632" s="8"/>
      <c r="G19632" s="8"/>
      <c r="J19632" s="8"/>
    </row>
    <row r="19633">
      <c r="C19633" s="15"/>
      <c r="E19633" s="8"/>
      <c r="G19633" s="8"/>
      <c r="J19633" s="8"/>
    </row>
    <row r="19634">
      <c r="C19634" s="15"/>
      <c r="E19634" s="8"/>
      <c r="G19634" s="8"/>
      <c r="J19634" s="8"/>
    </row>
    <row r="19635">
      <c r="C19635" s="15"/>
      <c r="E19635" s="8"/>
      <c r="G19635" s="8"/>
      <c r="J19635" s="8"/>
    </row>
    <row r="19636">
      <c r="C19636" s="15"/>
      <c r="E19636" s="8"/>
      <c r="G19636" s="8"/>
      <c r="J19636" s="8"/>
    </row>
    <row r="19637">
      <c r="C19637" s="15"/>
      <c r="E19637" s="8"/>
      <c r="G19637" s="8"/>
      <c r="J19637" s="8"/>
    </row>
    <row r="19638">
      <c r="C19638" s="15"/>
      <c r="E19638" s="8"/>
      <c r="G19638" s="8"/>
      <c r="J19638" s="8"/>
    </row>
    <row r="19639">
      <c r="C19639" s="15"/>
      <c r="E19639" s="8"/>
      <c r="G19639" s="8"/>
      <c r="J19639" s="8"/>
    </row>
    <row r="19640">
      <c r="C19640" s="15"/>
      <c r="E19640" s="8"/>
      <c r="G19640" s="8"/>
      <c r="J19640" s="8"/>
    </row>
    <row r="19641">
      <c r="C19641" s="15"/>
      <c r="E19641" s="8"/>
      <c r="G19641" s="8"/>
      <c r="J19641" s="8"/>
    </row>
    <row r="19642">
      <c r="C19642" s="15"/>
      <c r="E19642" s="8"/>
      <c r="G19642" s="8"/>
      <c r="J19642" s="8"/>
    </row>
    <row r="19643">
      <c r="C19643" s="15"/>
      <c r="E19643" s="8"/>
      <c r="G19643" s="8"/>
      <c r="J19643" s="8"/>
    </row>
    <row r="19644">
      <c r="C19644" s="15"/>
      <c r="E19644" s="8"/>
      <c r="G19644" s="8"/>
      <c r="J19644" s="8"/>
    </row>
    <row r="19645">
      <c r="C19645" s="15"/>
      <c r="E19645" s="8"/>
      <c r="G19645" s="8"/>
      <c r="J19645" s="8"/>
    </row>
    <row r="19646">
      <c r="C19646" s="15"/>
      <c r="E19646" s="8"/>
      <c r="G19646" s="8"/>
      <c r="J19646" s="8"/>
    </row>
    <row r="19647">
      <c r="C19647" s="15"/>
      <c r="E19647" s="8"/>
      <c r="G19647" s="8"/>
      <c r="J19647" s="8"/>
    </row>
    <row r="19648">
      <c r="C19648" s="15"/>
      <c r="E19648" s="8"/>
      <c r="G19648" s="8"/>
      <c r="J19648" s="8"/>
    </row>
    <row r="19649">
      <c r="C19649" s="15"/>
      <c r="E19649" s="8"/>
      <c r="G19649" s="8"/>
      <c r="J19649" s="8"/>
    </row>
    <row r="19650">
      <c r="C19650" s="15"/>
      <c r="E19650" s="8"/>
      <c r="G19650" s="8"/>
      <c r="J19650" s="8"/>
    </row>
    <row r="19651">
      <c r="C19651" s="15"/>
      <c r="E19651" s="8"/>
      <c r="G19651" s="8"/>
      <c r="J19651" s="8"/>
    </row>
    <row r="19652">
      <c r="C19652" s="15"/>
      <c r="E19652" s="8"/>
      <c r="G19652" s="8"/>
      <c r="J19652" s="8"/>
    </row>
    <row r="19653">
      <c r="C19653" s="15"/>
      <c r="E19653" s="8"/>
      <c r="G19653" s="8"/>
      <c r="J19653" s="8"/>
    </row>
    <row r="19654">
      <c r="C19654" s="15"/>
      <c r="E19654" s="8"/>
      <c r="G19654" s="8"/>
      <c r="J19654" s="8"/>
    </row>
    <row r="19655">
      <c r="C19655" s="15"/>
      <c r="E19655" s="8"/>
      <c r="G19655" s="8"/>
      <c r="J19655" s="8"/>
    </row>
    <row r="19656">
      <c r="C19656" s="15"/>
      <c r="E19656" s="8"/>
      <c r="G19656" s="8"/>
      <c r="J19656" s="8"/>
    </row>
    <row r="19657">
      <c r="C19657" s="15"/>
      <c r="E19657" s="8"/>
      <c r="G19657" s="8"/>
      <c r="J19657" s="8"/>
    </row>
    <row r="19658">
      <c r="C19658" s="15"/>
      <c r="E19658" s="8"/>
      <c r="G19658" s="8"/>
      <c r="J19658" s="8"/>
    </row>
    <row r="19659">
      <c r="C19659" s="15"/>
      <c r="E19659" s="8"/>
      <c r="G19659" s="8"/>
      <c r="J19659" s="8"/>
    </row>
    <row r="19660">
      <c r="C19660" s="15"/>
      <c r="E19660" s="8"/>
      <c r="G19660" s="8"/>
      <c r="J19660" s="8"/>
    </row>
    <row r="19661">
      <c r="C19661" s="15"/>
      <c r="E19661" s="8"/>
      <c r="G19661" s="8"/>
      <c r="J19661" s="8"/>
    </row>
    <row r="19662">
      <c r="C19662" s="15"/>
      <c r="E19662" s="8"/>
      <c r="G19662" s="8"/>
      <c r="J19662" s="8"/>
    </row>
    <row r="19663">
      <c r="C19663" s="15"/>
      <c r="E19663" s="8"/>
      <c r="G19663" s="8"/>
      <c r="J19663" s="8"/>
    </row>
    <row r="19664">
      <c r="C19664" s="15"/>
      <c r="E19664" s="8"/>
      <c r="G19664" s="8"/>
      <c r="J19664" s="8"/>
    </row>
    <row r="19665">
      <c r="C19665" s="15"/>
      <c r="E19665" s="8"/>
      <c r="G19665" s="8"/>
      <c r="J19665" s="8"/>
    </row>
    <row r="19666">
      <c r="C19666" s="15"/>
      <c r="E19666" s="8"/>
      <c r="G19666" s="8"/>
      <c r="J19666" s="8"/>
    </row>
    <row r="19667">
      <c r="C19667" s="15"/>
      <c r="E19667" s="8"/>
      <c r="G19667" s="8"/>
      <c r="J19667" s="8"/>
    </row>
    <row r="19668">
      <c r="C19668" s="15"/>
      <c r="E19668" s="8"/>
      <c r="G19668" s="8"/>
      <c r="J19668" s="8"/>
    </row>
    <row r="19669">
      <c r="C19669" s="15"/>
      <c r="E19669" s="8"/>
      <c r="G19669" s="8"/>
      <c r="J19669" s="8"/>
    </row>
    <row r="19670">
      <c r="C19670" s="15"/>
      <c r="E19670" s="8"/>
      <c r="G19670" s="8"/>
      <c r="J19670" s="8"/>
    </row>
    <row r="19671">
      <c r="C19671" s="15"/>
      <c r="E19671" s="8"/>
      <c r="G19671" s="8"/>
      <c r="J19671" s="8"/>
    </row>
    <row r="19672">
      <c r="C19672" s="15"/>
      <c r="E19672" s="8"/>
      <c r="G19672" s="8"/>
      <c r="J19672" s="8"/>
    </row>
    <row r="19673">
      <c r="C19673" s="15"/>
      <c r="E19673" s="8"/>
      <c r="G19673" s="8"/>
      <c r="J19673" s="8"/>
    </row>
    <row r="19674">
      <c r="C19674" s="15"/>
      <c r="E19674" s="8"/>
      <c r="G19674" s="8"/>
      <c r="J19674" s="8"/>
    </row>
    <row r="19675">
      <c r="C19675" s="15"/>
      <c r="E19675" s="8"/>
      <c r="G19675" s="8"/>
      <c r="J19675" s="8"/>
    </row>
    <row r="19676">
      <c r="C19676" s="15"/>
      <c r="E19676" s="8"/>
      <c r="G19676" s="8"/>
      <c r="J19676" s="8"/>
    </row>
    <row r="19677">
      <c r="C19677" s="15"/>
      <c r="E19677" s="8"/>
      <c r="G19677" s="8"/>
      <c r="J19677" s="8"/>
    </row>
    <row r="19678">
      <c r="C19678" s="15"/>
      <c r="E19678" s="8"/>
      <c r="G19678" s="8"/>
      <c r="J19678" s="8"/>
    </row>
    <row r="19679">
      <c r="C19679" s="15"/>
      <c r="E19679" s="8"/>
      <c r="G19679" s="8"/>
      <c r="J19679" s="8"/>
    </row>
    <row r="19680">
      <c r="C19680" s="15"/>
      <c r="E19680" s="8"/>
      <c r="G19680" s="8"/>
      <c r="J19680" s="8"/>
    </row>
    <row r="19681">
      <c r="C19681" s="15"/>
      <c r="E19681" s="8"/>
      <c r="G19681" s="8"/>
      <c r="J19681" s="8"/>
    </row>
    <row r="19682">
      <c r="C19682" s="15"/>
      <c r="E19682" s="8"/>
      <c r="G19682" s="8"/>
      <c r="J19682" s="8"/>
    </row>
    <row r="19683">
      <c r="C19683" s="15"/>
      <c r="E19683" s="8"/>
      <c r="G19683" s="8"/>
      <c r="J19683" s="8"/>
    </row>
    <row r="19684">
      <c r="C19684" s="15"/>
      <c r="E19684" s="8"/>
      <c r="G19684" s="8"/>
      <c r="J19684" s="8"/>
    </row>
    <row r="19685">
      <c r="C19685" s="15"/>
      <c r="E19685" s="8"/>
      <c r="G19685" s="8"/>
      <c r="J19685" s="8"/>
    </row>
    <row r="19686">
      <c r="C19686" s="15"/>
      <c r="E19686" s="8"/>
      <c r="G19686" s="8"/>
      <c r="J19686" s="8"/>
    </row>
    <row r="19687">
      <c r="C19687" s="15"/>
      <c r="E19687" s="8"/>
      <c r="G19687" s="8"/>
      <c r="J19687" s="8"/>
    </row>
    <row r="19688">
      <c r="C19688" s="15"/>
      <c r="E19688" s="8"/>
      <c r="G19688" s="8"/>
      <c r="J19688" s="8"/>
    </row>
    <row r="19689">
      <c r="C19689" s="15"/>
      <c r="E19689" s="8"/>
      <c r="G19689" s="8"/>
      <c r="J19689" s="8"/>
    </row>
    <row r="19690">
      <c r="C19690" s="15"/>
      <c r="E19690" s="8"/>
      <c r="G19690" s="8"/>
      <c r="J19690" s="8"/>
    </row>
    <row r="19691">
      <c r="C19691" s="15"/>
      <c r="E19691" s="8"/>
      <c r="G19691" s="8"/>
      <c r="J19691" s="8"/>
    </row>
    <row r="19692">
      <c r="C19692" s="15"/>
      <c r="E19692" s="8"/>
      <c r="G19692" s="8"/>
      <c r="J19692" s="8"/>
    </row>
    <row r="19693">
      <c r="C19693" s="15"/>
      <c r="E19693" s="8"/>
      <c r="G19693" s="8"/>
      <c r="J19693" s="8"/>
    </row>
    <row r="19694">
      <c r="C19694" s="15"/>
      <c r="E19694" s="8"/>
      <c r="G19694" s="8"/>
      <c r="J19694" s="8"/>
    </row>
    <row r="19695">
      <c r="C19695" s="15"/>
      <c r="E19695" s="8"/>
      <c r="G19695" s="8"/>
      <c r="J19695" s="8"/>
    </row>
    <row r="19696">
      <c r="C19696" s="15"/>
      <c r="E19696" s="8"/>
      <c r="G19696" s="8"/>
      <c r="J19696" s="8"/>
    </row>
    <row r="19697">
      <c r="C19697" s="15"/>
      <c r="E19697" s="8"/>
      <c r="G19697" s="8"/>
      <c r="J19697" s="8"/>
    </row>
    <row r="19698">
      <c r="C19698" s="15"/>
      <c r="E19698" s="8"/>
      <c r="G19698" s="8"/>
      <c r="J19698" s="8"/>
    </row>
    <row r="19699">
      <c r="C19699" s="15"/>
      <c r="E19699" s="8"/>
      <c r="G19699" s="8"/>
      <c r="J19699" s="8"/>
    </row>
    <row r="19700">
      <c r="C19700" s="15"/>
      <c r="E19700" s="8"/>
      <c r="G19700" s="8"/>
      <c r="J19700" s="8"/>
    </row>
    <row r="19701">
      <c r="C19701" s="15"/>
      <c r="E19701" s="8"/>
      <c r="G19701" s="8"/>
      <c r="J19701" s="8"/>
    </row>
    <row r="19702">
      <c r="C19702" s="15"/>
      <c r="E19702" s="8"/>
      <c r="G19702" s="8"/>
      <c r="J19702" s="8"/>
    </row>
    <row r="19703">
      <c r="C19703" s="15"/>
      <c r="E19703" s="8"/>
      <c r="G19703" s="8"/>
      <c r="J19703" s="8"/>
    </row>
    <row r="19704">
      <c r="C19704" s="15"/>
      <c r="E19704" s="8"/>
      <c r="G19704" s="8"/>
      <c r="J19704" s="8"/>
    </row>
    <row r="19705">
      <c r="C19705" s="15"/>
      <c r="E19705" s="8"/>
      <c r="G19705" s="8"/>
      <c r="J19705" s="8"/>
    </row>
    <row r="19706">
      <c r="C19706" s="15"/>
      <c r="E19706" s="8"/>
      <c r="G19706" s="8"/>
      <c r="J19706" s="8"/>
    </row>
    <row r="19707">
      <c r="C19707" s="15"/>
      <c r="E19707" s="8"/>
      <c r="G19707" s="8"/>
      <c r="J19707" s="8"/>
    </row>
    <row r="19708">
      <c r="C19708" s="15"/>
      <c r="E19708" s="8"/>
      <c r="G19708" s="8"/>
      <c r="J19708" s="8"/>
    </row>
    <row r="19709">
      <c r="C19709" s="15"/>
      <c r="E19709" s="8"/>
      <c r="G19709" s="8"/>
      <c r="J19709" s="8"/>
    </row>
    <row r="19710">
      <c r="C19710" s="15"/>
      <c r="E19710" s="8"/>
      <c r="G19710" s="8"/>
      <c r="J19710" s="8"/>
    </row>
    <row r="19711">
      <c r="C19711" s="15"/>
      <c r="E19711" s="8"/>
      <c r="G19711" s="8"/>
      <c r="J19711" s="8"/>
    </row>
    <row r="19712">
      <c r="C19712" s="15"/>
      <c r="E19712" s="8"/>
      <c r="G19712" s="8"/>
      <c r="J19712" s="8"/>
    </row>
    <row r="19713">
      <c r="C19713" s="15"/>
      <c r="E19713" s="8"/>
      <c r="G19713" s="8"/>
      <c r="J19713" s="8"/>
    </row>
    <row r="19714">
      <c r="C19714" s="15"/>
      <c r="E19714" s="8"/>
      <c r="G19714" s="8"/>
      <c r="J19714" s="8"/>
    </row>
    <row r="19715">
      <c r="C19715" s="15"/>
      <c r="E19715" s="8"/>
      <c r="G19715" s="8"/>
      <c r="J19715" s="8"/>
    </row>
    <row r="19716">
      <c r="C19716" s="15"/>
      <c r="E19716" s="8"/>
      <c r="G19716" s="8"/>
      <c r="J19716" s="8"/>
    </row>
    <row r="19717">
      <c r="C19717" s="15"/>
      <c r="E19717" s="8"/>
      <c r="G19717" s="8"/>
      <c r="J19717" s="8"/>
    </row>
    <row r="19718">
      <c r="C19718" s="15"/>
      <c r="E19718" s="8"/>
      <c r="G19718" s="8"/>
      <c r="J19718" s="8"/>
    </row>
    <row r="19719">
      <c r="C19719" s="15"/>
      <c r="E19719" s="8"/>
      <c r="G19719" s="8"/>
      <c r="J19719" s="8"/>
    </row>
    <row r="19720">
      <c r="C19720" s="15"/>
      <c r="E19720" s="8"/>
      <c r="G19720" s="8"/>
      <c r="J19720" s="8"/>
    </row>
    <row r="19721">
      <c r="C19721" s="15"/>
      <c r="E19721" s="8"/>
      <c r="G19721" s="8"/>
      <c r="J19721" s="8"/>
    </row>
    <row r="19722">
      <c r="C19722" s="15"/>
      <c r="E19722" s="8"/>
      <c r="G19722" s="8"/>
      <c r="J19722" s="8"/>
    </row>
    <row r="19723">
      <c r="C19723" s="15"/>
      <c r="E19723" s="8"/>
      <c r="G19723" s="8"/>
      <c r="J19723" s="8"/>
    </row>
    <row r="19724">
      <c r="C19724" s="15"/>
      <c r="E19724" s="8"/>
      <c r="G19724" s="8"/>
      <c r="J19724" s="8"/>
    </row>
    <row r="19725">
      <c r="C19725" s="15"/>
      <c r="E19725" s="8"/>
      <c r="G19725" s="8"/>
      <c r="J19725" s="8"/>
    </row>
    <row r="19726">
      <c r="C19726" s="15"/>
      <c r="E19726" s="8"/>
      <c r="G19726" s="8"/>
      <c r="J19726" s="8"/>
    </row>
    <row r="19727">
      <c r="C19727" s="15"/>
      <c r="E19727" s="8"/>
      <c r="G19727" s="8"/>
      <c r="J19727" s="8"/>
    </row>
    <row r="19728">
      <c r="C19728" s="15"/>
      <c r="E19728" s="8"/>
      <c r="G19728" s="8"/>
      <c r="J19728" s="8"/>
    </row>
    <row r="19729">
      <c r="C19729" s="15"/>
      <c r="E19729" s="8"/>
      <c r="G19729" s="8"/>
      <c r="J19729" s="8"/>
    </row>
    <row r="19730">
      <c r="C19730" s="15"/>
      <c r="E19730" s="8"/>
      <c r="G19730" s="8"/>
      <c r="J19730" s="8"/>
    </row>
    <row r="19731">
      <c r="C19731" s="15"/>
      <c r="E19731" s="8"/>
      <c r="G19731" s="8"/>
      <c r="J19731" s="8"/>
    </row>
    <row r="19732">
      <c r="C19732" s="15"/>
      <c r="E19732" s="8"/>
      <c r="G19732" s="8"/>
      <c r="J19732" s="8"/>
    </row>
    <row r="19733">
      <c r="C19733" s="15"/>
      <c r="E19733" s="8"/>
      <c r="G19733" s="8"/>
      <c r="J19733" s="8"/>
    </row>
    <row r="19734">
      <c r="C19734" s="15"/>
      <c r="E19734" s="8"/>
      <c r="G19734" s="8"/>
      <c r="J19734" s="8"/>
    </row>
    <row r="19735">
      <c r="C19735" s="15"/>
      <c r="E19735" s="8"/>
      <c r="G19735" s="8"/>
      <c r="J19735" s="8"/>
    </row>
    <row r="19736">
      <c r="C19736" s="15"/>
      <c r="E19736" s="8"/>
      <c r="G19736" s="8"/>
      <c r="J19736" s="8"/>
    </row>
    <row r="19737">
      <c r="C19737" s="15"/>
      <c r="E19737" s="8"/>
      <c r="G19737" s="8"/>
      <c r="J19737" s="8"/>
    </row>
    <row r="19738">
      <c r="C19738" s="15"/>
      <c r="E19738" s="8"/>
      <c r="G19738" s="8"/>
      <c r="J19738" s="8"/>
    </row>
    <row r="19739">
      <c r="C19739" s="15"/>
      <c r="E19739" s="8"/>
      <c r="G19739" s="8"/>
      <c r="J19739" s="8"/>
    </row>
    <row r="19740">
      <c r="C19740" s="15"/>
      <c r="E19740" s="8"/>
      <c r="G19740" s="8"/>
      <c r="J19740" s="8"/>
    </row>
    <row r="19741">
      <c r="C19741" s="15"/>
      <c r="E19741" s="8"/>
      <c r="G19741" s="8"/>
      <c r="J19741" s="8"/>
    </row>
    <row r="19742">
      <c r="C19742" s="15"/>
      <c r="E19742" s="8"/>
      <c r="G19742" s="8"/>
      <c r="J19742" s="8"/>
    </row>
    <row r="19743">
      <c r="C19743" s="15"/>
      <c r="E19743" s="8"/>
      <c r="G19743" s="8"/>
      <c r="J19743" s="8"/>
    </row>
    <row r="19744">
      <c r="C19744" s="15"/>
      <c r="E19744" s="8"/>
      <c r="G19744" s="8"/>
      <c r="J19744" s="8"/>
    </row>
    <row r="19745">
      <c r="C19745" s="15"/>
      <c r="E19745" s="8"/>
      <c r="G19745" s="8"/>
      <c r="J19745" s="8"/>
    </row>
    <row r="19746">
      <c r="C19746" s="15"/>
      <c r="E19746" s="8"/>
      <c r="G19746" s="8"/>
      <c r="J19746" s="8"/>
    </row>
    <row r="19747">
      <c r="C19747" s="15"/>
      <c r="E19747" s="8"/>
      <c r="G19747" s="8"/>
      <c r="J19747" s="8"/>
    </row>
    <row r="19748">
      <c r="C19748" s="15"/>
      <c r="E19748" s="8"/>
      <c r="G19748" s="8"/>
      <c r="J19748" s="8"/>
    </row>
    <row r="19749">
      <c r="C19749" s="15"/>
      <c r="E19749" s="8"/>
      <c r="G19749" s="8"/>
      <c r="J19749" s="8"/>
    </row>
    <row r="19750">
      <c r="C19750" s="15"/>
      <c r="E19750" s="8"/>
      <c r="G19750" s="8"/>
      <c r="J19750" s="8"/>
    </row>
    <row r="19751">
      <c r="C19751" s="15"/>
      <c r="E19751" s="8"/>
      <c r="G19751" s="8"/>
      <c r="J19751" s="8"/>
    </row>
    <row r="19752">
      <c r="C19752" s="15"/>
      <c r="E19752" s="8"/>
      <c r="G19752" s="8"/>
      <c r="J19752" s="8"/>
    </row>
    <row r="19753">
      <c r="C19753" s="15"/>
      <c r="E19753" s="8"/>
      <c r="G19753" s="8"/>
      <c r="J19753" s="8"/>
    </row>
    <row r="19754">
      <c r="C19754" s="15"/>
      <c r="E19754" s="8"/>
      <c r="G19754" s="8"/>
      <c r="J19754" s="8"/>
    </row>
    <row r="19755">
      <c r="C19755" s="15"/>
      <c r="E19755" s="8"/>
      <c r="G19755" s="8"/>
      <c r="J19755" s="8"/>
    </row>
    <row r="19756">
      <c r="C19756" s="15"/>
      <c r="E19756" s="8"/>
      <c r="G19756" s="8"/>
      <c r="J19756" s="8"/>
    </row>
    <row r="19757">
      <c r="C19757" s="15"/>
      <c r="E19757" s="8"/>
      <c r="G19757" s="8"/>
      <c r="J19757" s="8"/>
    </row>
    <row r="19758">
      <c r="C19758" s="15"/>
      <c r="E19758" s="8"/>
      <c r="G19758" s="8"/>
      <c r="J19758" s="8"/>
    </row>
    <row r="19759">
      <c r="C19759" s="15"/>
      <c r="E19759" s="8"/>
      <c r="G19759" s="8"/>
      <c r="J19759" s="8"/>
    </row>
    <row r="19760">
      <c r="C19760" s="15"/>
      <c r="E19760" s="8"/>
      <c r="G19760" s="8"/>
      <c r="J19760" s="8"/>
    </row>
    <row r="19761">
      <c r="C19761" s="15"/>
      <c r="E19761" s="8"/>
      <c r="G19761" s="8"/>
      <c r="J19761" s="8"/>
    </row>
    <row r="19762">
      <c r="C19762" s="15"/>
      <c r="E19762" s="8"/>
      <c r="G19762" s="8"/>
      <c r="J19762" s="8"/>
    </row>
    <row r="19763">
      <c r="C19763" s="15"/>
      <c r="E19763" s="8"/>
      <c r="G19763" s="8"/>
      <c r="J19763" s="8"/>
    </row>
    <row r="19764">
      <c r="C19764" s="15"/>
      <c r="E19764" s="8"/>
      <c r="G19764" s="8"/>
      <c r="J19764" s="8"/>
    </row>
    <row r="19765">
      <c r="C19765" s="15"/>
      <c r="E19765" s="8"/>
      <c r="G19765" s="8"/>
      <c r="J19765" s="8"/>
    </row>
    <row r="19766">
      <c r="C19766" s="15"/>
      <c r="E19766" s="8"/>
      <c r="G19766" s="8"/>
      <c r="J19766" s="8"/>
    </row>
    <row r="19767">
      <c r="C19767" s="15"/>
      <c r="E19767" s="8"/>
      <c r="G19767" s="8"/>
      <c r="J19767" s="8"/>
    </row>
    <row r="19768">
      <c r="C19768" s="15"/>
      <c r="E19768" s="8"/>
      <c r="G19768" s="8"/>
      <c r="J19768" s="8"/>
    </row>
    <row r="19769">
      <c r="C19769" s="15"/>
      <c r="E19769" s="8"/>
      <c r="G19769" s="8"/>
      <c r="J19769" s="8"/>
    </row>
    <row r="19770">
      <c r="C19770" s="15"/>
      <c r="E19770" s="8"/>
      <c r="G19770" s="8"/>
      <c r="J19770" s="8"/>
    </row>
    <row r="19771">
      <c r="C19771" s="15"/>
      <c r="E19771" s="8"/>
      <c r="G19771" s="8"/>
      <c r="J19771" s="8"/>
    </row>
    <row r="19772">
      <c r="C19772" s="15"/>
      <c r="E19772" s="8"/>
      <c r="G19772" s="8"/>
      <c r="J19772" s="8"/>
    </row>
    <row r="19773">
      <c r="C19773" s="15"/>
      <c r="E19773" s="8"/>
      <c r="G19773" s="8"/>
      <c r="J19773" s="8"/>
    </row>
    <row r="19774">
      <c r="C19774" s="15"/>
      <c r="E19774" s="8"/>
      <c r="G19774" s="8"/>
      <c r="J19774" s="8"/>
    </row>
    <row r="19775">
      <c r="C19775" s="15"/>
      <c r="E19775" s="8"/>
      <c r="G19775" s="8"/>
      <c r="J19775" s="8"/>
    </row>
    <row r="19776">
      <c r="C19776" s="15"/>
      <c r="E19776" s="8"/>
      <c r="G19776" s="8"/>
      <c r="J19776" s="8"/>
    </row>
    <row r="19777">
      <c r="C19777" s="15"/>
      <c r="E19777" s="8"/>
      <c r="G19777" s="8"/>
      <c r="J19777" s="8"/>
    </row>
    <row r="19778">
      <c r="C19778" s="15"/>
      <c r="E19778" s="8"/>
      <c r="G19778" s="8"/>
      <c r="J19778" s="8"/>
    </row>
    <row r="19779">
      <c r="C19779" s="15"/>
      <c r="E19779" s="8"/>
      <c r="G19779" s="8"/>
      <c r="J19779" s="8"/>
    </row>
    <row r="19780">
      <c r="C19780" s="15"/>
      <c r="E19780" s="8"/>
      <c r="G19780" s="8"/>
      <c r="J19780" s="8"/>
    </row>
    <row r="19781">
      <c r="C19781" s="15"/>
      <c r="E19781" s="8"/>
      <c r="G19781" s="8"/>
      <c r="J19781" s="8"/>
    </row>
    <row r="19782">
      <c r="C19782" s="15"/>
      <c r="E19782" s="8"/>
      <c r="G19782" s="8"/>
      <c r="J19782" s="8"/>
    </row>
    <row r="19783">
      <c r="C19783" s="15"/>
      <c r="E19783" s="8"/>
      <c r="G19783" s="8"/>
      <c r="J19783" s="8"/>
    </row>
    <row r="19784">
      <c r="C19784" s="15"/>
      <c r="E19784" s="8"/>
      <c r="G19784" s="8"/>
      <c r="J19784" s="8"/>
    </row>
    <row r="19785">
      <c r="C19785" s="15"/>
      <c r="E19785" s="8"/>
      <c r="G19785" s="8"/>
      <c r="J19785" s="8"/>
    </row>
    <row r="19786">
      <c r="C19786" s="15"/>
      <c r="E19786" s="8"/>
      <c r="G19786" s="8"/>
      <c r="J19786" s="8"/>
    </row>
    <row r="19787">
      <c r="C19787" s="15"/>
      <c r="E19787" s="8"/>
      <c r="G19787" s="8"/>
      <c r="J19787" s="8"/>
    </row>
    <row r="19788">
      <c r="C19788" s="15"/>
      <c r="E19788" s="8"/>
      <c r="G19788" s="8"/>
      <c r="J19788" s="8"/>
    </row>
    <row r="19789">
      <c r="C19789" s="15"/>
      <c r="E19789" s="8"/>
      <c r="G19789" s="8"/>
      <c r="J19789" s="8"/>
    </row>
    <row r="19790">
      <c r="C19790" s="15"/>
      <c r="E19790" s="8"/>
      <c r="G19790" s="8"/>
      <c r="J19790" s="8"/>
    </row>
    <row r="19791">
      <c r="C19791" s="15"/>
      <c r="E19791" s="8"/>
      <c r="G19791" s="8"/>
      <c r="J19791" s="8"/>
    </row>
    <row r="19792">
      <c r="C19792" s="15"/>
      <c r="E19792" s="8"/>
      <c r="G19792" s="8"/>
      <c r="J19792" s="8"/>
    </row>
    <row r="19793">
      <c r="C19793" s="15"/>
      <c r="E19793" s="8"/>
      <c r="G19793" s="8"/>
      <c r="J19793" s="8"/>
    </row>
    <row r="19794">
      <c r="C19794" s="15"/>
      <c r="E19794" s="8"/>
      <c r="G19794" s="8"/>
      <c r="J19794" s="8"/>
    </row>
    <row r="19795">
      <c r="C19795" s="15"/>
      <c r="E19795" s="8"/>
      <c r="G19795" s="8"/>
      <c r="J19795" s="8"/>
    </row>
    <row r="19796">
      <c r="C19796" s="15"/>
      <c r="E19796" s="8"/>
      <c r="G19796" s="8"/>
      <c r="J19796" s="8"/>
    </row>
    <row r="19797">
      <c r="C19797" s="15"/>
      <c r="E19797" s="8"/>
      <c r="G19797" s="8"/>
      <c r="J19797" s="8"/>
    </row>
    <row r="19798">
      <c r="C19798" s="15"/>
      <c r="E19798" s="8"/>
      <c r="G19798" s="8"/>
      <c r="J19798" s="8"/>
    </row>
    <row r="19799">
      <c r="C19799" s="15"/>
      <c r="E19799" s="8"/>
      <c r="G19799" s="8"/>
      <c r="J19799" s="8"/>
    </row>
    <row r="19800">
      <c r="C19800" s="15"/>
      <c r="E19800" s="8"/>
      <c r="G19800" s="8"/>
      <c r="J19800" s="8"/>
    </row>
    <row r="19801">
      <c r="C19801" s="15"/>
      <c r="E19801" s="8"/>
      <c r="G19801" s="8"/>
      <c r="J19801" s="8"/>
    </row>
    <row r="19802">
      <c r="C19802" s="15"/>
      <c r="E19802" s="8"/>
      <c r="G19802" s="8"/>
      <c r="J19802" s="8"/>
    </row>
    <row r="19803">
      <c r="C19803" s="15"/>
      <c r="E19803" s="8"/>
      <c r="G19803" s="8"/>
      <c r="J19803" s="8"/>
    </row>
    <row r="19804">
      <c r="C19804" s="15"/>
      <c r="E19804" s="8"/>
      <c r="G19804" s="8"/>
      <c r="J19804" s="8"/>
    </row>
    <row r="19805">
      <c r="C19805" s="15"/>
      <c r="E19805" s="8"/>
      <c r="G19805" s="8"/>
      <c r="J19805" s="8"/>
    </row>
    <row r="19806">
      <c r="C19806" s="15"/>
      <c r="E19806" s="8"/>
      <c r="G19806" s="8"/>
      <c r="J19806" s="8"/>
    </row>
    <row r="19807">
      <c r="C19807" s="15"/>
      <c r="E19807" s="8"/>
      <c r="G19807" s="8"/>
      <c r="J19807" s="8"/>
    </row>
    <row r="19808">
      <c r="C19808" s="15"/>
      <c r="E19808" s="8"/>
      <c r="G19808" s="8"/>
      <c r="J19808" s="8"/>
    </row>
    <row r="19809">
      <c r="C19809" s="15"/>
      <c r="E19809" s="8"/>
      <c r="G19809" s="8"/>
      <c r="J19809" s="8"/>
    </row>
    <row r="19810">
      <c r="C19810" s="15"/>
      <c r="E19810" s="8"/>
      <c r="G19810" s="8"/>
      <c r="J19810" s="8"/>
    </row>
    <row r="19811">
      <c r="C19811" s="15"/>
      <c r="E19811" s="8"/>
      <c r="G19811" s="8"/>
      <c r="J19811" s="8"/>
    </row>
    <row r="19812">
      <c r="C19812" s="15"/>
      <c r="E19812" s="8"/>
      <c r="G19812" s="8"/>
      <c r="J19812" s="8"/>
    </row>
    <row r="19813">
      <c r="C19813" s="15"/>
      <c r="E19813" s="8"/>
      <c r="G19813" s="8"/>
      <c r="J19813" s="8"/>
    </row>
    <row r="19814">
      <c r="C19814" s="15"/>
      <c r="E19814" s="8"/>
      <c r="G19814" s="8"/>
      <c r="J19814" s="8"/>
    </row>
    <row r="19815">
      <c r="C19815" s="15"/>
      <c r="E19815" s="8"/>
      <c r="G19815" s="8"/>
      <c r="J19815" s="8"/>
    </row>
    <row r="19816">
      <c r="C19816" s="15"/>
      <c r="E19816" s="8"/>
      <c r="G19816" s="8"/>
      <c r="J19816" s="8"/>
    </row>
    <row r="19817">
      <c r="C19817" s="15"/>
      <c r="E19817" s="8"/>
      <c r="G19817" s="8"/>
      <c r="J19817" s="8"/>
    </row>
    <row r="19818">
      <c r="C19818" s="15"/>
      <c r="E19818" s="8"/>
      <c r="G19818" s="8"/>
      <c r="J19818" s="8"/>
    </row>
    <row r="19819">
      <c r="C19819" s="15"/>
      <c r="E19819" s="8"/>
      <c r="G19819" s="8"/>
      <c r="J19819" s="8"/>
    </row>
    <row r="19820">
      <c r="C19820" s="15"/>
      <c r="E19820" s="8"/>
      <c r="G19820" s="8"/>
      <c r="J19820" s="8"/>
    </row>
    <row r="19821">
      <c r="C19821" s="15"/>
      <c r="E19821" s="8"/>
      <c r="G19821" s="8"/>
      <c r="J19821" s="8"/>
    </row>
    <row r="19822">
      <c r="C19822" s="15"/>
      <c r="E19822" s="8"/>
      <c r="G19822" s="8"/>
      <c r="J19822" s="8"/>
    </row>
    <row r="19823">
      <c r="C19823" s="15"/>
      <c r="E19823" s="8"/>
      <c r="G19823" s="8"/>
      <c r="J19823" s="8"/>
    </row>
    <row r="19824">
      <c r="C19824" s="15"/>
      <c r="E19824" s="8"/>
      <c r="G19824" s="8"/>
      <c r="J19824" s="8"/>
    </row>
    <row r="19825">
      <c r="C19825" s="15"/>
      <c r="E19825" s="8"/>
      <c r="G19825" s="8"/>
      <c r="J19825" s="8"/>
    </row>
    <row r="19826">
      <c r="C19826" s="15"/>
      <c r="E19826" s="8"/>
      <c r="G19826" s="8"/>
      <c r="J19826" s="8"/>
    </row>
    <row r="19827">
      <c r="C19827" s="15"/>
      <c r="E19827" s="8"/>
      <c r="G19827" s="8"/>
      <c r="J19827" s="8"/>
    </row>
    <row r="19828">
      <c r="C19828" s="15"/>
      <c r="E19828" s="8"/>
      <c r="G19828" s="8"/>
      <c r="J19828" s="8"/>
    </row>
    <row r="19829">
      <c r="C19829" s="15"/>
      <c r="E19829" s="8"/>
      <c r="G19829" s="8"/>
      <c r="J19829" s="8"/>
    </row>
    <row r="19830">
      <c r="C19830" s="15"/>
      <c r="E19830" s="8"/>
      <c r="G19830" s="8"/>
      <c r="J19830" s="8"/>
    </row>
    <row r="19831">
      <c r="C19831" s="15"/>
      <c r="E19831" s="8"/>
      <c r="G19831" s="8"/>
      <c r="J19831" s="8"/>
    </row>
    <row r="19832">
      <c r="C19832" s="15"/>
      <c r="E19832" s="8"/>
      <c r="G19832" s="8"/>
      <c r="J19832" s="8"/>
    </row>
    <row r="19833">
      <c r="C19833" s="15"/>
      <c r="E19833" s="8"/>
      <c r="G19833" s="8"/>
      <c r="J19833" s="8"/>
    </row>
    <row r="19834">
      <c r="C19834" s="15"/>
      <c r="E19834" s="8"/>
      <c r="G19834" s="8"/>
      <c r="J19834" s="8"/>
    </row>
    <row r="19835">
      <c r="C19835" s="15"/>
      <c r="E19835" s="8"/>
      <c r="G19835" s="8"/>
      <c r="J19835" s="8"/>
    </row>
    <row r="19836">
      <c r="C19836" s="15"/>
      <c r="E19836" s="8"/>
      <c r="G19836" s="8"/>
      <c r="J19836" s="8"/>
    </row>
    <row r="19837">
      <c r="C19837" s="15"/>
      <c r="E19837" s="8"/>
      <c r="G19837" s="8"/>
      <c r="J19837" s="8"/>
    </row>
    <row r="19838">
      <c r="C19838" s="15"/>
      <c r="E19838" s="8"/>
      <c r="G19838" s="8"/>
      <c r="J19838" s="8"/>
    </row>
    <row r="19839">
      <c r="C19839" s="15"/>
      <c r="E19839" s="8"/>
      <c r="G19839" s="8"/>
      <c r="J19839" s="8"/>
    </row>
    <row r="19840">
      <c r="C19840" s="15"/>
      <c r="E19840" s="8"/>
      <c r="G19840" s="8"/>
      <c r="J19840" s="8"/>
    </row>
    <row r="19841">
      <c r="C19841" s="15"/>
      <c r="E19841" s="8"/>
      <c r="G19841" s="8"/>
      <c r="J19841" s="8"/>
    </row>
    <row r="19842">
      <c r="C19842" s="15"/>
      <c r="E19842" s="8"/>
      <c r="G19842" s="8"/>
      <c r="J19842" s="8"/>
    </row>
    <row r="19843">
      <c r="C19843" s="15"/>
      <c r="E19843" s="8"/>
      <c r="G19843" s="8"/>
      <c r="J19843" s="8"/>
    </row>
    <row r="19844">
      <c r="C19844" s="15"/>
      <c r="E19844" s="8"/>
      <c r="G19844" s="8"/>
      <c r="J19844" s="8"/>
    </row>
    <row r="19845">
      <c r="C19845" s="15"/>
      <c r="E19845" s="8"/>
      <c r="G19845" s="8"/>
      <c r="J19845" s="8"/>
    </row>
    <row r="19846">
      <c r="C19846" s="15"/>
      <c r="E19846" s="8"/>
      <c r="G19846" s="8"/>
      <c r="J19846" s="8"/>
    </row>
    <row r="19847">
      <c r="C19847" s="15"/>
      <c r="E19847" s="8"/>
      <c r="G19847" s="8"/>
      <c r="J19847" s="8"/>
    </row>
    <row r="19848">
      <c r="C19848" s="15"/>
      <c r="E19848" s="8"/>
      <c r="G19848" s="8"/>
      <c r="J19848" s="8"/>
    </row>
    <row r="19849">
      <c r="C19849" s="15"/>
      <c r="E19849" s="8"/>
      <c r="G19849" s="8"/>
      <c r="J19849" s="8"/>
    </row>
    <row r="19850">
      <c r="C19850" s="15"/>
      <c r="E19850" s="8"/>
      <c r="G19850" s="8"/>
      <c r="J19850" s="8"/>
    </row>
    <row r="19851">
      <c r="C19851" s="15"/>
      <c r="E19851" s="8"/>
      <c r="G19851" s="8"/>
      <c r="J19851" s="8"/>
    </row>
    <row r="19852">
      <c r="C19852" s="15"/>
      <c r="E19852" s="8"/>
      <c r="G19852" s="8"/>
      <c r="J19852" s="8"/>
    </row>
    <row r="19853">
      <c r="C19853" s="15"/>
      <c r="E19853" s="8"/>
      <c r="G19853" s="8"/>
      <c r="J19853" s="8"/>
    </row>
    <row r="19854">
      <c r="C19854" s="15"/>
      <c r="E19854" s="8"/>
      <c r="G19854" s="8"/>
      <c r="J19854" s="8"/>
    </row>
    <row r="19855">
      <c r="C19855" s="15"/>
      <c r="E19855" s="8"/>
      <c r="G19855" s="8"/>
      <c r="J19855" s="8"/>
    </row>
    <row r="19856">
      <c r="C19856" s="15"/>
      <c r="E19856" s="8"/>
      <c r="G19856" s="8"/>
      <c r="J19856" s="8"/>
    </row>
    <row r="19857">
      <c r="C19857" s="15"/>
      <c r="E19857" s="8"/>
      <c r="G19857" s="8"/>
      <c r="J19857" s="8"/>
    </row>
    <row r="19858">
      <c r="C19858" s="15"/>
      <c r="E19858" s="8"/>
      <c r="G19858" s="8"/>
      <c r="J19858" s="8"/>
    </row>
    <row r="19859">
      <c r="C19859" s="15"/>
      <c r="E19859" s="8"/>
      <c r="G19859" s="8"/>
      <c r="J19859" s="8"/>
    </row>
    <row r="19860">
      <c r="C19860" s="15"/>
      <c r="E19860" s="8"/>
      <c r="G19860" s="8"/>
      <c r="J19860" s="8"/>
    </row>
    <row r="19861">
      <c r="C19861" s="15"/>
      <c r="E19861" s="8"/>
      <c r="G19861" s="8"/>
      <c r="J19861" s="8"/>
    </row>
    <row r="19862">
      <c r="C19862" s="15"/>
      <c r="E19862" s="8"/>
      <c r="G19862" s="8"/>
      <c r="J19862" s="8"/>
    </row>
    <row r="19863">
      <c r="C19863" s="15"/>
      <c r="E19863" s="8"/>
      <c r="G19863" s="8"/>
      <c r="J19863" s="8"/>
    </row>
    <row r="19864">
      <c r="C19864" s="15"/>
      <c r="E19864" s="8"/>
      <c r="G19864" s="8"/>
      <c r="J19864" s="8"/>
    </row>
    <row r="19865">
      <c r="C19865" s="15"/>
      <c r="E19865" s="8"/>
      <c r="G19865" s="8"/>
      <c r="J19865" s="8"/>
    </row>
    <row r="19866">
      <c r="C19866" s="15"/>
      <c r="E19866" s="8"/>
      <c r="G19866" s="8"/>
      <c r="J19866" s="8"/>
    </row>
    <row r="19867">
      <c r="C19867" s="15"/>
      <c r="E19867" s="8"/>
      <c r="G19867" s="8"/>
      <c r="J19867" s="8"/>
    </row>
    <row r="19868">
      <c r="C19868" s="15"/>
      <c r="E19868" s="8"/>
      <c r="G19868" s="8"/>
      <c r="J19868" s="8"/>
    </row>
    <row r="19869">
      <c r="C19869" s="15"/>
      <c r="E19869" s="8"/>
      <c r="G19869" s="8"/>
      <c r="J19869" s="8"/>
    </row>
    <row r="19870">
      <c r="C19870" s="15"/>
      <c r="E19870" s="8"/>
      <c r="G19870" s="8"/>
      <c r="J19870" s="8"/>
    </row>
    <row r="19871">
      <c r="C19871" s="15"/>
      <c r="E19871" s="8"/>
      <c r="G19871" s="8"/>
      <c r="J19871" s="8"/>
    </row>
    <row r="19872">
      <c r="C19872" s="15"/>
      <c r="E19872" s="8"/>
      <c r="G19872" s="8"/>
      <c r="J19872" s="8"/>
    </row>
    <row r="19873">
      <c r="C19873" s="15"/>
      <c r="E19873" s="8"/>
      <c r="G19873" s="8"/>
      <c r="J19873" s="8"/>
    </row>
    <row r="19874">
      <c r="C19874" s="15"/>
      <c r="E19874" s="8"/>
      <c r="G19874" s="8"/>
      <c r="J19874" s="8"/>
    </row>
    <row r="19875">
      <c r="C19875" s="15"/>
      <c r="E19875" s="8"/>
      <c r="G19875" s="8"/>
      <c r="J19875" s="8"/>
    </row>
    <row r="19876">
      <c r="C19876" s="15"/>
      <c r="E19876" s="8"/>
      <c r="G19876" s="8"/>
      <c r="J19876" s="8"/>
    </row>
    <row r="19877">
      <c r="C19877" s="15"/>
      <c r="E19877" s="8"/>
      <c r="G19877" s="8"/>
      <c r="J19877" s="8"/>
    </row>
    <row r="19878">
      <c r="C19878" s="15"/>
      <c r="E19878" s="8"/>
      <c r="G19878" s="8"/>
      <c r="J19878" s="8"/>
    </row>
    <row r="19879">
      <c r="C19879" s="15"/>
      <c r="E19879" s="8"/>
      <c r="G19879" s="8"/>
      <c r="J19879" s="8"/>
    </row>
    <row r="19880">
      <c r="C19880" s="15"/>
      <c r="E19880" s="8"/>
      <c r="G19880" s="8"/>
      <c r="J19880" s="8"/>
    </row>
    <row r="19881">
      <c r="C19881" s="15"/>
      <c r="E19881" s="8"/>
      <c r="G19881" s="8"/>
      <c r="J19881" s="8"/>
    </row>
    <row r="19882">
      <c r="C19882" s="15"/>
      <c r="E19882" s="8"/>
      <c r="G19882" s="8"/>
      <c r="J19882" s="8"/>
    </row>
    <row r="19883">
      <c r="C19883" s="15"/>
      <c r="E19883" s="8"/>
      <c r="G19883" s="8"/>
      <c r="J19883" s="8"/>
    </row>
    <row r="19884">
      <c r="C19884" s="15"/>
      <c r="E19884" s="8"/>
      <c r="G19884" s="8"/>
      <c r="J19884" s="8"/>
    </row>
    <row r="19885">
      <c r="C19885" s="15"/>
      <c r="E19885" s="8"/>
      <c r="G19885" s="8"/>
      <c r="J19885" s="8"/>
    </row>
    <row r="19886">
      <c r="C19886" s="15"/>
      <c r="E19886" s="8"/>
      <c r="G19886" s="8"/>
      <c r="J19886" s="8"/>
    </row>
    <row r="19887">
      <c r="C19887" s="15"/>
      <c r="E19887" s="8"/>
      <c r="G19887" s="8"/>
      <c r="J19887" s="8"/>
    </row>
    <row r="19888">
      <c r="C19888" s="15"/>
      <c r="E19888" s="8"/>
      <c r="G19888" s="8"/>
      <c r="J19888" s="8"/>
    </row>
    <row r="19889">
      <c r="C19889" s="15"/>
      <c r="E19889" s="8"/>
      <c r="G19889" s="8"/>
      <c r="J19889" s="8"/>
    </row>
    <row r="19890">
      <c r="C19890" s="15"/>
      <c r="E19890" s="8"/>
      <c r="G19890" s="8"/>
      <c r="J19890" s="8"/>
    </row>
    <row r="19891">
      <c r="C19891" s="15"/>
      <c r="E19891" s="8"/>
      <c r="G19891" s="8"/>
      <c r="J19891" s="8"/>
    </row>
    <row r="19892">
      <c r="C19892" s="15"/>
      <c r="E19892" s="8"/>
      <c r="G19892" s="8"/>
      <c r="J19892" s="8"/>
    </row>
    <row r="19893">
      <c r="C19893" s="15"/>
      <c r="E19893" s="8"/>
      <c r="G19893" s="8"/>
      <c r="J19893" s="8"/>
    </row>
    <row r="19894">
      <c r="C19894" s="15"/>
      <c r="E19894" s="8"/>
      <c r="G19894" s="8"/>
      <c r="J19894" s="8"/>
    </row>
    <row r="19895">
      <c r="C19895" s="15"/>
      <c r="E19895" s="8"/>
      <c r="G19895" s="8"/>
      <c r="J19895" s="8"/>
    </row>
    <row r="19896">
      <c r="C19896" s="15"/>
      <c r="E19896" s="8"/>
      <c r="G19896" s="8"/>
      <c r="J19896" s="8"/>
    </row>
    <row r="19897">
      <c r="C19897" s="15"/>
      <c r="E19897" s="8"/>
      <c r="G19897" s="8"/>
      <c r="J19897" s="8"/>
    </row>
    <row r="19898">
      <c r="C19898" s="15"/>
      <c r="E19898" s="8"/>
      <c r="G19898" s="8"/>
      <c r="J19898" s="8"/>
    </row>
    <row r="19899">
      <c r="C19899" s="15"/>
      <c r="E19899" s="8"/>
      <c r="G19899" s="8"/>
      <c r="J19899" s="8"/>
    </row>
    <row r="19900">
      <c r="C19900" s="15"/>
      <c r="E19900" s="8"/>
      <c r="G19900" s="8"/>
      <c r="J19900" s="8"/>
    </row>
    <row r="19901">
      <c r="C19901" s="15"/>
      <c r="E19901" s="8"/>
      <c r="G19901" s="8"/>
      <c r="J19901" s="8"/>
    </row>
    <row r="19902">
      <c r="C19902" s="15"/>
      <c r="E19902" s="8"/>
      <c r="G19902" s="8"/>
      <c r="J19902" s="8"/>
    </row>
    <row r="19903">
      <c r="C19903" s="15"/>
      <c r="E19903" s="8"/>
      <c r="G19903" s="8"/>
      <c r="J19903" s="8"/>
    </row>
    <row r="19904">
      <c r="C19904" s="15"/>
      <c r="E19904" s="8"/>
      <c r="G19904" s="8"/>
      <c r="J19904" s="8"/>
    </row>
    <row r="19905">
      <c r="C19905" s="15"/>
      <c r="E19905" s="8"/>
      <c r="G19905" s="8"/>
      <c r="J19905" s="8"/>
    </row>
    <row r="19906">
      <c r="C19906" s="15"/>
      <c r="E19906" s="8"/>
      <c r="G19906" s="8"/>
      <c r="J19906" s="8"/>
    </row>
    <row r="19907">
      <c r="C19907" s="15"/>
      <c r="E19907" s="8"/>
      <c r="G19907" s="8"/>
      <c r="J19907" s="8"/>
    </row>
    <row r="19908">
      <c r="C19908" s="15"/>
      <c r="E19908" s="8"/>
      <c r="G19908" s="8"/>
      <c r="J19908" s="8"/>
    </row>
    <row r="19909">
      <c r="C19909" s="15"/>
      <c r="E19909" s="8"/>
      <c r="G19909" s="8"/>
      <c r="J19909" s="8"/>
    </row>
    <row r="19910">
      <c r="C19910" s="15"/>
      <c r="E19910" s="8"/>
      <c r="G19910" s="8"/>
      <c r="J19910" s="8"/>
    </row>
    <row r="19911">
      <c r="C19911" s="15"/>
      <c r="E19911" s="8"/>
      <c r="G19911" s="8"/>
      <c r="J19911" s="8"/>
    </row>
    <row r="19912">
      <c r="C19912" s="15"/>
      <c r="E19912" s="8"/>
      <c r="G19912" s="8"/>
      <c r="J19912" s="8"/>
    </row>
    <row r="19913">
      <c r="C19913" s="15"/>
      <c r="E19913" s="8"/>
      <c r="G19913" s="8"/>
      <c r="J19913" s="8"/>
    </row>
    <row r="19914">
      <c r="C19914" s="15"/>
      <c r="E19914" s="8"/>
      <c r="G19914" s="8"/>
      <c r="J19914" s="8"/>
    </row>
    <row r="19915">
      <c r="C19915" s="15"/>
      <c r="E19915" s="8"/>
      <c r="G19915" s="8"/>
      <c r="J19915" s="8"/>
    </row>
    <row r="19916">
      <c r="C19916" s="15"/>
      <c r="E19916" s="8"/>
      <c r="G19916" s="8"/>
      <c r="J19916" s="8"/>
    </row>
    <row r="19917">
      <c r="C19917" s="15"/>
      <c r="E19917" s="8"/>
      <c r="G19917" s="8"/>
      <c r="J19917" s="8"/>
    </row>
    <row r="19918">
      <c r="C19918" s="15"/>
      <c r="E19918" s="8"/>
      <c r="G19918" s="8"/>
      <c r="J19918" s="8"/>
    </row>
    <row r="19919">
      <c r="C19919" s="15"/>
      <c r="E19919" s="8"/>
      <c r="G19919" s="8"/>
      <c r="J19919" s="8"/>
    </row>
    <row r="19920">
      <c r="C19920" s="15"/>
      <c r="E19920" s="8"/>
      <c r="G19920" s="8"/>
      <c r="J19920" s="8"/>
    </row>
    <row r="19921">
      <c r="C19921" s="15"/>
      <c r="E19921" s="8"/>
      <c r="G19921" s="8"/>
      <c r="J19921" s="8"/>
    </row>
    <row r="19922">
      <c r="C19922" s="15"/>
      <c r="E19922" s="8"/>
      <c r="G19922" s="8"/>
      <c r="J19922" s="8"/>
    </row>
    <row r="19923">
      <c r="C19923" s="15"/>
      <c r="E19923" s="8"/>
      <c r="G19923" s="8"/>
      <c r="J19923" s="8"/>
    </row>
    <row r="19924">
      <c r="C19924" s="15"/>
      <c r="E19924" s="8"/>
      <c r="G19924" s="8"/>
      <c r="J19924" s="8"/>
    </row>
    <row r="19925">
      <c r="C19925" s="15"/>
      <c r="E19925" s="8"/>
      <c r="G19925" s="8"/>
      <c r="J19925" s="8"/>
    </row>
    <row r="19926">
      <c r="C19926" s="15"/>
      <c r="E19926" s="8"/>
      <c r="G19926" s="8"/>
      <c r="J19926" s="8"/>
    </row>
    <row r="19927">
      <c r="C19927" s="15"/>
      <c r="E19927" s="8"/>
      <c r="G19927" s="8"/>
      <c r="J19927" s="8"/>
    </row>
    <row r="19928">
      <c r="C19928" s="15"/>
      <c r="E19928" s="8"/>
      <c r="G19928" s="8"/>
      <c r="J19928" s="8"/>
    </row>
    <row r="19929">
      <c r="C19929" s="15"/>
      <c r="E19929" s="8"/>
      <c r="G19929" s="8"/>
      <c r="J19929" s="8"/>
    </row>
    <row r="19930">
      <c r="C19930" s="15"/>
      <c r="E19930" s="8"/>
      <c r="G19930" s="8"/>
      <c r="J19930" s="8"/>
    </row>
    <row r="19931">
      <c r="C19931" s="15"/>
      <c r="E19931" s="8"/>
      <c r="G19931" s="8"/>
      <c r="J19931" s="8"/>
    </row>
    <row r="19932">
      <c r="C19932" s="15"/>
      <c r="E19932" s="8"/>
      <c r="G19932" s="8"/>
      <c r="J19932" s="8"/>
    </row>
    <row r="19933">
      <c r="C19933" s="15"/>
      <c r="E19933" s="8"/>
      <c r="G19933" s="8"/>
      <c r="J19933" s="8"/>
    </row>
    <row r="19934">
      <c r="C19934" s="15"/>
      <c r="E19934" s="8"/>
      <c r="G19934" s="8"/>
      <c r="J19934" s="8"/>
    </row>
    <row r="19935">
      <c r="C19935" s="15"/>
      <c r="E19935" s="8"/>
      <c r="G19935" s="8"/>
      <c r="J19935" s="8"/>
    </row>
    <row r="19936">
      <c r="C19936" s="15"/>
      <c r="E19936" s="8"/>
      <c r="G19936" s="8"/>
      <c r="J19936" s="8"/>
    </row>
    <row r="19937">
      <c r="C19937" s="15"/>
      <c r="E19937" s="8"/>
      <c r="G19937" s="8"/>
      <c r="J19937" s="8"/>
    </row>
    <row r="19938">
      <c r="C19938" s="15"/>
      <c r="E19938" s="8"/>
      <c r="G19938" s="8"/>
      <c r="J19938" s="8"/>
    </row>
    <row r="19939">
      <c r="C19939" s="15"/>
      <c r="E19939" s="8"/>
      <c r="G19939" s="8"/>
      <c r="J19939" s="8"/>
    </row>
    <row r="19940">
      <c r="C19940" s="15"/>
      <c r="E19940" s="8"/>
      <c r="G19940" s="8"/>
      <c r="J19940" s="8"/>
    </row>
    <row r="19941">
      <c r="C19941" s="15"/>
      <c r="E19941" s="8"/>
      <c r="G19941" s="8"/>
      <c r="J19941" s="8"/>
    </row>
    <row r="19942">
      <c r="C19942" s="15"/>
      <c r="E19942" s="8"/>
      <c r="G19942" s="8"/>
      <c r="J19942" s="8"/>
    </row>
    <row r="19943">
      <c r="C19943" s="15"/>
      <c r="E19943" s="8"/>
      <c r="G19943" s="8"/>
      <c r="J19943" s="8"/>
    </row>
    <row r="19944">
      <c r="C19944" s="15"/>
      <c r="E19944" s="8"/>
      <c r="G19944" s="8"/>
      <c r="J19944" s="8"/>
    </row>
    <row r="19945">
      <c r="C19945" s="15"/>
      <c r="E19945" s="8"/>
      <c r="G19945" s="8"/>
      <c r="J19945" s="8"/>
    </row>
    <row r="19946">
      <c r="C19946" s="15"/>
      <c r="E19946" s="8"/>
      <c r="G19946" s="8"/>
      <c r="J19946" s="8"/>
    </row>
    <row r="19947">
      <c r="C19947" s="15"/>
      <c r="E19947" s="8"/>
      <c r="G19947" s="8"/>
      <c r="J19947" s="8"/>
    </row>
    <row r="19948">
      <c r="C19948" s="15"/>
      <c r="E19948" s="8"/>
      <c r="G19948" s="8"/>
      <c r="J19948" s="8"/>
    </row>
    <row r="19949">
      <c r="C19949" s="15"/>
      <c r="E19949" s="8"/>
      <c r="G19949" s="8"/>
      <c r="J19949" s="8"/>
    </row>
    <row r="19950">
      <c r="C19950" s="15"/>
      <c r="E19950" s="8"/>
      <c r="G19950" s="8"/>
      <c r="J19950" s="8"/>
    </row>
    <row r="19951">
      <c r="C19951" s="15"/>
      <c r="E19951" s="8"/>
      <c r="G19951" s="8"/>
      <c r="J19951" s="8"/>
    </row>
    <row r="19952">
      <c r="C19952" s="15"/>
      <c r="E19952" s="8"/>
      <c r="G19952" s="8"/>
      <c r="J19952" s="8"/>
    </row>
    <row r="19953">
      <c r="C19953" s="15"/>
      <c r="E19953" s="8"/>
      <c r="G19953" s="8"/>
      <c r="J19953" s="8"/>
    </row>
    <row r="19954">
      <c r="C19954" s="15"/>
      <c r="E19954" s="8"/>
      <c r="G19954" s="8"/>
      <c r="J19954" s="8"/>
    </row>
    <row r="19955">
      <c r="C19955" s="15"/>
      <c r="E19955" s="8"/>
      <c r="G19955" s="8"/>
      <c r="J19955" s="8"/>
    </row>
    <row r="19956">
      <c r="C19956" s="15"/>
      <c r="E19956" s="8"/>
      <c r="G19956" s="8"/>
      <c r="J19956" s="8"/>
    </row>
    <row r="19957">
      <c r="C19957" s="15"/>
      <c r="E19957" s="8"/>
      <c r="G19957" s="8"/>
      <c r="J19957" s="8"/>
    </row>
    <row r="19958">
      <c r="C19958" s="15"/>
      <c r="E19958" s="8"/>
      <c r="G19958" s="8"/>
      <c r="J19958" s="8"/>
    </row>
    <row r="19959">
      <c r="C19959" s="15"/>
      <c r="E19959" s="8"/>
      <c r="G19959" s="8"/>
      <c r="J19959" s="8"/>
    </row>
    <row r="19960">
      <c r="C19960" s="15"/>
      <c r="E19960" s="8"/>
      <c r="G19960" s="8"/>
      <c r="J19960" s="8"/>
    </row>
    <row r="19961">
      <c r="C19961" s="15"/>
      <c r="E19961" s="8"/>
      <c r="G19961" s="8"/>
      <c r="J19961" s="8"/>
    </row>
    <row r="19962">
      <c r="C19962" s="15"/>
      <c r="E19962" s="8"/>
      <c r="G19962" s="8"/>
      <c r="J19962" s="8"/>
    </row>
    <row r="19963">
      <c r="C19963" s="15"/>
      <c r="E19963" s="8"/>
      <c r="G19963" s="8"/>
      <c r="J19963" s="8"/>
    </row>
    <row r="19964">
      <c r="C19964" s="15"/>
      <c r="E19964" s="8"/>
      <c r="G19964" s="8"/>
      <c r="J19964" s="8"/>
    </row>
    <row r="19965">
      <c r="C19965" s="15"/>
      <c r="E19965" s="8"/>
      <c r="G19965" s="8"/>
      <c r="J19965" s="8"/>
    </row>
    <row r="19966">
      <c r="C19966" s="15"/>
      <c r="E19966" s="8"/>
      <c r="G19966" s="8"/>
      <c r="J19966" s="8"/>
    </row>
    <row r="19967">
      <c r="C19967" s="15"/>
      <c r="E19967" s="8"/>
      <c r="G19967" s="8"/>
      <c r="J19967" s="8"/>
    </row>
    <row r="19968">
      <c r="C19968" s="15"/>
      <c r="E19968" s="8"/>
      <c r="G19968" s="8"/>
      <c r="J19968" s="8"/>
    </row>
    <row r="19969">
      <c r="C19969" s="15"/>
      <c r="E19969" s="8"/>
      <c r="G19969" s="8"/>
      <c r="J19969" s="8"/>
    </row>
    <row r="19970">
      <c r="C19970" s="15"/>
      <c r="E19970" s="8"/>
      <c r="G19970" s="8"/>
      <c r="J19970" s="8"/>
    </row>
    <row r="19971">
      <c r="C19971" s="15"/>
      <c r="E19971" s="8"/>
      <c r="G19971" s="8"/>
      <c r="J19971" s="8"/>
    </row>
    <row r="19972">
      <c r="C19972" s="15"/>
      <c r="E19972" s="8"/>
      <c r="G19972" s="8"/>
      <c r="J19972" s="8"/>
    </row>
    <row r="19973">
      <c r="C19973" s="15"/>
      <c r="E19973" s="8"/>
      <c r="G19973" s="8"/>
      <c r="J19973" s="8"/>
    </row>
    <row r="19974">
      <c r="C19974" s="15"/>
      <c r="E19974" s="8"/>
      <c r="G19974" s="8"/>
      <c r="J19974" s="8"/>
    </row>
    <row r="19975">
      <c r="C19975" s="15"/>
      <c r="E19975" s="8"/>
      <c r="G19975" s="8"/>
      <c r="J19975" s="8"/>
    </row>
    <row r="19976">
      <c r="C19976" s="15"/>
      <c r="E19976" s="8"/>
      <c r="G19976" s="8"/>
      <c r="J19976" s="8"/>
    </row>
    <row r="19977">
      <c r="C19977" s="15"/>
      <c r="E19977" s="8"/>
      <c r="G19977" s="8"/>
      <c r="J19977" s="8"/>
    </row>
    <row r="19978">
      <c r="C19978" s="15"/>
      <c r="E19978" s="8"/>
      <c r="G19978" s="8"/>
      <c r="J19978" s="8"/>
    </row>
    <row r="19979">
      <c r="C19979" s="15"/>
      <c r="E19979" s="8"/>
      <c r="G19979" s="8"/>
      <c r="J19979" s="8"/>
    </row>
    <row r="19980">
      <c r="C19980" s="15"/>
      <c r="E19980" s="8"/>
      <c r="G19980" s="8"/>
      <c r="J19980" s="8"/>
    </row>
    <row r="19981">
      <c r="C19981" s="15"/>
      <c r="E19981" s="8"/>
      <c r="G19981" s="8"/>
      <c r="J19981" s="8"/>
    </row>
    <row r="19982">
      <c r="C19982" s="15"/>
      <c r="E19982" s="8"/>
      <c r="G19982" s="8"/>
      <c r="J19982" s="8"/>
    </row>
    <row r="19983">
      <c r="C19983" s="15"/>
      <c r="E19983" s="8"/>
      <c r="G19983" s="8"/>
      <c r="J19983" s="8"/>
    </row>
    <row r="19984">
      <c r="C19984" s="15"/>
      <c r="E19984" s="8"/>
      <c r="G19984" s="8"/>
      <c r="J19984" s="8"/>
    </row>
    <row r="19985">
      <c r="C19985" s="15"/>
      <c r="E19985" s="8"/>
      <c r="G19985" s="8"/>
      <c r="J19985" s="8"/>
    </row>
    <row r="19986">
      <c r="C19986" s="15"/>
      <c r="E19986" s="8"/>
      <c r="G19986" s="8"/>
      <c r="J19986" s="8"/>
    </row>
    <row r="19987">
      <c r="C19987" s="15"/>
      <c r="E19987" s="8"/>
      <c r="G19987" s="8"/>
      <c r="J19987" s="8"/>
    </row>
    <row r="19988">
      <c r="C19988" s="15"/>
      <c r="E19988" s="8"/>
      <c r="G19988" s="8"/>
      <c r="J19988" s="8"/>
    </row>
    <row r="19989">
      <c r="C19989" s="15"/>
      <c r="E19989" s="8"/>
      <c r="G19989" s="8"/>
      <c r="J19989" s="8"/>
    </row>
    <row r="19990">
      <c r="C19990" s="15"/>
      <c r="E19990" s="8"/>
      <c r="G19990" s="8"/>
      <c r="J19990" s="8"/>
    </row>
    <row r="19991">
      <c r="C19991" s="15"/>
      <c r="E19991" s="8"/>
      <c r="G19991" s="8"/>
      <c r="J19991" s="8"/>
    </row>
    <row r="19992">
      <c r="C19992" s="15"/>
      <c r="E19992" s="8"/>
      <c r="G19992" s="8"/>
      <c r="J19992" s="8"/>
    </row>
    <row r="19993">
      <c r="C19993" s="15"/>
      <c r="E19993" s="8"/>
      <c r="G19993" s="8"/>
      <c r="J19993" s="8"/>
    </row>
    <row r="19994">
      <c r="C19994" s="15"/>
      <c r="E19994" s="8"/>
      <c r="G19994" s="8"/>
      <c r="J19994" s="8"/>
    </row>
    <row r="19995">
      <c r="C19995" s="15"/>
      <c r="E19995" s="8"/>
      <c r="G19995" s="8"/>
      <c r="J19995" s="8"/>
    </row>
    <row r="19996">
      <c r="C19996" s="15"/>
      <c r="E19996" s="8"/>
      <c r="G19996" s="8"/>
      <c r="J19996" s="8"/>
    </row>
    <row r="19997">
      <c r="C19997" s="15"/>
      <c r="E19997" s="8"/>
      <c r="G19997" s="8"/>
      <c r="J19997" s="8"/>
    </row>
    <row r="19998">
      <c r="C19998" s="15"/>
      <c r="E19998" s="8"/>
      <c r="G19998" s="8"/>
      <c r="J19998" s="8"/>
    </row>
    <row r="19999">
      <c r="C19999" s="15"/>
      <c r="E19999" s="8"/>
      <c r="G19999" s="8"/>
      <c r="J19999" s="8"/>
    </row>
    <row r="20000">
      <c r="C20000" s="15"/>
      <c r="E20000" s="8"/>
      <c r="G20000" s="8"/>
      <c r="J20000" s="8"/>
    </row>
    <row r="20001">
      <c r="C20001" s="15"/>
      <c r="E20001" s="8"/>
      <c r="G20001" s="8"/>
      <c r="J20001" s="8"/>
    </row>
    <row r="20002">
      <c r="C20002" s="15"/>
      <c r="E20002" s="8"/>
      <c r="G20002" s="8"/>
      <c r="J20002" s="8"/>
    </row>
    <row r="20003">
      <c r="C20003" s="15"/>
      <c r="E20003" s="8"/>
      <c r="G20003" s="8"/>
      <c r="J20003" s="8"/>
    </row>
    <row r="20004">
      <c r="C20004" s="15"/>
      <c r="E20004" s="8"/>
      <c r="G20004" s="8"/>
      <c r="J20004" s="8"/>
    </row>
    <row r="20005">
      <c r="C20005" s="15"/>
      <c r="E20005" s="8"/>
      <c r="G20005" s="8"/>
      <c r="J20005" s="8"/>
    </row>
    <row r="20006">
      <c r="C20006" s="15"/>
      <c r="E20006" s="8"/>
      <c r="G20006" s="8"/>
      <c r="J20006" s="8"/>
    </row>
    <row r="20007">
      <c r="C20007" s="15"/>
      <c r="E20007" s="8"/>
      <c r="G20007" s="8"/>
      <c r="J20007" s="8"/>
    </row>
    <row r="20008">
      <c r="C20008" s="15"/>
      <c r="E20008" s="8"/>
      <c r="G20008" s="8"/>
      <c r="J20008" s="8"/>
    </row>
    <row r="20009">
      <c r="C20009" s="15"/>
      <c r="E20009" s="8"/>
      <c r="G20009" s="8"/>
      <c r="J20009" s="8"/>
    </row>
    <row r="20010">
      <c r="C20010" s="15"/>
      <c r="E20010" s="8"/>
      <c r="G20010" s="8"/>
      <c r="J20010" s="8"/>
    </row>
    <row r="20011">
      <c r="C20011" s="15"/>
      <c r="E20011" s="8"/>
      <c r="G20011" s="8"/>
      <c r="J20011" s="8"/>
    </row>
    <row r="20012">
      <c r="C20012" s="15"/>
      <c r="E20012" s="8"/>
      <c r="G20012" s="8"/>
      <c r="J20012" s="8"/>
    </row>
    <row r="20013">
      <c r="C20013" s="15"/>
      <c r="E20013" s="8"/>
      <c r="G20013" s="8"/>
      <c r="J20013" s="8"/>
    </row>
    <row r="20014">
      <c r="C20014" s="15"/>
      <c r="E20014" s="8"/>
      <c r="G20014" s="8"/>
      <c r="J20014" s="8"/>
    </row>
    <row r="20015">
      <c r="C20015" s="15"/>
      <c r="E20015" s="8"/>
      <c r="G20015" s="8"/>
      <c r="J20015" s="8"/>
    </row>
    <row r="20016">
      <c r="C20016" s="15"/>
      <c r="E20016" s="8"/>
      <c r="G20016" s="8"/>
      <c r="J20016" s="8"/>
    </row>
    <row r="20017">
      <c r="C20017" s="15"/>
      <c r="E20017" s="8"/>
      <c r="G20017" s="8"/>
      <c r="J20017" s="8"/>
    </row>
    <row r="20018">
      <c r="C20018" s="15"/>
      <c r="E20018" s="8"/>
      <c r="G20018" s="8"/>
      <c r="J20018" s="8"/>
    </row>
    <row r="20019">
      <c r="C20019" s="15"/>
      <c r="E20019" s="8"/>
      <c r="G20019" s="8"/>
      <c r="J20019" s="8"/>
    </row>
    <row r="20020">
      <c r="C20020" s="15"/>
      <c r="E20020" s="8"/>
      <c r="G20020" s="8"/>
      <c r="J20020" s="8"/>
    </row>
    <row r="20021">
      <c r="C20021" s="15"/>
      <c r="E20021" s="8"/>
      <c r="G20021" s="8"/>
      <c r="J20021" s="8"/>
    </row>
    <row r="20022">
      <c r="C20022" s="15"/>
      <c r="E20022" s="8"/>
      <c r="G20022" s="8"/>
      <c r="J20022" s="8"/>
    </row>
    <row r="20023">
      <c r="C20023" s="15"/>
      <c r="E20023" s="8"/>
      <c r="G20023" s="8"/>
      <c r="J20023" s="8"/>
    </row>
    <row r="20024">
      <c r="C20024" s="15"/>
      <c r="E20024" s="8"/>
      <c r="G20024" s="8"/>
      <c r="J20024" s="8"/>
    </row>
    <row r="20025">
      <c r="C20025" s="15"/>
      <c r="E20025" s="8"/>
      <c r="G20025" s="8"/>
      <c r="J20025" s="8"/>
    </row>
    <row r="20026">
      <c r="C20026" s="15"/>
      <c r="E20026" s="8"/>
      <c r="G20026" s="8"/>
      <c r="J20026" s="8"/>
    </row>
    <row r="20027">
      <c r="C20027" s="15"/>
      <c r="E20027" s="8"/>
      <c r="G20027" s="8"/>
      <c r="J20027" s="8"/>
    </row>
    <row r="20028">
      <c r="C20028" s="15"/>
      <c r="E20028" s="8"/>
      <c r="G20028" s="8"/>
      <c r="J20028" s="8"/>
    </row>
    <row r="20029">
      <c r="C20029" s="15"/>
      <c r="E20029" s="8"/>
      <c r="G20029" s="8"/>
      <c r="J20029" s="8"/>
    </row>
    <row r="20030">
      <c r="C20030" s="15"/>
      <c r="E20030" s="8"/>
      <c r="G20030" s="8"/>
      <c r="J20030" s="8"/>
    </row>
    <row r="20031">
      <c r="C20031" s="15"/>
      <c r="E20031" s="8"/>
      <c r="G20031" s="8"/>
      <c r="J20031" s="8"/>
    </row>
    <row r="20032">
      <c r="C20032" s="15"/>
      <c r="E20032" s="8"/>
      <c r="G20032" s="8"/>
      <c r="J20032" s="8"/>
    </row>
    <row r="20033">
      <c r="C20033" s="15"/>
      <c r="E20033" s="8"/>
      <c r="G20033" s="8"/>
      <c r="J20033" s="8"/>
    </row>
    <row r="20034">
      <c r="C20034" s="15"/>
      <c r="E20034" s="8"/>
      <c r="G20034" s="8"/>
      <c r="J20034" s="8"/>
    </row>
    <row r="20035">
      <c r="C20035" s="15"/>
      <c r="E20035" s="8"/>
      <c r="G20035" s="8"/>
      <c r="J20035" s="8"/>
    </row>
    <row r="20036">
      <c r="C20036" s="15"/>
      <c r="E20036" s="8"/>
      <c r="G20036" s="8"/>
      <c r="J20036" s="8"/>
    </row>
    <row r="20037">
      <c r="C20037" s="15"/>
      <c r="E20037" s="8"/>
      <c r="G20037" s="8"/>
      <c r="J20037" s="8"/>
    </row>
    <row r="20038">
      <c r="C20038" s="15"/>
      <c r="E20038" s="8"/>
      <c r="G20038" s="8"/>
      <c r="J20038" s="8"/>
    </row>
    <row r="20039">
      <c r="C20039" s="15"/>
      <c r="E20039" s="8"/>
      <c r="G20039" s="8"/>
      <c r="J20039" s="8"/>
    </row>
    <row r="20040">
      <c r="C20040" s="15"/>
      <c r="E20040" s="8"/>
      <c r="G20040" s="8"/>
      <c r="J20040" s="8"/>
    </row>
    <row r="20041">
      <c r="C20041" s="15"/>
      <c r="E20041" s="8"/>
      <c r="G20041" s="8"/>
      <c r="J20041" s="8"/>
    </row>
    <row r="20042">
      <c r="C20042" s="15"/>
      <c r="E20042" s="8"/>
      <c r="G20042" s="8"/>
      <c r="J20042" s="8"/>
    </row>
    <row r="20043">
      <c r="C20043" s="15"/>
      <c r="E20043" s="8"/>
      <c r="G20043" s="8"/>
      <c r="J20043" s="8"/>
    </row>
    <row r="20044">
      <c r="C20044" s="15"/>
      <c r="E20044" s="8"/>
      <c r="G20044" s="8"/>
      <c r="J20044" s="8"/>
    </row>
    <row r="20045">
      <c r="C20045" s="15"/>
      <c r="E20045" s="8"/>
      <c r="G20045" s="8"/>
      <c r="J20045" s="8"/>
    </row>
    <row r="20046">
      <c r="C20046" s="15"/>
      <c r="E20046" s="8"/>
      <c r="G20046" s="8"/>
      <c r="J20046" s="8"/>
    </row>
    <row r="20047">
      <c r="C20047" s="15"/>
      <c r="E20047" s="8"/>
      <c r="G20047" s="8"/>
      <c r="J20047" s="8"/>
    </row>
    <row r="20048">
      <c r="C20048" s="15"/>
      <c r="E20048" s="8"/>
      <c r="G20048" s="8"/>
      <c r="J20048" s="8"/>
    </row>
    <row r="20049">
      <c r="C20049" s="15"/>
      <c r="E20049" s="8"/>
      <c r="G20049" s="8"/>
      <c r="J20049" s="8"/>
    </row>
    <row r="20050">
      <c r="C20050" s="15"/>
      <c r="E20050" s="8"/>
      <c r="G20050" s="8"/>
      <c r="J20050" s="8"/>
    </row>
    <row r="20051">
      <c r="C20051" s="15"/>
      <c r="E20051" s="8"/>
      <c r="G20051" s="8"/>
      <c r="J20051" s="8"/>
    </row>
    <row r="20052">
      <c r="C20052" s="15"/>
      <c r="E20052" s="8"/>
      <c r="G20052" s="8"/>
      <c r="J20052" s="8"/>
    </row>
    <row r="20053">
      <c r="C20053" s="15"/>
      <c r="E20053" s="8"/>
      <c r="G20053" s="8"/>
      <c r="J20053" s="8"/>
    </row>
    <row r="20054">
      <c r="C20054" s="15"/>
      <c r="E20054" s="8"/>
      <c r="G20054" s="8"/>
      <c r="J20054" s="8"/>
    </row>
    <row r="20055">
      <c r="C20055" s="15"/>
      <c r="E20055" s="8"/>
      <c r="G20055" s="8"/>
      <c r="J20055" s="8"/>
    </row>
    <row r="20056">
      <c r="C20056" s="15"/>
      <c r="E20056" s="8"/>
      <c r="G20056" s="8"/>
      <c r="J20056" s="8"/>
    </row>
    <row r="20057">
      <c r="C20057" s="15"/>
      <c r="E20057" s="8"/>
      <c r="G20057" s="8"/>
      <c r="J20057" s="8"/>
    </row>
    <row r="20058">
      <c r="C20058" s="15"/>
      <c r="E20058" s="8"/>
      <c r="G20058" s="8"/>
      <c r="J20058" s="8"/>
    </row>
    <row r="20059">
      <c r="C20059" s="15"/>
      <c r="E20059" s="8"/>
      <c r="G20059" s="8"/>
      <c r="J20059" s="8"/>
    </row>
    <row r="20060">
      <c r="C20060" s="15"/>
      <c r="E20060" s="8"/>
      <c r="G20060" s="8"/>
      <c r="J20060" s="8"/>
    </row>
    <row r="20061">
      <c r="C20061" s="15"/>
      <c r="E20061" s="8"/>
      <c r="G20061" s="8"/>
      <c r="J20061" s="8"/>
    </row>
    <row r="20062">
      <c r="C20062" s="15"/>
      <c r="E20062" s="8"/>
      <c r="G20062" s="8"/>
      <c r="J20062" s="8"/>
    </row>
    <row r="20063">
      <c r="C20063" s="15"/>
      <c r="E20063" s="8"/>
      <c r="G20063" s="8"/>
      <c r="J20063" s="8"/>
    </row>
    <row r="20064">
      <c r="C20064" s="15"/>
      <c r="E20064" s="8"/>
      <c r="G20064" s="8"/>
      <c r="J20064" s="8"/>
    </row>
    <row r="20065">
      <c r="C20065" s="15"/>
      <c r="E20065" s="8"/>
      <c r="G20065" s="8"/>
      <c r="J20065" s="8"/>
    </row>
    <row r="20066">
      <c r="C20066" s="15"/>
      <c r="E20066" s="8"/>
      <c r="G20066" s="8"/>
      <c r="J20066" s="8"/>
    </row>
    <row r="20067">
      <c r="C20067" s="15"/>
      <c r="E20067" s="8"/>
      <c r="G20067" s="8"/>
      <c r="J20067" s="8"/>
    </row>
    <row r="20068">
      <c r="C20068" s="15"/>
      <c r="E20068" s="8"/>
      <c r="G20068" s="8"/>
      <c r="J20068" s="8"/>
    </row>
    <row r="20069">
      <c r="C20069" s="15"/>
      <c r="E20069" s="8"/>
      <c r="G20069" s="8"/>
      <c r="J20069" s="8"/>
    </row>
    <row r="20070">
      <c r="C20070" s="15"/>
      <c r="E20070" s="8"/>
      <c r="G20070" s="8"/>
      <c r="J20070" s="8"/>
    </row>
    <row r="20071">
      <c r="C20071" s="15"/>
      <c r="E20071" s="8"/>
      <c r="G20071" s="8"/>
      <c r="J20071" s="8"/>
    </row>
    <row r="20072">
      <c r="C20072" s="15"/>
      <c r="E20072" s="8"/>
      <c r="G20072" s="8"/>
      <c r="J20072" s="8"/>
    </row>
    <row r="20073">
      <c r="C20073" s="15"/>
      <c r="E20073" s="8"/>
      <c r="G20073" s="8"/>
      <c r="J20073" s="8"/>
    </row>
    <row r="20074">
      <c r="C20074" s="15"/>
      <c r="E20074" s="8"/>
      <c r="G20074" s="8"/>
      <c r="J20074" s="8"/>
    </row>
    <row r="20075">
      <c r="C20075" s="15"/>
      <c r="E20075" s="8"/>
      <c r="G20075" s="8"/>
      <c r="J20075" s="8"/>
    </row>
    <row r="20076">
      <c r="C20076" s="15"/>
      <c r="E20076" s="8"/>
      <c r="G20076" s="8"/>
      <c r="J20076" s="8"/>
    </row>
    <row r="20077">
      <c r="C20077" s="15"/>
      <c r="E20077" s="8"/>
      <c r="G20077" s="8"/>
      <c r="J20077" s="8"/>
    </row>
    <row r="20078">
      <c r="C20078" s="15"/>
      <c r="E20078" s="8"/>
      <c r="G20078" s="8"/>
      <c r="J20078" s="8"/>
    </row>
    <row r="20079">
      <c r="C20079" s="15"/>
      <c r="E20079" s="8"/>
      <c r="G20079" s="8"/>
      <c r="J20079" s="8"/>
    </row>
    <row r="20080">
      <c r="C20080" s="15"/>
      <c r="E20080" s="8"/>
      <c r="G20080" s="8"/>
      <c r="J20080" s="8"/>
    </row>
    <row r="20081">
      <c r="C20081" s="15"/>
      <c r="E20081" s="8"/>
      <c r="G20081" s="8"/>
      <c r="J20081" s="8"/>
    </row>
    <row r="20082">
      <c r="C20082" s="15"/>
      <c r="E20082" s="8"/>
      <c r="G20082" s="8"/>
      <c r="J20082" s="8"/>
    </row>
    <row r="20083">
      <c r="C20083" s="15"/>
      <c r="E20083" s="8"/>
      <c r="G20083" s="8"/>
      <c r="J20083" s="8"/>
    </row>
    <row r="20084">
      <c r="C20084" s="15"/>
      <c r="E20084" s="8"/>
      <c r="G20084" s="8"/>
      <c r="J20084" s="8"/>
    </row>
    <row r="20085">
      <c r="C20085" s="15"/>
      <c r="E20085" s="8"/>
      <c r="G20085" s="8"/>
      <c r="J20085" s="8"/>
    </row>
    <row r="20086">
      <c r="C20086" s="15"/>
      <c r="E20086" s="8"/>
      <c r="G20086" s="8"/>
      <c r="J20086" s="8"/>
    </row>
    <row r="20087">
      <c r="C20087" s="15"/>
      <c r="E20087" s="8"/>
      <c r="G20087" s="8"/>
      <c r="J20087" s="8"/>
    </row>
    <row r="20088">
      <c r="C20088" s="15"/>
      <c r="E20088" s="8"/>
      <c r="G20088" s="8"/>
      <c r="J20088" s="8"/>
    </row>
    <row r="20089">
      <c r="C20089" s="15"/>
      <c r="E20089" s="8"/>
      <c r="G20089" s="8"/>
      <c r="J20089" s="8"/>
    </row>
    <row r="20090">
      <c r="C20090" s="15"/>
      <c r="E20090" s="8"/>
      <c r="G20090" s="8"/>
      <c r="J20090" s="8"/>
    </row>
    <row r="20091">
      <c r="C20091" s="15"/>
      <c r="E20091" s="8"/>
      <c r="G20091" s="8"/>
      <c r="J20091" s="8"/>
    </row>
    <row r="20092">
      <c r="C20092" s="15"/>
      <c r="E20092" s="8"/>
      <c r="G20092" s="8"/>
      <c r="J20092" s="8"/>
    </row>
    <row r="20093">
      <c r="C20093" s="15"/>
      <c r="E20093" s="8"/>
      <c r="G20093" s="8"/>
      <c r="J20093" s="8"/>
    </row>
    <row r="20094">
      <c r="C20094" s="15"/>
      <c r="E20094" s="8"/>
      <c r="G20094" s="8"/>
      <c r="J20094" s="8"/>
    </row>
    <row r="20095">
      <c r="C20095" s="15"/>
      <c r="E20095" s="8"/>
      <c r="G20095" s="8"/>
      <c r="J20095" s="8"/>
    </row>
    <row r="20096">
      <c r="C20096" s="15"/>
      <c r="E20096" s="8"/>
      <c r="G20096" s="8"/>
      <c r="J20096" s="8"/>
    </row>
    <row r="20097">
      <c r="C20097" s="15"/>
      <c r="E20097" s="8"/>
      <c r="G20097" s="8"/>
      <c r="J20097" s="8"/>
    </row>
    <row r="20098">
      <c r="C20098" s="15"/>
      <c r="E20098" s="8"/>
      <c r="G20098" s="8"/>
      <c r="J20098" s="8"/>
    </row>
    <row r="20099">
      <c r="C20099" s="15"/>
      <c r="E20099" s="8"/>
      <c r="G20099" s="8"/>
      <c r="J20099" s="8"/>
    </row>
    <row r="20100">
      <c r="C20100" s="15"/>
      <c r="E20100" s="8"/>
      <c r="G20100" s="8"/>
      <c r="J20100" s="8"/>
    </row>
    <row r="20101">
      <c r="C20101" s="15"/>
      <c r="E20101" s="8"/>
      <c r="G20101" s="8"/>
      <c r="J20101" s="8"/>
    </row>
    <row r="20102">
      <c r="C20102" s="15"/>
      <c r="E20102" s="8"/>
      <c r="G20102" s="8"/>
      <c r="J20102" s="8"/>
    </row>
    <row r="20103">
      <c r="C20103" s="15"/>
      <c r="E20103" s="8"/>
      <c r="G20103" s="8"/>
      <c r="J20103" s="8"/>
    </row>
    <row r="20104">
      <c r="C20104" s="15"/>
      <c r="E20104" s="8"/>
      <c r="G20104" s="8"/>
      <c r="J20104" s="8"/>
    </row>
    <row r="20105">
      <c r="C20105" s="15"/>
      <c r="E20105" s="8"/>
      <c r="G20105" s="8"/>
      <c r="J20105" s="8"/>
    </row>
    <row r="20106">
      <c r="C20106" s="15"/>
      <c r="E20106" s="8"/>
      <c r="G20106" s="8"/>
      <c r="J20106" s="8"/>
    </row>
    <row r="20107">
      <c r="C20107" s="15"/>
      <c r="E20107" s="8"/>
      <c r="G20107" s="8"/>
      <c r="J20107" s="8"/>
    </row>
    <row r="20108">
      <c r="C20108" s="15"/>
      <c r="E20108" s="8"/>
      <c r="G20108" s="8"/>
      <c r="J20108" s="8"/>
    </row>
    <row r="20109">
      <c r="C20109" s="15"/>
      <c r="E20109" s="8"/>
      <c r="G20109" s="8"/>
      <c r="J20109" s="8"/>
    </row>
    <row r="20110">
      <c r="C20110" s="15"/>
      <c r="E20110" s="8"/>
      <c r="G20110" s="8"/>
      <c r="J20110" s="8"/>
    </row>
    <row r="20111">
      <c r="C20111" s="15"/>
      <c r="E20111" s="8"/>
      <c r="G20111" s="8"/>
      <c r="J20111" s="8"/>
    </row>
    <row r="20112">
      <c r="C20112" s="15"/>
      <c r="E20112" s="8"/>
      <c r="G20112" s="8"/>
      <c r="J20112" s="8"/>
    </row>
    <row r="20113">
      <c r="C20113" s="15"/>
      <c r="E20113" s="8"/>
      <c r="G20113" s="8"/>
      <c r="J20113" s="8"/>
    </row>
    <row r="20114">
      <c r="C20114" s="15"/>
      <c r="E20114" s="8"/>
      <c r="G20114" s="8"/>
      <c r="J20114" s="8"/>
    </row>
    <row r="20115">
      <c r="C20115" s="15"/>
      <c r="E20115" s="8"/>
      <c r="G20115" s="8"/>
      <c r="J20115" s="8"/>
    </row>
    <row r="20116">
      <c r="C20116" s="15"/>
      <c r="E20116" s="8"/>
      <c r="G20116" s="8"/>
      <c r="J20116" s="8"/>
    </row>
    <row r="20117">
      <c r="C20117" s="15"/>
      <c r="E20117" s="8"/>
      <c r="G20117" s="8"/>
      <c r="J20117" s="8"/>
    </row>
    <row r="20118">
      <c r="C20118" s="15"/>
      <c r="E20118" s="8"/>
      <c r="G20118" s="8"/>
      <c r="J20118" s="8"/>
    </row>
    <row r="20119">
      <c r="C20119" s="15"/>
      <c r="E20119" s="8"/>
      <c r="G20119" s="8"/>
      <c r="J20119" s="8"/>
    </row>
    <row r="20120">
      <c r="C20120" s="15"/>
      <c r="E20120" s="8"/>
      <c r="G20120" s="8"/>
      <c r="J20120" s="8"/>
    </row>
    <row r="20121">
      <c r="C20121" s="15"/>
      <c r="E20121" s="8"/>
      <c r="G20121" s="8"/>
      <c r="J20121" s="8"/>
    </row>
    <row r="20122">
      <c r="C20122" s="15"/>
      <c r="E20122" s="8"/>
      <c r="G20122" s="8"/>
      <c r="J20122" s="8"/>
    </row>
    <row r="20123">
      <c r="C20123" s="15"/>
      <c r="E20123" s="8"/>
      <c r="G20123" s="8"/>
      <c r="J20123" s="8"/>
    </row>
    <row r="20124">
      <c r="C20124" s="15"/>
      <c r="E20124" s="8"/>
      <c r="G20124" s="8"/>
      <c r="J20124" s="8"/>
    </row>
    <row r="20125">
      <c r="C20125" s="15"/>
      <c r="E20125" s="8"/>
      <c r="G20125" s="8"/>
      <c r="J20125" s="8"/>
    </row>
    <row r="20126">
      <c r="C20126" s="15"/>
      <c r="E20126" s="8"/>
      <c r="G20126" s="8"/>
      <c r="J20126" s="8"/>
    </row>
    <row r="20127">
      <c r="C20127" s="15"/>
      <c r="E20127" s="8"/>
      <c r="G20127" s="8"/>
      <c r="J20127" s="8"/>
    </row>
    <row r="20128">
      <c r="C20128" s="15"/>
      <c r="E20128" s="8"/>
      <c r="G20128" s="8"/>
      <c r="J20128" s="8"/>
    </row>
    <row r="20129">
      <c r="C20129" s="15"/>
      <c r="E20129" s="8"/>
      <c r="G20129" s="8"/>
      <c r="J20129" s="8"/>
    </row>
    <row r="20130">
      <c r="C20130" s="15"/>
      <c r="E20130" s="8"/>
      <c r="G20130" s="8"/>
      <c r="J20130" s="8"/>
    </row>
    <row r="20131">
      <c r="C20131" s="15"/>
      <c r="E20131" s="8"/>
      <c r="G20131" s="8"/>
      <c r="J20131" s="8"/>
    </row>
    <row r="20132">
      <c r="C20132" s="15"/>
      <c r="E20132" s="8"/>
      <c r="G20132" s="8"/>
      <c r="J20132" s="8"/>
    </row>
    <row r="20133">
      <c r="C20133" s="15"/>
      <c r="E20133" s="8"/>
      <c r="G20133" s="8"/>
      <c r="J20133" s="8"/>
    </row>
    <row r="20134">
      <c r="C20134" s="15"/>
      <c r="E20134" s="8"/>
      <c r="G20134" s="8"/>
      <c r="J20134" s="8"/>
    </row>
    <row r="20135">
      <c r="C20135" s="15"/>
      <c r="E20135" s="8"/>
      <c r="G20135" s="8"/>
      <c r="J20135" s="8"/>
    </row>
    <row r="20136">
      <c r="C20136" s="15"/>
      <c r="E20136" s="8"/>
      <c r="G20136" s="8"/>
      <c r="J20136" s="8"/>
    </row>
    <row r="20137">
      <c r="C20137" s="15"/>
      <c r="E20137" s="8"/>
      <c r="G20137" s="8"/>
      <c r="J20137" s="8"/>
    </row>
    <row r="20138">
      <c r="C20138" s="15"/>
      <c r="E20138" s="8"/>
      <c r="G20138" s="8"/>
      <c r="J20138" s="8"/>
    </row>
    <row r="20139">
      <c r="C20139" s="15"/>
      <c r="E20139" s="8"/>
      <c r="G20139" s="8"/>
      <c r="J20139" s="8"/>
    </row>
    <row r="20140">
      <c r="C20140" s="15"/>
      <c r="E20140" s="8"/>
      <c r="G20140" s="8"/>
      <c r="J20140" s="8"/>
    </row>
    <row r="20141">
      <c r="C20141" s="15"/>
      <c r="E20141" s="8"/>
      <c r="G20141" s="8"/>
      <c r="J20141" s="8"/>
    </row>
    <row r="20142">
      <c r="C20142" s="15"/>
      <c r="E20142" s="8"/>
      <c r="G20142" s="8"/>
      <c r="J20142" s="8"/>
    </row>
    <row r="20143">
      <c r="C20143" s="15"/>
      <c r="E20143" s="8"/>
      <c r="G20143" s="8"/>
      <c r="J20143" s="8"/>
    </row>
    <row r="20144">
      <c r="C20144" s="15"/>
      <c r="E20144" s="8"/>
      <c r="G20144" s="8"/>
      <c r="J20144" s="8"/>
    </row>
    <row r="20145">
      <c r="C20145" s="15"/>
      <c r="E20145" s="8"/>
      <c r="G20145" s="8"/>
      <c r="J20145" s="8"/>
    </row>
    <row r="20146">
      <c r="C20146" s="15"/>
      <c r="E20146" s="8"/>
      <c r="G20146" s="8"/>
      <c r="J20146" s="8"/>
    </row>
    <row r="20147">
      <c r="C20147" s="15"/>
      <c r="E20147" s="8"/>
      <c r="G20147" s="8"/>
      <c r="J20147" s="8"/>
    </row>
    <row r="20148">
      <c r="C20148" s="15"/>
      <c r="E20148" s="8"/>
      <c r="G20148" s="8"/>
      <c r="J20148" s="8"/>
    </row>
    <row r="20149">
      <c r="C20149" s="15"/>
      <c r="E20149" s="8"/>
      <c r="G20149" s="8"/>
      <c r="J20149" s="8"/>
    </row>
    <row r="20150">
      <c r="C20150" s="15"/>
      <c r="E20150" s="8"/>
      <c r="G20150" s="8"/>
      <c r="J20150" s="8"/>
    </row>
    <row r="20151">
      <c r="C20151" s="15"/>
      <c r="E20151" s="8"/>
      <c r="G20151" s="8"/>
      <c r="J20151" s="8"/>
    </row>
    <row r="20152">
      <c r="C20152" s="15"/>
      <c r="E20152" s="8"/>
      <c r="G20152" s="8"/>
      <c r="J20152" s="8"/>
    </row>
    <row r="20153">
      <c r="C20153" s="15"/>
      <c r="E20153" s="8"/>
      <c r="G20153" s="8"/>
      <c r="J20153" s="8"/>
    </row>
    <row r="20154">
      <c r="C20154" s="15"/>
      <c r="E20154" s="8"/>
      <c r="G20154" s="8"/>
      <c r="J20154" s="8"/>
    </row>
    <row r="20155">
      <c r="C20155" s="15"/>
      <c r="E20155" s="8"/>
      <c r="G20155" s="8"/>
      <c r="J20155" s="8"/>
    </row>
    <row r="20156">
      <c r="C20156" s="15"/>
      <c r="E20156" s="8"/>
      <c r="G20156" s="8"/>
      <c r="J20156" s="8"/>
    </row>
    <row r="20157">
      <c r="C20157" s="15"/>
      <c r="E20157" s="8"/>
      <c r="G20157" s="8"/>
      <c r="J20157" s="8"/>
    </row>
    <row r="20158">
      <c r="C20158" s="15"/>
      <c r="E20158" s="8"/>
      <c r="G20158" s="8"/>
      <c r="J20158" s="8"/>
    </row>
    <row r="20159">
      <c r="C20159" s="15"/>
      <c r="E20159" s="8"/>
      <c r="G20159" s="8"/>
      <c r="J20159" s="8"/>
    </row>
    <row r="20160">
      <c r="C20160" s="15"/>
      <c r="E20160" s="8"/>
      <c r="G20160" s="8"/>
      <c r="J20160" s="8"/>
    </row>
    <row r="20161">
      <c r="C20161" s="15"/>
      <c r="E20161" s="8"/>
      <c r="G20161" s="8"/>
      <c r="J20161" s="8"/>
    </row>
    <row r="20162">
      <c r="C20162" s="15"/>
      <c r="E20162" s="8"/>
      <c r="G20162" s="8"/>
      <c r="J20162" s="8"/>
    </row>
    <row r="20163">
      <c r="C20163" s="15"/>
      <c r="E20163" s="8"/>
      <c r="G20163" s="8"/>
      <c r="J20163" s="8"/>
    </row>
    <row r="20164">
      <c r="C20164" s="15"/>
      <c r="E20164" s="8"/>
      <c r="G20164" s="8"/>
      <c r="J20164" s="8"/>
    </row>
    <row r="20165">
      <c r="C20165" s="15"/>
      <c r="E20165" s="8"/>
      <c r="G20165" s="8"/>
      <c r="J20165" s="8"/>
    </row>
    <row r="20166">
      <c r="C20166" s="15"/>
      <c r="E20166" s="8"/>
      <c r="G20166" s="8"/>
      <c r="J20166" s="8"/>
    </row>
    <row r="20167">
      <c r="C20167" s="15"/>
      <c r="E20167" s="8"/>
      <c r="G20167" s="8"/>
      <c r="J20167" s="8"/>
    </row>
    <row r="20168">
      <c r="C20168" s="15"/>
      <c r="E20168" s="8"/>
      <c r="G20168" s="8"/>
      <c r="J20168" s="8"/>
    </row>
    <row r="20169">
      <c r="C20169" s="15"/>
      <c r="E20169" s="8"/>
      <c r="G20169" s="8"/>
      <c r="J20169" s="8"/>
    </row>
    <row r="20170">
      <c r="C20170" s="15"/>
      <c r="E20170" s="8"/>
      <c r="G20170" s="8"/>
      <c r="J20170" s="8"/>
    </row>
    <row r="20171">
      <c r="C20171" s="15"/>
      <c r="E20171" s="8"/>
      <c r="G20171" s="8"/>
      <c r="J20171" s="8"/>
    </row>
    <row r="20172">
      <c r="C20172" s="15"/>
      <c r="E20172" s="8"/>
      <c r="G20172" s="8"/>
      <c r="J20172" s="8"/>
    </row>
    <row r="20173">
      <c r="C20173" s="15"/>
      <c r="E20173" s="8"/>
      <c r="G20173" s="8"/>
      <c r="J20173" s="8"/>
    </row>
    <row r="20174">
      <c r="C20174" s="15"/>
      <c r="E20174" s="8"/>
      <c r="G20174" s="8"/>
      <c r="J20174" s="8"/>
    </row>
    <row r="20175">
      <c r="C20175" s="15"/>
      <c r="E20175" s="8"/>
      <c r="G20175" s="8"/>
      <c r="J20175" s="8"/>
    </row>
    <row r="20176">
      <c r="C20176" s="15"/>
      <c r="E20176" s="8"/>
      <c r="G20176" s="8"/>
      <c r="J20176" s="8"/>
    </row>
    <row r="20177">
      <c r="C20177" s="15"/>
      <c r="E20177" s="8"/>
      <c r="G20177" s="8"/>
      <c r="J20177" s="8"/>
    </row>
    <row r="20178">
      <c r="C20178" s="15"/>
      <c r="E20178" s="8"/>
      <c r="G20178" s="8"/>
      <c r="J20178" s="8"/>
    </row>
    <row r="20179">
      <c r="C20179" s="15"/>
      <c r="E20179" s="8"/>
      <c r="G20179" s="8"/>
      <c r="J20179" s="8"/>
    </row>
    <row r="20180">
      <c r="C20180" s="15"/>
      <c r="E20180" s="8"/>
      <c r="G20180" s="8"/>
      <c r="J20180" s="8"/>
    </row>
    <row r="20181">
      <c r="C20181" s="15"/>
      <c r="E20181" s="8"/>
      <c r="G20181" s="8"/>
      <c r="J20181" s="8"/>
    </row>
    <row r="20182">
      <c r="C20182" s="15"/>
      <c r="E20182" s="8"/>
      <c r="G20182" s="8"/>
      <c r="J20182" s="8"/>
    </row>
    <row r="20183">
      <c r="C20183" s="15"/>
      <c r="E20183" s="8"/>
      <c r="G20183" s="8"/>
      <c r="J20183" s="8"/>
    </row>
    <row r="20184">
      <c r="C20184" s="15"/>
      <c r="E20184" s="8"/>
      <c r="G20184" s="8"/>
      <c r="J20184" s="8"/>
    </row>
    <row r="20185">
      <c r="C20185" s="15"/>
      <c r="E20185" s="8"/>
      <c r="G20185" s="8"/>
      <c r="J20185" s="8"/>
    </row>
    <row r="20186">
      <c r="C20186" s="15"/>
      <c r="E20186" s="8"/>
      <c r="G20186" s="8"/>
      <c r="J20186" s="8"/>
    </row>
    <row r="20187">
      <c r="C20187" s="15"/>
      <c r="E20187" s="8"/>
      <c r="G20187" s="8"/>
      <c r="J20187" s="8"/>
    </row>
    <row r="20188">
      <c r="C20188" s="15"/>
      <c r="E20188" s="8"/>
      <c r="G20188" s="8"/>
      <c r="J20188" s="8"/>
    </row>
    <row r="20189">
      <c r="C20189" s="15"/>
      <c r="E20189" s="8"/>
      <c r="G20189" s="8"/>
      <c r="J20189" s="8"/>
    </row>
    <row r="20190">
      <c r="C20190" s="15"/>
      <c r="E20190" s="8"/>
      <c r="G20190" s="8"/>
      <c r="J20190" s="8"/>
    </row>
    <row r="20191">
      <c r="C20191" s="15"/>
      <c r="E20191" s="8"/>
      <c r="G20191" s="8"/>
      <c r="J20191" s="8"/>
    </row>
    <row r="20192">
      <c r="C20192" s="15"/>
      <c r="E20192" s="8"/>
      <c r="G20192" s="8"/>
      <c r="J20192" s="8"/>
    </row>
    <row r="20193">
      <c r="C20193" s="15"/>
      <c r="E20193" s="8"/>
      <c r="G20193" s="8"/>
      <c r="J20193" s="8"/>
    </row>
    <row r="20194">
      <c r="C20194" s="15"/>
      <c r="E20194" s="8"/>
      <c r="G20194" s="8"/>
      <c r="J20194" s="8"/>
    </row>
    <row r="20195">
      <c r="C20195" s="15"/>
      <c r="E20195" s="8"/>
      <c r="G20195" s="8"/>
      <c r="J20195" s="8"/>
    </row>
    <row r="20196">
      <c r="C20196" s="15"/>
      <c r="E20196" s="8"/>
      <c r="G20196" s="8"/>
      <c r="J20196" s="8"/>
    </row>
    <row r="20197">
      <c r="C20197" s="15"/>
      <c r="E20197" s="8"/>
      <c r="G20197" s="8"/>
      <c r="J20197" s="8"/>
    </row>
    <row r="20198">
      <c r="C20198" s="15"/>
      <c r="E20198" s="8"/>
      <c r="G20198" s="8"/>
      <c r="J20198" s="8"/>
    </row>
    <row r="20199">
      <c r="C20199" s="15"/>
      <c r="E20199" s="8"/>
      <c r="G20199" s="8"/>
      <c r="J20199" s="8"/>
    </row>
    <row r="20200">
      <c r="C20200" s="15"/>
      <c r="E20200" s="8"/>
      <c r="G20200" s="8"/>
      <c r="J20200" s="8"/>
    </row>
    <row r="20201">
      <c r="C20201" s="15"/>
      <c r="E20201" s="8"/>
      <c r="G20201" s="8"/>
      <c r="J20201" s="8"/>
    </row>
    <row r="20202">
      <c r="C20202" s="15"/>
      <c r="E20202" s="8"/>
      <c r="G20202" s="8"/>
      <c r="J20202" s="8"/>
    </row>
    <row r="20203">
      <c r="C20203" s="15"/>
      <c r="E20203" s="8"/>
      <c r="G20203" s="8"/>
      <c r="J20203" s="8"/>
    </row>
    <row r="20204">
      <c r="C20204" s="15"/>
      <c r="E20204" s="8"/>
      <c r="G20204" s="8"/>
      <c r="J20204" s="8"/>
    </row>
    <row r="20205">
      <c r="C20205" s="15"/>
      <c r="E20205" s="8"/>
      <c r="G20205" s="8"/>
      <c r="J20205" s="8"/>
    </row>
    <row r="20206">
      <c r="C20206" s="15"/>
      <c r="E20206" s="8"/>
      <c r="G20206" s="8"/>
      <c r="J20206" s="8"/>
    </row>
    <row r="20207">
      <c r="C20207" s="15"/>
      <c r="E20207" s="8"/>
      <c r="G20207" s="8"/>
      <c r="J20207" s="8"/>
    </row>
    <row r="20208">
      <c r="C20208" s="15"/>
      <c r="E20208" s="8"/>
      <c r="G20208" s="8"/>
      <c r="J20208" s="8"/>
    </row>
    <row r="20209">
      <c r="C20209" s="15"/>
      <c r="E20209" s="8"/>
      <c r="G20209" s="8"/>
      <c r="J20209" s="8"/>
    </row>
    <row r="20210">
      <c r="C20210" s="15"/>
      <c r="E20210" s="8"/>
      <c r="G20210" s="8"/>
      <c r="J20210" s="8"/>
    </row>
    <row r="20211">
      <c r="C20211" s="15"/>
      <c r="E20211" s="8"/>
      <c r="G20211" s="8"/>
      <c r="J20211" s="8"/>
    </row>
    <row r="20212">
      <c r="C20212" s="15"/>
      <c r="E20212" s="8"/>
      <c r="G20212" s="8"/>
      <c r="J20212" s="8"/>
    </row>
    <row r="20213">
      <c r="C20213" s="15"/>
      <c r="E20213" s="8"/>
      <c r="G20213" s="8"/>
      <c r="J20213" s="8"/>
    </row>
    <row r="20214">
      <c r="C20214" s="15"/>
      <c r="E20214" s="8"/>
      <c r="G20214" s="8"/>
      <c r="J20214" s="8"/>
    </row>
    <row r="20215">
      <c r="C20215" s="15"/>
      <c r="E20215" s="8"/>
      <c r="G20215" s="8"/>
      <c r="J20215" s="8"/>
    </row>
    <row r="20216">
      <c r="C20216" s="15"/>
      <c r="E20216" s="8"/>
      <c r="G20216" s="8"/>
      <c r="J20216" s="8"/>
    </row>
    <row r="20217">
      <c r="C20217" s="15"/>
      <c r="E20217" s="8"/>
      <c r="G20217" s="8"/>
      <c r="J20217" s="8"/>
    </row>
    <row r="20218">
      <c r="C20218" s="15"/>
      <c r="E20218" s="8"/>
      <c r="G20218" s="8"/>
      <c r="J20218" s="8"/>
    </row>
    <row r="20219">
      <c r="C20219" s="15"/>
      <c r="E20219" s="8"/>
      <c r="G20219" s="8"/>
      <c r="J20219" s="8"/>
    </row>
    <row r="20220">
      <c r="C20220" s="15"/>
      <c r="E20220" s="8"/>
      <c r="G20220" s="8"/>
      <c r="J20220" s="8"/>
    </row>
    <row r="20221">
      <c r="C20221" s="15"/>
      <c r="E20221" s="8"/>
      <c r="G20221" s="8"/>
      <c r="J20221" s="8"/>
    </row>
    <row r="20222">
      <c r="C20222" s="15"/>
      <c r="E20222" s="8"/>
      <c r="G20222" s="8"/>
      <c r="J20222" s="8"/>
    </row>
    <row r="20223">
      <c r="C20223" s="15"/>
      <c r="E20223" s="8"/>
      <c r="G20223" s="8"/>
      <c r="J20223" s="8"/>
    </row>
    <row r="20224">
      <c r="C20224" s="15"/>
      <c r="E20224" s="8"/>
      <c r="G20224" s="8"/>
      <c r="J20224" s="8"/>
    </row>
    <row r="20225">
      <c r="C20225" s="15"/>
      <c r="E20225" s="8"/>
      <c r="G20225" s="8"/>
      <c r="J20225" s="8"/>
    </row>
    <row r="20226">
      <c r="C20226" s="15"/>
      <c r="E20226" s="8"/>
      <c r="G20226" s="8"/>
      <c r="J20226" s="8"/>
    </row>
    <row r="20227">
      <c r="C20227" s="15"/>
      <c r="E20227" s="8"/>
      <c r="G20227" s="8"/>
      <c r="J20227" s="8"/>
    </row>
    <row r="20228">
      <c r="C20228" s="15"/>
      <c r="E20228" s="8"/>
      <c r="G20228" s="8"/>
      <c r="J20228" s="8"/>
    </row>
    <row r="20229">
      <c r="C20229" s="15"/>
      <c r="E20229" s="8"/>
      <c r="G20229" s="8"/>
      <c r="J20229" s="8"/>
    </row>
    <row r="20230">
      <c r="C20230" s="15"/>
      <c r="E20230" s="8"/>
      <c r="G20230" s="8"/>
      <c r="J20230" s="8"/>
    </row>
    <row r="20231">
      <c r="C20231" s="15"/>
      <c r="E20231" s="8"/>
      <c r="G20231" s="8"/>
      <c r="J20231" s="8"/>
    </row>
    <row r="20232">
      <c r="C20232" s="15"/>
      <c r="E20232" s="8"/>
      <c r="G20232" s="8"/>
      <c r="J20232" s="8"/>
    </row>
    <row r="20233">
      <c r="C20233" s="15"/>
      <c r="E20233" s="8"/>
      <c r="G20233" s="8"/>
      <c r="J20233" s="8"/>
    </row>
    <row r="20234">
      <c r="C20234" s="15"/>
      <c r="E20234" s="8"/>
      <c r="G20234" s="8"/>
      <c r="J20234" s="8"/>
    </row>
    <row r="20235">
      <c r="C20235" s="15"/>
      <c r="E20235" s="8"/>
      <c r="G20235" s="8"/>
      <c r="J20235" s="8"/>
    </row>
    <row r="20236">
      <c r="C20236" s="15"/>
      <c r="E20236" s="8"/>
      <c r="G20236" s="8"/>
      <c r="J20236" s="8"/>
    </row>
    <row r="20237">
      <c r="C20237" s="15"/>
      <c r="E20237" s="8"/>
      <c r="G20237" s="8"/>
      <c r="J20237" s="8"/>
    </row>
    <row r="20238">
      <c r="C20238" s="15"/>
      <c r="E20238" s="8"/>
      <c r="G20238" s="8"/>
      <c r="J20238" s="8"/>
    </row>
    <row r="20239">
      <c r="C20239" s="15"/>
      <c r="E20239" s="8"/>
      <c r="G20239" s="8"/>
      <c r="J20239" s="8"/>
    </row>
    <row r="20240">
      <c r="C20240" s="15"/>
      <c r="E20240" s="8"/>
      <c r="G20240" s="8"/>
      <c r="J20240" s="8"/>
    </row>
    <row r="20241">
      <c r="C20241" s="15"/>
      <c r="E20241" s="8"/>
      <c r="G20241" s="8"/>
      <c r="J20241" s="8"/>
    </row>
    <row r="20242">
      <c r="C20242" s="15"/>
      <c r="E20242" s="8"/>
      <c r="G20242" s="8"/>
      <c r="J20242" s="8"/>
    </row>
    <row r="20243">
      <c r="C20243" s="15"/>
      <c r="E20243" s="8"/>
      <c r="G20243" s="8"/>
      <c r="J20243" s="8"/>
    </row>
    <row r="20244">
      <c r="C20244" s="15"/>
      <c r="E20244" s="8"/>
      <c r="G20244" s="8"/>
      <c r="J20244" s="8"/>
    </row>
    <row r="20245">
      <c r="C20245" s="15"/>
      <c r="E20245" s="8"/>
      <c r="G20245" s="8"/>
      <c r="J20245" s="8"/>
    </row>
    <row r="20246">
      <c r="C20246" s="15"/>
      <c r="E20246" s="8"/>
      <c r="G20246" s="8"/>
      <c r="J20246" s="8"/>
    </row>
    <row r="20247">
      <c r="C20247" s="15"/>
      <c r="E20247" s="8"/>
      <c r="G20247" s="8"/>
      <c r="J20247" s="8"/>
    </row>
    <row r="20248">
      <c r="C20248" s="15"/>
      <c r="E20248" s="8"/>
      <c r="G20248" s="8"/>
      <c r="J20248" s="8"/>
    </row>
    <row r="20249">
      <c r="C20249" s="15"/>
      <c r="E20249" s="8"/>
      <c r="G20249" s="8"/>
      <c r="J20249" s="8"/>
    </row>
    <row r="20250">
      <c r="C20250" s="15"/>
      <c r="E20250" s="8"/>
      <c r="G20250" s="8"/>
      <c r="J20250" s="8"/>
    </row>
    <row r="20251">
      <c r="C20251" s="15"/>
      <c r="E20251" s="8"/>
      <c r="G20251" s="8"/>
      <c r="J20251" s="8"/>
    </row>
    <row r="20252">
      <c r="C20252" s="15"/>
      <c r="E20252" s="8"/>
      <c r="G20252" s="8"/>
      <c r="J20252" s="8"/>
    </row>
    <row r="20253">
      <c r="C20253" s="15"/>
      <c r="E20253" s="8"/>
      <c r="G20253" s="8"/>
      <c r="J20253" s="8"/>
    </row>
    <row r="20254">
      <c r="C20254" s="15"/>
      <c r="E20254" s="8"/>
      <c r="G20254" s="8"/>
      <c r="J20254" s="8"/>
    </row>
    <row r="20255">
      <c r="C20255" s="15"/>
      <c r="E20255" s="8"/>
      <c r="G20255" s="8"/>
      <c r="J20255" s="8"/>
    </row>
    <row r="20256">
      <c r="C20256" s="15"/>
      <c r="E20256" s="8"/>
      <c r="G20256" s="8"/>
      <c r="J20256" s="8"/>
    </row>
    <row r="20257">
      <c r="C20257" s="15"/>
      <c r="E20257" s="8"/>
      <c r="G20257" s="8"/>
      <c r="J20257" s="8"/>
    </row>
    <row r="20258">
      <c r="C20258" s="15"/>
      <c r="E20258" s="8"/>
      <c r="G20258" s="8"/>
      <c r="J20258" s="8"/>
    </row>
    <row r="20259">
      <c r="C20259" s="15"/>
      <c r="E20259" s="8"/>
      <c r="G20259" s="8"/>
      <c r="J20259" s="8"/>
    </row>
    <row r="20260">
      <c r="C20260" s="15"/>
      <c r="E20260" s="8"/>
      <c r="G20260" s="8"/>
      <c r="J20260" s="8"/>
    </row>
    <row r="20261">
      <c r="C20261" s="15"/>
      <c r="E20261" s="8"/>
      <c r="G20261" s="8"/>
      <c r="J20261" s="8"/>
    </row>
    <row r="20262">
      <c r="C20262" s="15"/>
      <c r="E20262" s="8"/>
      <c r="G20262" s="8"/>
      <c r="J20262" s="8"/>
    </row>
    <row r="20263">
      <c r="C20263" s="15"/>
      <c r="E20263" s="8"/>
      <c r="G20263" s="8"/>
      <c r="J20263" s="8"/>
    </row>
    <row r="20264">
      <c r="C20264" s="15"/>
      <c r="E20264" s="8"/>
      <c r="G20264" s="8"/>
      <c r="J20264" s="8"/>
    </row>
    <row r="20265">
      <c r="C20265" s="15"/>
      <c r="E20265" s="8"/>
      <c r="G20265" s="8"/>
      <c r="J20265" s="8"/>
    </row>
    <row r="20266">
      <c r="C20266" s="15"/>
      <c r="E20266" s="8"/>
      <c r="G20266" s="8"/>
      <c r="J20266" s="8"/>
    </row>
    <row r="20267">
      <c r="C20267" s="15"/>
      <c r="E20267" s="8"/>
      <c r="G20267" s="8"/>
      <c r="J20267" s="8"/>
    </row>
    <row r="20268">
      <c r="C20268" s="15"/>
      <c r="E20268" s="8"/>
      <c r="G20268" s="8"/>
      <c r="J20268" s="8"/>
    </row>
    <row r="20269">
      <c r="C20269" s="15"/>
      <c r="E20269" s="8"/>
      <c r="G20269" s="8"/>
      <c r="J20269" s="8"/>
    </row>
    <row r="20270">
      <c r="C20270" s="15"/>
      <c r="E20270" s="8"/>
      <c r="G20270" s="8"/>
      <c r="J20270" s="8"/>
    </row>
    <row r="20271">
      <c r="C20271" s="15"/>
      <c r="E20271" s="8"/>
      <c r="G20271" s="8"/>
      <c r="J20271" s="8"/>
    </row>
    <row r="20272">
      <c r="C20272" s="15"/>
      <c r="E20272" s="8"/>
      <c r="G20272" s="8"/>
      <c r="J20272" s="8"/>
    </row>
    <row r="20273">
      <c r="C20273" s="15"/>
      <c r="E20273" s="8"/>
      <c r="G20273" s="8"/>
      <c r="J20273" s="8"/>
    </row>
    <row r="20274">
      <c r="C20274" s="15"/>
      <c r="E20274" s="8"/>
      <c r="G20274" s="8"/>
      <c r="J20274" s="8"/>
    </row>
    <row r="20275">
      <c r="C20275" s="15"/>
      <c r="E20275" s="8"/>
      <c r="G20275" s="8"/>
      <c r="J20275" s="8"/>
    </row>
    <row r="20276">
      <c r="C20276" s="15"/>
      <c r="E20276" s="8"/>
      <c r="G20276" s="8"/>
      <c r="J20276" s="8"/>
    </row>
    <row r="20277">
      <c r="C20277" s="15"/>
      <c r="E20277" s="8"/>
      <c r="G20277" s="8"/>
      <c r="J20277" s="8"/>
    </row>
    <row r="20278">
      <c r="C20278" s="15"/>
      <c r="E20278" s="8"/>
      <c r="G20278" s="8"/>
      <c r="J20278" s="8"/>
    </row>
    <row r="20279">
      <c r="C20279" s="15"/>
      <c r="E20279" s="8"/>
      <c r="G20279" s="8"/>
      <c r="J20279" s="8"/>
    </row>
    <row r="20280">
      <c r="C20280" s="15"/>
      <c r="E20280" s="8"/>
      <c r="G20280" s="8"/>
      <c r="J20280" s="8"/>
    </row>
    <row r="20281">
      <c r="C20281" s="15"/>
      <c r="E20281" s="8"/>
      <c r="G20281" s="8"/>
      <c r="J20281" s="8"/>
    </row>
    <row r="20282">
      <c r="C20282" s="15"/>
      <c r="E20282" s="8"/>
      <c r="G20282" s="8"/>
      <c r="J20282" s="8"/>
    </row>
    <row r="20283">
      <c r="C20283" s="15"/>
      <c r="E20283" s="8"/>
      <c r="G20283" s="8"/>
      <c r="J20283" s="8"/>
    </row>
    <row r="20284">
      <c r="C20284" s="15"/>
      <c r="E20284" s="8"/>
      <c r="G20284" s="8"/>
      <c r="J20284" s="8"/>
    </row>
    <row r="20285">
      <c r="C20285" s="15"/>
      <c r="E20285" s="8"/>
      <c r="G20285" s="8"/>
      <c r="J20285" s="8"/>
    </row>
    <row r="20286">
      <c r="C20286" s="15"/>
      <c r="E20286" s="8"/>
      <c r="G20286" s="8"/>
      <c r="J20286" s="8"/>
    </row>
    <row r="20287">
      <c r="C20287" s="15"/>
      <c r="E20287" s="8"/>
      <c r="G20287" s="8"/>
      <c r="J20287" s="8"/>
    </row>
    <row r="20288">
      <c r="C20288" s="15"/>
      <c r="E20288" s="8"/>
      <c r="G20288" s="8"/>
      <c r="J20288" s="8"/>
    </row>
    <row r="20289">
      <c r="C20289" s="15"/>
      <c r="E20289" s="8"/>
      <c r="G20289" s="8"/>
      <c r="J20289" s="8"/>
    </row>
    <row r="20290">
      <c r="C20290" s="15"/>
      <c r="E20290" s="8"/>
      <c r="G20290" s="8"/>
      <c r="J20290" s="8"/>
    </row>
    <row r="20291">
      <c r="C20291" s="15"/>
      <c r="E20291" s="8"/>
      <c r="G20291" s="8"/>
      <c r="J20291" s="8"/>
    </row>
    <row r="20292">
      <c r="C20292" s="15"/>
      <c r="E20292" s="8"/>
      <c r="G20292" s="8"/>
      <c r="J20292" s="8"/>
    </row>
    <row r="20293">
      <c r="C20293" s="15"/>
      <c r="E20293" s="8"/>
      <c r="G20293" s="8"/>
      <c r="J20293" s="8"/>
    </row>
    <row r="20294">
      <c r="C20294" s="15"/>
      <c r="E20294" s="8"/>
      <c r="G20294" s="8"/>
      <c r="J20294" s="8"/>
    </row>
    <row r="20295">
      <c r="C20295" s="15"/>
      <c r="E20295" s="8"/>
      <c r="G20295" s="8"/>
      <c r="J20295" s="8"/>
    </row>
    <row r="20296">
      <c r="C20296" s="15"/>
      <c r="E20296" s="8"/>
      <c r="G20296" s="8"/>
      <c r="J20296" s="8"/>
    </row>
    <row r="20297">
      <c r="C20297" s="15"/>
      <c r="E20297" s="8"/>
      <c r="G20297" s="8"/>
      <c r="J20297" s="8"/>
    </row>
    <row r="20298">
      <c r="C20298" s="15"/>
      <c r="E20298" s="8"/>
      <c r="G20298" s="8"/>
      <c r="J20298" s="8"/>
    </row>
    <row r="20299">
      <c r="C20299" s="15"/>
      <c r="E20299" s="8"/>
      <c r="G20299" s="8"/>
      <c r="J20299" s="8"/>
    </row>
    <row r="20300">
      <c r="C20300" s="15"/>
      <c r="E20300" s="8"/>
      <c r="G20300" s="8"/>
      <c r="J20300" s="8"/>
    </row>
    <row r="20301">
      <c r="C20301" s="15"/>
      <c r="E20301" s="8"/>
      <c r="G20301" s="8"/>
      <c r="J20301" s="8"/>
    </row>
    <row r="20302">
      <c r="C20302" s="15"/>
      <c r="E20302" s="8"/>
      <c r="G20302" s="8"/>
      <c r="J20302" s="8"/>
    </row>
    <row r="20303">
      <c r="C20303" s="15"/>
      <c r="E20303" s="8"/>
      <c r="G20303" s="8"/>
      <c r="J20303" s="8"/>
    </row>
    <row r="20304">
      <c r="C20304" s="15"/>
      <c r="E20304" s="8"/>
      <c r="G20304" s="8"/>
      <c r="J20304" s="8"/>
    </row>
    <row r="20305">
      <c r="C20305" s="15"/>
      <c r="E20305" s="8"/>
      <c r="G20305" s="8"/>
      <c r="J20305" s="8"/>
    </row>
    <row r="20306">
      <c r="C20306" s="15"/>
      <c r="E20306" s="8"/>
      <c r="G20306" s="8"/>
      <c r="J20306" s="8"/>
    </row>
    <row r="20307">
      <c r="C20307" s="15"/>
      <c r="E20307" s="8"/>
      <c r="G20307" s="8"/>
      <c r="J20307" s="8"/>
    </row>
    <row r="20308">
      <c r="C20308" s="15"/>
      <c r="E20308" s="8"/>
      <c r="G20308" s="8"/>
      <c r="J20308" s="8"/>
    </row>
    <row r="20309">
      <c r="C20309" s="15"/>
      <c r="E20309" s="8"/>
      <c r="G20309" s="8"/>
      <c r="J20309" s="8"/>
    </row>
    <row r="20310">
      <c r="C20310" s="15"/>
      <c r="E20310" s="8"/>
      <c r="G20310" s="8"/>
      <c r="J20310" s="8"/>
    </row>
    <row r="20311">
      <c r="C20311" s="15"/>
      <c r="E20311" s="8"/>
      <c r="G20311" s="8"/>
      <c r="J20311" s="8"/>
    </row>
    <row r="20312">
      <c r="C20312" s="15"/>
      <c r="E20312" s="8"/>
      <c r="G20312" s="8"/>
      <c r="J20312" s="8"/>
    </row>
    <row r="20313">
      <c r="C20313" s="15"/>
      <c r="E20313" s="8"/>
      <c r="G20313" s="8"/>
      <c r="J20313" s="8"/>
    </row>
    <row r="20314">
      <c r="C20314" s="15"/>
      <c r="E20314" s="8"/>
      <c r="G20314" s="8"/>
      <c r="J20314" s="8"/>
    </row>
    <row r="20315">
      <c r="C20315" s="15"/>
      <c r="E20315" s="8"/>
      <c r="G20315" s="8"/>
      <c r="J20315" s="8"/>
    </row>
    <row r="20316">
      <c r="C20316" s="15"/>
      <c r="E20316" s="8"/>
      <c r="G20316" s="8"/>
      <c r="J20316" s="8"/>
    </row>
    <row r="20317">
      <c r="C20317" s="15"/>
      <c r="E20317" s="8"/>
      <c r="G20317" s="8"/>
      <c r="J20317" s="8"/>
    </row>
    <row r="20318">
      <c r="C20318" s="15"/>
      <c r="E20318" s="8"/>
      <c r="G20318" s="8"/>
      <c r="J20318" s="8"/>
    </row>
    <row r="20319">
      <c r="C20319" s="15"/>
      <c r="E20319" s="8"/>
      <c r="G20319" s="8"/>
      <c r="J20319" s="8"/>
    </row>
    <row r="20320">
      <c r="C20320" s="15"/>
      <c r="E20320" s="8"/>
      <c r="G20320" s="8"/>
      <c r="J20320" s="8"/>
    </row>
    <row r="20321">
      <c r="C20321" s="15"/>
      <c r="E20321" s="8"/>
      <c r="G20321" s="8"/>
      <c r="J20321" s="8"/>
    </row>
    <row r="20322">
      <c r="C20322" s="15"/>
      <c r="E20322" s="8"/>
      <c r="G20322" s="8"/>
      <c r="J20322" s="8"/>
    </row>
    <row r="20323">
      <c r="C20323" s="15"/>
      <c r="E20323" s="8"/>
      <c r="G20323" s="8"/>
      <c r="J20323" s="8"/>
    </row>
    <row r="20324">
      <c r="C20324" s="15"/>
      <c r="E20324" s="8"/>
      <c r="G20324" s="8"/>
      <c r="J20324" s="8"/>
    </row>
    <row r="20325">
      <c r="C20325" s="15"/>
      <c r="E20325" s="8"/>
      <c r="G20325" s="8"/>
      <c r="J20325" s="8"/>
    </row>
    <row r="20326">
      <c r="C20326" s="15"/>
      <c r="E20326" s="8"/>
      <c r="G20326" s="8"/>
      <c r="J20326" s="8"/>
    </row>
    <row r="20327">
      <c r="C20327" s="15"/>
      <c r="E20327" s="8"/>
      <c r="G20327" s="8"/>
      <c r="J20327" s="8"/>
    </row>
    <row r="20328">
      <c r="C20328" s="15"/>
      <c r="E20328" s="8"/>
      <c r="G20328" s="8"/>
      <c r="J20328" s="8"/>
    </row>
    <row r="20329">
      <c r="C20329" s="15"/>
      <c r="E20329" s="8"/>
      <c r="G20329" s="8"/>
      <c r="J20329" s="8"/>
    </row>
    <row r="20330">
      <c r="C20330" s="15"/>
      <c r="E20330" s="8"/>
      <c r="G20330" s="8"/>
      <c r="J20330" s="8"/>
    </row>
    <row r="20331">
      <c r="C20331" s="15"/>
      <c r="E20331" s="8"/>
      <c r="G20331" s="8"/>
      <c r="J20331" s="8"/>
    </row>
    <row r="20332">
      <c r="C20332" s="15"/>
      <c r="E20332" s="8"/>
      <c r="G20332" s="8"/>
      <c r="J20332" s="8"/>
    </row>
    <row r="20333">
      <c r="C20333" s="15"/>
      <c r="E20333" s="8"/>
      <c r="G20333" s="8"/>
      <c r="J20333" s="8"/>
    </row>
    <row r="20334">
      <c r="C20334" s="15"/>
      <c r="E20334" s="8"/>
      <c r="G20334" s="8"/>
      <c r="J20334" s="8"/>
    </row>
    <row r="20335">
      <c r="C20335" s="15"/>
      <c r="E20335" s="8"/>
      <c r="G20335" s="8"/>
      <c r="J20335" s="8"/>
    </row>
    <row r="20336">
      <c r="C20336" s="15"/>
      <c r="E20336" s="8"/>
      <c r="G20336" s="8"/>
      <c r="J20336" s="8"/>
    </row>
    <row r="20337">
      <c r="C20337" s="15"/>
      <c r="E20337" s="8"/>
      <c r="G20337" s="8"/>
      <c r="J20337" s="8"/>
    </row>
    <row r="20338">
      <c r="C20338" s="15"/>
      <c r="E20338" s="8"/>
      <c r="G20338" s="8"/>
      <c r="J20338" s="8"/>
    </row>
    <row r="20339">
      <c r="C20339" s="15"/>
      <c r="E20339" s="8"/>
      <c r="G20339" s="8"/>
      <c r="J20339" s="8"/>
    </row>
    <row r="20340">
      <c r="C20340" s="15"/>
      <c r="E20340" s="8"/>
      <c r="G20340" s="8"/>
      <c r="J20340" s="8"/>
    </row>
    <row r="20341">
      <c r="C20341" s="15"/>
      <c r="E20341" s="8"/>
      <c r="G20341" s="8"/>
      <c r="J20341" s="8"/>
    </row>
    <row r="20342">
      <c r="C20342" s="15"/>
      <c r="E20342" s="8"/>
      <c r="G20342" s="8"/>
      <c r="J20342" s="8"/>
    </row>
    <row r="20343">
      <c r="C20343" s="15"/>
      <c r="E20343" s="8"/>
      <c r="G20343" s="8"/>
      <c r="J20343" s="8"/>
    </row>
    <row r="20344">
      <c r="C20344" s="15"/>
      <c r="E20344" s="8"/>
      <c r="G20344" s="8"/>
      <c r="J20344" s="8"/>
    </row>
    <row r="20345">
      <c r="C20345" s="15"/>
      <c r="E20345" s="8"/>
      <c r="G20345" s="8"/>
      <c r="J20345" s="8"/>
    </row>
    <row r="20346">
      <c r="C20346" s="15"/>
      <c r="E20346" s="8"/>
      <c r="G20346" s="8"/>
      <c r="J20346" s="8"/>
    </row>
    <row r="20347">
      <c r="C20347" s="15"/>
      <c r="E20347" s="8"/>
      <c r="G20347" s="8"/>
      <c r="J20347" s="8"/>
    </row>
    <row r="20348">
      <c r="C20348" s="15"/>
      <c r="E20348" s="8"/>
      <c r="G20348" s="8"/>
      <c r="J20348" s="8"/>
    </row>
    <row r="20349">
      <c r="C20349" s="15"/>
      <c r="E20349" s="8"/>
      <c r="G20349" s="8"/>
      <c r="J20349" s="8"/>
    </row>
    <row r="20350">
      <c r="C20350" s="15"/>
      <c r="E20350" s="8"/>
      <c r="G20350" s="8"/>
      <c r="J20350" s="8"/>
    </row>
    <row r="20351">
      <c r="C20351" s="15"/>
      <c r="E20351" s="8"/>
      <c r="G20351" s="8"/>
      <c r="J20351" s="8"/>
    </row>
    <row r="20352">
      <c r="C20352" s="15"/>
      <c r="E20352" s="8"/>
      <c r="G20352" s="8"/>
      <c r="J20352" s="8"/>
    </row>
    <row r="20353">
      <c r="C20353" s="15"/>
      <c r="E20353" s="8"/>
      <c r="G20353" s="8"/>
      <c r="J20353" s="8"/>
    </row>
    <row r="20354">
      <c r="C20354" s="15"/>
      <c r="E20354" s="8"/>
      <c r="G20354" s="8"/>
      <c r="J20354" s="8"/>
    </row>
    <row r="20355">
      <c r="C20355" s="15"/>
      <c r="E20355" s="8"/>
      <c r="G20355" s="8"/>
      <c r="J20355" s="8"/>
    </row>
    <row r="20356">
      <c r="C20356" s="15"/>
      <c r="E20356" s="8"/>
      <c r="G20356" s="8"/>
      <c r="J20356" s="8"/>
    </row>
    <row r="20357">
      <c r="C20357" s="15"/>
      <c r="E20357" s="8"/>
      <c r="G20357" s="8"/>
      <c r="J20357" s="8"/>
    </row>
    <row r="20358">
      <c r="C20358" s="15"/>
      <c r="E20358" s="8"/>
      <c r="G20358" s="8"/>
      <c r="J20358" s="8"/>
    </row>
    <row r="20359">
      <c r="C20359" s="15"/>
      <c r="E20359" s="8"/>
      <c r="G20359" s="8"/>
      <c r="J20359" s="8"/>
    </row>
    <row r="20360">
      <c r="C20360" s="15"/>
      <c r="E20360" s="8"/>
      <c r="G20360" s="8"/>
      <c r="J20360" s="8"/>
    </row>
    <row r="20361">
      <c r="C20361" s="15"/>
      <c r="E20361" s="8"/>
      <c r="G20361" s="8"/>
      <c r="J20361" s="8"/>
    </row>
    <row r="20362">
      <c r="C20362" s="15"/>
      <c r="E20362" s="8"/>
      <c r="G20362" s="8"/>
      <c r="J20362" s="8"/>
    </row>
    <row r="20363">
      <c r="C20363" s="15"/>
      <c r="E20363" s="8"/>
      <c r="G20363" s="8"/>
      <c r="J20363" s="8"/>
    </row>
    <row r="20364">
      <c r="C20364" s="15"/>
      <c r="E20364" s="8"/>
      <c r="G20364" s="8"/>
      <c r="J20364" s="8"/>
    </row>
    <row r="20365">
      <c r="C20365" s="15"/>
      <c r="E20365" s="8"/>
      <c r="G20365" s="8"/>
      <c r="J20365" s="8"/>
    </row>
    <row r="20366">
      <c r="C20366" s="15"/>
      <c r="E20366" s="8"/>
      <c r="G20366" s="8"/>
      <c r="J20366" s="8"/>
    </row>
    <row r="20367">
      <c r="C20367" s="15"/>
      <c r="E20367" s="8"/>
      <c r="G20367" s="8"/>
      <c r="J20367" s="8"/>
    </row>
    <row r="20368">
      <c r="C20368" s="15"/>
      <c r="E20368" s="8"/>
      <c r="G20368" s="8"/>
      <c r="J20368" s="8"/>
    </row>
    <row r="20369">
      <c r="C20369" s="15"/>
      <c r="E20369" s="8"/>
      <c r="G20369" s="8"/>
      <c r="J20369" s="8"/>
    </row>
    <row r="20370">
      <c r="C20370" s="15"/>
      <c r="E20370" s="8"/>
      <c r="G20370" s="8"/>
      <c r="J20370" s="8"/>
    </row>
    <row r="20371">
      <c r="C20371" s="15"/>
      <c r="E20371" s="8"/>
      <c r="G20371" s="8"/>
      <c r="J20371" s="8"/>
    </row>
    <row r="20372">
      <c r="C20372" s="15"/>
      <c r="E20372" s="8"/>
      <c r="G20372" s="8"/>
      <c r="J20372" s="8"/>
    </row>
    <row r="20373">
      <c r="C20373" s="15"/>
      <c r="E20373" s="8"/>
      <c r="G20373" s="8"/>
      <c r="J20373" s="8"/>
    </row>
    <row r="20374">
      <c r="C20374" s="15"/>
      <c r="E20374" s="8"/>
      <c r="G20374" s="8"/>
      <c r="J20374" s="8"/>
    </row>
    <row r="20375">
      <c r="C20375" s="15"/>
      <c r="E20375" s="8"/>
      <c r="G20375" s="8"/>
      <c r="J20375" s="8"/>
    </row>
    <row r="20376">
      <c r="C20376" s="15"/>
      <c r="E20376" s="8"/>
      <c r="G20376" s="8"/>
      <c r="J20376" s="8"/>
    </row>
    <row r="20377">
      <c r="C20377" s="15"/>
      <c r="E20377" s="8"/>
      <c r="G20377" s="8"/>
      <c r="J20377" s="8"/>
    </row>
    <row r="20378">
      <c r="C20378" s="15"/>
      <c r="E20378" s="8"/>
      <c r="G20378" s="8"/>
      <c r="J20378" s="8"/>
    </row>
    <row r="20379">
      <c r="C20379" s="15"/>
      <c r="E20379" s="8"/>
      <c r="G20379" s="8"/>
      <c r="J20379" s="8"/>
    </row>
    <row r="20380">
      <c r="C20380" s="15"/>
      <c r="E20380" s="8"/>
      <c r="G20380" s="8"/>
      <c r="J20380" s="8"/>
    </row>
    <row r="20381">
      <c r="C20381" s="15"/>
      <c r="E20381" s="8"/>
      <c r="G20381" s="8"/>
      <c r="J20381" s="8"/>
    </row>
    <row r="20382">
      <c r="C20382" s="15"/>
      <c r="E20382" s="8"/>
      <c r="G20382" s="8"/>
      <c r="J20382" s="8"/>
    </row>
    <row r="20383">
      <c r="C20383" s="15"/>
      <c r="E20383" s="8"/>
      <c r="G20383" s="8"/>
      <c r="J20383" s="8"/>
    </row>
    <row r="20384">
      <c r="C20384" s="15"/>
      <c r="E20384" s="8"/>
      <c r="G20384" s="8"/>
      <c r="J20384" s="8"/>
    </row>
    <row r="20385">
      <c r="C20385" s="15"/>
      <c r="E20385" s="8"/>
      <c r="G20385" s="8"/>
      <c r="J20385" s="8"/>
    </row>
    <row r="20386">
      <c r="C20386" s="15"/>
      <c r="E20386" s="8"/>
      <c r="G20386" s="8"/>
      <c r="J20386" s="8"/>
    </row>
    <row r="20387">
      <c r="C20387" s="15"/>
      <c r="E20387" s="8"/>
      <c r="G20387" s="8"/>
      <c r="J20387" s="8"/>
    </row>
    <row r="20388">
      <c r="C20388" s="15"/>
      <c r="E20388" s="8"/>
      <c r="G20388" s="8"/>
      <c r="J20388" s="8"/>
    </row>
    <row r="20389">
      <c r="C20389" s="15"/>
      <c r="E20389" s="8"/>
      <c r="G20389" s="8"/>
      <c r="J20389" s="8"/>
    </row>
    <row r="20390">
      <c r="C20390" s="15"/>
      <c r="E20390" s="8"/>
      <c r="G20390" s="8"/>
      <c r="J20390" s="8"/>
    </row>
    <row r="20391">
      <c r="C20391" s="15"/>
      <c r="E20391" s="8"/>
      <c r="G20391" s="8"/>
      <c r="J20391" s="8"/>
    </row>
    <row r="20392">
      <c r="C20392" s="15"/>
      <c r="E20392" s="8"/>
      <c r="G20392" s="8"/>
      <c r="J20392" s="8"/>
    </row>
    <row r="20393">
      <c r="C20393" s="15"/>
      <c r="E20393" s="8"/>
      <c r="G20393" s="8"/>
      <c r="J20393" s="8"/>
    </row>
    <row r="20394">
      <c r="C20394" s="15"/>
      <c r="E20394" s="8"/>
      <c r="G20394" s="8"/>
      <c r="J20394" s="8"/>
    </row>
    <row r="20395">
      <c r="C20395" s="15"/>
      <c r="E20395" s="8"/>
      <c r="G20395" s="8"/>
      <c r="J20395" s="8"/>
    </row>
    <row r="20396">
      <c r="C20396" s="15"/>
      <c r="E20396" s="8"/>
      <c r="G20396" s="8"/>
      <c r="J20396" s="8"/>
    </row>
    <row r="20397">
      <c r="C20397" s="15"/>
      <c r="E20397" s="8"/>
      <c r="G20397" s="8"/>
      <c r="J20397" s="8"/>
    </row>
    <row r="20398">
      <c r="C20398" s="15"/>
      <c r="E20398" s="8"/>
      <c r="G20398" s="8"/>
      <c r="J20398" s="8"/>
    </row>
    <row r="20399">
      <c r="C20399" s="15"/>
      <c r="E20399" s="8"/>
      <c r="G20399" s="8"/>
      <c r="J20399" s="8"/>
    </row>
    <row r="20400">
      <c r="C20400" s="15"/>
      <c r="E20400" s="8"/>
      <c r="G20400" s="8"/>
      <c r="J20400" s="8"/>
    </row>
    <row r="20401">
      <c r="C20401" s="15"/>
      <c r="E20401" s="8"/>
      <c r="G20401" s="8"/>
      <c r="J20401" s="8"/>
    </row>
    <row r="20402">
      <c r="C20402" s="15"/>
      <c r="E20402" s="8"/>
      <c r="G20402" s="8"/>
      <c r="J20402" s="8"/>
    </row>
    <row r="20403">
      <c r="C20403" s="15"/>
      <c r="E20403" s="8"/>
      <c r="G20403" s="8"/>
      <c r="J20403" s="8"/>
    </row>
    <row r="20404">
      <c r="C20404" s="15"/>
      <c r="E20404" s="8"/>
      <c r="G20404" s="8"/>
      <c r="J20404" s="8"/>
    </row>
    <row r="20405">
      <c r="C20405" s="15"/>
      <c r="E20405" s="8"/>
      <c r="G20405" s="8"/>
      <c r="J20405" s="8"/>
    </row>
    <row r="20406">
      <c r="C20406" s="15"/>
      <c r="E20406" s="8"/>
      <c r="G20406" s="8"/>
      <c r="J20406" s="8"/>
    </row>
    <row r="20407">
      <c r="C20407" s="15"/>
      <c r="E20407" s="8"/>
      <c r="G20407" s="8"/>
      <c r="J20407" s="8"/>
    </row>
    <row r="20408">
      <c r="C20408" s="15"/>
      <c r="E20408" s="8"/>
      <c r="G20408" s="8"/>
      <c r="J20408" s="8"/>
    </row>
    <row r="20409">
      <c r="C20409" s="15"/>
      <c r="E20409" s="8"/>
      <c r="G20409" s="8"/>
      <c r="J20409" s="8"/>
    </row>
    <row r="20410">
      <c r="C20410" s="15"/>
      <c r="E20410" s="8"/>
      <c r="G20410" s="8"/>
      <c r="J20410" s="8"/>
    </row>
    <row r="20411">
      <c r="C20411" s="15"/>
      <c r="E20411" s="8"/>
      <c r="G20411" s="8"/>
      <c r="J20411" s="8"/>
    </row>
    <row r="20412">
      <c r="C20412" s="15"/>
      <c r="E20412" s="8"/>
      <c r="G20412" s="8"/>
      <c r="J20412" s="8"/>
    </row>
    <row r="20413">
      <c r="C20413" s="15"/>
      <c r="E20413" s="8"/>
      <c r="G20413" s="8"/>
      <c r="J20413" s="8"/>
    </row>
    <row r="20414">
      <c r="C20414" s="15"/>
      <c r="E20414" s="8"/>
      <c r="G20414" s="8"/>
      <c r="J20414" s="8"/>
    </row>
    <row r="20415">
      <c r="C20415" s="15"/>
      <c r="E20415" s="8"/>
      <c r="G20415" s="8"/>
      <c r="J20415" s="8"/>
    </row>
    <row r="20416">
      <c r="C20416" s="15"/>
      <c r="E20416" s="8"/>
      <c r="G20416" s="8"/>
      <c r="J20416" s="8"/>
    </row>
    <row r="20417">
      <c r="C20417" s="15"/>
      <c r="E20417" s="8"/>
      <c r="G20417" s="8"/>
      <c r="J20417" s="8"/>
    </row>
    <row r="20418">
      <c r="C20418" s="15"/>
      <c r="E20418" s="8"/>
      <c r="G20418" s="8"/>
      <c r="J20418" s="8"/>
    </row>
    <row r="20419">
      <c r="C20419" s="15"/>
      <c r="E20419" s="8"/>
      <c r="G20419" s="8"/>
      <c r="J20419" s="8"/>
    </row>
    <row r="20420">
      <c r="C20420" s="15"/>
      <c r="E20420" s="8"/>
      <c r="G20420" s="8"/>
      <c r="J20420" s="8"/>
    </row>
    <row r="20421">
      <c r="C20421" s="15"/>
      <c r="E20421" s="8"/>
      <c r="G20421" s="8"/>
      <c r="J20421" s="8"/>
    </row>
    <row r="20422">
      <c r="C20422" s="15"/>
      <c r="E20422" s="8"/>
      <c r="G20422" s="8"/>
      <c r="J20422" s="8"/>
    </row>
    <row r="20423">
      <c r="C20423" s="15"/>
      <c r="E20423" s="8"/>
      <c r="G20423" s="8"/>
      <c r="J20423" s="8"/>
    </row>
    <row r="20424">
      <c r="C20424" s="15"/>
      <c r="E20424" s="8"/>
      <c r="G20424" s="8"/>
      <c r="J20424" s="8"/>
    </row>
    <row r="20425">
      <c r="C20425" s="15"/>
      <c r="E20425" s="8"/>
      <c r="G20425" s="8"/>
      <c r="J20425" s="8"/>
    </row>
    <row r="20426">
      <c r="C20426" s="15"/>
      <c r="E20426" s="8"/>
      <c r="G20426" s="8"/>
      <c r="J20426" s="8"/>
    </row>
    <row r="20427">
      <c r="C20427" s="15"/>
      <c r="E20427" s="8"/>
      <c r="G20427" s="8"/>
      <c r="J20427" s="8"/>
    </row>
    <row r="20428">
      <c r="C20428" s="15"/>
      <c r="E20428" s="8"/>
      <c r="G20428" s="8"/>
      <c r="J20428" s="8"/>
    </row>
    <row r="20429">
      <c r="C20429" s="15"/>
      <c r="E20429" s="8"/>
      <c r="G20429" s="8"/>
      <c r="J20429" s="8"/>
    </row>
    <row r="20430">
      <c r="C20430" s="15"/>
      <c r="E20430" s="8"/>
      <c r="G20430" s="8"/>
      <c r="J20430" s="8"/>
    </row>
    <row r="20431">
      <c r="C20431" s="15"/>
      <c r="E20431" s="8"/>
      <c r="G20431" s="8"/>
      <c r="J20431" s="8"/>
    </row>
    <row r="20432">
      <c r="C20432" s="15"/>
      <c r="E20432" s="8"/>
      <c r="G20432" s="8"/>
      <c r="J20432" s="8"/>
    </row>
    <row r="20433">
      <c r="C20433" s="15"/>
      <c r="E20433" s="8"/>
      <c r="G20433" s="8"/>
      <c r="J20433" s="8"/>
    </row>
    <row r="20434">
      <c r="C20434" s="15"/>
      <c r="E20434" s="8"/>
      <c r="G20434" s="8"/>
      <c r="J20434" s="8"/>
    </row>
    <row r="20435">
      <c r="C20435" s="15"/>
      <c r="E20435" s="8"/>
      <c r="G20435" s="8"/>
      <c r="J20435" s="8"/>
    </row>
    <row r="20436">
      <c r="C20436" s="15"/>
      <c r="E20436" s="8"/>
      <c r="G20436" s="8"/>
      <c r="J20436" s="8"/>
    </row>
    <row r="20437">
      <c r="C20437" s="15"/>
      <c r="E20437" s="8"/>
      <c r="G20437" s="8"/>
      <c r="J20437" s="8"/>
    </row>
    <row r="20438">
      <c r="C20438" s="15"/>
      <c r="E20438" s="8"/>
      <c r="G20438" s="8"/>
      <c r="J20438" s="8"/>
    </row>
    <row r="20439">
      <c r="C20439" s="15"/>
      <c r="E20439" s="8"/>
      <c r="G20439" s="8"/>
      <c r="J20439" s="8"/>
    </row>
    <row r="20440">
      <c r="C20440" s="15"/>
      <c r="E20440" s="8"/>
      <c r="G20440" s="8"/>
      <c r="J20440" s="8"/>
    </row>
    <row r="20441">
      <c r="C20441" s="15"/>
      <c r="E20441" s="8"/>
      <c r="G20441" s="8"/>
      <c r="J20441" s="8"/>
    </row>
    <row r="20442">
      <c r="C20442" s="15"/>
      <c r="E20442" s="8"/>
      <c r="G20442" s="8"/>
      <c r="J20442" s="8"/>
    </row>
    <row r="20443">
      <c r="C20443" s="15"/>
      <c r="E20443" s="8"/>
      <c r="G20443" s="8"/>
      <c r="J20443" s="8"/>
    </row>
    <row r="20444">
      <c r="C20444" s="15"/>
      <c r="E20444" s="8"/>
      <c r="G20444" s="8"/>
      <c r="J20444" s="8"/>
    </row>
    <row r="20445">
      <c r="C20445" s="15"/>
      <c r="E20445" s="8"/>
      <c r="G20445" s="8"/>
      <c r="J20445" s="8"/>
    </row>
    <row r="20446">
      <c r="C20446" s="15"/>
      <c r="E20446" s="8"/>
      <c r="G20446" s="8"/>
      <c r="J20446" s="8"/>
    </row>
    <row r="20447">
      <c r="C20447" s="15"/>
      <c r="E20447" s="8"/>
      <c r="G20447" s="8"/>
      <c r="J20447" s="8"/>
    </row>
    <row r="20448">
      <c r="C20448" s="15"/>
      <c r="E20448" s="8"/>
      <c r="G20448" s="8"/>
      <c r="J20448" s="8"/>
    </row>
    <row r="20449">
      <c r="C20449" s="15"/>
      <c r="E20449" s="8"/>
      <c r="G20449" s="8"/>
      <c r="J20449" s="8"/>
    </row>
    <row r="20450">
      <c r="C20450" s="15"/>
      <c r="E20450" s="8"/>
      <c r="G20450" s="8"/>
      <c r="J20450" s="8"/>
    </row>
    <row r="20451">
      <c r="C20451" s="15"/>
      <c r="E20451" s="8"/>
      <c r="G20451" s="8"/>
      <c r="J20451" s="8"/>
    </row>
    <row r="20452">
      <c r="C20452" s="15"/>
      <c r="E20452" s="8"/>
      <c r="G20452" s="8"/>
      <c r="J20452" s="8"/>
    </row>
    <row r="20453">
      <c r="C20453" s="15"/>
      <c r="E20453" s="8"/>
      <c r="G20453" s="8"/>
      <c r="J20453" s="8"/>
    </row>
    <row r="20454">
      <c r="C20454" s="15"/>
      <c r="E20454" s="8"/>
      <c r="G20454" s="8"/>
      <c r="J20454" s="8"/>
    </row>
    <row r="20455">
      <c r="C20455" s="15"/>
      <c r="E20455" s="8"/>
      <c r="G20455" s="8"/>
      <c r="J20455" s="8"/>
    </row>
    <row r="20456">
      <c r="C20456" s="15"/>
      <c r="E20456" s="8"/>
      <c r="G20456" s="8"/>
      <c r="J20456" s="8"/>
    </row>
    <row r="20457">
      <c r="C20457" s="15"/>
      <c r="E20457" s="8"/>
      <c r="G20457" s="8"/>
      <c r="J20457" s="8"/>
    </row>
    <row r="20458">
      <c r="C20458" s="15"/>
      <c r="E20458" s="8"/>
      <c r="G20458" s="8"/>
      <c r="J20458" s="8"/>
    </row>
    <row r="20459">
      <c r="C20459" s="15"/>
      <c r="E20459" s="8"/>
      <c r="G20459" s="8"/>
      <c r="J20459" s="8"/>
    </row>
    <row r="20460">
      <c r="C20460" s="15"/>
      <c r="E20460" s="8"/>
      <c r="G20460" s="8"/>
      <c r="J20460" s="8"/>
    </row>
    <row r="20461">
      <c r="C20461" s="15"/>
      <c r="E20461" s="8"/>
      <c r="G20461" s="8"/>
      <c r="J20461" s="8"/>
    </row>
    <row r="20462">
      <c r="C20462" s="15"/>
      <c r="E20462" s="8"/>
      <c r="G20462" s="8"/>
      <c r="J20462" s="8"/>
    </row>
    <row r="20463">
      <c r="C20463" s="15"/>
      <c r="E20463" s="8"/>
      <c r="G20463" s="8"/>
      <c r="J20463" s="8"/>
    </row>
    <row r="20464">
      <c r="C20464" s="15"/>
      <c r="E20464" s="8"/>
      <c r="G20464" s="8"/>
      <c r="J20464" s="8"/>
    </row>
    <row r="20465">
      <c r="C20465" s="15"/>
      <c r="E20465" s="8"/>
      <c r="G20465" s="8"/>
      <c r="J20465" s="8"/>
    </row>
    <row r="20466">
      <c r="C20466" s="15"/>
      <c r="E20466" s="8"/>
      <c r="G20466" s="8"/>
      <c r="J20466" s="8"/>
    </row>
    <row r="20467">
      <c r="C20467" s="15"/>
      <c r="E20467" s="8"/>
      <c r="G20467" s="8"/>
      <c r="J20467" s="8"/>
    </row>
    <row r="20468">
      <c r="C20468" s="15"/>
      <c r="E20468" s="8"/>
      <c r="G20468" s="8"/>
      <c r="J20468" s="8"/>
    </row>
    <row r="20469">
      <c r="C20469" s="15"/>
      <c r="E20469" s="8"/>
      <c r="G20469" s="8"/>
      <c r="J20469" s="8"/>
    </row>
    <row r="20470">
      <c r="C20470" s="15"/>
      <c r="E20470" s="8"/>
      <c r="G20470" s="8"/>
      <c r="J20470" s="8"/>
    </row>
    <row r="20471">
      <c r="C20471" s="15"/>
      <c r="E20471" s="8"/>
      <c r="G20471" s="8"/>
      <c r="J20471" s="8"/>
    </row>
    <row r="20472">
      <c r="C20472" s="15"/>
      <c r="E20472" s="8"/>
      <c r="G20472" s="8"/>
      <c r="J20472" s="8"/>
    </row>
    <row r="20473">
      <c r="C20473" s="15"/>
      <c r="E20473" s="8"/>
      <c r="G20473" s="8"/>
      <c r="J20473" s="8"/>
    </row>
    <row r="20474">
      <c r="C20474" s="15"/>
      <c r="E20474" s="8"/>
      <c r="G20474" s="8"/>
      <c r="J20474" s="8"/>
    </row>
    <row r="20475">
      <c r="C20475" s="15"/>
      <c r="E20475" s="8"/>
      <c r="G20475" s="8"/>
      <c r="J20475" s="8"/>
    </row>
    <row r="20476">
      <c r="C20476" s="15"/>
      <c r="E20476" s="8"/>
      <c r="G20476" s="8"/>
      <c r="J20476" s="8"/>
    </row>
    <row r="20477">
      <c r="C20477" s="15"/>
      <c r="E20477" s="8"/>
      <c r="G20477" s="8"/>
      <c r="J20477" s="8"/>
    </row>
    <row r="20478">
      <c r="C20478" s="15"/>
      <c r="E20478" s="8"/>
      <c r="G20478" s="8"/>
      <c r="J20478" s="8"/>
    </row>
    <row r="20479">
      <c r="C20479" s="15"/>
      <c r="E20479" s="8"/>
      <c r="G20479" s="8"/>
      <c r="J20479" s="8"/>
    </row>
    <row r="20480">
      <c r="C20480" s="15"/>
      <c r="E20480" s="8"/>
      <c r="G20480" s="8"/>
      <c r="J20480" s="8"/>
    </row>
    <row r="20481">
      <c r="C20481" s="15"/>
      <c r="E20481" s="8"/>
      <c r="G20481" s="8"/>
      <c r="J20481" s="8"/>
    </row>
    <row r="20482">
      <c r="C20482" s="15"/>
      <c r="E20482" s="8"/>
      <c r="G20482" s="8"/>
      <c r="J20482" s="8"/>
    </row>
    <row r="20483">
      <c r="C20483" s="15"/>
      <c r="E20483" s="8"/>
      <c r="G20483" s="8"/>
      <c r="J20483" s="8"/>
    </row>
    <row r="20484">
      <c r="C20484" s="15"/>
      <c r="E20484" s="8"/>
      <c r="G20484" s="8"/>
      <c r="J20484" s="8"/>
    </row>
    <row r="20485">
      <c r="C20485" s="15"/>
      <c r="E20485" s="8"/>
      <c r="G20485" s="8"/>
      <c r="J20485" s="8"/>
    </row>
    <row r="20486">
      <c r="C20486" s="15"/>
      <c r="E20486" s="8"/>
      <c r="G20486" s="8"/>
      <c r="J20486" s="8"/>
    </row>
    <row r="20487">
      <c r="C20487" s="15"/>
      <c r="E20487" s="8"/>
      <c r="G20487" s="8"/>
      <c r="J20487" s="8"/>
    </row>
    <row r="20488">
      <c r="C20488" s="15"/>
      <c r="E20488" s="8"/>
      <c r="G20488" s="8"/>
      <c r="J20488" s="8"/>
    </row>
    <row r="20489">
      <c r="C20489" s="15"/>
      <c r="E20489" s="8"/>
      <c r="G20489" s="8"/>
      <c r="J20489" s="8"/>
    </row>
    <row r="20490">
      <c r="C20490" s="15"/>
      <c r="E20490" s="8"/>
      <c r="G20490" s="8"/>
      <c r="J20490" s="8"/>
    </row>
    <row r="20491">
      <c r="C20491" s="15"/>
      <c r="E20491" s="8"/>
      <c r="G20491" s="8"/>
      <c r="J20491" s="8"/>
    </row>
    <row r="20492">
      <c r="C20492" s="15"/>
      <c r="E20492" s="8"/>
      <c r="G20492" s="8"/>
      <c r="J20492" s="8"/>
    </row>
    <row r="20493">
      <c r="C20493" s="15"/>
      <c r="E20493" s="8"/>
      <c r="G20493" s="8"/>
      <c r="J20493" s="8"/>
    </row>
    <row r="20494">
      <c r="C20494" s="15"/>
      <c r="E20494" s="8"/>
      <c r="G20494" s="8"/>
      <c r="J20494" s="8"/>
    </row>
    <row r="20495">
      <c r="C20495" s="15"/>
      <c r="E20495" s="8"/>
      <c r="G20495" s="8"/>
      <c r="J20495" s="8"/>
    </row>
    <row r="20496">
      <c r="C20496" s="15"/>
      <c r="E20496" s="8"/>
      <c r="G20496" s="8"/>
      <c r="J20496" s="8"/>
    </row>
    <row r="20497">
      <c r="C20497" s="15"/>
      <c r="E20497" s="8"/>
      <c r="G20497" s="8"/>
      <c r="J20497" s="8"/>
    </row>
    <row r="20498">
      <c r="C20498" s="15"/>
      <c r="E20498" s="8"/>
      <c r="G20498" s="8"/>
      <c r="J20498" s="8"/>
    </row>
    <row r="20499">
      <c r="C20499" s="15"/>
      <c r="E20499" s="8"/>
      <c r="G20499" s="8"/>
      <c r="J20499" s="8"/>
    </row>
    <row r="20500">
      <c r="C20500" s="15"/>
      <c r="E20500" s="8"/>
      <c r="G20500" s="8"/>
      <c r="J20500" s="8"/>
    </row>
    <row r="20501">
      <c r="C20501" s="15"/>
      <c r="E20501" s="8"/>
      <c r="G20501" s="8"/>
      <c r="J20501" s="8"/>
    </row>
    <row r="20502">
      <c r="C20502" s="15"/>
      <c r="E20502" s="8"/>
      <c r="G20502" s="8"/>
      <c r="J20502" s="8"/>
    </row>
    <row r="20503">
      <c r="C20503" s="15"/>
      <c r="E20503" s="8"/>
      <c r="G20503" s="8"/>
      <c r="J20503" s="8"/>
    </row>
    <row r="20504">
      <c r="C20504" s="15"/>
      <c r="E20504" s="8"/>
      <c r="G20504" s="8"/>
      <c r="J20504" s="8"/>
    </row>
    <row r="20505">
      <c r="C20505" s="15"/>
      <c r="E20505" s="8"/>
      <c r="G20505" s="8"/>
      <c r="J20505" s="8"/>
    </row>
    <row r="20506">
      <c r="C20506" s="15"/>
      <c r="E20506" s="8"/>
      <c r="G20506" s="8"/>
      <c r="J20506" s="8"/>
    </row>
    <row r="20507">
      <c r="C20507" s="15"/>
      <c r="E20507" s="8"/>
      <c r="G20507" s="8"/>
      <c r="J20507" s="8"/>
    </row>
    <row r="20508">
      <c r="C20508" s="15"/>
      <c r="E20508" s="8"/>
      <c r="G20508" s="8"/>
      <c r="J20508" s="8"/>
    </row>
    <row r="20509">
      <c r="C20509" s="15"/>
      <c r="E20509" s="8"/>
      <c r="G20509" s="8"/>
      <c r="J20509" s="8"/>
    </row>
    <row r="20510">
      <c r="C20510" s="15"/>
      <c r="E20510" s="8"/>
      <c r="G20510" s="8"/>
      <c r="J20510" s="8"/>
    </row>
    <row r="20511">
      <c r="C20511" s="15"/>
      <c r="E20511" s="8"/>
      <c r="G20511" s="8"/>
      <c r="J20511" s="8"/>
    </row>
    <row r="20512">
      <c r="C20512" s="15"/>
      <c r="E20512" s="8"/>
      <c r="G20512" s="8"/>
      <c r="J20512" s="8"/>
    </row>
    <row r="20513">
      <c r="C20513" s="15"/>
      <c r="E20513" s="8"/>
      <c r="G20513" s="8"/>
      <c r="J20513" s="8"/>
    </row>
    <row r="20514">
      <c r="C20514" s="15"/>
      <c r="E20514" s="8"/>
      <c r="G20514" s="8"/>
      <c r="J20514" s="8"/>
    </row>
    <row r="20515">
      <c r="C20515" s="15"/>
      <c r="E20515" s="8"/>
      <c r="G20515" s="8"/>
      <c r="J20515" s="8"/>
    </row>
    <row r="20516">
      <c r="C20516" s="15"/>
      <c r="E20516" s="8"/>
      <c r="G20516" s="8"/>
      <c r="J20516" s="8"/>
    </row>
    <row r="20517">
      <c r="C20517" s="15"/>
      <c r="E20517" s="8"/>
      <c r="G20517" s="8"/>
      <c r="J20517" s="8"/>
    </row>
    <row r="20518">
      <c r="C20518" s="15"/>
      <c r="E20518" s="8"/>
      <c r="G20518" s="8"/>
      <c r="J20518" s="8"/>
    </row>
    <row r="20519">
      <c r="C20519" s="15"/>
      <c r="E20519" s="8"/>
      <c r="G20519" s="8"/>
      <c r="J20519" s="8"/>
    </row>
    <row r="20520">
      <c r="C20520" s="15"/>
      <c r="E20520" s="8"/>
      <c r="G20520" s="8"/>
      <c r="J20520" s="8"/>
    </row>
    <row r="20521">
      <c r="C20521" s="15"/>
      <c r="E20521" s="8"/>
      <c r="G20521" s="8"/>
      <c r="J20521" s="8"/>
    </row>
    <row r="20522">
      <c r="C20522" s="15"/>
      <c r="E20522" s="8"/>
      <c r="G20522" s="8"/>
      <c r="J20522" s="8"/>
    </row>
    <row r="20523">
      <c r="C20523" s="15"/>
      <c r="E20523" s="8"/>
      <c r="G20523" s="8"/>
      <c r="J20523" s="8"/>
    </row>
    <row r="20524">
      <c r="C20524" s="15"/>
      <c r="E20524" s="8"/>
      <c r="G20524" s="8"/>
      <c r="J20524" s="8"/>
    </row>
    <row r="20525">
      <c r="C20525" s="15"/>
      <c r="E20525" s="8"/>
      <c r="G20525" s="8"/>
      <c r="J20525" s="8"/>
    </row>
    <row r="20526">
      <c r="C20526" s="15"/>
      <c r="E20526" s="8"/>
      <c r="G20526" s="8"/>
      <c r="J20526" s="8"/>
    </row>
    <row r="20527">
      <c r="C20527" s="15"/>
      <c r="E20527" s="8"/>
      <c r="G20527" s="8"/>
      <c r="J20527" s="8"/>
    </row>
    <row r="20528">
      <c r="C20528" s="15"/>
      <c r="E20528" s="8"/>
      <c r="G20528" s="8"/>
      <c r="J20528" s="8"/>
    </row>
    <row r="20529">
      <c r="C20529" s="15"/>
      <c r="E20529" s="8"/>
      <c r="G20529" s="8"/>
      <c r="J20529" s="8"/>
    </row>
    <row r="20530">
      <c r="C20530" s="15"/>
      <c r="E20530" s="8"/>
      <c r="G20530" s="8"/>
      <c r="J20530" s="8"/>
    </row>
    <row r="20531">
      <c r="C20531" s="15"/>
      <c r="E20531" s="8"/>
      <c r="G20531" s="8"/>
      <c r="J20531" s="8"/>
    </row>
    <row r="20532">
      <c r="C20532" s="15"/>
      <c r="E20532" s="8"/>
      <c r="G20532" s="8"/>
      <c r="J20532" s="8"/>
    </row>
    <row r="20533">
      <c r="C20533" s="15"/>
      <c r="E20533" s="8"/>
      <c r="G20533" s="8"/>
      <c r="J20533" s="8"/>
    </row>
    <row r="20534">
      <c r="C20534" s="15"/>
      <c r="E20534" s="8"/>
      <c r="G20534" s="8"/>
      <c r="J20534" s="8"/>
    </row>
    <row r="20535">
      <c r="C20535" s="15"/>
      <c r="E20535" s="8"/>
      <c r="G20535" s="8"/>
      <c r="J20535" s="8"/>
    </row>
    <row r="20536">
      <c r="C20536" s="15"/>
      <c r="E20536" s="8"/>
      <c r="G20536" s="8"/>
      <c r="J20536" s="8"/>
    </row>
    <row r="20537">
      <c r="C20537" s="15"/>
      <c r="E20537" s="8"/>
      <c r="G20537" s="8"/>
      <c r="J20537" s="8"/>
    </row>
    <row r="20538">
      <c r="C20538" s="15"/>
      <c r="E20538" s="8"/>
      <c r="G20538" s="8"/>
      <c r="J20538" s="8"/>
    </row>
    <row r="20539">
      <c r="C20539" s="15"/>
      <c r="E20539" s="8"/>
      <c r="G20539" s="8"/>
      <c r="J20539" s="8"/>
    </row>
    <row r="20540">
      <c r="C20540" s="15"/>
      <c r="E20540" s="8"/>
      <c r="G20540" s="8"/>
      <c r="J20540" s="8"/>
    </row>
    <row r="20541">
      <c r="C20541" s="15"/>
      <c r="E20541" s="8"/>
      <c r="G20541" s="8"/>
      <c r="J20541" s="8"/>
    </row>
    <row r="20542">
      <c r="C20542" s="15"/>
      <c r="E20542" s="8"/>
      <c r="G20542" s="8"/>
      <c r="J20542" s="8"/>
    </row>
    <row r="20543">
      <c r="C20543" s="15"/>
      <c r="E20543" s="8"/>
      <c r="G20543" s="8"/>
      <c r="J20543" s="8"/>
    </row>
    <row r="20544">
      <c r="C20544" s="15"/>
      <c r="E20544" s="8"/>
      <c r="G20544" s="8"/>
      <c r="J20544" s="8"/>
    </row>
    <row r="20545">
      <c r="C20545" s="15"/>
      <c r="E20545" s="8"/>
      <c r="G20545" s="8"/>
      <c r="J20545" s="8"/>
    </row>
    <row r="20546">
      <c r="C20546" s="15"/>
      <c r="E20546" s="8"/>
      <c r="G20546" s="8"/>
      <c r="J20546" s="8"/>
    </row>
    <row r="20547">
      <c r="C20547" s="15"/>
      <c r="E20547" s="8"/>
      <c r="G20547" s="8"/>
      <c r="J20547" s="8"/>
    </row>
    <row r="20548">
      <c r="C20548" s="15"/>
      <c r="E20548" s="8"/>
      <c r="G20548" s="8"/>
      <c r="J20548" s="8"/>
    </row>
    <row r="20549">
      <c r="C20549" s="15"/>
      <c r="E20549" s="8"/>
      <c r="G20549" s="8"/>
      <c r="J20549" s="8"/>
    </row>
    <row r="20550">
      <c r="C20550" s="15"/>
      <c r="E20550" s="8"/>
      <c r="G20550" s="8"/>
      <c r="J20550" s="8"/>
    </row>
    <row r="20551">
      <c r="C20551" s="15"/>
      <c r="E20551" s="8"/>
      <c r="G20551" s="8"/>
      <c r="J20551" s="8"/>
    </row>
    <row r="20552">
      <c r="C20552" s="15"/>
      <c r="E20552" s="8"/>
      <c r="G20552" s="8"/>
      <c r="J20552" s="8"/>
    </row>
    <row r="20553">
      <c r="C20553" s="15"/>
      <c r="E20553" s="8"/>
      <c r="G20553" s="8"/>
      <c r="J20553" s="8"/>
    </row>
    <row r="20554">
      <c r="C20554" s="15"/>
      <c r="E20554" s="8"/>
      <c r="G20554" s="8"/>
      <c r="J20554" s="8"/>
    </row>
    <row r="20555">
      <c r="C20555" s="15"/>
      <c r="E20555" s="8"/>
      <c r="G20555" s="8"/>
      <c r="J20555" s="8"/>
    </row>
    <row r="20556">
      <c r="C20556" s="15"/>
      <c r="E20556" s="8"/>
      <c r="G20556" s="8"/>
      <c r="J20556" s="8"/>
    </row>
    <row r="20557">
      <c r="C20557" s="15"/>
      <c r="E20557" s="8"/>
      <c r="G20557" s="8"/>
      <c r="J20557" s="8"/>
    </row>
    <row r="20558">
      <c r="C20558" s="15"/>
      <c r="E20558" s="8"/>
      <c r="G20558" s="8"/>
      <c r="J20558" s="8"/>
    </row>
    <row r="20559">
      <c r="C20559" s="15"/>
      <c r="E20559" s="8"/>
      <c r="G20559" s="8"/>
      <c r="J20559" s="8"/>
    </row>
    <row r="20560">
      <c r="C20560" s="15"/>
      <c r="E20560" s="8"/>
      <c r="G20560" s="8"/>
      <c r="J20560" s="8"/>
    </row>
    <row r="20561">
      <c r="C20561" s="15"/>
      <c r="E20561" s="8"/>
      <c r="G20561" s="8"/>
      <c r="J20561" s="8"/>
    </row>
    <row r="20562">
      <c r="C20562" s="15"/>
      <c r="E20562" s="8"/>
      <c r="G20562" s="8"/>
      <c r="J20562" s="8"/>
    </row>
    <row r="20563">
      <c r="C20563" s="15"/>
      <c r="E20563" s="8"/>
      <c r="G20563" s="8"/>
      <c r="J20563" s="8"/>
    </row>
    <row r="20564">
      <c r="C20564" s="15"/>
      <c r="E20564" s="8"/>
      <c r="G20564" s="8"/>
      <c r="J20564" s="8"/>
    </row>
    <row r="20565">
      <c r="C20565" s="15"/>
      <c r="E20565" s="8"/>
      <c r="G20565" s="8"/>
      <c r="J20565" s="8"/>
    </row>
    <row r="20566">
      <c r="C20566" s="15"/>
      <c r="E20566" s="8"/>
      <c r="G20566" s="8"/>
      <c r="J20566" s="8"/>
    </row>
    <row r="20567">
      <c r="C20567" s="15"/>
      <c r="E20567" s="8"/>
      <c r="G20567" s="8"/>
      <c r="J20567" s="8"/>
    </row>
    <row r="20568">
      <c r="C20568" s="15"/>
      <c r="E20568" s="8"/>
      <c r="G20568" s="8"/>
      <c r="J20568" s="8"/>
    </row>
    <row r="20569">
      <c r="C20569" s="15"/>
      <c r="E20569" s="8"/>
      <c r="G20569" s="8"/>
      <c r="J20569" s="8"/>
    </row>
    <row r="20570">
      <c r="C20570" s="15"/>
      <c r="E20570" s="8"/>
      <c r="G20570" s="8"/>
      <c r="J20570" s="8"/>
    </row>
    <row r="20571">
      <c r="C20571" s="15"/>
      <c r="E20571" s="8"/>
      <c r="G20571" s="8"/>
      <c r="J20571" s="8"/>
    </row>
    <row r="20572">
      <c r="C20572" s="15"/>
      <c r="E20572" s="8"/>
      <c r="G20572" s="8"/>
      <c r="J20572" s="8"/>
    </row>
    <row r="20573">
      <c r="C20573" s="15"/>
      <c r="E20573" s="8"/>
      <c r="G20573" s="8"/>
      <c r="J20573" s="8"/>
    </row>
    <row r="20574">
      <c r="C20574" s="15"/>
      <c r="E20574" s="8"/>
      <c r="G20574" s="8"/>
      <c r="J20574" s="8"/>
    </row>
    <row r="20575">
      <c r="C20575" s="15"/>
      <c r="E20575" s="8"/>
      <c r="G20575" s="8"/>
      <c r="J20575" s="8"/>
    </row>
    <row r="20576">
      <c r="C20576" s="15"/>
      <c r="E20576" s="8"/>
      <c r="G20576" s="8"/>
      <c r="J20576" s="8"/>
    </row>
    <row r="20577">
      <c r="C20577" s="15"/>
      <c r="E20577" s="8"/>
      <c r="G20577" s="8"/>
      <c r="J20577" s="8"/>
    </row>
    <row r="20578">
      <c r="C20578" s="15"/>
      <c r="E20578" s="8"/>
      <c r="G20578" s="8"/>
      <c r="J20578" s="8"/>
    </row>
    <row r="20579">
      <c r="C20579" s="15"/>
      <c r="E20579" s="8"/>
      <c r="G20579" s="8"/>
      <c r="J20579" s="8"/>
    </row>
    <row r="20580">
      <c r="C20580" s="15"/>
      <c r="E20580" s="8"/>
      <c r="G20580" s="8"/>
      <c r="J20580" s="8"/>
    </row>
    <row r="20581">
      <c r="C20581" s="15"/>
      <c r="E20581" s="8"/>
      <c r="G20581" s="8"/>
      <c r="J20581" s="8"/>
    </row>
    <row r="20582">
      <c r="C20582" s="15"/>
      <c r="E20582" s="8"/>
      <c r="G20582" s="8"/>
      <c r="J20582" s="8"/>
    </row>
    <row r="20583">
      <c r="C20583" s="15"/>
      <c r="E20583" s="8"/>
      <c r="G20583" s="8"/>
      <c r="J20583" s="8"/>
    </row>
    <row r="20584">
      <c r="C20584" s="15"/>
      <c r="E20584" s="8"/>
      <c r="G20584" s="8"/>
      <c r="J20584" s="8"/>
    </row>
    <row r="20585">
      <c r="C20585" s="15"/>
      <c r="E20585" s="8"/>
      <c r="G20585" s="8"/>
      <c r="J20585" s="8"/>
    </row>
    <row r="20586">
      <c r="C20586" s="15"/>
      <c r="E20586" s="8"/>
      <c r="G20586" s="8"/>
      <c r="J20586" s="8"/>
    </row>
    <row r="20587">
      <c r="C20587" s="15"/>
      <c r="E20587" s="8"/>
      <c r="G20587" s="8"/>
      <c r="J20587" s="8"/>
    </row>
    <row r="20588">
      <c r="C20588" s="15"/>
      <c r="E20588" s="8"/>
      <c r="G20588" s="8"/>
      <c r="J20588" s="8"/>
    </row>
    <row r="20589">
      <c r="C20589" s="15"/>
      <c r="E20589" s="8"/>
      <c r="G20589" s="8"/>
      <c r="J20589" s="8"/>
    </row>
    <row r="20590">
      <c r="C20590" s="15"/>
      <c r="E20590" s="8"/>
      <c r="G20590" s="8"/>
      <c r="J20590" s="8"/>
    </row>
    <row r="20591">
      <c r="C20591" s="15"/>
      <c r="E20591" s="8"/>
      <c r="G20591" s="8"/>
      <c r="J20591" s="8"/>
    </row>
    <row r="20592">
      <c r="C20592" s="15"/>
      <c r="E20592" s="8"/>
      <c r="G20592" s="8"/>
      <c r="J20592" s="8"/>
    </row>
    <row r="20593">
      <c r="C20593" s="15"/>
      <c r="E20593" s="8"/>
      <c r="G20593" s="8"/>
      <c r="J20593" s="8"/>
    </row>
    <row r="20594">
      <c r="C20594" s="15"/>
      <c r="E20594" s="8"/>
      <c r="G20594" s="8"/>
      <c r="J20594" s="8"/>
    </row>
    <row r="20595">
      <c r="C20595" s="15"/>
      <c r="E20595" s="8"/>
      <c r="G20595" s="8"/>
      <c r="J20595" s="8"/>
    </row>
    <row r="20596">
      <c r="C20596" s="15"/>
      <c r="E20596" s="8"/>
      <c r="G20596" s="8"/>
      <c r="J20596" s="8"/>
    </row>
    <row r="20597">
      <c r="C20597" s="15"/>
      <c r="E20597" s="8"/>
      <c r="G20597" s="8"/>
      <c r="J20597" s="8"/>
    </row>
    <row r="20598">
      <c r="C20598" s="15"/>
      <c r="E20598" s="8"/>
      <c r="G20598" s="8"/>
      <c r="J20598" s="8"/>
    </row>
    <row r="20599">
      <c r="C20599" s="15"/>
      <c r="E20599" s="8"/>
      <c r="G20599" s="8"/>
      <c r="J20599" s="8"/>
    </row>
    <row r="20600">
      <c r="C20600" s="15"/>
      <c r="E20600" s="8"/>
      <c r="G20600" s="8"/>
      <c r="J20600" s="8"/>
    </row>
    <row r="20601">
      <c r="C20601" s="15"/>
      <c r="E20601" s="8"/>
      <c r="G20601" s="8"/>
      <c r="J20601" s="8"/>
    </row>
    <row r="20602">
      <c r="C20602" s="15"/>
      <c r="E20602" s="8"/>
      <c r="G20602" s="8"/>
      <c r="J20602" s="8"/>
    </row>
    <row r="20603">
      <c r="C20603" s="15"/>
      <c r="E20603" s="8"/>
      <c r="G20603" s="8"/>
      <c r="J20603" s="8"/>
    </row>
    <row r="20604">
      <c r="C20604" s="15"/>
      <c r="E20604" s="8"/>
      <c r="G20604" s="8"/>
      <c r="J20604" s="8"/>
    </row>
    <row r="20605">
      <c r="C20605" s="15"/>
      <c r="E20605" s="8"/>
      <c r="G20605" s="8"/>
      <c r="J20605" s="8"/>
    </row>
    <row r="20606">
      <c r="C20606" s="15"/>
      <c r="E20606" s="8"/>
      <c r="G20606" s="8"/>
      <c r="J20606" s="8"/>
    </row>
    <row r="20607">
      <c r="C20607" s="15"/>
      <c r="E20607" s="8"/>
      <c r="G20607" s="8"/>
      <c r="J20607" s="8"/>
    </row>
    <row r="20608">
      <c r="C20608" s="15"/>
      <c r="E20608" s="8"/>
      <c r="G20608" s="8"/>
      <c r="J20608" s="8"/>
    </row>
    <row r="20609">
      <c r="C20609" s="15"/>
      <c r="E20609" s="8"/>
      <c r="G20609" s="8"/>
      <c r="J20609" s="8"/>
    </row>
    <row r="20610">
      <c r="C20610" s="15"/>
      <c r="E20610" s="8"/>
      <c r="G20610" s="8"/>
      <c r="J20610" s="8"/>
    </row>
    <row r="20611">
      <c r="C20611" s="15"/>
      <c r="E20611" s="8"/>
      <c r="G20611" s="8"/>
      <c r="J20611" s="8"/>
    </row>
    <row r="20612">
      <c r="C20612" s="15"/>
      <c r="E20612" s="8"/>
      <c r="G20612" s="8"/>
      <c r="J20612" s="8"/>
    </row>
    <row r="20613">
      <c r="C20613" s="15"/>
      <c r="E20613" s="8"/>
      <c r="G20613" s="8"/>
      <c r="J20613" s="8"/>
    </row>
    <row r="20614">
      <c r="C20614" s="15"/>
      <c r="E20614" s="8"/>
      <c r="G20614" s="8"/>
      <c r="J20614" s="8"/>
    </row>
    <row r="20615">
      <c r="C20615" s="15"/>
      <c r="E20615" s="8"/>
      <c r="G20615" s="8"/>
      <c r="J20615" s="8"/>
    </row>
    <row r="20616">
      <c r="C20616" s="15"/>
      <c r="E20616" s="8"/>
      <c r="G20616" s="8"/>
      <c r="J20616" s="8"/>
    </row>
    <row r="20617">
      <c r="C20617" s="15"/>
      <c r="E20617" s="8"/>
      <c r="G20617" s="8"/>
      <c r="J20617" s="8"/>
    </row>
    <row r="20618">
      <c r="C20618" s="15"/>
      <c r="E20618" s="8"/>
      <c r="G20618" s="8"/>
      <c r="J20618" s="8"/>
    </row>
    <row r="20619">
      <c r="C20619" s="15"/>
      <c r="E20619" s="8"/>
      <c r="G20619" s="8"/>
      <c r="J20619" s="8"/>
    </row>
    <row r="20620">
      <c r="C20620" s="15"/>
      <c r="E20620" s="8"/>
      <c r="G20620" s="8"/>
      <c r="J20620" s="8"/>
    </row>
    <row r="20621">
      <c r="C20621" s="15"/>
      <c r="E20621" s="8"/>
      <c r="G20621" s="8"/>
      <c r="J20621" s="8"/>
    </row>
    <row r="20622">
      <c r="C20622" s="15"/>
      <c r="E20622" s="8"/>
      <c r="G20622" s="8"/>
      <c r="J20622" s="8"/>
    </row>
    <row r="20623">
      <c r="C20623" s="15"/>
      <c r="E20623" s="8"/>
      <c r="G20623" s="8"/>
      <c r="J20623" s="8"/>
    </row>
    <row r="20624">
      <c r="C20624" s="15"/>
      <c r="E20624" s="8"/>
      <c r="G20624" s="8"/>
      <c r="J20624" s="8"/>
    </row>
    <row r="20625">
      <c r="C20625" s="15"/>
      <c r="E20625" s="8"/>
      <c r="G20625" s="8"/>
      <c r="J20625" s="8"/>
    </row>
    <row r="20626">
      <c r="C20626" s="15"/>
      <c r="E20626" s="8"/>
      <c r="G20626" s="8"/>
      <c r="J20626" s="8"/>
    </row>
    <row r="20627">
      <c r="C20627" s="15"/>
      <c r="E20627" s="8"/>
      <c r="G20627" s="8"/>
      <c r="J20627" s="8"/>
    </row>
    <row r="20628">
      <c r="C20628" s="15"/>
      <c r="E20628" s="8"/>
      <c r="G20628" s="8"/>
      <c r="J20628" s="8"/>
    </row>
    <row r="20629">
      <c r="C20629" s="15"/>
      <c r="E20629" s="8"/>
      <c r="G20629" s="8"/>
      <c r="J20629" s="8"/>
    </row>
    <row r="20630">
      <c r="C20630" s="15"/>
      <c r="E20630" s="8"/>
      <c r="G20630" s="8"/>
      <c r="J20630" s="8"/>
    </row>
    <row r="20631">
      <c r="C20631" s="15"/>
      <c r="E20631" s="8"/>
      <c r="G20631" s="8"/>
      <c r="J20631" s="8"/>
    </row>
    <row r="20632">
      <c r="C20632" s="15"/>
      <c r="E20632" s="8"/>
      <c r="G20632" s="8"/>
      <c r="J20632" s="8"/>
    </row>
    <row r="20633">
      <c r="C20633" s="15"/>
      <c r="E20633" s="8"/>
      <c r="G20633" s="8"/>
      <c r="J20633" s="8"/>
    </row>
    <row r="20634">
      <c r="C20634" s="15"/>
      <c r="E20634" s="8"/>
      <c r="G20634" s="8"/>
      <c r="J20634" s="8"/>
    </row>
    <row r="20635">
      <c r="C20635" s="15"/>
      <c r="E20635" s="8"/>
      <c r="G20635" s="8"/>
      <c r="J20635" s="8"/>
    </row>
    <row r="20636">
      <c r="C20636" s="15"/>
      <c r="E20636" s="8"/>
      <c r="G20636" s="8"/>
      <c r="J20636" s="8"/>
    </row>
    <row r="20637">
      <c r="C20637" s="15"/>
      <c r="E20637" s="8"/>
      <c r="G20637" s="8"/>
      <c r="J20637" s="8"/>
    </row>
    <row r="20638">
      <c r="C20638" s="15"/>
      <c r="E20638" s="8"/>
      <c r="G20638" s="8"/>
      <c r="J20638" s="8"/>
    </row>
    <row r="20639">
      <c r="C20639" s="15"/>
      <c r="E20639" s="8"/>
      <c r="G20639" s="8"/>
      <c r="J20639" s="8"/>
    </row>
    <row r="20640">
      <c r="C20640" s="15"/>
      <c r="E20640" s="8"/>
      <c r="G20640" s="8"/>
      <c r="J20640" s="8"/>
    </row>
    <row r="20641">
      <c r="C20641" s="15"/>
      <c r="E20641" s="8"/>
      <c r="G20641" s="8"/>
      <c r="J20641" s="8"/>
    </row>
    <row r="20642">
      <c r="C20642" s="15"/>
      <c r="E20642" s="8"/>
      <c r="G20642" s="8"/>
      <c r="J20642" s="8"/>
    </row>
    <row r="20643">
      <c r="C20643" s="15"/>
      <c r="E20643" s="8"/>
      <c r="G20643" s="8"/>
      <c r="J20643" s="8"/>
    </row>
    <row r="20644">
      <c r="C20644" s="15"/>
      <c r="E20644" s="8"/>
      <c r="G20644" s="8"/>
      <c r="J20644" s="8"/>
    </row>
    <row r="20645">
      <c r="C20645" s="15"/>
      <c r="E20645" s="8"/>
      <c r="G20645" s="8"/>
      <c r="J20645" s="8"/>
    </row>
    <row r="20646">
      <c r="C20646" s="15"/>
      <c r="E20646" s="8"/>
      <c r="G20646" s="8"/>
      <c r="J20646" s="8"/>
    </row>
    <row r="20647">
      <c r="C20647" s="15"/>
      <c r="E20647" s="8"/>
      <c r="G20647" s="8"/>
      <c r="J20647" s="8"/>
    </row>
    <row r="20648">
      <c r="C20648" s="15"/>
      <c r="E20648" s="8"/>
      <c r="G20648" s="8"/>
      <c r="J20648" s="8"/>
    </row>
    <row r="20649">
      <c r="C20649" s="15"/>
      <c r="E20649" s="8"/>
      <c r="G20649" s="8"/>
      <c r="J20649" s="8"/>
    </row>
    <row r="20650">
      <c r="C20650" s="15"/>
      <c r="E20650" s="8"/>
      <c r="G20650" s="8"/>
      <c r="J20650" s="8"/>
    </row>
    <row r="20651">
      <c r="C20651" s="15"/>
      <c r="E20651" s="8"/>
      <c r="G20651" s="8"/>
      <c r="J20651" s="8"/>
    </row>
    <row r="20652">
      <c r="C20652" s="15"/>
      <c r="E20652" s="8"/>
      <c r="G20652" s="8"/>
      <c r="J20652" s="8"/>
    </row>
    <row r="20653">
      <c r="C20653" s="15"/>
      <c r="E20653" s="8"/>
      <c r="G20653" s="8"/>
      <c r="J20653" s="8"/>
    </row>
    <row r="20654">
      <c r="C20654" s="15"/>
      <c r="E20654" s="8"/>
      <c r="G20654" s="8"/>
      <c r="J20654" s="8"/>
    </row>
    <row r="20655">
      <c r="C20655" s="15"/>
      <c r="E20655" s="8"/>
      <c r="G20655" s="8"/>
      <c r="J20655" s="8"/>
    </row>
    <row r="20656">
      <c r="C20656" s="15"/>
      <c r="E20656" s="8"/>
      <c r="G20656" s="8"/>
      <c r="J20656" s="8"/>
    </row>
    <row r="20657">
      <c r="C20657" s="15"/>
      <c r="E20657" s="8"/>
      <c r="G20657" s="8"/>
      <c r="J20657" s="8"/>
    </row>
    <row r="20658">
      <c r="C20658" s="15"/>
      <c r="E20658" s="8"/>
      <c r="G20658" s="8"/>
      <c r="J20658" s="8"/>
    </row>
    <row r="20659">
      <c r="C20659" s="15"/>
      <c r="E20659" s="8"/>
      <c r="G20659" s="8"/>
      <c r="J20659" s="8"/>
    </row>
    <row r="20660">
      <c r="C20660" s="15"/>
      <c r="E20660" s="8"/>
      <c r="G20660" s="8"/>
      <c r="J20660" s="8"/>
    </row>
    <row r="20661">
      <c r="C20661" s="15"/>
      <c r="E20661" s="8"/>
      <c r="G20661" s="8"/>
      <c r="J20661" s="8"/>
    </row>
    <row r="20662">
      <c r="C20662" s="15"/>
      <c r="E20662" s="8"/>
      <c r="G20662" s="8"/>
      <c r="J20662" s="8"/>
    </row>
    <row r="20663">
      <c r="C20663" s="15"/>
      <c r="E20663" s="8"/>
      <c r="G20663" s="8"/>
      <c r="J20663" s="8"/>
    </row>
    <row r="20664">
      <c r="C20664" s="15"/>
      <c r="E20664" s="8"/>
      <c r="G20664" s="8"/>
      <c r="J20664" s="8"/>
    </row>
    <row r="20665">
      <c r="C20665" s="15"/>
      <c r="E20665" s="8"/>
      <c r="G20665" s="8"/>
      <c r="J20665" s="8"/>
    </row>
    <row r="20666">
      <c r="C20666" s="15"/>
      <c r="E20666" s="8"/>
      <c r="G20666" s="8"/>
      <c r="J20666" s="8"/>
    </row>
    <row r="20667">
      <c r="C20667" s="15"/>
      <c r="E20667" s="8"/>
      <c r="G20667" s="8"/>
      <c r="J20667" s="8"/>
    </row>
    <row r="20668">
      <c r="C20668" s="15"/>
      <c r="E20668" s="8"/>
      <c r="G20668" s="8"/>
      <c r="J20668" s="8"/>
    </row>
    <row r="20669">
      <c r="C20669" s="15"/>
      <c r="E20669" s="8"/>
      <c r="G20669" s="8"/>
      <c r="J20669" s="8"/>
    </row>
    <row r="20670">
      <c r="C20670" s="15"/>
      <c r="E20670" s="8"/>
      <c r="G20670" s="8"/>
      <c r="J20670" s="8"/>
    </row>
    <row r="20671">
      <c r="C20671" s="15"/>
      <c r="E20671" s="8"/>
      <c r="G20671" s="8"/>
      <c r="J20671" s="8"/>
    </row>
    <row r="20672">
      <c r="C20672" s="15"/>
      <c r="E20672" s="8"/>
      <c r="G20672" s="8"/>
      <c r="J20672" s="8"/>
    </row>
    <row r="20673">
      <c r="C20673" s="15"/>
      <c r="E20673" s="8"/>
      <c r="G20673" s="8"/>
      <c r="J20673" s="8"/>
    </row>
    <row r="20674">
      <c r="C20674" s="15"/>
      <c r="E20674" s="8"/>
      <c r="G20674" s="8"/>
      <c r="J20674" s="8"/>
    </row>
    <row r="20675">
      <c r="C20675" s="15"/>
      <c r="E20675" s="8"/>
      <c r="G20675" s="8"/>
      <c r="J20675" s="8"/>
    </row>
    <row r="20676">
      <c r="C20676" s="15"/>
      <c r="E20676" s="8"/>
      <c r="G20676" s="8"/>
      <c r="J20676" s="8"/>
    </row>
    <row r="20677">
      <c r="C20677" s="15"/>
      <c r="E20677" s="8"/>
      <c r="G20677" s="8"/>
      <c r="J20677" s="8"/>
    </row>
    <row r="20678">
      <c r="C20678" s="15"/>
      <c r="E20678" s="8"/>
      <c r="G20678" s="8"/>
      <c r="J20678" s="8"/>
    </row>
    <row r="20679">
      <c r="C20679" s="15"/>
      <c r="E20679" s="8"/>
      <c r="G20679" s="8"/>
      <c r="J20679" s="8"/>
    </row>
    <row r="20680">
      <c r="C20680" s="15"/>
      <c r="E20680" s="8"/>
      <c r="G20680" s="8"/>
      <c r="J20680" s="8"/>
    </row>
    <row r="20681">
      <c r="C20681" s="15"/>
      <c r="E20681" s="8"/>
      <c r="G20681" s="8"/>
      <c r="J20681" s="8"/>
    </row>
    <row r="20682">
      <c r="C20682" s="15"/>
      <c r="E20682" s="8"/>
      <c r="G20682" s="8"/>
      <c r="J20682" s="8"/>
    </row>
    <row r="20683">
      <c r="C20683" s="15"/>
      <c r="E20683" s="8"/>
      <c r="G20683" s="8"/>
      <c r="J20683" s="8"/>
    </row>
    <row r="20684">
      <c r="C20684" s="15"/>
      <c r="E20684" s="8"/>
      <c r="G20684" s="8"/>
      <c r="J20684" s="8"/>
    </row>
    <row r="20685">
      <c r="C20685" s="15"/>
      <c r="E20685" s="8"/>
      <c r="G20685" s="8"/>
      <c r="J20685" s="8"/>
    </row>
    <row r="20686">
      <c r="C20686" s="15"/>
      <c r="E20686" s="8"/>
      <c r="G20686" s="8"/>
      <c r="J20686" s="8"/>
    </row>
    <row r="20687">
      <c r="C20687" s="15"/>
      <c r="E20687" s="8"/>
      <c r="G20687" s="8"/>
      <c r="J20687" s="8"/>
    </row>
    <row r="20688">
      <c r="C20688" s="15"/>
      <c r="E20688" s="8"/>
      <c r="G20688" s="8"/>
      <c r="J20688" s="8"/>
    </row>
    <row r="20689">
      <c r="C20689" s="15"/>
      <c r="E20689" s="8"/>
      <c r="G20689" s="8"/>
      <c r="J20689" s="8"/>
    </row>
    <row r="20690">
      <c r="C20690" s="15"/>
      <c r="E20690" s="8"/>
      <c r="G20690" s="8"/>
      <c r="J20690" s="8"/>
    </row>
    <row r="20691">
      <c r="C20691" s="15"/>
      <c r="E20691" s="8"/>
      <c r="G20691" s="8"/>
      <c r="J20691" s="8"/>
    </row>
    <row r="20692">
      <c r="C20692" s="15"/>
      <c r="E20692" s="8"/>
      <c r="G20692" s="8"/>
      <c r="J20692" s="8"/>
    </row>
    <row r="20693">
      <c r="C20693" s="15"/>
      <c r="E20693" s="8"/>
      <c r="G20693" s="8"/>
      <c r="J20693" s="8"/>
    </row>
    <row r="20694">
      <c r="C20694" s="15"/>
      <c r="E20694" s="8"/>
      <c r="G20694" s="8"/>
      <c r="J20694" s="8"/>
    </row>
    <row r="20695">
      <c r="C20695" s="15"/>
      <c r="E20695" s="8"/>
      <c r="G20695" s="8"/>
      <c r="J20695" s="8"/>
    </row>
    <row r="20696">
      <c r="C20696" s="15"/>
      <c r="E20696" s="8"/>
      <c r="G20696" s="8"/>
      <c r="J20696" s="8"/>
    </row>
    <row r="20697">
      <c r="C20697" s="15"/>
      <c r="E20697" s="8"/>
      <c r="G20697" s="8"/>
      <c r="J20697" s="8"/>
    </row>
    <row r="20698">
      <c r="C20698" s="15"/>
      <c r="E20698" s="8"/>
      <c r="G20698" s="8"/>
      <c r="J20698" s="8"/>
    </row>
    <row r="20699">
      <c r="C20699" s="15"/>
      <c r="E20699" s="8"/>
      <c r="G20699" s="8"/>
      <c r="J20699" s="8"/>
    </row>
    <row r="20700">
      <c r="C20700" s="15"/>
      <c r="E20700" s="8"/>
      <c r="G20700" s="8"/>
      <c r="J20700" s="8"/>
    </row>
    <row r="20701">
      <c r="C20701" s="15"/>
      <c r="E20701" s="8"/>
      <c r="G20701" s="8"/>
      <c r="J20701" s="8"/>
    </row>
    <row r="20702">
      <c r="C20702" s="15"/>
      <c r="E20702" s="8"/>
      <c r="G20702" s="8"/>
      <c r="J20702" s="8"/>
    </row>
    <row r="20703">
      <c r="C20703" s="15"/>
      <c r="E20703" s="8"/>
      <c r="G20703" s="8"/>
      <c r="J20703" s="8"/>
    </row>
    <row r="20704">
      <c r="C20704" s="15"/>
      <c r="E20704" s="8"/>
      <c r="G20704" s="8"/>
      <c r="J20704" s="8"/>
    </row>
    <row r="20705">
      <c r="C20705" s="15"/>
      <c r="E20705" s="8"/>
      <c r="G20705" s="8"/>
      <c r="J20705" s="8"/>
    </row>
    <row r="20706">
      <c r="C20706" s="15"/>
      <c r="E20706" s="8"/>
      <c r="G20706" s="8"/>
      <c r="J20706" s="8"/>
    </row>
    <row r="20707">
      <c r="C20707" s="15"/>
      <c r="E20707" s="8"/>
      <c r="G20707" s="8"/>
      <c r="J20707" s="8"/>
    </row>
    <row r="20708">
      <c r="C20708" s="15"/>
      <c r="E20708" s="8"/>
      <c r="G20708" s="8"/>
      <c r="J20708" s="8"/>
    </row>
    <row r="20709">
      <c r="C20709" s="15"/>
      <c r="E20709" s="8"/>
      <c r="G20709" s="8"/>
      <c r="J20709" s="8"/>
    </row>
    <row r="20710">
      <c r="C20710" s="15"/>
      <c r="E20710" s="8"/>
      <c r="G20710" s="8"/>
      <c r="J20710" s="8"/>
    </row>
    <row r="20711">
      <c r="C20711" s="15"/>
      <c r="E20711" s="8"/>
      <c r="G20711" s="8"/>
      <c r="J20711" s="8"/>
    </row>
    <row r="20712">
      <c r="C20712" s="15"/>
      <c r="E20712" s="8"/>
      <c r="G20712" s="8"/>
      <c r="J20712" s="8"/>
    </row>
    <row r="20713">
      <c r="C20713" s="15"/>
      <c r="E20713" s="8"/>
      <c r="G20713" s="8"/>
      <c r="J20713" s="8"/>
    </row>
    <row r="20714">
      <c r="C20714" s="15"/>
      <c r="E20714" s="8"/>
      <c r="G20714" s="8"/>
      <c r="J20714" s="8"/>
    </row>
    <row r="20715">
      <c r="C20715" s="15"/>
      <c r="E20715" s="8"/>
      <c r="G20715" s="8"/>
      <c r="J20715" s="8"/>
    </row>
    <row r="20716">
      <c r="C20716" s="15"/>
      <c r="E20716" s="8"/>
      <c r="G20716" s="8"/>
      <c r="J20716" s="8"/>
    </row>
    <row r="20717">
      <c r="C20717" s="15"/>
      <c r="E20717" s="8"/>
      <c r="G20717" s="8"/>
      <c r="J20717" s="8"/>
    </row>
    <row r="20718">
      <c r="C20718" s="15"/>
      <c r="E20718" s="8"/>
      <c r="G20718" s="8"/>
      <c r="J20718" s="8"/>
    </row>
    <row r="20719">
      <c r="C20719" s="15"/>
      <c r="E20719" s="8"/>
      <c r="G20719" s="8"/>
      <c r="J20719" s="8"/>
    </row>
    <row r="20720">
      <c r="C20720" s="15"/>
      <c r="E20720" s="8"/>
      <c r="G20720" s="8"/>
      <c r="J20720" s="8"/>
    </row>
    <row r="20721">
      <c r="C20721" s="15"/>
      <c r="E20721" s="8"/>
      <c r="G20721" s="8"/>
      <c r="J20721" s="8"/>
    </row>
    <row r="20722">
      <c r="C20722" s="15"/>
      <c r="E20722" s="8"/>
      <c r="G20722" s="8"/>
      <c r="J20722" s="8"/>
    </row>
    <row r="20723">
      <c r="C20723" s="15"/>
      <c r="E20723" s="8"/>
      <c r="G20723" s="8"/>
      <c r="J20723" s="8"/>
    </row>
    <row r="20724">
      <c r="C20724" s="15"/>
      <c r="E20724" s="8"/>
      <c r="G20724" s="8"/>
      <c r="J20724" s="8"/>
    </row>
    <row r="20725">
      <c r="C20725" s="15"/>
      <c r="E20725" s="8"/>
      <c r="G20725" s="8"/>
      <c r="J20725" s="8"/>
    </row>
    <row r="20726">
      <c r="C20726" s="15"/>
      <c r="E20726" s="8"/>
      <c r="G20726" s="8"/>
      <c r="J20726" s="8"/>
    </row>
    <row r="20727">
      <c r="C20727" s="15"/>
      <c r="E20727" s="8"/>
      <c r="G20727" s="8"/>
      <c r="J20727" s="8"/>
    </row>
    <row r="20728">
      <c r="C20728" s="15"/>
      <c r="E20728" s="8"/>
      <c r="G20728" s="8"/>
      <c r="J20728" s="8"/>
    </row>
    <row r="20729">
      <c r="C20729" s="15"/>
      <c r="E20729" s="8"/>
      <c r="G20729" s="8"/>
      <c r="J20729" s="8"/>
    </row>
    <row r="20730">
      <c r="C20730" s="15"/>
      <c r="E20730" s="8"/>
      <c r="G20730" s="8"/>
      <c r="J20730" s="8"/>
    </row>
    <row r="20731">
      <c r="C20731" s="15"/>
      <c r="E20731" s="8"/>
      <c r="G20731" s="8"/>
      <c r="J20731" s="8"/>
    </row>
    <row r="20732">
      <c r="C20732" s="15"/>
      <c r="E20732" s="8"/>
      <c r="G20732" s="8"/>
      <c r="J20732" s="8"/>
    </row>
    <row r="20733">
      <c r="C20733" s="15"/>
      <c r="E20733" s="8"/>
      <c r="G20733" s="8"/>
      <c r="J20733" s="8"/>
    </row>
    <row r="20734">
      <c r="C20734" s="15"/>
      <c r="E20734" s="8"/>
      <c r="G20734" s="8"/>
      <c r="J20734" s="8"/>
    </row>
    <row r="20735">
      <c r="C20735" s="15"/>
      <c r="E20735" s="8"/>
      <c r="G20735" s="8"/>
      <c r="J20735" s="8"/>
    </row>
    <row r="20736">
      <c r="C20736" s="15"/>
      <c r="E20736" s="8"/>
      <c r="G20736" s="8"/>
      <c r="J20736" s="8"/>
    </row>
    <row r="20737">
      <c r="C20737" s="15"/>
      <c r="E20737" s="8"/>
      <c r="G20737" s="8"/>
      <c r="J20737" s="8"/>
    </row>
    <row r="20738">
      <c r="C20738" s="15"/>
      <c r="E20738" s="8"/>
      <c r="G20738" s="8"/>
      <c r="J20738" s="8"/>
    </row>
    <row r="20739">
      <c r="C20739" s="15"/>
      <c r="E20739" s="8"/>
      <c r="G20739" s="8"/>
      <c r="J20739" s="8"/>
    </row>
    <row r="20740">
      <c r="C20740" s="15"/>
      <c r="E20740" s="8"/>
      <c r="G20740" s="8"/>
      <c r="J20740" s="8"/>
    </row>
    <row r="20741">
      <c r="C20741" s="15"/>
      <c r="E20741" s="8"/>
      <c r="G20741" s="8"/>
      <c r="J20741" s="8"/>
    </row>
    <row r="20742">
      <c r="C20742" s="15"/>
      <c r="E20742" s="8"/>
      <c r="G20742" s="8"/>
      <c r="J20742" s="8"/>
    </row>
    <row r="20743">
      <c r="C20743" s="15"/>
      <c r="E20743" s="8"/>
      <c r="G20743" s="8"/>
      <c r="J20743" s="8"/>
    </row>
    <row r="20744">
      <c r="C20744" s="15"/>
      <c r="E20744" s="8"/>
      <c r="G20744" s="8"/>
      <c r="J20744" s="8"/>
    </row>
    <row r="20745">
      <c r="C20745" s="15"/>
      <c r="E20745" s="8"/>
      <c r="G20745" s="8"/>
      <c r="J20745" s="8"/>
    </row>
    <row r="20746">
      <c r="C20746" s="15"/>
      <c r="E20746" s="8"/>
      <c r="G20746" s="8"/>
      <c r="J20746" s="8"/>
    </row>
    <row r="20747">
      <c r="C20747" s="15"/>
      <c r="E20747" s="8"/>
      <c r="G20747" s="8"/>
      <c r="J20747" s="8"/>
    </row>
    <row r="20748">
      <c r="C20748" s="15"/>
      <c r="E20748" s="8"/>
      <c r="G20748" s="8"/>
      <c r="J20748" s="8"/>
    </row>
    <row r="20749">
      <c r="C20749" s="15"/>
      <c r="E20749" s="8"/>
      <c r="G20749" s="8"/>
      <c r="J20749" s="8"/>
    </row>
    <row r="20750">
      <c r="C20750" s="15"/>
      <c r="E20750" s="8"/>
      <c r="G20750" s="8"/>
      <c r="J20750" s="8"/>
    </row>
    <row r="20751">
      <c r="C20751" s="15"/>
      <c r="E20751" s="8"/>
      <c r="G20751" s="8"/>
      <c r="J20751" s="8"/>
    </row>
    <row r="20752">
      <c r="C20752" s="15"/>
      <c r="E20752" s="8"/>
      <c r="G20752" s="8"/>
      <c r="J20752" s="8"/>
    </row>
    <row r="20753">
      <c r="C20753" s="15"/>
      <c r="E20753" s="8"/>
      <c r="G20753" s="8"/>
      <c r="J20753" s="8"/>
    </row>
    <row r="20754">
      <c r="C20754" s="15"/>
      <c r="E20754" s="8"/>
      <c r="G20754" s="8"/>
      <c r="J20754" s="8"/>
    </row>
    <row r="20755">
      <c r="C20755" s="15"/>
      <c r="E20755" s="8"/>
      <c r="G20755" s="8"/>
      <c r="J20755" s="8"/>
    </row>
    <row r="20756">
      <c r="C20756" s="15"/>
      <c r="E20756" s="8"/>
      <c r="G20756" s="8"/>
      <c r="J20756" s="8"/>
    </row>
    <row r="20757">
      <c r="C20757" s="15"/>
      <c r="E20757" s="8"/>
      <c r="G20757" s="8"/>
      <c r="J20757" s="8"/>
    </row>
    <row r="20758">
      <c r="C20758" s="15"/>
      <c r="E20758" s="8"/>
      <c r="G20758" s="8"/>
      <c r="J20758" s="8"/>
    </row>
    <row r="20759">
      <c r="C20759" s="15"/>
      <c r="E20759" s="8"/>
      <c r="G20759" s="8"/>
      <c r="J20759" s="8"/>
    </row>
    <row r="20760">
      <c r="C20760" s="15"/>
      <c r="E20760" s="8"/>
      <c r="G20760" s="8"/>
      <c r="J20760" s="8"/>
    </row>
    <row r="20761">
      <c r="C20761" s="15"/>
      <c r="E20761" s="8"/>
      <c r="G20761" s="8"/>
      <c r="J20761" s="8"/>
    </row>
    <row r="20762">
      <c r="C20762" s="15"/>
      <c r="E20762" s="8"/>
      <c r="G20762" s="8"/>
      <c r="J20762" s="8"/>
    </row>
    <row r="20763">
      <c r="C20763" s="15"/>
      <c r="E20763" s="8"/>
      <c r="G20763" s="8"/>
      <c r="J20763" s="8"/>
    </row>
    <row r="20764">
      <c r="C20764" s="15"/>
      <c r="E20764" s="8"/>
      <c r="G20764" s="8"/>
      <c r="J20764" s="8"/>
    </row>
    <row r="20765">
      <c r="C20765" s="15"/>
      <c r="E20765" s="8"/>
      <c r="G20765" s="8"/>
      <c r="J20765" s="8"/>
    </row>
    <row r="20766">
      <c r="C20766" s="15"/>
      <c r="E20766" s="8"/>
      <c r="G20766" s="8"/>
      <c r="J20766" s="8"/>
    </row>
    <row r="20767">
      <c r="C20767" s="15"/>
      <c r="E20767" s="8"/>
      <c r="G20767" s="8"/>
      <c r="J20767" s="8"/>
    </row>
    <row r="20768">
      <c r="C20768" s="15"/>
      <c r="E20768" s="8"/>
      <c r="G20768" s="8"/>
      <c r="J20768" s="8"/>
    </row>
    <row r="20769">
      <c r="C20769" s="15"/>
      <c r="E20769" s="8"/>
      <c r="G20769" s="8"/>
      <c r="J20769" s="8"/>
    </row>
    <row r="20770">
      <c r="C20770" s="15"/>
      <c r="E20770" s="8"/>
      <c r="G20770" s="8"/>
      <c r="J20770" s="8"/>
    </row>
    <row r="20771">
      <c r="C20771" s="15"/>
      <c r="E20771" s="8"/>
      <c r="G20771" s="8"/>
      <c r="J20771" s="8"/>
    </row>
    <row r="20772">
      <c r="C20772" s="15"/>
      <c r="E20772" s="8"/>
      <c r="G20772" s="8"/>
      <c r="J20772" s="8"/>
    </row>
    <row r="20773">
      <c r="C20773" s="15"/>
      <c r="E20773" s="8"/>
      <c r="G20773" s="8"/>
      <c r="J20773" s="8"/>
    </row>
    <row r="20774">
      <c r="C20774" s="15"/>
      <c r="E20774" s="8"/>
      <c r="G20774" s="8"/>
      <c r="J20774" s="8"/>
    </row>
    <row r="20775">
      <c r="C20775" s="15"/>
      <c r="E20775" s="8"/>
      <c r="G20775" s="8"/>
      <c r="J20775" s="8"/>
    </row>
    <row r="20776">
      <c r="C20776" s="15"/>
      <c r="E20776" s="8"/>
      <c r="G20776" s="8"/>
      <c r="J20776" s="8"/>
    </row>
    <row r="20777">
      <c r="C20777" s="15"/>
      <c r="E20777" s="8"/>
      <c r="G20777" s="8"/>
      <c r="J20777" s="8"/>
    </row>
    <row r="20778">
      <c r="C20778" s="15"/>
      <c r="E20778" s="8"/>
      <c r="G20778" s="8"/>
      <c r="J20778" s="8"/>
    </row>
    <row r="20779">
      <c r="C20779" s="15"/>
      <c r="E20779" s="8"/>
      <c r="G20779" s="8"/>
      <c r="J20779" s="8"/>
    </row>
    <row r="20780">
      <c r="C20780" s="15"/>
      <c r="E20780" s="8"/>
      <c r="G20780" s="8"/>
      <c r="J20780" s="8"/>
    </row>
    <row r="20781">
      <c r="C20781" s="15"/>
      <c r="E20781" s="8"/>
      <c r="G20781" s="8"/>
      <c r="J20781" s="8"/>
    </row>
    <row r="20782">
      <c r="C20782" s="15"/>
      <c r="E20782" s="8"/>
      <c r="G20782" s="8"/>
      <c r="J20782" s="8"/>
    </row>
    <row r="20783">
      <c r="C20783" s="15"/>
      <c r="E20783" s="8"/>
      <c r="G20783" s="8"/>
      <c r="J20783" s="8"/>
    </row>
    <row r="20784">
      <c r="C20784" s="15"/>
      <c r="E20784" s="8"/>
      <c r="G20784" s="8"/>
      <c r="J20784" s="8"/>
    </row>
    <row r="20785">
      <c r="C20785" s="15"/>
      <c r="E20785" s="8"/>
      <c r="G20785" s="8"/>
      <c r="J20785" s="8"/>
    </row>
    <row r="20786">
      <c r="C20786" s="15"/>
      <c r="E20786" s="8"/>
      <c r="G20786" s="8"/>
      <c r="J20786" s="8"/>
    </row>
    <row r="20787">
      <c r="C20787" s="15"/>
      <c r="E20787" s="8"/>
      <c r="G20787" s="8"/>
      <c r="J20787" s="8"/>
    </row>
    <row r="20788">
      <c r="C20788" s="15"/>
      <c r="E20788" s="8"/>
      <c r="G20788" s="8"/>
      <c r="J20788" s="8"/>
    </row>
    <row r="20789">
      <c r="C20789" s="15"/>
      <c r="E20789" s="8"/>
      <c r="G20789" s="8"/>
      <c r="J20789" s="8"/>
    </row>
    <row r="20790">
      <c r="C20790" s="15"/>
      <c r="E20790" s="8"/>
      <c r="G20790" s="8"/>
      <c r="J20790" s="8"/>
    </row>
    <row r="20791">
      <c r="C20791" s="15"/>
      <c r="E20791" s="8"/>
      <c r="G20791" s="8"/>
      <c r="J20791" s="8"/>
    </row>
    <row r="20792">
      <c r="C20792" s="15"/>
      <c r="E20792" s="8"/>
      <c r="G20792" s="8"/>
      <c r="J20792" s="8"/>
    </row>
    <row r="20793">
      <c r="C20793" s="15"/>
      <c r="E20793" s="8"/>
      <c r="G20793" s="8"/>
      <c r="J20793" s="8"/>
    </row>
    <row r="20794">
      <c r="C20794" s="15"/>
      <c r="E20794" s="8"/>
      <c r="G20794" s="8"/>
      <c r="J20794" s="8"/>
    </row>
    <row r="20795">
      <c r="C20795" s="15"/>
      <c r="E20795" s="8"/>
      <c r="G20795" s="8"/>
      <c r="J20795" s="8"/>
    </row>
    <row r="20796">
      <c r="C20796" s="15"/>
      <c r="E20796" s="8"/>
      <c r="G20796" s="8"/>
      <c r="J20796" s="8"/>
    </row>
    <row r="20797">
      <c r="C20797" s="15"/>
      <c r="E20797" s="8"/>
      <c r="G20797" s="8"/>
      <c r="J20797" s="8"/>
    </row>
    <row r="20798">
      <c r="C20798" s="15"/>
      <c r="E20798" s="8"/>
      <c r="G20798" s="8"/>
      <c r="J20798" s="8"/>
    </row>
    <row r="20799">
      <c r="C20799" s="15"/>
      <c r="E20799" s="8"/>
      <c r="G20799" s="8"/>
      <c r="J20799" s="8"/>
    </row>
    <row r="20800">
      <c r="C20800" s="15"/>
      <c r="E20800" s="8"/>
      <c r="G20800" s="8"/>
      <c r="J20800" s="8"/>
    </row>
    <row r="20801">
      <c r="C20801" s="15"/>
      <c r="E20801" s="8"/>
      <c r="G20801" s="8"/>
      <c r="J20801" s="8"/>
    </row>
    <row r="20802">
      <c r="C20802" s="15"/>
      <c r="E20802" s="8"/>
      <c r="G20802" s="8"/>
      <c r="J20802" s="8"/>
    </row>
    <row r="20803">
      <c r="C20803" s="15"/>
      <c r="E20803" s="8"/>
      <c r="G20803" s="8"/>
      <c r="J20803" s="8"/>
    </row>
    <row r="20804">
      <c r="C20804" s="15"/>
      <c r="E20804" s="8"/>
      <c r="G20804" s="8"/>
      <c r="J20804" s="8"/>
    </row>
    <row r="20805">
      <c r="C20805" s="15"/>
      <c r="E20805" s="8"/>
      <c r="G20805" s="8"/>
      <c r="J20805" s="8"/>
    </row>
    <row r="20806">
      <c r="C20806" s="15"/>
      <c r="E20806" s="8"/>
      <c r="G20806" s="8"/>
      <c r="J20806" s="8"/>
    </row>
    <row r="20807">
      <c r="C20807" s="15"/>
      <c r="E20807" s="8"/>
      <c r="G20807" s="8"/>
      <c r="J20807" s="8"/>
    </row>
    <row r="20808">
      <c r="C20808" s="15"/>
      <c r="E20808" s="8"/>
      <c r="G20808" s="8"/>
      <c r="J20808" s="8"/>
    </row>
    <row r="20809">
      <c r="C20809" s="15"/>
      <c r="E20809" s="8"/>
      <c r="G20809" s="8"/>
      <c r="J20809" s="8"/>
    </row>
    <row r="20810">
      <c r="C20810" s="15"/>
      <c r="E20810" s="8"/>
      <c r="G20810" s="8"/>
      <c r="J20810" s="8"/>
    </row>
    <row r="20811">
      <c r="C20811" s="15"/>
      <c r="E20811" s="8"/>
      <c r="G20811" s="8"/>
      <c r="J20811" s="8"/>
    </row>
    <row r="20812">
      <c r="C20812" s="15"/>
      <c r="E20812" s="8"/>
      <c r="G20812" s="8"/>
      <c r="J20812" s="8"/>
    </row>
    <row r="20813">
      <c r="C20813" s="15"/>
      <c r="E20813" s="8"/>
      <c r="G20813" s="8"/>
      <c r="J20813" s="8"/>
    </row>
    <row r="20814">
      <c r="C20814" s="15"/>
      <c r="E20814" s="8"/>
      <c r="G20814" s="8"/>
      <c r="J20814" s="8"/>
    </row>
    <row r="20815">
      <c r="C20815" s="15"/>
      <c r="E20815" s="8"/>
      <c r="G20815" s="8"/>
      <c r="J20815" s="8"/>
    </row>
    <row r="20816">
      <c r="C20816" s="15"/>
      <c r="E20816" s="8"/>
      <c r="G20816" s="8"/>
      <c r="J20816" s="8"/>
    </row>
    <row r="20817">
      <c r="C20817" s="15"/>
      <c r="E20817" s="8"/>
      <c r="G20817" s="8"/>
      <c r="J20817" s="8"/>
    </row>
    <row r="20818">
      <c r="C20818" s="15"/>
      <c r="E20818" s="8"/>
      <c r="G20818" s="8"/>
      <c r="J20818" s="8"/>
    </row>
    <row r="20819">
      <c r="C20819" s="15"/>
      <c r="E20819" s="8"/>
      <c r="G20819" s="8"/>
      <c r="J20819" s="8"/>
    </row>
    <row r="20820">
      <c r="C20820" s="15"/>
      <c r="E20820" s="8"/>
      <c r="G20820" s="8"/>
      <c r="J20820" s="8"/>
    </row>
    <row r="20821">
      <c r="C20821" s="15"/>
      <c r="E20821" s="8"/>
      <c r="G20821" s="8"/>
      <c r="J20821" s="8"/>
    </row>
    <row r="20822">
      <c r="C20822" s="15"/>
      <c r="E20822" s="8"/>
      <c r="G20822" s="8"/>
      <c r="J20822" s="8"/>
    </row>
    <row r="20823">
      <c r="C20823" s="15"/>
      <c r="E20823" s="8"/>
      <c r="G20823" s="8"/>
      <c r="J20823" s="8"/>
    </row>
    <row r="20824">
      <c r="C20824" s="15"/>
      <c r="E20824" s="8"/>
      <c r="G20824" s="8"/>
      <c r="J20824" s="8"/>
    </row>
    <row r="20825">
      <c r="C20825" s="15"/>
      <c r="E20825" s="8"/>
      <c r="G20825" s="8"/>
      <c r="J20825" s="8"/>
    </row>
    <row r="20826">
      <c r="C20826" s="15"/>
      <c r="E20826" s="8"/>
      <c r="G20826" s="8"/>
      <c r="J20826" s="8"/>
    </row>
    <row r="20827">
      <c r="C20827" s="15"/>
      <c r="E20827" s="8"/>
      <c r="G20827" s="8"/>
      <c r="J20827" s="8"/>
    </row>
    <row r="20828">
      <c r="C20828" s="15"/>
      <c r="E20828" s="8"/>
      <c r="G20828" s="8"/>
      <c r="J20828" s="8"/>
    </row>
    <row r="20829">
      <c r="C20829" s="15"/>
      <c r="E20829" s="8"/>
      <c r="G20829" s="8"/>
      <c r="J20829" s="8"/>
    </row>
    <row r="20830">
      <c r="C20830" s="15"/>
      <c r="E20830" s="8"/>
      <c r="G20830" s="8"/>
      <c r="J20830" s="8"/>
    </row>
    <row r="20831">
      <c r="C20831" s="15"/>
      <c r="E20831" s="8"/>
      <c r="G20831" s="8"/>
      <c r="J20831" s="8"/>
    </row>
    <row r="20832">
      <c r="C20832" s="15"/>
      <c r="E20832" s="8"/>
      <c r="G20832" s="8"/>
      <c r="J20832" s="8"/>
    </row>
    <row r="20833">
      <c r="C20833" s="15"/>
      <c r="E20833" s="8"/>
      <c r="G20833" s="8"/>
      <c r="J20833" s="8"/>
    </row>
    <row r="20834">
      <c r="C20834" s="15"/>
      <c r="E20834" s="8"/>
      <c r="G20834" s="8"/>
      <c r="J20834" s="8"/>
    </row>
    <row r="20835">
      <c r="C20835" s="15"/>
      <c r="E20835" s="8"/>
      <c r="G20835" s="8"/>
      <c r="J20835" s="8"/>
    </row>
    <row r="20836">
      <c r="C20836" s="15"/>
      <c r="E20836" s="8"/>
      <c r="G20836" s="8"/>
      <c r="J20836" s="8"/>
    </row>
    <row r="20837">
      <c r="C20837" s="15"/>
      <c r="E20837" s="8"/>
      <c r="G20837" s="8"/>
      <c r="J20837" s="8"/>
    </row>
    <row r="20838">
      <c r="C20838" s="15"/>
      <c r="E20838" s="8"/>
      <c r="G20838" s="8"/>
      <c r="J20838" s="8"/>
    </row>
    <row r="20839">
      <c r="C20839" s="15"/>
      <c r="E20839" s="8"/>
      <c r="G20839" s="8"/>
      <c r="J20839" s="8"/>
    </row>
    <row r="20840">
      <c r="C20840" s="15"/>
      <c r="E20840" s="8"/>
      <c r="G20840" s="8"/>
      <c r="J20840" s="8"/>
    </row>
    <row r="20841">
      <c r="C20841" s="15"/>
      <c r="E20841" s="8"/>
      <c r="G20841" s="8"/>
      <c r="J20841" s="8"/>
    </row>
    <row r="20842">
      <c r="C20842" s="15"/>
      <c r="E20842" s="8"/>
      <c r="G20842" s="8"/>
      <c r="J20842" s="8"/>
    </row>
    <row r="20843">
      <c r="C20843" s="15"/>
      <c r="E20843" s="8"/>
      <c r="G20843" s="8"/>
      <c r="J20843" s="8"/>
    </row>
    <row r="20844">
      <c r="C20844" s="15"/>
      <c r="E20844" s="8"/>
      <c r="G20844" s="8"/>
      <c r="J20844" s="8"/>
    </row>
    <row r="20845">
      <c r="C20845" s="15"/>
      <c r="E20845" s="8"/>
      <c r="G20845" s="8"/>
      <c r="J20845" s="8"/>
    </row>
    <row r="20846">
      <c r="C20846" s="15"/>
      <c r="E20846" s="8"/>
      <c r="G20846" s="8"/>
      <c r="J20846" s="8"/>
    </row>
    <row r="20847">
      <c r="C20847" s="15"/>
      <c r="E20847" s="8"/>
      <c r="G20847" s="8"/>
      <c r="J20847" s="8"/>
    </row>
    <row r="20848">
      <c r="C20848" s="15"/>
      <c r="E20848" s="8"/>
      <c r="G20848" s="8"/>
      <c r="J20848" s="8"/>
    </row>
    <row r="20849">
      <c r="C20849" s="15"/>
      <c r="E20849" s="8"/>
      <c r="G20849" s="8"/>
      <c r="J20849" s="8"/>
    </row>
    <row r="20850">
      <c r="C20850" s="15"/>
      <c r="E20850" s="8"/>
      <c r="G20850" s="8"/>
      <c r="J20850" s="8"/>
    </row>
    <row r="20851">
      <c r="C20851" s="15"/>
      <c r="E20851" s="8"/>
      <c r="G20851" s="8"/>
      <c r="J20851" s="8"/>
    </row>
    <row r="20852">
      <c r="C20852" s="15"/>
      <c r="E20852" s="8"/>
      <c r="G20852" s="8"/>
      <c r="J20852" s="8"/>
    </row>
    <row r="20853">
      <c r="C20853" s="15"/>
      <c r="E20853" s="8"/>
      <c r="G20853" s="8"/>
      <c r="J20853" s="8"/>
    </row>
    <row r="20854">
      <c r="C20854" s="15"/>
      <c r="E20854" s="8"/>
      <c r="G20854" s="8"/>
      <c r="J20854" s="8"/>
    </row>
    <row r="20855">
      <c r="C20855" s="15"/>
      <c r="E20855" s="8"/>
      <c r="G20855" s="8"/>
      <c r="J20855" s="8"/>
    </row>
    <row r="20856">
      <c r="C20856" s="15"/>
      <c r="E20856" s="8"/>
      <c r="G20856" s="8"/>
      <c r="J20856" s="8"/>
    </row>
    <row r="20857">
      <c r="C20857" s="15"/>
      <c r="E20857" s="8"/>
      <c r="G20857" s="8"/>
      <c r="J20857" s="8"/>
    </row>
    <row r="20858">
      <c r="C20858" s="15"/>
      <c r="E20858" s="8"/>
      <c r="G20858" s="8"/>
      <c r="J20858" s="8"/>
    </row>
    <row r="20859">
      <c r="C20859" s="15"/>
      <c r="E20859" s="8"/>
      <c r="G20859" s="8"/>
      <c r="J20859" s="8"/>
    </row>
    <row r="20860">
      <c r="C20860" s="15"/>
      <c r="E20860" s="8"/>
      <c r="G20860" s="8"/>
      <c r="J20860" s="8"/>
    </row>
    <row r="20861">
      <c r="C20861" s="15"/>
      <c r="E20861" s="8"/>
      <c r="G20861" s="8"/>
      <c r="J20861" s="8"/>
    </row>
    <row r="20862">
      <c r="C20862" s="15"/>
      <c r="E20862" s="8"/>
      <c r="G20862" s="8"/>
      <c r="J20862" s="8"/>
    </row>
    <row r="20863">
      <c r="C20863" s="15"/>
      <c r="E20863" s="8"/>
      <c r="G20863" s="8"/>
      <c r="J20863" s="8"/>
    </row>
    <row r="20864">
      <c r="C20864" s="15"/>
      <c r="E20864" s="8"/>
      <c r="G20864" s="8"/>
      <c r="J20864" s="8"/>
    </row>
    <row r="20865">
      <c r="C20865" s="15"/>
      <c r="E20865" s="8"/>
      <c r="G20865" s="8"/>
      <c r="J20865" s="8"/>
    </row>
    <row r="20866">
      <c r="C20866" s="15"/>
      <c r="E20866" s="8"/>
      <c r="G20866" s="8"/>
      <c r="J20866" s="8"/>
    </row>
    <row r="20867">
      <c r="C20867" s="15"/>
      <c r="E20867" s="8"/>
      <c r="G20867" s="8"/>
      <c r="J20867" s="8"/>
    </row>
    <row r="20868">
      <c r="C20868" s="15"/>
      <c r="E20868" s="8"/>
      <c r="G20868" s="8"/>
      <c r="J20868" s="8"/>
    </row>
    <row r="20869">
      <c r="C20869" s="15"/>
      <c r="E20869" s="8"/>
      <c r="G20869" s="8"/>
      <c r="J20869" s="8"/>
    </row>
    <row r="20870">
      <c r="C20870" s="15"/>
      <c r="E20870" s="8"/>
      <c r="G20870" s="8"/>
      <c r="J20870" s="8"/>
    </row>
    <row r="20871">
      <c r="C20871" s="15"/>
      <c r="E20871" s="8"/>
      <c r="G20871" s="8"/>
      <c r="J20871" s="8"/>
    </row>
    <row r="20872">
      <c r="C20872" s="15"/>
      <c r="E20872" s="8"/>
      <c r="G20872" s="8"/>
      <c r="J20872" s="8"/>
    </row>
    <row r="20873">
      <c r="C20873" s="15"/>
      <c r="E20873" s="8"/>
      <c r="G20873" s="8"/>
      <c r="J20873" s="8"/>
    </row>
    <row r="20874">
      <c r="C20874" s="15"/>
      <c r="E20874" s="8"/>
      <c r="G20874" s="8"/>
      <c r="J20874" s="8"/>
    </row>
    <row r="20875">
      <c r="C20875" s="15"/>
      <c r="E20875" s="8"/>
      <c r="G20875" s="8"/>
      <c r="J20875" s="8"/>
    </row>
    <row r="20876">
      <c r="C20876" s="15"/>
      <c r="E20876" s="8"/>
      <c r="G20876" s="8"/>
      <c r="J20876" s="8"/>
    </row>
    <row r="20877">
      <c r="C20877" s="15"/>
      <c r="E20877" s="8"/>
      <c r="G20877" s="8"/>
      <c r="J20877" s="8"/>
    </row>
    <row r="20878">
      <c r="C20878" s="15"/>
      <c r="E20878" s="8"/>
      <c r="G20878" s="8"/>
      <c r="J20878" s="8"/>
    </row>
    <row r="20879">
      <c r="C20879" s="15"/>
      <c r="E20879" s="8"/>
      <c r="G20879" s="8"/>
      <c r="J20879" s="8"/>
    </row>
    <row r="20880">
      <c r="C20880" s="15"/>
      <c r="E20880" s="8"/>
      <c r="G20880" s="8"/>
      <c r="J20880" s="8"/>
    </row>
    <row r="20881">
      <c r="C20881" s="15"/>
      <c r="E20881" s="8"/>
      <c r="G20881" s="8"/>
      <c r="J20881" s="8"/>
    </row>
    <row r="20882">
      <c r="C20882" s="15"/>
      <c r="E20882" s="8"/>
      <c r="G20882" s="8"/>
      <c r="J20882" s="8"/>
    </row>
    <row r="20883">
      <c r="C20883" s="15"/>
      <c r="E20883" s="8"/>
      <c r="G20883" s="8"/>
      <c r="J20883" s="8"/>
    </row>
    <row r="20884">
      <c r="C20884" s="15"/>
      <c r="E20884" s="8"/>
      <c r="G20884" s="8"/>
      <c r="J20884" s="8"/>
    </row>
    <row r="20885">
      <c r="C20885" s="15"/>
      <c r="E20885" s="8"/>
      <c r="G20885" s="8"/>
      <c r="J20885" s="8"/>
    </row>
    <row r="20886">
      <c r="C20886" s="15"/>
      <c r="E20886" s="8"/>
      <c r="G20886" s="8"/>
      <c r="J20886" s="8"/>
    </row>
    <row r="20887">
      <c r="C20887" s="15"/>
      <c r="E20887" s="8"/>
      <c r="G20887" s="8"/>
      <c r="J20887" s="8"/>
    </row>
    <row r="20888">
      <c r="C20888" s="15"/>
      <c r="E20888" s="8"/>
      <c r="G20888" s="8"/>
      <c r="J20888" s="8"/>
    </row>
    <row r="20889">
      <c r="C20889" s="15"/>
      <c r="E20889" s="8"/>
      <c r="G20889" s="8"/>
      <c r="J20889" s="8"/>
    </row>
    <row r="20890">
      <c r="C20890" s="15"/>
      <c r="E20890" s="8"/>
      <c r="G20890" s="8"/>
      <c r="J20890" s="8"/>
    </row>
    <row r="20891">
      <c r="C20891" s="15"/>
      <c r="E20891" s="8"/>
      <c r="G20891" s="8"/>
      <c r="J20891" s="8"/>
    </row>
    <row r="20892">
      <c r="C20892" s="15"/>
      <c r="E20892" s="8"/>
      <c r="G20892" s="8"/>
      <c r="J20892" s="8"/>
    </row>
    <row r="20893">
      <c r="C20893" s="15"/>
      <c r="E20893" s="8"/>
      <c r="G20893" s="8"/>
      <c r="J20893" s="8"/>
    </row>
    <row r="20894">
      <c r="C20894" s="15"/>
      <c r="E20894" s="8"/>
      <c r="G20894" s="8"/>
      <c r="J20894" s="8"/>
    </row>
    <row r="20895">
      <c r="C20895" s="15"/>
      <c r="E20895" s="8"/>
      <c r="G20895" s="8"/>
      <c r="J20895" s="8"/>
    </row>
    <row r="20896">
      <c r="C20896" s="15"/>
      <c r="E20896" s="8"/>
      <c r="G20896" s="8"/>
      <c r="J20896" s="8"/>
    </row>
    <row r="20897">
      <c r="C20897" s="15"/>
      <c r="E20897" s="8"/>
      <c r="G20897" s="8"/>
      <c r="J20897" s="8"/>
    </row>
    <row r="20898">
      <c r="C20898" s="15"/>
      <c r="E20898" s="8"/>
      <c r="G20898" s="8"/>
      <c r="J20898" s="8"/>
    </row>
    <row r="20899">
      <c r="C20899" s="15"/>
      <c r="E20899" s="8"/>
      <c r="G20899" s="8"/>
      <c r="J20899" s="8"/>
    </row>
    <row r="20900">
      <c r="C20900" s="15"/>
      <c r="E20900" s="8"/>
      <c r="G20900" s="8"/>
      <c r="J20900" s="8"/>
    </row>
    <row r="20901">
      <c r="C20901" s="15"/>
      <c r="E20901" s="8"/>
      <c r="G20901" s="8"/>
      <c r="J20901" s="8"/>
    </row>
    <row r="20902">
      <c r="C20902" s="15"/>
      <c r="E20902" s="8"/>
      <c r="G20902" s="8"/>
      <c r="J20902" s="8"/>
    </row>
    <row r="20903">
      <c r="C20903" s="15"/>
      <c r="E20903" s="8"/>
      <c r="G20903" s="8"/>
      <c r="J20903" s="8"/>
    </row>
    <row r="20904">
      <c r="C20904" s="15"/>
      <c r="E20904" s="8"/>
      <c r="G20904" s="8"/>
      <c r="J20904" s="8"/>
    </row>
    <row r="20905">
      <c r="C20905" s="15"/>
      <c r="E20905" s="8"/>
      <c r="G20905" s="8"/>
      <c r="J20905" s="8"/>
    </row>
    <row r="20906">
      <c r="C20906" s="15"/>
      <c r="E20906" s="8"/>
      <c r="G20906" s="8"/>
      <c r="J20906" s="8"/>
    </row>
    <row r="20907">
      <c r="C20907" s="15"/>
      <c r="E20907" s="8"/>
      <c r="G20907" s="8"/>
      <c r="J20907" s="8"/>
    </row>
    <row r="20908">
      <c r="C20908" s="15"/>
      <c r="E20908" s="8"/>
      <c r="G20908" s="8"/>
      <c r="J20908" s="8"/>
    </row>
    <row r="20909">
      <c r="C20909" s="15"/>
      <c r="E20909" s="8"/>
      <c r="G20909" s="8"/>
      <c r="J20909" s="8"/>
    </row>
    <row r="20910">
      <c r="C20910" s="15"/>
      <c r="E20910" s="8"/>
      <c r="G20910" s="8"/>
      <c r="J20910" s="8"/>
    </row>
    <row r="20911">
      <c r="C20911" s="15"/>
      <c r="E20911" s="8"/>
      <c r="G20911" s="8"/>
      <c r="J20911" s="8"/>
    </row>
    <row r="20912">
      <c r="C20912" s="15"/>
      <c r="E20912" s="8"/>
      <c r="G20912" s="8"/>
      <c r="J20912" s="8"/>
    </row>
    <row r="20913">
      <c r="C20913" s="15"/>
      <c r="E20913" s="8"/>
      <c r="G20913" s="8"/>
      <c r="J20913" s="8"/>
    </row>
    <row r="20914">
      <c r="C20914" s="15"/>
      <c r="E20914" s="8"/>
      <c r="G20914" s="8"/>
      <c r="J20914" s="8"/>
    </row>
    <row r="20915">
      <c r="C20915" s="15"/>
      <c r="E20915" s="8"/>
      <c r="G20915" s="8"/>
      <c r="J20915" s="8"/>
    </row>
    <row r="20916">
      <c r="C20916" s="15"/>
      <c r="E20916" s="8"/>
      <c r="G20916" s="8"/>
      <c r="J20916" s="8"/>
    </row>
    <row r="20917">
      <c r="C20917" s="15"/>
      <c r="E20917" s="8"/>
      <c r="G20917" s="8"/>
      <c r="J20917" s="8"/>
    </row>
    <row r="20918">
      <c r="C20918" s="15"/>
      <c r="E20918" s="8"/>
      <c r="G20918" s="8"/>
      <c r="J20918" s="8"/>
    </row>
    <row r="20919">
      <c r="C20919" s="15"/>
      <c r="E20919" s="8"/>
      <c r="G20919" s="8"/>
      <c r="J20919" s="8"/>
    </row>
    <row r="20920">
      <c r="C20920" s="15"/>
      <c r="E20920" s="8"/>
      <c r="G20920" s="8"/>
      <c r="J20920" s="8"/>
    </row>
    <row r="20921">
      <c r="C20921" s="15"/>
      <c r="E20921" s="8"/>
      <c r="G20921" s="8"/>
      <c r="J20921" s="8"/>
    </row>
    <row r="20922">
      <c r="C20922" s="15"/>
      <c r="E20922" s="8"/>
      <c r="G20922" s="8"/>
      <c r="J20922" s="8"/>
    </row>
    <row r="20923">
      <c r="C20923" s="15"/>
      <c r="E20923" s="8"/>
      <c r="G20923" s="8"/>
      <c r="J20923" s="8"/>
    </row>
    <row r="20924">
      <c r="C20924" s="15"/>
      <c r="E20924" s="8"/>
      <c r="G20924" s="8"/>
      <c r="J20924" s="8"/>
    </row>
    <row r="20925">
      <c r="C20925" s="15"/>
      <c r="E20925" s="8"/>
      <c r="G20925" s="8"/>
      <c r="J20925" s="8"/>
    </row>
    <row r="20926">
      <c r="C20926" s="15"/>
      <c r="E20926" s="8"/>
      <c r="G20926" s="8"/>
      <c r="J20926" s="8"/>
    </row>
    <row r="20927">
      <c r="C20927" s="15"/>
      <c r="E20927" s="8"/>
      <c r="G20927" s="8"/>
      <c r="J20927" s="8"/>
    </row>
    <row r="20928">
      <c r="C20928" s="15"/>
      <c r="E20928" s="8"/>
      <c r="G20928" s="8"/>
      <c r="J20928" s="8"/>
    </row>
    <row r="20929">
      <c r="C20929" s="15"/>
      <c r="E20929" s="8"/>
      <c r="G20929" s="8"/>
      <c r="J20929" s="8"/>
    </row>
    <row r="20930">
      <c r="C20930" s="15"/>
      <c r="E20930" s="8"/>
      <c r="G20930" s="8"/>
      <c r="J20930" s="8"/>
    </row>
    <row r="20931">
      <c r="C20931" s="15"/>
      <c r="E20931" s="8"/>
      <c r="G20931" s="8"/>
      <c r="J20931" s="8"/>
    </row>
    <row r="20932">
      <c r="C20932" s="15"/>
      <c r="E20932" s="8"/>
      <c r="G20932" s="8"/>
      <c r="J20932" s="8"/>
    </row>
    <row r="20933">
      <c r="C20933" s="15"/>
      <c r="E20933" s="8"/>
      <c r="G20933" s="8"/>
      <c r="J20933" s="8"/>
    </row>
    <row r="20934">
      <c r="C20934" s="15"/>
      <c r="E20934" s="8"/>
      <c r="G20934" s="8"/>
      <c r="J20934" s="8"/>
    </row>
    <row r="20935">
      <c r="C20935" s="15"/>
      <c r="E20935" s="8"/>
      <c r="G20935" s="8"/>
      <c r="J20935" s="8"/>
    </row>
    <row r="20936">
      <c r="C20936" s="15"/>
      <c r="E20936" s="8"/>
      <c r="G20936" s="8"/>
      <c r="J20936" s="8"/>
    </row>
    <row r="20937">
      <c r="C20937" s="15"/>
      <c r="E20937" s="8"/>
      <c r="G20937" s="8"/>
      <c r="J20937" s="8"/>
    </row>
    <row r="20938">
      <c r="C20938" s="15"/>
      <c r="E20938" s="8"/>
      <c r="G20938" s="8"/>
      <c r="J20938" s="8"/>
    </row>
    <row r="20939">
      <c r="C20939" s="15"/>
      <c r="E20939" s="8"/>
      <c r="G20939" s="8"/>
      <c r="J20939" s="8"/>
    </row>
    <row r="20940">
      <c r="C20940" s="15"/>
      <c r="E20940" s="8"/>
      <c r="G20940" s="8"/>
      <c r="J20940" s="8"/>
    </row>
    <row r="20941">
      <c r="C20941" s="15"/>
      <c r="E20941" s="8"/>
      <c r="G20941" s="8"/>
      <c r="J20941" s="8"/>
    </row>
    <row r="20942">
      <c r="C20942" s="15"/>
      <c r="E20942" s="8"/>
      <c r="G20942" s="8"/>
      <c r="J20942" s="8"/>
    </row>
    <row r="20943">
      <c r="C20943" s="15"/>
      <c r="E20943" s="8"/>
      <c r="G20943" s="8"/>
      <c r="J20943" s="8"/>
    </row>
    <row r="20944">
      <c r="C20944" s="15"/>
      <c r="E20944" s="8"/>
      <c r="G20944" s="8"/>
      <c r="J20944" s="8"/>
    </row>
    <row r="20945">
      <c r="C20945" s="15"/>
      <c r="E20945" s="8"/>
      <c r="G20945" s="8"/>
      <c r="J20945" s="8"/>
    </row>
    <row r="20946">
      <c r="C20946" s="15"/>
      <c r="E20946" s="8"/>
      <c r="G20946" s="8"/>
      <c r="J20946" s="8"/>
    </row>
    <row r="20947">
      <c r="C20947" s="15"/>
      <c r="E20947" s="8"/>
      <c r="G20947" s="8"/>
      <c r="J20947" s="8"/>
    </row>
    <row r="20948">
      <c r="C20948" s="15"/>
      <c r="E20948" s="8"/>
      <c r="G20948" s="8"/>
      <c r="J20948" s="8"/>
    </row>
    <row r="20949">
      <c r="C20949" s="15"/>
      <c r="E20949" s="8"/>
      <c r="G20949" s="8"/>
      <c r="J20949" s="8"/>
    </row>
    <row r="20950">
      <c r="C20950" s="15"/>
      <c r="E20950" s="8"/>
      <c r="G20950" s="8"/>
      <c r="J20950" s="8"/>
    </row>
    <row r="20951">
      <c r="C20951" s="15"/>
      <c r="E20951" s="8"/>
      <c r="G20951" s="8"/>
      <c r="J20951" s="8"/>
    </row>
    <row r="20952">
      <c r="C20952" s="15"/>
      <c r="E20952" s="8"/>
      <c r="G20952" s="8"/>
      <c r="J20952" s="8"/>
    </row>
    <row r="20953">
      <c r="C20953" s="15"/>
      <c r="E20953" s="8"/>
      <c r="G20953" s="8"/>
      <c r="J20953" s="8"/>
    </row>
    <row r="20954">
      <c r="C20954" s="15"/>
      <c r="E20954" s="8"/>
      <c r="G20954" s="8"/>
      <c r="J20954" s="8"/>
    </row>
    <row r="20955">
      <c r="C20955" s="15"/>
      <c r="E20955" s="8"/>
      <c r="G20955" s="8"/>
      <c r="J20955" s="8"/>
    </row>
    <row r="20956">
      <c r="C20956" s="15"/>
      <c r="E20956" s="8"/>
      <c r="G20956" s="8"/>
      <c r="J20956" s="8"/>
    </row>
    <row r="20957">
      <c r="C20957" s="15"/>
      <c r="E20957" s="8"/>
      <c r="G20957" s="8"/>
      <c r="J20957" s="8"/>
    </row>
    <row r="20958">
      <c r="C20958" s="15"/>
      <c r="E20958" s="8"/>
      <c r="G20958" s="8"/>
      <c r="J20958" s="8"/>
    </row>
    <row r="20959">
      <c r="C20959" s="15"/>
      <c r="E20959" s="8"/>
      <c r="G20959" s="8"/>
      <c r="J20959" s="8"/>
    </row>
    <row r="20960">
      <c r="C20960" s="15"/>
      <c r="E20960" s="8"/>
      <c r="G20960" s="8"/>
      <c r="J20960" s="8"/>
    </row>
    <row r="20961">
      <c r="C20961" s="15"/>
      <c r="E20961" s="8"/>
      <c r="G20961" s="8"/>
      <c r="J20961" s="8"/>
    </row>
    <row r="20962">
      <c r="C20962" s="15"/>
      <c r="E20962" s="8"/>
      <c r="G20962" s="8"/>
      <c r="J20962" s="8"/>
    </row>
    <row r="20963">
      <c r="C20963" s="15"/>
      <c r="E20963" s="8"/>
      <c r="G20963" s="8"/>
      <c r="J20963" s="8"/>
    </row>
    <row r="20964">
      <c r="C20964" s="15"/>
      <c r="E20964" s="8"/>
      <c r="G20964" s="8"/>
      <c r="J20964" s="8"/>
    </row>
    <row r="20965">
      <c r="C20965" s="15"/>
      <c r="E20965" s="8"/>
      <c r="G20965" s="8"/>
      <c r="J20965" s="8"/>
    </row>
    <row r="20966">
      <c r="C20966" s="15"/>
      <c r="E20966" s="8"/>
      <c r="G20966" s="8"/>
      <c r="J20966" s="8"/>
    </row>
    <row r="20967">
      <c r="C20967" s="15"/>
      <c r="E20967" s="8"/>
      <c r="G20967" s="8"/>
      <c r="J20967" s="8"/>
    </row>
    <row r="20968">
      <c r="C20968" s="15"/>
      <c r="E20968" s="8"/>
      <c r="G20968" s="8"/>
      <c r="J20968" s="8"/>
    </row>
    <row r="20969">
      <c r="C20969" s="15"/>
      <c r="E20969" s="8"/>
      <c r="G20969" s="8"/>
      <c r="J20969" s="8"/>
    </row>
    <row r="20970">
      <c r="C20970" s="15"/>
      <c r="E20970" s="8"/>
      <c r="G20970" s="8"/>
      <c r="J20970" s="8"/>
    </row>
    <row r="20971">
      <c r="C20971" s="15"/>
      <c r="E20971" s="8"/>
      <c r="G20971" s="8"/>
      <c r="J20971" s="8"/>
    </row>
    <row r="20972">
      <c r="C20972" s="15"/>
      <c r="E20972" s="8"/>
      <c r="G20972" s="8"/>
      <c r="J20972" s="8"/>
    </row>
    <row r="20973">
      <c r="C20973" s="15"/>
      <c r="E20973" s="8"/>
      <c r="G20973" s="8"/>
      <c r="J20973" s="8"/>
    </row>
    <row r="20974">
      <c r="C20974" s="15"/>
      <c r="E20974" s="8"/>
      <c r="G20974" s="8"/>
      <c r="J20974" s="8"/>
    </row>
    <row r="20975">
      <c r="C20975" s="15"/>
      <c r="E20975" s="8"/>
      <c r="G20975" s="8"/>
      <c r="J20975" s="8"/>
    </row>
    <row r="20976">
      <c r="C20976" s="15"/>
      <c r="E20976" s="8"/>
      <c r="G20976" s="8"/>
      <c r="J20976" s="8"/>
    </row>
    <row r="20977">
      <c r="C20977" s="15"/>
      <c r="E20977" s="8"/>
      <c r="G20977" s="8"/>
      <c r="J20977" s="8"/>
    </row>
    <row r="20978">
      <c r="C20978" s="15"/>
      <c r="E20978" s="8"/>
      <c r="G20978" s="8"/>
      <c r="J20978" s="8"/>
    </row>
    <row r="20979">
      <c r="C20979" s="15"/>
      <c r="E20979" s="8"/>
      <c r="G20979" s="8"/>
      <c r="J20979" s="8"/>
    </row>
    <row r="20980">
      <c r="C20980" s="15"/>
      <c r="E20980" s="8"/>
      <c r="G20980" s="8"/>
      <c r="J20980" s="8"/>
    </row>
    <row r="20981">
      <c r="C20981" s="15"/>
      <c r="E20981" s="8"/>
      <c r="G20981" s="8"/>
      <c r="J20981" s="8"/>
    </row>
    <row r="20982">
      <c r="C20982" s="15"/>
      <c r="E20982" s="8"/>
      <c r="G20982" s="8"/>
      <c r="J20982" s="8"/>
    </row>
    <row r="20983">
      <c r="C20983" s="15"/>
      <c r="E20983" s="8"/>
      <c r="G20983" s="8"/>
      <c r="J20983" s="8"/>
    </row>
    <row r="20984">
      <c r="C20984" s="15"/>
      <c r="E20984" s="8"/>
      <c r="G20984" s="8"/>
      <c r="J20984" s="8"/>
    </row>
    <row r="20985">
      <c r="C20985" s="15"/>
      <c r="E20985" s="8"/>
      <c r="G20985" s="8"/>
      <c r="J20985" s="8"/>
    </row>
    <row r="20986">
      <c r="C20986" s="15"/>
      <c r="E20986" s="8"/>
      <c r="G20986" s="8"/>
      <c r="J20986" s="8"/>
    </row>
    <row r="20987">
      <c r="C20987" s="15"/>
      <c r="E20987" s="8"/>
      <c r="G20987" s="8"/>
      <c r="J20987" s="8"/>
    </row>
    <row r="20988">
      <c r="C20988" s="15"/>
      <c r="E20988" s="8"/>
      <c r="G20988" s="8"/>
      <c r="J20988" s="8"/>
    </row>
    <row r="20989">
      <c r="C20989" s="15"/>
      <c r="E20989" s="8"/>
      <c r="G20989" s="8"/>
      <c r="J20989" s="8"/>
    </row>
    <row r="20990">
      <c r="C20990" s="15"/>
      <c r="E20990" s="8"/>
      <c r="G20990" s="8"/>
      <c r="J20990" s="8"/>
    </row>
    <row r="20991">
      <c r="C20991" s="15"/>
      <c r="E20991" s="8"/>
      <c r="G20991" s="8"/>
      <c r="J20991" s="8"/>
    </row>
    <row r="20992">
      <c r="C20992" s="15"/>
      <c r="E20992" s="8"/>
      <c r="G20992" s="8"/>
      <c r="J20992" s="8"/>
    </row>
    <row r="20993">
      <c r="C20993" s="15"/>
      <c r="E20993" s="8"/>
      <c r="G20993" s="8"/>
      <c r="J20993" s="8"/>
    </row>
    <row r="20994">
      <c r="C20994" s="15"/>
      <c r="E20994" s="8"/>
      <c r="G20994" s="8"/>
      <c r="J20994" s="8"/>
    </row>
    <row r="20995">
      <c r="C20995" s="15"/>
      <c r="E20995" s="8"/>
      <c r="G20995" s="8"/>
      <c r="J20995" s="8"/>
    </row>
    <row r="20996">
      <c r="C20996" s="15"/>
      <c r="E20996" s="8"/>
      <c r="G20996" s="8"/>
      <c r="J20996" s="8"/>
    </row>
    <row r="20997">
      <c r="C20997" s="15"/>
      <c r="E20997" s="8"/>
      <c r="G20997" s="8"/>
      <c r="J20997" s="8"/>
    </row>
    <row r="20998">
      <c r="C20998" s="15"/>
      <c r="E20998" s="8"/>
      <c r="G20998" s="8"/>
      <c r="J20998" s="8"/>
    </row>
    <row r="20999">
      <c r="C20999" s="15"/>
      <c r="E20999" s="8"/>
      <c r="G20999" s="8"/>
      <c r="J20999" s="8"/>
    </row>
    <row r="21000">
      <c r="C21000" s="15"/>
      <c r="E21000" s="8"/>
      <c r="G21000" s="8"/>
      <c r="J21000" s="8"/>
    </row>
    <row r="21001">
      <c r="C21001" s="15"/>
      <c r="E21001" s="8"/>
      <c r="G21001" s="8"/>
      <c r="J21001" s="8"/>
    </row>
    <row r="21002">
      <c r="C21002" s="15"/>
      <c r="E21002" s="8"/>
      <c r="G21002" s="8"/>
      <c r="J21002" s="8"/>
    </row>
    <row r="21003">
      <c r="C21003" s="15"/>
      <c r="E21003" s="8"/>
      <c r="G21003" s="8"/>
      <c r="J21003" s="8"/>
    </row>
    <row r="21004">
      <c r="C21004" s="15"/>
      <c r="E21004" s="8"/>
      <c r="G21004" s="8"/>
      <c r="J21004" s="8"/>
    </row>
    <row r="21005">
      <c r="C21005" s="15"/>
      <c r="E21005" s="8"/>
      <c r="G21005" s="8"/>
      <c r="J21005" s="8"/>
    </row>
    <row r="21006">
      <c r="C21006" s="15"/>
      <c r="E21006" s="8"/>
      <c r="G21006" s="8"/>
      <c r="J21006" s="8"/>
    </row>
    <row r="21007">
      <c r="C21007" s="15"/>
      <c r="E21007" s="8"/>
      <c r="G21007" s="8"/>
      <c r="J21007" s="8"/>
    </row>
    <row r="21008">
      <c r="C21008" s="15"/>
      <c r="E21008" s="8"/>
      <c r="G21008" s="8"/>
      <c r="J21008" s="8"/>
    </row>
    <row r="21009">
      <c r="C21009" s="15"/>
      <c r="E21009" s="8"/>
      <c r="G21009" s="8"/>
      <c r="J21009" s="8"/>
    </row>
    <row r="21010">
      <c r="C21010" s="15"/>
      <c r="E21010" s="8"/>
      <c r="G21010" s="8"/>
      <c r="J21010" s="8"/>
    </row>
    <row r="21011">
      <c r="C21011" s="15"/>
      <c r="E21011" s="8"/>
      <c r="G21011" s="8"/>
      <c r="J21011" s="8"/>
    </row>
    <row r="21012">
      <c r="C21012" s="15"/>
      <c r="E21012" s="8"/>
      <c r="G21012" s="8"/>
      <c r="J21012" s="8"/>
    </row>
    <row r="21013">
      <c r="C21013" s="15"/>
      <c r="E21013" s="8"/>
      <c r="G21013" s="8"/>
      <c r="J21013" s="8"/>
    </row>
    <row r="21014">
      <c r="C21014" s="15"/>
      <c r="E21014" s="8"/>
      <c r="G21014" s="8"/>
      <c r="J21014" s="8"/>
    </row>
    <row r="21015">
      <c r="C21015" s="15"/>
      <c r="E21015" s="8"/>
      <c r="G21015" s="8"/>
      <c r="J21015" s="8"/>
    </row>
    <row r="21016">
      <c r="C21016" s="15"/>
      <c r="E21016" s="8"/>
      <c r="G21016" s="8"/>
      <c r="J21016" s="8"/>
    </row>
    <row r="21017">
      <c r="C21017" s="15"/>
      <c r="E21017" s="8"/>
      <c r="G21017" s="8"/>
      <c r="J21017" s="8"/>
    </row>
    <row r="21018">
      <c r="C21018" s="15"/>
      <c r="E21018" s="8"/>
      <c r="G21018" s="8"/>
      <c r="J21018" s="8"/>
    </row>
    <row r="21019">
      <c r="C21019" s="15"/>
      <c r="E21019" s="8"/>
      <c r="G21019" s="8"/>
      <c r="J21019" s="8"/>
    </row>
    <row r="21020">
      <c r="C21020" s="15"/>
      <c r="E21020" s="8"/>
      <c r="G21020" s="8"/>
      <c r="J21020" s="8"/>
    </row>
    <row r="21021">
      <c r="C21021" s="15"/>
      <c r="E21021" s="8"/>
      <c r="G21021" s="8"/>
      <c r="J21021" s="8"/>
    </row>
    <row r="21022">
      <c r="C21022" s="15"/>
      <c r="E21022" s="8"/>
      <c r="G21022" s="8"/>
      <c r="J21022" s="8"/>
    </row>
    <row r="21023">
      <c r="C21023" s="15"/>
      <c r="E21023" s="8"/>
      <c r="G21023" s="8"/>
      <c r="J21023" s="8"/>
    </row>
    <row r="21024">
      <c r="C21024" s="15"/>
      <c r="E21024" s="8"/>
      <c r="G21024" s="8"/>
      <c r="J21024" s="8"/>
    </row>
    <row r="21025">
      <c r="C21025" s="15"/>
      <c r="E21025" s="8"/>
      <c r="G21025" s="8"/>
      <c r="J21025" s="8"/>
    </row>
    <row r="21026">
      <c r="C21026" s="15"/>
      <c r="E21026" s="8"/>
      <c r="G21026" s="8"/>
      <c r="J21026" s="8"/>
    </row>
    <row r="21027">
      <c r="C21027" s="15"/>
      <c r="E21027" s="8"/>
      <c r="G21027" s="8"/>
      <c r="J21027" s="8"/>
    </row>
    <row r="21028">
      <c r="C21028" s="15"/>
      <c r="E21028" s="8"/>
      <c r="G21028" s="8"/>
      <c r="J21028" s="8"/>
    </row>
    <row r="21029">
      <c r="C21029" s="15"/>
      <c r="E21029" s="8"/>
      <c r="G21029" s="8"/>
      <c r="J21029" s="8"/>
    </row>
    <row r="21030">
      <c r="C21030" s="15"/>
      <c r="E21030" s="8"/>
      <c r="G21030" s="8"/>
      <c r="J21030" s="8"/>
    </row>
    <row r="21031">
      <c r="C21031" s="15"/>
      <c r="E21031" s="8"/>
      <c r="G21031" s="8"/>
      <c r="J21031" s="8"/>
    </row>
    <row r="21032">
      <c r="C21032" s="15"/>
      <c r="E21032" s="8"/>
      <c r="G21032" s="8"/>
      <c r="J21032" s="8"/>
    </row>
    <row r="21033">
      <c r="C21033" s="15"/>
      <c r="E21033" s="8"/>
      <c r="G21033" s="8"/>
      <c r="J21033" s="8"/>
    </row>
    <row r="21034">
      <c r="C21034" s="15"/>
      <c r="E21034" s="8"/>
      <c r="G21034" s="8"/>
      <c r="J21034" s="8"/>
    </row>
    <row r="21035">
      <c r="C21035" s="15"/>
      <c r="E21035" s="8"/>
      <c r="G21035" s="8"/>
      <c r="J21035" s="8"/>
    </row>
    <row r="21036">
      <c r="C21036" s="15"/>
      <c r="E21036" s="8"/>
      <c r="G21036" s="8"/>
      <c r="J21036" s="8"/>
    </row>
    <row r="21037">
      <c r="C21037" s="15"/>
      <c r="E21037" s="8"/>
      <c r="G21037" s="8"/>
      <c r="J21037" s="8"/>
    </row>
    <row r="21038">
      <c r="C21038" s="15"/>
      <c r="E21038" s="8"/>
      <c r="G21038" s="8"/>
      <c r="J21038" s="8"/>
    </row>
    <row r="21039">
      <c r="C21039" s="15"/>
      <c r="E21039" s="8"/>
      <c r="G21039" s="8"/>
      <c r="J21039" s="8"/>
    </row>
    <row r="21040">
      <c r="C21040" s="15"/>
      <c r="E21040" s="8"/>
      <c r="G21040" s="8"/>
      <c r="J21040" s="8"/>
    </row>
    <row r="21041">
      <c r="C21041" s="15"/>
      <c r="E21041" s="8"/>
      <c r="G21041" s="8"/>
      <c r="J21041" s="8"/>
    </row>
    <row r="21042">
      <c r="C21042" s="15"/>
      <c r="E21042" s="8"/>
      <c r="G21042" s="8"/>
      <c r="J21042" s="8"/>
    </row>
    <row r="21043">
      <c r="C21043" s="15"/>
      <c r="E21043" s="8"/>
      <c r="G21043" s="8"/>
      <c r="J21043" s="8"/>
    </row>
    <row r="21044">
      <c r="C21044" s="15"/>
      <c r="E21044" s="8"/>
      <c r="G21044" s="8"/>
      <c r="J21044" s="8"/>
    </row>
    <row r="21045">
      <c r="C21045" s="15"/>
      <c r="E21045" s="8"/>
      <c r="G21045" s="8"/>
      <c r="J21045" s="8"/>
    </row>
    <row r="21046">
      <c r="C21046" s="15"/>
      <c r="E21046" s="8"/>
      <c r="G21046" s="8"/>
      <c r="J21046" s="8"/>
    </row>
    <row r="21047">
      <c r="C21047" s="15"/>
      <c r="E21047" s="8"/>
      <c r="G21047" s="8"/>
      <c r="J21047" s="8"/>
    </row>
    <row r="21048">
      <c r="C21048" s="15"/>
      <c r="E21048" s="8"/>
      <c r="G21048" s="8"/>
      <c r="J21048" s="8"/>
    </row>
    <row r="21049">
      <c r="C21049" s="15"/>
      <c r="E21049" s="8"/>
      <c r="G21049" s="8"/>
      <c r="J21049" s="8"/>
    </row>
    <row r="21050">
      <c r="C21050" s="15"/>
      <c r="E21050" s="8"/>
      <c r="G21050" s="8"/>
      <c r="J21050" s="8"/>
    </row>
    <row r="21051">
      <c r="C21051" s="15"/>
      <c r="E21051" s="8"/>
      <c r="G21051" s="8"/>
      <c r="J21051" s="8"/>
    </row>
    <row r="21052">
      <c r="C21052" s="15"/>
      <c r="E21052" s="8"/>
      <c r="G21052" s="8"/>
      <c r="J21052" s="8"/>
    </row>
    <row r="21053">
      <c r="C21053" s="15"/>
      <c r="E21053" s="8"/>
      <c r="G21053" s="8"/>
      <c r="J21053" s="8"/>
    </row>
    <row r="21054">
      <c r="C21054" s="15"/>
      <c r="E21054" s="8"/>
      <c r="G21054" s="8"/>
      <c r="J21054" s="8"/>
    </row>
    <row r="21055">
      <c r="C21055" s="15"/>
      <c r="E21055" s="8"/>
      <c r="G21055" s="8"/>
      <c r="J21055" s="8"/>
    </row>
    <row r="21056">
      <c r="C21056" s="15"/>
      <c r="E21056" s="8"/>
      <c r="G21056" s="8"/>
      <c r="J21056" s="8"/>
    </row>
    <row r="21057">
      <c r="C21057" s="15"/>
      <c r="E21057" s="8"/>
      <c r="G21057" s="8"/>
      <c r="J21057" s="8"/>
    </row>
    <row r="21058">
      <c r="C21058" s="15"/>
      <c r="E21058" s="8"/>
      <c r="G21058" s="8"/>
      <c r="J21058" s="8"/>
    </row>
    <row r="21059">
      <c r="C21059" s="15"/>
      <c r="E21059" s="8"/>
      <c r="G21059" s="8"/>
      <c r="J21059" s="8"/>
    </row>
    <row r="21060">
      <c r="C21060" s="15"/>
      <c r="E21060" s="8"/>
      <c r="G21060" s="8"/>
      <c r="J21060" s="8"/>
    </row>
    <row r="21061">
      <c r="C21061" s="15"/>
      <c r="E21061" s="8"/>
      <c r="G21061" s="8"/>
      <c r="J21061" s="8"/>
    </row>
    <row r="21062">
      <c r="C21062" s="15"/>
      <c r="E21062" s="8"/>
      <c r="G21062" s="8"/>
      <c r="J21062" s="8"/>
    </row>
    <row r="21063">
      <c r="C21063" s="15"/>
      <c r="E21063" s="8"/>
      <c r="G21063" s="8"/>
      <c r="J21063" s="8"/>
    </row>
    <row r="21064">
      <c r="C21064" s="15"/>
      <c r="E21064" s="8"/>
      <c r="G21064" s="8"/>
      <c r="J21064" s="8"/>
    </row>
    <row r="21065">
      <c r="C21065" s="15"/>
      <c r="E21065" s="8"/>
      <c r="G21065" s="8"/>
      <c r="J21065" s="8"/>
    </row>
    <row r="21066">
      <c r="C21066" s="15"/>
      <c r="E21066" s="8"/>
      <c r="G21066" s="8"/>
      <c r="J21066" s="8"/>
    </row>
    <row r="21067">
      <c r="C21067" s="15"/>
      <c r="E21067" s="8"/>
      <c r="G21067" s="8"/>
      <c r="J21067" s="8"/>
    </row>
    <row r="21068">
      <c r="C21068" s="15"/>
      <c r="E21068" s="8"/>
      <c r="G21068" s="8"/>
      <c r="J21068" s="8"/>
    </row>
    <row r="21069">
      <c r="C21069" s="15"/>
      <c r="E21069" s="8"/>
      <c r="G21069" s="8"/>
      <c r="J21069" s="8"/>
    </row>
    <row r="21070">
      <c r="C21070" s="15"/>
      <c r="E21070" s="8"/>
      <c r="G21070" s="8"/>
      <c r="J21070" s="8"/>
    </row>
    <row r="21071">
      <c r="C21071" s="15"/>
      <c r="E21071" s="8"/>
      <c r="G21071" s="8"/>
      <c r="J21071" s="8"/>
    </row>
    <row r="21072">
      <c r="C21072" s="15"/>
      <c r="E21072" s="8"/>
      <c r="G21072" s="8"/>
      <c r="J21072" s="8"/>
    </row>
    <row r="21073">
      <c r="C21073" s="15"/>
      <c r="E21073" s="8"/>
      <c r="G21073" s="8"/>
      <c r="J21073" s="8"/>
    </row>
    <row r="21074">
      <c r="C21074" s="15"/>
      <c r="E21074" s="8"/>
      <c r="G21074" s="8"/>
      <c r="J21074" s="8"/>
    </row>
    <row r="21075">
      <c r="C21075" s="15"/>
      <c r="E21075" s="8"/>
      <c r="G21075" s="8"/>
      <c r="J21075" s="8"/>
    </row>
    <row r="21076">
      <c r="C21076" s="15"/>
      <c r="E21076" s="8"/>
      <c r="G21076" s="8"/>
      <c r="J21076" s="8"/>
    </row>
    <row r="21077">
      <c r="C21077" s="15"/>
      <c r="E21077" s="8"/>
      <c r="G21077" s="8"/>
      <c r="J21077" s="8"/>
    </row>
    <row r="21078">
      <c r="C21078" s="15"/>
      <c r="E21078" s="8"/>
      <c r="G21078" s="8"/>
      <c r="J21078" s="8"/>
    </row>
    <row r="21079">
      <c r="C21079" s="15"/>
      <c r="E21079" s="8"/>
      <c r="G21079" s="8"/>
      <c r="J21079" s="8"/>
    </row>
    <row r="21080">
      <c r="C21080" s="15"/>
      <c r="E21080" s="8"/>
      <c r="G21080" s="8"/>
      <c r="J21080" s="8"/>
    </row>
    <row r="21081">
      <c r="C21081" s="15"/>
      <c r="E21081" s="8"/>
      <c r="G21081" s="8"/>
      <c r="J21081" s="8"/>
    </row>
    <row r="21082">
      <c r="C21082" s="15"/>
      <c r="E21082" s="8"/>
      <c r="G21082" s="8"/>
      <c r="J21082" s="8"/>
    </row>
    <row r="21083">
      <c r="C21083" s="15"/>
      <c r="E21083" s="8"/>
      <c r="G21083" s="8"/>
      <c r="J21083" s="8"/>
    </row>
    <row r="21084">
      <c r="C21084" s="15"/>
      <c r="E21084" s="8"/>
      <c r="G21084" s="8"/>
      <c r="J21084" s="8"/>
    </row>
    <row r="21085">
      <c r="C21085" s="15"/>
      <c r="E21085" s="8"/>
      <c r="G21085" s="8"/>
      <c r="J21085" s="8"/>
    </row>
    <row r="21086">
      <c r="C21086" s="15"/>
      <c r="E21086" s="8"/>
      <c r="G21086" s="8"/>
      <c r="J21086" s="8"/>
    </row>
    <row r="21087">
      <c r="C21087" s="15"/>
      <c r="E21087" s="8"/>
      <c r="G21087" s="8"/>
      <c r="J21087" s="8"/>
    </row>
    <row r="21088">
      <c r="C21088" s="15"/>
      <c r="E21088" s="8"/>
      <c r="G21088" s="8"/>
      <c r="J21088" s="8"/>
    </row>
    <row r="21089">
      <c r="C21089" s="15"/>
      <c r="E21089" s="8"/>
      <c r="G21089" s="8"/>
      <c r="J21089" s="8"/>
    </row>
    <row r="21090">
      <c r="C21090" s="15"/>
      <c r="E21090" s="8"/>
      <c r="G21090" s="8"/>
      <c r="J21090" s="8"/>
    </row>
    <row r="21091">
      <c r="C21091" s="15"/>
      <c r="E21091" s="8"/>
      <c r="G21091" s="8"/>
      <c r="J21091" s="8"/>
    </row>
    <row r="21092">
      <c r="C21092" s="15"/>
      <c r="E21092" s="8"/>
      <c r="G21092" s="8"/>
      <c r="J21092" s="8"/>
    </row>
    <row r="21093">
      <c r="C21093" s="15"/>
      <c r="E21093" s="8"/>
      <c r="G21093" s="8"/>
      <c r="J21093" s="8"/>
    </row>
    <row r="21094">
      <c r="C21094" s="15"/>
      <c r="E21094" s="8"/>
      <c r="G21094" s="8"/>
      <c r="J21094" s="8"/>
    </row>
    <row r="21095">
      <c r="C21095" s="15"/>
      <c r="E21095" s="8"/>
      <c r="G21095" s="8"/>
      <c r="J21095" s="8"/>
    </row>
    <row r="21096">
      <c r="C21096" s="15"/>
      <c r="E21096" s="8"/>
      <c r="G21096" s="8"/>
      <c r="J21096" s="8"/>
    </row>
    <row r="21097">
      <c r="C21097" s="15"/>
      <c r="E21097" s="8"/>
      <c r="G21097" s="8"/>
      <c r="J21097" s="8"/>
    </row>
    <row r="21098">
      <c r="C21098" s="15"/>
      <c r="E21098" s="8"/>
      <c r="G21098" s="8"/>
      <c r="J21098" s="8"/>
    </row>
    <row r="21099">
      <c r="C21099" s="15"/>
      <c r="E21099" s="8"/>
      <c r="G21099" s="8"/>
      <c r="J21099" s="8"/>
    </row>
    <row r="21100">
      <c r="C21100" s="15"/>
      <c r="E21100" s="8"/>
      <c r="G21100" s="8"/>
      <c r="J21100" s="8"/>
    </row>
    <row r="21101">
      <c r="C21101" s="15"/>
      <c r="E21101" s="8"/>
      <c r="G21101" s="8"/>
      <c r="J21101" s="8"/>
    </row>
    <row r="21102">
      <c r="C21102" s="15"/>
      <c r="E21102" s="8"/>
      <c r="G21102" s="8"/>
      <c r="J21102" s="8"/>
    </row>
    <row r="21103">
      <c r="C21103" s="15"/>
      <c r="E21103" s="8"/>
      <c r="G21103" s="8"/>
      <c r="J21103" s="8"/>
    </row>
    <row r="21104">
      <c r="C21104" s="15"/>
      <c r="E21104" s="8"/>
      <c r="G21104" s="8"/>
      <c r="J21104" s="8"/>
    </row>
    <row r="21105">
      <c r="C21105" s="15"/>
      <c r="E21105" s="8"/>
      <c r="G21105" s="8"/>
      <c r="J21105" s="8"/>
    </row>
    <row r="21106">
      <c r="C21106" s="15"/>
      <c r="E21106" s="8"/>
      <c r="G21106" s="8"/>
      <c r="J21106" s="8"/>
    </row>
    <row r="21107">
      <c r="C21107" s="15"/>
      <c r="E21107" s="8"/>
      <c r="G21107" s="8"/>
      <c r="J21107" s="8"/>
    </row>
    <row r="21108">
      <c r="C21108" s="15"/>
      <c r="E21108" s="8"/>
      <c r="G21108" s="8"/>
      <c r="J21108" s="8"/>
    </row>
    <row r="21109">
      <c r="C21109" s="15"/>
      <c r="E21109" s="8"/>
      <c r="G21109" s="8"/>
      <c r="J21109" s="8"/>
    </row>
    <row r="21110">
      <c r="C21110" s="15"/>
      <c r="E21110" s="8"/>
      <c r="G21110" s="8"/>
      <c r="J21110" s="8"/>
    </row>
    <row r="21111">
      <c r="C21111" s="15"/>
      <c r="E21111" s="8"/>
      <c r="G21111" s="8"/>
      <c r="J21111" s="8"/>
    </row>
    <row r="21112">
      <c r="C21112" s="15"/>
      <c r="E21112" s="8"/>
      <c r="G21112" s="8"/>
      <c r="J21112" s="8"/>
    </row>
    <row r="21113">
      <c r="C21113" s="15"/>
      <c r="E21113" s="8"/>
      <c r="G21113" s="8"/>
      <c r="J21113" s="8"/>
    </row>
    <row r="21114">
      <c r="C21114" s="15"/>
      <c r="E21114" s="8"/>
      <c r="G21114" s="8"/>
      <c r="J21114" s="8"/>
    </row>
    <row r="21115">
      <c r="C21115" s="15"/>
      <c r="E21115" s="8"/>
      <c r="G21115" s="8"/>
      <c r="J21115" s="8"/>
    </row>
    <row r="21116">
      <c r="C21116" s="15"/>
      <c r="E21116" s="8"/>
      <c r="G21116" s="8"/>
      <c r="J21116" s="8"/>
    </row>
    <row r="21117">
      <c r="C21117" s="15"/>
      <c r="E21117" s="8"/>
      <c r="G21117" s="8"/>
      <c r="J21117" s="8"/>
    </row>
    <row r="21118">
      <c r="C21118" s="15"/>
      <c r="E21118" s="8"/>
      <c r="G21118" s="8"/>
      <c r="J21118" s="8"/>
    </row>
    <row r="21119">
      <c r="C21119" s="15"/>
      <c r="E21119" s="8"/>
      <c r="G21119" s="8"/>
      <c r="J21119" s="8"/>
    </row>
    <row r="21120">
      <c r="C21120" s="15"/>
      <c r="E21120" s="8"/>
      <c r="G21120" s="8"/>
      <c r="J21120" s="8"/>
    </row>
    <row r="21121">
      <c r="C21121" s="15"/>
      <c r="E21121" s="8"/>
      <c r="G21121" s="8"/>
      <c r="J21121" s="8"/>
    </row>
    <row r="21122">
      <c r="C21122" s="15"/>
      <c r="E21122" s="8"/>
      <c r="G21122" s="8"/>
      <c r="J21122" s="8"/>
    </row>
    <row r="21123">
      <c r="C21123" s="15"/>
      <c r="E21123" s="8"/>
      <c r="G21123" s="8"/>
      <c r="J21123" s="8"/>
    </row>
    <row r="21124">
      <c r="C21124" s="15"/>
      <c r="E21124" s="8"/>
      <c r="G21124" s="8"/>
      <c r="J21124" s="8"/>
    </row>
    <row r="21125">
      <c r="C21125" s="15"/>
      <c r="E21125" s="8"/>
      <c r="G21125" s="8"/>
      <c r="J21125" s="8"/>
    </row>
    <row r="21126">
      <c r="C21126" s="15"/>
      <c r="E21126" s="8"/>
      <c r="G21126" s="8"/>
      <c r="J21126" s="8"/>
    </row>
    <row r="21127">
      <c r="C21127" s="15"/>
      <c r="E21127" s="8"/>
      <c r="G21127" s="8"/>
      <c r="J21127" s="8"/>
    </row>
    <row r="21128">
      <c r="C21128" s="15"/>
      <c r="E21128" s="8"/>
      <c r="G21128" s="8"/>
      <c r="J21128" s="8"/>
    </row>
    <row r="21129">
      <c r="C21129" s="15"/>
      <c r="E21129" s="8"/>
      <c r="G21129" s="8"/>
      <c r="J21129" s="8"/>
    </row>
    <row r="21130">
      <c r="C21130" s="15"/>
      <c r="E21130" s="8"/>
      <c r="G21130" s="8"/>
      <c r="J21130" s="8"/>
    </row>
    <row r="21131">
      <c r="C21131" s="15"/>
      <c r="E21131" s="8"/>
      <c r="G21131" s="8"/>
      <c r="J21131" s="8"/>
    </row>
    <row r="21132">
      <c r="C21132" s="15"/>
      <c r="E21132" s="8"/>
      <c r="G21132" s="8"/>
      <c r="J21132" s="8"/>
    </row>
    <row r="21133">
      <c r="C21133" s="15"/>
      <c r="E21133" s="8"/>
      <c r="G21133" s="8"/>
      <c r="J21133" s="8"/>
    </row>
    <row r="21134">
      <c r="C21134" s="15"/>
      <c r="E21134" s="8"/>
      <c r="G21134" s="8"/>
      <c r="J21134" s="8"/>
    </row>
    <row r="21135">
      <c r="C21135" s="15"/>
      <c r="E21135" s="8"/>
      <c r="G21135" s="8"/>
      <c r="J21135" s="8"/>
    </row>
    <row r="21136">
      <c r="C21136" s="15"/>
      <c r="E21136" s="8"/>
      <c r="G21136" s="8"/>
      <c r="J21136" s="8"/>
    </row>
    <row r="21137">
      <c r="C21137" s="15"/>
      <c r="E21137" s="8"/>
      <c r="G21137" s="8"/>
      <c r="J21137" s="8"/>
    </row>
    <row r="21138">
      <c r="C21138" s="15"/>
      <c r="E21138" s="8"/>
      <c r="G21138" s="8"/>
      <c r="J21138" s="8"/>
    </row>
    <row r="21139">
      <c r="C21139" s="15"/>
      <c r="E21139" s="8"/>
      <c r="G21139" s="8"/>
      <c r="J21139" s="8"/>
    </row>
    <row r="21140">
      <c r="C21140" s="15"/>
      <c r="E21140" s="8"/>
      <c r="G21140" s="8"/>
      <c r="J21140" s="8"/>
    </row>
    <row r="21141">
      <c r="C21141" s="15"/>
      <c r="E21141" s="8"/>
      <c r="G21141" s="8"/>
      <c r="J21141" s="8"/>
    </row>
    <row r="21142">
      <c r="C21142" s="15"/>
      <c r="E21142" s="8"/>
      <c r="G21142" s="8"/>
      <c r="J21142" s="8"/>
    </row>
    <row r="21143">
      <c r="C21143" s="15"/>
      <c r="E21143" s="8"/>
      <c r="G21143" s="8"/>
      <c r="J21143" s="8"/>
    </row>
    <row r="21144">
      <c r="C21144" s="15"/>
      <c r="E21144" s="8"/>
      <c r="G21144" s="8"/>
      <c r="J21144" s="8"/>
    </row>
    <row r="21145">
      <c r="C21145" s="15"/>
      <c r="E21145" s="8"/>
      <c r="G21145" s="8"/>
      <c r="J21145" s="8"/>
    </row>
    <row r="21146">
      <c r="C21146" s="15"/>
      <c r="E21146" s="8"/>
      <c r="G21146" s="8"/>
      <c r="J21146" s="8"/>
    </row>
    <row r="21147">
      <c r="C21147" s="15"/>
      <c r="E21147" s="8"/>
      <c r="G21147" s="8"/>
      <c r="J21147" s="8"/>
    </row>
    <row r="21148">
      <c r="C21148" s="15"/>
      <c r="E21148" s="8"/>
      <c r="G21148" s="8"/>
      <c r="J21148" s="8"/>
    </row>
    <row r="21149">
      <c r="C21149" s="15"/>
      <c r="E21149" s="8"/>
      <c r="G21149" s="8"/>
      <c r="J21149" s="8"/>
    </row>
    <row r="21150">
      <c r="C21150" s="15"/>
      <c r="E21150" s="8"/>
      <c r="G21150" s="8"/>
      <c r="J21150" s="8"/>
    </row>
    <row r="21151">
      <c r="C21151" s="15"/>
      <c r="E21151" s="8"/>
      <c r="G21151" s="8"/>
      <c r="J21151" s="8"/>
    </row>
    <row r="21152">
      <c r="C21152" s="15"/>
      <c r="E21152" s="8"/>
      <c r="G21152" s="8"/>
      <c r="J21152" s="8"/>
    </row>
    <row r="21153">
      <c r="C21153" s="15"/>
      <c r="E21153" s="8"/>
      <c r="G21153" s="8"/>
      <c r="J21153" s="8"/>
    </row>
    <row r="21154">
      <c r="C21154" s="15"/>
      <c r="E21154" s="8"/>
      <c r="G21154" s="8"/>
      <c r="J21154" s="8"/>
    </row>
    <row r="21155">
      <c r="C21155" s="15"/>
      <c r="E21155" s="8"/>
      <c r="G21155" s="8"/>
      <c r="J21155" s="8"/>
    </row>
    <row r="21156">
      <c r="C21156" s="15"/>
      <c r="E21156" s="8"/>
      <c r="G21156" s="8"/>
      <c r="J21156" s="8"/>
    </row>
    <row r="21157">
      <c r="C21157" s="15"/>
      <c r="E21157" s="8"/>
      <c r="G21157" s="8"/>
      <c r="J21157" s="8"/>
    </row>
    <row r="21158">
      <c r="C21158" s="15"/>
      <c r="E21158" s="8"/>
      <c r="G21158" s="8"/>
      <c r="J21158" s="8"/>
    </row>
    <row r="21159">
      <c r="C21159" s="15"/>
      <c r="E21159" s="8"/>
      <c r="G21159" s="8"/>
      <c r="J21159" s="8"/>
    </row>
    <row r="21160">
      <c r="C21160" s="15"/>
      <c r="E21160" s="8"/>
      <c r="G21160" s="8"/>
      <c r="J21160" s="8"/>
    </row>
    <row r="21161">
      <c r="C21161" s="15"/>
      <c r="E21161" s="8"/>
      <c r="G21161" s="8"/>
      <c r="J21161" s="8"/>
    </row>
    <row r="21162">
      <c r="C21162" s="15"/>
      <c r="E21162" s="8"/>
      <c r="G21162" s="8"/>
      <c r="J21162" s="8"/>
    </row>
    <row r="21163">
      <c r="C21163" s="15"/>
      <c r="E21163" s="8"/>
      <c r="G21163" s="8"/>
      <c r="J21163" s="8"/>
    </row>
    <row r="21164">
      <c r="C21164" s="15"/>
      <c r="E21164" s="8"/>
      <c r="G21164" s="8"/>
      <c r="J21164" s="8"/>
    </row>
    <row r="21165">
      <c r="C21165" s="15"/>
      <c r="E21165" s="8"/>
      <c r="G21165" s="8"/>
      <c r="J21165" s="8"/>
    </row>
    <row r="21166">
      <c r="C21166" s="15"/>
      <c r="E21166" s="8"/>
      <c r="G21166" s="8"/>
      <c r="J21166" s="8"/>
    </row>
    <row r="21167">
      <c r="C21167" s="15"/>
      <c r="E21167" s="8"/>
      <c r="G21167" s="8"/>
      <c r="J21167" s="8"/>
    </row>
    <row r="21168">
      <c r="C21168" s="15"/>
      <c r="E21168" s="8"/>
      <c r="G21168" s="8"/>
      <c r="J21168" s="8"/>
    </row>
    <row r="21169">
      <c r="C21169" s="15"/>
      <c r="E21169" s="8"/>
      <c r="G21169" s="8"/>
      <c r="J21169" s="8"/>
    </row>
    <row r="21170">
      <c r="C21170" s="15"/>
      <c r="E21170" s="8"/>
      <c r="G21170" s="8"/>
      <c r="J21170" s="8"/>
    </row>
    <row r="21171">
      <c r="C21171" s="15"/>
      <c r="E21171" s="8"/>
      <c r="G21171" s="8"/>
      <c r="J21171" s="8"/>
    </row>
    <row r="21172">
      <c r="C21172" s="15"/>
      <c r="E21172" s="8"/>
      <c r="G21172" s="8"/>
      <c r="J21172" s="8"/>
    </row>
    <row r="21173">
      <c r="C21173" s="15"/>
      <c r="E21173" s="8"/>
      <c r="G21173" s="8"/>
      <c r="J21173" s="8"/>
    </row>
    <row r="21174">
      <c r="C21174" s="15"/>
      <c r="E21174" s="8"/>
      <c r="G21174" s="8"/>
      <c r="J21174" s="8"/>
    </row>
    <row r="21175">
      <c r="C21175" s="15"/>
      <c r="E21175" s="8"/>
      <c r="G21175" s="8"/>
      <c r="J21175" s="8"/>
    </row>
    <row r="21176">
      <c r="C21176" s="15"/>
      <c r="E21176" s="8"/>
      <c r="G21176" s="8"/>
      <c r="J21176" s="8"/>
    </row>
    <row r="21177">
      <c r="C21177" s="15"/>
      <c r="E21177" s="8"/>
      <c r="G21177" s="8"/>
      <c r="J21177" s="8"/>
    </row>
    <row r="21178">
      <c r="C21178" s="15"/>
      <c r="E21178" s="8"/>
      <c r="G21178" s="8"/>
      <c r="J21178" s="8"/>
    </row>
    <row r="21179">
      <c r="C21179" s="15"/>
      <c r="E21179" s="8"/>
      <c r="G21179" s="8"/>
      <c r="J21179" s="8"/>
    </row>
    <row r="21180">
      <c r="C21180" s="15"/>
      <c r="E21180" s="8"/>
      <c r="G21180" s="8"/>
      <c r="J21180" s="8"/>
    </row>
    <row r="21181">
      <c r="C21181" s="15"/>
      <c r="E21181" s="8"/>
      <c r="G21181" s="8"/>
      <c r="J21181" s="8"/>
    </row>
    <row r="21182">
      <c r="C21182" s="15"/>
      <c r="E21182" s="8"/>
      <c r="G21182" s="8"/>
      <c r="J21182" s="8"/>
    </row>
    <row r="21183">
      <c r="C21183" s="15"/>
      <c r="E21183" s="8"/>
      <c r="G21183" s="8"/>
      <c r="J21183" s="8"/>
    </row>
    <row r="21184">
      <c r="C21184" s="15"/>
      <c r="E21184" s="8"/>
      <c r="G21184" s="8"/>
      <c r="J21184" s="8"/>
    </row>
    <row r="21185">
      <c r="C21185" s="15"/>
      <c r="E21185" s="8"/>
      <c r="G21185" s="8"/>
      <c r="J21185" s="8"/>
    </row>
    <row r="21186">
      <c r="C21186" s="15"/>
      <c r="E21186" s="8"/>
      <c r="G21186" s="8"/>
      <c r="J21186" s="8"/>
    </row>
    <row r="21187">
      <c r="C21187" s="15"/>
      <c r="E21187" s="8"/>
      <c r="G21187" s="8"/>
      <c r="J21187" s="8"/>
    </row>
    <row r="21188">
      <c r="C21188" s="15"/>
      <c r="E21188" s="8"/>
      <c r="G21188" s="8"/>
      <c r="J21188" s="8"/>
    </row>
    <row r="21189">
      <c r="C21189" s="15"/>
      <c r="E21189" s="8"/>
      <c r="G21189" s="8"/>
      <c r="J21189" s="8"/>
    </row>
    <row r="21190">
      <c r="C21190" s="15"/>
      <c r="E21190" s="8"/>
      <c r="G21190" s="8"/>
      <c r="J21190" s="8"/>
    </row>
    <row r="21191">
      <c r="C21191" s="15"/>
      <c r="E21191" s="8"/>
      <c r="G21191" s="8"/>
      <c r="J21191" s="8"/>
    </row>
    <row r="21192">
      <c r="C21192" s="15"/>
      <c r="E21192" s="8"/>
      <c r="G21192" s="8"/>
      <c r="J21192" s="8"/>
    </row>
    <row r="21193">
      <c r="C21193" s="15"/>
      <c r="E21193" s="8"/>
      <c r="G21193" s="8"/>
      <c r="J21193" s="8"/>
    </row>
    <row r="21194">
      <c r="C21194" s="15"/>
      <c r="E21194" s="8"/>
      <c r="G21194" s="8"/>
      <c r="J21194" s="8"/>
    </row>
    <row r="21195">
      <c r="C21195" s="15"/>
      <c r="E21195" s="8"/>
      <c r="G21195" s="8"/>
      <c r="J21195" s="8"/>
    </row>
    <row r="21196">
      <c r="C21196" s="15"/>
      <c r="E21196" s="8"/>
      <c r="G21196" s="8"/>
      <c r="J21196" s="8"/>
    </row>
    <row r="21197">
      <c r="C21197" s="15"/>
      <c r="E21197" s="8"/>
      <c r="G21197" s="8"/>
      <c r="J21197" s="8"/>
    </row>
    <row r="21198">
      <c r="C21198" s="15"/>
      <c r="E21198" s="8"/>
      <c r="G21198" s="8"/>
      <c r="J21198" s="8"/>
    </row>
    <row r="21199">
      <c r="C21199" s="15"/>
      <c r="E21199" s="8"/>
      <c r="G21199" s="8"/>
      <c r="J21199" s="8"/>
    </row>
    <row r="21200">
      <c r="C21200" s="15"/>
      <c r="E21200" s="8"/>
      <c r="G21200" s="8"/>
      <c r="J21200" s="8"/>
    </row>
    <row r="21201">
      <c r="C21201" s="15"/>
      <c r="E21201" s="8"/>
      <c r="G21201" s="8"/>
      <c r="J21201" s="8"/>
    </row>
    <row r="21202">
      <c r="C21202" s="15"/>
      <c r="E21202" s="8"/>
      <c r="G21202" s="8"/>
      <c r="J21202" s="8"/>
    </row>
    <row r="21203">
      <c r="C21203" s="15"/>
      <c r="E21203" s="8"/>
      <c r="G21203" s="8"/>
      <c r="J21203" s="8"/>
    </row>
    <row r="21204">
      <c r="C21204" s="15"/>
      <c r="E21204" s="8"/>
      <c r="G21204" s="8"/>
      <c r="J21204" s="8"/>
    </row>
    <row r="21205">
      <c r="C21205" s="15"/>
      <c r="E21205" s="8"/>
      <c r="G21205" s="8"/>
      <c r="J21205" s="8"/>
    </row>
    <row r="21206">
      <c r="C21206" s="15"/>
      <c r="E21206" s="8"/>
      <c r="G21206" s="8"/>
      <c r="J21206" s="8"/>
    </row>
    <row r="21207">
      <c r="C21207" s="15"/>
      <c r="E21207" s="8"/>
      <c r="G21207" s="8"/>
      <c r="J21207" s="8"/>
    </row>
    <row r="21208">
      <c r="C21208" s="15"/>
      <c r="E21208" s="8"/>
      <c r="G21208" s="8"/>
      <c r="J21208" s="8"/>
    </row>
    <row r="21209">
      <c r="C21209" s="15"/>
      <c r="E21209" s="8"/>
      <c r="G21209" s="8"/>
      <c r="J21209" s="8"/>
    </row>
    <row r="21210">
      <c r="C21210" s="15"/>
      <c r="E21210" s="8"/>
      <c r="G21210" s="8"/>
      <c r="J21210" s="8"/>
    </row>
    <row r="21211">
      <c r="C21211" s="15"/>
      <c r="E21211" s="8"/>
      <c r="G21211" s="8"/>
      <c r="J21211" s="8"/>
    </row>
    <row r="21212">
      <c r="C21212" s="15"/>
      <c r="E21212" s="8"/>
      <c r="G21212" s="8"/>
      <c r="J21212" s="8"/>
    </row>
    <row r="21213">
      <c r="C21213" s="15"/>
      <c r="E21213" s="8"/>
      <c r="G21213" s="8"/>
      <c r="J21213" s="8"/>
    </row>
    <row r="21214">
      <c r="C21214" s="15"/>
      <c r="E21214" s="8"/>
      <c r="G21214" s="8"/>
      <c r="J21214" s="8"/>
    </row>
    <row r="21215">
      <c r="C21215" s="15"/>
      <c r="E21215" s="8"/>
      <c r="G21215" s="8"/>
      <c r="J21215" s="8"/>
    </row>
    <row r="21216">
      <c r="C21216" s="15"/>
      <c r="E21216" s="8"/>
      <c r="G21216" s="8"/>
      <c r="J21216" s="8"/>
    </row>
    <row r="21217">
      <c r="C21217" s="15"/>
      <c r="E21217" s="8"/>
      <c r="G21217" s="8"/>
      <c r="J21217" s="8"/>
    </row>
    <row r="21218">
      <c r="C21218" s="15"/>
      <c r="E21218" s="8"/>
      <c r="G21218" s="8"/>
      <c r="J21218" s="8"/>
    </row>
    <row r="21219">
      <c r="C21219" s="15"/>
      <c r="E21219" s="8"/>
      <c r="G21219" s="8"/>
      <c r="J21219" s="8"/>
    </row>
    <row r="21220">
      <c r="C21220" s="15"/>
      <c r="E21220" s="8"/>
      <c r="G21220" s="8"/>
      <c r="J21220" s="8"/>
    </row>
    <row r="21221">
      <c r="C21221" s="15"/>
      <c r="E21221" s="8"/>
      <c r="G21221" s="8"/>
      <c r="J21221" s="8"/>
    </row>
    <row r="21222">
      <c r="C21222" s="15"/>
      <c r="E21222" s="8"/>
      <c r="G21222" s="8"/>
      <c r="J21222" s="8"/>
    </row>
    <row r="21223">
      <c r="C21223" s="15"/>
      <c r="E21223" s="8"/>
      <c r="G21223" s="8"/>
      <c r="J21223" s="8"/>
    </row>
    <row r="21224">
      <c r="C21224" s="15"/>
      <c r="E21224" s="8"/>
      <c r="G21224" s="8"/>
      <c r="J21224" s="8"/>
    </row>
    <row r="21225">
      <c r="C21225" s="15"/>
      <c r="E21225" s="8"/>
      <c r="G21225" s="8"/>
      <c r="J21225" s="8"/>
    </row>
    <row r="21226">
      <c r="C21226" s="15"/>
      <c r="E21226" s="8"/>
      <c r="G21226" s="8"/>
      <c r="J21226" s="8"/>
    </row>
    <row r="21227">
      <c r="C21227" s="15"/>
      <c r="E21227" s="8"/>
      <c r="G21227" s="8"/>
      <c r="J21227" s="8"/>
    </row>
    <row r="21228">
      <c r="C21228" s="15"/>
      <c r="E21228" s="8"/>
      <c r="G21228" s="8"/>
      <c r="J21228" s="8"/>
    </row>
    <row r="21229">
      <c r="C21229" s="15"/>
      <c r="E21229" s="8"/>
      <c r="G21229" s="8"/>
      <c r="J21229" s="8"/>
    </row>
    <row r="21230">
      <c r="C21230" s="15"/>
      <c r="E21230" s="8"/>
      <c r="G21230" s="8"/>
      <c r="J21230" s="8"/>
    </row>
    <row r="21231">
      <c r="C21231" s="15"/>
      <c r="E21231" s="8"/>
      <c r="G21231" s="8"/>
      <c r="J21231" s="8"/>
    </row>
    <row r="21232">
      <c r="C21232" s="15"/>
      <c r="E21232" s="8"/>
      <c r="G21232" s="8"/>
      <c r="J21232" s="8"/>
    </row>
    <row r="21233">
      <c r="C21233" s="15"/>
      <c r="E21233" s="8"/>
      <c r="G21233" s="8"/>
      <c r="J21233" s="8"/>
    </row>
    <row r="21234">
      <c r="C21234" s="15"/>
      <c r="E21234" s="8"/>
      <c r="G21234" s="8"/>
      <c r="J21234" s="8"/>
    </row>
    <row r="21235">
      <c r="C21235" s="15"/>
      <c r="E21235" s="8"/>
      <c r="G21235" s="8"/>
      <c r="J21235" s="8"/>
    </row>
    <row r="21236">
      <c r="C21236" s="15"/>
      <c r="E21236" s="8"/>
      <c r="G21236" s="8"/>
      <c r="J21236" s="8"/>
    </row>
    <row r="21237">
      <c r="C21237" s="15"/>
      <c r="E21237" s="8"/>
      <c r="G21237" s="8"/>
      <c r="J21237" s="8"/>
    </row>
    <row r="21238">
      <c r="C21238" s="15"/>
      <c r="E21238" s="8"/>
      <c r="G21238" s="8"/>
      <c r="J21238" s="8"/>
    </row>
    <row r="21239">
      <c r="C21239" s="15"/>
      <c r="E21239" s="8"/>
      <c r="G21239" s="8"/>
      <c r="J21239" s="8"/>
    </row>
    <row r="21240">
      <c r="C21240" s="15"/>
      <c r="E21240" s="8"/>
      <c r="G21240" s="8"/>
      <c r="J21240" s="8"/>
    </row>
    <row r="21241">
      <c r="C21241" s="15"/>
      <c r="E21241" s="8"/>
      <c r="G21241" s="8"/>
      <c r="J21241" s="8"/>
    </row>
    <row r="21242">
      <c r="C21242" s="15"/>
      <c r="E21242" s="8"/>
      <c r="G21242" s="8"/>
      <c r="J21242" s="8"/>
    </row>
    <row r="21243">
      <c r="C21243" s="15"/>
      <c r="E21243" s="8"/>
      <c r="G21243" s="8"/>
      <c r="J21243" s="8"/>
    </row>
    <row r="21244">
      <c r="C21244" s="15"/>
      <c r="E21244" s="8"/>
      <c r="G21244" s="8"/>
      <c r="J21244" s="8"/>
    </row>
    <row r="21245">
      <c r="C21245" s="15"/>
      <c r="E21245" s="8"/>
      <c r="G21245" s="8"/>
      <c r="J21245" s="8"/>
    </row>
    <row r="21246">
      <c r="C21246" s="15"/>
      <c r="E21246" s="8"/>
      <c r="G21246" s="8"/>
      <c r="J21246" s="8"/>
    </row>
    <row r="21247">
      <c r="C21247" s="15"/>
      <c r="E21247" s="8"/>
      <c r="G21247" s="8"/>
      <c r="J21247" s="8"/>
    </row>
    <row r="21248">
      <c r="C21248" s="15"/>
      <c r="E21248" s="8"/>
      <c r="G21248" s="8"/>
      <c r="J21248" s="8"/>
    </row>
    <row r="21249">
      <c r="C21249" s="15"/>
      <c r="E21249" s="8"/>
      <c r="G21249" s="8"/>
      <c r="J21249" s="8"/>
    </row>
    <row r="21250">
      <c r="C21250" s="15"/>
      <c r="E21250" s="8"/>
      <c r="G21250" s="8"/>
      <c r="J21250" s="8"/>
    </row>
    <row r="21251">
      <c r="C21251" s="15"/>
      <c r="E21251" s="8"/>
      <c r="G21251" s="8"/>
      <c r="J21251" s="8"/>
    </row>
    <row r="21252">
      <c r="C21252" s="15"/>
      <c r="E21252" s="8"/>
      <c r="G21252" s="8"/>
      <c r="J21252" s="8"/>
    </row>
    <row r="21253">
      <c r="C21253" s="15"/>
      <c r="E21253" s="8"/>
      <c r="G21253" s="8"/>
      <c r="J21253" s="8"/>
    </row>
    <row r="21254">
      <c r="C21254" s="15"/>
      <c r="E21254" s="8"/>
      <c r="G21254" s="8"/>
      <c r="J21254" s="8"/>
    </row>
    <row r="21255">
      <c r="C21255" s="15"/>
      <c r="E21255" s="8"/>
      <c r="G21255" s="8"/>
      <c r="J21255" s="8"/>
    </row>
    <row r="21256">
      <c r="C21256" s="15"/>
      <c r="E21256" s="8"/>
      <c r="G21256" s="8"/>
      <c r="J21256" s="8"/>
    </row>
    <row r="21257">
      <c r="C21257" s="15"/>
      <c r="E21257" s="8"/>
      <c r="G21257" s="8"/>
      <c r="J21257" s="8"/>
    </row>
    <row r="21258">
      <c r="C21258" s="15"/>
      <c r="E21258" s="8"/>
      <c r="G21258" s="8"/>
      <c r="J21258" s="8"/>
    </row>
    <row r="21259">
      <c r="C21259" s="15"/>
      <c r="E21259" s="8"/>
      <c r="G21259" s="8"/>
      <c r="J21259" s="8"/>
    </row>
    <row r="21260">
      <c r="C21260" s="15"/>
      <c r="E21260" s="8"/>
      <c r="G21260" s="8"/>
      <c r="J21260" s="8"/>
    </row>
    <row r="21261">
      <c r="C21261" s="15"/>
      <c r="E21261" s="8"/>
      <c r="G21261" s="8"/>
      <c r="J21261" s="8"/>
    </row>
    <row r="21262">
      <c r="C21262" s="15"/>
      <c r="E21262" s="8"/>
      <c r="G21262" s="8"/>
      <c r="J21262" s="8"/>
    </row>
    <row r="21263">
      <c r="C21263" s="15"/>
      <c r="E21263" s="8"/>
      <c r="G21263" s="8"/>
      <c r="J21263" s="8"/>
    </row>
    <row r="21264">
      <c r="C21264" s="15"/>
      <c r="E21264" s="8"/>
      <c r="G21264" s="8"/>
      <c r="J21264" s="8"/>
    </row>
    <row r="21265">
      <c r="C21265" s="15"/>
      <c r="E21265" s="8"/>
      <c r="G21265" s="8"/>
      <c r="J21265" s="8"/>
    </row>
    <row r="21266">
      <c r="C21266" s="15"/>
      <c r="E21266" s="8"/>
      <c r="G21266" s="8"/>
      <c r="J21266" s="8"/>
    </row>
    <row r="21267">
      <c r="C21267" s="15"/>
      <c r="E21267" s="8"/>
      <c r="G21267" s="8"/>
      <c r="J21267" s="8"/>
    </row>
    <row r="21268">
      <c r="C21268" s="15"/>
      <c r="E21268" s="8"/>
      <c r="G21268" s="8"/>
      <c r="J21268" s="8"/>
    </row>
    <row r="21269">
      <c r="C21269" s="15"/>
      <c r="E21269" s="8"/>
      <c r="G21269" s="8"/>
      <c r="J21269" s="8"/>
    </row>
    <row r="21270">
      <c r="C21270" s="15"/>
      <c r="E21270" s="8"/>
      <c r="G21270" s="8"/>
      <c r="J21270" s="8"/>
    </row>
    <row r="21271">
      <c r="C21271" s="15"/>
      <c r="E21271" s="8"/>
      <c r="G21271" s="8"/>
      <c r="J21271" s="8"/>
    </row>
    <row r="21272">
      <c r="C21272" s="15"/>
      <c r="E21272" s="8"/>
      <c r="G21272" s="8"/>
      <c r="J21272" s="8"/>
    </row>
    <row r="21273">
      <c r="C21273" s="15"/>
      <c r="E21273" s="8"/>
      <c r="G21273" s="8"/>
      <c r="J21273" s="8"/>
    </row>
    <row r="21274">
      <c r="C21274" s="15"/>
      <c r="E21274" s="8"/>
      <c r="G21274" s="8"/>
      <c r="J21274" s="8"/>
    </row>
    <row r="21275">
      <c r="C21275" s="15"/>
      <c r="E21275" s="8"/>
      <c r="G21275" s="8"/>
      <c r="J21275" s="8"/>
    </row>
    <row r="21276">
      <c r="C21276" s="15"/>
      <c r="E21276" s="8"/>
      <c r="G21276" s="8"/>
      <c r="J21276" s="8"/>
    </row>
    <row r="21277">
      <c r="C21277" s="15"/>
      <c r="E21277" s="8"/>
      <c r="G21277" s="8"/>
      <c r="J21277" s="8"/>
    </row>
    <row r="21278">
      <c r="C21278" s="15"/>
      <c r="E21278" s="8"/>
      <c r="G21278" s="8"/>
      <c r="J21278" s="8"/>
    </row>
    <row r="21279">
      <c r="C21279" s="15"/>
      <c r="E21279" s="8"/>
      <c r="G21279" s="8"/>
      <c r="J21279" s="8"/>
    </row>
    <row r="21280">
      <c r="C21280" s="15"/>
      <c r="E21280" s="8"/>
      <c r="G21280" s="8"/>
      <c r="J21280" s="8"/>
    </row>
    <row r="21281">
      <c r="C21281" s="15"/>
      <c r="E21281" s="8"/>
      <c r="G21281" s="8"/>
      <c r="J21281" s="8"/>
    </row>
    <row r="21282">
      <c r="C21282" s="15"/>
      <c r="E21282" s="8"/>
      <c r="G21282" s="8"/>
      <c r="J21282" s="8"/>
    </row>
    <row r="21283">
      <c r="C21283" s="15"/>
      <c r="E21283" s="8"/>
      <c r="G21283" s="8"/>
      <c r="J21283" s="8"/>
    </row>
    <row r="21284">
      <c r="C21284" s="15"/>
      <c r="E21284" s="8"/>
      <c r="G21284" s="8"/>
      <c r="J21284" s="8"/>
    </row>
    <row r="21285">
      <c r="C21285" s="15"/>
      <c r="E21285" s="8"/>
      <c r="G21285" s="8"/>
      <c r="J21285" s="8"/>
    </row>
    <row r="21286">
      <c r="C21286" s="15"/>
      <c r="E21286" s="8"/>
      <c r="G21286" s="8"/>
      <c r="J21286" s="8"/>
    </row>
    <row r="21287">
      <c r="C21287" s="15"/>
      <c r="E21287" s="8"/>
      <c r="G21287" s="8"/>
      <c r="J21287" s="8"/>
    </row>
    <row r="21288">
      <c r="C21288" s="15"/>
      <c r="E21288" s="8"/>
      <c r="G21288" s="8"/>
      <c r="J21288" s="8"/>
    </row>
    <row r="21289">
      <c r="C21289" s="15"/>
      <c r="E21289" s="8"/>
      <c r="G21289" s="8"/>
      <c r="J21289" s="8"/>
    </row>
    <row r="21290">
      <c r="C21290" s="15"/>
      <c r="E21290" s="8"/>
      <c r="G21290" s="8"/>
      <c r="J21290" s="8"/>
    </row>
    <row r="21291">
      <c r="C21291" s="15"/>
      <c r="E21291" s="8"/>
      <c r="G21291" s="8"/>
      <c r="J21291" s="8"/>
    </row>
    <row r="21292">
      <c r="C21292" s="15"/>
      <c r="E21292" s="8"/>
      <c r="G21292" s="8"/>
      <c r="J21292" s="8"/>
    </row>
    <row r="21293">
      <c r="C21293" s="15"/>
      <c r="E21293" s="8"/>
      <c r="G21293" s="8"/>
      <c r="J21293" s="8"/>
    </row>
    <row r="21294">
      <c r="C21294" s="15"/>
      <c r="E21294" s="8"/>
      <c r="G21294" s="8"/>
      <c r="J21294" s="8"/>
    </row>
    <row r="21295">
      <c r="C21295" s="15"/>
      <c r="E21295" s="8"/>
      <c r="G21295" s="8"/>
      <c r="J21295" s="8"/>
    </row>
    <row r="21296">
      <c r="C21296" s="15"/>
      <c r="E21296" s="8"/>
      <c r="G21296" s="8"/>
      <c r="J21296" s="8"/>
    </row>
    <row r="21297">
      <c r="C21297" s="15"/>
      <c r="E21297" s="8"/>
      <c r="G21297" s="8"/>
      <c r="J21297" s="8"/>
    </row>
    <row r="21298">
      <c r="C21298" s="15"/>
      <c r="E21298" s="8"/>
      <c r="G21298" s="8"/>
      <c r="J21298" s="8"/>
    </row>
    <row r="21299">
      <c r="C21299" s="15"/>
      <c r="E21299" s="8"/>
      <c r="G21299" s="8"/>
      <c r="J21299" s="8"/>
    </row>
    <row r="21300">
      <c r="C21300" s="15"/>
      <c r="E21300" s="8"/>
      <c r="G21300" s="8"/>
      <c r="J21300" s="8"/>
    </row>
    <row r="21301">
      <c r="C21301" s="15"/>
      <c r="E21301" s="8"/>
      <c r="G21301" s="8"/>
      <c r="J21301" s="8"/>
    </row>
    <row r="21302">
      <c r="C21302" s="15"/>
      <c r="E21302" s="8"/>
      <c r="G21302" s="8"/>
      <c r="J21302" s="8"/>
    </row>
    <row r="21303">
      <c r="C21303" s="15"/>
      <c r="E21303" s="8"/>
      <c r="G21303" s="8"/>
      <c r="J21303" s="8"/>
    </row>
    <row r="21304">
      <c r="C21304" s="15"/>
      <c r="E21304" s="8"/>
      <c r="G21304" s="8"/>
      <c r="J21304" s="8"/>
    </row>
    <row r="21305">
      <c r="C21305" s="15"/>
      <c r="E21305" s="8"/>
      <c r="G21305" s="8"/>
      <c r="J21305" s="8"/>
    </row>
    <row r="21306">
      <c r="C21306" s="15"/>
      <c r="E21306" s="8"/>
      <c r="G21306" s="8"/>
      <c r="J21306" s="8"/>
    </row>
    <row r="21307">
      <c r="C21307" s="15"/>
      <c r="E21307" s="8"/>
      <c r="G21307" s="8"/>
      <c r="J21307" s="8"/>
    </row>
    <row r="21308">
      <c r="C21308" s="15"/>
      <c r="E21308" s="8"/>
      <c r="G21308" s="8"/>
      <c r="J21308" s="8"/>
    </row>
    <row r="21309">
      <c r="C21309" s="15"/>
      <c r="E21309" s="8"/>
      <c r="G21309" s="8"/>
      <c r="J21309" s="8"/>
    </row>
    <row r="21310">
      <c r="C21310" s="15"/>
      <c r="E21310" s="8"/>
      <c r="G21310" s="8"/>
      <c r="J21310" s="8"/>
    </row>
    <row r="21311">
      <c r="C21311" s="15"/>
      <c r="E21311" s="8"/>
      <c r="G21311" s="8"/>
      <c r="J21311" s="8"/>
    </row>
    <row r="21312">
      <c r="C21312" s="15"/>
      <c r="E21312" s="8"/>
      <c r="G21312" s="8"/>
      <c r="J21312" s="8"/>
    </row>
    <row r="21313">
      <c r="C21313" s="15"/>
      <c r="E21313" s="8"/>
      <c r="G21313" s="8"/>
      <c r="J21313" s="8"/>
    </row>
    <row r="21314">
      <c r="C21314" s="15"/>
      <c r="E21314" s="8"/>
      <c r="G21314" s="8"/>
      <c r="J21314" s="8"/>
    </row>
    <row r="21315">
      <c r="C21315" s="15"/>
      <c r="E21315" s="8"/>
      <c r="G21315" s="8"/>
      <c r="J21315" s="8"/>
    </row>
    <row r="21316">
      <c r="C21316" s="15"/>
      <c r="E21316" s="8"/>
      <c r="G21316" s="8"/>
      <c r="J21316" s="8"/>
    </row>
    <row r="21317">
      <c r="C21317" s="15"/>
      <c r="E21317" s="8"/>
      <c r="G21317" s="8"/>
      <c r="J21317" s="8"/>
    </row>
    <row r="21318">
      <c r="C21318" s="15"/>
      <c r="E21318" s="8"/>
      <c r="G21318" s="8"/>
      <c r="J21318" s="8"/>
    </row>
    <row r="21319">
      <c r="C21319" s="15"/>
      <c r="E21319" s="8"/>
      <c r="G21319" s="8"/>
      <c r="J21319" s="8"/>
    </row>
    <row r="21320">
      <c r="C21320" s="15"/>
      <c r="E21320" s="8"/>
      <c r="G21320" s="8"/>
      <c r="J21320" s="8"/>
    </row>
    <row r="21321">
      <c r="C21321" s="15"/>
      <c r="E21321" s="8"/>
      <c r="G21321" s="8"/>
      <c r="J21321" s="8"/>
    </row>
    <row r="21322">
      <c r="C21322" s="15"/>
      <c r="E21322" s="8"/>
      <c r="G21322" s="8"/>
      <c r="J21322" s="8"/>
    </row>
    <row r="21323">
      <c r="C21323" s="15"/>
      <c r="E21323" s="8"/>
      <c r="G21323" s="8"/>
      <c r="J21323" s="8"/>
    </row>
    <row r="21324">
      <c r="C21324" s="15"/>
      <c r="E21324" s="8"/>
      <c r="G21324" s="8"/>
      <c r="J21324" s="8"/>
    </row>
    <row r="21325">
      <c r="C21325" s="15"/>
      <c r="E21325" s="8"/>
      <c r="G21325" s="8"/>
      <c r="J21325" s="8"/>
    </row>
    <row r="21326">
      <c r="C21326" s="15"/>
      <c r="E21326" s="8"/>
      <c r="G21326" s="8"/>
      <c r="J21326" s="8"/>
    </row>
    <row r="21327">
      <c r="C21327" s="15"/>
      <c r="E21327" s="8"/>
      <c r="G21327" s="8"/>
      <c r="J21327" s="8"/>
    </row>
    <row r="21328">
      <c r="C21328" s="15"/>
      <c r="E21328" s="8"/>
      <c r="G21328" s="8"/>
      <c r="J21328" s="8"/>
    </row>
    <row r="21329">
      <c r="C21329" s="15"/>
      <c r="E21329" s="8"/>
      <c r="G21329" s="8"/>
      <c r="J21329" s="8"/>
    </row>
    <row r="21330">
      <c r="C21330" s="15"/>
      <c r="E21330" s="8"/>
      <c r="G21330" s="8"/>
      <c r="J21330" s="8"/>
    </row>
    <row r="21331">
      <c r="C21331" s="15"/>
      <c r="E21331" s="8"/>
      <c r="G21331" s="8"/>
      <c r="J21331" s="8"/>
    </row>
    <row r="21332">
      <c r="C21332" s="15"/>
      <c r="E21332" s="8"/>
      <c r="G21332" s="8"/>
      <c r="J21332" s="8"/>
    </row>
    <row r="21333">
      <c r="C21333" s="15"/>
      <c r="E21333" s="8"/>
      <c r="G21333" s="8"/>
      <c r="J21333" s="8"/>
    </row>
    <row r="21334">
      <c r="C21334" s="15"/>
      <c r="E21334" s="8"/>
      <c r="G21334" s="8"/>
      <c r="J21334" s="8"/>
    </row>
    <row r="21335">
      <c r="C21335" s="15"/>
      <c r="E21335" s="8"/>
      <c r="G21335" s="8"/>
      <c r="J21335" s="8"/>
    </row>
    <row r="21336">
      <c r="C21336" s="15"/>
      <c r="E21336" s="8"/>
      <c r="G21336" s="8"/>
      <c r="J21336" s="8"/>
    </row>
    <row r="21337">
      <c r="C21337" s="15"/>
      <c r="E21337" s="8"/>
      <c r="G21337" s="8"/>
      <c r="J21337" s="8"/>
    </row>
    <row r="21338">
      <c r="C21338" s="15"/>
      <c r="E21338" s="8"/>
      <c r="G21338" s="8"/>
      <c r="J21338" s="8"/>
    </row>
    <row r="21339">
      <c r="C21339" s="15"/>
      <c r="E21339" s="8"/>
      <c r="G21339" s="8"/>
      <c r="J21339" s="8"/>
    </row>
    <row r="21340">
      <c r="C21340" s="15"/>
      <c r="E21340" s="8"/>
      <c r="G21340" s="8"/>
      <c r="J21340" s="8"/>
    </row>
    <row r="21341">
      <c r="C21341" s="15"/>
      <c r="E21341" s="8"/>
      <c r="G21341" s="8"/>
      <c r="J21341" s="8"/>
    </row>
    <row r="21342">
      <c r="C21342" s="15"/>
      <c r="E21342" s="8"/>
      <c r="G21342" s="8"/>
      <c r="J21342" s="8"/>
    </row>
    <row r="21343">
      <c r="C21343" s="15"/>
      <c r="E21343" s="8"/>
      <c r="G21343" s="8"/>
      <c r="J21343" s="8"/>
    </row>
    <row r="21344">
      <c r="C21344" s="15"/>
      <c r="E21344" s="8"/>
      <c r="G21344" s="8"/>
      <c r="J21344" s="8"/>
    </row>
    <row r="21345">
      <c r="C21345" s="15"/>
      <c r="E21345" s="8"/>
      <c r="G21345" s="8"/>
      <c r="J21345" s="8"/>
    </row>
    <row r="21346">
      <c r="C21346" s="15"/>
      <c r="E21346" s="8"/>
      <c r="G21346" s="8"/>
      <c r="J21346" s="8"/>
    </row>
    <row r="21347">
      <c r="C21347" s="15"/>
      <c r="E21347" s="8"/>
      <c r="G21347" s="8"/>
      <c r="J21347" s="8"/>
    </row>
    <row r="21348">
      <c r="C21348" s="15"/>
      <c r="E21348" s="8"/>
      <c r="G21348" s="8"/>
      <c r="J21348" s="8"/>
    </row>
    <row r="21349">
      <c r="C21349" s="15"/>
      <c r="E21349" s="8"/>
      <c r="G21349" s="8"/>
      <c r="J21349" s="8"/>
    </row>
    <row r="21350">
      <c r="C21350" s="15"/>
      <c r="E21350" s="8"/>
      <c r="G21350" s="8"/>
      <c r="J21350" s="8"/>
    </row>
    <row r="21351">
      <c r="C21351" s="15"/>
      <c r="E21351" s="8"/>
      <c r="G21351" s="8"/>
      <c r="J21351" s="8"/>
    </row>
    <row r="21352">
      <c r="C21352" s="15"/>
      <c r="E21352" s="8"/>
      <c r="G21352" s="8"/>
      <c r="J21352" s="8"/>
    </row>
    <row r="21353">
      <c r="C21353" s="15"/>
      <c r="E21353" s="8"/>
      <c r="G21353" s="8"/>
      <c r="J21353" s="8"/>
    </row>
    <row r="21354">
      <c r="C21354" s="15"/>
      <c r="E21354" s="8"/>
      <c r="G21354" s="8"/>
      <c r="J21354" s="8"/>
    </row>
    <row r="21355">
      <c r="C21355" s="15"/>
      <c r="E21355" s="8"/>
      <c r="G21355" s="8"/>
      <c r="J21355" s="8"/>
    </row>
    <row r="21356">
      <c r="C21356" s="15"/>
      <c r="E21356" s="8"/>
      <c r="G21356" s="8"/>
      <c r="J21356" s="8"/>
    </row>
    <row r="21357">
      <c r="C21357" s="15"/>
      <c r="E21357" s="8"/>
      <c r="G21357" s="8"/>
      <c r="J21357" s="8"/>
    </row>
    <row r="21358">
      <c r="C21358" s="15"/>
      <c r="E21358" s="8"/>
      <c r="G21358" s="8"/>
      <c r="J21358" s="8"/>
    </row>
    <row r="21359">
      <c r="C21359" s="15"/>
      <c r="E21359" s="8"/>
      <c r="G21359" s="8"/>
      <c r="J21359" s="8"/>
    </row>
    <row r="21360">
      <c r="C21360" s="15"/>
      <c r="E21360" s="8"/>
      <c r="G21360" s="8"/>
      <c r="J21360" s="8"/>
    </row>
    <row r="21361">
      <c r="C21361" s="15"/>
      <c r="E21361" s="8"/>
      <c r="G21361" s="8"/>
      <c r="J21361" s="8"/>
    </row>
    <row r="21362">
      <c r="C21362" s="15"/>
      <c r="E21362" s="8"/>
      <c r="G21362" s="8"/>
      <c r="J21362" s="8"/>
    </row>
    <row r="21363">
      <c r="C21363" s="15"/>
      <c r="E21363" s="8"/>
      <c r="G21363" s="8"/>
      <c r="J21363" s="8"/>
    </row>
    <row r="21364">
      <c r="C21364" s="15"/>
      <c r="E21364" s="8"/>
      <c r="G21364" s="8"/>
      <c r="J21364" s="8"/>
    </row>
    <row r="21365">
      <c r="C21365" s="15"/>
      <c r="E21365" s="8"/>
      <c r="G21365" s="8"/>
      <c r="J21365" s="8"/>
    </row>
    <row r="21366">
      <c r="C21366" s="15"/>
      <c r="E21366" s="8"/>
      <c r="G21366" s="8"/>
      <c r="J21366" s="8"/>
    </row>
    <row r="21367">
      <c r="C21367" s="15"/>
      <c r="E21367" s="8"/>
      <c r="G21367" s="8"/>
      <c r="J21367" s="8"/>
    </row>
    <row r="21368">
      <c r="C21368" s="15"/>
      <c r="E21368" s="8"/>
      <c r="G21368" s="8"/>
      <c r="J21368" s="8"/>
    </row>
    <row r="21369">
      <c r="C21369" s="15"/>
      <c r="E21369" s="8"/>
      <c r="G21369" s="8"/>
      <c r="J21369" s="8"/>
    </row>
    <row r="21370">
      <c r="C21370" s="15"/>
      <c r="E21370" s="8"/>
      <c r="G21370" s="8"/>
      <c r="J21370" s="8"/>
    </row>
    <row r="21371">
      <c r="C21371" s="15"/>
      <c r="E21371" s="8"/>
      <c r="G21371" s="8"/>
      <c r="J21371" s="8"/>
    </row>
    <row r="21372">
      <c r="C21372" s="15"/>
      <c r="E21372" s="8"/>
      <c r="G21372" s="8"/>
      <c r="J21372" s="8"/>
    </row>
    <row r="21373">
      <c r="C21373" s="15"/>
      <c r="E21373" s="8"/>
      <c r="G21373" s="8"/>
      <c r="J21373" s="8"/>
    </row>
    <row r="21374">
      <c r="C21374" s="15"/>
      <c r="E21374" s="8"/>
      <c r="G21374" s="8"/>
      <c r="J21374" s="8"/>
    </row>
    <row r="21375">
      <c r="C21375" s="15"/>
      <c r="E21375" s="8"/>
      <c r="G21375" s="8"/>
      <c r="J21375" s="8"/>
    </row>
    <row r="21376">
      <c r="C21376" s="15"/>
      <c r="E21376" s="8"/>
      <c r="G21376" s="8"/>
      <c r="J21376" s="8"/>
    </row>
    <row r="21377">
      <c r="C21377" s="15"/>
      <c r="E21377" s="8"/>
      <c r="G21377" s="8"/>
      <c r="J21377" s="8"/>
    </row>
    <row r="21378">
      <c r="C21378" s="15"/>
      <c r="E21378" s="8"/>
      <c r="G21378" s="8"/>
      <c r="J21378" s="8"/>
    </row>
    <row r="21379">
      <c r="C21379" s="15"/>
      <c r="E21379" s="8"/>
      <c r="G21379" s="8"/>
      <c r="J21379" s="8"/>
    </row>
    <row r="21380">
      <c r="C21380" s="15"/>
      <c r="E21380" s="8"/>
      <c r="G21380" s="8"/>
      <c r="J21380" s="8"/>
    </row>
    <row r="21381">
      <c r="C21381" s="15"/>
      <c r="E21381" s="8"/>
      <c r="G21381" s="8"/>
      <c r="J21381" s="8"/>
    </row>
    <row r="21382">
      <c r="C21382" s="15"/>
      <c r="E21382" s="8"/>
      <c r="G21382" s="8"/>
      <c r="J21382" s="8"/>
    </row>
    <row r="21383">
      <c r="C21383" s="15"/>
      <c r="E21383" s="8"/>
      <c r="G21383" s="8"/>
      <c r="J21383" s="8"/>
    </row>
    <row r="21384">
      <c r="C21384" s="15"/>
      <c r="E21384" s="8"/>
      <c r="G21384" s="8"/>
      <c r="J21384" s="8"/>
    </row>
    <row r="21385">
      <c r="C21385" s="15"/>
      <c r="E21385" s="8"/>
      <c r="G21385" s="8"/>
      <c r="J21385" s="8"/>
    </row>
    <row r="21386">
      <c r="C21386" s="15"/>
      <c r="E21386" s="8"/>
      <c r="G21386" s="8"/>
      <c r="J21386" s="8"/>
    </row>
    <row r="21387">
      <c r="C21387" s="15"/>
      <c r="E21387" s="8"/>
      <c r="G21387" s="8"/>
      <c r="J21387" s="8"/>
    </row>
    <row r="21388">
      <c r="C21388" s="15"/>
      <c r="E21388" s="8"/>
      <c r="G21388" s="8"/>
      <c r="J21388" s="8"/>
    </row>
    <row r="21389">
      <c r="C21389" s="15"/>
      <c r="E21389" s="8"/>
      <c r="G21389" s="8"/>
      <c r="J21389" s="8"/>
    </row>
    <row r="21390">
      <c r="C21390" s="15"/>
      <c r="E21390" s="8"/>
      <c r="G21390" s="8"/>
      <c r="J21390" s="8"/>
    </row>
    <row r="21391">
      <c r="C21391" s="15"/>
      <c r="E21391" s="8"/>
      <c r="G21391" s="8"/>
      <c r="J21391" s="8"/>
    </row>
    <row r="21392">
      <c r="C21392" s="15"/>
      <c r="E21392" s="8"/>
      <c r="G21392" s="8"/>
      <c r="J21392" s="8"/>
    </row>
    <row r="21393">
      <c r="C21393" s="15"/>
      <c r="E21393" s="8"/>
      <c r="G21393" s="8"/>
      <c r="J21393" s="8"/>
    </row>
    <row r="21394">
      <c r="C21394" s="15"/>
      <c r="E21394" s="8"/>
      <c r="G21394" s="8"/>
      <c r="J21394" s="8"/>
    </row>
    <row r="21395">
      <c r="C21395" s="15"/>
      <c r="E21395" s="8"/>
      <c r="G21395" s="8"/>
      <c r="J21395" s="8"/>
    </row>
    <row r="21396">
      <c r="C21396" s="15"/>
      <c r="E21396" s="8"/>
      <c r="G21396" s="8"/>
      <c r="J21396" s="8"/>
    </row>
    <row r="21397">
      <c r="C21397" s="15"/>
      <c r="E21397" s="8"/>
      <c r="G21397" s="8"/>
      <c r="J21397" s="8"/>
    </row>
    <row r="21398">
      <c r="C21398" s="15"/>
      <c r="E21398" s="8"/>
      <c r="G21398" s="8"/>
      <c r="J21398" s="8"/>
    </row>
    <row r="21399">
      <c r="C21399" s="15"/>
      <c r="E21399" s="8"/>
      <c r="G21399" s="8"/>
      <c r="J21399" s="8"/>
    </row>
    <row r="21400">
      <c r="C21400" s="15"/>
      <c r="E21400" s="8"/>
      <c r="G21400" s="8"/>
      <c r="J21400" s="8"/>
    </row>
    <row r="21401">
      <c r="C21401" s="15"/>
      <c r="E21401" s="8"/>
      <c r="G21401" s="8"/>
      <c r="J21401" s="8"/>
    </row>
    <row r="21402">
      <c r="C21402" s="15"/>
      <c r="E21402" s="8"/>
      <c r="G21402" s="8"/>
      <c r="J21402" s="8"/>
    </row>
    <row r="21403">
      <c r="C21403" s="15"/>
      <c r="E21403" s="8"/>
      <c r="G21403" s="8"/>
      <c r="J21403" s="8"/>
    </row>
    <row r="21404">
      <c r="C21404" s="15"/>
      <c r="E21404" s="8"/>
      <c r="G21404" s="8"/>
      <c r="J21404" s="8"/>
    </row>
    <row r="21405">
      <c r="C21405" s="15"/>
      <c r="E21405" s="8"/>
      <c r="G21405" s="8"/>
      <c r="J21405" s="8"/>
    </row>
    <row r="21406">
      <c r="C21406" s="15"/>
      <c r="E21406" s="8"/>
      <c r="G21406" s="8"/>
      <c r="J21406" s="8"/>
    </row>
    <row r="21407">
      <c r="C21407" s="15"/>
      <c r="E21407" s="8"/>
      <c r="G21407" s="8"/>
      <c r="J21407" s="8"/>
    </row>
    <row r="21408">
      <c r="C21408" s="15"/>
      <c r="E21408" s="8"/>
      <c r="G21408" s="8"/>
      <c r="J21408" s="8"/>
    </row>
    <row r="21409">
      <c r="C21409" s="15"/>
      <c r="E21409" s="8"/>
      <c r="G21409" s="8"/>
      <c r="J21409" s="8"/>
    </row>
    <row r="21410">
      <c r="C21410" s="15"/>
      <c r="E21410" s="8"/>
      <c r="G21410" s="8"/>
      <c r="J21410" s="8"/>
    </row>
    <row r="21411">
      <c r="C21411" s="15"/>
      <c r="E21411" s="8"/>
      <c r="G21411" s="8"/>
      <c r="J21411" s="8"/>
    </row>
    <row r="21412">
      <c r="C21412" s="15"/>
      <c r="E21412" s="8"/>
      <c r="G21412" s="8"/>
      <c r="J21412" s="8"/>
    </row>
    <row r="21413">
      <c r="C21413" s="15"/>
      <c r="E21413" s="8"/>
      <c r="G21413" s="8"/>
      <c r="J21413" s="8"/>
    </row>
    <row r="21414">
      <c r="C21414" s="15"/>
      <c r="E21414" s="8"/>
      <c r="G21414" s="8"/>
      <c r="J21414" s="8"/>
    </row>
    <row r="21415">
      <c r="C21415" s="15"/>
      <c r="E21415" s="8"/>
      <c r="G21415" s="8"/>
      <c r="J21415" s="8"/>
    </row>
    <row r="21416">
      <c r="C21416" s="15"/>
      <c r="E21416" s="8"/>
      <c r="G21416" s="8"/>
      <c r="J21416" s="8"/>
    </row>
    <row r="21417">
      <c r="C21417" s="15"/>
      <c r="E21417" s="8"/>
      <c r="G21417" s="8"/>
      <c r="J21417" s="8"/>
    </row>
    <row r="21418">
      <c r="C21418" s="15"/>
      <c r="E21418" s="8"/>
      <c r="G21418" s="8"/>
      <c r="J21418" s="8"/>
    </row>
    <row r="21419">
      <c r="C21419" s="15"/>
      <c r="E21419" s="8"/>
      <c r="G21419" s="8"/>
      <c r="J21419" s="8"/>
    </row>
    <row r="21420">
      <c r="C21420" s="15"/>
      <c r="E21420" s="8"/>
      <c r="G21420" s="8"/>
      <c r="J21420" s="8"/>
    </row>
    <row r="21421">
      <c r="C21421" s="15"/>
      <c r="E21421" s="8"/>
      <c r="G21421" s="8"/>
      <c r="J21421" s="8"/>
    </row>
    <row r="21422">
      <c r="C21422" s="15"/>
      <c r="E21422" s="8"/>
      <c r="G21422" s="8"/>
      <c r="J21422" s="8"/>
    </row>
    <row r="21423">
      <c r="C21423" s="15"/>
      <c r="E21423" s="8"/>
      <c r="G21423" s="8"/>
      <c r="J21423" s="8"/>
    </row>
    <row r="21424">
      <c r="C21424" s="15"/>
      <c r="E21424" s="8"/>
      <c r="G21424" s="8"/>
      <c r="J21424" s="8"/>
    </row>
    <row r="21425">
      <c r="C21425" s="15"/>
      <c r="E21425" s="8"/>
      <c r="G21425" s="8"/>
      <c r="J21425" s="8"/>
    </row>
    <row r="21426">
      <c r="C21426" s="15"/>
      <c r="E21426" s="8"/>
      <c r="G21426" s="8"/>
      <c r="J21426" s="8"/>
    </row>
    <row r="21427">
      <c r="C21427" s="15"/>
      <c r="E21427" s="8"/>
      <c r="G21427" s="8"/>
      <c r="J21427" s="8"/>
    </row>
    <row r="21428">
      <c r="C21428" s="15"/>
      <c r="E21428" s="8"/>
      <c r="G21428" s="8"/>
      <c r="J21428" s="8"/>
    </row>
    <row r="21429">
      <c r="C21429" s="15"/>
      <c r="E21429" s="8"/>
      <c r="G21429" s="8"/>
      <c r="J21429" s="8"/>
    </row>
    <row r="21430">
      <c r="C21430" s="15"/>
      <c r="E21430" s="8"/>
      <c r="G21430" s="8"/>
      <c r="J21430" s="8"/>
    </row>
    <row r="21431">
      <c r="C21431" s="15"/>
      <c r="E21431" s="8"/>
      <c r="G21431" s="8"/>
      <c r="J21431" s="8"/>
    </row>
    <row r="21432">
      <c r="C21432" s="15"/>
      <c r="E21432" s="8"/>
      <c r="G21432" s="8"/>
      <c r="J21432" s="8"/>
    </row>
    <row r="21433">
      <c r="C21433" s="15"/>
      <c r="E21433" s="8"/>
      <c r="G21433" s="8"/>
      <c r="J21433" s="8"/>
    </row>
    <row r="21434">
      <c r="C21434" s="15"/>
      <c r="E21434" s="8"/>
      <c r="G21434" s="8"/>
      <c r="J21434" s="8"/>
    </row>
    <row r="21435">
      <c r="C21435" s="15"/>
      <c r="E21435" s="8"/>
      <c r="G21435" s="8"/>
      <c r="J21435" s="8"/>
    </row>
    <row r="21436">
      <c r="C21436" s="15"/>
      <c r="E21436" s="8"/>
      <c r="G21436" s="8"/>
      <c r="J21436" s="8"/>
    </row>
    <row r="21437">
      <c r="C21437" s="15"/>
      <c r="E21437" s="8"/>
      <c r="G21437" s="8"/>
      <c r="J21437" s="8"/>
    </row>
    <row r="21438">
      <c r="C21438" s="15"/>
      <c r="E21438" s="8"/>
      <c r="G21438" s="8"/>
      <c r="J21438" s="8"/>
    </row>
    <row r="21439">
      <c r="C21439" s="15"/>
      <c r="E21439" s="8"/>
      <c r="G21439" s="8"/>
      <c r="J21439" s="8"/>
    </row>
    <row r="21440">
      <c r="C21440" s="15"/>
      <c r="E21440" s="8"/>
      <c r="G21440" s="8"/>
      <c r="J21440" s="8"/>
    </row>
    <row r="21441">
      <c r="C21441" s="15"/>
      <c r="E21441" s="8"/>
      <c r="G21441" s="8"/>
      <c r="J21441" s="8"/>
    </row>
    <row r="21442">
      <c r="C21442" s="15"/>
      <c r="E21442" s="8"/>
      <c r="G21442" s="8"/>
      <c r="J21442" s="8"/>
    </row>
    <row r="21443">
      <c r="C21443" s="15"/>
      <c r="E21443" s="8"/>
      <c r="G21443" s="8"/>
      <c r="J21443" s="8"/>
    </row>
    <row r="21444">
      <c r="C21444" s="15"/>
      <c r="E21444" s="8"/>
      <c r="G21444" s="8"/>
      <c r="J21444" s="8"/>
    </row>
    <row r="21445">
      <c r="C21445" s="15"/>
      <c r="E21445" s="8"/>
      <c r="G21445" s="8"/>
      <c r="J21445" s="8"/>
    </row>
    <row r="21446">
      <c r="C21446" s="15"/>
      <c r="E21446" s="8"/>
      <c r="G21446" s="8"/>
      <c r="J21446" s="8"/>
    </row>
    <row r="21447">
      <c r="C21447" s="15"/>
      <c r="E21447" s="8"/>
      <c r="G21447" s="8"/>
      <c r="J21447" s="8"/>
    </row>
    <row r="21448">
      <c r="C21448" s="15"/>
      <c r="E21448" s="8"/>
      <c r="G21448" s="8"/>
      <c r="J21448" s="8"/>
    </row>
    <row r="21449">
      <c r="C21449" s="15"/>
      <c r="E21449" s="8"/>
      <c r="G21449" s="8"/>
      <c r="J21449" s="8"/>
    </row>
    <row r="21450">
      <c r="C21450" s="15"/>
      <c r="E21450" s="8"/>
      <c r="G21450" s="8"/>
      <c r="J21450" s="8"/>
    </row>
    <row r="21451">
      <c r="C21451" s="15"/>
      <c r="E21451" s="8"/>
      <c r="G21451" s="8"/>
      <c r="J21451" s="8"/>
    </row>
    <row r="21452">
      <c r="C21452" s="15"/>
      <c r="E21452" s="8"/>
      <c r="G21452" s="8"/>
      <c r="J21452" s="8"/>
    </row>
    <row r="21453">
      <c r="C21453" s="15"/>
      <c r="E21453" s="8"/>
      <c r="G21453" s="8"/>
      <c r="J21453" s="8"/>
    </row>
    <row r="21454">
      <c r="C21454" s="15"/>
      <c r="E21454" s="8"/>
      <c r="G21454" s="8"/>
      <c r="J21454" s="8"/>
    </row>
    <row r="21455">
      <c r="C21455" s="15"/>
      <c r="E21455" s="8"/>
      <c r="G21455" s="8"/>
      <c r="J21455" s="8"/>
    </row>
    <row r="21456">
      <c r="C21456" s="15"/>
      <c r="E21456" s="8"/>
      <c r="G21456" s="8"/>
      <c r="J21456" s="8"/>
    </row>
    <row r="21457">
      <c r="C21457" s="15"/>
      <c r="E21457" s="8"/>
      <c r="G21457" s="8"/>
      <c r="J21457" s="8"/>
    </row>
    <row r="21458">
      <c r="C21458" s="15"/>
      <c r="E21458" s="8"/>
      <c r="G21458" s="8"/>
      <c r="J21458" s="8"/>
    </row>
    <row r="21459">
      <c r="C21459" s="15"/>
      <c r="E21459" s="8"/>
      <c r="G21459" s="8"/>
      <c r="J21459" s="8"/>
    </row>
    <row r="21460">
      <c r="C21460" s="15"/>
      <c r="E21460" s="8"/>
      <c r="G21460" s="8"/>
      <c r="J21460" s="8"/>
    </row>
    <row r="21461">
      <c r="C21461" s="15"/>
      <c r="E21461" s="8"/>
      <c r="G21461" s="8"/>
      <c r="J21461" s="8"/>
    </row>
    <row r="21462">
      <c r="C21462" s="15"/>
      <c r="E21462" s="8"/>
      <c r="G21462" s="8"/>
      <c r="J21462" s="8"/>
    </row>
    <row r="21463">
      <c r="C21463" s="15"/>
      <c r="E21463" s="8"/>
      <c r="G21463" s="8"/>
      <c r="J21463" s="8"/>
    </row>
    <row r="21464">
      <c r="C21464" s="15"/>
      <c r="E21464" s="8"/>
      <c r="G21464" s="8"/>
      <c r="J21464" s="8"/>
    </row>
    <row r="21465">
      <c r="C21465" s="15"/>
      <c r="E21465" s="8"/>
      <c r="G21465" s="8"/>
      <c r="J21465" s="8"/>
    </row>
    <row r="21466">
      <c r="C21466" s="15"/>
      <c r="E21466" s="8"/>
      <c r="G21466" s="8"/>
      <c r="J21466" s="8"/>
    </row>
    <row r="21467">
      <c r="C21467" s="15"/>
      <c r="E21467" s="8"/>
      <c r="G21467" s="8"/>
      <c r="J21467" s="8"/>
    </row>
    <row r="21468">
      <c r="C21468" s="15"/>
      <c r="E21468" s="8"/>
      <c r="G21468" s="8"/>
      <c r="J21468" s="8"/>
    </row>
    <row r="21469">
      <c r="C21469" s="15"/>
      <c r="E21469" s="8"/>
      <c r="G21469" s="8"/>
      <c r="J21469" s="8"/>
    </row>
    <row r="21470">
      <c r="C21470" s="15"/>
      <c r="E21470" s="8"/>
      <c r="G21470" s="8"/>
      <c r="J21470" s="8"/>
    </row>
    <row r="21471">
      <c r="C21471" s="15"/>
      <c r="E21471" s="8"/>
      <c r="G21471" s="8"/>
      <c r="J21471" s="8"/>
    </row>
    <row r="21472">
      <c r="C21472" s="15"/>
      <c r="E21472" s="8"/>
      <c r="G21472" s="8"/>
      <c r="J21472" s="8"/>
    </row>
    <row r="21473">
      <c r="C21473" s="15"/>
      <c r="E21473" s="8"/>
      <c r="G21473" s="8"/>
      <c r="J21473" s="8"/>
    </row>
    <row r="21474">
      <c r="C21474" s="15"/>
      <c r="E21474" s="8"/>
      <c r="G21474" s="8"/>
      <c r="J21474" s="8"/>
    </row>
    <row r="21475">
      <c r="C21475" s="15"/>
      <c r="E21475" s="8"/>
      <c r="G21475" s="8"/>
      <c r="J21475" s="8"/>
    </row>
    <row r="21476">
      <c r="C21476" s="15"/>
      <c r="E21476" s="8"/>
      <c r="G21476" s="8"/>
      <c r="J21476" s="8"/>
    </row>
    <row r="21477">
      <c r="C21477" s="15"/>
      <c r="E21477" s="8"/>
      <c r="G21477" s="8"/>
      <c r="J21477" s="8"/>
    </row>
    <row r="21478">
      <c r="C21478" s="15"/>
      <c r="E21478" s="8"/>
      <c r="G21478" s="8"/>
      <c r="J21478" s="8"/>
    </row>
    <row r="21479">
      <c r="C21479" s="15"/>
      <c r="E21479" s="8"/>
      <c r="G21479" s="8"/>
      <c r="J21479" s="8"/>
    </row>
    <row r="21480">
      <c r="C21480" s="15"/>
      <c r="E21480" s="8"/>
      <c r="G21480" s="8"/>
      <c r="J21480" s="8"/>
    </row>
    <row r="21481">
      <c r="C21481" s="15"/>
      <c r="E21481" s="8"/>
      <c r="G21481" s="8"/>
      <c r="J21481" s="8"/>
    </row>
    <row r="21482">
      <c r="C21482" s="15"/>
      <c r="E21482" s="8"/>
      <c r="G21482" s="8"/>
      <c r="J21482" s="8"/>
    </row>
    <row r="21483">
      <c r="C21483" s="15"/>
      <c r="E21483" s="8"/>
      <c r="G21483" s="8"/>
      <c r="J21483" s="8"/>
    </row>
    <row r="21484">
      <c r="C21484" s="15"/>
      <c r="E21484" s="8"/>
      <c r="G21484" s="8"/>
      <c r="J21484" s="8"/>
    </row>
    <row r="21485">
      <c r="C21485" s="15"/>
      <c r="E21485" s="8"/>
      <c r="G21485" s="8"/>
      <c r="J21485" s="8"/>
    </row>
    <row r="21486">
      <c r="C21486" s="15"/>
      <c r="E21486" s="8"/>
      <c r="G21486" s="8"/>
      <c r="J21486" s="8"/>
    </row>
    <row r="21487">
      <c r="C21487" s="15"/>
      <c r="E21487" s="8"/>
      <c r="G21487" s="8"/>
      <c r="J21487" s="8"/>
    </row>
    <row r="21488">
      <c r="C21488" s="15"/>
      <c r="E21488" s="8"/>
      <c r="G21488" s="8"/>
      <c r="J21488" s="8"/>
    </row>
    <row r="21489">
      <c r="C21489" s="15"/>
      <c r="E21489" s="8"/>
      <c r="G21489" s="8"/>
      <c r="J21489" s="8"/>
    </row>
    <row r="21490">
      <c r="C21490" s="15"/>
      <c r="E21490" s="8"/>
      <c r="G21490" s="8"/>
      <c r="J21490" s="8"/>
    </row>
    <row r="21491">
      <c r="C21491" s="15"/>
      <c r="E21491" s="8"/>
      <c r="G21491" s="8"/>
      <c r="J21491" s="8"/>
    </row>
    <row r="21492">
      <c r="C21492" s="15"/>
      <c r="E21492" s="8"/>
      <c r="G21492" s="8"/>
      <c r="J21492" s="8"/>
    </row>
    <row r="21493">
      <c r="C21493" s="15"/>
      <c r="E21493" s="8"/>
      <c r="G21493" s="8"/>
      <c r="J21493" s="8"/>
    </row>
    <row r="21494">
      <c r="C21494" s="15"/>
      <c r="E21494" s="8"/>
      <c r="G21494" s="8"/>
      <c r="J21494" s="8"/>
    </row>
    <row r="21495">
      <c r="C21495" s="15"/>
      <c r="E21495" s="8"/>
      <c r="G21495" s="8"/>
      <c r="J21495" s="8"/>
    </row>
    <row r="21496">
      <c r="C21496" s="15"/>
      <c r="E21496" s="8"/>
      <c r="G21496" s="8"/>
      <c r="J21496" s="8"/>
    </row>
    <row r="21497">
      <c r="C21497" s="15"/>
      <c r="E21497" s="8"/>
      <c r="G21497" s="8"/>
      <c r="J21497" s="8"/>
    </row>
    <row r="21498">
      <c r="C21498" s="15"/>
      <c r="E21498" s="8"/>
      <c r="G21498" s="8"/>
      <c r="J21498" s="8"/>
    </row>
    <row r="21499">
      <c r="C21499" s="15"/>
      <c r="E21499" s="8"/>
      <c r="G21499" s="8"/>
      <c r="J21499" s="8"/>
    </row>
    <row r="21500">
      <c r="C21500" s="15"/>
      <c r="E21500" s="8"/>
      <c r="G21500" s="8"/>
      <c r="J21500" s="8"/>
    </row>
    <row r="21501">
      <c r="C21501" s="15"/>
      <c r="E21501" s="8"/>
      <c r="G21501" s="8"/>
      <c r="J21501" s="8"/>
    </row>
    <row r="21502">
      <c r="C21502" s="15"/>
      <c r="E21502" s="8"/>
      <c r="G21502" s="8"/>
      <c r="J21502" s="8"/>
    </row>
    <row r="21503">
      <c r="C21503" s="15"/>
      <c r="E21503" s="8"/>
      <c r="G21503" s="8"/>
      <c r="J21503" s="8"/>
    </row>
    <row r="21504">
      <c r="C21504" s="15"/>
      <c r="E21504" s="8"/>
      <c r="G21504" s="8"/>
      <c r="J21504" s="8"/>
    </row>
    <row r="21505">
      <c r="C21505" s="15"/>
      <c r="E21505" s="8"/>
      <c r="G21505" s="8"/>
      <c r="J21505" s="8"/>
    </row>
    <row r="21506">
      <c r="C21506" s="15"/>
      <c r="E21506" s="8"/>
      <c r="G21506" s="8"/>
      <c r="J21506" s="8"/>
    </row>
    <row r="21507">
      <c r="C21507" s="15"/>
      <c r="E21507" s="8"/>
      <c r="G21507" s="8"/>
      <c r="J21507" s="8"/>
    </row>
    <row r="21508">
      <c r="C21508" s="15"/>
      <c r="E21508" s="8"/>
      <c r="G21508" s="8"/>
      <c r="J21508" s="8"/>
    </row>
    <row r="21509">
      <c r="C21509" s="15"/>
      <c r="E21509" s="8"/>
      <c r="G21509" s="8"/>
      <c r="J21509" s="8"/>
    </row>
    <row r="21510">
      <c r="C21510" s="15"/>
      <c r="E21510" s="8"/>
      <c r="G21510" s="8"/>
      <c r="J21510" s="8"/>
    </row>
    <row r="21511">
      <c r="C21511" s="15"/>
      <c r="E21511" s="8"/>
      <c r="G21511" s="8"/>
      <c r="J21511" s="8"/>
    </row>
    <row r="21512">
      <c r="C21512" s="15"/>
      <c r="E21512" s="8"/>
      <c r="G21512" s="8"/>
      <c r="J21512" s="8"/>
    </row>
    <row r="21513">
      <c r="C21513" s="15"/>
      <c r="E21513" s="8"/>
      <c r="G21513" s="8"/>
      <c r="J21513" s="8"/>
    </row>
    <row r="21514">
      <c r="C21514" s="15"/>
      <c r="E21514" s="8"/>
      <c r="G21514" s="8"/>
      <c r="J21514" s="8"/>
    </row>
    <row r="21515">
      <c r="C21515" s="15"/>
      <c r="E21515" s="8"/>
      <c r="G21515" s="8"/>
      <c r="J21515" s="8"/>
    </row>
    <row r="21516">
      <c r="C21516" s="15"/>
      <c r="E21516" s="8"/>
      <c r="G21516" s="8"/>
      <c r="J21516" s="8"/>
    </row>
    <row r="21517">
      <c r="C21517" s="15"/>
      <c r="E21517" s="8"/>
      <c r="G21517" s="8"/>
      <c r="J21517" s="8"/>
    </row>
    <row r="21518">
      <c r="C21518" s="15"/>
      <c r="E21518" s="8"/>
      <c r="G21518" s="8"/>
      <c r="J21518" s="8"/>
    </row>
    <row r="21519">
      <c r="C21519" s="15"/>
      <c r="E21519" s="8"/>
      <c r="G21519" s="8"/>
      <c r="J21519" s="8"/>
    </row>
    <row r="21520">
      <c r="C21520" s="15"/>
      <c r="E21520" s="8"/>
      <c r="G21520" s="8"/>
      <c r="J21520" s="8"/>
    </row>
    <row r="21521">
      <c r="C21521" s="15"/>
      <c r="E21521" s="8"/>
      <c r="G21521" s="8"/>
      <c r="J21521" s="8"/>
    </row>
    <row r="21522">
      <c r="C21522" s="15"/>
      <c r="E21522" s="8"/>
      <c r="G21522" s="8"/>
      <c r="J21522" s="8"/>
    </row>
    <row r="21523">
      <c r="C21523" s="15"/>
      <c r="E21523" s="8"/>
      <c r="G21523" s="8"/>
      <c r="J21523" s="8"/>
    </row>
    <row r="21524">
      <c r="C21524" s="15"/>
      <c r="E21524" s="8"/>
      <c r="G21524" s="8"/>
      <c r="J21524" s="8"/>
    </row>
    <row r="21525">
      <c r="C21525" s="15"/>
      <c r="E21525" s="8"/>
      <c r="G21525" s="8"/>
      <c r="J21525" s="8"/>
    </row>
    <row r="21526">
      <c r="C21526" s="15"/>
      <c r="E21526" s="8"/>
      <c r="G21526" s="8"/>
      <c r="J21526" s="8"/>
    </row>
    <row r="21527">
      <c r="C21527" s="15"/>
      <c r="E21527" s="8"/>
      <c r="G21527" s="8"/>
      <c r="J21527" s="8"/>
    </row>
    <row r="21528">
      <c r="C21528" s="15"/>
      <c r="E21528" s="8"/>
      <c r="G21528" s="8"/>
      <c r="J21528" s="8"/>
    </row>
    <row r="21529">
      <c r="C21529" s="15"/>
      <c r="E21529" s="8"/>
      <c r="G21529" s="8"/>
      <c r="J21529" s="8"/>
    </row>
    <row r="21530">
      <c r="C21530" s="15"/>
      <c r="E21530" s="8"/>
      <c r="G21530" s="8"/>
      <c r="J21530" s="8"/>
    </row>
    <row r="21531">
      <c r="C21531" s="15"/>
      <c r="E21531" s="8"/>
      <c r="G21531" s="8"/>
      <c r="J21531" s="8"/>
    </row>
    <row r="21532">
      <c r="C21532" s="15"/>
      <c r="E21532" s="8"/>
      <c r="G21532" s="8"/>
      <c r="J21532" s="8"/>
    </row>
    <row r="21533">
      <c r="C21533" s="15"/>
      <c r="E21533" s="8"/>
      <c r="G21533" s="8"/>
      <c r="J21533" s="8"/>
    </row>
    <row r="21534">
      <c r="C21534" s="15"/>
      <c r="E21534" s="8"/>
      <c r="G21534" s="8"/>
      <c r="J21534" s="8"/>
    </row>
    <row r="21535">
      <c r="C21535" s="15"/>
      <c r="E21535" s="8"/>
      <c r="G21535" s="8"/>
      <c r="J21535" s="8"/>
    </row>
    <row r="21536">
      <c r="C21536" s="15"/>
      <c r="E21536" s="8"/>
      <c r="G21536" s="8"/>
      <c r="J21536" s="8"/>
    </row>
    <row r="21537">
      <c r="C21537" s="15"/>
      <c r="E21537" s="8"/>
      <c r="G21537" s="8"/>
      <c r="J21537" s="8"/>
    </row>
    <row r="21538">
      <c r="C21538" s="15"/>
      <c r="E21538" s="8"/>
      <c r="G21538" s="8"/>
      <c r="J21538" s="8"/>
    </row>
    <row r="21539">
      <c r="C21539" s="15"/>
      <c r="E21539" s="8"/>
      <c r="G21539" s="8"/>
      <c r="J21539" s="8"/>
    </row>
    <row r="21540">
      <c r="C21540" s="15"/>
      <c r="E21540" s="8"/>
      <c r="G21540" s="8"/>
      <c r="J21540" s="8"/>
    </row>
    <row r="21541">
      <c r="C21541" s="15"/>
      <c r="E21541" s="8"/>
      <c r="G21541" s="8"/>
      <c r="J21541" s="8"/>
    </row>
    <row r="21542">
      <c r="C21542" s="15"/>
      <c r="E21542" s="8"/>
      <c r="G21542" s="8"/>
      <c r="J21542" s="8"/>
    </row>
    <row r="21543">
      <c r="C21543" s="15"/>
      <c r="E21543" s="8"/>
      <c r="G21543" s="8"/>
      <c r="J21543" s="8"/>
    </row>
    <row r="21544">
      <c r="C21544" s="15"/>
      <c r="E21544" s="8"/>
      <c r="G21544" s="8"/>
      <c r="J21544" s="8"/>
    </row>
    <row r="21545">
      <c r="C21545" s="15"/>
      <c r="E21545" s="8"/>
      <c r="G21545" s="8"/>
      <c r="J21545" s="8"/>
    </row>
    <row r="21546">
      <c r="C21546" s="15"/>
      <c r="E21546" s="8"/>
      <c r="G21546" s="8"/>
      <c r="J21546" s="8"/>
    </row>
    <row r="21547">
      <c r="C21547" s="15"/>
      <c r="E21547" s="8"/>
      <c r="G21547" s="8"/>
      <c r="J21547" s="8"/>
    </row>
    <row r="21548">
      <c r="C21548" s="15"/>
      <c r="E21548" s="8"/>
      <c r="G21548" s="8"/>
      <c r="J21548" s="8"/>
    </row>
    <row r="21549">
      <c r="C21549" s="15"/>
      <c r="E21549" s="8"/>
      <c r="G21549" s="8"/>
      <c r="J21549" s="8"/>
    </row>
    <row r="21550">
      <c r="C21550" s="15"/>
      <c r="E21550" s="8"/>
      <c r="G21550" s="8"/>
      <c r="J21550" s="8"/>
    </row>
    <row r="21551">
      <c r="C21551" s="15"/>
      <c r="E21551" s="8"/>
      <c r="G21551" s="8"/>
      <c r="J21551" s="8"/>
    </row>
    <row r="21552">
      <c r="C21552" s="15"/>
      <c r="E21552" s="8"/>
      <c r="G21552" s="8"/>
      <c r="J21552" s="8"/>
    </row>
    <row r="21553">
      <c r="C21553" s="15"/>
      <c r="E21553" s="8"/>
      <c r="G21553" s="8"/>
      <c r="J21553" s="8"/>
    </row>
    <row r="21554">
      <c r="C21554" s="15"/>
      <c r="E21554" s="8"/>
      <c r="G21554" s="8"/>
      <c r="J21554" s="8"/>
    </row>
    <row r="21555">
      <c r="C21555" s="15"/>
      <c r="E21555" s="8"/>
      <c r="G21555" s="8"/>
      <c r="J21555" s="8"/>
    </row>
    <row r="21556">
      <c r="C21556" s="15"/>
      <c r="E21556" s="8"/>
      <c r="G21556" s="8"/>
      <c r="J21556" s="8"/>
    </row>
    <row r="21557">
      <c r="C21557" s="15"/>
      <c r="E21557" s="8"/>
      <c r="G21557" s="8"/>
      <c r="J21557" s="8"/>
    </row>
    <row r="21558">
      <c r="C21558" s="15"/>
      <c r="E21558" s="8"/>
      <c r="G21558" s="8"/>
      <c r="J21558" s="8"/>
    </row>
    <row r="21559">
      <c r="C21559" s="15"/>
      <c r="E21559" s="8"/>
      <c r="G21559" s="8"/>
      <c r="J21559" s="8"/>
    </row>
    <row r="21560">
      <c r="C21560" s="15"/>
      <c r="E21560" s="8"/>
      <c r="G21560" s="8"/>
      <c r="J21560" s="8"/>
    </row>
    <row r="21561">
      <c r="C21561" s="15"/>
      <c r="E21561" s="8"/>
      <c r="G21561" s="8"/>
      <c r="J21561" s="8"/>
    </row>
    <row r="21562">
      <c r="C21562" s="15"/>
      <c r="E21562" s="8"/>
      <c r="G21562" s="8"/>
      <c r="J21562" s="8"/>
    </row>
    <row r="21563">
      <c r="C21563" s="15"/>
      <c r="E21563" s="8"/>
      <c r="G21563" s="8"/>
      <c r="J21563" s="8"/>
    </row>
    <row r="21564">
      <c r="C21564" s="15"/>
      <c r="E21564" s="8"/>
      <c r="G21564" s="8"/>
      <c r="J21564" s="8"/>
    </row>
    <row r="21565">
      <c r="C21565" s="15"/>
      <c r="E21565" s="8"/>
      <c r="G21565" s="8"/>
      <c r="J21565" s="8"/>
    </row>
    <row r="21566">
      <c r="C21566" s="15"/>
      <c r="E21566" s="8"/>
      <c r="G21566" s="8"/>
      <c r="J21566" s="8"/>
    </row>
    <row r="21567">
      <c r="C21567" s="15"/>
      <c r="E21567" s="8"/>
      <c r="G21567" s="8"/>
      <c r="J21567" s="8"/>
    </row>
    <row r="21568">
      <c r="C21568" s="15"/>
      <c r="E21568" s="8"/>
      <c r="G21568" s="8"/>
      <c r="J21568" s="8"/>
    </row>
    <row r="21569">
      <c r="C21569" s="15"/>
      <c r="E21569" s="8"/>
      <c r="G21569" s="8"/>
      <c r="J21569" s="8"/>
    </row>
    <row r="21570">
      <c r="C21570" s="15"/>
      <c r="E21570" s="8"/>
      <c r="G21570" s="8"/>
      <c r="J21570" s="8"/>
    </row>
    <row r="21571">
      <c r="C21571" s="15"/>
      <c r="E21571" s="8"/>
      <c r="G21571" s="8"/>
      <c r="J21571" s="8"/>
    </row>
    <row r="21572">
      <c r="C21572" s="15"/>
      <c r="E21572" s="8"/>
      <c r="G21572" s="8"/>
      <c r="J21572" s="8"/>
    </row>
    <row r="21573">
      <c r="C21573" s="15"/>
      <c r="E21573" s="8"/>
      <c r="G21573" s="8"/>
      <c r="J21573" s="8"/>
    </row>
    <row r="21574">
      <c r="C21574" s="15"/>
      <c r="E21574" s="8"/>
      <c r="G21574" s="8"/>
      <c r="J21574" s="8"/>
    </row>
    <row r="21575">
      <c r="C21575" s="15"/>
      <c r="E21575" s="8"/>
      <c r="G21575" s="8"/>
      <c r="J21575" s="8"/>
    </row>
    <row r="21576">
      <c r="C21576" s="15"/>
      <c r="E21576" s="8"/>
      <c r="G21576" s="8"/>
      <c r="J21576" s="8"/>
    </row>
    <row r="21577">
      <c r="C21577" s="15"/>
      <c r="E21577" s="8"/>
      <c r="G21577" s="8"/>
      <c r="J21577" s="8"/>
    </row>
    <row r="21578">
      <c r="C21578" s="15"/>
      <c r="E21578" s="8"/>
      <c r="G21578" s="8"/>
      <c r="J21578" s="8"/>
    </row>
    <row r="21579">
      <c r="C21579" s="15"/>
      <c r="E21579" s="8"/>
      <c r="G21579" s="8"/>
      <c r="J21579" s="8"/>
    </row>
    <row r="21580">
      <c r="C21580" s="15"/>
      <c r="E21580" s="8"/>
      <c r="G21580" s="8"/>
      <c r="J21580" s="8"/>
    </row>
    <row r="21581">
      <c r="C21581" s="15"/>
      <c r="E21581" s="8"/>
      <c r="G21581" s="8"/>
      <c r="J21581" s="8"/>
    </row>
    <row r="21582">
      <c r="C21582" s="15"/>
      <c r="E21582" s="8"/>
      <c r="G21582" s="8"/>
      <c r="J21582" s="8"/>
    </row>
    <row r="21583">
      <c r="C21583" s="15"/>
      <c r="E21583" s="8"/>
      <c r="G21583" s="8"/>
      <c r="J21583" s="8"/>
    </row>
    <row r="21584">
      <c r="C21584" s="15"/>
      <c r="E21584" s="8"/>
      <c r="G21584" s="8"/>
      <c r="J21584" s="8"/>
    </row>
    <row r="21585">
      <c r="C21585" s="15"/>
      <c r="E21585" s="8"/>
      <c r="G21585" s="8"/>
      <c r="J21585" s="8"/>
    </row>
    <row r="21586">
      <c r="C21586" s="15"/>
      <c r="E21586" s="8"/>
      <c r="G21586" s="8"/>
      <c r="J21586" s="8"/>
    </row>
    <row r="21587">
      <c r="C21587" s="15"/>
      <c r="E21587" s="8"/>
      <c r="G21587" s="8"/>
      <c r="J21587" s="8"/>
    </row>
    <row r="21588">
      <c r="C21588" s="15"/>
      <c r="E21588" s="8"/>
      <c r="G21588" s="8"/>
      <c r="J21588" s="8"/>
    </row>
    <row r="21589">
      <c r="C21589" s="15"/>
      <c r="E21589" s="8"/>
      <c r="G21589" s="8"/>
      <c r="J21589" s="8"/>
    </row>
    <row r="21590">
      <c r="C21590" s="15"/>
      <c r="E21590" s="8"/>
      <c r="G21590" s="8"/>
      <c r="J21590" s="8"/>
    </row>
    <row r="21591">
      <c r="C21591" s="15"/>
      <c r="E21591" s="8"/>
      <c r="G21591" s="8"/>
      <c r="J21591" s="8"/>
    </row>
    <row r="21592">
      <c r="C21592" s="15"/>
      <c r="E21592" s="8"/>
      <c r="G21592" s="8"/>
      <c r="J21592" s="8"/>
    </row>
    <row r="21593">
      <c r="C21593" s="15"/>
      <c r="E21593" s="8"/>
      <c r="G21593" s="8"/>
      <c r="J21593" s="8"/>
    </row>
    <row r="21594">
      <c r="C21594" s="15"/>
      <c r="E21594" s="8"/>
      <c r="G21594" s="8"/>
      <c r="J21594" s="8"/>
    </row>
    <row r="21595">
      <c r="C21595" s="15"/>
      <c r="E21595" s="8"/>
      <c r="G21595" s="8"/>
      <c r="J21595" s="8"/>
    </row>
    <row r="21596">
      <c r="C21596" s="15"/>
      <c r="E21596" s="8"/>
      <c r="G21596" s="8"/>
      <c r="J21596" s="8"/>
    </row>
    <row r="21597">
      <c r="C21597" s="15"/>
      <c r="E21597" s="8"/>
      <c r="G21597" s="8"/>
      <c r="J21597" s="8"/>
    </row>
    <row r="21598">
      <c r="C21598" s="15"/>
      <c r="E21598" s="8"/>
      <c r="G21598" s="8"/>
      <c r="J21598" s="8"/>
    </row>
    <row r="21599">
      <c r="C21599" s="15"/>
      <c r="E21599" s="8"/>
      <c r="G21599" s="8"/>
      <c r="J21599" s="8"/>
    </row>
    <row r="21600">
      <c r="C21600" s="15"/>
      <c r="E21600" s="8"/>
      <c r="G21600" s="8"/>
      <c r="J21600" s="8"/>
    </row>
    <row r="21601">
      <c r="C21601" s="15"/>
      <c r="E21601" s="8"/>
      <c r="G21601" s="8"/>
      <c r="J21601" s="8"/>
    </row>
    <row r="21602">
      <c r="C21602" s="15"/>
      <c r="E21602" s="8"/>
      <c r="G21602" s="8"/>
      <c r="J21602" s="8"/>
    </row>
    <row r="21603">
      <c r="C21603" s="15"/>
      <c r="E21603" s="8"/>
      <c r="G21603" s="8"/>
      <c r="J21603" s="8"/>
    </row>
    <row r="21604">
      <c r="C21604" s="15"/>
      <c r="E21604" s="8"/>
      <c r="G21604" s="8"/>
      <c r="J21604" s="8"/>
    </row>
    <row r="21605">
      <c r="C21605" s="15"/>
      <c r="E21605" s="8"/>
      <c r="G21605" s="8"/>
      <c r="J21605" s="8"/>
    </row>
    <row r="21606">
      <c r="C21606" s="15"/>
      <c r="E21606" s="8"/>
      <c r="G21606" s="8"/>
      <c r="J21606" s="8"/>
    </row>
    <row r="21607">
      <c r="C21607" s="15"/>
      <c r="E21607" s="8"/>
      <c r="G21607" s="8"/>
      <c r="J21607" s="8"/>
    </row>
    <row r="21608">
      <c r="C21608" s="15"/>
      <c r="E21608" s="8"/>
      <c r="G21608" s="8"/>
      <c r="J21608" s="8"/>
    </row>
    <row r="21609">
      <c r="C21609" s="15"/>
      <c r="E21609" s="8"/>
      <c r="G21609" s="8"/>
      <c r="J21609" s="8"/>
    </row>
    <row r="21610">
      <c r="C21610" s="15"/>
      <c r="E21610" s="8"/>
      <c r="G21610" s="8"/>
      <c r="J21610" s="8"/>
    </row>
    <row r="21611">
      <c r="C21611" s="15"/>
      <c r="E21611" s="8"/>
      <c r="G21611" s="8"/>
      <c r="J21611" s="8"/>
    </row>
    <row r="21612">
      <c r="C21612" s="15"/>
      <c r="E21612" s="8"/>
      <c r="G21612" s="8"/>
      <c r="J21612" s="8"/>
    </row>
    <row r="21613">
      <c r="C21613" s="15"/>
      <c r="E21613" s="8"/>
      <c r="G21613" s="8"/>
      <c r="J21613" s="8"/>
    </row>
    <row r="21614">
      <c r="C21614" s="15"/>
      <c r="E21614" s="8"/>
      <c r="G21614" s="8"/>
      <c r="J21614" s="8"/>
    </row>
    <row r="21615">
      <c r="C21615" s="15"/>
      <c r="E21615" s="8"/>
      <c r="G21615" s="8"/>
      <c r="J21615" s="8"/>
    </row>
    <row r="21616">
      <c r="C21616" s="15"/>
      <c r="E21616" s="8"/>
      <c r="G21616" s="8"/>
      <c r="J21616" s="8"/>
    </row>
    <row r="21617">
      <c r="C21617" s="15"/>
      <c r="E21617" s="8"/>
      <c r="G21617" s="8"/>
      <c r="J21617" s="8"/>
    </row>
    <row r="21618">
      <c r="C21618" s="15"/>
      <c r="E21618" s="8"/>
      <c r="G21618" s="8"/>
      <c r="J21618" s="8"/>
    </row>
    <row r="21619">
      <c r="C21619" s="15"/>
      <c r="E21619" s="8"/>
      <c r="G21619" s="8"/>
      <c r="J21619" s="8"/>
    </row>
    <row r="21620">
      <c r="C21620" s="15"/>
      <c r="E21620" s="8"/>
      <c r="G21620" s="8"/>
      <c r="J21620" s="8"/>
    </row>
    <row r="21621">
      <c r="C21621" s="15"/>
      <c r="E21621" s="8"/>
      <c r="G21621" s="8"/>
      <c r="J21621" s="8"/>
    </row>
    <row r="21622">
      <c r="C21622" s="15"/>
      <c r="E21622" s="8"/>
      <c r="G21622" s="8"/>
      <c r="J21622" s="8"/>
    </row>
    <row r="21623">
      <c r="C21623" s="15"/>
      <c r="E21623" s="8"/>
      <c r="G21623" s="8"/>
      <c r="J21623" s="8"/>
    </row>
    <row r="21624">
      <c r="C21624" s="15"/>
      <c r="E21624" s="8"/>
      <c r="G21624" s="8"/>
      <c r="J21624" s="8"/>
    </row>
    <row r="21625">
      <c r="C21625" s="15"/>
      <c r="E21625" s="8"/>
      <c r="G21625" s="8"/>
      <c r="J21625" s="8"/>
    </row>
    <row r="21626">
      <c r="C21626" s="15"/>
      <c r="E21626" s="8"/>
      <c r="G21626" s="8"/>
      <c r="J21626" s="8"/>
    </row>
    <row r="21627">
      <c r="C21627" s="15"/>
      <c r="E21627" s="8"/>
      <c r="G21627" s="8"/>
      <c r="J21627" s="8"/>
    </row>
    <row r="21628">
      <c r="C21628" s="15"/>
      <c r="E21628" s="8"/>
      <c r="G21628" s="8"/>
      <c r="J21628" s="8"/>
    </row>
    <row r="21629">
      <c r="C21629" s="15"/>
      <c r="E21629" s="8"/>
      <c r="G21629" s="8"/>
      <c r="J21629" s="8"/>
    </row>
    <row r="21630">
      <c r="C21630" s="15"/>
      <c r="E21630" s="8"/>
      <c r="G21630" s="8"/>
      <c r="J21630" s="8"/>
    </row>
    <row r="21631">
      <c r="C21631" s="15"/>
      <c r="E21631" s="8"/>
      <c r="G21631" s="8"/>
      <c r="J21631" s="8"/>
    </row>
    <row r="21632">
      <c r="C21632" s="15"/>
      <c r="E21632" s="8"/>
      <c r="G21632" s="8"/>
      <c r="J21632" s="8"/>
    </row>
    <row r="21633">
      <c r="C21633" s="15"/>
      <c r="E21633" s="8"/>
      <c r="G21633" s="8"/>
      <c r="J21633" s="8"/>
    </row>
    <row r="21634">
      <c r="C21634" s="15"/>
      <c r="E21634" s="8"/>
      <c r="G21634" s="8"/>
      <c r="J21634" s="8"/>
    </row>
    <row r="21635">
      <c r="C21635" s="15"/>
      <c r="E21635" s="8"/>
      <c r="G21635" s="8"/>
      <c r="J21635" s="8"/>
    </row>
    <row r="21636">
      <c r="C21636" s="15"/>
      <c r="E21636" s="8"/>
      <c r="G21636" s="8"/>
      <c r="J21636" s="8"/>
    </row>
    <row r="21637">
      <c r="C21637" s="15"/>
      <c r="E21637" s="8"/>
      <c r="G21637" s="8"/>
      <c r="J21637" s="8"/>
    </row>
    <row r="21638">
      <c r="C21638" s="15"/>
      <c r="E21638" s="8"/>
      <c r="G21638" s="8"/>
      <c r="J21638" s="8"/>
    </row>
    <row r="21639">
      <c r="C21639" s="15"/>
      <c r="E21639" s="8"/>
      <c r="G21639" s="8"/>
      <c r="J21639" s="8"/>
    </row>
    <row r="21640">
      <c r="C21640" s="15"/>
      <c r="E21640" s="8"/>
      <c r="G21640" s="8"/>
      <c r="J21640" s="8"/>
    </row>
    <row r="21641">
      <c r="C21641" s="15"/>
      <c r="E21641" s="8"/>
      <c r="G21641" s="8"/>
      <c r="J21641" s="8"/>
    </row>
    <row r="21642">
      <c r="C21642" s="15"/>
      <c r="E21642" s="8"/>
      <c r="G21642" s="8"/>
      <c r="J21642" s="8"/>
    </row>
    <row r="21643">
      <c r="C21643" s="15"/>
      <c r="E21643" s="8"/>
      <c r="G21643" s="8"/>
      <c r="J21643" s="8"/>
    </row>
    <row r="21644">
      <c r="C21644" s="15"/>
      <c r="E21644" s="8"/>
      <c r="G21644" s="8"/>
      <c r="J21644" s="8"/>
    </row>
    <row r="21645">
      <c r="C21645" s="15"/>
      <c r="E21645" s="8"/>
      <c r="G21645" s="8"/>
      <c r="J21645" s="8"/>
    </row>
    <row r="21646">
      <c r="C21646" s="15"/>
      <c r="E21646" s="8"/>
      <c r="G21646" s="8"/>
      <c r="J21646" s="8"/>
    </row>
    <row r="21647">
      <c r="C21647" s="15"/>
      <c r="E21647" s="8"/>
      <c r="G21647" s="8"/>
      <c r="J21647" s="8"/>
    </row>
    <row r="21648">
      <c r="C21648" s="15"/>
      <c r="E21648" s="8"/>
      <c r="G21648" s="8"/>
      <c r="J21648" s="8"/>
    </row>
    <row r="21649">
      <c r="C21649" s="15"/>
      <c r="E21649" s="8"/>
      <c r="G21649" s="8"/>
      <c r="J21649" s="8"/>
    </row>
    <row r="21650">
      <c r="C21650" s="15"/>
      <c r="E21650" s="8"/>
      <c r="G21650" s="8"/>
      <c r="J21650" s="8"/>
    </row>
    <row r="21651">
      <c r="C21651" s="15"/>
      <c r="E21651" s="8"/>
      <c r="G21651" s="8"/>
      <c r="J21651" s="8"/>
    </row>
    <row r="21652">
      <c r="C21652" s="15"/>
      <c r="E21652" s="8"/>
      <c r="G21652" s="8"/>
      <c r="J21652" s="8"/>
    </row>
    <row r="21653">
      <c r="C21653" s="15"/>
      <c r="E21653" s="8"/>
      <c r="G21653" s="8"/>
      <c r="J21653" s="8"/>
    </row>
    <row r="21654">
      <c r="C21654" s="15"/>
      <c r="E21654" s="8"/>
      <c r="G21654" s="8"/>
      <c r="J21654" s="8"/>
    </row>
    <row r="21655">
      <c r="C21655" s="15"/>
      <c r="E21655" s="8"/>
      <c r="G21655" s="8"/>
      <c r="J21655" s="8"/>
    </row>
    <row r="21656">
      <c r="C21656" s="15"/>
      <c r="E21656" s="8"/>
      <c r="G21656" s="8"/>
      <c r="J21656" s="8"/>
    </row>
    <row r="21657">
      <c r="C21657" s="15"/>
      <c r="E21657" s="8"/>
      <c r="G21657" s="8"/>
      <c r="J21657" s="8"/>
    </row>
    <row r="21658">
      <c r="C21658" s="15"/>
      <c r="E21658" s="8"/>
      <c r="G21658" s="8"/>
      <c r="J21658" s="8"/>
    </row>
    <row r="21659">
      <c r="C21659" s="15"/>
      <c r="E21659" s="8"/>
      <c r="G21659" s="8"/>
      <c r="J21659" s="8"/>
    </row>
    <row r="21660">
      <c r="C21660" s="15"/>
      <c r="E21660" s="8"/>
      <c r="G21660" s="8"/>
      <c r="J21660" s="8"/>
    </row>
    <row r="21661">
      <c r="C21661" s="15"/>
      <c r="E21661" s="8"/>
      <c r="G21661" s="8"/>
      <c r="J21661" s="8"/>
    </row>
    <row r="21662">
      <c r="C21662" s="15"/>
      <c r="E21662" s="8"/>
      <c r="G21662" s="8"/>
      <c r="J21662" s="8"/>
    </row>
    <row r="21663">
      <c r="C21663" s="15"/>
      <c r="E21663" s="8"/>
      <c r="G21663" s="8"/>
      <c r="J21663" s="8"/>
    </row>
    <row r="21664">
      <c r="C21664" s="15"/>
      <c r="E21664" s="8"/>
      <c r="G21664" s="8"/>
      <c r="J21664" s="8"/>
    </row>
    <row r="21665">
      <c r="C21665" s="15"/>
      <c r="E21665" s="8"/>
      <c r="G21665" s="8"/>
      <c r="J21665" s="8"/>
    </row>
    <row r="21666">
      <c r="C21666" s="15"/>
      <c r="E21666" s="8"/>
      <c r="G21666" s="8"/>
      <c r="J21666" s="8"/>
    </row>
    <row r="21667">
      <c r="C21667" s="15"/>
      <c r="E21667" s="8"/>
      <c r="G21667" s="8"/>
      <c r="J21667" s="8"/>
    </row>
    <row r="21668">
      <c r="C21668" s="15"/>
      <c r="E21668" s="8"/>
      <c r="G21668" s="8"/>
      <c r="J21668" s="8"/>
    </row>
    <row r="21669">
      <c r="C21669" s="15"/>
      <c r="E21669" s="8"/>
      <c r="G21669" s="8"/>
      <c r="J21669" s="8"/>
    </row>
    <row r="21670">
      <c r="C21670" s="15"/>
      <c r="E21670" s="8"/>
      <c r="G21670" s="8"/>
      <c r="J21670" s="8"/>
    </row>
    <row r="21671">
      <c r="C21671" s="15"/>
      <c r="E21671" s="8"/>
      <c r="G21671" s="8"/>
      <c r="J21671" s="8"/>
    </row>
    <row r="21672">
      <c r="C21672" s="15"/>
      <c r="E21672" s="8"/>
      <c r="G21672" s="8"/>
      <c r="J21672" s="8"/>
    </row>
    <row r="21673">
      <c r="C21673" s="15"/>
      <c r="E21673" s="8"/>
      <c r="G21673" s="8"/>
      <c r="J21673" s="8"/>
    </row>
    <row r="21674">
      <c r="C21674" s="15"/>
      <c r="E21674" s="8"/>
      <c r="G21674" s="8"/>
      <c r="J21674" s="8"/>
    </row>
    <row r="21675">
      <c r="C21675" s="15"/>
      <c r="E21675" s="8"/>
      <c r="G21675" s="8"/>
      <c r="J21675" s="8"/>
    </row>
    <row r="21676">
      <c r="C21676" s="15"/>
      <c r="E21676" s="8"/>
      <c r="G21676" s="8"/>
      <c r="J21676" s="8"/>
    </row>
    <row r="21677">
      <c r="C21677" s="15"/>
      <c r="E21677" s="8"/>
      <c r="G21677" s="8"/>
      <c r="J21677" s="8"/>
    </row>
    <row r="21678">
      <c r="C21678" s="15"/>
      <c r="E21678" s="8"/>
      <c r="G21678" s="8"/>
      <c r="J21678" s="8"/>
    </row>
    <row r="21679">
      <c r="C21679" s="15"/>
      <c r="E21679" s="8"/>
      <c r="G21679" s="8"/>
      <c r="J21679" s="8"/>
    </row>
    <row r="21680">
      <c r="C21680" s="15"/>
      <c r="E21680" s="8"/>
      <c r="G21680" s="8"/>
      <c r="J21680" s="8"/>
    </row>
    <row r="21681">
      <c r="C21681" s="15"/>
      <c r="E21681" s="8"/>
      <c r="G21681" s="8"/>
      <c r="J21681" s="8"/>
    </row>
    <row r="21682">
      <c r="C21682" s="15"/>
      <c r="E21682" s="8"/>
      <c r="G21682" s="8"/>
      <c r="J21682" s="8"/>
    </row>
    <row r="21683">
      <c r="C21683" s="15"/>
      <c r="E21683" s="8"/>
      <c r="G21683" s="8"/>
      <c r="J21683" s="8"/>
    </row>
    <row r="21684">
      <c r="C21684" s="15"/>
      <c r="E21684" s="8"/>
      <c r="G21684" s="8"/>
      <c r="J21684" s="8"/>
    </row>
    <row r="21685">
      <c r="C21685" s="15"/>
      <c r="E21685" s="8"/>
      <c r="G21685" s="8"/>
      <c r="J21685" s="8"/>
    </row>
    <row r="21686">
      <c r="C21686" s="15"/>
      <c r="E21686" s="8"/>
      <c r="G21686" s="8"/>
      <c r="J21686" s="8"/>
    </row>
    <row r="21687">
      <c r="C21687" s="15"/>
      <c r="E21687" s="8"/>
      <c r="G21687" s="8"/>
      <c r="J21687" s="8"/>
    </row>
    <row r="21688">
      <c r="C21688" s="15"/>
      <c r="E21688" s="8"/>
      <c r="G21688" s="8"/>
      <c r="J21688" s="8"/>
    </row>
    <row r="21689">
      <c r="C21689" s="15"/>
      <c r="E21689" s="8"/>
      <c r="G21689" s="8"/>
      <c r="J21689" s="8"/>
    </row>
    <row r="21690">
      <c r="C21690" s="15"/>
      <c r="E21690" s="8"/>
      <c r="G21690" s="8"/>
      <c r="J21690" s="8"/>
    </row>
    <row r="21691">
      <c r="C21691" s="15"/>
      <c r="E21691" s="8"/>
      <c r="G21691" s="8"/>
      <c r="J21691" s="8"/>
    </row>
    <row r="21692">
      <c r="C21692" s="15"/>
      <c r="E21692" s="8"/>
      <c r="G21692" s="8"/>
      <c r="J21692" s="8"/>
    </row>
    <row r="21693">
      <c r="C21693" s="15"/>
      <c r="E21693" s="8"/>
      <c r="G21693" s="8"/>
      <c r="J21693" s="8"/>
    </row>
    <row r="21694">
      <c r="C21694" s="15"/>
      <c r="E21694" s="8"/>
      <c r="G21694" s="8"/>
      <c r="J21694" s="8"/>
    </row>
    <row r="21695">
      <c r="C21695" s="15"/>
      <c r="E21695" s="8"/>
      <c r="G21695" s="8"/>
      <c r="J21695" s="8"/>
    </row>
    <row r="21696">
      <c r="C21696" s="15"/>
      <c r="E21696" s="8"/>
      <c r="G21696" s="8"/>
      <c r="J21696" s="8"/>
    </row>
    <row r="21697">
      <c r="C21697" s="15"/>
      <c r="E21697" s="8"/>
      <c r="G21697" s="8"/>
      <c r="J21697" s="8"/>
    </row>
    <row r="21698">
      <c r="C21698" s="15"/>
      <c r="E21698" s="8"/>
      <c r="G21698" s="8"/>
      <c r="J21698" s="8"/>
    </row>
    <row r="21699">
      <c r="C21699" s="15"/>
      <c r="E21699" s="8"/>
      <c r="G21699" s="8"/>
      <c r="J21699" s="8"/>
    </row>
    <row r="21700">
      <c r="C21700" s="15"/>
      <c r="E21700" s="8"/>
      <c r="G21700" s="8"/>
      <c r="J21700" s="8"/>
    </row>
    <row r="21701">
      <c r="C21701" s="15"/>
      <c r="E21701" s="8"/>
      <c r="G21701" s="8"/>
      <c r="J21701" s="8"/>
    </row>
    <row r="21702">
      <c r="C21702" s="15"/>
      <c r="E21702" s="8"/>
      <c r="G21702" s="8"/>
      <c r="J21702" s="8"/>
    </row>
    <row r="21703">
      <c r="C21703" s="15"/>
      <c r="E21703" s="8"/>
      <c r="G21703" s="8"/>
      <c r="J21703" s="8"/>
    </row>
    <row r="21704">
      <c r="C21704" s="15"/>
      <c r="E21704" s="8"/>
      <c r="G21704" s="8"/>
      <c r="J21704" s="8"/>
    </row>
    <row r="21705">
      <c r="C21705" s="15"/>
      <c r="E21705" s="8"/>
      <c r="G21705" s="8"/>
      <c r="J21705" s="8"/>
    </row>
    <row r="21706">
      <c r="C21706" s="15"/>
      <c r="E21706" s="8"/>
      <c r="G21706" s="8"/>
      <c r="J21706" s="8"/>
    </row>
    <row r="21707">
      <c r="C21707" s="15"/>
      <c r="E21707" s="8"/>
      <c r="G21707" s="8"/>
      <c r="J21707" s="8"/>
    </row>
    <row r="21708">
      <c r="C21708" s="15"/>
      <c r="E21708" s="8"/>
      <c r="G21708" s="8"/>
      <c r="J21708" s="8"/>
    </row>
    <row r="21709">
      <c r="C21709" s="15"/>
      <c r="E21709" s="8"/>
      <c r="G21709" s="8"/>
      <c r="J21709" s="8"/>
    </row>
    <row r="21710">
      <c r="C21710" s="15"/>
      <c r="E21710" s="8"/>
      <c r="G21710" s="8"/>
      <c r="J21710" s="8"/>
    </row>
    <row r="21711">
      <c r="C21711" s="15"/>
      <c r="E21711" s="8"/>
      <c r="G21711" s="8"/>
      <c r="J21711" s="8"/>
    </row>
    <row r="21712">
      <c r="C21712" s="15"/>
      <c r="E21712" s="8"/>
      <c r="G21712" s="8"/>
      <c r="J21712" s="8"/>
    </row>
    <row r="21713">
      <c r="C21713" s="15"/>
      <c r="E21713" s="8"/>
      <c r="G21713" s="8"/>
      <c r="J21713" s="8"/>
    </row>
    <row r="21714">
      <c r="C21714" s="15"/>
      <c r="E21714" s="8"/>
      <c r="G21714" s="8"/>
      <c r="J21714" s="8"/>
    </row>
    <row r="21715">
      <c r="C21715" s="15"/>
      <c r="E21715" s="8"/>
      <c r="G21715" s="8"/>
      <c r="J21715" s="8"/>
    </row>
    <row r="21716">
      <c r="C21716" s="15"/>
      <c r="E21716" s="8"/>
      <c r="G21716" s="8"/>
      <c r="J21716" s="8"/>
    </row>
    <row r="21717">
      <c r="C21717" s="15"/>
      <c r="E21717" s="8"/>
      <c r="G21717" s="8"/>
      <c r="J21717" s="8"/>
    </row>
    <row r="21718">
      <c r="C21718" s="15"/>
      <c r="E21718" s="8"/>
      <c r="G21718" s="8"/>
      <c r="J21718" s="8"/>
    </row>
    <row r="21719">
      <c r="C21719" s="15"/>
      <c r="E21719" s="8"/>
      <c r="G21719" s="8"/>
      <c r="J21719" s="8"/>
    </row>
    <row r="21720">
      <c r="C21720" s="15"/>
      <c r="E21720" s="8"/>
      <c r="G21720" s="8"/>
      <c r="J21720" s="8"/>
    </row>
    <row r="21721">
      <c r="C21721" s="15"/>
      <c r="E21721" s="8"/>
      <c r="G21721" s="8"/>
      <c r="J21721" s="8"/>
    </row>
    <row r="21722">
      <c r="C21722" s="15"/>
      <c r="E21722" s="8"/>
      <c r="G21722" s="8"/>
      <c r="J21722" s="8"/>
    </row>
    <row r="21723">
      <c r="C21723" s="15"/>
      <c r="E21723" s="8"/>
      <c r="G21723" s="8"/>
      <c r="J21723" s="8"/>
    </row>
    <row r="21724">
      <c r="C21724" s="15"/>
      <c r="E21724" s="8"/>
      <c r="G21724" s="8"/>
      <c r="J21724" s="8"/>
    </row>
    <row r="21725">
      <c r="C21725" s="15"/>
      <c r="E21725" s="8"/>
      <c r="G21725" s="8"/>
      <c r="J21725" s="8"/>
    </row>
    <row r="21726">
      <c r="C21726" s="15"/>
      <c r="E21726" s="8"/>
      <c r="G21726" s="8"/>
      <c r="J21726" s="8"/>
    </row>
    <row r="21727">
      <c r="C21727" s="15"/>
      <c r="E21727" s="8"/>
      <c r="G21727" s="8"/>
      <c r="J21727" s="8"/>
    </row>
    <row r="21728">
      <c r="C21728" s="15"/>
      <c r="E21728" s="8"/>
      <c r="G21728" s="8"/>
      <c r="J21728" s="8"/>
    </row>
    <row r="21729">
      <c r="C21729" s="15"/>
      <c r="E21729" s="8"/>
      <c r="G21729" s="8"/>
      <c r="J21729" s="8"/>
    </row>
    <row r="21730">
      <c r="C21730" s="15"/>
      <c r="E21730" s="8"/>
      <c r="G21730" s="8"/>
      <c r="J21730" s="8"/>
    </row>
    <row r="21731">
      <c r="C21731" s="15"/>
      <c r="E21731" s="8"/>
      <c r="G21731" s="8"/>
      <c r="J21731" s="8"/>
    </row>
    <row r="21732">
      <c r="C21732" s="15"/>
      <c r="E21732" s="8"/>
      <c r="G21732" s="8"/>
      <c r="J21732" s="8"/>
    </row>
    <row r="21733">
      <c r="C21733" s="15"/>
      <c r="E21733" s="8"/>
      <c r="G21733" s="8"/>
      <c r="J21733" s="8"/>
    </row>
    <row r="21734">
      <c r="C21734" s="15"/>
      <c r="E21734" s="8"/>
      <c r="G21734" s="8"/>
      <c r="J21734" s="8"/>
    </row>
    <row r="21735">
      <c r="C21735" s="15"/>
      <c r="E21735" s="8"/>
      <c r="G21735" s="8"/>
      <c r="J21735" s="8"/>
    </row>
    <row r="21736">
      <c r="C21736" s="15"/>
      <c r="E21736" s="8"/>
      <c r="G21736" s="8"/>
      <c r="J21736" s="8"/>
    </row>
    <row r="21737">
      <c r="C21737" s="15"/>
      <c r="E21737" s="8"/>
      <c r="G21737" s="8"/>
      <c r="J21737" s="8"/>
    </row>
    <row r="21738">
      <c r="C21738" s="15"/>
      <c r="E21738" s="8"/>
      <c r="G21738" s="8"/>
      <c r="J21738" s="8"/>
    </row>
    <row r="21739">
      <c r="C21739" s="15"/>
      <c r="E21739" s="8"/>
      <c r="G21739" s="8"/>
      <c r="J21739" s="8"/>
    </row>
    <row r="21740">
      <c r="C21740" s="15"/>
      <c r="E21740" s="8"/>
      <c r="G21740" s="8"/>
      <c r="J21740" s="8"/>
    </row>
    <row r="21741">
      <c r="C21741" s="15"/>
      <c r="E21741" s="8"/>
      <c r="G21741" s="8"/>
      <c r="J21741" s="8"/>
    </row>
    <row r="21742">
      <c r="C21742" s="15"/>
      <c r="E21742" s="8"/>
      <c r="G21742" s="8"/>
      <c r="J21742" s="8"/>
    </row>
    <row r="21743">
      <c r="C21743" s="15"/>
      <c r="E21743" s="8"/>
      <c r="G21743" s="8"/>
      <c r="J21743" s="8"/>
    </row>
    <row r="21744">
      <c r="C21744" s="15"/>
      <c r="E21744" s="8"/>
      <c r="G21744" s="8"/>
      <c r="J21744" s="8"/>
    </row>
    <row r="21745">
      <c r="C21745" s="15"/>
      <c r="E21745" s="8"/>
      <c r="G21745" s="8"/>
      <c r="J21745" s="8"/>
    </row>
    <row r="21746">
      <c r="C21746" s="15"/>
      <c r="E21746" s="8"/>
      <c r="G21746" s="8"/>
      <c r="J21746" s="8"/>
    </row>
    <row r="21747">
      <c r="C21747" s="15"/>
      <c r="E21747" s="8"/>
      <c r="G21747" s="8"/>
      <c r="J21747" s="8"/>
    </row>
    <row r="21748">
      <c r="C21748" s="15"/>
      <c r="E21748" s="8"/>
      <c r="G21748" s="8"/>
      <c r="J21748" s="8"/>
    </row>
    <row r="21749">
      <c r="C21749" s="15"/>
      <c r="E21749" s="8"/>
      <c r="G21749" s="8"/>
      <c r="J21749" s="8"/>
    </row>
    <row r="21750">
      <c r="C21750" s="15"/>
      <c r="E21750" s="8"/>
      <c r="G21750" s="8"/>
      <c r="J21750" s="8"/>
    </row>
    <row r="21751">
      <c r="C21751" s="15"/>
      <c r="E21751" s="8"/>
      <c r="G21751" s="8"/>
      <c r="J21751" s="8"/>
    </row>
    <row r="21752">
      <c r="C21752" s="15"/>
      <c r="E21752" s="8"/>
      <c r="G21752" s="8"/>
      <c r="J21752" s="8"/>
    </row>
    <row r="21753">
      <c r="C21753" s="15"/>
      <c r="E21753" s="8"/>
      <c r="G21753" s="8"/>
      <c r="J21753" s="8"/>
    </row>
    <row r="21754">
      <c r="C21754" s="15"/>
      <c r="E21754" s="8"/>
      <c r="G21754" s="8"/>
      <c r="J21754" s="8"/>
    </row>
    <row r="21755">
      <c r="C21755" s="15"/>
      <c r="E21755" s="8"/>
      <c r="G21755" s="8"/>
      <c r="J21755" s="8"/>
    </row>
    <row r="21756">
      <c r="C21756" s="15"/>
      <c r="E21756" s="8"/>
      <c r="G21756" s="8"/>
      <c r="J21756" s="8"/>
    </row>
    <row r="21757">
      <c r="C21757" s="15"/>
      <c r="E21757" s="8"/>
      <c r="G21757" s="8"/>
      <c r="J21757" s="8"/>
    </row>
    <row r="21758">
      <c r="C21758" s="15"/>
      <c r="E21758" s="8"/>
      <c r="G21758" s="8"/>
      <c r="J21758" s="8"/>
    </row>
    <row r="21759">
      <c r="C21759" s="15"/>
      <c r="E21759" s="8"/>
      <c r="G21759" s="8"/>
      <c r="J21759" s="8"/>
    </row>
    <row r="21760">
      <c r="C21760" s="15"/>
      <c r="E21760" s="8"/>
      <c r="G21760" s="8"/>
      <c r="J21760" s="8"/>
    </row>
    <row r="21761">
      <c r="C21761" s="15"/>
      <c r="E21761" s="8"/>
      <c r="G21761" s="8"/>
      <c r="J21761" s="8"/>
    </row>
    <row r="21762">
      <c r="C21762" s="15"/>
      <c r="E21762" s="8"/>
      <c r="G21762" s="8"/>
      <c r="J21762" s="8"/>
    </row>
    <row r="21763">
      <c r="C21763" s="15"/>
      <c r="E21763" s="8"/>
      <c r="G21763" s="8"/>
      <c r="J21763" s="8"/>
    </row>
    <row r="21764">
      <c r="C21764" s="15"/>
      <c r="E21764" s="8"/>
      <c r="G21764" s="8"/>
      <c r="J21764" s="8"/>
    </row>
    <row r="21765">
      <c r="C21765" s="15"/>
      <c r="E21765" s="8"/>
      <c r="G21765" s="8"/>
      <c r="J21765" s="8"/>
    </row>
    <row r="21766">
      <c r="C21766" s="15"/>
      <c r="E21766" s="8"/>
      <c r="G21766" s="8"/>
      <c r="J21766" s="8"/>
    </row>
    <row r="21767">
      <c r="C21767" s="15"/>
      <c r="E21767" s="8"/>
      <c r="G21767" s="8"/>
      <c r="J21767" s="8"/>
    </row>
    <row r="21768">
      <c r="C21768" s="15"/>
      <c r="E21768" s="8"/>
      <c r="G21768" s="8"/>
      <c r="J21768" s="8"/>
    </row>
    <row r="21769">
      <c r="C21769" s="15"/>
      <c r="E21769" s="8"/>
      <c r="G21769" s="8"/>
      <c r="J21769" s="8"/>
    </row>
    <row r="21770">
      <c r="C21770" s="15"/>
      <c r="E21770" s="8"/>
      <c r="G21770" s="8"/>
      <c r="J21770" s="8"/>
    </row>
    <row r="21771">
      <c r="C21771" s="15"/>
      <c r="E21771" s="8"/>
      <c r="G21771" s="8"/>
      <c r="J21771" s="8"/>
    </row>
    <row r="21772">
      <c r="C21772" s="15"/>
      <c r="E21772" s="8"/>
      <c r="G21772" s="8"/>
      <c r="J21772" s="8"/>
    </row>
    <row r="21773">
      <c r="C21773" s="15"/>
      <c r="E21773" s="8"/>
      <c r="G21773" s="8"/>
      <c r="J21773" s="8"/>
    </row>
    <row r="21774">
      <c r="C21774" s="15"/>
      <c r="E21774" s="8"/>
      <c r="G21774" s="8"/>
      <c r="J21774" s="8"/>
    </row>
    <row r="21775">
      <c r="C21775" s="15"/>
      <c r="E21775" s="8"/>
      <c r="G21775" s="8"/>
      <c r="J21775" s="8"/>
    </row>
    <row r="21776">
      <c r="C21776" s="15"/>
      <c r="E21776" s="8"/>
      <c r="G21776" s="8"/>
      <c r="J21776" s="8"/>
    </row>
    <row r="21777">
      <c r="C21777" s="15"/>
      <c r="E21777" s="8"/>
      <c r="G21777" s="8"/>
      <c r="J21777" s="8"/>
    </row>
    <row r="21778">
      <c r="C21778" s="15"/>
      <c r="E21778" s="8"/>
      <c r="G21778" s="8"/>
      <c r="J21778" s="8"/>
    </row>
    <row r="21779">
      <c r="C21779" s="15"/>
      <c r="E21779" s="8"/>
      <c r="G21779" s="8"/>
      <c r="J21779" s="8"/>
    </row>
    <row r="21780">
      <c r="C21780" s="15"/>
      <c r="E21780" s="8"/>
      <c r="G21780" s="8"/>
      <c r="J21780" s="8"/>
    </row>
    <row r="21781">
      <c r="C21781" s="15"/>
      <c r="E21781" s="8"/>
      <c r="G21781" s="8"/>
      <c r="J21781" s="8"/>
    </row>
    <row r="21782">
      <c r="C21782" s="15"/>
      <c r="E21782" s="8"/>
      <c r="G21782" s="8"/>
      <c r="J21782" s="8"/>
    </row>
    <row r="21783">
      <c r="C21783" s="15"/>
      <c r="E21783" s="8"/>
      <c r="G21783" s="8"/>
      <c r="J21783" s="8"/>
    </row>
    <row r="21784">
      <c r="C21784" s="15"/>
      <c r="E21784" s="8"/>
      <c r="G21784" s="8"/>
      <c r="J21784" s="8"/>
    </row>
    <row r="21785">
      <c r="C21785" s="15"/>
      <c r="E21785" s="8"/>
      <c r="G21785" s="8"/>
      <c r="J21785" s="8"/>
    </row>
    <row r="21786">
      <c r="C21786" s="15"/>
      <c r="E21786" s="8"/>
      <c r="G21786" s="8"/>
      <c r="J21786" s="8"/>
    </row>
    <row r="21787">
      <c r="C21787" s="15"/>
      <c r="E21787" s="8"/>
      <c r="G21787" s="8"/>
      <c r="J21787" s="8"/>
    </row>
    <row r="21788">
      <c r="C21788" s="15"/>
      <c r="E21788" s="8"/>
      <c r="G21788" s="8"/>
      <c r="J21788" s="8"/>
    </row>
    <row r="21789">
      <c r="C21789" s="15"/>
      <c r="E21789" s="8"/>
      <c r="G21789" s="8"/>
      <c r="J21789" s="8"/>
    </row>
    <row r="21790">
      <c r="C21790" s="15"/>
      <c r="E21790" s="8"/>
      <c r="G21790" s="8"/>
      <c r="J21790" s="8"/>
    </row>
    <row r="21791">
      <c r="C21791" s="15"/>
      <c r="E21791" s="8"/>
      <c r="G21791" s="8"/>
      <c r="J21791" s="8"/>
    </row>
    <row r="21792">
      <c r="C21792" s="15"/>
      <c r="E21792" s="8"/>
      <c r="G21792" s="8"/>
      <c r="J21792" s="8"/>
    </row>
    <row r="21793">
      <c r="C21793" s="15"/>
      <c r="E21793" s="8"/>
      <c r="G21793" s="8"/>
      <c r="J21793" s="8"/>
    </row>
    <row r="21794">
      <c r="C21794" s="15"/>
      <c r="E21794" s="8"/>
      <c r="G21794" s="8"/>
      <c r="J21794" s="8"/>
    </row>
    <row r="21795">
      <c r="C21795" s="15"/>
      <c r="E21795" s="8"/>
      <c r="G21795" s="8"/>
      <c r="J21795" s="8"/>
    </row>
    <row r="21796">
      <c r="C21796" s="15"/>
      <c r="E21796" s="8"/>
      <c r="G21796" s="8"/>
      <c r="J21796" s="8"/>
    </row>
    <row r="21797">
      <c r="C21797" s="15"/>
      <c r="E21797" s="8"/>
      <c r="G21797" s="8"/>
      <c r="J21797" s="8"/>
    </row>
    <row r="21798">
      <c r="C21798" s="15"/>
      <c r="E21798" s="8"/>
      <c r="G21798" s="8"/>
      <c r="J21798" s="8"/>
    </row>
    <row r="21799">
      <c r="C21799" s="15"/>
      <c r="E21799" s="8"/>
      <c r="G21799" s="8"/>
      <c r="J21799" s="8"/>
    </row>
    <row r="21800">
      <c r="C21800" s="15"/>
      <c r="E21800" s="8"/>
      <c r="G21800" s="8"/>
      <c r="J21800" s="8"/>
    </row>
    <row r="21801">
      <c r="C21801" s="15"/>
      <c r="E21801" s="8"/>
      <c r="G21801" s="8"/>
      <c r="J21801" s="8"/>
    </row>
    <row r="21802">
      <c r="C21802" s="15"/>
      <c r="E21802" s="8"/>
      <c r="G21802" s="8"/>
      <c r="J21802" s="8"/>
    </row>
    <row r="21803">
      <c r="C21803" s="15"/>
      <c r="E21803" s="8"/>
      <c r="G21803" s="8"/>
      <c r="J21803" s="8"/>
    </row>
    <row r="21804">
      <c r="C21804" s="15"/>
      <c r="E21804" s="8"/>
      <c r="G21804" s="8"/>
      <c r="J21804" s="8"/>
    </row>
    <row r="21805">
      <c r="C21805" s="15"/>
      <c r="E21805" s="8"/>
      <c r="G21805" s="8"/>
      <c r="J21805" s="8"/>
    </row>
    <row r="21806">
      <c r="C21806" s="15"/>
      <c r="E21806" s="8"/>
      <c r="G21806" s="8"/>
      <c r="J21806" s="8"/>
    </row>
    <row r="21807">
      <c r="C21807" s="15"/>
      <c r="E21807" s="8"/>
      <c r="G21807" s="8"/>
      <c r="J21807" s="8"/>
    </row>
    <row r="21808">
      <c r="C21808" s="15"/>
      <c r="E21808" s="8"/>
      <c r="G21808" s="8"/>
      <c r="J21808" s="8"/>
    </row>
    <row r="21809">
      <c r="C21809" s="15"/>
      <c r="E21809" s="8"/>
      <c r="G21809" s="8"/>
      <c r="J21809" s="8"/>
    </row>
    <row r="21810">
      <c r="C21810" s="15"/>
      <c r="E21810" s="8"/>
      <c r="G21810" s="8"/>
      <c r="J21810" s="8"/>
    </row>
    <row r="21811">
      <c r="C21811" s="15"/>
      <c r="E21811" s="8"/>
      <c r="G21811" s="8"/>
      <c r="J21811" s="8"/>
    </row>
    <row r="21812">
      <c r="C21812" s="15"/>
      <c r="E21812" s="8"/>
      <c r="G21812" s="8"/>
      <c r="J21812" s="8"/>
    </row>
    <row r="21813">
      <c r="C21813" s="15"/>
      <c r="E21813" s="8"/>
      <c r="G21813" s="8"/>
      <c r="J21813" s="8"/>
    </row>
    <row r="21814">
      <c r="C21814" s="15"/>
      <c r="E21814" s="8"/>
      <c r="G21814" s="8"/>
      <c r="J21814" s="8"/>
    </row>
    <row r="21815">
      <c r="C21815" s="15"/>
      <c r="E21815" s="8"/>
      <c r="G21815" s="8"/>
      <c r="J21815" s="8"/>
    </row>
    <row r="21816">
      <c r="C21816" s="15"/>
      <c r="E21816" s="8"/>
      <c r="G21816" s="8"/>
      <c r="J21816" s="8"/>
    </row>
    <row r="21817">
      <c r="C21817" s="15"/>
      <c r="E21817" s="8"/>
      <c r="G21817" s="8"/>
      <c r="J21817" s="8"/>
    </row>
    <row r="21818">
      <c r="C21818" s="15"/>
      <c r="E21818" s="8"/>
      <c r="G21818" s="8"/>
      <c r="J21818" s="8"/>
    </row>
    <row r="21819">
      <c r="C21819" s="15"/>
      <c r="E21819" s="8"/>
      <c r="G21819" s="8"/>
      <c r="J21819" s="8"/>
    </row>
    <row r="21820">
      <c r="C21820" s="15"/>
      <c r="E21820" s="8"/>
      <c r="G21820" s="8"/>
      <c r="J21820" s="8"/>
    </row>
    <row r="21821">
      <c r="C21821" s="15"/>
      <c r="E21821" s="8"/>
      <c r="G21821" s="8"/>
      <c r="J21821" s="8"/>
    </row>
    <row r="21822">
      <c r="C21822" s="15"/>
      <c r="E21822" s="8"/>
      <c r="G21822" s="8"/>
      <c r="J21822" s="8"/>
    </row>
    <row r="21823">
      <c r="C21823" s="15"/>
      <c r="E21823" s="8"/>
      <c r="G21823" s="8"/>
      <c r="J21823" s="8"/>
    </row>
    <row r="21824">
      <c r="C21824" s="15"/>
      <c r="E21824" s="8"/>
      <c r="G21824" s="8"/>
      <c r="J21824" s="8"/>
    </row>
    <row r="21825">
      <c r="C21825" s="15"/>
      <c r="E21825" s="8"/>
      <c r="G21825" s="8"/>
      <c r="J21825" s="8"/>
    </row>
    <row r="21826">
      <c r="C21826" s="15"/>
      <c r="E21826" s="8"/>
      <c r="G21826" s="8"/>
      <c r="J21826" s="8"/>
    </row>
    <row r="21827">
      <c r="C21827" s="15"/>
      <c r="E21827" s="8"/>
      <c r="G21827" s="8"/>
      <c r="J21827" s="8"/>
    </row>
    <row r="21828">
      <c r="C21828" s="15"/>
      <c r="E21828" s="8"/>
      <c r="G21828" s="8"/>
      <c r="J21828" s="8"/>
    </row>
    <row r="21829">
      <c r="C21829" s="15"/>
      <c r="E21829" s="8"/>
      <c r="G21829" s="8"/>
      <c r="J21829" s="8"/>
    </row>
    <row r="21830">
      <c r="C21830" s="15"/>
      <c r="E21830" s="8"/>
      <c r="G21830" s="8"/>
      <c r="J21830" s="8"/>
    </row>
    <row r="21831">
      <c r="C21831" s="15"/>
      <c r="E21831" s="8"/>
      <c r="G21831" s="8"/>
      <c r="J21831" s="8"/>
    </row>
    <row r="21832">
      <c r="C21832" s="15"/>
      <c r="E21832" s="8"/>
      <c r="G21832" s="8"/>
      <c r="J21832" s="8"/>
    </row>
    <row r="21833">
      <c r="C21833" s="15"/>
      <c r="E21833" s="8"/>
      <c r="G21833" s="8"/>
      <c r="J21833" s="8"/>
    </row>
    <row r="21834">
      <c r="C21834" s="15"/>
      <c r="E21834" s="8"/>
      <c r="G21834" s="8"/>
      <c r="J21834" s="8"/>
    </row>
    <row r="21835">
      <c r="C21835" s="15"/>
      <c r="E21835" s="8"/>
      <c r="G21835" s="8"/>
      <c r="J21835" s="8"/>
    </row>
    <row r="21836">
      <c r="C21836" s="15"/>
      <c r="E21836" s="8"/>
      <c r="G21836" s="8"/>
      <c r="J21836" s="8"/>
    </row>
    <row r="21837">
      <c r="C21837" s="15"/>
      <c r="E21837" s="8"/>
      <c r="G21837" s="8"/>
      <c r="J21837" s="8"/>
    </row>
    <row r="21838">
      <c r="C21838" s="15"/>
      <c r="E21838" s="8"/>
      <c r="G21838" s="8"/>
      <c r="J21838" s="8"/>
    </row>
    <row r="21839">
      <c r="C21839" s="15"/>
      <c r="E21839" s="8"/>
      <c r="G21839" s="8"/>
      <c r="J21839" s="8"/>
    </row>
    <row r="21840">
      <c r="C21840" s="15"/>
      <c r="E21840" s="8"/>
      <c r="G21840" s="8"/>
      <c r="J21840" s="8"/>
    </row>
    <row r="21841">
      <c r="C21841" s="15"/>
      <c r="E21841" s="8"/>
      <c r="G21841" s="8"/>
      <c r="J21841" s="8"/>
    </row>
    <row r="21842">
      <c r="C21842" s="15"/>
      <c r="E21842" s="8"/>
      <c r="G21842" s="8"/>
      <c r="J21842" s="8"/>
    </row>
    <row r="21843">
      <c r="C21843" s="15"/>
      <c r="E21843" s="8"/>
      <c r="G21843" s="8"/>
      <c r="J21843" s="8"/>
    </row>
    <row r="21844">
      <c r="C21844" s="15"/>
      <c r="E21844" s="8"/>
      <c r="G21844" s="8"/>
      <c r="J21844" s="8"/>
    </row>
    <row r="21845">
      <c r="C21845" s="15"/>
      <c r="E21845" s="8"/>
      <c r="G21845" s="8"/>
      <c r="J21845" s="8"/>
    </row>
    <row r="21846">
      <c r="C21846" s="15"/>
      <c r="E21846" s="8"/>
      <c r="G21846" s="8"/>
      <c r="J21846" s="8"/>
    </row>
    <row r="21847">
      <c r="C21847" s="15"/>
      <c r="E21847" s="8"/>
      <c r="G21847" s="8"/>
      <c r="J21847" s="8"/>
    </row>
    <row r="21848">
      <c r="C21848" s="15"/>
      <c r="E21848" s="8"/>
      <c r="G21848" s="8"/>
      <c r="J21848" s="8"/>
    </row>
    <row r="21849">
      <c r="C21849" s="15"/>
      <c r="E21849" s="8"/>
      <c r="G21849" s="8"/>
      <c r="J21849" s="8"/>
    </row>
    <row r="21850">
      <c r="C21850" s="15"/>
      <c r="E21850" s="8"/>
      <c r="G21850" s="8"/>
      <c r="J21850" s="8"/>
    </row>
    <row r="21851">
      <c r="C21851" s="15"/>
      <c r="E21851" s="8"/>
      <c r="G21851" s="8"/>
      <c r="J21851" s="8"/>
    </row>
    <row r="21852">
      <c r="C21852" s="15"/>
      <c r="E21852" s="8"/>
      <c r="G21852" s="8"/>
      <c r="J21852" s="8"/>
    </row>
    <row r="21853">
      <c r="C21853" s="15"/>
      <c r="E21853" s="8"/>
      <c r="G21853" s="8"/>
      <c r="J21853" s="8"/>
    </row>
    <row r="21854">
      <c r="C21854" s="15"/>
      <c r="E21854" s="8"/>
      <c r="G21854" s="8"/>
      <c r="J21854" s="8"/>
    </row>
    <row r="21855">
      <c r="C21855" s="15"/>
      <c r="E21855" s="8"/>
      <c r="G21855" s="8"/>
      <c r="J21855" s="8"/>
    </row>
    <row r="21856">
      <c r="C21856" s="15"/>
      <c r="E21856" s="8"/>
      <c r="G21856" s="8"/>
      <c r="J21856" s="8"/>
    </row>
    <row r="21857">
      <c r="C21857" s="15"/>
      <c r="E21857" s="8"/>
      <c r="G21857" s="8"/>
      <c r="J21857" s="8"/>
    </row>
    <row r="21858">
      <c r="C21858" s="15"/>
      <c r="E21858" s="8"/>
      <c r="G21858" s="8"/>
      <c r="J21858" s="8"/>
    </row>
    <row r="21859">
      <c r="C21859" s="15"/>
      <c r="E21859" s="8"/>
      <c r="G21859" s="8"/>
      <c r="J21859" s="8"/>
    </row>
    <row r="21860">
      <c r="C21860" s="15"/>
      <c r="E21860" s="8"/>
      <c r="G21860" s="8"/>
      <c r="J21860" s="8"/>
    </row>
    <row r="21861">
      <c r="C21861" s="15"/>
      <c r="E21861" s="8"/>
      <c r="G21861" s="8"/>
      <c r="J21861" s="8"/>
    </row>
    <row r="21862">
      <c r="C21862" s="15"/>
      <c r="E21862" s="8"/>
      <c r="G21862" s="8"/>
      <c r="J21862" s="8"/>
    </row>
    <row r="21863">
      <c r="C21863" s="15"/>
      <c r="E21863" s="8"/>
      <c r="G21863" s="8"/>
      <c r="J21863" s="8"/>
    </row>
    <row r="21864">
      <c r="C21864" s="15"/>
      <c r="E21864" s="8"/>
      <c r="G21864" s="8"/>
      <c r="J21864" s="8"/>
    </row>
    <row r="21865">
      <c r="C21865" s="15"/>
      <c r="E21865" s="8"/>
      <c r="G21865" s="8"/>
      <c r="J21865" s="8"/>
    </row>
    <row r="21866">
      <c r="C21866" s="15"/>
      <c r="E21866" s="8"/>
      <c r="G21866" s="8"/>
      <c r="J21866" s="8"/>
    </row>
    <row r="21867">
      <c r="C21867" s="15"/>
      <c r="E21867" s="8"/>
      <c r="G21867" s="8"/>
      <c r="J21867" s="8"/>
    </row>
    <row r="21868">
      <c r="C21868" s="15"/>
      <c r="E21868" s="8"/>
      <c r="G21868" s="8"/>
      <c r="J21868" s="8"/>
    </row>
    <row r="21869">
      <c r="C21869" s="15"/>
      <c r="E21869" s="8"/>
      <c r="G21869" s="8"/>
      <c r="J21869" s="8"/>
    </row>
    <row r="21870">
      <c r="C21870" s="15"/>
      <c r="E21870" s="8"/>
      <c r="G21870" s="8"/>
      <c r="J21870" s="8"/>
    </row>
    <row r="21871">
      <c r="C21871" s="15"/>
      <c r="E21871" s="8"/>
      <c r="G21871" s="8"/>
      <c r="J21871" s="8"/>
    </row>
    <row r="21872">
      <c r="C21872" s="15"/>
      <c r="E21872" s="8"/>
      <c r="G21872" s="8"/>
      <c r="J21872" s="8"/>
    </row>
    <row r="21873">
      <c r="C21873" s="15"/>
      <c r="E21873" s="8"/>
      <c r="G21873" s="8"/>
      <c r="J21873" s="8"/>
    </row>
    <row r="21874">
      <c r="C21874" s="15"/>
      <c r="E21874" s="8"/>
      <c r="G21874" s="8"/>
      <c r="J21874" s="8"/>
    </row>
    <row r="21875">
      <c r="C21875" s="15"/>
      <c r="E21875" s="8"/>
      <c r="G21875" s="8"/>
      <c r="J21875" s="8"/>
    </row>
    <row r="21876">
      <c r="C21876" s="15"/>
      <c r="E21876" s="8"/>
      <c r="G21876" s="8"/>
      <c r="J21876" s="8"/>
    </row>
    <row r="21877">
      <c r="C21877" s="15"/>
      <c r="E21877" s="8"/>
      <c r="G21877" s="8"/>
      <c r="J21877" s="8"/>
    </row>
    <row r="21878">
      <c r="C21878" s="15"/>
      <c r="E21878" s="8"/>
      <c r="G21878" s="8"/>
      <c r="J21878" s="8"/>
    </row>
    <row r="21879">
      <c r="C21879" s="15"/>
      <c r="E21879" s="8"/>
      <c r="G21879" s="8"/>
      <c r="J21879" s="8"/>
    </row>
    <row r="21880">
      <c r="C21880" s="15"/>
      <c r="E21880" s="8"/>
      <c r="G21880" s="8"/>
      <c r="J21880" s="8"/>
    </row>
    <row r="21881">
      <c r="C21881" s="15"/>
      <c r="E21881" s="8"/>
      <c r="G21881" s="8"/>
      <c r="J21881" s="8"/>
    </row>
    <row r="21882">
      <c r="C21882" s="15"/>
      <c r="E21882" s="8"/>
      <c r="G21882" s="8"/>
      <c r="J21882" s="8"/>
    </row>
    <row r="21883">
      <c r="C21883" s="15"/>
      <c r="E21883" s="8"/>
      <c r="G21883" s="8"/>
      <c r="J21883" s="8"/>
    </row>
    <row r="21884">
      <c r="C21884" s="15"/>
      <c r="E21884" s="8"/>
      <c r="G21884" s="8"/>
      <c r="J21884" s="8"/>
    </row>
    <row r="21885">
      <c r="C21885" s="15"/>
      <c r="E21885" s="8"/>
      <c r="G21885" s="8"/>
      <c r="J21885" s="8"/>
    </row>
    <row r="21886">
      <c r="C21886" s="15"/>
      <c r="E21886" s="8"/>
      <c r="G21886" s="8"/>
      <c r="J21886" s="8"/>
    </row>
    <row r="21887">
      <c r="C21887" s="15"/>
      <c r="E21887" s="8"/>
      <c r="G21887" s="8"/>
      <c r="J21887" s="8"/>
    </row>
    <row r="21888">
      <c r="C21888" s="15"/>
      <c r="E21888" s="8"/>
      <c r="G21888" s="8"/>
      <c r="J21888" s="8"/>
    </row>
    <row r="21889">
      <c r="C21889" s="15"/>
      <c r="E21889" s="8"/>
      <c r="G21889" s="8"/>
      <c r="J21889" s="8"/>
    </row>
    <row r="21890">
      <c r="C21890" s="15"/>
      <c r="E21890" s="8"/>
      <c r="G21890" s="8"/>
      <c r="J21890" s="8"/>
    </row>
    <row r="21891">
      <c r="C21891" s="15"/>
      <c r="E21891" s="8"/>
      <c r="G21891" s="8"/>
      <c r="J21891" s="8"/>
    </row>
    <row r="21892">
      <c r="C21892" s="15"/>
      <c r="E21892" s="8"/>
      <c r="G21892" s="8"/>
      <c r="J21892" s="8"/>
    </row>
    <row r="21893">
      <c r="C21893" s="15"/>
      <c r="E21893" s="8"/>
      <c r="G21893" s="8"/>
      <c r="J21893" s="8"/>
    </row>
    <row r="21894">
      <c r="C21894" s="15"/>
      <c r="E21894" s="8"/>
      <c r="G21894" s="8"/>
      <c r="J21894" s="8"/>
    </row>
    <row r="21895">
      <c r="C21895" s="15"/>
      <c r="E21895" s="8"/>
      <c r="G21895" s="8"/>
      <c r="J21895" s="8"/>
    </row>
    <row r="21896">
      <c r="C21896" s="15"/>
      <c r="E21896" s="8"/>
      <c r="G21896" s="8"/>
      <c r="J21896" s="8"/>
    </row>
    <row r="21897">
      <c r="C21897" s="15"/>
      <c r="E21897" s="8"/>
      <c r="G21897" s="8"/>
      <c r="J21897" s="8"/>
    </row>
    <row r="21898">
      <c r="C21898" s="15"/>
      <c r="E21898" s="8"/>
      <c r="G21898" s="8"/>
      <c r="J21898" s="8"/>
    </row>
    <row r="21899">
      <c r="C21899" s="15"/>
      <c r="E21899" s="8"/>
      <c r="G21899" s="8"/>
      <c r="J21899" s="8"/>
    </row>
    <row r="21900">
      <c r="C21900" s="15"/>
      <c r="E21900" s="8"/>
      <c r="G21900" s="8"/>
      <c r="J21900" s="8"/>
    </row>
    <row r="21901">
      <c r="C21901" s="15"/>
      <c r="E21901" s="8"/>
      <c r="G21901" s="8"/>
      <c r="J21901" s="8"/>
    </row>
    <row r="21902">
      <c r="C21902" s="15"/>
      <c r="E21902" s="8"/>
      <c r="G21902" s="8"/>
      <c r="J21902" s="8"/>
    </row>
    <row r="21903">
      <c r="C21903" s="15"/>
      <c r="E21903" s="8"/>
      <c r="G21903" s="8"/>
      <c r="J21903" s="8"/>
    </row>
    <row r="21904">
      <c r="C21904" s="15"/>
      <c r="E21904" s="8"/>
      <c r="G21904" s="8"/>
      <c r="J21904" s="8"/>
    </row>
    <row r="21905">
      <c r="C21905" s="15"/>
      <c r="E21905" s="8"/>
      <c r="G21905" s="8"/>
      <c r="J21905" s="8"/>
    </row>
    <row r="21906">
      <c r="C21906" s="15"/>
      <c r="E21906" s="8"/>
      <c r="G21906" s="8"/>
      <c r="J21906" s="8"/>
    </row>
    <row r="21907">
      <c r="C21907" s="15"/>
      <c r="E21907" s="8"/>
      <c r="G21907" s="8"/>
      <c r="J21907" s="8"/>
    </row>
    <row r="21908">
      <c r="C21908" s="15"/>
      <c r="E21908" s="8"/>
      <c r="G21908" s="8"/>
      <c r="J21908" s="8"/>
    </row>
    <row r="21909">
      <c r="C21909" s="15"/>
      <c r="E21909" s="8"/>
      <c r="G21909" s="8"/>
      <c r="J21909" s="8"/>
    </row>
    <row r="21910">
      <c r="C21910" s="15"/>
      <c r="E21910" s="8"/>
      <c r="G21910" s="8"/>
      <c r="J21910" s="8"/>
    </row>
    <row r="21911">
      <c r="C21911" s="15"/>
      <c r="E21911" s="8"/>
      <c r="G21911" s="8"/>
      <c r="J21911" s="8"/>
    </row>
    <row r="21912">
      <c r="C21912" s="15"/>
      <c r="E21912" s="8"/>
      <c r="G21912" s="8"/>
      <c r="J21912" s="8"/>
    </row>
    <row r="21913">
      <c r="C21913" s="15"/>
      <c r="E21913" s="8"/>
      <c r="G21913" s="8"/>
      <c r="J21913" s="8"/>
    </row>
    <row r="21914">
      <c r="C21914" s="15"/>
      <c r="E21914" s="8"/>
      <c r="G21914" s="8"/>
      <c r="J21914" s="8"/>
    </row>
    <row r="21915">
      <c r="C21915" s="15"/>
      <c r="E21915" s="8"/>
      <c r="G21915" s="8"/>
      <c r="J21915" s="8"/>
    </row>
    <row r="21916">
      <c r="C21916" s="15"/>
      <c r="E21916" s="8"/>
      <c r="G21916" s="8"/>
      <c r="J21916" s="8"/>
    </row>
    <row r="21917">
      <c r="C21917" s="15"/>
      <c r="E21917" s="8"/>
      <c r="G21917" s="8"/>
      <c r="J21917" s="8"/>
    </row>
    <row r="21918">
      <c r="C21918" s="15"/>
      <c r="E21918" s="8"/>
      <c r="G21918" s="8"/>
      <c r="J21918" s="8"/>
    </row>
    <row r="21919">
      <c r="C21919" s="15"/>
      <c r="E21919" s="8"/>
      <c r="G21919" s="8"/>
      <c r="J21919" s="8"/>
    </row>
    <row r="21920">
      <c r="C21920" s="15"/>
      <c r="E21920" s="8"/>
      <c r="G21920" s="8"/>
      <c r="J21920" s="8"/>
    </row>
    <row r="21921">
      <c r="C21921" s="15"/>
      <c r="E21921" s="8"/>
      <c r="G21921" s="8"/>
      <c r="J21921" s="8"/>
    </row>
    <row r="21922">
      <c r="C21922" s="15"/>
      <c r="E21922" s="8"/>
      <c r="G21922" s="8"/>
      <c r="J21922" s="8"/>
    </row>
    <row r="21923">
      <c r="C21923" s="15"/>
      <c r="E21923" s="8"/>
      <c r="G21923" s="8"/>
      <c r="J21923" s="8"/>
    </row>
    <row r="21924">
      <c r="C21924" s="15"/>
      <c r="E21924" s="8"/>
      <c r="G21924" s="8"/>
      <c r="J21924" s="8"/>
    </row>
    <row r="21925">
      <c r="C21925" s="15"/>
      <c r="E21925" s="8"/>
      <c r="G21925" s="8"/>
      <c r="J21925" s="8"/>
    </row>
    <row r="21926">
      <c r="C21926" s="15"/>
      <c r="E21926" s="8"/>
      <c r="G21926" s="8"/>
      <c r="J21926" s="8"/>
    </row>
    <row r="21927">
      <c r="C21927" s="15"/>
      <c r="E21927" s="8"/>
      <c r="G21927" s="8"/>
      <c r="J21927" s="8"/>
    </row>
    <row r="21928">
      <c r="C21928" s="15"/>
      <c r="E21928" s="8"/>
      <c r="G21928" s="8"/>
      <c r="J21928" s="8"/>
    </row>
    <row r="21929">
      <c r="C21929" s="15"/>
      <c r="E21929" s="8"/>
      <c r="G21929" s="8"/>
      <c r="J21929" s="8"/>
    </row>
    <row r="21930">
      <c r="C21930" s="15"/>
      <c r="E21930" s="8"/>
      <c r="G21930" s="8"/>
      <c r="J21930" s="8"/>
    </row>
    <row r="21931">
      <c r="C21931" s="15"/>
      <c r="E21931" s="8"/>
      <c r="G21931" s="8"/>
      <c r="J21931" s="8"/>
    </row>
    <row r="21932">
      <c r="C21932" s="15"/>
      <c r="E21932" s="8"/>
      <c r="G21932" s="8"/>
      <c r="J21932" s="8"/>
    </row>
    <row r="21933">
      <c r="C21933" s="15"/>
      <c r="E21933" s="8"/>
      <c r="G21933" s="8"/>
      <c r="J21933" s="8"/>
    </row>
    <row r="21934">
      <c r="C21934" s="15"/>
      <c r="E21934" s="8"/>
      <c r="G21934" s="8"/>
      <c r="J21934" s="8"/>
    </row>
    <row r="21935">
      <c r="C21935" s="15"/>
      <c r="E21935" s="8"/>
      <c r="G21935" s="8"/>
      <c r="J21935" s="8"/>
    </row>
    <row r="21936">
      <c r="C21936" s="15"/>
      <c r="E21936" s="8"/>
      <c r="G21936" s="8"/>
      <c r="J21936" s="8"/>
    </row>
    <row r="21937">
      <c r="C21937" s="15"/>
      <c r="E21937" s="8"/>
      <c r="G21937" s="8"/>
      <c r="J21937" s="8"/>
    </row>
    <row r="21938">
      <c r="C21938" s="15"/>
      <c r="E21938" s="8"/>
      <c r="G21938" s="8"/>
      <c r="J21938" s="8"/>
    </row>
    <row r="21939">
      <c r="C21939" s="15"/>
      <c r="E21939" s="8"/>
      <c r="G21939" s="8"/>
      <c r="J21939" s="8"/>
    </row>
    <row r="21940">
      <c r="C21940" s="15"/>
      <c r="E21940" s="8"/>
      <c r="G21940" s="8"/>
      <c r="J21940" s="8"/>
    </row>
    <row r="21941">
      <c r="C21941" s="15"/>
      <c r="E21941" s="8"/>
      <c r="G21941" s="8"/>
      <c r="J21941" s="8"/>
    </row>
    <row r="21942">
      <c r="C21942" s="15"/>
      <c r="E21942" s="8"/>
      <c r="G21942" s="8"/>
      <c r="J21942" s="8"/>
    </row>
    <row r="21943">
      <c r="C21943" s="15"/>
      <c r="E21943" s="8"/>
      <c r="G21943" s="8"/>
      <c r="J21943" s="8"/>
    </row>
    <row r="21944">
      <c r="C21944" s="15"/>
      <c r="E21944" s="8"/>
      <c r="G21944" s="8"/>
      <c r="J21944" s="8"/>
    </row>
    <row r="21945">
      <c r="C21945" s="15"/>
      <c r="E21945" s="8"/>
      <c r="G21945" s="8"/>
      <c r="J21945" s="8"/>
    </row>
    <row r="21946">
      <c r="C21946" s="15"/>
      <c r="E21946" s="8"/>
      <c r="G21946" s="8"/>
      <c r="J21946" s="8"/>
    </row>
    <row r="21947">
      <c r="C21947" s="15"/>
      <c r="E21947" s="8"/>
      <c r="G21947" s="8"/>
      <c r="J21947" s="8"/>
    </row>
    <row r="21948">
      <c r="C21948" s="15"/>
      <c r="E21948" s="8"/>
      <c r="G21948" s="8"/>
      <c r="J21948" s="8"/>
    </row>
    <row r="21949">
      <c r="C21949" s="15"/>
      <c r="E21949" s="8"/>
      <c r="G21949" s="8"/>
      <c r="J21949" s="8"/>
    </row>
    <row r="21950">
      <c r="C21950" s="15"/>
      <c r="E21950" s="8"/>
      <c r="G21950" s="8"/>
      <c r="J21950" s="8"/>
    </row>
    <row r="21951">
      <c r="C21951" s="15"/>
      <c r="E21951" s="8"/>
      <c r="G21951" s="8"/>
      <c r="J21951" s="8"/>
    </row>
    <row r="21952">
      <c r="C21952" s="15"/>
      <c r="E21952" s="8"/>
      <c r="G21952" s="8"/>
      <c r="J21952" s="8"/>
    </row>
    <row r="21953">
      <c r="C21953" s="15"/>
      <c r="E21953" s="8"/>
      <c r="G21953" s="8"/>
      <c r="J21953" s="8"/>
    </row>
    <row r="21954">
      <c r="C21954" s="15"/>
      <c r="E21954" s="8"/>
      <c r="G21954" s="8"/>
      <c r="J21954" s="8"/>
    </row>
    <row r="21955">
      <c r="C21955" s="15"/>
      <c r="E21955" s="8"/>
      <c r="G21955" s="8"/>
      <c r="J21955" s="8"/>
    </row>
    <row r="21956">
      <c r="C21956" s="15"/>
      <c r="E21956" s="8"/>
      <c r="G21956" s="8"/>
      <c r="J21956" s="8"/>
    </row>
    <row r="21957">
      <c r="C21957" s="15"/>
      <c r="E21957" s="8"/>
      <c r="G21957" s="8"/>
      <c r="J21957" s="8"/>
    </row>
    <row r="21958">
      <c r="C21958" s="15"/>
      <c r="E21958" s="8"/>
      <c r="G21958" s="8"/>
      <c r="J21958" s="8"/>
    </row>
    <row r="21959">
      <c r="C21959" s="15"/>
      <c r="E21959" s="8"/>
      <c r="G21959" s="8"/>
      <c r="J21959" s="8"/>
    </row>
    <row r="21960">
      <c r="C21960" s="15"/>
      <c r="E21960" s="8"/>
      <c r="G21960" s="8"/>
      <c r="J21960" s="8"/>
    </row>
    <row r="21961">
      <c r="C21961" s="15"/>
      <c r="E21961" s="8"/>
      <c r="G21961" s="8"/>
      <c r="J21961" s="8"/>
    </row>
    <row r="21962">
      <c r="C21962" s="15"/>
      <c r="E21962" s="8"/>
      <c r="G21962" s="8"/>
      <c r="J21962" s="8"/>
    </row>
    <row r="21963">
      <c r="C21963" s="15"/>
      <c r="E21963" s="8"/>
      <c r="G21963" s="8"/>
      <c r="J21963" s="8"/>
    </row>
    <row r="21964">
      <c r="C21964" s="15"/>
      <c r="E21964" s="8"/>
      <c r="G21964" s="8"/>
      <c r="J21964" s="8"/>
    </row>
    <row r="21965">
      <c r="C21965" s="15"/>
      <c r="E21965" s="8"/>
      <c r="G21965" s="8"/>
      <c r="J21965" s="8"/>
    </row>
    <row r="21966">
      <c r="C21966" s="15"/>
      <c r="E21966" s="8"/>
      <c r="G21966" s="8"/>
      <c r="J21966" s="8"/>
    </row>
    <row r="21967">
      <c r="C21967" s="15"/>
      <c r="E21967" s="8"/>
      <c r="G21967" s="8"/>
      <c r="J21967" s="8"/>
    </row>
    <row r="21968">
      <c r="C21968" s="15"/>
      <c r="E21968" s="8"/>
      <c r="G21968" s="8"/>
      <c r="J21968" s="8"/>
    </row>
    <row r="21969">
      <c r="C21969" s="15"/>
      <c r="E21969" s="8"/>
      <c r="G21969" s="8"/>
      <c r="J21969" s="8"/>
    </row>
    <row r="21970">
      <c r="C21970" s="15"/>
      <c r="E21970" s="8"/>
      <c r="G21970" s="8"/>
      <c r="J21970" s="8"/>
    </row>
    <row r="21971">
      <c r="C21971" s="15"/>
      <c r="E21971" s="8"/>
      <c r="G21971" s="8"/>
      <c r="J21971" s="8"/>
    </row>
    <row r="21972">
      <c r="C21972" s="15"/>
      <c r="E21972" s="8"/>
      <c r="G21972" s="8"/>
      <c r="J21972" s="8"/>
    </row>
    <row r="21973">
      <c r="C21973" s="15"/>
      <c r="E21973" s="8"/>
      <c r="G21973" s="8"/>
      <c r="J21973" s="8"/>
    </row>
    <row r="21974">
      <c r="C21974" s="15"/>
      <c r="E21974" s="8"/>
      <c r="G21974" s="8"/>
      <c r="J21974" s="8"/>
    </row>
    <row r="21975">
      <c r="C21975" s="15"/>
      <c r="E21975" s="8"/>
      <c r="G21975" s="8"/>
      <c r="J21975" s="8"/>
    </row>
    <row r="21976">
      <c r="C21976" s="15"/>
      <c r="E21976" s="8"/>
      <c r="G21976" s="8"/>
      <c r="J21976" s="8"/>
    </row>
    <row r="21977">
      <c r="C21977" s="15"/>
      <c r="E21977" s="8"/>
      <c r="G21977" s="8"/>
      <c r="J21977" s="8"/>
    </row>
    <row r="21978">
      <c r="C21978" s="15"/>
      <c r="E21978" s="8"/>
      <c r="G21978" s="8"/>
      <c r="J21978" s="8"/>
    </row>
    <row r="21979">
      <c r="C21979" s="15"/>
      <c r="E21979" s="8"/>
      <c r="G21979" s="8"/>
      <c r="J21979" s="8"/>
    </row>
    <row r="21980">
      <c r="C21980" s="15"/>
      <c r="E21980" s="8"/>
      <c r="G21980" s="8"/>
      <c r="J21980" s="8"/>
    </row>
    <row r="21981">
      <c r="C21981" s="15"/>
      <c r="E21981" s="8"/>
      <c r="G21981" s="8"/>
      <c r="J21981" s="8"/>
    </row>
    <row r="21982">
      <c r="C21982" s="15"/>
      <c r="E21982" s="8"/>
      <c r="G21982" s="8"/>
      <c r="J21982" s="8"/>
    </row>
    <row r="21983">
      <c r="C21983" s="15"/>
      <c r="E21983" s="8"/>
      <c r="G21983" s="8"/>
      <c r="J21983" s="8"/>
    </row>
    <row r="21984">
      <c r="C21984" s="15"/>
      <c r="E21984" s="8"/>
      <c r="G21984" s="8"/>
      <c r="J21984" s="8"/>
    </row>
    <row r="21985">
      <c r="C21985" s="15"/>
      <c r="E21985" s="8"/>
      <c r="G21985" s="8"/>
      <c r="J21985" s="8"/>
    </row>
    <row r="21986">
      <c r="C21986" s="15"/>
      <c r="E21986" s="8"/>
      <c r="G21986" s="8"/>
      <c r="J21986" s="8"/>
    </row>
    <row r="21987">
      <c r="C21987" s="15"/>
      <c r="E21987" s="8"/>
      <c r="G21987" s="8"/>
      <c r="J21987" s="8"/>
    </row>
    <row r="21988">
      <c r="C21988" s="15"/>
      <c r="E21988" s="8"/>
      <c r="G21988" s="8"/>
      <c r="J21988" s="8"/>
    </row>
    <row r="21989">
      <c r="C21989" s="15"/>
      <c r="E21989" s="8"/>
      <c r="G21989" s="8"/>
      <c r="J21989" s="8"/>
    </row>
    <row r="21990">
      <c r="C21990" s="15"/>
      <c r="E21990" s="8"/>
      <c r="G21990" s="8"/>
      <c r="J21990" s="8"/>
    </row>
    <row r="21991">
      <c r="C21991" s="15"/>
      <c r="E21991" s="8"/>
      <c r="G21991" s="8"/>
      <c r="J21991" s="8"/>
    </row>
    <row r="21992">
      <c r="C21992" s="15"/>
      <c r="E21992" s="8"/>
      <c r="G21992" s="8"/>
      <c r="J21992" s="8"/>
    </row>
    <row r="21993">
      <c r="C21993" s="15"/>
      <c r="E21993" s="8"/>
      <c r="G21993" s="8"/>
      <c r="J21993" s="8"/>
    </row>
    <row r="21994">
      <c r="C21994" s="15"/>
      <c r="E21994" s="8"/>
      <c r="G21994" s="8"/>
      <c r="J21994" s="8"/>
    </row>
    <row r="21995">
      <c r="C21995" s="15"/>
      <c r="E21995" s="8"/>
      <c r="G21995" s="8"/>
      <c r="J21995" s="8"/>
    </row>
    <row r="21996">
      <c r="C21996" s="15"/>
      <c r="E21996" s="8"/>
      <c r="G21996" s="8"/>
      <c r="J21996" s="8"/>
    </row>
    <row r="21997">
      <c r="C21997" s="15"/>
      <c r="E21997" s="8"/>
      <c r="G21997" s="8"/>
      <c r="J21997" s="8"/>
    </row>
    <row r="21998">
      <c r="C21998" s="15"/>
      <c r="E21998" s="8"/>
      <c r="G21998" s="8"/>
      <c r="J21998" s="8"/>
    </row>
    <row r="21999">
      <c r="C21999" s="15"/>
      <c r="E21999" s="8"/>
      <c r="G21999" s="8"/>
      <c r="J21999" s="8"/>
    </row>
    <row r="22000">
      <c r="C22000" s="15"/>
      <c r="E22000" s="8"/>
      <c r="G22000" s="8"/>
      <c r="J22000" s="8"/>
    </row>
    <row r="22001">
      <c r="C22001" s="15"/>
      <c r="E22001" s="8"/>
      <c r="G22001" s="8"/>
      <c r="J22001" s="8"/>
    </row>
    <row r="22002">
      <c r="C22002" s="15"/>
      <c r="E22002" s="8"/>
      <c r="G22002" s="8"/>
      <c r="J22002" s="8"/>
    </row>
    <row r="22003">
      <c r="C22003" s="15"/>
      <c r="E22003" s="8"/>
      <c r="G22003" s="8"/>
      <c r="J22003" s="8"/>
    </row>
    <row r="22004">
      <c r="C22004" s="15"/>
      <c r="E22004" s="8"/>
      <c r="G22004" s="8"/>
      <c r="J22004" s="8"/>
    </row>
    <row r="22005">
      <c r="C22005" s="15"/>
      <c r="E22005" s="8"/>
      <c r="G22005" s="8"/>
      <c r="J22005" s="8"/>
    </row>
    <row r="22006">
      <c r="C22006" s="15"/>
      <c r="E22006" s="8"/>
      <c r="G22006" s="8"/>
      <c r="J22006" s="8"/>
    </row>
    <row r="22007">
      <c r="C22007" s="15"/>
      <c r="E22007" s="8"/>
      <c r="G22007" s="8"/>
      <c r="J22007" s="8"/>
    </row>
    <row r="22008">
      <c r="C22008" s="15"/>
      <c r="E22008" s="8"/>
      <c r="G22008" s="8"/>
      <c r="J22008" s="8"/>
    </row>
    <row r="22009">
      <c r="C22009" s="15"/>
      <c r="E22009" s="8"/>
      <c r="G22009" s="8"/>
      <c r="J22009" s="8"/>
    </row>
    <row r="22010">
      <c r="C22010" s="15"/>
      <c r="E22010" s="8"/>
      <c r="G22010" s="8"/>
      <c r="J22010" s="8"/>
    </row>
    <row r="22011">
      <c r="C22011" s="15"/>
      <c r="E22011" s="8"/>
      <c r="G22011" s="8"/>
      <c r="J22011" s="8"/>
    </row>
    <row r="22012">
      <c r="C22012" s="15"/>
      <c r="E22012" s="8"/>
      <c r="G22012" s="8"/>
      <c r="J22012" s="8"/>
    </row>
    <row r="22013">
      <c r="C22013" s="15"/>
      <c r="E22013" s="8"/>
      <c r="G22013" s="8"/>
      <c r="J22013" s="8"/>
    </row>
    <row r="22014">
      <c r="C22014" s="15"/>
      <c r="E22014" s="8"/>
      <c r="G22014" s="8"/>
      <c r="J22014" s="8"/>
    </row>
    <row r="22015">
      <c r="C22015" s="15"/>
      <c r="E22015" s="8"/>
      <c r="G22015" s="8"/>
      <c r="J22015" s="8"/>
    </row>
    <row r="22016">
      <c r="C22016" s="15"/>
      <c r="E22016" s="8"/>
      <c r="G22016" s="8"/>
      <c r="J22016" s="8"/>
    </row>
    <row r="22017">
      <c r="C22017" s="15"/>
      <c r="E22017" s="8"/>
      <c r="G22017" s="8"/>
      <c r="J22017" s="8"/>
    </row>
    <row r="22018">
      <c r="C22018" s="15"/>
      <c r="E22018" s="8"/>
      <c r="G22018" s="8"/>
      <c r="J22018" s="8"/>
    </row>
    <row r="22019">
      <c r="C22019" s="15"/>
      <c r="E22019" s="8"/>
      <c r="G22019" s="8"/>
      <c r="J22019" s="8"/>
    </row>
    <row r="22020">
      <c r="C22020" s="15"/>
      <c r="E22020" s="8"/>
      <c r="G22020" s="8"/>
      <c r="J22020" s="8"/>
    </row>
    <row r="22021">
      <c r="C22021" s="15"/>
      <c r="E22021" s="8"/>
      <c r="G22021" s="8"/>
      <c r="J22021" s="8"/>
    </row>
    <row r="22022">
      <c r="C22022" s="15"/>
      <c r="E22022" s="8"/>
      <c r="G22022" s="8"/>
      <c r="J22022" s="8"/>
    </row>
    <row r="22023">
      <c r="C22023" s="15"/>
      <c r="E22023" s="8"/>
      <c r="G22023" s="8"/>
      <c r="J22023" s="8"/>
    </row>
    <row r="22024">
      <c r="C22024" s="15"/>
      <c r="E22024" s="8"/>
      <c r="G22024" s="8"/>
      <c r="J22024" s="8"/>
    </row>
    <row r="22025">
      <c r="C22025" s="15"/>
      <c r="E22025" s="8"/>
      <c r="G22025" s="8"/>
      <c r="J22025" s="8"/>
    </row>
    <row r="22026">
      <c r="C22026" s="15"/>
      <c r="E22026" s="8"/>
      <c r="G22026" s="8"/>
      <c r="J22026" s="8"/>
    </row>
    <row r="22027">
      <c r="C22027" s="15"/>
      <c r="E22027" s="8"/>
      <c r="G22027" s="8"/>
      <c r="J22027" s="8"/>
    </row>
    <row r="22028">
      <c r="C22028" s="15"/>
      <c r="E22028" s="8"/>
      <c r="G22028" s="8"/>
      <c r="J22028" s="8"/>
    </row>
    <row r="22029">
      <c r="C22029" s="15"/>
      <c r="E22029" s="8"/>
      <c r="G22029" s="8"/>
      <c r="J22029" s="8"/>
    </row>
    <row r="22030">
      <c r="C22030" s="15"/>
      <c r="E22030" s="8"/>
      <c r="G22030" s="8"/>
      <c r="J22030" s="8"/>
    </row>
    <row r="22031">
      <c r="C22031" s="15"/>
      <c r="E22031" s="8"/>
      <c r="G22031" s="8"/>
      <c r="J22031" s="8"/>
    </row>
    <row r="22032">
      <c r="C22032" s="15"/>
      <c r="E22032" s="8"/>
      <c r="G22032" s="8"/>
      <c r="J22032" s="8"/>
    </row>
    <row r="22033">
      <c r="C22033" s="15"/>
      <c r="E22033" s="8"/>
      <c r="G22033" s="8"/>
      <c r="J22033" s="8"/>
    </row>
    <row r="22034">
      <c r="C22034" s="15"/>
      <c r="E22034" s="8"/>
      <c r="G22034" s="8"/>
      <c r="J22034" s="8"/>
    </row>
    <row r="22035">
      <c r="C22035" s="15"/>
      <c r="E22035" s="8"/>
      <c r="G22035" s="8"/>
      <c r="J22035" s="8"/>
    </row>
    <row r="22036">
      <c r="C22036" s="15"/>
      <c r="E22036" s="8"/>
      <c r="G22036" s="8"/>
      <c r="J22036" s="8"/>
    </row>
    <row r="22037">
      <c r="C22037" s="15"/>
      <c r="E22037" s="8"/>
      <c r="G22037" s="8"/>
      <c r="J22037" s="8"/>
    </row>
    <row r="22038">
      <c r="C22038" s="15"/>
      <c r="E22038" s="8"/>
      <c r="G22038" s="8"/>
      <c r="J22038" s="8"/>
    </row>
    <row r="22039">
      <c r="C22039" s="15"/>
      <c r="E22039" s="8"/>
      <c r="G22039" s="8"/>
      <c r="J22039" s="8"/>
    </row>
    <row r="22040">
      <c r="C22040" s="15"/>
      <c r="E22040" s="8"/>
      <c r="G22040" s="8"/>
      <c r="J22040" s="8"/>
    </row>
    <row r="22041">
      <c r="C22041" s="15"/>
      <c r="E22041" s="8"/>
      <c r="G22041" s="8"/>
      <c r="J22041" s="8"/>
    </row>
    <row r="22042">
      <c r="C22042" s="15"/>
      <c r="E22042" s="8"/>
      <c r="G22042" s="8"/>
      <c r="J22042" s="8"/>
    </row>
    <row r="22043">
      <c r="C22043" s="15"/>
      <c r="E22043" s="8"/>
      <c r="G22043" s="8"/>
      <c r="J22043" s="8"/>
    </row>
    <row r="22044">
      <c r="C22044" s="15"/>
      <c r="E22044" s="8"/>
      <c r="G22044" s="8"/>
      <c r="J22044" s="8"/>
    </row>
    <row r="22045">
      <c r="C22045" s="15"/>
      <c r="E22045" s="8"/>
      <c r="G22045" s="8"/>
      <c r="J22045" s="8"/>
    </row>
    <row r="22046">
      <c r="C22046" s="15"/>
      <c r="E22046" s="8"/>
      <c r="G22046" s="8"/>
      <c r="J22046" s="8"/>
    </row>
    <row r="22047">
      <c r="C22047" s="15"/>
      <c r="E22047" s="8"/>
      <c r="G22047" s="8"/>
      <c r="J22047" s="8"/>
    </row>
    <row r="22048">
      <c r="C22048" s="15"/>
      <c r="E22048" s="8"/>
      <c r="G22048" s="8"/>
      <c r="J22048" s="8"/>
    </row>
    <row r="22049">
      <c r="C22049" s="15"/>
      <c r="E22049" s="8"/>
      <c r="G22049" s="8"/>
      <c r="J22049" s="8"/>
    </row>
    <row r="22050">
      <c r="C22050" s="15"/>
      <c r="E22050" s="8"/>
      <c r="G22050" s="8"/>
      <c r="J22050" s="8"/>
    </row>
    <row r="22051">
      <c r="C22051" s="15"/>
      <c r="E22051" s="8"/>
      <c r="G22051" s="8"/>
      <c r="J22051" s="8"/>
    </row>
    <row r="22052">
      <c r="C22052" s="15"/>
      <c r="E22052" s="8"/>
      <c r="G22052" s="8"/>
      <c r="J22052" s="8"/>
    </row>
    <row r="22053">
      <c r="C22053" s="15"/>
      <c r="E22053" s="8"/>
      <c r="G22053" s="8"/>
      <c r="J22053" s="8"/>
    </row>
    <row r="22054">
      <c r="C22054" s="15"/>
      <c r="E22054" s="8"/>
      <c r="G22054" s="8"/>
      <c r="J22054" s="8"/>
    </row>
    <row r="22055">
      <c r="C22055" s="15"/>
      <c r="E22055" s="8"/>
      <c r="G22055" s="8"/>
      <c r="J22055" s="8"/>
    </row>
    <row r="22056">
      <c r="C22056" s="15"/>
      <c r="E22056" s="8"/>
      <c r="G22056" s="8"/>
      <c r="J22056" s="8"/>
    </row>
    <row r="22057">
      <c r="C22057" s="15"/>
      <c r="E22057" s="8"/>
      <c r="G22057" s="8"/>
      <c r="J22057" s="8"/>
    </row>
    <row r="22058">
      <c r="C22058" s="15"/>
      <c r="E22058" s="8"/>
      <c r="G22058" s="8"/>
      <c r="J22058" s="8"/>
    </row>
    <row r="22059">
      <c r="C22059" s="15"/>
      <c r="E22059" s="8"/>
      <c r="G22059" s="8"/>
      <c r="J22059" s="8"/>
    </row>
    <row r="22060">
      <c r="C22060" s="15"/>
      <c r="E22060" s="8"/>
      <c r="G22060" s="8"/>
      <c r="J22060" s="8"/>
    </row>
    <row r="22061">
      <c r="C22061" s="15"/>
      <c r="E22061" s="8"/>
      <c r="G22061" s="8"/>
      <c r="J22061" s="8"/>
    </row>
    <row r="22062">
      <c r="C22062" s="15"/>
      <c r="E22062" s="8"/>
      <c r="G22062" s="8"/>
      <c r="J22062" s="8"/>
    </row>
    <row r="22063">
      <c r="C22063" s="15"/>
      <c r="E22063" s="8"/>
      <c r="G22063" s="8"/>
      <c r="J22063" s="8"/>
    </row>
    <row r="22064">
      <c r="C22064" s="15"/>
      <c r="E22064" s="8"/>
      <c r="G22064" s="8"/>
      <c r="J22064" s="8"/>
    </row>
    <row r="22065">
      <c r="C22065" s="15"/>
      <c r="E22065" s="8"/>
      <c r="G22065" s="8"/>
      <c r="J22065" s="8"/>
    </row>
    <row r="22066">
      <c r="C22066" s="15"/>
      <c r="E22066" s="8"/>
      <c r="G22066" s="8"/>
      <c r="J22066" s="8"/>
    </row>
    <row r="22067">
      <c r="C22067" s="15"/>
      <c r="E22067" s="8"/>
      <c r="G22067" s="8"/>
      <c r="J22067" s="8"/>
    </row>
    <row r="22068">
      <c r="C22068" s="15"/>
      <c r="E22068" s="8"/>
      <c r="G22068" s="8"/>
      <c r="J22068" s="8"/>
    </row>
    <row r="22069">
      <c r="C22069" s="15"/>
      <c r="E22069" s="8"/>
      <c r="G22069" s="8"/>
      <c r="J22069" s="8"/>
    </row>
    <row r="22070">
      <c r="C22070" s="15"/>
      <c r="E22070" s="8"/>
      <c r="G22070" s="8"/>
      <c r="J22070" s="8"/>
    </row>
    <row r="22071">
      <c r="C22071" s="15"/>
      <c r="E22071" s="8"/>
      <c r="G22071" s="8"/>
      <c r="J22071" s="8"/>
    </row>
    <row r="22072">
      <c r="C22072" s="15"/>
      <c r="E22072" s="8"/>
      <c r="G22072" s="8"/>
      <c r="J22072" s="8"/>
    </row>
    <row r="22073">
      <c r="C22073" s="15"/>
      <c r="E22073" s="8"/>
      <c r="G22073" s="8"/>
      <c r="J22073" s="8"/>
    </row>
    <row r="22074">
      <c r="C22074" s="15"/>
      <c r="E22074" s="8"/>
      <c r="G22074" s="8"/>
      <c r="J22074" s="8"/>
    </row>
    <row r="22075">
      <c r="C22075" s="15"/>
      <c r="E22075" s="8"/>
      <c r="G22075" s="8"/>
      <c r="J22075" s="8"/>
    </row>
    <row r="22076">
      <c r="C22076" s="15"/>
      <c r="E22076" s="8"/>
      <c r="G22076" s="8"/>
      <c r="J22076" s="8"/>
    </row>
    <row r="22077">
      <c r="C22077" s="15"/>
      <c r="E22077" s="8"/>
      <c r="G22077" s="8"/>
      <c r="J22077" s="8"/>
    </row>
    <row r="22078">
      <c r="C22078" s="15"/>
      <c r="E22078" s="8"/>
      <c r="G22078" s="8"/>
      <c r="J22078" s="8"/>
    </row>
    <row r="22079">
      <c r="C22079" s="15"/>
      <c r="E22079" s="8"/>
      <c r="G22079" s="8"/>
      <c r="J22079" s="8"/>
    </row>
    <row r="22080">
      <c r="C22080" s="15"/>
      <c r="E22080" s="8"/>
      <c r="G22080" s="8"/>
      <c r="J22080" s="8"/>
    </row>
    <row r="22081">
      <c r="C22081" s="15"/>
      <c r="E22081" s="8"/>
      <c r="G22081" s="8"/>
      <c r="J22081" s="8"/>
    </row>
    <row r="22082">
      <c r="C22082" s="15"/>
      <c r="E22082" s="8"/>
      <c r="G22082" s="8"/>
      <c r="J22082" s="8"/>
    </row>
    <row r="22083">
      <c r="C22083" s="15"/>
      <c r="E22083" s="8"/>
      <c r="G22083" s="8"/>
      <c r="J22083" s="8"/>
    </row>
    <row r="22084">
      <c r="C22084" s="15"/>
      <c r="E22084" s="8"/>
      <c r="G22084" s="8"/>
      <c r="J22084" s="8"/>
    </row>
    <row r="22085">
      <c r="C22085" s="15"/>
      <c r="E22085" s="8"/>
      <c r="G22085" s="8"/>
      <c r="J22085" s="8"/>
    </row>
    <row r="22086">
      <c r="C22086" s="15"/>
      <c r="E22086" s="8"/>
      <c r="G22086" s="8"/>
      <c r="J22086" s="8"/>
    </row>
    <row r="22087">
      <c r="C22087" s="15"/>
      <c r="E22087" s="8"/>
      <c r="G22087" s="8"/>
      <c r="J22087" s="8"/>
    </row>
    <row r="22088">
      <c r="C22088" s="15"/>
      <c r="E22088" s="8"/>
      <c r="G22088" s="8"/>
      <c r="J22088" s="8"/>
    </row>
    <row r="22089">
      <c r="C22089" s="15"/>
      <c r="E22089" s="8"/>
      <c r="G22089" s="8"/>
      <c r="J22089" s="8"/>
    </row>
    <row r="22090">
      <c r="C22090" s="15"/>
      <c r="E22090" s="8"/>
      <c r="G22090" s="8"/>
      <c r="J22090" s="8"/>
    </row>
    <row r="22091">
      <c r="C22091" s="15"/>
      <c r="E22091" s="8"/>
      <c r="G22091" s="8"/>
      <c r="J22091" s="8"/>
    </row>
    <row r="22092">
      <c r="C22092" s="15"/>
      <c r="E22092" s="8"/>
      <c r="G22092" s="8"/>
      <c r="J22092" s="8"/>
    </row>
    <row r="22093">
      <c r="C22093" s="15"/>
      <c r="E22093" s="8"/>
      <c r="G22093" s="8"/>
      <c r="J22093" s="8"/>
    </row>
    <row r="22094">
      <c r="C22094" s="15"/>
      <c r="E22094" s="8"/>
      <c r="G22094" s="8"/>
      <c r="J22094" s="8"/>
    </row>
    <row r="22095">
      <c r="C22095" s="15"/>
      <c r="E22095" s="8"/>
      <c r="G22095" s="8"/>
      <c r="J22095" s="8"/>
    </row>
    <row r="22096">
      <c r="C22096" s="15"/>
      <c r="E22096" s="8"/>
      <c r="G22096" s="8"/>
      <c r="J22096" s="8"/>
    </row>
    <row r="22097">
      <c r="C22097" s="15"/>
      <c r="E22097" s="8"/>
      <c r="G22097" s="8"/>
      <c r="J22097" s="8"/>
    </row>
    <row r="22098">
      <c r="C22098" s="15"/>
      <c r="E22098" s="8"/>
      <c r="G22098" s="8"/>
      <c r="J22098" s="8"/>
    </row>
    <row r="22099">
      <c r="C22099" s="15"/>
      <c r="E22099" s="8"/>
      <c r="G22099" s="8"/>
      <c r="J22099" s="8"/>
    </row>
    <row r="22100">
      <c r="C22100" s="15"/>
      <c r="E22100" s="8"/>
      <c r="G22100" s="8"/>
      <c r="J22100" s="8"/>
    </row>
    <row r="22101">
      <c r="C22101" s="15"/>
      <c r="E22101" s="8"/>
      <c r="G22101" s="8"/>
      <c r="J22101" s="8"/>
    </row>
    <row r="22102">
      <c r="C22102" s="15"/>
      <c r="E22102" s="8"/>
      <c r="G22102" s="8"/>
      <c r="J22102" s="8"/>
    </row>
    <row r="22103">
      <c r="C22103" s="15"/>
      <c r="E22103" s="8"/>
      <c r="G22103" s="8"/>
      <c r="J22103" s="8"/>
    </row>
    <row r="22104">
      <c r="C22104" s="15"/>
      <c r="E22104" s="8"/>
      <c r="G22104" s="8"/>
      <c r="J22104" s="8"/>
    </row>
    <row r="22105">
      <c r="C22105" s="15"/>
      <c r="E22105" s="8"/>
      <c r="G22105" s="8"/>
      <c r="J22105" s="8"/>
    </row>
    <row r="22106">
      <c r="C22106" s="15"/>
      <c r="E22106" s="8"/>
      <c r="G22106" s="8"/>
      <c r="J22106" s="8"/>
    </row>
    <row r="22107">
      <c r="C22107" s="15"/>
      <c r="E22107" s="8"/>
      <c r="G22107" s="8"/>
      <c r="J22107" s="8"/>
    </row>
    <row r="22108">
      <c r="C22108" s="15"/>
      <c r="E22108" s="8"/>
      <c r="G22108" s="8"/>
      <c r="J22108" s="8"/>
    </row>
    <row r="22109">
      <c r="C22109" s="15"/>
      <c r="E22109" s="8"/>
      <c r="G22109" s="8"/>
      <c r="J22109" s="8"/>
    </row>
    <row r="22110">
      <c r="C22110" s="15"/>
      <c r="E22110" s="8"/>
      <c r="G22110" s="8"/>
      <c r="J22110" s="8"/>
    </row>
    <row r="22111">
      <c r="C22111" s="15"/>
      <c r="E22111" s="8"/>
      <c r="G22111" s="8"/>
      <c r="J22111" s="8"/>
    </row>
    <row r="22112">
      <c r="C22112" s="15"/>
      <c r="E22112" s="8"/>
      <c r="G22112" s="8"/>
      <c r="J22112" s="8"/>
    </row>
    <row r="22113">
      <c r="C22113" s="15"/>
      <c r="E22113" s="8"/>
      <c r="G22113" s="8"/>
      <c r="J22113" s="8"/>
    </row>
    <row r="22114">
      <c r="C22114" s="15"/>
      <c r="E22114" s="8"/>
      <c r="G22114" s="8"/>
      <c r="J22114" s="8"/>
    </row>
    <row r="22115">
      <c r="C22115" s="15"/>
      <c r="E22115" s="8"/>
      <c r="G22115" s="8"/>
      <c r="J22115" s="8"/>
    </row>
    <row r="22116">
      <c r="C22116" s="15"/>
      <c r="E22116" s="8"/>
      <c r="G22116" s="8"/>
      <c r="J22116" s="8"/>
    </row>
    <row r="22117">
      <c r="C22117" s="15"/>
      <c r="E22117" s="8"/>
      <c r="G22117" s="8"/>
      <c r="J22117" s="8"/>
    </row>
    <row r="22118">
      <c r="C22118" s="15"/>
      <c r="E22118" s="8"/>
      <c r="G22118" s="8"/>
      <c r="J22118" s="8"/>
    </row>
    <row r="22119">
      <c r="C22119" s="15"/>
      <c r="E22119" s="8"/>
      <c r="G22119" s="8"/>
      <c r="J22119" s="8"/>
    </row>
    <row r="22120">
      <c r="C22120" s="15"/>
      <c r="E22120" s="8"/>
      <c r="G22120" s="8"/>
      <c r="J22120" s="8"/>
    </row>
    <row r="22121">
      <c r="C22121" s="15"/>
      <c r="E22121" s="8"/>
      <c r="G22121" s="8"/>
      <c r="J22121" s="8"/>
    </row>
    <row r="22122">
      <c r="C22122" s="15"/>
      <c r="E22122" s="8"/>
      <c r="G22122" s="8"/>
      <c r="J22122" s="8"/>
    </row>
    <row r="22123">
      <c r="C22123" s="15"/>
      <c r="E22123" s="8"/>
      <c r="G22123" s="8"/>
      <c r="J22123" s="8"/>
    </row>
    <row r="22124">
      <c r="C22124" s="15"/>
      <c r="E22124" s="8"/>
      <c r="G22124" s="8"/>
      <c r="J22124" s="8"/>
    </row>
    <row r="22125">
      <c r="C22125" s="15"/>
      <c r="E22125" s="8"/>
      <c r="G22125" s="8"/>
      <c r="J22125" s="8"/>
    </row>
    <row r="22126">
      <c r="C22126" s="15"/>
      <c r="E22126" s="8"/>
      <c r="G22126" s="8"/>
      <c r="J22126" s="8"/>
    </row>
    <row r="22127">
      <c r="C22127" s="15"/>
      <c r="E22127" s="8"/>
      <c r="G22127" s="8"/>
      <c r="J22127" s="8"/>
    </row>
    <row r="22128">
      <c r="C22128" s="15"/>
      <c r="E22128" s="8"/>
      <c r="G22128" s="8"/>
      <c r="J22128" s="8"/>
    </row>
    <row r="22129">
      <c r="C22129" s="15"/>
      <c r="E22129" s="8"/>
      <c r="G22129" s="8"/>
      <c r="J22129" s="8"/>
    </row>
    <row r="22130">
      <c r="C22130" s="15"/>
      <c r="E22130" s="8"/>
      <c r="G22130" s="8"/>
      <c r="J22130" s="8"/>
    </row>
    <row r="22131">
      <c r="C22131" s="15"/>
      <c r="E22131" s="8"/>
      <c r="G22131" s="8"/>
      <c r="J22131" s="8"/>
    </row>
    <row r="22132">
      <c r="C22132" s="15"/>
      <c r="E22132" s="8"/>
      <c r="G22132" s="8"/>
      <c r="J22132" s="8"/>
    </row>
    <row r="22133">
      <c r="C22133" s="15"/>
      <c r="E22133" s="8"/>
      <c r="G22133" s="8"/>
      <c r="J22133" s="8"/>
    </row>
    <row r="22134">
      <c r="C22134" s="15"/>
      <c r="E22134" s="8"/>
      <c r="G22134" s="8"/>
      <c r="J22134" s="8"/>
    </row>
    <row r="22135">
      <c r="C22135" s="15"/>
      <c r="E22135" s="8"/>
      <c r="G22135" s="8"/>
      <c r="J22135" s="8"/>
    </row>
    <row r="22136">
      <c r="C22136" s="15"/>
      <c r="E22136" s="8"/>
      <c r="G22136" s="8"/>
      <c r="J22136" s="8"/>
    </row>
    <row r="22137">
      <c r="C22137" s="15"/>
      <c r="E22137" s="8"/>
      <c r="G22137" s="8"/>
      <c r="J22137" s="8"/>
    </row>
    <row r="22138">
      <c r="C22138" s="15"/>
      <c r="E22138" s="8"/>
      <c r="G22138" s="8"/>
      <c r="J22138" s="8"/>
    </row>
    <row r="22139">
      <c r="C22139" s="15"/>
      <c r="E22139" s="8"/>
      <c r="G22139" s="8"/>
      <c r="J22139" s="8"/>
    </row>
    <row r="22140">
      <c r="C22140" s="15"/>
      <c r="E22140" s="8"/>
      <c r="G22140" s="8"/>
      <c r="J22140" s="8"/>
    </row>
    <row r="22141">
      <c r="C22141" s="15"/>
      <c r="E22141" s="8"/>
      <c r="G22141" s="8"/>
      <c r="J22141" s="8"/>
    </row>
    <row r="22142">
      <c r="C22142" s="15"/>
      <c r="E22142" s="8"/>
      <c r="G22142" s="8"/>
      <c r="J22142" s="8"/>
    </row>
    <row r="22143">
      <c r="C22143" s="15"/>
      <c r="E22143" s="8"/>
      <c r="G22143" s="8"/>
      <c r="J22143" s="8"/>
    </row>
    <row r="22144">
      <c r="C22144" s="15"/>
      <c r="E22144" s="8"/>
      <c r="G22144" s="8"/>
      <c r="J22144" s="8"/>
    </row>
    <row r="22145">
      <c r="C22145" s="15"/>
      <c r="E22145" s="8"/>
      <c r="G22145" s="8"/>
      <c r="J22145" s="8"/>
    </row>
    <row r="22146">
      <c r="C22146" s="15"/>
      <c r="E22146" s="8"/>
      <c r="G22146" s="8"/>
      <c r="J22146" s="8"/>
    </row>
    <row r="22147">
      <c r="C22147" s="15"/>
      <c r="E22147" s="8"/>
      <c r="G22147" s="8"/>
      <c r="J22147" s="8"/>
    </row>
    <row r="22148">
      <c r="C22148" s="15"/>
      <c r="E22148" s="8"/>
      <c r="G22148" s="8"/>
      <c r="J22148" s="8"/>
    </row>
    <row r="22149">
      <c r="C22149" s="15"/>
      <c r="E22149" s="8"/>
      <c r="G22149" s="8"/>
      <c r="J22149" s="8"/>
    </row>
    <row r="22150">
      <c r="C22150" s="15"/>
      <c r="E22150" s="8"/>
      <c r="G22150" s="8"/>
      <c r="J22150" s="8"/>
    </row>
    <row r="22151">
      <c r="C22151" s="15"/>
      <c r="E22151" s="8"/>
      <c r="G22151" s="8"/>
      <c r="J22151" s="8"/>
    </row>
    <row r="22152">
      <c r="C22152" s="15"/>
      <c r="E22152" s="8"/>
      <c r="G22152" s="8"/>
      <c r="J22152" s="8"/>
    </row>
    <row r="22153">
      <c r="C22153" s="15"/>
      <c r="E22153" s="8"/>
      <c r="G22153" s="8"/>
      <c r="J22153" s="8"/>
    </row>
    <row r="22154">
      <c r="C22154" s="15"/>
      <c r="E22154" s="8"/>
      <c r="G22154" s="8"/>
      <c r="J22154" s="8"/>
    </row>
    <row r="22155">
      <c r="C22155" s="15"/>
      <c r="E22155" s="8"/>
      <c r="G22155" s="8"/>
      <c r="J22155" s="8"/>
    </row>
    <row r="22156">
      <c r="C22156" s="15"/>
      <c r="E22156" s="8"/>
      <c r="G22156" s="8"/>
      <c r="J22156" s="8"/>
    </row>
    <row r="22157">
      <c r="C22157" s="15"/>
      <c r="E22157" s="8"/>
      <c r="G22157" s="8"/>
      <c r="J22157" s="8"/>
    </row>
    <row r="22158">
      <c r="C22158" s="15"/>
      <c r="E22158" s="8"/>
      <c r="G22158" s="8"/>
      <c r="J22158" s="8"/>
    </row>
    <row r="22159">
      <c r="C22159" s="15"/>
      <c r="E22159" s="8"/>
      <c r="G22159" s="8"/>
      <c r="J22159" s="8"/>
    </row>
    <row r="22160">
      <c r="C22160" s="15"/>
      <c r="E22160" s="8"/>
      <c r="G22160" s="8"/>
      <c r="J22160" s="8"/>
    </row>
    <row r="22161">
      <c r="C22161" s="15"/>
      <c r="E22161" s="8"/>
      <c r="G22161" s="8"/>
      <c r="J22161" s="8"/>
    </row>
    <row r="22162">
      <c r="C22162" s="15"/>
      <c r="E22162" s="8"/>
      <c r="G22162" s="8"/>
      <c r="J22162" s="8"/>
    </row>
    <row r="22163">
      <c r="C22163" s="15"/>
      <c r="E22163" s="8"/>
      <c r="G22163" s="8"/>
      <c r="J22163" s="8"/>
    </row>
    <row r="22164">
      <c r="C22164" s="15"/>
      <c r="E22164" s="8"/>
      <c r="G22164" s="8"/>
      <c r="J22164" s="8"/>
    </row>
    <row r="22165">
      <c r="C22165" s="15"/>
      <c r="E22165" s="8"/>
      <c r="G22165" s="8"/>
      <c r="J22165" s="8"/>
    </row>
    <row r="22166">
      <c r="C22166" s="15"/>
      <c r="E22166" s="8"/>
      <c r="G22166" s="8"/>
      <c r="J22166" s="8"/>
    </row>
    <row r="22167">
      <c r="C22167" s="15"/>
      <c r="E22167" s="8"/>
      <c r="G22167" s="8"/>
      <c r="J22167" s="8"/>
    </row>
    <row r="22168">
      <c r="C22168" s="15"/>
      <c r="E22168" s="8"/>
      <c r="G22168" s="8"/>
      <c r="J22168" s="8"/>
    </row>
    <row r="22169">
      <c r="C22169" s="15"/>
      <c r="E22169" s="8"/>
      <c r="G22169" s="8"/>
      <c r="J22169" s="8"/>
    </row>
    <row r="22170">
      <c r="C22170" s="15"/>
      <c r="E22170" s="8"/>
      <c r="G22170" s="8"/>
      <c r="J22170" s="8"/>
    </row>
    <row r="22171">
      <c r="C22171" s="15"/>
      <c r="E22171" s="8"/>
      <c r="G22171" s="8"/>
      <c r="J22171" s="8"/>
    </row>
    <row r="22172">
      <c r="C22172" s="15"/>
      <c r="E22172" s="8"/>
      <c r="G22172" s="8"/>
      <c r="J22172" s="8"/>
    </row>
    <row r="22173">
      <c r="C22173" s="15"/>
      <c r="E22173" s="8"/>
      <c r="G22173" s="8"/>
      <c r="J22173" s="8"/>
    </row>
    <row r="22174">
      <c r="C22174" s="15"/>
      <c r="E22174" s="8"/>
      <c r="G22174" s="8"/>
      <c r="J22174" s="8"/>
    </row>
    <row r="22175">
      <c r="C22175" s="15"/>
      <c r="E22175" s="8"/>
      <c r="G22175" s="8"/>
      <c r="J22175" s="8"/>
    </row>
    <row r="22176">
      <c r="C22176" s="15"/>
      <c r="E22176" s="8"/>
      <c r="G22176" s="8"/>
      <c r="J22176" s="8"/>
    </row>
    <row r="22177">
      <c r="C22177" s="15"/>
      <c r="E22177" s="8"/>
      <c r="G22177" s="8"/>
      <c r="J22177" s="8"/>
    </row>
    <row r="22178">
      <c r="C22178" s="15"/>
      <c r="E22178" s="8"/>
      <c r="G22178" s="8"/>
      <c r="J22178" s="8"/>
    </row>
    <row r="22179">
      <c r="C22179" s="15"/>
      <c r="E22179" s="8"/>
      <c r="G22179" s="8"/>
      <c r="J22179" s="8"/>
    </row>
    <row r="22180">
      <c r="C22180" s="15"/>
      <c r="E22180" s="8"/>
      <c r="G22180" s="8"/>
      <c r="J22180" s="8"/>
    </row>
    <row r="22181">
      <c r="C22181" s="15"/>
      <c r="E22181" s="8"/>
      <c r="G22181" s="8"/>
      <c r="J22181" s="8"/>
    </row>
    <row r="22182">
      <c r="C22182" s="15"/>
      <c r="E22182" s="8"/>
      <c r="G22182" s="8"/>
      <c r="J22182" s="8"/>
    </row>
    <row r="22183">
      <c r="C22183" s="15"/>
      <c r="E22183" s="8"/>
      <c r="G22183" s="8"/>
      <c r="J22183" s="8"/>
    </row>
    <row r="22184">
      <c r="C22184" s="15"/>
      <c r="E22184" s="8"/>
      <c r="G22184" s="8"/>
      <c r="J22184" s="8"/>
    </row>
    <row r="22185">
      <c r="C22185" s="15"/>
      <c r="E22185" s="8"/>
      <c r="G22185" s="8"/>
      <c r="J22185" s="8"/>
    </row>
    <row r="22186">
      <c r="C22186" s="15"/>
      <c r="E22186" s="8"/>
      <c r="G22186" s="8"/>
      <c r="J22186" s="8"/>
    </row>
    <row r="22187">
      <c r="C22187" s="15"/>
      <c r="E22187" s="8"/>
      <c r="G22187" s="8"/>
      <c r="J22187" s="8"/>
    </row>
    <row r="22188">
      <c r="C22188" s="15"/>
      <c r="E22188" s="8"/>
      <c r="G22188" s="8"/>
      <c r="J22188" s="8"/>
    </row>
    <row r="22189">
      <c r="C22189" s="15"/>
      <c r="E22189" s="8"/>
      <c r="G22189" s="8"/>
      <c r="J22189" s="8"/>
    </row>
    <row r="22190">
      <c r="C22190" s="15"/>
      <c r="E22190" s="8"/>
      <c r="G22190" s="8"/>
      <c r="J22190" s="8"/>
    </row>
    <row r="22191">
      <c r="C22191" s="15"/>
      <c r="E22191" s="8"/>
      <c r="G22191" s="8"/>
      <c r="J22191" s="8"/>
    </row>
    <row r="22192">
      <c r="C22192" s="15"/>
      <c r="E22192" s="8"/>
      <c r="G22192" s="8"/>
      <c r="J22192" s="8"/>
    </row>
    <row r="22193">
      <c r="C22193" s="15"/>
      <c r="E22193" s="8"/>
      <c r="G22193" s="8"/>
      <c r="J22193" s="8"/>
    </row>
    <row r="22194">
      <c r="C22194" s="15"/>
      <c r="E22194" s="8"/>
      <c r="G22194" s="8"/>
      <c r="J22194" s="8"/>
    </row>
    <row r="22195">
      <c r="C22195" s="15"/>
      <c r="E22195" s="8"/>
      <c r="G22195" s="8"/>
      <c r="J22195" s="8"/>
    </row>
    <row r="22196">
      <c r="C22196" s="15"/>
      <c r="E22196" s="8"/>
      <c r="G22196" s="8"/>
      <c r="J22196" s="8"/>
    </row>
    <row r="22197">
      <c r="C22197" s="15"/>
      <c r="E22197" s="8"/>
      <c r="G22197" s="8"/>
      <c r="J22197" s="8"/>
    </row>
    <row r="22198">
      <c r="C22198" s="15"/>
      <c r="E22198" s="8"/>
      <c r="G22198" s="8"/>
      <c r="J22198" s="8"/>
    </row>
    <row r="22199">
      <c r="C22199" s="15"/>
      <c r="E22199" s="8"/>
      <c r="G22199" s="8"/>
      <c r="J22199" s="8"/>
    </row>
    <row r="22200">
      <c r="C22200" s="15"/>
      <c r="E22200" s="8"/>
      <c r="G22200" s="8"/>
      <c r="J22200" s="8"/>
    </row>
    <row r="22201">
      <c r="C22201" s="15"/>
      <c r="E22201" s="8"/>
      <c r="G22201" s="8"/>
      <c r="J22201" s="8"/>
    </row>
    <row r="22202">
      <c r="C22202" s="15"/>
      <c r="E22202" s="8"/>
      <c r="G22202" s="8"/>
      <c r="J22202" s="8"/>
    </row>
    <row r="22203">
      <c r="C22203" s="15"/>
      <c r="E22203" s="8"/>
      <c r="G22203" s="8"/>
      <c r="J22203" s="8"/>
    </row>
    <row r="22204">
      <c r="C22204" s="15"/>
      <c r="E22204" s="8"/>
      <c r="G22204" s="8"/>
      <c r="J22204" s="8"/>
    </row>
    <row r="22205">
      <c r="C22205" s="15"/>
      <c r="E22205" s="8"/>
      <c r="G22205" s="8"/>
      <c r="J22205" s="8"/>
    </row>
    <row r="22206">
      <c r="C22206" s="15"/>
      <c r="E22206" s="8"/>
      <c r="G22206" s="8"/>
      <c r="J22206" s="8"/>
    </row>
    <row r="22207">
      <c r="C22207" s="15"/>
      <c r="E22207" s="8"/>
      <c r="G22207" s="8"/>
      <c r="J22207" s="8"/>
    </row>
    <row r="22208">
      <c r="C22208" s="15"/>
      <c r="E22208" s="8"/>
      <c r="G22208" s="8"/>
      <c r="J22208" s="8"/>
    </row>
    <row r="22209">
      <c r="C22209" s="15"/>
      <c r="E22209" s="8"/>
      <c r="G22209" s="8"/>
      <c r="J22209" s="8"/>
    </row>
    <row r="22210">
      <c r="C22210" s="15"/>
      <c r="E22210" s="8"/>
      <c r="G22210" s="8"/>
      <c r="J22210" s="8"/>
    </row>
    <row r="22211">
      <c r="C22211" s="15"/>
      <c r="E22211" s="8"/>
      <c r="G22211" s="8"/>
      <c r="J22211" s="8"/>
    </row>
    <row r="22212">
      <c r="C22212" s="15"/>
      <c r="E22212" s="8"/>
      <c r="G22212" s="8"/>
      <c r="J22212" s="8"/>
    </row>
    <row r="22213">
      <c r="C22213" s="15"/>
      <c r="E22213" s="8"/>
      <c r="G22213" s="8"/>
      <c r="J22213" s="8"/>
    </row>
    <row r="22214">
      <c r="C22214" s="15"/>
      <c r="E22214" s="8"/>
      <c r="G22214" s="8"/>
      <c r="J22214" s="8"/>
    </row>
    <row r="22215">
      <c r="C22215" s="15"/>
      <c r="E22215" s="8"/>
      <c r="G22215" s="8"/>
      <c r="J22215" s="8"/>
    </row>
    <row r="22216">
      <c r="C22216" s="15"/>
      <c r="E22216" s="8"/>
      <c r="G22216" s="8"/>
      <c r="J22216" s="8"/>
    </row>
    <row r="22217">
      <c r="C22217" s="15"/>
      <c r="E22217" s="8"/>
      <c r="G22217" s="8"/>
      <c r="J22217" s="8"/>
    </row>
    <row r="22218">
      <c r="C22218" s="15"/>
      <c r="E22218" s="8"/>
      <c r="G22218" s="8"/>
      <c r="J22218" s="8"/>
    </row>
    <row r="22219">
      <c r="C22219" s="15"/>
      <c r="E22219" s="8"/>
      <c r="G22219" s="8"/>
      <c r="J22219" s="8"/>
    </row>
    <row r="22220">
      <c r="C22220" s="15"/>
      <c r="E22220" s="8"/>
      <c r="G22220" s="8"/>
      <c r="J22220" s="8"/>
    </row>
    <row r="22221">
      <c r="C22221" s="15"/>
      <c r="E22221" s="8"/>
      <c r="G22221" s="8"/>
      <c r="J22221" s="8"/>
    </row>
    <row r="22222">
      <c r="C22222" s="15"/>
      <c r="E22222" s="8"/>
      <c r="G22222" s="8"/>
      <c r="J22222" s="8"/>
    </row>
    <row r="22223">
      <c r="C22223" s="15"/>
      <c r="E22223" s="8"/>
      <c r="G22223" s="8"/>
      <c r="J22223" s="8"/>
    </row>
    <row r="22224">
      <c r="C22224" s="15"/>
      <c r="E22224" s="8"/>
      <c r="G22224" s="8"/>
      <c r="J22224" s="8"/>
    </row>
    <row r="22225">
      <c r="C22225" s="15"/>
      <c r="E22225" s="8"/>
      <c r="G22225" s="8"/>
      <c r="J22225" s="8"/>
    </row>
    <row r="22226">
      <c r="C22226" s="15"/>
      <c r="E22226" s="8"/>
      <c r="G22226" s="8"/>
      <c r="J22226" s="8"/>
    </row>
    <row r="22227">
      <c r="C22227" s="15"/>
      <c r="E22227" s="8"/>
      <c r="G22227" s="8"/>
      <c r="J22227" s="8"/>
    </row>
    <row r="22228">
      <c r="C22228" s="15"/>
      <c r="E22228" s="8"/>
      <c r="G22228" s="8"/>
      <c r="J22228" s="8"/>
    </row>
    <row r="22229">
      <c r="C22229" s="15"/>
      <c r="E22229" s="8"/>
      <c r="G22229" s="8"/>
      <c r="J22229" s="8"/>
    </row>
    <row r="22230">
      <c r="C22230" s="15"/>
      <c r="E22230" s="8"/>
      <c r="G22230" s="8"/>
      <c r="J22230" s="8"/>
    </row>
    <row r="22231">
      <c r="C22231" s="15"/>
      <c r="E22231" s="8"/>
      <c r="G22231" s="8"/>
      <c r="J22231" s="8"/>
    </row>
    <row r="22232">
      <c r="C22232" s="15"/>
      <c r="E22232" s="8"/>
      <c r="G22232" s="8"/>
      <c r="J22232" s="8"/>
    </row>
    <row r="22233">
      <c r="C22233" s="15"/>
      <c r="E22233" s="8"/>
      <c r="G22233" s="8"/>
      <c r="J22233" s="8"/>
    </row>
    <row r="22234">
      <c r="C22234" s="15"/>
      <c r="E22234" s="8"/>
      <c r="G22234" s="8"/>
      <c r="J22234" s="8"/>
    </row>
    <row r="22235">
      <c r="C22235" s="15"/>
      <c r="E22235" s="8"/>
      <c r="G22235" s="8"/>
      <c r="J22235" s="8"/>
    </row>
    <row r="22236">
      <c r="C22236" s="15"/>
      <c r="E22236" s="8"/>
      <c r="G22236" s="8"/>
      <c r="J22236" s="8"/>
    </row>
    <row r="22237">
      <c r="C22237" s="15"/>
      <c r="E22237" s="8"/>
      <c r="G22237" s="8"/>
      <c r="J22237" s="8"/>
    </row>
    <row r="22238">
      <c r="C22238" s="15"/>
      <c r="E22238" s="8"/>
      <c r="G22238" s="8"/>
      <c r="J22238" s="8"/>
    </row>
    <row r="22239">
      <c r="C22239" s="15"/>
      <c r="E22239" s="8"/>
      <c r="G22239" s="8"/>
      <c r="J22239" s="8"/>
    </row>
    <row r="22240">
      <c r="C22240" s="15"/>
      <c r="E22240" s="8"/>
      <c r="G22240" s="8"/>
      <c r="J22240" s="8"/>
    </row>
    <row r="22241">
      <c r="C22241" s="15"/>
      <c r="E22241" s="8"/>
      <c r="G22241" s="8"/>
      <c r="J22241" s="8"/>
    </row>
    <row r="22242">
      <c r="C22242" s="15"/>
      <c r="E22242" s="8"/>
      <c r="G22242" s="8"/>
      <c r="J22242" s="8"/>
    </row>
    <row r="22243">
      <c r="C22243" s="15"/>
      <c r="E22243" s="8"/>
      <c r="G22243" s="8"/>
      <c r="J22243" s="8"/>
    </row>
    <row r="22244">
      <c r="C22244" s="15"/>
      <c r="E22244" s="8"/>
      <c r="G22244" s="8"/>
      <c r="J22244" s="8"/>
    </row>
    <row r="22245">
      <c r="C22245" s="15"/>
      <c r="E22245" s="8"/>
      <c r="G22245" s="8"/>
      <c r="J22245" s="8"/>
    </row>
    <row r="22246">
      <c r="C22246" s="15"/>
      <c r="E22246" s="8"/>
      <c r="G22246" s="8"/>
      <c r="J22246" s="8"/>
    </row>
    <row r="22247">
      <c r="C22247" s="15"/>
      <c r="E22247" s="8"/>
      <c r="G22247" s="8"/>
      <c r="J22247" s="8"/>
    </row>
    <row r="22248">
      <c r="C22248" s="15"/>
      <c r="E22248" s="8"/>
      <c r="G22248" s="8"/>
      <c r="J22248" s="8"/>
    </row>
    <row r="22249">
      <c r="C22249" s="15"/>
      <c r="E22249" s="8"/>
      <c r="G22249" s="8"/>
      <c r="J22249" s="8"/>
    </row>
    <row r="22250">
      <c r="C22250" s="15"/>
      <c r="E22250" s="8"/>
      <c r="G22250" s="8"/>
      <c r="J22250" s="8"/>
    </row>
    <row r="22251">
      <c r="C22251" s="15"/>
      <c r="E22251" s="8"/>
      <c r="G22251" s="8"/>
      <c r="J22251" s="8"/>
    </row>
    <row r="22252">
      <c r="C22252" s="15"/>
      <c r="E22252" s="8"/>
      <c r="G22252" s="8"/>
      <c r="J22252" s="8"/>
    </row>
    <row r="22253">
      <c r="C22253" s="15"/>
      <c r="E22253" s="8"/>
      <c r="G22253" s="8"/>
      <c r="J22253" s="8"/>
    </row>
    <row r="22254">
      <c r="C22254" s="15"/>
      <c r="E22254" s="8"/>
      <c r="G22254" s="8"/>
      <c r="J22254" s="8"/>
    </row>
    <row r="22255">
      <c r="C22255" s="15"/>
      <c r="E22255" s="8"/>
      <c r="G22255" s="8"/>
      <c r="J22255" s="8"/>
    </row>
    <row r="22256">
      <c r="C22256" s="15"/>
      <c r="E22256" s="8"/>
      <c r="G22256" s="8"/>
      <c r="J22256" s="8"/>
    </row>
    <row r="22257">
      <c r="C22257" s="15"/>
      <c r="E22257" s="8"/>
      <c r="G22257" s="8"/>
      <c r="J22257" s="8"/>
    </row>
    <row r="22258">
      <c r="C22258" s="15"/>
      <c r="E22258" s="8"/>
      <c r="G22258" s="8"/>
      <c r="J22258" s="8"/>
    </row>
    <row r="22259">
      <c r="C22259" s="15"/>
      <c r="E22259" s="8"/>
      <c r="G22259" s="8"/>
      <c r="J22259" s="8"/>
    </row>
    <row r="22260">
      <c r="C22260" s="15"/>
      <c r="E22260" s="8"/>
      <c r="G22260" s="8"/>
      <c r="J22260" s="8"/>
    </row>
    <row r="22261">
      <c r="C22261" s="15"/>
      <c r="E22261" s="8"/>
      <c r="G22261" s="8"/>
      <c r="J22261" s="8"/>
    </row>
    <row r="22262">
      <c r="C22262" s="15"/>
      <c r="E22262" s="8"/>
      <c r="G22262" s="8"/>
      <c r="J22262" s="8"/>
    </row>
    <row r="22263">
      <c r="C22263" s="15"/>
      <c r="E22263" s="8"/>
      <c r="G22263" s="8"/>
      <c r="J22263" s="8"/>
    </row>
    <row r="22264">
      <c r="C22264" s="15"/>
      <c r="E22264" s="8"/>
      <c r="G22264" s="8"/>
      <c r="J22264" s="8"/>
    </row>
    <row r="22265">
      <c r="C22265" s="15"/>
      <c r="E22265" s="8"/>
      <c r="G22265" s="8"/>
      <c r="J22265" s="8"/>
    </row>
    <row r="22266">
      <c r="C22266" s="15"/>
      <c r="E22266" s="8"/>
      <c r="G22266" s="8"/>
      <c r="J22266" s="8"/>
    </row>
    <row r="22267">
      <c r="C22267" s="15"/>
      <c r="E22267" s="8"/>
      <c r="G22267" s="8"/>
      <c r="J22267" s="8"/>
    </row>
    <row r="22268">
      <c r="C22268" s="15"/>
      <c r="E22268" s="8"/>
      <c r="G22268" s="8"/>
      <c r="J22268" s="8"/>
    </row>
    <row r="22269">
      <c r="C22269" s="15"/>
      <c r="E22269" s="8"/>
      <c r="G22269" s="8"/>
      <c r="J22269" s="8"/>
    </row>
    <row r="22270">
      <c r="C22270" s="15"/>
      <c r="E22270" s="8"/>
      <c r="G22270" s="8"/>
      <c r="J22270" s="8"/>
    </row>
    <row r="22271">
      <c r="C22271" s="15"/>
      <c r="E22271" s="8"/>
      <c r="G22271" s="8"/>
      <c r="J22271" s="8"/>
    </row>
    <row r="22272">
      <c r="C22272" s="15"/>
      <c r="E22272" s="8"/>
      <c r="G22272" s="8"/>
      <c r="J22272" s="8"/>
    </row>
    <row r="22273">
      <c r="C22273" s="15"/>
      <c r="E22273" s="8"/>
      <c r="G22273" s="8"/>
      <c r="J22273" s="8"/>
    </row>
    <row r="22274">
      <c r="C22274" s="15"/>
      <c r="E22274" s="8"/>
      <c r="G22274" s="8"/>
      <c r="J22274" s="8"/>
    </row>
    <row r="22275">
      <c r="C22275" s="15"/>
      <c r="E22275" s="8"/>
      <c r="G22275" s="8"/>
      <c r="J22275" s="8"/>
    </row>
    <row r="22276">
      <c r="C22276" s="15"/>
      <c r="E22276" s="8"/>
      <c r="G22276" s="8"/>
      <c r="J22276" s="8"/>
    </row>
    <row r="22277">
      <c r="C22277" s="15"/>
      <c r="E22277" s="8"/>
      <c r="G22277" s="8"/>
      <c r="J22277" s="8"/>
    </row>
    <row r="22278">
      <c r="C22278" s="15"/>
      <c r="E22278" s="8"/>
      <c r="G22278" s="8"/>
      <c r="J22278" s="8"/>
    </row>
    <row r="22279">
      <c r="C22279" s="15"/>
      <c r="E22279" s="8"/>
      <c r="G22279" s="8"/>
      <c r="J22279" s="8"/>
    </row>
    <row r="22280">
      <c r="C22280" s="15"/>
      <c r="E22280" s="8"/>
      <c r="G22280" s="8"/>
      <c r="J22280" s="8"/>
    </row>
    <row r="22281">
      <c r="C22281" s="15"/>
      <c r="E22281" s="8"/>
      <c r="G22281" s="8"/>
      <c r="J22281" s="8"/>
    </row>
    <row r="22282">
      <c r="C22282" s="15"/>
      <c r="E22282" s="8"/>
      <c r="G22282" s="8"/>
      <c r="J22282" s="8"/>
    </row>
    <row r="22283">
      <c r="C22283" s="15"/>
      <c r="E22283" s="8"/>
      <c r="G22283" s="8"/>
      <c r="J22283" s="8"/>
    </row>
    <row r="22284">
      <c r="C22284" s="15"/>
      <c r="E22284" s="8"/>
      <c r="G22284" s="8"/>
      <c r="J22284" s="8"/>
    </row>
    <row r="22285">
      <c r="C22285" s="15"/>
      <c r="E22285" s="8"/>
      <c r="G22285" s="8"/>
      <c r="J22285" s="8"/>
    </row>
    <row r="22286">
      <c r="C22286" s="15"/>
      <c r="E22286" s="8"/>
      <c r="G22286" s="8"/>
      <c r="J22286" s="8"/>
    </row>
    <row r="22287">
      <c r="C22287" s="15"/>
      <c r="E22287" s="8"/>
      <c r="G22287" s="8"/>
      <c r="J22287" s="8"/>
    </row>
    <row r="22288">
      <c r="C22288" s="15"/>
      <c r="E22288" s="8"/>
      <c r="G22288" s="8"/>
      <c r="J22288" s="8"/>
    </row>
    <row r="22289">
      <c r="C22289" s="15"/>
      <c r="E22289" s="8"/>
      <c r="G22289" s="8"/>
      <c r="J22289" s="8"/>
    </row>
    <row r="22290">
      <c r="C22290" s="15"/>
      <c r="E22290" s="8"/>
      <c r="G22290" s="8"/>
      <c r="J22290" s="8"/>
    </row>
    <row r="22291">
      <c r="C22291" s="15"/>
      <c r="E22291" s="8"/>
      <c r="G22291" s="8"/>
      <c r="J22291" s="8"/>
    </row>
    <row r="22292">
      <c r="C22292" s="15"/>
      <c r="E22292" s="8"/>
      <c r="G22292" s="8"/>
      <c r="J22292" s="8"/>
    </row>
    <row r="22293">
      <c r="C22293" s="15"/>
      <c r="E22293" s="8"/>
      <c r="G22293" s="8"/>
      <c r="J22293" s="8"/>
    </row>
    <row r="22294">
      <c r="C22294" s="15"/>
      <c r="E22294" s="8"/>
      <c r="G22294" s="8"/>
      <c r="J22294" s="8"/>
    </row>
    <row r="22295">
      <c r="C22295" s="15"/>
      <c r="E22295" s="8"/>
      <c r="G22295" s="8"/>
      <c r="J22295" s="8"/>
    </row>
    <row r="22296">
      <c r="C22296" s="15"/>
      <c r="E22296" s="8"/>
      <c r="G22296" s="8"/>
      <c r="J22296" s="8"/>
    </row>
    <row r="22297">
      <c r="C22297" s="15"/>
      <c r="E22297" s="8"/>
      <c r="G22297" s="8"/>
      <c r="J22297" s="8"/>
    </row>
    <row r="22298">
      <c r="C22298" s="15"/>
      <c r="E22298" s="8"/>
      <c r="G22298" s="8"/>
      <c r="J22298" s="8"/>
    </row>
    <row r="22299">
      <c r="C22299" s="15"/>
      <c r="E22299" s="8"/>
      <c r="G22299" s="8"/>
      <c r="J22299" s="8"/>
    </row>
    <row r="22300">
      <c r="C22300" s="15"/>
      <c r="E22300" s="8"/>
      <c r="G22300" s="8"/>
      <c r="J22300" s="8"/>
    </row>
    <row r="22301">
      <c r="C22301" s="15"/>
      <c r="E22301" s="8"/>
      <c r="G22301" s="8"/>
      <c r="J22301" s="8"/>
    </row>
    <row r="22302">
      <c r="C22302" s="15"/>
      <c r="E22302" s="8"/>
      <c r="G22302" s="8"/>
      <c r="J22302" s="8"/>
    </row>
    <row r="22303">
      <c r="C22303" s="15"/>
      <c r="E22303" s="8"/>
      <c r="G22303" s="8"/>
      <c r="J22303" s="8"/>
    </row>
    <row r="22304">
      <c r="C22304" s="15"/>
      <c r="E22304" s="8"/>
      <c r="G22304" s="8"/>
      <c r="J22304" s="8"/>
    </row>
    <row r="22305">
      <c r="C22305" s="15"/>
      <c r="E22305" s="8"/>
      <c r="G22305" s="8"/>
      <c r="J22305" s="8"/>
    </row>
    <row r="22306">
      <c r="C22306" s="15"/>
      <c r="E22306" s="8"/>
      <c r="G22306" s="8"/>
      <c r="J22306" s="8"/>
    </row>
    <row r="22307">
      <c r="C22307" s="15"/>
      <c r="E22307" s="8"/>
      <c r="G22307" s="8"/>
      <c r="J22307" s="8"/>
    </row>
    <row r="22308">
      <c r="C22308" s="15"/>
      <c r="E22308" s="8"/>
      <c r="G22308" s="8"/>
      <c r="J22308" s="8"/>
    </row>
    <row r="22309">
      <c r="C22309" s="15"/>
      <c r="E22309" s="8"/>
      <c r="G22309" s="8"/>
      <c r="J22309" s="8"/>
    </row>
    <row r="22310">
      <c r="C22310" s="15"/>
      <c r="E22310" s="8"/>
      <c r="G22310" s="8"/>
      <c r="J22310" s="8"/>
    </row>
    <row r="22311">
      <c r="C22311" s="15"/>
      <c r="E22311" s="8"/>
      <c r="G22311" s="8"/>
      <c r="J22311" s="8"/>
    </row>
    <row r="22312">
      <c r="C22312" s="15"/>
      <c r="E22312" s="8"/>
      <c r="G22312" s="8"/>
      <c r="J22312" s="8"/>
    </row>
    <row r="22313">
      <c r="C22313" s="15"/>
      <c r="E22313" s="8"/>
      <c r="G22313" s="8"/>
      <c r="J22313" s="8"/>
    </row>
    <row r="22314">
      <c r="C22314" s="15"/>
      <c r="E22314" s="8"/>
      <c r="G22314" s="8"/>
      <c r="J22314" s="8"/>
    </row>
    <row r="22315">
      <c r="C22315" s="15"/>
      <c r="E22315" s="8"/>
      <c r="G22315" s="8"/>
      <c r="J22315" s="8"/>
    </row>
    <row r="22316">
      <c r="C22316" s="15"/>
      <c r="E22316" s="8"/>
      <c r="G22316" s="8"/>
      <c r="J22316" s="8"/>
    </row>
    <row r="22317">
      <c r="C22317" s="15"/>
      <c r="E22317" s="8"/>
      <c r="G22317" s="8"/>
      <c r="J22317" s="8"/>
    </row>
    <row r="22318">
      <c r="C22318" s="15"/>
      <c r="E22318" s="8"/>
      <c r="G22318" s="8"/>
      <c r="J22318" s="8"/>
    </row>
    <row r="22319">
      <c r="C22319" s="15"/>
      <c r="E22319" s="8"/>
      <c r="G22319" s="8"/>
      <c r="J22319" s="8"/>
    </row>
    <row r="22320">
      <c r="C22320" s="15"/>
      <c r="E22320" s="8"/>
      <c r="G22320" s="8"/>
      <c r="J22320" s="8"/>
    </row>
    <row r="22321">
      <c r="C22321" s="15"/>
      <c r="E22321" s="8"/>
      <c r="G22321" s="8"/>
      <c r="J22321" s="8"/>
    </row>
    <row r="22322">
      <c r="C22322" s="15"/>
      <c r="E22322" s="8"/>
      <c r="G22322" s="8"/>
      <c r="J22322" s="8"/>
    </row>
    <row r="22323">
      <c r="C22323" s="15"/>
      <c r="E22323" s="8"/>
      <c r="G22323" s="8"/>
      <c r="J22323" s="8"/>
    </row>
    <row r="22324">
      <c r="C22324" s="15"/>
      <c r="E22324" s="8"/>
      <c r="G22324" s="8"/>
      <c r="J22324" s="8"/>
    </row>
    <row r="22325">
      <c r="C22325" s="15"/>
      <c r="E22325" s="8"/>
      <c r="G22325" s="8"/>
      <c r="J22325" s="8"/>
    </row>
    <row r="22326">
      <c r="C22326" s="15"/>
      <c r="E22326" s="8"/>
      <c r="G22326" s="8"/>
      <c r="J22326" s="8"/>
    </row>
    <row r="22327">
      <c r="C22327" s="15"/>
      <c r="E22327" s="8"/>
      <c r="G22327" s="8"/>
      <c r="J22327" s="8"/>
    </row>
    <row r="22328">
      <c r="C22328" s="15"/>
      <c r="E22328" s="8"/>
      <c r="G22328" s="8"/>
      <c r="J22328" s="8"/>
    </row>
    <row r="22329">
      <c r="C22329" s="15"/>
      <c r="E22329" s="8"/>
      <c r="G22329" s="8"/>
      <c r="J22329" s="8"/>
    </row>
    <row r="22330">
      <c r="C22330" s="15"/>
      <c r="E22330" s="8"/>
      <c r="G22330" s="8"/>
      <c r="J22330" s="8"/>
    </row>
    <row r="22331">
      <c r="C22331" s="15"/>
      <c r="E22331" s="8"/>
      <c r="G22331" s="8"/>
      <c r="J22331" s="8"/>
    </row>
    <row r="22332">
      <c r="C22332" s="15"/>
      <c r="E22332" s="8"/>
      <c r="G22332" s="8"/>
      <c r="J22332" s="8"/>
    </row>
    <row r="22333">
      <c r="C22333" s="15"/>
      <c r="E22333" s="8"/>
      <c r="G22333" s="8"/>
      <c r="J22333" s="8"/>
    </row>
    <row r="22334">
      <c r="C22334" s="15"/>
      <c r="E22334" s="8"/>
      <c r="G22334" s="8"/>
      <c r="J22334" s="8"/>
    </row>
    <row r="22335">
      <c r="C22335" s="15"/>
      <c r="E22335" s="8"/>
      <c r="G22335" s="8"/>
      <c r="J22335" s="8"/>
    </row>
    <row r="22336">
      <c r="C22336" s="15"/>
      <c r="E22336" s="8"/>
      <c r="G22336" s="8"/>
      <c r="J22336" s="8"/>
    </row>
    <row r="22337">
      <c r="C22337" s="15"/>
      <c r="E22337" s="8"/>
      <c r="G22337" s="8"/>
      <c r="J22337" s="8"/>
    </row>
    <row r="22338">
      <c r="C22338" s="15"/>
      <c r="E22338" s="8"/>
      <c r="G22338" s="8"/>
      <c r="J22338" s="8"/>
    </row>
    <row r="22339">
      <c r="C22339" s="15"/>
      <c r="E22339" s="8"/>
      <c r="G22339" s="8"/>
      <c r="J22339" s="8"/>
    </row>
    <row r="22340">
      <c r="C22340" s="15"/>
      <c r="E22340" s="8"/>
      <c r="G22340" s="8"/>
      <c r="J22340" s="8"/>
    </row>
    <row r="22341">
      <c r="C22341" s="15"/>
      <c r="E22341" s="8"/>
      <c r="G22341" s="8"/>
      <c r="J22341" s="8"/>
    </row>
    <row r="22342">
      <c r="C22342" s="15"/>
      <c r="E22342" s="8"/>
      <c r="G22342" s="8"/>
      <c r="J22342" s="8"/>
    </row>
    <row r="22343">
      <c r="C22343" s="15"/>
      <c r="E22343" s="8"/>
      <c r="G22343" s="8"/>
      <c r="J22343" s="8"/>
    </row>
    <row r="22344">
      <c r="C22344" s="15"/>
      <c r="E22344" s="8"/>
      <c r="G22344" s="8"/>
      <c r="J22344" s="8"/>
    </row>
    <row r="22345">
      <c r="C22345" s="15"/>
      <c r="E22345" s="8"/>
      <c r="G22345" s="8"/>
      <c r="J22345" s="8"/>
    </row>
    <row r="22346">
      <c r="C22346" s="15"/>
      <c r="E22346" s="8"/>
      <c r="G22346" s="8"/>
      <c r="J22346" s="8"/>
    </row>
    <row r="22347">
      <c r="C22347" s="15"/>
      <c r="E22347" s="8"/>
      <c r="G22347" s="8"/>
      <c r="J22347" s="8"/>
    </row>
    <row r="22348">
      <c r="C22348" s="15"/>
      <c r="E22348" s="8"/>
      <c r="G22348" s="8"/>
      <c r="J22348" s="8"/>
    </row>
    <row r="22349">
      <c r="C22349" s="15"/>
      <c r="E22349" s="8"/>
      <c r="G22349" s="8"/>
      <c r="J22349" s="8"/>
    </row>
    <row r="22350">
      <c r="C22350" s="15"/>
      <c r="E22350" s="8"/>
      <c r="G22350" s="8"/>
      <c r="J22350" s="8"/>
    </row>
    <row r="22351">
      <c r="C22351" s="15"/>
      <c r="E22351" s="8"/>
      <c r="G22351" s="8"/>
      <c r="J22351" s="8"/>
    </row>
    <row r="22352">
      <c r="C22352" s="15"/>
      <c r="E22352" s="8"/>
      <c r="G22352" s="8"/>
      <c r="J22352" s="8"/>
    </row>
    <row r="22353">
      <c r="C22353" s="15"/>
      <c r="E22353" s="8"/>
      <c r="G22353" s="8"/>
      <c r="J22353" s="8"/>
    </row>
    <row r="22354">
      <c r="C22354" s="15"/>
      <c r="E22354" s="8"/>
      <c r="G22354" s="8"/>
      <c r="J22354" s="8"/>
    </row>
    <row r="22355">
      <c r="C22355" s="15"/>
      <c r="E22355" s="8"/>
      <c r="G22355" s="8"/>
      <c r="J22355" s="8"/>
    </row>
    <row r="22356">
      <c r="C22356" s="15"/>
      <c r="E22356" s="8"/>
      <c r="G22356" s="8"/>
      <c r="J22356" s="8"/>
    </row>
    <row r="22357">
      <c r="C22357" s="15"/>
      <c r="E22357" s="8"/>
      <c r="G22357" s="8"/>
      <c r="J22357" s="8"/>
    </row>
    <row r="22358">
      <c r="C22358" s="15"/>
      <c r="E22358" s="8"/>
      <c r="G22358" s="8"/>
      <c r="J22358" s="8"/>
    </row>
    <row r="22359">
      <c r="C22359" s="15"/>
      <c r="E22359" s="8"/>
      <c r="G22359" s="8"/>
      <c r="J22359" s="8"/>
    </row>
    <row r="22360">
      <c r="C22360" s="15"/>
      <c r="E22360" s="8"/>
      <c r="G22360" s="8"/>
      <c r="J22360" s="8"/>
    </row>
    <row r="22361">
      <c r="C22361" s="15"/>
      <c r="E22361" s="8"/>
      <c r="G22361" s="8"/>
      <c r="J22361" s="8"/>
    </row>
    <row r="22362">
      <c r="C22362" s="15"/>
      <c r="E22362" s="8"/>
      <c r="G22362" s="8"/>
      <c r="J22362" s="8"/>
    </row>
    <row r="22363">
      <c r="C22363" s="15"/>
      <c r="E22363" s="8"/>
      <c r="G22363" s="8"/>
      <c r="J22363" s="8"/>
    </row>
    <row r="22364">
      <c r="C22364" s="15"/>
      <c r="E22364" s="8"/>
      <c r="G22364" s="8"/>
      <c r="J22364" s="8"/>
    </row>
    <row r="22365">
      <c r="C22365" s="15"/>
      <c r="E22365" s="8"/>
      <c r="G22365" s="8"/>
      <c r="J22365" s="8"/>
    </row>
    <row r="22366">
      <c r="C22366" s="15"/>
      <c r="E22366" s="8"/>
      <c r="G22366" s="8"/>
      <c r="J22366" s="8"/>
    </row>
    <row r="22367">
      <c r="C22367" s="15"/>
      <c r="E22367" s="8"/>
      <c r="G22367" s="8"/>
      <c r="J22367" s="8"/>
    </row>
    <row r="22368">
      <c r="C22368" s="15"/>
      <c r="E22368" s="8"/>
      <c r="G22368" s="8"/>
      <c r="J22368" s="8"/>
    </row>
    <row r="22369">
      <c r="C22369" s="15"/>
      <c r="E22369" s="8"/>
      <c r="G22369" s="8"/>
      <c r="J22369" s="8"/>
    </row>
    <row r="22370">
      <c r="C22370" s="15"/>
      <c r="E22370" s="8"/>
      <c r="G22370" s="8"/>
      <c r="J22370" s="8"/>
    </row>
    <row r="22371">
      <c r="C22371" s="15"/>
      <c r="E22371" s="8"/>
      <c r="G22371" s="8"/>
      <c r="J22371" s="8"/>
    </row>
    <row r="22372">
      <c r="C22372" s="15"/>
      <c r="E22372" s="8"/>
      <c r="G22372" s="8"/>
      <c r="J22372" s="8"/>
    </row>
    <row r="22373">
      <c r="C22373" s="15"/>
      <c r="E22373" s="8"/>
      <c r="G22373" s="8"/>
      <c r="J22373" s="8"/>
    </row>
    <row r="22374">
      <c r="C22374" s="15"/>
      <c r="E22374" s="8"/>
      <c r="G22374" s="8"/>
      <c r="J22374" s="8"/>
    </row>
    <row r="22375">
      <c r="C22375" s="15"/>
      <c r="E22375" s="8"/>
      <c r="G22375" s="8"/>
      <c r="J22375" s="8"/>
    </row>
    <row r="22376">
      <c r="C22376" s="15"/>
      <c r="E22376" s="8"/>
      <c r="G22376" s="8"/>
      <c r="J22376" s="8"/>
    </row>
    <row r="22377">
      <c r="C22377" s="15"/>
      <c r="E22377" s="8"/>
      <c r="G22377" s="8"/>
      <c r="J22377" s="8"/>
    </row>
    <row r="22378">
      <c r="C22378" s="15"/>
      <c r="E22378" s="8"/>
      <c r="G22378" s="8"/>
      <c r="J22378" s="8"/>
    </row>
    <row r="22379">
      <c r="C22379" s="15"/>
      <c r="E22379" s="8"/>
      <c r="G22379" s="8"/>
      <c r="J22379" s="8"/>
    </row>
    <row r="22380">
      <c r="C22380" s="15"/>
      <c r="E22380" s="8"/>
      <c r="G22380" s="8"/>
      <c r="J22380" s="8"/>
    </row>
    <row r="22381">
      <c r="C22381" s="15"/>
      <c r="E22381" s="8"/>
      <c r="G22381" s="8"/>
      <c r="J22381" s="8"/>
    </row>
    <row r="22382">
      <c r="C22382" s="15"/>
      <c r="E22382" s="8"/>
      <c r="G22382" s="8"/>
      <c r="J22382" s="8"/>
    </row>
    <row r="22383">
      <c r="C22383" s="15"/>
      <c r="E22383" s="8"/>
      <c r="G22383" s="8"/>
      <c r="J22383" s="8"/>
    </row>
    <row r="22384">
      <c r="C22384" s="15"/>
      <c r="E22384" s="8"/>
      <c r="G22384" s="8"/>
      <c r="J22384" s="8"/>
    </row>
    <row r="22385">
      <c r="C22385" s="15"/>
      <c r="E22385" s="8"/>
      <c r="G22385" s="8"/>
      <c r="J22385" s="8"/>
    </row>
    <row r="22386">
      <c r="C22386" s="15"/>
      <c r="E22386" s="8"/>
      <c r="G22386" s="8"/>
      <c r="J22386" s="8"/>
    </row>
    <row r="22387">
      <c r="C22387" s="15"/>
      <c r="E22387" s="8"/>
      <c r="G22387" s="8"/>
      <c r="J22387" s="8"/>
    </row>
    <row r="22388">
      <c r="C22388" s="15"/>
      <c r="E22388" s="8"/>
      <c r="G22388" s="8"/>
      <c r="J22388" s="8"/>
    </row>
    <row r="22389">
      <c r="C22389" s="15"/>
      <c r="E22389" s="8"/>
      <c r="G22389" s="8"/>
      <c r="J22389" s="8"/>
    </row>
    <row r="22390">
      <c r="C22390" s="15"/>
      <c r="E22390" s="8"/>
      <c r="G22390" s="8"/>
      <c r="J22390" s="8"/>
    </row>
    <row r="22391">
      <c r="C22391" s="15"/>
      <c r="E22391" s="8"/>
      <c r="G22391" s="8"/>
      <c r="J22391" s="8"/>
    </row>
    <row r="22392">
      <c r="C22392" s="15"/>
      <c r="E22392" s="8"/>
      <c r="G22392" s="8"/>
      <c r="J22392" s="8"/>
    </row>
    <row r="22393">
      <c r="C22393" s="15"/>
      <c r="E22393" s="8"/>
      <c r="G22393" s="8"/>
      <c r="J22393" s="8"/>
    </row>
    <row r="22394">
      <c r="C22394" s="15"/>
      <c r="E22394" s="8"/>
      <c r="G22394" s="8"/>
      <c r="J22394" s="8"/>
    </row>
    <row r="22395">
      <c r="C22395" s="15"/>
      <c r="E22395" s="8"/>
      <c r="G22395" s="8"/>
      <c r="J22395" s="8"/>
    </row>
    <row r="22396">
      <c r="C22396" s="15"/>
      <c r="E22396" s="8"/>
      <c r="G22396" s="8"/>
      <c r="J22396" s="8"/>
    </row>
    <row r="22397">
      <c r="C22397" s="15"/>
      <c r="E22397" s="8"/>
      <c r="G22397" s="8"/>
      <c r="J22397" s="8"/>
    </row>
    <row r="22398">
      <c r="C22398" s="15"/>
      <c r="E22398" s="8"/>
      <c r="G22398" s="8"/>
      <c r="J22398" s="8"/>
    </row>
    <row r="22399">
      <c r="C22399" s="15"/>
      <c r="E22399" s="8"/>
      <c r="G22399" s="8"/>
      <c r="J22399" s="8"/>
    </row>
    <row r="22400">
      <c r="C22400" s="15"/>
      <c r="E22400" s="8"/>
      <c r="G22400" s="8"/>
      <c r="J22400" s="8"/>
    </row>
    <row r="22401">
      <c r="C22401" s="15"/>
      <c r="E22401" s="8"/>
      <c r="G22401" s="8"/>
      <c r="J22401" s="8"/>
    </row>
    <row r="22402">
      <c r="C22402" s="15"/>
      <c r="E22402" s="8"/>
      <c r="G22402" s="8"/>
      <c r="J22402" s="8"/>
    </row>
    <row r="22403">
      <c r="C22403" s="15"/>
      <c r="E22403" s="8"/>
      <c r="G22403" s="8"/>
      <c r="J22403" s="8"/>
    </row>
    <row r="22404">
      <c r="C22404" s="15"/>
      <c r="E22404" s="8"/>
      <c r="G22404" s="8"/>
      <c r="J22404" s="8"/>
    </row>
    <row r="22405">
      <c r="C22405" s="15"/>
      <c r="E22405" s="8"/>
      <c r="G22405" s="8"/>
      <c r="J22405" s="8"/>
    </row>
    <row r="22406">
      <c r="C22406" s="15"/>
      <c r="E22406" s="8"/>
      <c r="G22406" s="8"/>
      <c r="J22406" s="8"/>
    </row>
    <row r="22407">
      <c r="C22407" s="15"/>
      <c r="E22407" s="8"/>
      <c r="G22407" s="8"/>
      <c r="J22407" s="8"/>
    </row>
    <row r="22408">
      <c r="C22408" s="15"/>
      <c r="E22408" s="8"/>
      <c r="G22408" s="8"/>
      <c r="J22408" s="8"/>
    </row>
    <row r="22409">
      <c r="C22409" s="15"/>
      <c r="E22409" s="8"/>
      <c r="G22409" s="8"/>
      <c r="J22409" s="8"/>
    </row>
    <row r="22410">
      <c r="C22410" s="15"/>
      <c r="E22410" s="8"/>
      <c r="G22410" s="8"/>
      <c r="J22410" s="8"/>
    </row>
    <row r="22411">
      <c r="C22411" s="15"/>
      <c r="E22411" s="8"/>
      <c r="G22411" s="8"/>
      <c r="J22411" s="8"/>
    </row>
    <row r="22412">
      <c r="C22412" s="15"/>
      <c r="E22412" s="8"/>
      <c r="G22412" s="8"/>
      <c r="J22412" s="8"/>
    </row>
    <row r="22413">
      <c r="C22413" s="15"/>
      <c r="E22413" s="8"/>
      <c r="G22413" s="8"/>
      <c r="J22413" s="8"/>
    </row>
    <row r="22414">
      <c r="C22414" s="15"/>
      <c r="E22414" s="8"/>
      <c r="G22414" s="8"/>
      <c r="J22414" s="8"/>
    </row>
    <row r="22415">
      <c r="C22415" s="15"/>
      <c r="E22415" s="8"/>
      <c r="G22415" s="8"/>
      <c r="J22415" s="8"/>
    </row>
    <row r="22416">
      <c r="C22416" s="15"/>
      <c r="E22416" s="8"/>
      <c r="G22416" s="8"/>
      <c r="J22416" s="8"/>
    </row>
    <row r="22417">
      <c r="C22417" s="15"/>
      <c r="E22417" s="8"/>
      <c r="G22417" s="8"/>
      <c r="J22417" s="8"/>
    </row>
    <row r="22418">
      <c r="C22418" s="15"/>
      <c r="E22418" s="8"/>
      <c r="G22418" s="8"/>
      <c r="J22418" s="8"/>
    </row>
    <row r="22419">
      <c r="C22419" s="15"/>
      <c r="E22419" s="8"/>
      <c r="G22419" s="8"/>
      <c r="J22419" s="8"/>
    </row>
    <row r="22420">
      <c r="C22420" s="15"/>
      <c r="E22420" s="8"/>
      <c r="G22420" s="8"/>
      <c r="J22420" s="8"/>
    </row>
    <row r="22421">
      <c r="C22421" s="15"/>
      <c r="E22421" s="8"/>
      <c r="G22421" s="8"/>
      <c r="J22421" s="8"/>
    </row>
    <row r="22422">
      <c r="C22422" s="15"/>
      <c r="E22422" s="8"/>
      <c r="G22422" s="8"/>
      <c r="J22422" s="8"/>
    </row>
    <row r="22423">
      <c r="C22423" s="15"/>
      <c r="E22423" s="8"/>
      <c r="G22423" s="8"/>
      <c r="J22423" s="8"/>
    </row>
    <row r="22424">
      <c r="C22424" s="15"/>
      <c r="E22424" s="8"/>
      <c r="G22424" s="8"/>
      <c r="J22424" s="8"/>
    </row>
    <row r="22425">
      <c r="C22425" s="15"/>
      <c r="E22425" s="8"/>
      <c r="G22425" s="8"/>
      <c r="J22425" s="8"/>
    </row>
    <row r="22426">
      <c r="C22426" s="15"/>
      <c r="E22426" s="8"/>
      <c r="G22426" s="8"/>
      <c r="J22426" s="8"/>
    </row>
    <row r="22427">
      <c r="C22427" s="15"/>
      <c r="E22427" s="8"/>
      <c r="G22427" s="8"/>
      <c r="J22427" s="8"/>
    </row>
    <row r="22428">
      <c r="C22428" s="15"/>
      <c r="E22428" s="8"/>
      <c r="G22428" s="8"/>
      <c r="J22428" s="8"/>
    </row>
    <row r="22429">
      <c r="C22429" s="15"/>
      <c r="E22429" s="8"/>
      <c r="G22429" s="8"/>
      <c r="J22429" s="8"/>
    </row>
    <row r="22430">
      <c r="C22430" s="15"/>
      <c r="E22430" s="8"/>
      <c r="G22430" s="8"/>
      <c r="J22430" s="8"/>
    </row>
    <row r="22431">
      <c r="C22431" s="15"/>
      <c r="E22431" s="8"/>
      <c r="G22431" s="8"/>
      <c r="J22431" s="8"/>
    </row>
    <row r="22432">
      <c r="C22432" s="15"/>
      <c r="E22432" s="8"/>
      <c r="G22432" s="8"/>
      <c r="J22432" s="8"/>
    </row>
    <row r="22433">
      <c r="C22433" s="15"/>
      <c r="E22433" s="8"/>
      <c r="G22433" s="8"/>
      <c r="J22433" s="8"/>
    </row>
    <row r="22434">
      <c r="C22434" s="15"/>
      <c r="E22434" s="8"/>
      <c r="G22434" s="8"/>
      <c r="J22434" s="8"/>
    </row>
    <row r="22435">
      <c r="C22435" s="15"/>
      <c r="E22435" s="8"/>
      <c r="G22435" s="8"/>
      <c r="J22435" s="8"/>
    </row>
    <row r="22436">
      <c r="C22436" s="15"/>
      <c r="E22436" s="8"/>
      <c r="G22436" s="8"/>
      <c r="J22436" s="8"/>
    </row>
    <row r="22437">
      <c r="C22437" s="15"/>
      <c r="E22437" s="8"/>
      <c r="G22437" s="8"/>
      <c r="J22437" s="8"/>
    </row>
    <row r="22438">
      <c r="C22438" s="15"/>
      <c r="E22438" s="8"/>
      <c r="G22438" s="8"/>
      <c r="J22438" s="8"/>
    </row>
    <row r="22439">
      <c r="C22439" s="15"/>
      <c r="E22439" s="8"/>
      <c r="G22439" s="8"/>
      <c r="J22439" s="8"/>
    </row>
    <row r="22440">
      <c r="C22440" s="15"/>
      <c r="E22440" s="8"/>
      <c r="G22440" s="8"/>
      <c r="J22440" s="8"/>
    </row>
    <row r="22441">
      <c r="C22441" s="15"/>
      <c r="E22441" s="8"/>
      <c r="G22441" s="8"/>
      <c r="J22441" s="8"/>
    </row>
    <row r="22442">
      <c r="C22442" s="15"/>
      <c r="E22442" s="8"/>
      <c r="G22442" s="8"/>
      <c r="J22442" s="8"/>
    </row>
    <row r="22443">
      <c r="C22443" s="15"/>
      <c r="E22443" s="8"/>
      <c r="G22443" s="8"/>
      <c r="J22443" s="8"/>
    </row>
    <row r="22444">
      <c r="C22444" s="15"/>
      <c r="E22444" s="8"/>
      <c r="G22444" s="8"/>
      <c r="J22444" s="8"/>
    </row>
    <row r="22445">
      <c r="C22445" s="15"/>
      <c r="E22445" s="8"/>
      <c r="G22445" s="8"/>
      <c r="J22445" s="8"/>
    </row>
    <row r="22446">
      <c r="C22446" s="15"/>
      <c r="E22446" s="8"/>
      <c r="G22446" s="8"/>
      <c r="J22446" s="8"/>
    </row>
    <row r="22447">
      <c r="C22447" s="15"/>
      <c r="E22447" s="8"/>
      <c r="G22447" s="8"/>
      <c r="J22447" s="8"/>
    </row>
    <row r="22448">
      <c r="C22448" s="15"/>
      <c r="E22448" s="8"/>
      <c r="G22448" s="8"/>
      <c r="J22448" s="8"/>
    </row>
    <row r="22449">
      <c r="C22449" s="15"/>
      <c r="E22449" s="8"/>
      <c r="G22449" s="8"/>
      <c r="J22449" s="8"/>
    </row>
    <row r="22450">
      <c r="C22450" s="15"/>
      <c r="E22450" s="8"/>
      <c r="G22450" s="8"/>
      <c r="J22450" s="8"/>
    </row>
    <row r="22451">
      <c r="C22451" s="15"/>
      <c r="E22451" s="8"/>
      <c r="G22451" s="8"/>
      <c r="J22451" s="8"/>
    </row>
    <row r="22452">
      <c r="C22452" s="15"/>
      <c r="E22452" s="8"/>
      <c r="G22452" s="8"/>
      <c r="J22452" s="8"/>
    </row>
    <row r="22453">
      <c r="C22453" s="15"/>
      <c r="E22453" s="8"/>
      <c r="G22453" s="8"/>
      <c r="J22453" s="8"/>
    </row>
    <row r="22454">
      <c r="C22454" s="15"/>
      <c r="E22454" s="8"/>
      <c r="G22454" s="8"/>
      <c r="J22454" s="8"/>
    </row>
    <row r="22455">
      <c r="C22455" s="15"/>
      <c r="E22455" s="8"/>
      <c r="G22455" s="8"/>
      <c r="J22455" s="8"/>
    </row>
    <row r="22456">
      <c r="C22456" s="15"/>
      <c r="E22456" s="8"/>
      <c r="G22456" s="8"/>
      <c r="J22456" s="8"/>
    </row>
    <row r="22457">
      <c r="C22457" s="15"/>
      <c r="E22457" s="8"/>
      <c r="G22457" s="8"/>
      <c r="J22457" s="8"/>
    </row>
    <row r="22458">
      <c r="C22458" s="15"/>
      <c r="E22458" s="8"/>
      <c r="G22458" s="8"/>
      <c r="J22458" s="8"/>
    </row>
    <row r="22459">
      <c r="C22459" s="15"/>
      <c r="E22459" s="8"/>
      <c r="G22459" s="8"/>
      <c r="J22459" s="8"/>
    </row>
    <row r="22460">
      <c r="C22460" s="15"/>
      <c r="E22460" s="8"/>
      <c r="G22460" s="8"/>
      <c r="J22460" s="8"/>
    </row>
    <row r="22461">
      <c r="C22461" s="15"/>
      <c r="E22461" s="8"/>
      <c r="G22461" s="8"/>
      <c r="J22461" s="8"/>
    </row>
    <row r="22462">
      <c r="C22462" s="15"/>
      <c r="E22462" s="8"/>
      <c r="G22462" s="8"/>
      <c r="J22462" s="8"/>
    </row>
    <row r="22463">
      <c r="C22463" s="15"/>
      <c r="E22463" s="8"/>
      <c r="G22463" s="8"/>
      <c r="J22463" s="8"/>
    </row>
    <row r="22464">
      <c r="C22464" s="15"/>
      <c r="E22464" s="8"/>
      <c r="G22464" s="8"/>
      <c r="J22464" s="8"/>
    </row>
    <row r="22465">
      <c r="C22465" s="15"/>
      <c r="E22465" s="8"/>
      <c r="G22465" s="8"/>
      <c r="J22465" s="8"/>
    </row>
    <row r="22466">
      <c r="C22466" s="15"/>
      <c r="E22466" s="8"/>
      <c r="G22466" s="8"/>
      <c r="J22466" s="8"/>
    </row>
    <row r="22467">
      <c r="C22467" s="15"/>
      <c r="E22467" s="8"/>
      <c r="G22467" s="8"/>
      <c r="J22467" s="8"/>
    </row>
    <row r="22468">
      <c r="C22468" s="15"/>
      <c r="E22468" s="8"/>
      <c r="G22468" s="8"/>
      <c r="J22468" s="8"/>
    </row>
    <row r="22469">
      <c r="C22469" s="15"/>
      <c r="E22469" s="8"/>
      <c r="G22469" s="8"/>
      <c r="J22469" s="8"/>
    </row>
    <row r="22470">
      <c r="C22470" s="15"/>
      <c r="E22470" s="8"/>
      <c r="G22470" s="8"/>
      <c r="J22470" s="8"/>
    </row>
    <row r="22471">
      <c r="C22471" s="15"/>
      <c r="E22471" s="8"/>
      <c r="G22471" s="8"/>
      <c r="J22471" s="8"/>
    </row>
    <row r="22472">
      <c r="C22472" s="15"/>
      <c r="E22472" s="8"/>
      <c r="G22472" s="8"/>
      <c r="J22472" s="8"/>
    </row>
    <row r="22473">
      <c r="C22473" s="15"/>
      <c r="E22473" s="8"/>
      <c r="G22473" s="8"/>
      <c r="J22473" s="8"/>
    </row>
    <row r="22474">
      <c r="C22474" s="15"/>
      <c r="E22474" s="8"/>
      <c r="G22474" s="8"/>
      <c r="J22474" s="8"/>
    </row>
    <row r="22475">
      <c r="C22475" s="15"/>
      <c r="E22475" s="8"/>
      <c r="G22475" s="8"/>
      <c r="J22475" s="8"/>
    </row>
    <row r="22476">
      <c r="C22476" s="15"/>
      <c r="E22476" s="8"/>
      <c r="G22476" s="8"/>
      <c r="J22476" s="8"/>
    </row>
    <row r="22477">
      <c r="C22477" s="15"/>
      <c r="E22477" s="8"/>
      <c r="G22477" s="8"/>
      <c r="J22477" s="8"/>
    </row>
    <row r="22478">
      <c r="C22478" s="15"/>
      <c r="E22478" s="8"/>
      <c r="G22478" s="8"/>
      <c r="J22478" s="8"/>
    </row>
    <row r="22479">
      <c r="C22479" s="15"/>
      <c r="E22479" s="8"/>
      <c r="G22479" s="8"/>
      <c r="J22479" s="8"/>
    </row>
    <row r="22480">
      <c r="C22480" s="15"/>
      <c r="E22480" s="8"/>
      <c r="G22480" s="8"/>
      <c r="J22480" s="8"/>
    </row>
    <row r="22481">
      <c r="C22481" s="15"/>
      <c r="E22481" s="8"/>
      <c r="G22481" s="8"/>
      <c r="J22481" s="8"/>
    </row>
    <row r="22482">
      <c r="C22482" s="15"/>
      <c r="E22482" s="8"/>
      <c r="G22482" s="8"/>
      <c r="J22482" s="8"/>
    </row>
    <row r="22483">
      <c r="C22483" s="15"/>
      <c r="E22483" s="8"/>
      <c r="G22483" s="8"/>
      <c r="J22483" s="8"/>
    </row>
    <row r="22484">
      <c r="C22484" s="15"/>
      <c r="E22484" s="8"/>
      <c r="G22484" s="8"/>
      <c r="J22484" s="8"/>
    </row>
    <row r="22485">
      <c r="C22485" s="15"/>
      <c r="E22485" s="8"/>
      <c r="G22485" s="8"/>
      <c r="J22485" s="8"/>
    </row>
    <row r="22486">
      <c r="C22486" s="15"/>
      <c r="E22486" s="8"/>
      <c r="G22486" s="8"/>
      <c r="J22486" s="8"/>
    </row>
    <row r="22487">
      <c r="C22487" s="15"/>
      <c r="E22487" s="8"/>
      <c r="G22487" s="8"/>
      <c r="J22487" s="8"/>
    </row>
    <row r="22488">
      <c r="C22488" s="15"/>
      <c r="E22488" s="8"/>
      <c r="G22488" s="8"/>
      <c r="J22488" s="8"/>
    </row>
    <row r="22489">
      <c r="C22489" s="15"/>
      <c r="E22489" s="8"/>
      <c r="G22489" s="8"/>
      <c r="J22489" s="8"/>
    </row>
    <row r="22490">
      <c r="C22490" s="15"/>
      <c r="E22490" s="8"/>
      <c r="G22490" s="8"/>
      <c r="J22490" s="8"/>
    </row>
    <row r="22491">
      <c r="C22491" s="15"/>
      <c r="E22491" s="8"/>
      <c r="G22491" s="8"/>
      <c r="J22491" s="8"/>
    </row>
    <row r="22492">
      <c r="C22492" s="15"/>
      <c r="E22492" s="8"/>
      <c r="G22492" s="8"/>
      <c r="J22492" s="8"/>
    </row>
    <row r="22493">
      <c r="C22493" s="15"/>
      <c r="E22493" s="8"/>
      <c r="G22493" s="8"/>
      <c r="J22493" s="8"/>
    </row>
    <row r="22494">
      <c r="C22494" s="15"/>
      <c r="E22494" s="8"/>
      <c r="G22494" s="8"/>
      <c r="J22494" s="8"/>
    </row>
    <row r="22495">
      <c r="C22495" s="15"/>
      <c r="E22495" s="8"/>
      <c r="G22495" s="8"/>
      <c r="J22495" s="8"/>
    </row>
    <row r="22496">
      <c r="C22496" s="15"/>
      <c r="E22496" s="8"/>
      <c r="G22496" s="8"/>
      <c r="J22496" s="8"/>
    </row>
    <row r="22497">
      <c r="C22497" s="15"/>
      <c r="E22497" s="8"/>
      <c r="G22497" s="8"/>
      <c r="J22497" s="8"/>
    </row>
    <row r="22498">
      <c r="C22498" s="15"/>
      <c r="E22498" s="8"/>
      <c r="G22498" s="8"/>
      <c r="J22498" s="8"/>
    </row>
    <row r="22499">
      <c r="C22499" s="15"/>
      <c r="E22499" s="8"/>
      <c r="G22499" s="8"/>
      <c r="J22499" s="8"/>
    </row>
    <row r="22500">
      <c r="C22500" s="15"/>
      <c r="E22500" s="8"/>
      <c r="G22500" s="8"/>
      <c r="J22500" s="8"/>
    </row>
    <row r="22501">
      <c r="C22501" s="15"/>
      <c r="E22501" s="8"/>
      <c r="G22501" s="8"/>
      <c r="J22501" s="8"/>
    </row>
    <row r="22502">
      <c r="C22502" s="15"/>
      <c r="E22502" s="8"/>
      <c r="G22502" s="8"/>
      <c r="J22502" s="8"/>
    </row>
    <row r="22503">
      <c r="C22503" s="15"/>
      <c r="E22503" s="8"/>
      <c r="G22503" s="8"/>
      <c r="J22503" s="8"/>
    </row>
    <row r="22504">
      <c r="C22504" s="15"/>
      <c r="E22504" s="8"/>
      <c r="G22504" s="8"/>
      <c r="J22504" s="8"/>
    </row>
    <row r="22505">
      <c r="C22505" s="15"/>
      <c r="E22505" s="8"/>
      <c r="G22505" s="8"/>
      <c r="J22505" s="8"/>
    </row>
    <row r="22506">
      <c r="C22506" s="15"/>
      <c r="E22506" s="8"/>
      <c r="G22506" s="8"/>
      <c r="J22506" s="8"/>
    </row>
    <row r="22507">
      <c r="C22507" s="15"/>
      <c r="E22507" s="8"/>
      <c r="G22507" s="8"/>
      <c r="J22507" s="8"/>
    </row>
    <row r="22508">
      <c r="C22508" s="15"/>
      <c r="E22508" s="8"/>
      <c r="G22508" s="8"/>
      <c r="J22508" s="8"/>
    </row>
    <row r="22509">
      <c r="C22509" s="15"/>
      <c r="E22509" s="8"/>
      <c r="G22509" s="8"/>
      <c r="J22509" s="8"/>
    </row>
    <row r="22510">
      <c r="C22510" s="15"/>
      <c r="E22510" s="8"/>
      <c r="G22510" s="8"/>
      <c r="J22510" s="8"/>
    </row>
    <row r="22511">
      <c r="C22511" s="15"/>
      <c r="E22511" s="8"/>
      <c r="G22511" s="8"/>
      <c r="J22511" s="8"/>
    </row>
    <row r="22512">
      <c r="C22512" s="15"/>
      <c r="E22512" s="8"/>
      <c r="G22512" s="8"/>
      <c r="J22512" s="8"/>
    </row>
    <row r="22513">
      <c r="C22513" s="15"/>
      <c r="E22513" s="8"/>
      <c r="G22513" s="8"/>
      <c r="J22513" s="8"/>
    </row>
    <row r="22514">
      <c r="C22514" s="15"/>
      <c r="E22514" s="8"/>
      <c r="G22514" s="8"/>
      <c r="J22514" s="8"/>
    </row>
    <row r="22515">
      <c r="C22515" s="15"/>
      <c r="E22515" s="8"/>
      <c r="G22515" s="8"/>
      <c r="J22515" s="8"/>
    </row>
    <row r="22516">
      <c r="C22516" s="15"/>
      <c r="E22516" s="8"/>
      <c r="G22516" s="8"/>
      <c r="J22516" s="8"/>
    </row>
    <row r="22517">
      <c r="C22517" s="15"/>
      <c r="E22517" s="8"/>
      <c r="G22517" s="8"/>
      <c r="J22517" s="8"/>
    </row>
    <row r="22518">
      <c r="C22518" s="15"/>
      <c r="E22518" s="8"/>
      <c r="G22518" s="8"/>
      <c r="J22518" s="8"/>
    </row>
    <row r="22519">
      <c r="C22519" s="15"/>
      <c r="E22519" s="8"/>
      <c r="G22519" s="8"/>
      <c r="J22519" s="8"/>
    </row>
    <row r="22520">
      <c r="C22520" s="15"/>
      <c r="E22520" s="8"/>
      <c r="G22520" s="8"/>
      <c r="J22520" s="8"/>
    </row>
    <row r="22521">
      <c r="C22521" s="15"/>
      <c r="E22521" s="8"/>
      <c r="G22521" s="8"/>
      <c r="J22521" s="8"/>
    </row>
    <row r="22522">
      <c r="C22522" s="15"/>
      <c r="E22522" s="8"/>
      <c r="G22522" s="8"/>
      <c r="J22522" s="8"/>
    </row>
    <row r="22523">
      <c r="C22523" s="15"/>
      <c r="E22523" s="8"/>
      <c r="G22523" s="8"/>
      <c r="J22523" s="8"/>
    </row>
    <row r="22524">
      <c r="C22524" s="15"/>
      <c r="E22524" s="8"/>
      <c r="G22524" s="8"/>
      <c r="J22524" s="8"/>
    </row>
    <row r="22525">
      <c r="C22525" s="15"/>
      <c r="E22525" s="8"/>
      <c r="G22525" s="8"/>
      <c r="J22525" s="8"/>
    </row>
    <row r="22526">
      <c r="C22526" s="15"/>
      <c r="E22526" s="8"/>
      <c r="G22526" s="8"/>
      <c r="J22526" s="8"/>
    </row>
    <row r="22527">
      <c r="C22527" s="15"/>
      <c r="E22527" s="8"/>
      <c r="G22527" s="8"/>
      <c r="J22527" s="8"/>
    </row>
    <row r="22528">
      <c r="C22528" s="15"/>
      <c r="E22528" s="8"/>
      <c r="G22528" s="8"/>
      <c r="J22528" s="8"/>
    </row>
    <row r="22529">
      <c r="C22529" s="15"/>
      <c r="E22529" s="8"/>
      <c r="G22529" s="8"/>
      <c r="J22529" s="8"/>
    </row>
    <row r="22530">
      <c r="C22530" s="15"/>
      <c r="E22530" s="8"/>
      <c r="G22530" s="8"/>
      <c r="J22530" s="8"/>
    </row>
    <row r="22531">
      <c r="C22531" s="15"/>
      <c r="E22531" s="8"/>
      <c r="G22531" s="8"/>
      <c r="J22531" s="8"/>
    </row>
    <row r="22532">
      <c r="C22532" s="15"/>
      <c r="E22532" s="8"/>
      <c r="G22532" s="8"/>
      <c r="J22532" s="8"/>
    </row>
    <row r="22533">
      <c r="C22533" s="15"/>
      <c r="E22533" s="8"/>
      <c r="G22533" s="8"/>
      <c r="J22533" s="8"/>
    </row>
    <row r="22534">
      <c r="C22534" s="15"/>
      <c r="E22534" s="8"/>
      <c r="G22534" s="8"/>
      <c r="J22534" s="8"/>
    </row>
    <row r="22535">
      <c r="C22535" s="15"/>
      <c r="E22535" s="8"/>
      <c r="G22535" s="8"/>
      <c r="J22535" s="8"/>
    </row>
    <row r="22536">
      <c r="C22536" s="15"/>
      <c r="E22536" s="8"/>
      <c r="G22536" s="8"/>
      <c r="J22536" s="8"/>
    </row>
    <row r="22537">
      <c r="C22537" s="15"/>
      <c r="E22537" s="8"/>
      <c r="G22537" s="8"/>
      <c r="J22537" s="8"/>
    </row>
    <row r="22538">
      <c r="C22538" s="15"/>
      <c r="E22538" s="8"/>
      <c r="G22538" s="8"/>
      <c r="J22538" s="8"/>
    </row>
    <row r="22539">
      <c r="C22539" s="15"/>
      <c r="E22539" s="8"/>
      <c r="G22539" s="8"/>
      <c r="J22539" s="8"/>
    </row>
    <row r="22540">
      <c r="C22540" s="15"/>
      <c r="E22540" s="8"/>
      <c r="G22540" s="8"/>
      <c r="J22540" s="8"/>
    </row>
    <row r="22541">
      <c r="C22541" s="15"/>
      <c r="E22541" s="8"/>
      <c r="G22541" s="8"/>
      <c r="J22541" s="8"/>
    </row>
    <row r="22542">
      <c r="C22542" s="15"/>
      <c r="E22542" s="8"/>
      <c r="G22542" s="8"/>
      <c r="J22542" s="8"/>
    </row>
    <row r="22543">
      <c r="C22543" s="15"/>
      <c r="E22543" s="8"/>
      <c r="G22543" s="8"/>
      <c r="J22543" s="8"/>
    </row>
    <row r="22544">
      <c r="C22544" s="15"/>
      <c r="E22544" s="8"/>
      <c r="G22544" s="8"/>
      <c r="J22544" s="8"/>
    </row>
    <row r="22545">
      <c r="C22545" s="15"/>
      <c r="E22545" s="8"/>
      <c r="G22545" s="8"/>
      <c r="J22545" s="8"/>
    </row>
    <row r="22546">
      <c r="C22546" s="15"/>
      <c r="E22546" s="8"/>
      <c r="G22546" s="8"/>
      <c r="J22546" s="8"/>
    </row>
    <row r="22547">
      <c r="C22547" s="15"/>
      <c r="E22547" s="8"/>
      <c r="G22547" s="8"/>
      <c r="J22547" s="8"/>
    </row>
    <row r="22548">
      <c r="C22548" s="15"/>
      <c r="E22548" s="8"/>
      <c r="G22548" s="8"/>
      <c r="J22548" s="8"/>
    </row>
    <row r="22549">
      <c r="C22549" s="15"/>
      <c r="E22549" s="8"/>
      <c r="G22549" s="8"/>
      <c r="J22549" s="8"/>
    </row>
    <row r="22550">
      <c r="C22550" s="15"/>
      <c r="E22550" s="8"/>
      <c r="G22550" s="8"/>
      <c r="J22550" s="8"/>
    </row>
    <row r="22551">
      <c r="C22551" s="15"/>
      <c r="E22551" s="8"/>
      <c r="G22551" s="8"/>
      <c r="J22551" s="8"/>
    </row>
    <row r="22552">
      <c r="C22552" s="15"/>
      <c r="E22552" s="8"/>
      <c r="G22552" s="8"/>
      <c r="J22552" s="8"/>
    </row>
    <row r="22553">
      <c r="C22553" s="15"/>
      <c r="E22553" s="8"/>
      <c r="G22553" s="8"/>
      <c r="J22553" s="8"/>
    </row>
    <row r="22554">
      <c r="C22554" s="15"/>
      <c r="E22554" s="8"/>
      <c r="G22554" s="8"/>
      <c r="J22554" s="8"/>
    </row>
    <row r="22555">
      <c r="C22555" s="15"/>
      <c r="E22555" s="8"/>
      <c r="G22555" s="8"/>
      <c r="J22555" s="8"/>
    </row>
    <row r="22556">
      <c r="C22556" s="15"/>
      <c r="E22556" s="8"/>
      <c r="G22556" s="8"/>
      <c r="J22556" s="8"/>
    </row>
    <row r="22557">
      <c r="C22557" s="15"/>
      <c r="E22557" s="8"/>
      <c r="G22557" s="8"/>
      <c r="J22557" s="8"/>
    </row>
    <row r="22558">
      <c r="C22558" s="15"/>
      <c r="E22558" s="8"/>
      <c r="G22558" s="8"/>
      <c r="J22558" s="8"/>
    </row>
    <row r="22559">
      <c r="C22559" s="15"/>
      <c r="E22559" s="8"/>
      <c r="G22559" s="8"/>
      <c r="J22559" s="8"/>
    </row>
    <row r="22560">
      <c r="C22560" s="15"/>
      <c r="E22560" s="8"/>
      <c r="G22560" s="8"/>
      <c r="J22560" s="8"/>
    </row>
    <row r="22561">
      <c r="C22561" s="15"/>
      <c r="E22561" s="8"/>
      <c r="G22561" s="8"/>
      <c r="J22561" s="8"/>
    </row>
    <row r="22562">
      <c r="C22562" s="15"/>
      <c r="E22562" s="8"/>
      <c r="G22562" s="8"/>
      <c r="J22562" s="8"/>
    </row>
    <row r="22563">
      <c r="C22563" s="15"/>
      <c r="E22563" s="8"/>
      <c r="G22563" s="8"/>
      <c r="J22563" s="8"/>
    </row>
    <row r="22564">
      <c r="C22564" s="15"/>
      <c r="E22564" s="8"/>
      <c r="G22564" s="8"/>
      <c r="J22564" s="8"/>
    </row>
    <row r="22565">
      <c r="C22565" s="15"/>
      <c r="E22565" s="8"/>
      <c r="G22565" s="8"/>
      <c r="J22565" s="8"/>
    </row>
    <row r="22566">
      <c r="C22566" s="15"/>
      <c r="E22566" s="8"/>
      <c r="G22566" s="8"/>
      <c r="J22566" s="8"/>
    </row>
    <row r="22567">
      <c r="C22567" s="15"/>
      <c r="E22567" s="8"/>
      <c r="G22567" s="8"/>
      <c r="J22567" s="8"/>
    </row>
    <row r="22568">
      <c r="C22568" s="15"/>
      <c r="E22568" s="8"/>
      <c r="G22568" s="8"/>
      <c r="J22568" s="8"/>
    </row>
    <row r="22569">
      <c r="C22569" s="15"/>
      <c r="E22569" s="8"/>
      <c r="G22569" s="8"/>
      <c r="J22569" s="8"/>
    </row>
    <row r="22570">
      <c r="C22570" s="15"/>
      <c r="E22570" s="8"/>
      <c r="G22570" s="8"/>
      <c r="J22570" s="8"/>
    </row>
    <row r="22571">
      <c r="C22571" s="15"/>
      <c r="E22571" s="8"/>
      <c r="G22571" s="8"/>
      <c r="J22571" s="8"/>
    </row>
    <row r="22572">
      <c r="C22572" s="15"/>
      <c r="E22572" s="8"/>
      <c r="G22572" s="8"/>
      <c r="J22572" s="8"/>
    </row>
    <row r="22573">
      <c r="C22573" s="15"/>
      <c r="E22573" s="8"/>
      <c r="G22573" s="8"/>
      <c r="J22573" s="8"/>
    </row>
    <row r="22574">
      <c r="C22574" s="15"/>
      <c r="E22574" s="8"/>
      <c r="G22574" s="8"/>
      <c r="J22574" s="8"/>
    </row>
    <row r="22575">
      <c r="C22575" s="15"/>
      <c r="E22575" s="8"/>
      <c r="G22575" s="8"/>
      <c r="J22575" s="8"/>
    </row>
    <row r="22576">
      <c r="C22576" s="15"/>
      <c r="E22576" s="8"/>
      <c r="G22576" s="8"/>
      <c r="J22576" s="8"/>
    </row>
    <row r="22577">
      <c r="C22577" s="15"/>
      <c r="E22577" s="8"/>
      <c r="G22577" s="8"/>
      <c r="J22577" s="8"/>
    </row>
    <row r="22578">
      <c r="C22578" s="15"/>
      <c r="E22578" s="8"/>
      <c r="G22578" s="8"/>
      <c r="J22578" s="8"/>
    </row>
    <row r="22579">
      <c r="C22579" s="15"/>
      <c r="E22579" s="8"/>
      <c r="G22579" s="8"/>
      <c r="J22579" s="8"/>
    </row>
    <row r="22580">
      <c r="C22580" s="15"/>
      <c r="E22580" s="8"/>
      <c r="G22580" s="8"/>
      <c r="J22580" s="8"/>
    </row>
    <row r="22581">
      <c r="C22581" s="15"/>
      <c r="E22581" s="8"/>
      <c r="G22581" s="8"/>
      <c r="J22581" s="8"/>
    </row>
    <row r="22582">
      <c r="C22582" s="15"/>
      <c r="E22582" s="8"/>
      <c r="G22582" s="8"/>
      <c r="J22582" s="8"/>
    </row>
    <row r="22583">
      <c r="C22583" s="15"/>
      <c r="E22583" s="8"/>
      <c r="G22583" s="8"/>
      <c r="J22583" s="8"/>
    </row>
    <row r="22584">
      <c r="C22584" s="15"/>
      <c r="E22584" s="8"/>
      <c r="G22584" s="8"/>
      <c r="J22584" s="8"/>
    </row>
    <row r="22585">
      <c r="C22585" s="15"/>
      <c r="E22585" s="8"/>
      <c r="G22585" s="8"/>
      <c r="J22585" s="8"/>
    </row>
    <row r="22586">
      <c r="C22586" s="15"/>
      <c r="E22586" s="8"/>
      <c r="G22586" s="8"/>
      <c r="J22586" s="8"/>
    </row>
    <row r="22587">
      <c r="C22587" s="15"/>
      <c r="E22587" s="8"/>
      <c r="G22587" s="8"/>
      <c r="J22587" s="8"/>
    </row>
    <row r="22588">
      <c r="C22588" s="15"/>
      <c r="E22588" s="8"/>
      <c r="G22588" s="8"/>
      <c r="J22588" s="8"/>
    </row>
    <row r="22589">
      <c r="C22589" s="15"/>
      <c r="E22589" s="8"/>
      <c r="G22589" s="8"/>
      <c r="J22589" s="8"/>
    </row>
    <row r="22590">
      <c r="C22590" s="15"/>
      <c r="E22590" s="8"/>
      <c r="G22590" s="8"/>
      <c r="J22590" s="8"/>
    </row>
    <row r="22591">
      <c r="C22591" s="15"/>
      <c r="E22591" s="8"/>
      <c r="G22591" s="8"/>
      <c r="J22591" s="8"/>
    </row>
    <row r="22592">
      <c r="C22592" s="15"/>
      <c r="E22592" s="8"/>
      <c r="G22592" s="8"/>
      <c r="J22592" s="8"/>
    </row>
    <row r="22593">
      <c r="C22593" s="15"/>
      <c r="E22593" s="8"/>
      <c r="G22593" s="8"/>
      <c r="J22593" s="8"/>
    </row>
    <row r="22594">
      <c r="C22594" s="15"/>
      <c r="E22594" s="8"/>
      <c r="G22594" s="8"/>
      <c r="J22594" s="8"/>
    </row>
    <row r="22595">
      <c r="C22595" s="15"/>
      <c r="E22595" s="8"/>
      <c r="G22595" s="8"/>
      <c r="J22595" s="8"/>
    </row>
    <row r="22596">
      <c r="C22596" s="15"/>
      <c r="E22596" s="8"/>
      <c r="G22596" s="8"/>
      <c r="J22596" s="8"/>
    </row>
    <row r="22597">
      <c r="C22597" s="15"/>
      <c r="E22597" s="8"/>
      <c r="G22597" s="8"/>
      <c r="J22597" s="8"/>
    </row>
    <row r="22598">
      <c r="C22598" s="15"/>
      <c r="E22598" s="8"/>
      <c r="G22598" s="8"/>
      <c r="J22598" s="8"/>
    </row>
    <row r="22599">
      <c r="C22599" s="15"/>
      <c r="E22599" s="8"/>
      <c r="G22599" s="8"/>
      <c r="J22599" s="8"/>
    </row>
    <row r="22600">
      <c r="C22600" s="15"/>
      <c r="E22600" s="8"/>
      <c r="G22600" s="8"/>
      <c r="J22600" s="8"/>
    </row>
    <row r="22601">
      <c r="C22601" s="15"/>
      <c r="E22601" s="8"/>
      <c r="G22601" s="8"/>
      <c r="J22601" s="8"/>
    </row>
    <row r="22602">
      <c r="C22602" s="15"/>
      <c r="E22602" s="8"/>
      <c r="G22602" s="8"/>
      <c r="J22602" s="8"/>
    </row>
    <row r="22603">
      <c r="C22603" s="15"/>
      <c r="E22603" s="8"/>
      <c r="G22603" s="8"/>
      <c r="J22603" s="8"/>
    </row>
    <row r="22604">
      <c r="C22604" s="15"/>
      <c r="E22604" s="8"/>
      <c r="G22604" s="8"/>
      <c r="J22604" s="8"/>
    </row>
    <row r="22605">
      <c r="C22605" s="15"/>
      <c r="E22605" s="8"/>
      <c r="G22605" s="8"/>
      <c r="J22605" s="8"/>
    </row>
    <row r="22606">
      <c r="C22606" s="15"/>
      <c r="E22606" s="8"/>
      <c r="G22606" s="8"/>
      <c r="J22606" s="8"/>
    </row>
    <row r="22607">
      <c r="C22607" s="15"/>
      <c r="E22607" s="8"/>
      <c r="G22607" s="8"/>
      <c r="J22607" s="8"/>
    </row>
    <row r="22608">
      <c r="C22608" s="15"/>
      <c r="E22608" s="8"/>
      <c r="G22608" s="8"/>
      <c r="J22608" s="8"/>
    </row>
    <row r="22609">
      <c r="C22609" s="15"/>
      <c r="E22609" s="8"/>
      <c r="G22609" s="8"/>
      <c r="J22609" s="8"/>
    </row>
    <row r="22610">
      <c r="C22610" s="15"/>
      <c r="E22610" s="8"/>
      <c r="G22610" s="8"/>
      <c r="J22610" s="8"/>
    </row>
    <row r="22611">
      <c r="C22611" s="15"/>
      <c r="E22611" s="8"/>
      <c r="G22611" s="8"/>
      <c r="J22611" s="8"/>
    </row>
    <row r="22612">
      <c r="C22612" s="15"/>
      <c r="E22612" s="8"/>
      <c r="G22612" s="8"/>
      <c r="J22612" s="8"/>
    </row>
    <row r="22613">
      <c r="C22613" s="15"/>
      <c r="E22613" s="8"/>
      <c r="G22613" s="8"/>
      <c r="J22613" s="8"/>
    </row>
    <row r="22614">
      <c r="C22614" s="15"/>
      <c r="E22614" s="8"/>
      <c r="G22614" s="8"/>
      <c r="J22614" s="8"/>
    </row>
    <row r="22615">
      <c r="C22615" s="15"/>
      <c r="E22615" s="8"/>
      <c r="G22615" s="8"/>
      <c r="J22615" s="8"/>
    </row>
    <row r="22616">
      <c r="C22616" s="15"/>
      <c r="E22616" s="8"/>
      <c r="G22616" s="8"/>
      <c r="J22616" s="8"/>
    </row>
    <row r="22617">
      <c r="C22617" s="15"/>
      <c r="E22617" s="8"/>
      <c r="G22617" s="8"/>
      <c r="J22617" s="8"/>
    </row>
    <row r="22618">
      <c r="C22618" s="15"/>
      <c r="E22618" s="8"/>
      <c r="G22618" s="8"/>
      <c r="J22618" s="8"/>
    </row>
    <row r="22619">
      <c r="C22619" s="15"/>
      <c r="E22619" s="8"/>
      <c r="G22619" s="8"/>
      <c r="J22619" s="8"/>
    </row>
    <row r="22620">
      <c r="C22620" s="15"/>
      <c r="E22620" s="8"/>
      <c r="G22620" s="8"/>
      <c r="J22620" s="8"/>
    </row>
    <row r="22621">
      <c r="C22621" s="15"/>
      <c r="E22621" s="8"/>
      <c r="G22621" s="8"/>
      <c r="J22621" s="8"/>
    </row>
    <row r="22622">
      <c r="C22622" s="15"/>
      <c r="E22622" s="8"/>
      <c r="G22622" s="8"/>
      <c r="J22622" s="8"/>
    </row>
    <row r="22623">
      <c r="C22623" s="15"/>
      <c r="E22623" s="8"/>
      <c r="G22623" s="8"/>
      <c r="J22623" s="8"/>
    </row>
    <row r="22624">
      <c r="C22624" s="15"/>
      <c r="E22624" s="8"/>
      <c r="G22624" s="8"/>
      <c r="J22624" s="8"/>
    </row>
    <row r="22625">
      <c r="C22625" s="15"/>
      <c r="E22625" s="8"/>
      <c r="G22625" s="8"/>
      <c r="J22625" s="8"/>
    </row>
    <row r="22626">
      <c r="C22626" s="15"/>
      <c r="E22626" s="8"/>
      <c r="G22626" s="8"/>
      <c r="J22626" s="8"/>
    </row>
    <row r="22627">
      <c r="C22627" s="15"/>
      <c r="E22627" s="8"/>
      <c r="G22627" s="8"/>
      <c r="J22627" s="8"/>
    </row>
    <row r="22628">
      <c r="C22628" s="15"/>
      <c r="E22628" s="8"/>
      <c r="G22628" s="8"/>
      <c r="J22628" s="8"/>
    </row>
    <row r="22629">
      <c r="C22629" s="15"/>
      <c r="E22629" s="8"/>
      <c r="G22629" s="8"/>
      <c r="J22629" s="8"/>
    </row>
    <row r="22630">
      <c r="C22630" s="15"/>
      <c r="E22630" s="8"/>
      <c r="G22630" s="8"/>
      <c r="J22630" s="8"/>
    </row>
    <row r="22631">
      <c r="C22631" s="15"/>
      <c r="E22631" s="8"/>
      <c r="G22631" s="8"/>
      <c r="J22631" s="8"/>
    </row>
    <row r="22632">
      <c r="C22632" s="15"/>
      <c r="E22632" s="8"/>
      <c r="G22632" s="8"/>
      <c r="J22632" s="8"/>
    </row>
    <row r="22633">
      <c r="C22633" s="15"/>
      <c r="E22633" s="8"/>
      <c r="G22633" s="8"/>
      <c r="J22633" s="8"/>
    </row>
    <row r="22634">
      <c r="C22634" s="15"/>
      <c r="E22634" s="8"/>
      <c r="G22634" s="8"/>
      <c r="J22634" s="8"/>
    </row>
    <row r="22635">
      <c r="C22635" s="15"/>
      <c r="E22635" s="8"/>
      <c r="G22635" s="8"/>
      <c r="J22635" s="8"/>
    </row>
    <row r="22636">
      <c r="C22636" s="15"/>
      <c r="E22636" s="8"/>
      <c r="G22636" s="8"/>
      <c r="J22636" s="8"/>
    </row>
    <row r="22637">
      <c r="C22637" s="15"/>
      <c r="E22637" s="8"/>
      <c r="G22637" s="8"/>
      <c r="J22637" s="8"/>
    </row>
    <row r="22638">
      <c r="C22638" s="15"/>
      <c r="E22638" s="8"/>
      <c r="G22638" s="8"/>
      <c r="J22638" s="8"/>
    </row>
    <row r="22639">
      <c r="C22639" s="15"/>
      <c r="E22639" s="8"/>
      <c r="G22639" s="8"/>
      <c r="J22639" s="8"/>
    </row>
    <row r="22640">
      <c r="C22640" s="15"/>
      <c r="E22640" s="8"/>
      <c r="G22640" s="8"/>
      <c r="J22640" s="8"/>
    </row>
    <row r="22641">
      <c r="C22641" s="15"/>
      <c r="E22641" s="8"/>
      <c r="G22641" s="8"/>
      <c r="J22641" s="8"/>
    </row>
    <row r="22642">
      <c r="C22642" s="15"/>
      <c r="E22642" s="8"/>
      <c r="G22642" s="8"/>
      <c r="J22642" s="8"/>
    </row>
    <row r="22643">
      <c r="C22643" s="15"/>
      <c r="E22643" s="8"/>
      <c r="G22643" s="8"/>
      <c r="J22643" s="8"/>
    </row>
    <row r="22644">
      <c r="C22644" s="15"/>
      <c r="E22644" s="8"/>
      <c r="G22644" s="8"/>
      <c r="J22644" s="8"/>
    </row>
    <row r="22645">
      <c r="C22645" s="15"/>
      <c r="E22645" s="8"/>
      <c r="G22645" s="8"/>
      <c r="J22645" s="8"/>
    </row>
    <row r="22646">
      <c r="C22646" s="15"/>
      <c r="E22646" s="8"/>
      <c r="G22646" s="8"/>
      <c r="J22646" s="8"/>
    </row>
    <row r="22647">
      <c r="C22647" s="15"/>
      <c r="E22647" s="8"/>
      <c r="G22647" s="8"/>
      <c r="J22647" s="8"/>
    </row>
    <row r="22648">
      <c r="C22648" s="15"/>
      <c r="E22648" s="8"/>
      <c r="G22648" s="8"/>
      <c r="J22648" s="8"/>
    </row>
    <row r="22649">
      <c r="C22649" s="15"/>
      <c r="E22649" s="8"/>
      <c r="G22649" s="8"/>
      <c r="J22649" s="8"/>
    </row>
    <row r="22650">
      <c r="C22650" s="15"/>
      <c r="E22650" s="8"/>
      <c r="G22650" s="8"/>
      <c r="J22650" s="8"/>
    </row>
    <row r="22651">
      <c r="C22651" s="15"/>
      <c r="E22651" s="8"/>
      <c r="G22651" s="8"/>
      <c r="J22651" s="8"/>
    </row>
    <row r="22652">
      <c r="C22652" s="15"/>
      <c r="E22652" s="8"/>
      <c r="G22652" s="8"/>
      <c r="J22652" s="8"/>
    </row>
    <row r="22653">
      <c r="C22653" s="15"/>
      <c r="E22653" s="8"/>
      <c r="G22653" s="8"/>
      <c r="J22653" s="8"/>
    </row>
    <row r="22654">
      <c r="C22654" s="15"/>
      <c r="E22654" s="8"/>
      <c r="G22654" s="8"/>
      <c r="J22654" s="8"/>
    </row>
    <row r="22655">
      <c r="C22655" s="15"/>
      <c r="E22655" s="8"/>
      <c r="G22655" s="8"/>
      <c r="J22655" s="8"/>
    </row>
    <row r="22656">
      <c r="C22656" s="15"/>
      <c r="E22656" s="8"/>
      <c r="G22656" s="8"/>
      <c r="J22656" s="8"/>
    </row>
    <row r="22657">
      <c r="C22657" s="15"/>
      <c r="E22657" s="8"/>
      <c r="G22657" s="8"/>
      <c r="J22657" s="8"/>
    </row>
    <row r="22658">
      <c r="C22658" s="15"/>
      <c r="E22658" s="8"/>
      <c r="G22658" s="8"/>
      <c r="J22658" s="8"/>
    </row>
    <row r="22659">
      <c r="C22659" s="15"/>
      <c r="E22659" s="8"/>
      <c r="G22659" s="8"/>
      <c r="J22659" s="8"/>
    </row>
    <row r="22660">
      <c r="C22660" s="15"/>
      <c r="E22660" s="8"/>
      <c r="G22660" s="8"/>
      <c r="J22660" s="8"/>
    </row>
    <row r="22661">
      <c r="C22661" s="15"/>
      <c r="E22661" s="8"/>
      <c r="G22661" s="8"/>
      <c r="J22661" s="8"/>
    </row>
    <row r="22662">
      <c r="C22662" s="15"/>
      <c r="E22662" s="8"/>
      <c r="G22662" s="8"/>
      <c r="J22662" s="8"/>
    </row>
    <row r="22663">
      <c r="C22663" s="15"/>
      <c r="E22663" s="8"/>
      <c r="G22663" s="8"/>
      <c r="J22663" s="8"/>
    </row>
    <row r="22664">
      <c r="C22664" s="15"/>
      <c r="E22664" s="8"/>
      <c r="G22664" s="8"/>
      <c r="J22664" s="8"/>
    </row>
    <row r="22665">
      <c r="C22665" s="15"/>
      <c r="E22665" s="8"/>
      <c r="G22665" s="8"/>
      <c r="J22665" s="8"/>
    </row>
    <row r="22666">
      <c r="C22666" s="15"/>
      <c r="E22666" s="8"/>
      <c r="G22666" s="8"/>
      <c r="J22666" s="8"/>
    </row>
    <row r="22667">
      <c r="C22667" s="15"/>
      <c r="E22667" s="8"/>
      <c r="G22667" s="8"/>
      <c r="J22667" s="8"/>
    </row>
    <row r="22668">
      <c r="C22668" s="15"/>
      <c r="E22668" s="8"/>
      <c r="G22668" s="8"/>
      <c r="J22668" s="8"/>
    </row>
    <row r="22669">
      <c r="C22669" s="15"/>
      <c r="E22669" s="8"/>
      <c r="G22669" s="8"/>
      <c r="J22669" s="8"/>
    </row>
    <row r="22670">
      <c r="C22670" s="15"/>
      <c r="E22670" s="8"/>
      <c r="G22670" s="8"/>
      <c r="J22670" s="8"/>
    </row>
    <row r="22671">
      <c r="C22671" s="15"/>
      <c r="E22671" s="8"/>
      <c r="G22671" s="8"/>
      <c r="J22671" s="8"/>
    </row>
    <row r="22672">
      <c r="C22672" s="15"/>
      <c r="E22672" s="8"/>
      <c r="G22672" s="8"/>
      <c r="J22672" s="8"/>
    </row>
    <row r="22673">
      <c r="C22673" s="15"/>
      <c r="E22673" s="8"/>
      <c r="G22673" s="8"/>
      <c r="J22673" s="8"/>
    </row>
    <row r="22674">
      <c r="C22674" s="15"/>
      <c r="E22674" s="8"/>
      <c r="G22674" s="8"/>
      <c r="J22674" s="8"/>
    </row>
    <row r="22675">
      <c r="C22675" s="15"/>
      <c r="E22675" s="8"/>
      <c r="G22675" s="8"/>
      <c r="J22675" s="8"/>
    </row>
    <row r="22676">
      <c r="C22676" s="15"/>
      <c r="E22676" s="8"/>
      <c r="G22676" s="8"/>
      <c r="J22676" s="8"/>
    </row>
    <row r="22677">
      <c r="C22677" s="15"/>
      <c r="E22677" s="8"/>
      <c r="G22677" s="8"/>
      <c r="J22677" s="8"/>
    </row>
    <row r="22678">
      <c r="C22678" s="15"/>
      <c r="E22678" s="8"/>
      <c r="G22678" s="8"/>
      <c r="J22678" s="8"/>
    </row>
    <row r="22679">
      <c r="C22679" s="15"/>
      <c r="E22679" s="8"/>
      <c r="G22679" s="8"/>
      <c r="J22679" s="8"/>
    </row>
    <row r="22680">
      <c r="C22680" s="15"/>
      <c r="E22680" s="8"/>
      <c r="G22680" s="8"/>
      <c r="J22680" s="8"/>
    </row>
    <row r="22681">
      <c r="C22681" s="15"/>
      <c r="E22681" s="8"/>
      <c r="G22681" s="8"/>
      <c r="J22681" s="8"/>
    </row>
    <row r="22682">
      <c r="C22682" s="15"/>
      <c r="E22682" s="8"/>
      <c r="G22682" s="8"/>
      <c r="J22682" s="8"/>
    </row>
    <row r="22683">
      <c r="C22683" s="15"/>
      <c r="E22683" s="8"/>
      <c r="G22683" s="8"/>
      <c r="J22683" s="8"/>
    </row>
    <row r="22684">
      <c r="C22684" s="15"/>
      <c r="E22684" s="8"/>
      <c r="G22684" s="8"/>
      <c r="J22684" s="8"/>
    </row>
    <row r="22685">
      <c r="C22685" s="15"/>
      <c r="E22685" s="8"/>
      <c r="G22685" s="8"/>
      <c r="J22685" s="8"/>
    </row>
    <row r="22686">
      <c r="C22686" s="15"/>
      <c r="E22686" s="8"/>
      <c r="G22686" s="8"/>
      <c r="J22686" s="8"/>
    </row>
    <row r="22687">
      <c r="C22687" s="15"/>
      <c r="E22687" s="8"/>
      <c r="G22687" s="8"/>
      <c r="J22687" s="8"/>
    </row>
    <row r="22688">
      <c r="C22688" s="15"/>
      <c r="E22688" s="8"/>
      <c r="G22688" s="8"/>
      <c r="J22688" s="8"/>
    </row>
    <row r="22689">
      <c r="C22689" s="15"/>
      <c r="E22689" s="8"/>
      <c r="G22689" s="8"/>
      <c r="J22689" s="8"/>
    </row>
    <row r="22690">
      <c r="C22690" s="15"/>
      <c r="E22690" s="8"/>
      <c r="G22690" s="8"/>
      <c r="J22690" s="8"/>
    </row>
    <row r="22691">
      <c r="C22691" s="15"/>
      <c r="E22691" s="8"/>
      <c r="G22691" s="8"/>
      <c r="J22691" s="8"/>
    </row>
    <row r="22692">
      <c r="C22692" s="15"/>
      <c r="E22692" s="8"/>
      <c r="G22692" s="8"/>
      <c r="J22692" s="8"/>
    </row>
    <row r="22693">
      <c r="C22693" s="15"/>
      <c r="E22693" s="8"/>
      <c r="G22693" s="8"/>
      <c r="J22693" s="8"/>
    </row>
    <row r="22694">
      <c r="C22694" s="15"/>
      <c r="E22694" s="8"/>
      <c r="G22694" s="8"/>
      <c r="J22694" s="8"/>
    </row>
    <row r="22695">
      <c r="C22695" s="15"/>
      <c r="E22695" s="8"/>
      <c r="G22695" s="8"/>
      <c r="J22695" s="8"/>
    </row>
    <row r="22696">
      <c r="C22696" s="15"/>
      <c r="E22696" s="8"/>
      <c r="G22696" s="8"/>
      <c r="J22696" s="8"/>
    </row>
    <row r="22697">
      <c r="C22697" s="15"/>
      <c r="E22697" s="8"/>
      <c r="G22697" s="8"/>
      <c r="J22697" s="8"/>
    </row>
    <row r="22698">
      <c r="C22698" s="15"/>
      <c r="E22698" s="8"/>
      <c r="G22698" s="8"/>
      <c r="J22698" s="8"/>
    </row>
    <row r="22699">
      <c r="C22699" s="15"/>
      <c r="E22699" s="8"/>
      <c r="G22699" s="8"/>
      <c r="J22699" s="8"/>
    </row>
    <row r="22700">
      <c r="C22700" s="15"/>
      <c r="E22700" s="8"/>
      <c r="G22700" s="8"/>
      <c r="J22700" s="8"/>
    </row>
    <row r="22701">
      <c r="C22701" s="15"/>
      <c r="E22701" s="8"/>
      <c r="G22701" s="8"/>
      <c r="J22701" s="8"/>
    </row>
    <row r="22702">
      <c r="C22702" s="15"/>
      <c r="E22702" s="8"/>
      <c r="G22702" s="8"/>
      <c r="J22702" s="8"/>
    </row>
    <row r="22703">
      <c r="C22703" s="15"/>
      <c r="E22703" s="8"/>
      <c r="G22703" s="8"/>
      <c r="J22703" s="8"/>
    </row>
    <row r="22704">
      <c r="C22704" s="15"/>
      <c r="E22704" s="8"/>
      <c r="G22704" s="8"/>
      <c r="J22704" s="8"/>
    </row>
    <row r="22705">
      <c r="C22705" s="15"/>
      <c r="E22705" s="8"/>
      <c r="G22705" s="8"/>
      <c r="J22705" s="8"/>
    </row>
    <row r="22706">
      <c r="C22706" s="15"/>
      <c r="E22706" s="8"/>
      <c r="G22706" s="8"/>
      <c r="J22706" s="8"/>
    </row>
    <row r="22707">
      <c r="C22707" s="15"/>
      <c r="E22707" s="8"/>
      <c r="G22707" s="8"/>
      <c r="J22707" s="8"/>
    </row>
    <row r="22708">
      <c r="C22708" s="15"/>
      <c r="E22708" s="8"/>
      <c r="G22708" s="8"/>
      <c r="J22708" s="8"/>
    </row>
    <row r="22709">
      <c r="C22709" s="15"/>
      <c r="E22709" s="8"/>
      <c r="G22709" s="8"/>
      <c r="J22709" s="8"/>
    </row>
    <row r="22710">
      <c r="C22710" s="15"/>
      <c r="E22710" s="8"/>
      <c r="G22710" s="8"/>
      <c r="J22710" s="8"/>
    </row>
    <row r="22711">
      <c r="C22711" s="15"/>
      <c r="E22711" s="8"/>
      <c r="G22711" s="8"/>
      <c r="J22711" s="8"/>
    </row>
    <row r="22712">
      <c r="C22712" s="15"/>
      <c r="E22712" s="8"/>
      <c r="G22712" s="8"/>
      <c r="J22712" s="8"/>
    </row>
    <row r="22713">
      <c r="C22713" s="15"/>
      <c r="E22713" s="8"/>
      <c r="G22713" s="8"/>
      <c r="J22713" s="8"/>
    </row>
    <row r="22714">
      <c r="C22714" s="15"/>
      <c r="E22714" s="8"/>
      <c r="G22714" s="8"/>
      <c r="J22714" s="8"/>
    </row>
    <row r="22715">
      <c r="C22715" s="15"/>
      <c r="E22715" s="8"/>
      <c r="G22715" s="8"/>
      <c r="J22715" s="8"/>
    </row>
    <row r="22716">
      <c r="C22716" s="15"/>
      <c r="E22716" s="8"/>
      <c r="G22716" s="8"/>
      <c r="J22716" s="8"/>
    </row>
    <row r="22717">
      <c r="C22717" s="15"/>
      <c r="E22717" s="8"/>
      <c r="G22717" s="8"/>
      <c r="J22717" s="8"/>
    </row>
    <row r="22718">
      <c r="C22718" s="15"/>
      <c r="E22718" s="8"/>
      <c r="G22718" s="8"/>
      <c r="J22718" s="8"/>
    </row>
    <row r="22719">
      <c r="C22719" s="15"/>
      <c r="E22719" s="8"/>
      <c r="G22719" s="8"/>
      <c r="J22719" s="8"/>
    </row>
    <row r="22720">
      <c r="C22720" s="15"/>
      <c r="E22720" s="8"/>
      <c r="G22720" s="8"/>
      <c r="J22720" s="8"/>
    </row>
    <row r="22721">
      <c r="C22721" s="15"/>
      <c r="E22721" s="8"/>
      <c r="G22721" s="8"/>
      <c r="J22721" s="8"/>
    </row>
    <row r="22722">
      <c r="C22722" s="15"/>
      <c r="E22722" s="8"/>
      <c r="G22722" s="8"/>
      <c r="J22722" s="8"/>
    </row>
    <row r="22723">
      <c r="C22723" s="15"/>
      <c r="E22723" s="8"/>
      <c r="G22723" s="8"/>
      <c r="J22723" s="8"/>
    </row>
    <row r="22724">
      <c r="C22724" s="15"/>
      <c r="E22724" s="8"/>
      <c r="G22724" s="8"/>
      <c r="J22724" s="8"/>
    </row>
    <row r="22725">
      <c r="C22725" s="15"/>
      <c r="E22725" s="8"/>
      <c r="G22725" s="8"/>
      <c r="J22725" s="8"/>
    </row>
    <row r="22726">
      <c r="C22726" s="15"/>
      <c r="E22726" s="8"/>
      <c r="G22726" s="8"/>
      <c r="J22726" s="8"/>
    </row>
    <row r="22727">
      <c r="C22727" s="15"/>
      <c r="E22727" s="8"/>
      <c r="G22727" s="8"/>
      <c r="J22727" s="8"/>
    </row>
    <row r="22728">
      <c r="C22728" s="15"/>
      <c r="E22728" s="8"/>
      <c r="G22728" s="8"/>
      <c r="J22728" s="8"/>
    </row>
    <row r="22729">
      <c r="C22729" s="15"/>
      <c r="E22729" s="8"/>
      <c r="G22729" s="8"/>
      <c r="J22729" s="8"/>
    </row>
    <row r="22730">
      <c r="C22730" s="15"/>
      <c r="E22730" s="8"/>
      <c r="G22730" s="8"/>
      <c r="J22730" s="8"/>
    </row>
    <row r="22731">
      <c r="C22731" s="15"/>
      <c r="E22731" s="8"/>
      <c r="G22731" s="8"/>
      <c r="J22731" s="8"/>
    </row>
    <row r="22732">
      <c r="C22732" s="15"/>
      <c r="E22732" s="8"/>
      <c r="G22732" s="8"/>
      <c r="J22732" s="8"/>
    </row>
    <row r="22733">
      <c r="C22733" s="15"/>
      <c r="E22733" s="8"/>
      <c r="G22733" s="8"/>
      <c r="J22733" s="8"/>
    </row>
    <row r="22734">
      <c r="C22734" s="15"/>
      <c r="E22734" s="8"/>
      <c r="G22734" s="8"/>
      <c r="J22734" s="8"/>
    </row>
    <row r="22735">
      <c r="C22735" s="15"/>
      <c r="E22735" s="8"/>
      <c r="G22735" s="8"/>
      <c r="J22735" s="8"/>
    </row>
    <row r="22736">
      <c r="C22736" s="15"/>
      <c r="E22736" s="8"/>
      <c r="G22736" s="8"/>
      <c r="J22736" s="8"/>
    </row>
    <row r="22737">
      <c r="C22737" s="15"/>
      <c r="E22737" s="8"/>
      <c r="G22737" s="8"/>
      <c r="J22737" s="8"/>
    </row>
    <row r="22738">
      <c r="C22738" s="15"/>
      <c r="E22738" s="8"/>
      <c r="G22738" s="8"/>
      <c r="J22738" s="8"/>
    </row>
    <row r="22739">
      <c r="C22739" s="15"/>
      <c r="E22739" s="8"/>
      <c r="G22739" s="8"/>
      <c r="J22739" s="8"/>
    </row>
    <row r="22740">
      <c r="C22740" s="15"/>
      <c r="E22740" s="8"/>
      <c r="G22740" s="8"/>
      <c r="J22740" s="8"/>
    </row>
    <row r="22741">
      <c r="C22741" s="15"/>
      <c r="E22741" s="8"/>
      <c r="G22741" s="8"/>
      <c r="J22741" s="8"/>
    </row>
    <row r="22742">
      <c r="C22742" s="15"/>
      <c r="E22742" s="8"/>
      <c r="G22742" s="8"/>
      <c r="J22742" s="8"/>
    </row>
    <row r="22743">
      <c r="C22743" s="15"/>
      <c r="E22743" s="8"/>
      <c r="G22743" s="8"/>
      <c r="J22743" s="8"/>
    </row>
    <row r="22744">
      <c r="C22744" s="15"/>
      <c r="E22744" s="8"/>
      <c r="G22744" s="8"/>
      <c r="J22744" s="8"/>
    </row>
    <row r="22745">
      <c r="C22745" s="15"/>
      <c r="E22745" s="8"/>
      <c r="G22745" s="8"/>
      <c r="J22745" s="8"/>
    </row>
    <row r="22746">
      <c r="C22746" s="15"/>
      <c r="E22746" s="8"/>
      <c r="G22746" s="8"/>
      <c r="J22746" s="8"/>
    </row>
    <row r="22747">
      <c r="C22747" s="15"/>
      <c r="E22747" s="8"/>
      <c r="G22747" s="8"/>
      <c r="J22747" s="8"/>
    </row>
    <row r="22748">
      <c r="C22748" s="15"/>
      <c r="E22748" s="8"/>
      <c r="G22748" s="8"/>
      <c r="J22748" s="8"/>
    </row>
    <row r="22749">
      <c r="C22749" s="15"/>
      <c r="E22749" s="8"/>
      <c r="G22749" s="8"/>
      <c r="J22749" s="8"/>
    </row>
    <row r="22750">
      <c r="C22750" s="15"/>
      <c r="E22750" s="8"/>
      <c r="G22750" s="8"/>
      <c r="J22750" s="8"/>
    </row>
    <row r="22751">
      <c r="C22751" s="15"/>
      <c r="E22751" s="8"/>
      <c r="G22751" s="8"/>
      <c r="J22751" s="8"/>
    </row>
    <row r="22752">
      <c r="C22752" s="15"/>
      <c r="E22752" s="8"/>
      <c r="G22752" s="8"/>
      <c r="J22752" s="8"/>
    </row>
    <row r="22753">
      <c r="C22753" s="15"/>
      <c r="E22753" s="8"/>
      <c r="G22753" s="8"/>
      <c r="J22753" s="8"/>
    </row>
    <row r="22754">
      <c r="C22754" s="15"/>
      <c r="E22754" s="8"/>
      <c r="G22754" s="8"/>
      <c r="J22754" s="8"/>
    </row>
    <row r="22755">
      <c r="C22755" s="15"/>
      <c r="E22755" s="8"/>
      <c r="G22755" s="8"/>
      <c r="J22755" s="8"/>
    </row>
    <row r="22756">
      <c r="C22756" s="15"/>
      <c r="E22756" s="8"/>
      <c r="G22756" s="8"/>
      <c r="J22756" s="8"/>
    </row>
    <row r="22757">
      <c r="C22757" s="15"/>
      <c r="E22757" s="8"/>
      <c r="G22757" s="8"/>
      <c r="J22757" s="8"/>
    </row>
    <row r="22758">
      <c r="C22758" s="15"/>
      <c r="E22758" s="8"/>
      <c r="G22758" s="8"/>
      <c r="J22758" s="8"/>
    </row>
    <row r="22759">
      <c r="C22759" s="15"/>
      <c r="E22759" s="8"/>
      <c r="G22759" s="8"/>
      <c r="J22759" s="8"/>
    </row>
    <row r="22760">
      <c r="C22760" s="15"/>
      <c r="E22760" s="8"/>
      <c r="G22760" s="8"/>
      <c r="J22760" s="8"/>
    </row>
    <row r="22761">
      <c r="C22761" s="15"/>
      <c r="E22761" s="8"/>
      <c r="G22761" s="8"/>
      <c r="J22761" s="8"/>
    </row>
    <row r="22762">
      <c r="C22762" s="15"/>
      <c r="E22762" s="8"/>
      <c r="G22762" s="8"/>
      <c r="J22762" s="8"/>
    </row>
    <row r="22763">
      <c r="C22763" s="15"/>
      <c r="E22763" s="8"/>
      <c r="G22763" s="8"/>
      <c r="J22763" s="8"/>
    </row>
    <row r="22764">
      <c r="C22764" s="15"/>
      <c r="E22764" s="8"/>
      <c r="G22764" s="8"/>
      <c r="J22764" s="8"/>
    </row>
    <row r="22765">
      <c r="C22765" s="15"/>
      <c r="E22765" s="8"/>
      <c r="G22765" s="8"/>
      <c r="J22765" s="8"/>
    </row>
    <row r="22766">
      <c r="C22766" s="15"/>
      <c r="E22766" s="8"/>
      <c r="G22766" s="8"/>
      <c r="J22766" s="8"/>
    </row>
    <row r="22767">
      <c r="C22767" s="15"/>
      <c r="E22767" s="8"/>
      <c r="G22767" s="8"/>
      <c r="J22767" s="8"/>
    </row>
    <row r="22768">
      <c r="C22768" s="15"/>
      <c r="E22768" s="8"/>
      <c r="G22768" s="8"/>
      <c r="J22768" s="8"/>
    </row>
    <row r="22769">
      <c r="C22769" s="15"/>
      <c r="E22769" s="8"/>
      <c r="G22769" s="8"/>
      <c r="J22769" s="8"/>
    </row>
    <row r="22770">
      <c r="C22770" s="15"/>
      <c r="E22770" s="8"/>
      <c r="G22770" s="8"/>
      <c r="J22770" s="8"/>
    </row>
    <row r="22771">
      <c r="C22771" s="15"/>
      <c r="E22771" s="8"/>
      <c r="G22771" s="8"/>
      <c r="J22771" s="8"/>
    </row>
    <row r="22772">
      <c r="C22772" s="15"/>
      <c r="E22772" s="8"/>
      <c r="G22772" s="8"/>
      <c r="J22772" s="8"/>
    </row>
    <row r="22773">
      <c r="C22773" s="15"/>
      <c r="E22773" s="8"/>
      <c r="G22773" s="8"/>
      <c r="J22773" s="8"/>
    </row>
    <row r="22774">
      <c r="C22774" s="15"/>
      <c r="E22774" s="8"/>
      <c r="G22774" s="8"/>
      <c r="J22774" s="8"/>
    </row>
    <row r="22775">
      <c r="C22775" s="15"/>
      <c r="E22775" s="8"/>
      <c r="G22775" s="8"/>
      <c r="J22775" s="8"/>
    </row>
    <row r="22776">
      <c r="C22776" s="15"/>
      <c r="E22776" s="8"/>
      <c r="G22776" s="8"/>
      <c r="J22776" s="8"/>
    </row>
    <row r="22777">
      <c r="C22777" s="15"/>
      <c r="E22777" s="8"/>
      <c r="G22777" s="8"/>
      <c r="J22777" s="8"/>
    </row>
    <row r="22778">
      <c r="C22778" s="15"/>
      <c r="E22778" s="8"/>
      <c r="G22778" s="8"/>
      <c r="J22778" s="8"/>
    </row>
    <row r="22779">
      <c r="C22779" s="15"/>
      <c r="E22779" s="8"/>
      <c r="G22779" s="8"/>
      <c r="J22779" s="8"/>
    </row>
    <row r="22780">
      <c r="C22780" s="15"/>
      <c r="E22780" s="8"/>
      <c r="G22780" s="8"/>
      <c r="J22780" s="8"/>
    </row>
    <row r="22781">
      <c r="C22781" s="15"/>
      <c r="E22781" s="8"/>
      <c r="G22781" s="8"/>
      <c r="J22781" s="8"/>
    </row>
    <row r="22782">
      <c r="C22782" s="15"/>
      <c r="E22782" s="8"/>
      <c r="G22782" s="8"/>
      <c r="J22782" s="8"/>
    </row>
    <row r="22783">
      <c r="C22783" s="15"/>
      <c r="E22783" s="8"/>
      <c r="G22783" s="8"/>
      <c r="J22783" s="8"/>
    </row>
    <row r="22784">
      <c r="C22784" s="15"/>
      <c r="E22784" s="8"/>
      <c r="G22784" s="8"/>
      <c r="J22784" s="8"/>
    </row>
    <row r="22785">
      <c r="C22785" s="15"/>
      <c r="E22785" s="8"/>
      <c r="G22785" s="8"/>
      <c r="J22785" s="8"/>
    </row>
    <row r="22786">
      <c r="C22786" s="15"/>
      <c r="E22786" s="8"/>
      <c r="G22786" s="8"/>
      <c r="J22786" s="8"/>
    </row>
    <row r="22787">
      <c r="C22787" s="15"/>
      <c r="E22787" s="8"/>
      <c r="G22787" s="8"/>
      <c r="J22787" s="8"/>
    </row>
    <row r="22788">
      <c r="C22788" s="15"/>
      <c r="E22788" s="8"/>
      <c r="G22788" s="8"/>
      <c r="J22788" s="8"/>
    </row>
    <row r="22789">
      <c r="C22789" s="15"/>
      <c r="E22789" s="8"/>
      <c r="G22789" s="8"/>
      <c r="J22789" s="8"/>
    </row>
    <row r="22790">
      <c r="C22790" s="15"/>
      <c r="E22790" s="8"/>
      <c r="G22790" s="8"/>
      <c r="J22790" s="8"/>
    </row>
    <row r="22791">
      <c r="C22791" s="15"/>
      <c r="E22791" s="8"/>
      <c r="G22791" s="8"/>
      <c r="J22791" s="8"/>
    </row>
    <row r="22792">
      <c r="C22792" s="15"/>
      <c r="E22792" s="8"/>
      <c r="G22792" s="8"/>
      <c r="J22792" s="8"/>
    </row>
    <row r="22793">
      <c r="C22793" s="15"/>
      <c r="E22793" s="8"/>
      <c r="G22793" s="8"/>
      <c r="J22793" s="8"/>
    </row>
    <row r="22794">
      <c r="C22794" s="15"/>
      <c r="E22794" s="8"/>
      <c r="G22794" s="8"/>
      <c r="J22794" s="8"/>
    </row>
    <row r="22795">
      <c r="C22795" s="15"/>
      <c r="E22795" s="8"/>
      <c r="G22795" s="8"/>
      <c r="J22795" s="8"/>
    </row>
    <row r="22796">
      <c r="C22796" s="15"/>
      <c r="E22796" s="8"/>
      <c r="G22796" s="8"/>
      <c r="J22796" s="8"/>
    </row>
    <row r="22797">
      <c r="C22797" s="15"/>
      <c r="E22797" s="8"/>
      <c r="G22797" s="8"/>
      <c r="J22797" s="8"/>
    </row>
    <row r="22798">
      <c r="C22798" s="15"/>
      <c r="E22798" s="8"/>
      <c r="G22798" s="8"/>
      <c r="J22798" s="8"/>
    </row>
    <row r="22799">
      <c r="C22799" s="15"/>
      <c r="E22799" s="8"/>
      <c r="G22799" s="8"/>
      <c r="J22799" s="8"/>
    </row>
    <row r="22800">
      <c r="C22800" s="15"/>
      <c r="E22800" s="8"/>
      <c r="G22800" s="8"/>
      <c r="J22800" s="8"/>
    </row>
    <row r="22801">
      <c r="C22801" s="15"/>
      <c r="E22801" s="8"/>
      <c r="G22801" s="8"/>
      <c r="J22801" s="8"/>
    </row>
    <row r="22802">
      <c r="C22802" s="15"/>
      <c r="E22802" s="8"/>
      <c r="G22802" s="8"/>
      <c r="J22802" s="8"/>
    </row>
    <row r="22803">
      <c r="C22803" s="15"/>
      <c r="E22803" s="8"/>
      <c r="G22803" s="8"/>
      <c r="J22803" s="8"/>
    </row>
    <row r="22804">
      <c r="C22804" s="15"/>
      <c r="E22804" s="8"/>
      <c r="G22804" s="8"/>
      <c r="J22804" s="8"/>
    </row>
    <row r="22805">
      <c r="C22805" s="15"/>
      <c r="E22805" s="8"/>
      <c r="G22805" s="8"/>
      <c r="J22805" s="8"/>
    </row>
    <row r="22806">
      <c r="C22806" s="15"/>
      <c r="E22806" s="8"/>
      <c r="G22806" s="8"/>
      <c r="J22806" s="8"/>
    </row>
    <row r="22807">
      <c r="C22807" s="15"/>
      <c r="E22807" s="8"/>
      <c r="G22807" s="8"/>
      <c r="J22807" s="8"/>
    </row>
    <row r="22808">
      <c r="C22808" s="15"/>
      <c r="E22808" s="8"/>
      <c r="G22808" s="8"/>
      <c r="J22808" s="8"/>
    </row>
    <row r="22809">
      <c r="C22809" s="15"/>
      <c r="E22809" s="8"/>
      <c r="G22809" s="8"/>
      <c r="J22809" s="8"/>
    </row>
    <row r="22810">
      <c r="C22810" s="15"/>
      <c r="E22810" s="8"/>
      <c r="G22810" s="8"/>
      <c r="J22810" s="8"/>
    </row>
    <row r="22811">
      <c r="C22811" s="15"/>
      <c r="E22811" s="8"/>
      <c r="G22811" s="8"/>
      <c r="J22811" s="8"/>
    </row>
    <row r="22812">
      <c r="C22812" s="15"/>
      <c r="E22812" s="8"/>
      <c r="G22812" s="8"/>
      <c r="J22812" s="8"/>
    </row>
    <row r="22813">
      <c r="C22813" s="15"/>
      <c r="E22813" s="8"/>
      <c r="G22813" s="8"/>
      <c r="J22813" s="8"/>
    </row>
    <row r="22814">
      <c r="C22814" s="15"/>
      <c r="E22814" s="8"/>
      <c r="G22814" s="8"/>
      <c r="J22814" s="8"/>
    </row>
    <row r="22815">
      <c r="C22815" s="15"/>
      <c r="E22815" s="8"/>
      <c r="G22815" s="8"/>
      <c r="J22815" s="8"/>
    </row>
    <row r="22816">
      <c r="C22816" s="15"/>
      <c r="E22816" s="8"/>
      <c r="G22816" s="8"/>
      <c r="J22816" s="8"/>
    </row>
    <row r="22817">
      <c r="C22817" s="15"/>
      <c r="E22817" s="8"/>
      <c r="G22817" s="8"/>
      <c r="J22817" s="8"/>
    </row>
    <row r="22818">
      <c r="C22818" s="15"/>
      <c r="E22818" s="8"/>
      <c r="G22818" s="8"/>
      <c r="J22818" s="8"/>
    </row>
    <row r="22819">
      <c r="C22819" s="15"/>
      <c r="E22819" s="8"/>
      <c r="G22819" s="8"/>
      <c r="J22819" s="8"/>
    </row>
    <row r="22820">
      <c r="C22820" s="15"/>
      <c r="E22820" s="8"/>
      <c r="G22820" s="8"/>
      <c r="J22820" s="8"/>
    </row>
    <row r="22821">
      <c r="C22821" s="15"/>
      <c r="E22821" s="8"/>
      <c r="G22821" s="8"/>
      <c r="J22821" s="8"/>
    </row>
    <row r="22822">
      <c r="C22822" s="15"/>
      <c r="E22822" s="8"/>
      <c r="G22822" s="8"/>
      <c r="J22822" s="8"/>
    </row>
    <row r="22823">
      <c r="C22823" s="15"/>
      <c r="E22823" s="8"/>
      <c r="G22823" s="8"/>
      <c r="J22823" s="8"/>
    </row>
    <row r="22824">
      <c r="C22824" s="15"/>
      <c r="E22824" s="8"/>
      <c r="G22824" s="8"/>
      <c r="J22824" s="8"/>
    </row>
    <row r="22825">
      <c r="C22825" s="15"/>
      <c r="E22825" s="8"/>
      <c r="G22825" s="8"/>
      <c r="J22825" s="8"/>
    </row>
    <row r="22826">
      <c r="C22826" s="15"/>
      <c r="E22826" s="8"/>
      <c r="G22826" s="8"/>
      <c r="J22826" s="8"/>
    </row>
    <row r="22827">
      <c r="C22827" s="15"/>
      <c r="E22827" s="8"/>
      <c r="G22827" s="8"/>
      <c r="J22827" s="8"/>
    </row>
    <row r="22828">
      <c r="C22828" s="15"/>
      <c r="E22828" s="8"/>
      <c r="G22828" s="8"/>
      <c r="J22828" s="8"/>
    </row>
    <row r="22829">
      <c r="C22829" s="15"/>
      <c r="E22829" s="8"/>
      <c r="G22829" s="8"/>
      <c r="J22829" s="8"/>
    </row>
    <row r="22830">
      <c r="C22830" s="15"/>
      <c r="E22830" s="8"/>
      <c r="G22830" s="8"/>
      <c r="J22830" s="8"/>
    </row>
    <row r="22831">
      <c r="C22831" s="15"/>
      <c r="E22831" s="8"/>
      <c r="G22831" s="8"/>
      <c r="J22831" s="8"/>
    </row>
    <row r="22832">
      <c r="C22832" s="15"/>
      <c r="E22832" s="8"/>
      <c r="G22832" s="8"/>
      <c r="J22832" s="8"/>
    </row>
    <row r="22833">
      <c r="C22833" s="15"/>
      <c r="E22833" s="8"/>
      <c r="G22833" s="8"/>
      <c r="J22833" s="8"/>
    </row>
    <row r="22834">
      <c r="C22834" s="15"/>
      <c r="E22834" s="8"/>
      <c r="G22834" s="8"/>
      <c r="J22834" s="8"/>
    </row>
    <row r="22835">
      <c r="C22835" s="15"/>
      <c r="E22835" s="8"/>
      <c r="G22835" s="8"/>
      <c r="J22835" s="8"/>
    </row>
    <row r="22836">
      <c r="C22836" s="15"/>
      <c r="E22836" s="8"/>
      <c r="G22836" s="8"/>
      <c r="J22836" s="8"/>
    </row>
    <row r="22837">
      <c r="C22837" s="15"/>
      <c r="E22837" s="8"/>
      <c r="G22837" s="8"/>
      <c r="J22837" s="8"/>
    </row>
    <row r="22838">
      <c r="C22838" s="15"/>
      <c r="E22838" s="8"/>
      <c r="G22838" s="8"/>
      <c r="J22838" s="8"/>
    </row>
    <row r="22839">
      <c r="C22839" s="15"/>
      <c r="E22839" s="8"/>
      <c r="G22839" s="8"/>
      <c r="J22839" s="8"/>
    </row>
    <row r="22840">
      <c r="C22840" s="15"/>
      <c r="E22840" s="8"/>
      <c r="G22840" s="8"/>
      <c r="J22840" s="8"/>
    </row>
    <row r="22841">
      <c r="C22841" s="15"/>
      <c r="E22841" s="8"/>
      <c r="G22841" s="8"/>
      <c r="J22841" s="8"/>
    </row>
    <row r="22842">
      <c r="C22842" s="15"/>
      <c r="E22842" s="8"/>
      <c r="G22842" s="8"/>
      <c r="J22842" s="8"/>
    </row>
    <row r="22843">
      <c r="C22843" s="15"/>
      <c r="E22843" s="8"/>
      <c r="G22843" s="8"/>
      <c r="J22843" s="8"/>
    </row>
    <row r="22844">
      <c r="C22844" s="15"/>
      <c r="E22844" s="8"/>
      <c r="G22844" s="8"/>
      <c r="J22844" s="8"/>
    </row>
    <row r="22845">
      <c r="C22845" s="15"/>
      <c r="E22845" s="8"/>
      <c r="G22845" s="8"/>
      <c r="J22845" s="8"/>
    </row>
    <row r="22846">
      <c r="C22846" s="15"/>
      <c r="E22846" s="8"/>
      <c r="G22846" s="8"/>
      <c r="J22846" s="8"/>
    </row>
    <row r="22847">
      <c r="C22847" s="15"/>
      <c r="E22847" s="8"/>
      <c r="G22847" s="8"/>
      <c r="J22847" s="8"/>
    </row>
    <row r="22848">
      <c r="C22848" s="15"/>
      <c r="E22848" s="8"/>
      <c r="G22848" s="8"/>
      <c r="J22848" s="8"/>
    </row>
    <row r="22849">
      <c r="C22849" s="15"/>
      <c r="E22849" s="8"/>
      <c r="G22849" s="8"/>
      <c r="J22849" s="8"/>
    </row>
    <row r="22850">
      <c r="C22850" s="15"/>
      <c r="E22850" s="8"/>
      <c r="G22850" s="8"/>
      <c r="J22850" s="8"/>
    </row>
    <row r="22851">
      <c r="C22851" s="15"/>
      <c r="E22851" s="8"/>
      <c r="G22851" s="8"/>
      <c r="J22851" s="8"/>
    </row>
    <row r="22852">
      <c r="C22852" s="15"/>
      <c r="E22852" s="8"/>
      <c r="G22852" s="8"/>
      <c r="J22852" s="8"/>
    </row>
    <row r="22853">
      <c r="C22853" s="15"/>
      <c r="E22853" s="8"/>
      <c r="G22853" s="8"/>
      <c r="J22853" s="8"/>
    </row>
    <row r="22854">
      <c r="C22854" s="15"/>
      <c r="E22854" s="8"/>
      <c r="G22854" s="8"/>
      <c r="J22854" s="8"/>
    </row>
    <row r="22855">
      <c r="C22855" s="15"/>
      <c r="E22855" s="8"/>
      <c r="G22855" s="8"/>
      <c r="J22855" s="8"/>
    </row>
    <row r="22856">
      <c r="C22856" s="15"/>
      <c r="E22856" s="8"/>
      <c r="G22856" s="8"/>
      <c r="J22856" s="8"/>
    </row>
    <row r="22857">
      <c r="C22857" s="15"/>
      <c r="E22857" s="8"/>
      <c r="G22857" s="8"/>
      <c r="J22857" s="8"/>
    </row>
    <row r="22858">
      <c r="C22858" s="15"/>
      <c r="E22858" s="8"/>
      <c r="G22858" s="8"/>
      <c r="J22858" s="8"/>
    </row>
    <row r="22859">
      <c r="C22859" s="15"/>
      <c r="E22859" s="8"/>
      <c r="G22859" s="8"/>
      <c r="J22859" s="8"/>
    </row>
    <row r="22860">
      <c r="C22860" s="15"/>
      <c r="E22860" s="8"/>
      <c r="G22860" s="8"/>
      <c r="J22860" s="8"/>
    </row>
    <row r="22861">
      <c r="C22861" s="15"/>
      <c r="E22861" s="8"/>
      <c r="G22861" s="8"/>
      <c r="J22861" s="8"/>
    </row>
    <row r="22862">
      <c r="C22862" s="15"/>
      <c r="E22862" s="8"/>
      <c r="G22862" s="8"/>
      <c r="J22862" s="8"/>
    </row>
    <row r="22863">
      <c r="C22863" s="15"/>
      <c r="E22863" s="8"/>
      <c r="G22863" s="8"/>
      <c r="J22863" s="8"/>
    </row>
    <row r="22864">
      <c r="C22864" s="15"/>
      <c r="E22864" s="8"/>
      <c r="G22864" s="8"/>
      <c r="J22864" s="8"/>
    </row>
    <row r="22865">
      <c r="C22865" s="15"/>
      <c r="E22865" s="8"/>
      <c r="G22865" s="8"/>
      <c r="J22865" s="8"/>
    </row>
    <row r="22866">
      <c r="C22866" s="15"/>
      <c r="E22866" s="8"/>
      <c r="G22866" s="8"/>
      <c r="J22866" s="8"/>
    </row>
    <row r="22867">
      <c r="C22867" s="15"/>
      <c r="E22867" s="8"/>
      <c r="G22867" s="8"/>
      <c r="J22867" s="8"/>
    </row>
    <row r="22868">
      <c r="C22868" s="15"/>
      <c r="E22868" s="8"/>
      <c r="G22868" s="8"/>
      <c r="J22868" s="8"/>
    </row>
    <row r="22869">
      <c r="C22869" s="15"/>
      <c r="E22869" s="8"/>
      <c r="G22869" s="8"/>
      <c r="J22869" s="8"/>
    </row>
    <row r="22870">
      <c r="C22870" s="15"/>
      <c r="E22870" s="8"/>
      <c r="G22870" s="8"/>
      <c r="J22870" s="8"/>
    </row>
    <row r="22871">
      <c r="C22871" s="15"/>
      <c r="E22871" s="8"/>
      <c r="G22871" s="8"/>
      <c r="J22871" s="8"/>
    </row>
    <row r="22872">
      <c r="C22872" s="15"/>
      <c r="E22872" s="8"/>
      <c r="G22872" s="8"/>
      <c r="J22872" s="8"/>
    </row>
    <row r="22873">
      <c r="C22873" s="15"/>
      <c r="E22873" s="8"/>
      <c r="G22873" s="8"/>
      <c r="J22873" s="8"/>
    </row>
    <row r="22874">
      <c r="C22874" s="15"/>
      <c r="E22874" s="8"/>
      <c r="G22874" s="8"/>
      <c r="J22874" s="8"/>
    </row>
    <row r="22875">
      <c r="C22875" s="15"/>
      <c r="E22875" s="8"/>
      <c r="G22875" s="8"/>
      <c r="J22875" s="8"/>
    </row>
    <row r="22876">
      <c r="C22876" s="15"/>
      <c r="E22876" s="8"/>
      <c r="G22876" s="8"/>
      <c r="J22876" s="8"/>
    </row>
    <row r="22877">
      <c r="C22877" s="15"/>
      <c r="E22877" s="8"/>
      <c r="G22877" s="8"/>
      <c r="J22877" s="8"/>
    </row>
    <row r="22878">
      <c r="C22878" s="15"/>
      <c r="E22878" s="8"/>
      <c r="G22878" s="8"/>
      <c r="J22878" s="8"/>
    </row>
    <row r="22879">
      <c r="C22879" s="15"/>
      <c r="E22879" s="8"/>
      <c r="G22879" s="8"/>
      <c r="J22879" s="8"/>
    </row>
    <row r="22880">
      <c r="C22880" s="15"/>
      <c r="E22880" s="8"/>
      <c r="G22880" s="8"/>
      <c r="J22880" s="8"/>
    </row>
    <row r="22881">
      <c r="C22881" s="15"/>
      <c r="E22881" s="8"/>
      <c r="G22881" s="8"/>
      <c r="J22881" s="8"/>
    </row>
    <row r="22882">
      <c r="C22882" s="15"/>
      <c r="E22882" s="8"/>
      <c r="G22882" s="8"/>
      <c r="J22882" s="8"/>
    </row>
    <row r="22883">
      <c r="C22883" s="15"/>
      <c r="E22883" s="8"/>
      <c r="G22883" s="8"/>
      <c r="J22883" s="8"/>
    </row>
    <row r="22884">
      <c r="C22884" s="15"/>
      <c r="E22884" s="8"/>
      <c r="G22884" s="8"/>
      <c r="J22884" s="8"/>
    </row>
    <row r="22885">
      <c r="C22885" s="15"/>
      <c r="E22885" s="8"/>
      <c r="G22885" s="8"/>
      <c r="J22885" s="8"/>
    </row>
    <row r="22886">
      <c r="C22886" s="15"/>
      <c r="E22886" s="8"/>
      <c r="G22886" s="8"/>
      <c r="J22886" s="8"/>
    </row>
    <row r="22887">
      <c r="C22887" s="15"/>
      <c r="E22887" s="8"/>
      <c r="G22887" s="8"/>
      <c r="J22887" s="8"/>
    </row>
    <row r="22888">
      <c r="C22888" s="15"/>
      <c r="E22888" s="8"/>
      <c r="G22888" s="8"/>
      <c r="J22888" s="8"/>
    </row>
    <row r="22889">
      <c r="C22889" s="15"/>
      <c r="E22889" s="8"/>
      <c r="G22889" s="8"/>
      <c r="J22889" s="8"/>
    </row>
    <row r="22890">
      <c r="C22890" s="15"/>
      <c r="E22890" s="8"/>
      <c r="G22890" s="8"/>
      <c r="J22890" s="8"/>
    </row>
    <row r="22891">
      <c r="C22891" s="15"/>
      <c r="E22891" s="8"/>
      <c r="G22891" s="8"/>
      <c r="J22891" s="8"/>
    </row>
    <row r="22892">
      <c r="C22892" s="15"/>
      <c r="E22892" s="8"/>
      <c r="G22892" s="8"/>
      <c r="J22892" s="8"/>
    </row>
    <row r="22893">
      <c r="C22893" s="15"/>
      <c r="E22893" s="8"/>
      <c r="G22893" s="8"/>
      <c r="J22893" s="8"/>
    </row>
    <row r="22894">
      <c r="C22894" s="15"/>
      <c r="E22894" s="8"/>
      <c r="G22894" s="8"/>
      <c r="J22894" s="8"/>
    </row>
    <row r="22895">
      <c r="C22895" s="15"/>
      <c r="E22895" s="8"/>
      <c r="G22895" s="8"/>
      <c r="J22895" s="8"/>
    </row>
    <row r="22896">
      <c r="C22896" s="15"/>
      <c r="E22896" s="8"/>
      <c r="G22896" s="8"/>
      <c r="J22896" s="8"/>
    </row>
    <row r="22897">
      <c r="C22897" s="15"/>
      <c r="E22897" s="8"/>
      <c r="G22897" s="8"/>
      <c r="J22897" s="8"/>
    </row>
    <row r="22898">
      <c r="C22898" s="15"/>
      <c r="E22898" s="8"/>
      <c r="G22898" s="8"/>
      <c r="J22898" s="8"/>
    </row>
    <row r="22899">
      <c r="C22899" s="15"/>
      <c r="E22899" s="8"/>
      <c r="G22899" s="8"/>
      <c r="J22899" s="8"/>
    </row>
    <row r="22900">
      <c r="C22900" s="15"/>
      <c r="E22900" s="8"/>
      <c r="G22900" s="8"/>
      <c r="J22900" s="8"/>
    </row>
    <row r="22901">
      <c r="C22901" s="15"/>
      <c r="E22901" s="8"/>
      <c r="G22901" s="8"/>
      <c r="J22901" s="8"/>
    </row>
    <row r="22902">
      <c r="C22902" s="15"/>
      <c r="E22902" s="8"/>
      <c r="G22902" s="8"/>
      <c r="J22902" s="8"/>
    </row>
    <row r="22903">
      <c r="C22903" s="15"/>
      <c r="E22903" s="8"/>
      <c r="G22903" s="8"/>
      <c r="J22903" s="8"/>
    </row>
    <row r="22904">
      <c r="C22904" s="15"/>
      <c r="E22904" s="8"/>
      <c r="G22904" s="8"/>
      <c r="J22904" s="8"/>
    </row>
    <row r="22905">
      <c r="C22905" s="15"/>
      <c r="E22905" s="8"/>
      <c r="G22905" s="8"/>
      <c r="J22905" s="8"/>
    </row>
    <row r="22906">
      <c r="C22906" s="15"/>
      <c r="E22906" s="8"/>
      <c r="G22906" s="8"/>
      <c r="J22906" s="8"/>
    </row>
    <row r="22907">
      <c r="C22907" s="15"/>
      <c r="E22907" s="8"/>
      <c r="G22907" s="8"/>
      <c r="J22907" s="8"/>
    </row>
    <row r="22908">
      <c r="C22908" s="15"/>
      <c r="E22908" s="8"/>
      <c r="G22908" s="8"/>
      <c r="J22908" s="8"/>
    </row>
    <row r="22909">
      <c r="C22909" s="15"/>
      <c r="E22909" s="8"/>
      <c r="G22909" s="8"/>
      <c r="J22909" s="8"/>
    </row>
    <row r="22910">
      <c r="C22910" s="15"/>
      <c r="E22910" s="8"/>
      <c r="G22910" s="8"/>
      <c r="J22910" s="8"/>
    </row>
    <row r="22911">
      <c r="C22911" s="15"/>
      <c r="E22911" s="8"/>
      <c r="G22911" s="8"/>
      <c r="J22911" s="8"/>
    </row>
    <row r="22912">
      <c r="C22912" s="15"/>
      <c r="E22912" s="8"/>
      <c r="G22912" s="8"/>
      <c r="J22912" s="8"/>
    </row>
    <row r="22913">
      <c r="C22913" s="15"/>
      <c r="E22913" s="8"/>
      <c r="G22913" s="8"/>
      <c r="J22913" s="8"/>
    </row>
    <row r="22914">
      <c r="C22914" s="15"/>
      <c r="E22914" s="8"/>
      <c r="G22914" s="8"/>
      <c r="J22914" s="8"/>
    </row>
    <row r="22915">
      <c r="C22915" s="15"/>
      <c r="E22915" s="8"/>
      <c r="G22915" s="8"/>
      <c r="J22915" s="8"/>
    </row>
    <row r="22916">
      <c r="C22916" s="15"/>
      <c r="E22916" s="8"/>
      <c r="G22916" s="8"/>
      <c r="J22916" s="8"/>
    </row>
    <row r="22917">
      <c r="C22917" s="15"/>
      <c r="E22917" s="8"/>
      <c r="G22917" s="8"/>
      <c r="J22917" s="8"/>
    </row>
    <row r="22918">
      <c r="C22918" s="15"/>
      <c r="E22918" s="8"/>
      <c r="G22918" s="8"/>
      <c r="J22918" s="8"/>
    </row>
    <row r="22919">
      <c r="C22919" s="15"/>
      <c r="E22919" s="8"/>
      <c r="G22919" s="8"/>
      <c r="J22919" s="8"/>
    </row>
    <row r="22920">
      <c r="C22920" s="15"/>
      <c r="E22920" s="8"/>
      <c r="G22920" s="8"/>
      <c r="J22920" s="8"/>
    </row>
    <row r="22921">
      <c r="C22921" s="15"/>
      <c r="E22921" s="8"/>
      <c r="G22921" s="8"/>
      <c r="J22921" s="8"/>
    </row>
    <row r="22922">
      <c r="C22922" s="15"/>
      <c r="E22922" s="8"/>
      <c r="G22922" s="8"/>
      <c r="J22922" s="8"/>
    </row>
    <row r="22923">
      <c r="C22923" s="15"/>
      <c r="E22923" s="8"/>
      <c r="G22923" s="8"/>
      <c r="J22923" s="8"/>
    </row>
    <row r="22924">
      <c r="C22924" s="15"/>
      <c r="E22924" s="8"/>
      <c r="G22924" s="8"/>
      <c r="J22924" s="8"/>
    </row>
    <row r="22925">
      <c r="C22925" s="15"/>
      <c r="E22925" s="8"/>
      <c r="G22925" s="8"/>
      <c r="J22925" s="8"/>
    </row>
    <row r="22926">
      <c r="C22926" s="15"/>
      <c r="E22926" s="8"/>
      <c r="G22926" s="8"/>
      <c r="J22926" s="8"/>
    </row>
    <row r="22927">
      <c r="C22927" s="15"/>
      <c r="E22927" s="8"/>
      <c r="G22927" s="8"/>
      <c r="J22927" s="8"/>
    </row>
    <row r="22928">
      <c r="C22928" s="15"/>
      <c r="E22928" s="8"/>
      <c r="G22928" s="8"/>
      <c r="J22928" s="8"/>
    </row>
    <row r="22929">
      <c r="C22929" s="15"/>
      <c r="E22929" s="8"/>
      <c r="G22929" s="8"/>
      <c r="J22929" s="8"/>
    </row>
    <row r="22930">
      <c r="C22930" s="15"/>
      <c r="E22930" s="8"/>
      <c r="G22930" s="8"/>
      <c r="J22930" s="8"/>
    </row>
    <row r="22931">
      <c r="C22931" s="15"/>
      <c r="E22931" s="8"/>
      <c r="G22931" s="8"/>
      <c r="J22931" s="8"/>
    </row>
    <row r="22932">
      <c r="C22932" s="15"/>
      <c r="E22932" s="8"/>
      <c r="G22932" s="8"/>
      <c r="J22932" s="8"/>
    </row>
    <row r="22933">
      <c r="C22933" s="15"/>
      <c r="E22933" s="8"/>
      <c r="G22933" s="8"/>
      <c r="J22933" s="8"/>
    </row>
    <row r="22934">
      <c r="C22934" s="15"/>
      <c r="E22934" s="8"/>
      <c r="G22934" s="8"/>
      <c r="J22934" s="8"/>
    </row>
    <row r="22935">
      <c r="C22935" s="15"/>
      <c r="E22935" s="8"/>
      <c r="G22935" s="8"/>
      <c r="J22935" s="8"/>
    </row>
    <row r="22936">
      <c r="C22936" s="15"/>
      <c r="E22936" s="8"/>
      <c r="G22936" s="8"/>
      <c r="J22936" s="8"/>
    </row>
    <row r="22937">
      <c r="C22937" s="15"/>
      <c r="E22937" s="8"/>
      <c r="G22937" s="8"/>
      <c r="J22937" s="8"/>
    </row>
    <row r="22938">
      <c r="C22938" s="15"/>
      <c r="E22938" s="8"/>
      <c r="G22938" s="8"/>
      <c r="J22938" s="8"/>
    </row>
    <row r="22939">
      <c r="C22939" s="15"/>
      <c r="E22939" s="8"/>
      <c r="G22939" s="8"/>
      <c r="J22939" s="8"/>
    </row>
    <row r="22940">
      <c r="C22940" s="15"/>
      <c r="E22940" s="8"/>
      <c r="G22940" s="8"/>
      <c r="J22940" s="8"/>
    </row>
    <row r="22941">
      <c r="C22941" s="15"/>
      <c r="E22941" s="8"/>
      <c r="G22941" s="8"/>
      <c r="J22941" s="8"/>
    </row>
    <row r="22942">
      <c r="C22942" s="15"/>
      <c r="E22942" s="8"/>
      <c r="G22942" s="8"/>
      <c r="J22942" s="8"/>
    </row>
    <row r="22943">
      <c r="C22943" s="15"/>
      <c r="E22943" s="8"/>
      <c r="G22943" s="8"/>
      <c r="J22943" s="8"/>
    </row>
    <row r="22944">
      <c r="C22944" s="15"/>
      <c r="E22944" s="8"/>
      <c r="G22944" s="8"/>
      <c r="J22944" s="8"/>
    </row>
    <row r="22945">
      <c r="C22945" s="15"/>
      <c r="E22945" s="8"/>
      <c r="G22945" s="8"/>
      <c r="J22945" s="8"/>
    </row>
    <row r="22946">
      <c r="C22946" s="15"/>
      <c r="E22946" s="8"/>
      <c r="G22946" s="8"/>
      <c r="J22946" s="8"/>
    </row>
    <row r="22947">
      <c r="C22947" s="15"/>
      <c r="E22947" s="8"/>
      <c r="G22947" s="8"/>
      <c r="J22947" s="8"/>
    </row>
    <row r="22948">
      <c r="C22948" s="15"/>
      <c r="E22948" s="8"/>
      <c r="G22948" s="8"/>
      <c r="J22948" s="8"/>
    </row>
    <row r="22949">
      <c r="C22949" s="15"/>
      <c r="E22949" s="8"/>
      <c r="G22949" s="8"/>
      <c r="J22949" s="8"/>
    </row>
    <row r="22950">
      <c r="C22950" s="15"/>
      <c r="E22950" s="8"/>
      <c r="G22950" s="8"/>
      <c r="J22950" s="8"/>
    </row>
    <row r="22951">
      <c r="C22951" s="15"/>
      <c r="E22951" s="8"/>
      <c r="G22951" s="8"/>
      <c r="J22951" s="8"/>
    </row>
    <row r="22952">
      <c r="C22952" s="15"/>
      <c r="E22952" s="8"/>
      <c r="G22952" s="8"/>
      <c r="J22952" s="8"/>
    </row>
    <row r="22953">
      <c r="C22953" s="15"/>
      <c r="E22953" s="8"/>
      <c r="G22953" s="8"/>
      <c r="J22953" s="8"/>
    </row>
    <row r="22954">
      <c r="C22954" s="15"/>
      <c r="E22954" s="8"/>
      <c r="G22954" s="8"/>
      <c r="J22954" s="8"/>
    </row>
    <row r="22955">
      <c r="C22955" s="15"/>
      <c r="E22955" s="8"/>
      <c r="G22955" s="8"/>
      <c r="J22955" s="8"/>
    </row>
    <row r="22956">
      <c r="C22956" s="15"/>
      <c r="E22956" s="8"/>
      <c r="G22956" s="8"/>
      <c r="J22956" s="8"/>
    </row>
    <row r="22957">
      <c r="C22957" s="15"/>
      <c r="E22957" s="8"/>
      <c r="G22957" s="8"/>
      <c r="J22957" s="8"/>
    </row>
    <row r="22958">
      <c r="C22958" s="15"/>
      <c r="E22958" s="8"/>
      <c r="G22958" s="8"/>
      <c r="J22958" s="8"/>
    </row>
    <row r="22959">
      <c r="C22959" s="15"/>
      <c r="E22959" s="8"/>
      <c r="G22959" s="8"/>
      <c r="J22959" s="8"/>
    </row>
    <row r="22960">
      <c r="C22960" s="15"/>
      <c r="E22960" s="8"/>
      <c r="G22960" s="8"/>
      <c r="J22960" s="8"/>
    </row>
    <row r="22961">
      <c r="C22961" s="15"/>
      <c r="E22961" s="8"/>
      <c r="G22961" s="8"/>
      <c r="J22961" s="8"/>
    </row>
    <row r="22962">
      <c r="C22962" s="15"/>
      <c r="E22962" s="8"/>
      <c r="G22962" s="8"/>
      <c r="J22962" s="8"/>
    </row>
    <row r="22963">
      <c r="C22963" s="15"/>
      <c r="E22963" s="8"/>
      <c r="G22963" s="8"/>
      <c r="J22963" s="8"/>
    </row>
    <row r="22964">
      <c r="C22964" s="15"/>
      <c r="E22964" s="8"/>
      <c r="G22964" s="8"/>
      <c r="J22964" s="8"/>
    </row>
    <row r="22965">
      <c r="C22965" s="15"/>
      <c r="E22965" s="8"/>
      <c r="G22965" s="8"/>
      <c r="J22965" s="8"/>
    </row>
    <row r="22966">
      <c r="C22966" s="15"/>
      <c r="E22966" s="8"/>
      <c r="G22966" s="8"/>
      <c r="J22966" s="8"/>
    </row>
    <row r="22967">
      <c r="C22967" s="15"/>
      <c r="E22967" s="8"/>
      <c r="G22967" s="8"/>
      <c r="J22967" s="8"/>
    </row>
    <row r="22968">
      <c r="C22968" s="15"/>
      <c r="E22968" s="8"/>
      <c r="G22968" s="8"/>
      <c r="J22968" s="8"/>
    </row>
    <row r="22969">
      <c r="C22969" s="15"/>
      <c r="E22969" s="8"/>
      <c r="G22969" s="8"/>
      <c r="J22969" s="8"/>
    </row>
    <row r="22970">
      <c r="C22970" s="15"/>
      <c r="E22970" s="8"/>
      <c r="G22970" s="8"/>
      <c r="J22970" s="8"/>
    </row>
    <row r="22971">
      <c r="C22971" s="15"/>
      <c r="E22971" s="8"/>
      <c r="G22971" s="8"/>
      <c r="J22971" s="8"/>
    </row>
    <row r="22972">
      <c r="C22972" s="15"/>
      <c r="E22972" s="8"/>
      <c r="G22972" s="8"/>
      <c r="J22972" s="8"/>
    </row>
    <row r="22973">
      <c r="C22973" s="15"/>
      <c r="E22973" s="8"/>
      <c r="G22973" s="8"/>
      <c r="J22973" s="8"/>
    </row>
    <row r="22974">
      <c r="C22974" s="15"/>
      <c r="E22974" s="8"/>
      <c r="G22974" s="8"/>
      <c r="J22974" s="8"/>
    </row>
    <row r="22975">
      <c r="C22975" s="15"/>
      <c r="E22975" s="8"/>
      <c r="G22975" s="8"/>
      <c r="J22975" s="8"/>
    </row>
    <row r="22976">
      <c r="C22976" s="15"/>
      <c r="E22976" s="8"/>
      <c r="G22976" s="8"/>
      <c r="J22976" s="8"/>
    </row>
    <row r="22977">
      <c r="C22977" s="15"/>
      <c r="E22977" s="8"/>
      <c r="G22977" s="8"/>
      <c r="J22977" s="8"/>
    </row>
    <row r="22978">
      <c r="C22978" s="15"/>
      <c r="E22978" s="8"/>
      <c r="G22978" s="8"/>
      <c r="J22978" s="8"/>
    </row>
    <row r="22979">
      <c r="C22979" s="15"/>
      <c r="E22979" s="8"/>
      <c r="G22979" s="8"/>
      <c r="J22979" s="8"/>
    </row>
    <row r="22980">
      <c r="C22980" s="15"/>
      <c r="E22980" s="8"/>
      <c r="G22980" s="8"/>
      <c r="J22980" s="8"/>
    </row>
    <row r="22981">
      <c r="C22981" s="15"/>
      <c r="E22981" s="8"/>
      <c r="G22981" s="8"/>
      <c r="J22981" s="8"/>
    </row>
    <row r="22982">
      <c r="C22982" s="15"/>
      <c r="E22982" s="8"/>
      <c r="G22982" s="8"/>
      <c r="J22982" s="8"/>
    </row>
    <row r="22983">
      <c r="C22983" s="15"/>
      <c r="E22983" s="8"/>
      <c r="G22983" s="8"/>
      <c r="J22983" s="8"/>
    </row>
    <row r="22984">
      <c r="C22984" s="15"/>
      <c r="E22984" s="8"/>
      <c r="G22984" s="8"/>
      <c r="J22984" s="8"/>
    </row>
    <row r="22985">
      <c r="C22985" s="15"/>
      <c r="E22985" s="8"/>
      <c r="G22985" s="8"/>
      <c r="J22985" s="8"/>
    </row>
    <row r="22986">
      <c r="C22986" s="15"/>
      <c r="E22986" s="8"/>
      <c r="G22986" s="8"/>
      <c r="J22986" s="8"/>
    </row>
    <row r="22987">
      <c r="C22987" s="15"/>
      <c r="E22987" s="8"/>
      <c r="G22987" s="8"/>
      <c r="J22987" s="8"/>
    </row>
    <row r="22988">
      <c r="C22988" s="15"/>
      <c r="E22988" s="8"/>
      <c r="G22988" s="8"/>
      <c r="J22988" s="8"/>
    </row>
    <row r="22989">
      <c r="C22989" s="15"/>
      <c r="E22989" s="8"/>
      <c r="G22989" s="8"/>
      <c r="J22989" s="8"/>
    </row>
    <row r="22990">
      <c r="C22990" s="15"/>
      <c r="E22990" s="8"/>
      <c r="G22990" s="8"/>
      <c r="J22990" s="8"/>
    </row>
    <row r="22991">
      <c r="C22991" s="15"/>
      <c r="E22991" s="8"/>
      <c r="G22991" s="8"/>
      <c r="J22991" s="8"/>
    </row>
    <row r="22992">
      <c r="C22992" s="15"/>
      <c r="E22992" s="8"/>
      <c r="G22992" s="8"/>
      <c r="J22992" s="8"/>
    </row>
    <row r="22993">
      <c r="C22993" s="15"/>
      <c r="E22993" s="8"/>
      <c r="G22993" s="8"/>
      <c r="J22993" s="8"/>
    </row>
    <row r="22994">
      <c r="C22994" s="15"/>
      <c r="E22994" s="8"/>
      <c r="G22994" s="8"/>
      <c r="J22994" s="8"/>
    </row>
    <row r="22995">
      <c r="C22995" s="15"/>
      <c r="E22995" s="8"/>
      <c r="G22995" s="8"/>
      <c r="J22995" s="8"/>
    </row>
    <row r="22996">
      <c r="C22996" s="15"/>
      <c r="E22996" s="8"/>
      <c r="G22996" s="8"/>
      <c r="J22996" s="8"/>
    </row>
    <row r="22997">
      <c r="C22997" s="15"/>
      <c r="E22997" s="8"/>
      <c r="G22997" s="8"/>
      <c r="J22997" s="8"/>
    </row>
    <row r="22998">
      <c r="C22998" s="15"/>
      <c r="E22998" s="8"/>
      <c r="G22998" s="8"/>
      <c r="J22998" s="8"/>
    </row>
    <row r="22999">
      <c r="C22999" s="15"/>
      <c r="E22999" s="8"/>
      <c r="G22999" s="8"/>
      <c r="J22999" s="8"/>
    </row>
    <row r="23000">
      <c r="C23000" s="15"/>
      <c r="E23000" s="8"/>
      <c r="G23000" s="8"/>
      <c r="J23000" s="8"/>
    </row>
    <row r="23001">
      <c r="C23001" s="15"/>
      <c r="E23001" s="8"/>
      <c r="G23001" s="8"/>
      <c r="J23001" s="8"/>
    </row>
    <row r="23002">
      <c r="C23002" s="15"/>
      <c r="E23002" s="8"/>
      <c r="G23002" s="8"/>
      <c r="J23002" s="8"/>
    </row>
    <row r="23003">
      <c r="C23003" s="15"/>
      <c r="E23003" s="8"/>
      <c r="G23003" s="8"/>
      <c r="J23003" s="8"/>
    </row>
    <row r="23004">
      <c r="C23004" s="15"/>
      <c r="E23004" s="8"/>
      <c r="G23004" s="8"/>
      <c r="J23004" s="8"/>
    </row>
    <row r="23005">
      <c r="C23005" s="15"/>
      <c r="E23005" s="8"/>
      <c r="G23005" s="8"/>
      <c r="J23005" s="8"/>
    </row>
    <row r="23006">
      <c r="C23006" s="15"/>
      <c r="E23006" s="8"/>
      <c r="G23006" s="8"/>
      <c r="J23006" s="8"/>
    </row>
    <row r="23007">
      <c r="C23007" s="15"/>
      <c r="E23007" s="8"/>
      <c r="G23007" s="8"/>
      <c r="J23007" s="8"/>
    </row>
    <row r="23008">
      <c r="C23008" s="15"/>
      <c r="E23008" s="8"/>
      <c r="G23008" s="8"/>
      <c r="J23008" s="8"/>
    </row>
    <row r="23009">
      <c r="C23009" s="15"/>
      <c r="E23009" s="8"/>
      <c r="G23009" s="8"/>
      <c r="J23009" s="8"/>
    </row>
    <row r="23010">
      <c r="C23010" s="15"/>
      <c r="E23010" s="8"/>
      <c r="G23010" s="8"/>
      <c r="J23010" s="8"/>
    </row>
    <row r="23011">
      <c r="C23011" s="15"/>
      <c r="E23011" s="8"/>
      <c r="G23011" s="8"/>
      <c r="J23011" s="8"/>
    </row>
    <row r="23012">
      <c r="C23012" s="15"/>
      <c r="E23012" s="8"/>
      <c r="G23012" s="8"/>
      <c r="J23012" s="8"/>
    </row>
    <row r="23013">
      <c r="C23013" s="15"/>
      <c r="E23013" s="8"/>
      <c r="G23013" s="8"/>
      <c r="J23013" s="8"/>
    </row>
    <row r="23014">
      <c r="C23014" s="15"/>
      <c r="E23014" s="8"/>
      <c r="G23014" s="8"/>
      <c r="J23014" s="8"/>
    </row>
    <row r="23015">
      <c r="C23015" s="15"/>
      <c r="E23015" s="8"/>
      <c r="G23015" s="8"/>
      <c r="J23015" s="8"/>
    </row>
    <row r="23016">
      <c r="C23016" s="15"/>
      <c r="E23016" s="8"/>
      <c r="G23016" s="8"/>
      <c r="J23016" s="8"/>
    </row>
    <row r="23017">
      <c r="C23017" s="15"/>
      <c r="E23017" s="8"/>
      <c r="G23017" s="8"/>
      <c r="J23017" s="8"/>
    </row>
    <row r="23018">
      <c r="C23018" s="15"/>
      <c r="E23018" s="8"/>
      <c r="G23018" s="8"/>
      <c r="J23018" s="8"/>
    </row>
    <row r="23019">
      <c r="C23019" s="15"/>
      <c r="E23019" s="8"/>
      <c r="G23019" s="8"/>
      <c r="J23019" s="8"/>
    </row>
    <row r="23020">
      <c r="C23020" s="15"/>
      <c r="E23020" s="8"/>
      <c r="G23020" s="8"/>
      <c r="J23020" s="8"/>
    </row>
    <row r="23021">
      <c r="C23021" s="15"/>
      <c r="E23021" s="8"/>
      <c r="G23021" s="8"/>
      <c r="J23021" s="8"/>
    </row>
    <row r="23022">
      <c r="C23022" s="15"/>
      <c r="E23022" s="8"/>
      <c r="G23022" s="8"/>
      <c r="J23022" s="8"/>
    </row>
    <row r="23023">
      <c r="C23023" s="15"/>
      <c r="E23023" s="8"/>
      <c r="G23023" s="8"/>
      <c r="J23023" s="8"/>
    </row>
    <row r="23024">
      <c r="C23024" s="15"/>
      <c r="E23024" s="8"/>
      <c r="G23024" s="8"/>
      <c r="J23024" s="8"/>
    </row>
    <row r="23025">
      <c r="C23025" s="15"/>
      <c r="E23025" s="8"/>
      <c r="G23025" s="8"/>
      <c r="J23025" s="8"/>
    </row>
    <row r="23026">
      <c r="C23026" s="15"/>
      <c r="E23026" s="8"/>
      <c r="G23026" s="8"/>
      <c r="J23026" s="8"/>
    </row>
    <row r="23027">
      <c r="C23027" s="15"/>
      <c r="E23027" s="8"/>
      <c r="G23027" s="8"/>
      <c r="J23027" s="8"/>
    </row>
    <row r="23028">
      <c r="C23028" s="15"/>
      <c r="E23028" s="8"/>
      <c r="G23028" s="8"/>
      <c r="J23028" s="8"/>
    </row>
    <row r="23029">
      <c r="C23029" s="15"/>
      <c r="E23029" s="8"/>
      <c r="G23029" s="8"/>
      <c r="J23029" s="8"/>
    </row>
    <row r="23030">
      <c r="C23030" s="15"/>
      <c r="E23030" s="8"/>
      <c r="G23030" s="8"/>
      <c r="J23030" s="8"/>
    </row>
    <row r="23031">
      <c r="C23031" s="15"/>
      <c r="E23031" s="8"/>
      <c r="G23031" s="8"/>
      <c r="J23031" s="8"/>
    </row>
    <row r="23032">
      <c r="C23032" s="15"/>
      <c r="E23032" s="8"/>
      <c r="G23032" s="8"/>
      <c r="J23032" s="8"/>
    </row>
    <row r="23033">
      <c r="C23033" s="15"/>
      <c r="E23033" s="8"/>
      <c r="G23033" s="8"/>
      <c r="J23033" s="8"/>
    </row>
    <row r="23034">
      <c r="C23034" s="15"/>
      <c r="E23034" s="8"/>
      <c r="G23034" s="8"/>
      <c r="J23034" s="8"/>
    </row>
    <row r="23035">
      <c r="C23035" s="15"/>
      <c r="E23035" s="8"/>
      <c r="G23035" s="8"/>
      <c r="J23035" s="8"/>
    </row>
    <row r="23036">
      <c r="C23036" s="15"/>
      <c r="E23036" s="8"/>
      <c r="G23036" s="8"/>
      <c r="J23036" s="8"/>
    </row>
    <row r="23037">
      <c r="C23037" s="15"/>
      <c r="E23037" s="8"/>
      <c r="G23037" s="8"/>
      <c r="J23037" s="8"/>
    </row>
    <row r="23038">
      <c r="C23038" s="15"/>
      <c r="E23038" s="8"/>
      <c r="G23038" s="8"/>
      <c r="J23038" s="8"/>
    </row>
    <row r="23039">
      <c r="C23039" s="15"/>
      <c r="E23039" s="8"/>
      <c r="G23039" s="8"/>
      <c r="J23039" s="8"/>
    </row>
    <row r="23040">
      <c r="C23040" s="15"/>
      <c r="E23040" s="8"/>
      <c r="G23040" s="8"/>
      <c r="J23040" s="8"/>
    </row>
    <row r="23041">
      <c r="C23041" s="15"/>
      <c r="E23041" s="8"/>
      <c r="G23041" s="8"/>
      <c r="J23041" s="8"/>
    </row>
    <row r="23042">
      <c r="C23042" s="15"/>
      <c r="E23042" s="8"/>
      <c r="G23042" s="8"/>
      <c r="J23042" s="8"/>
    </row>
    <row r="23043">
      <c r="C23043" s="15"/>
      <c r="E23043" s="8"/>
      <c r="G23043" s="8"/>
      <c r="J23043" s="8"/>
    </row>
    <row r="23044">
      <c r="C23044" s="15"/>
      <c r="E23044" s="8"/>
      <c r="G23044" s="8"/>
      <c r="J23044" s="8"/>
    </row>
    <row r="23045">
      <c r="C23045" s="15"/>
      <c r="E23045" s="8"/>
      <c r="G23045" s="8"/>
      <c r="J23045" s="8"/>
    </row>
    <row r="23046">
      <c r="C23046" s="15"/>
      <c r="E23046" s="8"/>
      <c r="G23046" s="8"/>
      <c r="J23046" s="8"/>
    </row>
    <row r="23047">
      <c r="C23047" s="15"/>
      <c r="E23047" s="8"/>
      <c r="G23047" s="8"/>
      <c r="J23047" s="8"/>
    </row>
    <row r="23048">
      <c r="C23048" s="15"/>
      <c r="E23048" s="8"/>
      <c r="G23048" s="8"/>
      <c r="J23048" s="8"/>
    </row>
    <row r="23049">
      <c r="C23049" s="15"/>
      <c r="E23049" s="8"/>
      <c r="G23049" s="8"/>
      <c r="J23049" s="8"/>
    </row>
    <row r="23050">
      <c r="C23050" s="15"/>
      <c r="E23050" s="8"/>
      <c r="G23050" s="8"/>
      <c r="J23050" s="8"/>
    </row>
    <row r="23051">
      <c r="C23051" s="15"/>
      <c r="E23051" s="8"/>
      <c r="G23051" s="8"/>
      <c r="J23051" s="8"/>
    </row>
    <row r="23052">
      <c r="C23052" s="15"/>
      <c r="E23052" s="8"/>
      <c r="G23052" s="8"/>
      <c r="J23052" s="8"/>
    </row>
    <row r="23053">
      <c r="C23053" s="15"/>
      <c r="E23053" s="8"/>
      <c r="G23053" s="8"/>
      <c r="J23053" s="8"/>
    </row>
    <row r="23054">
      <c r="C23054" s="15"/>
      <c r="E23054" s="8"/>
      <c r="G23054" s="8"/>
      <c r="J23054" s="8"/>
    </row>
    <row r="23055">
      <c r="C23055" s="15"/>
      <c r="E23055" s="8"/>
      <c r="G23055" s="8"/>
      <c r="J23055" s="8"/>
    </row>
    <row r="23056">
      <c r="C23056" s="15"/>
      <c r="E23056" s="8"/>
      <c r="G23056" s="8"/>
      <c r="J23056" s="8"/>
    </row>
    <row r="23057">
      <c r="C23057" s="15"/>
      <c r="E23057" s="8"/>
      <c r="G23057" s="8"/>
      <c r="J23057" s="8"/>
    </row>
    <row r="23058">
      <c r="C23058" s="15"/>
      <c r="E23058" s="8"/>
      <c r="G23058" s="8"/>
      <c r="J23058" s="8"/>
    </row>
    <row r="23059">
      <c r="C23059" s="15"/>
      <c r="E23059" s="8"/>
      <c r="G23059" s="8"/>
      <c r="J23059" s="8"/>
    </row>
    <row r="23060">
      <c r="C23060" s="15"/>
      <c r="E23060" s="8"/>
      <c r="G23060" s="8"/>
      <c r="J23060" s="8"/>
    </row>
    <row r="23061">
      <c r="C23061" s="15"/>
      <c r="E23061" s="8"/>
      <c r="G23061" s="8"/>
      <c r="J23061" s="8"/>
    </row>
    <row r="23062">
      <c r="C23062" s="15"/>
      <c r="E23062" s="8"/>
      <c r="G23062" s="8"/>
      <c r="J23062" s="8"/>
    </row>
    <row r="23063">
      <c r="C23063" s="15"/>
      <c r="E23063" s="8"/>
      <c r="G23063" s="8"/>
      <c r="J23063" s="8"/>
    </row>
    <row r="23064">
      <c r="C23064" s="15"/>
      <c r="E23064" s="8"/>
      <c r="G23064" s="8"/>
      <c r="J23064" s="8"/>
    </row>
    <row r="23065">
      <c r="C23065" s="15"/>
      <c r="E23065" s="8"/>
      <c r="G23065" s="8"/>
      <c r="J23065" s="8"/>
    </row>
    <row r="23066">
      <c r="C23066" s="15"/>
      <c r="E23066" s="8"/>
      <c r="G23066" s="8"/>
      <c r="J23066" s="8"/>
    </row>
    <row r="23067">
      <c r="C23067" s="15"/>
      <c r="E23067" s="8"/>
      <c r="G23067" s="8"/>
      <c r="J23067" s="8"/>
    </row>
    <row r="23068">
      <c r="C23068" s="15"/>
      <c r="E23068" s="8"/>
      <c r="G23068" s="8"/>
      <c r="J23068" s="8"/>
    </row>
    <row r="23069">
      <c r="C23069" s="15"/>
      <c r="E23069" s="8"/>
      <c r="G23069" s="8"/>
      <c r="J23069" s="8"/>
    </row>
    <row r="23070">
      <c r="C23070" s="15"/>
      <c r="E23070" s="8"/>
      <c r="G23070" s="8"/>
      <c r="J23070" s="8"/>
    </row>
    <row r="23071">
      <c r="C23071" s="15"/>
      <c r="E23071" s="8"/>
      <c r="G23071" s="8"/>
      <c r="J23071" s="8"/>
    </row>
    <row r="23072">
      <c r="C23072" s="15"/>
      <c r="E23072" s="8"/>
      <c r="G23072" s="8"/>
      <c r="J23072" s="8"/>
    </row>
    <row r="23073">
      <c r="C23073" s="15"/>
      <c r="E23073" s="8"/>
      <c r="G23073" s="8"/>
      <c r="J23073" s="8"/>
    </row>
    <row r="23074">
      <c r="C23074" s="15"/>
      <c r="E23074" s="8"/>
      <c r="G23074" s="8"/>
      <c r="J23074" s="8"/>
    </row>
    <row r="23075">
      <c r="C23075" s="15"/>
      <c r="E23075" s="8"/>
      <c r="G23075" s="8"/>
      <c r="J23075" s="8"/>
    </row>
    <row r="23076">
      <c r="C23076" s="15"/>
      <c r="E23076" s="8"/>
      <c r="G23076" s="8"/>
      <c r="J23076" s="8"/>
    </row>
    <row r="23077">
      <c r="C23077" s="15"/>
      <c r="E23077" s="8"/>
      <c r="G23077" s="8"/>
      <c r="J23077" s="8"/>
    </row>
    <row r="23078">
      <c r="C23078" s="15"/>
      <c r="E23078" s="8"/>
      <c r="G23078" s="8"/>
      <c r="J23078" s="8"/>
    </row>
    <row r="23079">
      <c r="C23079" s="15"/>
      <c r="E23079" s="8"/>
      <c r="G23079" s="8"/>
      <c r="J23079" s="8"/>
    </row>
    <row r="23080">
      <c r="C23080" s="15"/>
      <c r="E23080" s="8"/>
      <c r="G23080" s="8"/>
      <c r="J23080" s="8"/>
    </row>
    <row r="23081">
      <c r="C23081" s="15"/>
      <c r="E23081" s="8"/>
      <c r="G23081" s="8"/>
      <c r="J23081" s="8"/>
    </row>
    <row r="23082">
      <c r="C23082" s="15"/>
      <c r="E23082" s="8"/>
      <c r="G23082" s="8"/>
      <c r="J23082" s="8"/>
    </row>
    <row r="23083">
      <c r="C23083" s="15"/>
      <c r="E23083" s="8"/>
      <c r="G23083" s="8"/>
      <c r="J23083" s="8"/>
    </row>
    <row r="23084">
      <c r="C23084" s="15"/>
      <c r="E23084" s="8"/>
      <c r="G23084" s="8"/>
      <c r="J23084" s="8"/>
    </row>
    <row r="23085">
      <c r="C23085" s="15"/>
      <c r="E23085" s="8"/>
      <c r="G23085" s="8"/>
      <c r="J23085" s="8"/>
    </row>
    <row r="23086">
      <c r="C23086" s="15"/>
      <c r="E23086" s="8"/>
      <c r="G23086" s="8"/>
      <c r="J23086" s="8"/>
    </row>
    <row r="23087">
      <c r="C23087" s="15"/>
      <c r="E23087" s="8"/>
      <c r="G23087" s="8"/>
      <c r="J23087" s="8"/>
    </row>
    <row r="23088">
      <c r="C23088" s="15"/>
      <c r="E23088" s="8"/>
      <c r="G23088" s="8"/>
      <c r="J23088" s="8"/>
    </row>
    <row r="23089">
      <c r="C23089" s="15"/>
      <c r="E23089" s="8"/>
      <c r="G23089" s="8"/>
      <c r="J23089" s="8"/>
    </row>
    <row r="23090">
      <c r="C23090" s="15"/>
      <c r="E23090" s="8"/>
      <c r="G23090" s="8"/>
      <c r="J23090" s="8"/>
    </row>
    <row r="23091">
      <c r="C23091" s="15"/>
      <c r="E23091" s="8"/>
      <c r="G23091" s="8"/>
      <c r="J23091" s="8"/>
    </row>
    <row r="23092">
      <c r="C23092" s="15"/>
      <c r="E23092" s="8"/>
      <c r="G23092" s="8"/>
      <c r="J23092" s="8"/>
    </row>
    <row r="23093">
      <c r="C23093" s="15"/>
      <c r="E23093" s="8"/>
      <c r="G23093" s="8"/>
      <c r="J23093" s="8"/>
    </row>
    <row r="23094">
      <c r="C23094" s="15"/>
      <c r="E23094" s="8"/>
      <c r="G23094" s="8"/>
      <c r="J23094" s="8"/>
    </row>
    <row r="23095">
      <c r="C23095" s="15"/>
      <c r="E23095" s="8"/>
      <c r="G23095" s="8"/>
      <c r="J23095" s="8"/>
    </row>
    <row r="23096">
      <c r="C23096" s="15"/>
      <c r="E23096" s="8"/>
      <c r="G23096" s="8"/>
      <c r="J23096" s="8"/>
    </row>
    <row r="23097">
      <c r="C23097" s="15"/>
      <c r="E23097" s="8"/>
      <c r="G23097" s="8"/>
      <c r="J23097" s="8"/>
    </row>
    <row r="23098">
      <c r="C23098" s="15"/>
      <c r="E23098" s="8"/>
      <c r="G23098" s="8"/>
      <c r="J23098" s="8"/>
    </row>
    <row r="23099">
      <c r="C23099" s="15"/>
      <c r="E23099" s="8"/>
      <c r="G23099" s="8"/>
      <c r="J23099" s="8"/>
    </row>
    <row r="23100">
      <c r="C23100" s="15"/>
      <c r="E23100" s="8"/>
      <c r="G23100" s="8"/>
      <c r="J23100" s="8"/>
    </row>
    <row r="23101">
      <c r="C23101" s="15"/>
      <c r="E23101" s="8"/>
      <c r="G23101" s="8"/>
      <c r="J23101" s="8"/>
    </row>
    <row r="23102">
      <c r="C23102" s="15"/>
      <c r="E23102" s="8"/>
      <c r="G23102" s="8"/>
      <c r="J23102" s="8"/>
    </row>
    <row r="23103">
      <c r="C23103" s="15"/>
      <c r="E23103" s="8"/>
      <c r="G23103" s="8"/>
      <c r="J23103" s="8"/>
    </row>
    <row r="23104">
      <c r="C23104" s="15"/>
      <c r="E23104" s="8"/>
      <c r="G23104" s="8"/>
      <c r="J23104" s="8"/>
    </row>
    <row r="23105">
      <c r="C23105" s="15"/>
      <c r="E23105" s="8"/>
      <c r="G23105" s="8"/>
      <c r="J23105" s="8"/>
    </row>
    <row r="23106">
      <c r="C23106" s="15"/>
      <c r="E23106" s="8"/>
      <c r="G23106" s="8"/>
      <c r="J23106" s="8"/>
    </row>
    <row r="23107">
      <c r="C23107" s="15"/>
      <c r="E23107" s="8"/>
      <c r="G23107" s="8"/>
      <c r="J23107" s="8"/>
    </row>
    <row r="23108">
      <c r="C23108" s="15"/>
      <c r="E23108" s="8"/>
      <c r="G23108" s="8"/>
      <c r="J23108" s="8"/>
    </row>
    <row r="23109">
      <c r="C23109" s="15"/>
      <c r="E23109" s="8"/>
      <c r="G23109" s="8"/>
      <c r="J23109" s="8"/>
    </row>
    <row r="23110">
      <c r="C23110" s="15"/>
      <c r="E23110" s="8"/>
      <c r="G23110" s="8"/>
      <c r="J23110" s="8"/>
    </row>
    <row r="23111">
      <c r="C23111" s="15"/>
      <c r="E23111" s="8"/>
      <c r="G23111" s="8"/>
      <c r="J23111" s="8"/>
    </row>
    <row r="23112">
      <c r="C23112" s="15"/>
      <c r="E23112" s="8"/>
      <c r="G23112" s="8"/>
      <c r="J23112" s="8"/>
    </row>
    <row r="23113">
      <c r="C23113" s="15"/>
      <c r="E23113" s="8"/>
      <c r="G23113" s="8"/>
      <c r="J23113" s="8"/>
    </row>
    <row r="23114">
      <c r="C23114" s="15"/>
      <c r="E23114" s="8"/>
      <c r="G23114" s="8"/>
      <c r="J23114" s="8"/>
    </row>
    <row r="23115">
      <c r="C23115" s="15"/>
      <c r="E23115" s="8"/>
      <c r="G23115" s="8"/>
      <c r="J23115" s="8"/>
    </row>
    <row r="23116">
      <c r="C23116" s="15"/>
      <c r="E23116" s="8"/>
      <c r="G23116" s="8"/>
      <c r="J23116" s="8"/>
    </row>
    <row r="23117">
      <c r="C23117" s="15"/>
      <c r="E23117" s="8"/>
      <c r="G23117" s="8"/>
      <c r="J23117" s="8"/>
    </row>
    <row r="23118">
      <c r="C23118" s="15"/>
      <c r="E23118" s="8"/>
      <c r="G23118" s="8"/>
      <c r="J23118" s="8"/>
    </row>
    <row r="23119">
      <c r="C23119" s="15"/>
      <c r="E23119" s="8"/>
      <c r="G23119" s="8"/>
      <c r="J23119" s="8"/>
    </row>
    <row r="23120">
      <c r="C23120" s="15"/>
      <c r="E23120" s="8"/>
      <c r="G23120" s="8"/>
      <c r="J23120" s="8"/>
    </row>
    <row r="23121">
      <c r="C23121" s="15"/>
      <c r="E23121" s="8"/>
      <c r="G23121" s="8"/>
      <c r="J23121" s="8"/>
    </row>
    <row r="23122">
      <c r="C23122" s="15"/>
      <c r="E23122" s="8"/>
      <c r="G23122" s="8"/>
      <c r="J23122" s="8"/>
    </row>
    <row r="23123">
      <c r="C23123" s="15"/>
      <c r="E23123" s="8"/>
      <c r="G23123" s="8"/>
      <c r="J23123" s="8"/>
    </row>
    <row r="23124">
      <c r="C23124" s="15"/>
      <c r="E23124" s="8"/>
      <c r="G23124" s="8"/>
      <c r="J23124" s="8"/>
    </row>
    <row r="23125">
      <c r="C23125" s="15"/>
      <c r="E23125" s="8"/>
      <c r="G23125" s="8"/>
      <c r="J23125" s="8"/>
    </row>
    <row r="23126">
      <c r="C23126" s="15"/>
      <c r="E23126" s="8"/>
      <c r="G23126" s="8"/>
      <c r="J23126" s="8"/>
    </row>
    <row r="23127">
      <c r="C23127" s="15"/>
      <c r="E23127" s="8"/>
      <c r="G23127" s="8"/>
      <c r="J23127" s="8"/>
    </row>
    <row r="23128">
      <c r="C23128" s="15"/>
      <c r="E23128" s="8"/>
      <c r="G23128" s="8"/>
      <c r="J23128" s="8"/>
    </row>
    <row r="23129">
      <c r="C23129" s="15"/>
      <c r="E23129" s="8"/>
      <c r="G23129" s="8"/>
      <c r="J23129" s="8"/>
    </row>
    <row r="23130">
      <c r="C23130" s="15"/>
      <c r="E23130" s="8"/>
      <c r="G23130" s="8"/>
      <c r="J23130" s="8"/>
    </row>
    <row r="23131">
      <c r="C23131" s="15"/>
      <c r="E23131" s="8"/>
      <c r="G23131" s="8"/>
      <c r="J23131" s="8"/>
    </row>
    <row r="23132">
      <c r="C23132" s="15"/>
      <c r="E23132" s="8"/>
      <c r="G23132" s="8"/>
      <c r="J23132" s="8"/>
    </row>
    <row r="23133">
      <c r="C23133" s="15"/>
      <c r="E23133" s="8"/>
      <c r="G23133" s="8"/>
      <c r="J23133" s="8"/>
    </row>
    <row r="23134">
      <c r="C23134" s="15"/>
      <c r="E23134" s="8"/>
      <c r="G23134" s="8"/>
      <c r="J23134" s="8"/>
    </row>
    <row r="23135">
      <c r="C23135" s="15"/>
      <c r="E23135" s="8"/>
      <c r="G23135" s="8"/>
      <c r="J23135" s="8"/>
    </row>
    <row r="23136">
      <c r="C23136" s="15"/>
      <c r="E23136" s="8"/>
      <c r="G23136" s="8"/>
      <c r="J23136" s="8"/>
    </row>
    <row r="23137">
      <c r="C23137" s="15"/>
      <c r="E23137" s="8"/>
      <c r="G23137" s="8"/>
      <c r="J23137" s="8"/>
    </row>
    <row r="23138">
      <c r="C23138" s="15"/>
      <c r="E23138" s="8"/>
      <c r="G23138" s="8"/>
      <c r="J23138" s="8"/>
    </row>
    <row r="23139">
      <c r="C23139" s="15"/>
      <c r="E23139" s="8"/>
      <c r="G23139" s="8"/>
      <c r="J23139" s="8"/>
    </row>
    <row r="23140">
      <c r="C23140" s="15"/>
      <c r="E23140" s="8"/>
      <c r="G23140" s="8"/>
      <c r="J23140" s="8"/>
    </row>
    <row r="23141">
      <c r="C23141" s="15"/>
      <c r="E23141" s="8"/>
      <c r="G23141" s="8"/>
      <c r="J23141" s="8"/>
    </row>
    <row r="23142">
      <c r="C23142" s="15"/>
      <c r="E23142" s="8"/>
      <c r="G23142" s="8"/>
      <c r="J23142" s="8"/>
    </row>
    <row r="23143">
      <c r="C23143" s="15"/>
      <c r="E23143" s="8"/>
      <c r="G23143" s="8"/>
      <c r="J23143" s="8"/>
    </row>
    <row r="23144">
      <c r="C23144" s="15"/>
      <c r="E23144" s="8"/>
      <c r="G23144" s="8"/>
      <c r="J23144" s="8"/>
    </row>
    <row r="23145">
      <c r="C23145" s="15"/>
      <c r="E23145" s="8"/>
      <c r="G23145" s="8"/>
      <c r="J23145" s="8"/>
    </row>
    <row r="23146">
      <c r="C23146" s="15"/>
      <c r="E23146" s="8"/>
      <c r="G23146" s="8"/>
      <c r="J23146" s="8"/>
    </row>
    <row r="23147">
      <c r="C23147" s="15"/>
      <c r="E23147" s="8"/>
      <c r="G23147" s="8"/>
      <c r="J23147" s="8"/>
    </row>
    <row r="23148">
      <c r="C23148" s="15"/>
      <c r="E23148" s="8"/>
      <c r="G23148" s="8"/>
      <c r="J23148" s="8"/>
    </row>
    <row r="23149">
      <c r="C23149" s="15"/>
      <c r="E23149" s="8"/>
      <c r="G23149" s="8"/>
      <c r="J23149" s="8"/>
    </row>
    <row r="23150">
      <c r="C23150" s="15"/>
      <c r="E23150" s="8"/>
      <c r="G23150" s="8"/>
      <c r="J23150" s="8"/>
    </row>
    <row r="23151">
      <c r="C23151" s="15"/>
      <c r="E23151" s="8"/>
      <c r="G23151" s="8"/>
      <c r="J23151" s="8"/>
    </row>
    <row r="23152">
      <c r="C23152" s="15"/>
      <c r="E23152" s="8"/>
      <c r="G23152" s="8"/>
      <c r="J23152" s="8"/>
    </row>
    <row r="23153">
      <c r="C23153" s="15"/>
      <c r="E23153" s="8"/>
      <c r="G23153" s="8"/>
      <c r="J23153" s="8"/>
    </row>
    <row r="23154">
      <c r="C23154" s="15"/>
      <c r="E23154" s="8"/>
      <c r="G23154" s="8"/>
      <c r="J23154" s="8"/>
    </row>
    <row r="23155">
      <c r="C23155" s="15"/>
      <c r="E23155" s="8"/>
      <c r="G23155" s="8"/>
      <c r="J23155" s="8"/>
    </row>
    <row r="23156">
      <c r="C23156" s="15"/>
      <c r="E23156" s="8"/>
      <c r="G23156" s="8"/>
      <c r="J23156" s="8"/>
    </row>
    <row r="23157">
      <c r="C23157" s="15"/>
      <c r="E23157" s="8"/>
      <c r="G23157" s="8"/>
      <c r="J23157" s="8"/>
    </row>
    <row r="23158">
      <c r="C23158" s="15"/>
      <c r="E23158" s="8"/>
      <c r="G23158" s="8"/>
      <c r="J23158" s="8"/>
    </row>
    <row r="23159">
      <c r="C23159" s="15"/>
      <c r="E23159" s="8"/>
      <c r="G23159" s="8"/>
      <c r="J23159" s="8"/>
    </row>
    <row r="23160">
      <c r="C23160" s="15"/>
      <c r="E23160" s="8"/>
      <c r="G23160" s="8"/>
      <c r="J23160" s="8"/>
    </row>
    <row r="23161">
      <c r="C23161" s="15"/>
      <c r="E23161" s="8"/>
      <c r="G23161" s="8"/>
      <c r="J23161" s="8"/>
    </row>
    <row r="23162">
      <c r="C23162" s="15"/>
      <c r="E23162" s="8"/>
      <c r="G23162" s="8"/>
      <c r="J23162" s="8"/>
    </row>
    <row r="23163">
      <c r="C23163" s="15"/>
      <c r="E23163" s="8"/>
      <c r="G23163" s="8"/>
      <c r="J23163" s="8"/>
    </row>
    <row r="23164">
      <c r="C23164" s="15"/>
      <c r="E23164" s="8"/>
      <c r="G23164" s="8"/>
      <c r="J23164" s="8"/>
    </row>
    <row r="23165">
      <c r="C23165" s="15"/>
      <c r="E23165" s="8"/>
      <c r="G23165" s="8"/>
      <c r="J23165" s="8"/>
    </row>
    <row r="23166">
      <c r="C23166" s="15"/>
      <c r="E23166" s="8"/>
      <c r="G23166" s="8"/>
      <c r="J23166" s="8"/>
    </row>
    <row r="23167">
      <c r="C23167" s="15"/>
      <c r="E23167" s="8"/>
      <c r="G23167" s="8"/>
      <c r="J23167" s="8"/>
    </row>
    <row r="23168">
      <c r="C23168" s="15"/>
      <c r="E23168" s="8"/>
      <c r="G23168" s="8"/>
      <c r="J23168" s="8"/>
    </row>
    <row r="23169">
      <c r="C23169" s="15"/>
      <c r="E23169" s="8"/>
      <c r="G23169" s="8"/>
      <c r="J23169" s="8"/>
    </row>
    <row r="23170">
      <c r="C23170" s="15"/>
      <c r="E23170" s="8"/>
      <c r="G23170" s="8"/>
      <c r="J23170" s="8"/>
    </row>
    <row r="23171">
      <c r="C23171" s="15"/>
      <c r="E23171" s="8"/>
      <c r="G23171" s="8"/>
      <c r="J23171" s="8"/>
    </row>
    <row r="23172">
      <c r="C23172" s="15"/>
      <c r="E23172" s="8"/>
      <c r="G23172" s="8"/>
      <c r="J23172" s="8"/>
    </row>
    <row r="23173">
      <c r="C23173" s="15"/>
      <c r="E23173" s="8"/>
      <c r="G23173" s="8"/>
      <c r="J23173" s="8"/>
    </row>
    <row r="23174">
      <c r="C23174" s="15"/>
      <c r="E23174" s="8"/>
      <c r="G23174" s="8"/>
      <c r="J23174" s="8"/>
    </row>
    <row r="23175">
      <c r="C23175" s="15"/>
      <c r="E23175" s="8"/>
      <c r="G23175" s="8"/>
      <c r="J23175" s="8"/>
    </row>
    <row r="23176">
      <c r="C23176" s="15"/>
      <c r="E23176" s="8"/>
      <c r="G23176" s="8"/>
      <c r="J23176" s="8"/>
    </row>
    <row r="23177">
      <c r="C23177" s="15"/>
      <c r="E23177" s="8"/>
      <c r="G23177" s="8"/>
      <c r="J23177" s="8"/>
    </row>
    <row r="23178">
      <c r="C23178" s="15"/>
      <c r="E23178" s="8"/>
      <c r="G23178" s="8"/>
      <c r="J23178" s="8"/>
    </row>
    <row r="23179">
      <c r="C23179" s="15"/>
      <c r="E23179" s="8"/>
      <c r="G23179" s="8"/>
      <c r="J23179" s="8"/>
    </row>
    <row r="23180">
      <c r="C23180" s="15"/>
      <c r="E23180" s="8"/>
      <c r="G23180" s="8"/>
      <c r="J23180" s="8"/>
    </row>
    <row r="23181">
      <c r="C23181" s="15"/>
      <c r="E23181" s="8"/>
      <c r="G23181" s="8"/>
      <c r="J23181" s="8"/>
    </row>
    <row r="23182">
      <c r="C23182" s="15"/>
      <c r="E23182" s="8"/>
      <c r="G23182" s="8"/>
      <c r="J23182" s="8"/>
    </row>
    <row r="23183">
      <c r="C23183" s="15"/>
      <c r="E23183" s="8"/>
      <c r="G23183" s="8"/>
      <c r="J23183" s="8"/>
    </row>
    <row r="23184">
      <c r="C23184" s="15"/>
      <c r="E23184" s="8"/>
      <c r="G23184" s="8"/>
      <c r="J23184" s="8"/>
    </row>
    <row r="23185">
      <c r="C23185" s="15"/>
      <c r="E23185" s="8"/>
      <c r="G23185" s="8"/>
      <c r="J23185" s="8"/>
    </row>
    <row r="23186">
      <c r="C23186" s="15"/>
      <c r="E23186" s="8"/>
      <c r="G23186" s="8"/>
      <c r="J23186" s="8"/>
    </row>
    <row r="23187">
      <c r="C23187" s="15"/>
      <c r="E23187" s="8"/>
      <c r="G23187" s="8"/>
      <c r="J23187" s="8"/>
    </row>
    <row r="23188">
      <c r="C23188" s="15"/>
      <c r="E23188" s="8"/>
      <c r="G23188" s="8"/>
      <c r="J23188" s="8"/>
    </row>
    <row r="23189">
      <c r="C23189" s="15"/>
      <c r="E23189" s="8"/>
      <c r="G23189" s="8"/>
      <c r="J23189" s="8"/>
    </row>
    <row r="23190">
      <c r="C23190" s="15"/>
      <c r="E23190" s="8"/>
      <c r="G23190" s="8"/>
      <c r="J23190" s="8"/>
    </row>
    <row r="23191">
      <c r="C23191" s="15"/>
      <c r="E23191" s="8"/>
      <c r="G23191" s="8"/>
      <c r="J23191" s="8"/>
    </row>
    <row r="23192">
      <c r="C23192" s="15"/>
      <c r="E23192" s="8"/>
      <c r="G23192" s="8"/>
      <c r="J23192" s="8"/>
    </row>
    <row r="23193">
      <c r="C23193" s="15"/>
      <c r="E23193" s="8"/>
      <c r="G23193" s="8"/>
      <c r="J23193" s="8"/>
    </row>
    <row r="23194">
      <c r="C23194" s="15"/>
      <c r="E23194" s="8"/>
      <c r="G23194" s="8"/>
      <c r="J23194" s="8"/>
    </row>
    <row r="23195">
      <c r="C23195" s="15"/>
      <c r="E23195" s="8"/>
      <c r="G23195" s="8"/>
      <c r="J23195" s="8"/>
    </row>
    <row r="23196">
      <c r="C23196" s="15"/>
      <c r="E23196" s="8"/>
      <c r="G23196" s="8"/>
      <c r="J23196" s="8"/>
    </row>
    <row r="23197">
      <c r="C23197" s="15"/>
      <c r="E23197" s="8"/>
      <c r="G23197" s="8"/>
      <c r="J23197" s="8"/>
    </row>
    <row r="23198">
      <c r="C23198" s="15"/>
      <c r="E23198" s="8"/>
      <c r="G23198" s="8"/>
      <c r="J23198" s="8"/>
    </row>
    <row r="23199">
      <c r="C23199" s="15"/>
      <c r="E23199" s="8"/>
      <c r="G23199" s="8"/>
      <c r="J23199" s="8"/>
    </row>
    <row r="23200">
      <c r="C23200" s="15"/>
      <c r="E23200" s="8"/>
      <c r="G23200" s="8"/>
      <c r="J23200" s="8"/>
    </row>
    <row r="23201">
      <c r="C23201" s="15"/>
      <c r="E23201" s="8"/>
      <c r="G23201" s="8"/>
      <c r="J23201" s="8"/>
    </row>
    <row r="23202">
      <c r="C23202" s="15"/>
      <c r="E23202" s="8"/>
      <c r="G23202" s="8"/>
      <c r="J23202" s="8"/>
    </row>
    <row r="23203">
      <c r="C23203" s="15"/>
      <c r="E23203" s="8"/>
      <c r="G23203" s="8"/>
      <c r="J23203" s="8"/>
    </row>
    <row r="23204">
      <c r="C23204" s="15"/>
      <c r="E23204" s="8"/>
      <c r="G23204" s="8"/>
      <c r="J23204" s="8"/>
    </row>
    <row r="23205">
      <c r="C23205" s="15"/>
      <c r="E23205" s="8"/>
      <c r="G23205" s="8"/>
      <c r="J23205" s="8"/>
    </row>
    <row r="23206">
      <c r="C23206" s="15"/>
      <c r="E23206" s="8"/>
      <c r="G23206" s="8"/>
      <c r="J23206" s="8"/>
    </row>
    <row r="23207">
      <c r="C23207" s="15"/>
      <c r="E23207" s="8"/>
      <c r="G23207" s="8"/>
      <c r="J23207" s="8"/>
    </row>
    <row r="23208">
      <c r="C23208" s="15"/>
      <c r="E23208" s="8"/>
      <c r="G23208" s="8"/>
      <c r="J23208" s="8"/>
    </row>
    <row r="23209">
      <c r="C23209" s="15"/>
      <c r="E23209" s="8"/>
      <c r="G23209" s="8"/>
      <c r="J23209" s="8"/>
    </row>
    <row r="23210">
      <c r="C23210" s="15"/>
      <c r="E23210" s="8"/>
      <c r="G23210" s="8"/>
      <c r="J23210" s="8"/>
    </row>
    <row r="23211">
      <c r="C23211" s="15"/>
      <c r="E23211" s="8"/>
      <c r="G23211" s="8"/>
      <c r="J23211" s="8"/>
    </row>
    <row r="23212">
      <c r="C23212" s="15"/>
      <c r="E23212" s="8"/>
      <c r="G23212" s="8"/>
      <c r="J23212" s="8"/>
    </row>
    <row r="23213">
      <c r="C23213" s="15"/>
      <c r="E23213" s="8"/>
      <c r="G23213" s="8"/>
      <c r="J23213" s="8"/>
    </row>
    <row r="23214">
      <c r="C23214" s="15"/>
      <c r="E23214" s="8"/>
      <c r="G23214" s="8"/>
      <c r="J23214" s="8"/>
    </row>
    <row r="23215">
      <c r="C23215" s="15"/>
      <c r="E23215" s="8"/>
      <c r="G23215" s="8"/>
      <c r="J23215" s="8"/>
    </row>
    <row r="23216">
      <c r="C23216" s="15"/>
      <c r="E23216" s="8"/>
      <c r="G23216" s="8"/>
      <c r="J23216" s="8"/>
    </row>
    <row r="23217">
      <c r="C23217" s="15"/>
      <c r="E23217" s="8"/>
      <c r="G23217" s="8"/>
      <c r="J23217" s="8"/>
    </row>
    <row r="23218">
      <c r="C23218" s="15"/>
      <c r="E23218" s="8"/>
      <c r="G23218" s="8"/>
      <c r="J23218" s="8"/>
    </row>
    <row r="23219">
      <c r="C23219" s="15"/>
      <c r="E23219" s="8"/>
      <c r="G23219" s="8"/>
      <c r="J23219" s="8"/>
    </row>
    <row r="23220">
      <c r="C23220" s="15"/>
      <c r="E23220" s="8"/>
      <c r="G23220" s="8"/>
      <c r="J23220" s="8"/>
    </row>
    <row r="23221">
      <c r="C23221" s="15"/>
      <c r="E23221" s="8"/>
      <c r="G23221" s="8"/>
      <c r="J23221" s="8"/>
    </row>
    <row r="23222">
      <c r="C23222" s="15"/>
      <c r="E23222" s="8"/>
      <c r="G23222" s="8"/>
      <c r="J23222" s="8"/>
    </row>
    <row r="23223">
      <c r="C23223" s="15"/>
      <c r="E23223" s="8"/>
      <c r="G23223" s="8"/>
      <c r="J23223" s="8"/>
    </row>
    <row r="23224">
      <c r="C23224" s="15"/>
      <c r="E23224" s="8"/>
      <c r="G23224" s="8"/>
      <c r="J23224" s="8"/>
    </row>
    <row r="23225">
      <c r="C23225" s="15"/>
      <c r="E23225" s="8"/>
      <c r="G23225" s="8"/>
      <c r="J23225" s="8"/>
    </row>
    <row r="23226">
      <c r="C23226" s="15"/>
      <c r="E23226" s="8"/>
      <c r="G23226" s="8"/>
      <c r="J23226" s="8"/>
    </row>
    <row r="23227">
      <c r="C23227" s="15"/>
      <c r="E23227" s="8"/>
      <c r="G23227" s="8"/>
      <c r="J23227" s="8"/>
    </row>
    <row r="23228">
      <c r="C23228" s="15"/>
      <c r="E23228" s="8"/>
      <c r="G23228" s="8"/>
      <c r="J23228" s="8"/>
    </row>
    <row r="23229">
      <c r="C23229" s="15"/>
      <c r="E23229" s="8"/>
      <c r="G23229" s="8"/>
      <c r="J23229" s="8"/>
    </row>
    <row r="23230">
      <c r="C23230" s="15"/>
      <c r="E23230" s="8"/>
      <c r="G23230" s="8"/>
      <c r="J23230" s="8"/>
    </row>
    <row r="23231">
      <c r="C23231" s="15"/>
      <c r="E23231" s="8"/>
      <c r="G23231" s="8"/>
      <c r="J23231" s="8"/>
    </row>
    <row r="23232">
      <c r="C23232" s="15"/>
      <c r="E23232" s="8"/>
      <c r="G23232" s="8"/>
      <c r="J23232" s="8"/>
    </row>
    <row r="23233">
      <c r="C23233" s="15"/>
      <c r="E23233" s="8"/>
      <c r="G23233" s="8"/>
      <c r="J23233" s="8"/>
    </row>
    <row r="23234">
      <c r="C23234" s="15"/>
      <c r="E23234" s="8"/>
      <c r="G23234" s="8"/>
      <c r="J23234" s="8"/>
    </row>
    <row r="23235">
      <c r="C23235" s="15"/>
      <c r="E23235" s="8"/>
      <c r="G23235" s="8"/>
      <c r="J23235" s="8"/>
    </row>
    <row r="23236">
      <c r="C23236" s="15"/>
      <c r="E23236" s="8"/>
      <c r="G23236" s="8"/>
      <c r="J23236" s="8"/>
    </row>
    <row r="23237">
      <c r="C23237" s="15"/>
      <c r="E23237" s="8"/>
      <c r="G23237" s="8"/>
      <c r="J23237" s="8"/>
    </row>
    <row r="23238">
      <c r="C23238" s="15"/>
      <c r="E23238" s="8"/>
      <c r="G23238" s="8"/>
      <c r="J23238" s="8"/>
    </row>
    <row r="23239">
      <c r="C23239" s="15"/>
      <c r="E23239" s="8"/>
      <c r="G23239" s="8"/>
      <c r="J23239" s="8"/>
    </row>
    <row r="23240">
      <c r="C23240" s="15"/>
      <c r="E23240" s="8"/>
      <c r="G23240" s="8"/>
      <c r="J23240" s="8"/>
    </row>
    <row r="23241">
      <c r="C23241" s="15"/>
      <c r="E23241" s="8"/>
      <c r="G23241" s="8"/>
      <c r="J23241" s="8"/>
    </row>
    <row r="23242">
      <c r="C23242" s="15"/>
      <c r="E23242" s="8"/>
      <c r="G23242" s="8"/>
      <c r="J23242" s="8"/>
    </row>
    <row r="23243">
      <c r="C23243" s="15"/>
      <c r="E23243" s="8"/>
      <c r="G23243" s="8"/>
      <c r="J23243" s="8"/>
    </row>
    <row r="23244">
      <c r="C23244" s="15"/>
      <c r="E23244" s="8"/>
      <c r="G23244" s="8"/>
      <c r="J23244" s="8"/>
    </row>
    <row r="23245">
      <c r="C23245" s="15"/>
      <c r="E23245" s="8"/>
      <c r="G23245" s="8"/>
      <c r="J23245" s="8"/>
    </row>
    <row r="23246">
      <c r="C23246" s="15"/>
      <c r="E23246" s="8"/>
      <c r="G23246" s="8"/>
      <c r="J23246" s="8"/>
    </row>
    <row r="23247">
      <c r="C23247" s="15"/>
      <c r="E23247" s="8"/>
      <c r="G23247" s="8"/>
      <c r="J23247" s="8"/>
    </row>
    <row r="23248">
      <c r="C23248" s="15"/>
      <c r="E23248" s="8"/>
      <c r="G23248" s="8"/>
      <c r="J23248" s="8"/>
    </row>
    <row r="23249">
      <c r="C23249" s="15"/>
      <c r="E23249" s="8"/>
      <c r="G23249" s="8"/>
      <c r="J23249" s="8"/>
    </row>
    <row r="23250">
      <c r="C23250" s="15"/>
      <c r="E23250" s="8"/>
      <c r="G23250" s="8"/>
      <c r="J23250" s="8"/>
    </row>
    <row r="23251">
      <c r="C23251" s="15"/>
      <c r="E23251" s="8"/>
      <c r="G23251" s="8"/>
      <c r="J23251" s="8"/>
    </row>
    <row r="23252">
      <c r="C23252" s="15"/>
      <c r="E23252" s="8"/>
      <c r="G23252" s="8"/>
      <c r="J23252" s="8"/>
    </row>
    <row r="23253">
      <c r="C23253" s="15"/>
      <c r="E23253" s="8"/>
      <c r="G23253" s="8"/>
      <c r="J23253" s="8"/>
    </row>
    <row r="23254">
      <c r="C23254" s="15"/>
      <c r="E23254" s="8"/>
      <c r="G23254" s="8"/>
      <c r="J23254" s="8"/>
    </row>
    <row r="23255">
      <c r="C23255" s="15"/>
      <c r="E23255" s="8"/>
      <c r="G23255" s="8"/>
      <c r="J23255" s="8"/>
    </row>
    <row r="23256">
      <c r="C23256" s="15"/>
      <c r="E23256" s="8"/>
      <c r="G23256" s="8"/>
      <c r="J23256" s="8"/>
    </row>
    <row r="23257">
      <c r="C23257" s="15"/>
      <c r="E23257" s="8"/>
      <c r="G23257" s="8"/>
      <c r="J23257" s="8"/>
    </row>
    <row r="23258">
      <c r="C23258" s="15"/>
      <c r="E23258" s="8"/>
      <c r="G23258" s="8"/>
      <c r="J23258" s="8"/>
    </row>
    <row r="23259">
      <c r="C23259" s="15"/>
      <c r="E23259" s="8"/>
      <c r="G23259" s="8"/>
      <c r="J23259" s="8"/>
    </row>
    <row r="23260">
      <c r="C23260" s="15"/>
      <c r="E23260" s="8"/>
      <c r="G23260" s="8"/>
      <c r="J23260" s="8"/>
    </row>
    <row r="23261">
      <c r="C23261" s="15"/>
      <c r="E23261" s="8"/>
      <c r="G23261" s="8"/>
      <c r="J23261" s="8"/>
    </row>
    <row r="23262">
      <c r="C23262" s="15"/>
      <c r="E23262" s="8"/>
      <c r="G23262" s="8"/>
      <c r="J23262" s="8"/>
    </row>
    <row r="23263">
      <c r="C23263" s="15"/>
      <c r="E23263" s="8"/>
      <c r="G23263" s="8"/>
      <c r="J23263" s="8"/>
    </row>
    <row r="23264">
      <c r="C23264" s="15"/>
      <c r="E23264" s="8"/>
      <c r="G23264" s="8"/>
      <c r="J23264" s="8"/>
    </row>
    <row r="23265">
      <c r="C23265" s="15"/>
      <c r="E23265" s="8"/>
      <c r="G23265" s="8"/>
      <c r="J23265" s="8"/>
    </row>
    <row r="23266">
      <c r="C23266" s="15"/>
      <c r="E23266" s="8"/>
      <c r="G23266" s="8"/>
      <c r="J23266" s="8"/>
    </row>
    <row r="23267">
      <c r="C23267" s="15"/>
      <c r="E23267" s="8"/>
      <c r="G23267" s="8"/>
      <c r="J23267" s="8"/>
    </row>
    <row r="23268">
      <c r="C23268" s="15"/>
      <c r="E23268" s="8"/>
      <c r="G23268" s="8"/>
      <c r="J23268" s="8"/>
    </row>
    <row r="23269">
      <c r="C23269" s="15"/>
      <c r="E23269" s="8"/>
      <c r="G23269" s="8"/>
      <c r="J23269" s="8"/>
    </row>
    <row r="23270">
      <c r="C23270" s="15"/>
      <c r="E23270" s="8"/>
      <c r="G23270" s="8"/>
      <c r="J23270" s="8"/>
    </row>
    <row r="23271">
      <c r="C23271" s="15"/>
      <c r="E23271" s="8"/>
      <c r="G23271" s="8"/>
      <c r="J23271" s="8"/>
    </row>
    <row r="23272">
      <c r="C23272" s="15"/>
      <c r="E23272" s="8"/>
      <c r="G23272" s="8"/>
      <c r="J23272" s="8"/>
    </row>
    <row r="23273">
      <c r="C23273" s="15"/>
      <c r="E23273" s="8"/>
      <c r="G23273" s="8"/>
      <c r="J23273" s="8"/>
    </row>
    <row r="23274">
      <c r="C23274" s="15"/>
      <c r="E23274" s="8"/>
      <c r="G23274" s="8"/>
      <c r="J23274" s="8"/>
    </row>
    <row r="23275">
      <c r="C23275" s="15"/>
      <c r="E23275" s="8"/>
      <c r="G23275" s="8"/>
      <c r="J23275" s="8"/>
    </row>
    <row r="23276">
      <c r="C23276" s="15"/>
      <c r="E23276" s="8"/>
      <c r="G23276" s="8"/>
      <c r="J23276" s="8"/>
    </row>
    <row r="23277">
      <c r="C23277" s="15"/>
      <c r="E23277" s="8"/>
      <c r="G23277" s="8"/>
      <c r="J23277" s="8"/>
    </row>
    <row r="23278">
      <c r="C23278" s="15"/>
      <c r="E23278" s="8"/>
      <c r="G23278" s="8"/>
      <c r="J23278" s="8"/>
    </row>
    <row r="23279">
      <c r="C23279" s="15"/>
      <c r="E23279" s="8"/>
      <c r="G23279" s="8"/>
      <c r="J23279" s="8"/>
    </row>
    <row r="23280">
      <c r="C23280" s="15"/>
      <c r="E23280" s="8"/>
      <c r="G23280" s="8"/>
      <c r="J23280" s="8"/>
    </row>
    <row r="23281">
      <c r="C23281" s="15"/>
      <c r="E23281" s="8"/>
      <c r="G23281" s="8"/>
      <c r="J23281" s="8"/>
    </row>
    <row r="23282">
      <c r="C23282" s="15"/>
      <c r="E23282" s="8"/>
      <c r="G23282" s="8"/>
      <c r="J23282" s="8"/>
    </row>
    <row r="23283">
      <c r="C23283" s="15"/>
      <c r="E23283" s="8"/>
      <c r="G23283" s="8"/>
      <c r="J23283" s="8"/>
    </row>
    <row r="23284">
      <c r="C23284" s="15"/>
      <c r="E23284" s="8"/>
      <c r="G23284" s="8"/>
      <c r="J23284" s="8"/>
    </row>
    <row r="23285">
      <c r="C23285" s="15"/>
      <c r="E23285" s="8"/>
      <c r="G23285" s="8"/>
      <c r="J23285" s="8"/>
    </row>
    <row r="23286">
      <c r="C23286" s="15"/>
      <c r="E23286" s="8"/>
      <c r="G23286" s="8"/>
      <c r="J23286" s="8"/>
    </row>
    <row r="23287">
      <c r="C23287" s="15"/>
      <c r="E23287" s="8"/>
      <c r="G23287" s="8"/>
      <c r="J23287" s="8"/>
    </row>
    <row r="23288">
      <c r="C23288" s="15"/>
      <c r="E23288" s="8"/>
      <c r="G23288" s="8"/>
      <c r="J23288" s="8"/>
    </row>
    <row r="23289">
      <c r="C23289" s="15"/>
      <c r="E23289" s="8"/>
      <c r="G23289" s="8"/>
      <c r="J23289" s="8"/>
    </row>
    <row r="23290">
      <c r="C23290" s="15"/>
      <c r="E23290" s="8"/>
      <c r="G23290" s="8"/>
      <c r="J23290" s="8"/>
    </row>
    <row r="23291">
      <c r="C23291" s="15"/>
      <c r="E23291" s="8"/>
      <c r="G23291" s="8"/>
      <c r="J23291" s="8"/>
    </row>
    <row r="23292">
      <c r="C23292" s="15"/>
      <c r="E23292" s="8"/>
      <c r="G23292" s="8"/>
      <c r="J23292" s="8"/>
    </row>
    <row r="23293">
      <c r="C23293" s="15"/>
      <c r="E23293" s="8"/>
      <c r="G23293" s="8"/>
      <c r="J23293" s="8"/>
    </row>
    <row r="23294">
      <c r="C23294" s="15"/>
      <c r="E23294" s="8"/>
      <c r="G23294" s="8"/>
      <c r="J23294" s="8"/>
    </row>
    <row r="23295">
      <c r="C23295" s="15"/>
      <c r="E23295" s="8"/>
      <c r="G23295" s="8"/>
      <c r="J23295" s="8"/>
    </row>
    <row r="23296">
      <c r="C23296" s="15"/>
      <c r="E23296" s="8"/>
      <c r="G23296" s="8"/>
      <c r="J23296" s="8"/>
    </row>
    <row r="23297">
      <c r="C23297" s="15"/>
      <c r="E23297" s="8"/>
      <c r="G23297" s="8"/>
      <c r="J23297" s="8"/>
    </row>
    <row r="23298">
      <c r="C23298" s="15"/>
      <c r="E23298" s="8"/>
      <c r="G23298" s="8"/>
      <c r="J23298" s="8"/>
    </row>
    <row r="23299">
      <c r="C23299" s="15"/>
      <c r="E23299" s="8"/>
      <c r="G23299" s="8"/>
      <c r="J23299" s="8"/>
    </row>
    <row r="23300">
      <c r="C23300" s="15"/>
      <c r="E23300" s="8"/>
      <c r="G23300" s="8"/>
      <c r="J23300" s="8"/>
    </row>
    <row r="23301">
      <c r="C23301" s="15"/>
      <c r="E23301" s="8"/>
      <c r="G23301" s="8"/>
      <c r="J23301" s="8"/>
    </row>
    <row r="23302">
      <c r="C23302" s="15"/>
      <c r="E23302" s="8"/>
      <c r="G23302" s="8"/>
      <c r="J23302" s="8"/>
    </row>
    <row r="23303">
      <c r="C23303" s="15"/>
      <c r="E23303" s="8"/>
      <c r="G23303" s="8"/>
      <c r="J23303" s="8"/>
    </row>
    <row r="23304">
      <c r="C23304" s="15"/>
      <c r="E23304" s="8"/>
      <c r="G23304" s="8"/>
      <c r="J23304" s="8"/>
    </row>
    <row r="23305">
      <c r="C23305" s="15"/>
      <c r="E23305" s="8"/>
      <c r="G23305" s="8"/>
      <c r="J23305" s="8"/>
    </row>
    <row r="23306">
      <c r="C23306" s="15"/>
      <c r="E23306" s="8"/>
      <c r="G23306" s="8"/>
      <c r="J23306" s="8"/>
    </row>
    <row r="23307">
      <c r="C23307" s="15"/>
      <c r="E23307" s="8"/>
      <c r="G23307" s="8"/>
      <c r="J23307" s="8"/>
    </row>
    <row r="23308">
      <c r="C23308" s="15"/>
      <c r="E23308" s="8"/>
      <c r="G23308" s="8"/>
      <c r="J23308" s="8"/>
    </row>
    <row r="23309">
      <c r="C23309" s="15"/>
      <c r="E23309" s="8"/>
      <c r="G23309" s="8"/>
      <c r="J23309" s="8"/>
    </row>
    <row r="23310">
      <c r="C23310" s="15"/>
      <c r="E23310" s="8"/>
      <c r="G23310" s="8"/>
      <c r="J23310" s="8"/>
    </row>
    <row r="23311">
      <c r="C23311" s="15"/>
      <c r="E23311" s="8"/>
      <c r="G23311" s="8"/>
      <c r="J23311" s="8"/>
    </row>
    <row r="23312">
      <c r="C23312" s="15"/>
      <c r="E23312" s="8"/>
      <c r="G23312" s="8"/>
      <c r="J23312" s="8"/>
    </row>
    <row r="23313">
      <c r="C23313" s="15"/>
      <c r="E23313" s="8"/>
      <c r="G23313" s="8"/>
      <c r="J23313" s="8"/>
    </row>
    <row r="23314">
      <c r="C23314" s="15"/>
      <c r="E23314" s="8"/>
      <c r="G23314" s="8"/>
      <c r="J23314" s="8"/>
    </row>
    <row r="23315">
      <c r="C23315" s="15"/>
      <c r="E23315" s="8"/>
      <c r="G23315" s="8"/>
      <c r="J23315" s="8"/>
    </row>
    <row r="23316">
      <c r="C23316" s="15"/>
      <c r="E23316" s="8"/>
      <c r="G23316" s="8"/>
      <c r="J23316" s="8"/>
    </row>
    <row r="23317">
      <c r="C23317" s="15"/>
      <c r="E23317" s="8"/>
      <c r="G23317" s="8"/>
      <c r="J23317" s="8"/>
    </row>
    <row r="23318">
      <c r="C23318" s="15"/>
      <c r="E23318" s="8"/>
      <c r="G23318" s="8"/>
      <c r="J23318" s="8"/>
    </row>
    <row r="23319">
      <c r="C23319" s="15"/>
      <c r="E23319" s="8"/>
      <c r="G23319" s="8"/>
      <c r="J23319" s="8"/>
    </row>
    <row r="23320">
      <c r="C23320" s="15"/>
      <c r="E23320" s="8"/>
      <c r="G23320" s="8"/>
      <c r="J23320" s="8"/>
    </row>
    <row r="23321">
      <c r="C23321" s="15"/>
      <c r="E23321" s="8"/>
      <c r="G23321" s="8"/>
      <c r="J23321" s="8"/>
    </row>
    <row r="23322">
      <c r="C23322" s="15"/>
      <c r="E23322" s="8"/>
      <c r="G23322" s="8"/>
      <c r="J23322" s="8"/>
    </row>
    <row r="23323">
      <c r="C23323" s="15"/>
      <c r="E23323" s="8"/>
      <c r="G23323" s="8"/>
      <c r="J23323" s="8"/>
    </row>
    <row r="23324">
      <c r="C23324" s="15"/>
      <c r="E23324" s="8"/>
      <c r="G23324" s="8"/>
      <c r="J23324" s="8"/>
    </row>
    <row r="23325">
      <c r="C23325" s="15"/>
      <c r="E23325" s="8"/>
      <c r="G23325" s="8"/>
      <c r="J23325" s="8"/>
    </row>
    <row r="23326">
      <c r="C23326" s="15"/>
      <c r="E23326" s="8"/>
      <c r="G23326" s="8"/>
      <c r="J23326" s="8"/>
    </row>
    <row r="23327">
      <c r="C23327" s="15"/>
      <c r="E23327" s="8"/>
      <c r="G23327" s="8"/>
      <c r="J23327" s="8"/>
    </row>
    <row r="23328">
      <c r="C23328" s="15"/>
      <c r="E23328" s="8"/>
      <c r="G23328" s="8"/>
      <c r="J23328" s="8"/>
    </row>
    <row r="23329">
      <c r="C23329" s="15"/>
      <c r="E23329" s="8"/>
      <c r="G23329" s="8"/>
      <c r="J23329" s="8"/>
    </row>
    <row r="23330">
      <c r="C23330" s="15"/>
      <c r="E23330" s="8"/>
      <c r="G23330" s="8"/>
      <c r="J23330" s="8"/>
    </row>
    <row r="23331">
      <c r="C23331" s="15"/>
      <c r="E23331" s="8"/>
      <c r="G23331" s="8"/>
      <c r="J23331" s="8"/>
    </row>
    <row r="23332">
      <c r="C23332" s="15"/>
      <c r="E23332" s="8"/>
      <c r="G23332" s="8"/>
      <c r="J23332" s="8"/>
    </row>
    <row r="23333">
      <c r="C23333" s="15"/>
      <c r="E23333" s="8"/>
      <c r="G23333" s="8"/>
      <c r="J23333" s="8"/>
    </row>
    <row r="23334">
      <c r="C23334" s="15"/>
      <c r="E23334" s="8"/>
      <c r="G23334" s="8"/>
      <c r="J23334" s="8"/>
    </row>
    <row r="23335">
      <c r="C23335" s="15"/>
      <c r="E23335" s="8"/>
      <c r="G23335" s="8"/>
      <c r="J23335" s="8"/>
    </row>
    <row r="23336">
      <c r="C23336" s="15"/>
      <c r="E23336" s="8"/>
      <c r="G23336" s="8"/>
      <c r="J23336" s="8"/>
    </row>
    <row r="23337">
      <c r="C23337" s="15"/>
      <c r="E23337" s="8"/>
      <c r="G23337" s="8"/>
      <c r="J23337" s="8"/>
    </row>
    <row r="23338">
      <c r="C23338" s="15"/>
      <c r="E23338" s="8"/>
      <c r="G23338" s="8"/>
      <c r="J23338" s="8"/>
    </row>
    <row r="23339">
      <c r="C23339" s="15"/>
      <c r="E23339" s="8"/>
      <c r="G23339" s="8"/>
      <c r="J23339" s="8"/>
    </row>
    <row r="23340">
      <c r="C23340" s="15"/>
      <c r="E23340" s="8"/>
      <c r="G23340" s="8"/>
      <c r="J23340" s="8"/>
    </row>
    <row r="23341">
      <c r="C23341" s="15"/>
      <c r="E23341" s="8"/>
      <c r="G23341" s="8"/>
      <c r="J23341" s="8"/>
    </row>
    <row r="23342">
      <c r="C23342" s="15"/>
      <c r="E23342" s="8"/>
      <c r="G23342" s="8"/>
      <c r="J23342" s="8"/>
    </row>
    <row r="23343">
      <c r="C23343" s="15"/>
      <c r="E23343" s="8"/>
      <c r="G23343" s="8"/>
      <c r="J23343" s="8"/>
    </row>
    <row r="23344">
      <c r="C23344" s="15"/>
      <c r="E23344" s="8"/>
      <c r="G23344" s="8"/>
      <c r="J23344" s="8"/>
    </row>
    <row r="23345">
      <c r="C23345" s="15"/>
      <c r="E23345" s="8"/>
      <c r="G23345" s="8"/>
      <c r="J23345" s="8"/>
    </row>
    <row r="23346">
      <c r="C23346" s="15"/>
      <c r="E23346" s="8"/>
      <c r="G23346" s="8"/>
      <c r="J23346" s="8"/>
    </row>
    <row r="23347">
      <c r="C23347" s="15"/>
      <c r="E23347" s="8"/>
      <c r="G23347" s="8"/>
      <c r="J23347" s="8"/>
    </row>
    <row r="23348">
      <c r="C23348" s="15"/>
      <c r="E23348" s="8"/>
      <c r="G23348" s="8"/>
      <c r="J23348" s="8"/>
    </row>
    <row r="23349">
      <c r="C23349" s="15"/>
      <c r="E23349" s="8"/>
      <c r="G23349" s="8"/>
      <c r="J23349" s="8"/>
    </row>
    <row r="23350">
      <c r="C23350" s="15"/>
      <c r="E23350" s="8"/>
      <c r="G23350" s="8"/>
      <c r="J23350" s="8"/>
    </row>
    <row r="23351">
      <c r="C23351" s="15"/>
      <c r="E23351" s="8"/>
      <c r="G23351" s="8"/>
      <c r="J23351" s="8"/>
    </row>
    <row r="23352">
      <c r="C23352" s="15"/>
      <c r="E23352" s="8"/>
      <c r="G23352" s="8"/>
      <c r="J23352" s="8"/>
    </row>
    <row r="23353">
      <c r="C23353" s="15"/>
      <c r="E23353" s="8"/>
      <c r="G23353" s="8"/>
      <c r="J23353" s="8"/>
    </row>
    <row r="23354">
      <c r="C23354" s="15"/>
      <c r="E23354" s="8"/>
      <c r="G23354" s="8"/>
      <c r="J23354" s="8"/>
    </row>
    <row r="23355">
      <c r="C23355" s="15"/>
      <c r="E23355" s="8"/>
      <c r="G23355" s="8"/>
      <c r="J23355" s="8"/>
    </row>
    <row r="23356">
      <c r="C23356" s="15"/>
      <c r="E23356" s="8"/>
      <c r="G23356" s="8"/>
      <c r="J23356" s="8"/>
    </row>
    <row r="23357">
      <c r="C23357" s="15"/>
      <c r="E23357" s="8"/>
      <c r="G23357" s="8"/>
      <c r="J23357" s="8"/>
    </row>
    <row r="23358">
      <c r="C23358" s="15"/>
      <c r="E23358" s="8"/>
      <c r="G23358" s="8"/>
      <c r="J23358" s="8"/>
    </row>
    <row r="23359">
      <c r="C23359" s="15"/>
      <c r="E23359" s="8"/>
      <c r="G23359" s="8"/>
      <c r="J23359" s="8"/>
    </row>
    <row r="23360">
      <c r="C23360" s="15"/>
      <c r="E23360" s="8"/>
      <c r="G23360" s="8"/>
      <c r="J23360" s="8"/>
    </row>
    <row r="23361">
      <c r="C23361" s="15"/>
      <c r="E23361" s="8"/>
      <c r="G23361" s="8"/>
      <c r="J23361" s="8"/>
    </row>
    <row r="23362">
      <c r="C23362" s="15"/>
      <c r="E23362" s="8"/>
      <c r="G23362" s="8"/>
      <c r="J23362" s="8"/>
    </row>
    <row r="23363">
      <c r="C23363" s="15"/>
      <c r="E23363" s="8"/>
      <c r="G23363" s="8"/>
      <c r="J23363" s="8"/>
    </row>
    <row r="23364">
      <c r="C23364" s="15"/>
      <c r="E23364" s="8"/>
      <c r="G23364" s="8"/>
      <c r="J23364" s="8"/>
    </row>
    <row r="23365">
      <c r="C23365" s="15"/>
      <c r="E23365" s="8"/>
      <c r="G23365" s="8"/>
      <c r="J23365" s="8"/>
    </row>
    <row r="23366">
      <c r="C23366" s="15"/>
      <c r="E23366" s="8"/>
      <c r="G23366" s="8"/>
      <c r="J23366" s="8"/>
    </row>
    <row r="23367">
      <c r="C23367" s="15"/>
      <c r="E23367" s="8"/>
      <c r="G23367" s="8"/>
      <c r="J23367" s="8"/>
    </row>
    <row r="23368">
      <c r="C23368" s="15"/>
      <c r="E23368" s="8"/>
      <c r="G23368" s="8"/>
      <c r="J23368" s="8"/>
    </row>
    <row r="23369">
      <c r="C23369" s="15"/>
      <c r="E23369" s="8"/>
      <c r="G23369" s="8"/>
      <c r="J23369" s="8"/>
    </row>
    <row r="23370">
      <c r="C23370" s="15"/>
      <c r="E23370" s="8"/>
      <c r="G23370" s="8"/>
      <c r="J23370" s="8"/>
    </row>
    <row r="23371">
      <c r="C23371" s="15"/>
      <c r="E23371" s="8"/>
      <c r="G23371" s="8"/>
      <c r="J23371" s="8"/>
    </row>
    <row r="23372">
      <c r="C23372" s="15"/>
      <c r="E23372" s="8"/>
      <c r="G23372" s="8"/>
      <c r="J23372" s="8"/>
    </row>
    <row r="23373">
      <c r="C23373" s="15"/>
      <c r="E23373" s="8"/>
      <c r="G23373" s="8"/>
      <c r="J23373" s="8"/>
    </row>
    <row r="23374">
      <c r="C23374" s="15"/>
      <c r="E23374" s="8"/>
      <c r="G23374" s="8"/>
      <c r="J23374" s="8"/>
    </row>
    <row r="23375">
      <c r="C23375" s="15"/>
      <c r="E23375" s="8"/>
      <c r="G23375" s="8"/>
      <c r="J23375" s="8"/>
    </row>
    <row r="23376">
      <c r="C23376" s="15"/>
      <c r="E23376" s="8"/>
      <c r="G23376" s="8"/>
      <c r="J23376" s="8"/>
    </row>
    <row r="23377">
      <c r="C23377" s="15"/>
      <c r="E23377" s="8"/>
      <c r="G23377" s="8"/>
      <c r="J23377" s="8"/>
    </row>
    <row r="23378">
      <c r="C23378" s="15"/>
      <c r="E23378" s="8"/>
      <c r="G23378" s="8"/>
      <c r="J23378" s="8"/>
    </row>
    <row r="23379">
      <c r="C23379" s="15"/>
      <c r="E23379" s="8"/>
      <c r="G23379" s="8"/>
      <c r="J23379" s="8"/>
    </row>
    <row r="23380">
      <c r="C23380" s="15"/>
      <c r="E23380" s="8"/>
      <c r="G23380" s="8"/>
      <c r="J23380" s="8"/>
    </row>
    <row r="23381">
      <c r="C23381" s="15"/>
      <c r="E23381" s="8"/>
      <c r="G23381" s="8"/>
      <c r="J23381" s="8"/>
    </row>
    <row r="23382">
      <c r="C23382" s="15"/>
      <c r="E23382" s="8"/>
      <c r="G23382" s="8"/>
      <c r="J23382" s="8"/>
    </row>
    <row r="23383">
      <c r="C23383" s="15"/>
      <c r="E23383" s="8"/>
      <c r="G23383" s="8"/>
      <c r="J23383" s="8"/>
    </row>
    <row r="23384">
      <c r="C23384" s="15"/>
      <c r="E23384" s="8"/>
      <c r="G23384" s="8"/>
      <c r="J23384" s="8"/>
    </row>
    <row r="23385">
      <c r="C23385" s="15"/>
      <c r="E23385" s="8"/>
      <c r="G23385" s="8"/>
      <c r="J23385" s="8"/>
    </row>
    <row r="23386">
      <c r="C23386" s="15"/>
      <c r="E23386" s="8"/>
      <c r="G23386" s="8"/>
      <c r="J23386" s="8"/>
    </row>
    <row r="23387">
      <c r="C23387" s="15"/>
      <c r="E23387" s="8"/>
      <c r="G23387" s="8"/>
      <c r="J23387" s="8"/>
    </row>
    <row r="23388">
      <c r="C23388" s="15"/>
      <c r="E23388" s="8"/>
      <c r="G23388" s="8"/>
      <c r="J23388" s="8"/>
    </row>
    <row r="23389">
      <c r="C23389" s="15"/>
      <c r="E23389" s="8"/>
      <c r="G23389" s="8"/>
      <c r="J23389" s="8"/>
    </row>
    <row r="23390">
      <c r="C23390" s="15"/>
      <c r="E23390" s="8"/>
      <c r="G23390" s="8"/>
      <c r="J23390" s="8"/>
    </row>
    <row r="23391">
      <c r="C23391" s="15"/>
      <c r="E23391" s="8"/>
      <c r="G23391" s="8"/>
      <c r="J23391" s="8"/>
    </row>
    <row r="23392">
      <c r="C23392" s="15"/>
      <c r="E23392" s="8"/>
      <c r="G23392" s="8"/>
      <c r="J23392" s="8"/>
    </row>
    <row r="23393">
      <c r="C23393" s="15"/>
      <c r="E23393" s="8"/>
      <c r="G23393" s="8"/>
      <c r="J23393" s="8"/>
    </row>
    <row r="23394">
      <c r="C23394" s="15"/>
      <c r="E23394" s="8"/>
      <c r="G23394" s="8"/>
      <c r="J23394" s="8"/>
    </row>
    <row r="23395">
      <c r="C23395" s="15"/>
      <c r="E23395" s="8"/>
      <c r="G23395" s="8"/>
      <c r="J23395" s="8"/>
    </row>
    <row r="23396">
      <c r="C23396" s="15"/>
      <c r="E23396" s="8"/>
      <c r="G23396" s="8"/>
      <c r="J23396" s="8"/>
    </row>
    <row r="23397">
      <c r="C23397" s="15"/>
      <c r="E23397" s="8"/>
      <c r="G23397" s="8"/>
      <c r="J23397" s="8"/>
    </row>
    <row r="23398">
      <c r="C23398" s="15"/>
      <c r="E23398" s="8"/>
      <c r="G23398" s="8"/>
      <c r="J23398" s="8"/>
    </row>
    <row r="23399">
      <c r="C23399" s="15"/>
      <c r="E23399" s="8"/>
      <c r="G23399" s="8"/>
      <c r="J23399" s="8"/>
    </row>
    <row r="23400">
      <c r="C23400" s="15"/>
      <c r="E23400" s="8"/>
      <c r="G23400" s="8"/>
      <c r="J23400" s="8"/>
    </row>
    <row r="23401">
      <c r="C23401" s="15"/>
      <c r="E23401" s="8"/>
      <c r="G23401" s="8"/>
      <c r="J23401" s="8"/>
    </row>
    <row r="23402">
      <c r="C23402" s="15"/>
      <c r="E23402" s="8"/>
      <c r="G23402" s="8"/>
      <c r="J23402" s="8"/>
    </row>
    <row r="23403">
      <c r="C23403" s="15"/>
      <c r="E23403" s="8"/>
      <c r="G23403" s="8"/>
      <c r="J23403" s="8"/>
    </row>
    <row r="23404">
      <c r="C23404" s="15"/>
      <c r="E23404" s="8"/>
      <c r="G23404" s="8"/>
      <c r="J23404" s="8"/>
    </row>
    <row r="23405">
      <c r="C23405" s="15"/>
      <c r="E23405" s="8"/>
      <c r="G23405" s="8"/>
      <c r="J23405" s="8"/>
    </row>
    <row r="23406">
      <c r="C23406" s="15"/>
      <c r="E23406" s="8"/>
      <c r="G23406" s="8"/>
      <c r="J23406" s="8"/>
    </row>
    <row r="23407">
      <c r="C23407" s="15"/>
      <c r="E23407" s="8"/>
      <c r="G23407" s="8"/>
      <c r="J23407" s="8"/>
    </row>
    <row r="23408">
      <c r="C23408" s="15"/>
      <c r="E23408" s="8"/>
      <c r="G23408" s="8"/>
      <c r="J23408" s="8"/>
    </row>
    <row r="23409">
      <c r="C23409" s="15"/>
      <c r="E23409" s="8"/>
      <c r="G23409" s="8"/>
      <c r="J23409" s="8"/>
    </row>
    <row r="23410">
      <c r="C23410" s="15"/>
      <c r="E23410" s="8"/>
      <c r="G23410" s="8"/>
      <c r="J23410" s="8"/>
    </row>
    <row r="23411">
      <c r="C23411" s="15"/>
      <c r="E23411" s="8"/>
      <c r="G23411" s="8"/>
      <c r="J23411" s="8"/>
    </row>
    <row r="23412">
      <c r="C23412" s="15"/>
      <c r="E23412" s="8"/>
      <c r="G23412" s="8"/>
      <c r="J23412" s="8"/>
    </row>
    <row r="23413">
      <c r="C23413" s="15"/>
      <c r="E23413" s="8"/>
      <c r="G23413" s="8"/>
      <c r="J23413" s="8"/>
    </row>
    <row r="23414">
      <c r="C23414" s="15"/>
      <c r="E23414" s="8"/>
      <c r="G23414" s="8"/>
      <c r="J23414" s="8"/>
    </row>
    <row r="23415">
      <c r="C23415" s="15"/>
      <c r="E23415" s="8"/>
      <c r="G23415" s="8"/>
      <c r="J23415" s="8"/>
    </row>
    <row r="23416">
      <c r="C23416" s="15"/>
      <c r="E23416" s="8"/>
      <c r="G23416" s="8"/>
      <c r="J23416" s="8"/>
    </row>
    <row r="23417">
      <c r="C23417" s="15"/>
      <c r="E23417" s="8"/>
      <c r="G23417" s="8"/>
      <c r="J23417" s="8"/>
    </row>
    <row r="23418">
      <c r="C23418" s="15"/>
      <c r="E23418" s="8"/>
      <c r="G23418" s="8"/>
      <c r="J23418" s="8"/>
    </row>
    <row r="23419">
      <c r="C23419" s="15"/>
      <c r="E23419" s="8"/>
      <c r="G23419" s="8"/>
      <c r="J23419" s="8"/>
    </row>
    <row r="23420">
      <c r="C23420" s="15"/>
      <c r="E23420" s="8"/>
      <c r="G23420" s="8"/>
      <c r="J23420" s="8"/>
    </row>
    <row r="23421">
      <c r="C23421" s="15"/>
      <c r="E23421" s="8"/>
      <c r="G23421" s="8"/>
      <c r="J23421" s="8"/>
    </row>
    <row r="23422">
      <c r="C23422" s="15"/>
      <c r="E23422" s="8"/>
      <c r="G23422" s="8"/>
      <c r="J23422" s="8"/>
    </row>
    <row r="23423">
      <c r="C23423" s="15"/>
      <c r="E23423" s="8"/>
      <c r="G23423" s="8"/>
      <c r="J23423" s="8"/>
    </row>
    <row r="23424">
      <c r="C23424" s="15"/>
      <c r="E23424" s="8"/>
      <c r="G23424" s="8"/>
      <c r="J23424" s="8"/>
    </row>
    <row r="23425">
      <c r="C23425" s="15"/>
      <c r="E23425" s="8"/>
      <c r="G23425" s="8"/>
      <c r="J23425" s="8"/>
    </row>
    <row r="23426">
      <c r="C23426" s="15"/>
      <c r="E23426" s="8"/>
      <c r="G23426" s="8"/>
      <c r="J23426" s="8"/>
    </row>
    <row r="23427">
      <c r="C23427" s="15"/>
      <c r="E23427" s="8"/>
      <c r="G23427" s="8"/>
      <c r="J23427" s="8"/>
    </row>
    <row r="23428">
      <c r="C23428" s="15"/>
      <c r="E23428" s="8"/>
      <c r="G23428" s="8"/>
      <c r="J23428" s="8"/>
    </row>
    <row r="23429">
      <c r="C23429" s="15"/>
      <c r="E23429" s="8"/>
      <c r="G23429" s="8"/>
      <c r="J23429" s="8"/>
    </row>
    <row r="23430">
      <c r="C23430" s="15"/>
      <c r="E23430" s="8"/>
      <c r="G23430" s="8"/>
      <c r="J23430" s="8"/>
    </row>
    <row r="23431">
      <c r="C23431" s="15"/>
      <c r="E23431" s="8"/>
      <c r="G23431" s="8"/>
      <c r="J23431" s="8"/>
    </row>
    <row r="23432">
      <c r="C23432" s="15"/>
      <c r="E23432" s="8"/>
      <c r="G23432" s="8"/>
      <c r="J23432" s="8"/>
    </row>
    <row r="23433">
      <c r="C23433" s="15"/>
      <c r="E23433" s="8"/>
      <c r="G23433" s="8"/>
      <c r="J23433" s="8"/>
    </row>
    <row r="23434">
      <c r="C23434" s="15"/>
      <c r="E23434" s="8"/>
      <c r="G23434" s="8"/>
      <c r="J23434" s="8"/>
    </row>
    <row r="23435">
      <c r="C23435" s="15"/>
      <c r="E23435" s="8"/>
      <c r="G23435" s="8"/>
      <c r="J23435" s="8"/>
    </row>
    <row r="23436">
      <c r="C23436" s="15"/>
      <c r="E23436" s="8"/>
      <c r="G23436" s="8"/>
      <c r="J23436" s="8"/>
    </row>
    <row r="23437">
      <c r="C23437" s="15"/>
      <c r="E23437" s="8"/>
      <c r="G23437" s="8"/>
      <c r="J23437" s="8"/>
    </row>
    <row r="23438">
      <c r="C23438" s="15"/>
      <c r="E23438" s="8"/>
      <c r="G23438" s="8"/>
      <c r="J23438" s="8"/>
    </row>
    <row r="23439">
      <c r="C23439" s="15"/>
      <c r="E23439" s="8"/>
      <c r="G23439" s="8"/>
      <c r="J23439" s="8"/>
    </row>
    <row r="23440">
      <c r="C23440" s="15"/>
      <c r="E23440" s="8"/>
      <c r="G23440" s="8"/>
      <c r="J23440" s="8"/>
    </row>
    <row r="23441">
      <c r="C23441" s="15"/>
      <c r="E23441" s="8"/>
      <c r="G23441" s="8"/>
      <c r="J23441" s="8"/>
    </row>
    <row r="23442">
      <c r="C23442" s="15"/>
      <c r="E23442" s="8"/>
      <c r="G23442" s="8"/>
      <c r="J23442" s="8"/>
    </row>
    <row r="23443">
      <c r="C23443" s="15"/>
      <c r="E23443" s="8"/>
      <c r="G23443" s="8"/>
      <c r="J23443" s="8"/>
    </row>
    <row r="23444">
      <c r="C23444" s="15"/>
      <c r="E23444" s="8"/>
      <c r="G23444" s="8"/>
      <c r="J23444" s="8"/>
    </row>
    <row r="23445">
      <c r="C23445" s="15"/>
      <c r="E23445" s="8"/>
      <c r="G23445" s="8"/>
      <c r="J23445" s="8"/>
    </row>
    <row r="23446">
      <c r="C23446" s="15"/>
      <c r="E23446" s="8"/>
      <c r="G23446" s="8"/>
      <c r="J23446" s="8"/>
    </row>
    <row r="23447">
      <c r="C23447" s="15"/>
      <c r="E23447" s="8"/>
      <c r="G23447" s="8"/>
      <c r="J23447" s="8"/>
    </row>
    <row r="23448">
      <c r="C23448" s="15"/>
      <c r="E23448" s="8"/>
      <c r="G23448" s="8"/>
      <c r="J23448" s="8"/>
    </row>
    <row r="23449">
      <c r="C23449" s="15"/>
      <c r="E23449" s="8"/>
      <c r="G23449" s="8"/>
      <c r="J23449" s="8"/>
    </row>
    <row r="23450">
      <c r="C23450" s="15"/>
      <c r="E23450" s="8"/>
      <c r="G23450" s="8"/>
      <c r="J23450" s="8"/>
    </row>
    <row r="23451">
      <c r="C23451" s="15"/>
      <c r="E23451" s="8"/>
      <c r="G23451" s="8"/>
      <c r="J23451" s="8"/>
    </row>
    <row r="23452">
      <c r="C23452" s="15"/>
      <c r="E23452" s="8"/>
      <c r="G23452" s="8"/>
      <c r="J23452" s="8"/>
    </row>
    <row r="23453">
      <c r="C23453" s="15"/>
      <c r="E23453" s="8"/>
      <c r="G23453" s="8"/>
      <c r="J23453" s="8"/>
    </row>
    <row r="23454">
      <c r="C23454" s="15"/>
      <c r="E23454" s="8"/>
      <c r="G23454" s="8"/>
      <c r="J23454" s="8"/>
    </row>
    <row r="23455">
      <c r="C23455" s="15"/>
      <c r="E23455" s="8"/>
      <c r="G23455" s="8"/>
      <c r="J23455" s="8"/>
    </row>
    <row r="23456">
      <c r="C23456" s="15"/>
      <c r="E23456" s="8"/>
      <c r="G23456" s="8"/>
      <c r="J23456" s="8"/>
    </row>
    <row r="23457">
      <c r="C23457" s="15"/>
      <c r="E23457" s="8"/>
      <c r="G23457" s="8"/>
      <c r="J23457" s="8"/>
    </row>
    <row r="23458">
      <c r="C23458" s="15"/>
      <c r="E23458" s="8"/>
      <c r="G23458" s="8"/>
      <c r="J23458" s="8"/>
    </row>
    <row r="23459">
      <c r="C23459" s="15"/>
      <c r="E23459" s="8"/>
      <c r="G23459" s="8"/>
      <c r="J23459" s="8"/>
    </row>
    <row r="23460">
      <c r="C23460" s="15"/>
      <c r="E23460" s="8"/>
      <c r="G23460" s="8"/>
      <c r="J23460" s="8"/>
    </row>
    <row r="23461">
      <c r="C23461" s="15"/>
      <c r="E23461" s="8"/>
      <c r="G23461" s="8"/>
      <c r="J23461" s="8"/>
    </row>
    <row r="23462">
      <c r="C23462" s="15"/>
      <c r="E23462" s="8"/>
      <c r="G23462" s="8"/>
      <c r="J23462" s="8"/>
    </row>
    <row r="23463">
      <c r="C23463" s="15"/>
      <c r="E23463" s="8"/>
      <c r="G23463" s="8"/>
      <c r="J23463" s="8"/>
    </row>
    <row r="23464">
      <c r="C23464" s="15"/>
      <c r="E23464" s="8"/>
      <c r="G23464" s="8"/>
      <c r="J23464" s="8"/>
    </row>
    <row r="23465">
      <c r="C23465" s="15"/>
      <c r="E23465" s="8"/>
      <c r="G23465" s="8"/>
      <c r="J23465" s="8"/>
    </row>
    <row r="23466">
      <c r="C23466" s="15"/>
      <c r="E23466" s="8"/>
      <c r="G23466" s="8"/>
      <c r="J23466" s="8"/>
    </row>
    <row r="23467">
      <c r="C23467" s="15"/>
      <c r="E23467" s="8"/>
      <c r="G23467" s="8"/>
      <c r="J23467" s="8"/>
    </row>
    <row r="23468">
      <c r="C23468" s="15"/>
      <c r="E23468" s="8"/>
      <c r="G23468" s="8"/>
      <c r="J23468" s="8"/>
    </row>
    <row r="23469">
      <c r="C23469" s="15"/>
      <c r="E23469" s="8"/>
      <c r="G23469" s="8"/>
      <c r="J23469" s="8"/>
    </row>
    <row r="23470">
      <c r="C23470" s="15"/>
      <c r="E23470" s="8"/>
      <c r="G23470" s="8"/>
      <c r="J23470" s="8"/>
    </row>
    <row r="23471">
      <c r="C23471" s="15"/>
      <c r="E23471" s="8"/>
      <c r="G23471" s="8"/>
      <c r="J23471" s="8"/>
    </row>
    <row r="23472">
      <c r="C23472" s="15"/>
      <c r="E23472" s="8"/>
      <c r="G23472" s="8"/>
      <c r="J23472" s="8"/>
    </row>
    <row r="23473">
      <c r="C23473" s="15"/>
      <c r="E23473" s="8"/>
      <c r="G23473" s="8"/>
      <c r="J23473" s="8"/>
    </row>
    <row r="23474">
      <c r="C23474" s="15"/>
      <c r="E23474" s="8"/>
      <c r="G23474" s="8"/>
      <c r="J23474" s="8"/>
    </row>
    <row r="23475">
      <c r="C23475" s="15"/>
      <c r="E23475" s="8"/>
      <c r="G23475" s="8"/>
      <c r="J23475" s="8"/>
    </row>
    <row r="23476">
      <c r="C23476" s="15"/>
      <c r="E23476" s="8"/>
      <c r="G23476" s="8"/>
      <c r="J23476" s="8"/>
    </row>
    <row r="23477">
      <c r="C23477" s="15"/>
      <c r="E23477" s="8"/>
      <c r="G23477" s="8"/>
      <c r="J23477" s="8"/>
    </row>
    <row r="23478">
      <c r="C23478" s="15"/>
      <c r="E23478" s="8"/>
      <c r="G23478" s="8"/>
      <c r="J23478" s="8"/>
    </row>
    <row r="23479">
      <c r="C23479" s="15"/>
      <c r="E23479" s="8"/>
      <c r="G23479" s="8"/>
      <c r="J23479" s="8"/>
    </row>
    <row r="23480">
      <c r="C23480" s="15"/>
      <c r="E23480" s="8"/>
      <c r="G23480" s="8"/>
      <c r="J23480" s="8"/>
    </row>
    <row r="23481">
      <c r="C23481" s="15"/>
      <c r="E23481" s="8"/>
      <c r="G23481" s="8"/>
      <c r="J23481" s="8"/>
    </row>
    <row r="23482">
      <c r="C23482" s="15"/>
      <c r="E23482" s="8"/>
      <c r="G23482" s="8"/>
      <c r="J23482" s="8"/>
    </row>
    <row r="23483">
      <c r="C23483" s="15"/>
      <c r="E23483" s="8"/>
      <c r="G23483" s="8"/>
      <c r="J23483" s="8"/>
    </row>
    <row r="23484">
      <c r="C23484" s="15"/>
      <c r="E23484" s="8"/>
      <c r="G23484" s="8"/>
      <c r="J23484" s="8"/>
    </row>
    <row r="23485">
      <c r="C23485" s="15"/>
      <c r="E23485" s="8"/>
      <c r="G23485" s="8"/>
      <c r="J23485" s="8"/>
    </row>
    <row r="23486">
      <c r="C23486" s="15"/>
      <c r="E23486" s="8"/>
      <c r="G23486" s="8"/>
      <c r="J23486" s="8"/>
    </row>
    <row r="23487">
      <c r="C23487" s="15"/>
      <c r="E23487" s="8"/>
      <c r="G23487" s="8"/>
      <c r="J23487" s="8"/>
    </row>
    <row r="23488">
      <c r="C23488" s="15"/>
      <c r="E23488" s="8"/>
      <c r="G23488" s="8"/>
      <c r="J23488" s="8"/>
    </row>
    <row r="23489">
      <c r="C23489" s="15"/>
      <c r="E23489" s="8"/>
      <c r="G23489" s="8"/>
      <c r="J23489" s="8"/>
    </row>
    <row r="23490">
      <c r="C23490" s="15"/>
      <c r="E23490" s="8"/>
      <c r="G23490" s="8"/>
      <c r="J23490" s="8"/>
    </row>
    <row r="23491">
      <c r="C23491" s="15"/>
      <c r="E23491" s="8"/>
      <c r="G23491" s="8"/>
      <c r="J23491" s="8"/>
    </row>
    <row r="23492">
      <c r="C23492" s="15"/>
      <c r="E23492" s="8"/>
      <c r="G23492" s="8"/>
      <c r="J23492" s="8"/>
    </row>
    <row r="23493">
      <c r="C23493" s="15"/>
      <c r="E23493" s="8"/>
      <c r="G23493" s="8"/>
      <c r="J23493" s="8"/>
    </row>
    <row r="23494">
      <c r="C23494" s="15"/>
      <c r="E23494" s="8"/>
      <c r="G23494" s="8"/>
      <c r="J23494" s="8"/>
    </row>
    <row r="23495">
      <c r="C23495" s="15"/>
      <c r="E23495" s="8"/>
      <c r="G23495" s="8"/>
      <c r="J23495" s="8"/>
    </row>
    <row r="23496">
      <c r="C23496" s="15"/>
      <c r="E23496" s="8"/>
      <c r="G23496" s="8"/>
      <c r="J23496" s="8"/>
    </row>
    <row r="23497">
      <c r="C23497" s="15"/>
      <c r="E23497" s="8"/>
      <c r="G23497" s="8"/>
      <c r="J23497" s="8"/>
    </row>
    <row r="23498">
      <c r="C23498" s="15"/>
      <c r="E23498" s="8"/>
      <c r="G23498" s="8"/>
      <c r="J23498" s="8"/>
    </row>
    <row r="23499">
      <c r="C23499" s="15"/>
      <c r="E23499" s="8"/>
      <c r="G23499" s="8"/>
      <c r="J23499" s="8"/>
    </row>
    <row r="23500">
      <c r="C23500" s="15"/>
      <c r="E23500" s="8"/>
      <c r="G23500" s="8"/>
      <c r="J23500" s="8"/>
    </row>
    <row r="23501">
      <c r="C23501" s="15"/>
      <c r="E23501" s="8"/>
      <c r="G23501" s="8"/>
      <c r="J23501" s="8"/>
    </row>
    <row r="23502">
      <c r="C23502" s="15"/>
      <c r="E23502" s="8"/>
      <c r="G23502" s="8"/>
      <c r="J23502" s="8"/>
    </row>
    <row r="23503">
      <c r="C23503" s="15"/>
      <c r="E23503" s="8"/>
      <c r="G23503" s="8"/>
      <c r="J23503" s="8"/>
    </row>
    <row r="23504">
      <c r="C23504" s="15"/>
      <c r="E23504" s="8"/>
      <c r="G23504" s="8"/>
      <c r="J23504" s="8"/>
    </row>
    <row r="23505">
      <c r="C23505" s="15"/>
      <c r="E23505" s="8"/>
      <c r="G23505" s="8"/>
      <c r="J23505" s="8"/>
    </row>
    <row r="23506">
      <c r="C23506" s="15"/>
      <c r="E23506" s="8"/>
      <c r="G23506" s="8"/>
      <c r="J23506" s="8"/>
    </row>
    <row r="23507">
      <c r="C23507" s="15"/>
      <c r="E23507" s="8"/>
      <c r="G23507" s="8"/>
      <c r="J23507" s="8"/>
    </row>
    <row r="23508">
      <c r="C23508" s="15"/>
      <c r="E23508" s="8"/>
      <c r="G23508" s="8"/>
      <c r="J23508" s="8"/>
    </row>
    <row r="23509">
      <c r="C23509" s="15"/>
      <c r="E23509" s="8"/>
      <c r="G23509" s="8"/>
      <c r="J23509" s="8"/>
    </row>
    <row r="23510">
      <c r="C23510" s="15"/>
      <c r="E23510" s="8"/>
      <c r="G23510" s="8"/>
      <c r="J23510" s="8"/>
    </row>
    <row r="23511">
      <c r="C23511" s="15"/>
      <c r="E23511" s="8"/>
      <c r="G23511" s="8"/>
      <c r="J23511" s="8"/>
    </row>
    <row r="23512">
      <c r="C23512" s="15"/>
      <c r="E23512" s="8"/>
      <c r="G23512" s="8"/>
      <c r="J23512" s="8"/>
    </row>
    <row r="23513">
      <c r="C23513" s="15"/>
      <c r="E23513" s="8"/>
      <c r="G23513" s="8"/>
      <c r="J23513" s="8"/>
    </row>
    <row r="23514">
      <c r="C23514" s="15"/>
      <c r="E23514" s="8"/>
      <c r="G23514" s="8"/>
      <c r="J23514" s="8"/>
    </row>
    <row r="23515">
      <c r="C23515" s="15"/>
      <c r="E23515" s="8"/>
      <c r="G23515" s="8"/>
      <c r="J23515" s="8"/>
    </row>
    <row r="23516">
      <c r="C23516" s="15"/>
      <c r="E23516" s="8"/>
      <c r="G23516" s="8"/>
      <c r="J23516" s="8"/>
    </row>
    <row r="23517">
      <c r="C23517" s="15"/>
      <c r="E23517" s="8"/>
      <c r="G23517" s="8"/>
      <c r="J23517" s="8"/>
    </row>
    <row r="23518">
      <c r="C23518" s="15"/>
      <c r="E23518" s="8"/>
      <c r="G23518" s="8"/>
      <c r="J23518" s="8"/>
    </row>
    <row r="23519">
      <c r="C23519" s="15"/>
      <c r="E23519" s="8"/>
      <c r="G23519" s="8"/>
      <c r="J23519" s="8"/>
    </row>
    <row r="23520">
      <c r="C23520" s="15"/>
      <c r="E23520" s="8"/>
      <c r="G23520" s="8"/>
      <c r="J23520" s="8"/>
    </row>
    <row r="23521">
      <c r="C23521" s="15"/>
      <c r="E23521" s="8"/>
      <c r="G23521" s="8"/>
      <c r="J23521" s="8"/>
    </row>
    <row r="23522">
      <c r="C23522" s="15"/>
      <c r="E23522" s="8"/>
      <c r="G23522" s="8"/>
      <c r="J23522" s="8"/>
    </row>
    <row r="23523">
      <c r="C23523" s="15"/>
      <c r="E23523" s="8"/>
      <c r="G23523" s="8"/>
      <c r="J23523" s="8"/>
    </row>
    <row r="23524">
      <c r="C23524" s="15"/>
      <c r="E23524" s="8"/>
      <c r="G23524" s="8"/>
      <c r="J23524" s="8"/>
    </row>
    <row r="23525">
      <c r="C23525" s="15"/>
      <c r="E23525" s="8"/>
      <c r="G23525" s="8"/>
      <c r="J23525" s="8"/>
    </row>
    <row r="23526">
      <c r="C23526" s="15"/>
      <c r="E23526" s="8"/>
      <c r="G23526" s="8"/>
      <c r="J23526" s="8"/>
    </row>
    <row r="23527">
      <c r="C23527" s="15"/>
      <c r="E23527" s="8"/>
      <c r="G23527" s="8"/>
      <c r="J23527" s="8"/>
    </row>
    <row r="23528">
      <c r="C23528" s="15"/>
      <c r="E23528" s="8"/>
      <c r="G23528" s="8"/>
      <c r="J23528" s="8"/>
    </row>
    <row r="23529">
      <c r="C23529" s="15"/>
      <c r="E23529" s="8"/>
      <c r="G23529" s="8"/>
      <c r="J23529" s="8"/>
    </row>
    <row r="23530">
      <c r="C23530" s="15"/>
      <c r="E23530" s="8"/>
      <c r="G23530" s="8"/>
      <c r="J23530" s="8"/>
    </row>
    <row r="23531">
      <c r="C23531" s="15"/>
      <c r="E23531" s="8"/>
      <c r="G23531" s="8"/>
      <c r="J23531" s="8"/>
    </row>
    <row r="23532">
      <c r="C23532" s="15"/>
      <c r="E23532" s="8"/>
      <c r="G23532" s="8"/>
      <c r="J23532" s="8"/>
    </row>
    <row r="23533">
      <c r="C23533" s="15"/>
      <c r="E23533" s="8"/>
      <c r="G23533" s="8"/>
      <c r="J23533" s="8"/>
    </row>
    <row r="23534">
      <c r="C23534" s="15"/>
      <c r="E23534" s="8"/>
      <c r="G23534" s="8"/>
      <c r="J23534" s="8"/>
    </row>
    <row r="23535">
      <c r="C23535" s="15"/>
      <c r="E23535" s="8"/>
      <c r="G23535" s="8"/>
      <c r="J23535" s="8"/>
    </row>
    <row r="23536">
      <c r="C23536" s="15"/>
      <c r="E23536" s="8"/>
      <c r="G23536" s="8"/>
      <c r="J23536" s="8"/>
    </row>
    <row r="23537">
      <c r="C23537" s="15"/>
      <c r="E23537" s="8"/>
      <c r="G23537" s="8"/>
      <c r="J23537" s="8"/>
    </row>
    <row r="23538">
      <c r="C23538" s="15"/>
      <c r="E23538" s="8"/>
      <c r="G23538" s="8"/>
      <c r="J23538" s="8"/>
    </row>
    <row r="23539">
      <c r="C23539" s="15"/>
      <c r="E23539" s="8"/>
      <c r="G23539" s="8"/>
      <c r="J23539" s="8"/>
    </row>
    <row r="23540">
      <c r="C23540" s="15"/>
      <c r="E23540" s="8"/>
      <c r="G23540" s="8"/>
      <c r="J23540" s="8"/>
    </row>
    <row r="23541">
      <c r="C23541" s="15"/>
      <c r="E23541" s="8"/>
      <c r="G23541" s="8"/>
      <c r="J23541" s="8"/>
    </row>
    <row r="23542">
      <c r="C23542" s="15"/>
      <c r="E23542" s="8"/>
      <c r="G23542" s="8"/>
      <c r="J23542" s="8"/>
    </row>
    <row r="23543">
      <c r="C23543" s="15"/>
      <c r="E23543" s="8"/>
      <c r="G23543" s="8"/>
      <c r="J23543" s="8"/>
    </row>
    <row r="23544">
      <c r="C23544" s="15"/>
      <c r="E23544" s="8"/>
      <c r="G23544" s="8"/>
      <c r="J23544" s="8"/>
    </row>
    <row r="23545">
      <c r="C23545" s="15"/>
      <c r="E23545" s="8"/>
      <c r="G23545" s="8"/>
      <c r="J23545" s="8"/>
    </row>
    <row r="23546">
      <c r="C23546" s="15"/>
      <c r="E23546" s="8"/>
      <c r="G23546" s="8"/>
      <c r="J23546" s="8"/>
    </row>
    <row r="23547">
      <c r="C23547" s="15"/>
      <c r="E23547" s="8"/>
      <c r="G23547" s="8"/>
      <c r="J23547" s="8"/>
    </row>
    <row r="23548">
      <c r="C23548" s="15"/>
      <c r="E23548" s="8"/>
      <c r="G23548" s="8"/>
      <c r="J23548" s="8"/>
    </row>
    <row r="23549">
      <c r="C23549" s="15"/>
      <c r="E23549" s="8"/>
      <c r="G23549" s="8"/>
      <c r="J23549" s="8"/>
    </row>
    <row r="23550">
      <c r="C23550" s="15"/>
      <c r="E23550" s="8"/>
      <c r="G23550" s="8"/>
      <c r="J23550" s="8"/>
    </row>
    <row r="23551">
      <c r="C23551" s="15"/>
      <c r="E23551" s="8"/>
      <c r="G23551" s="8"/>
      <c r="J23551" s="8"/>
    </row>
    <row r="23552">
      <c r="C23552" s="15"/>
      <c r="E23552" s="8"/>
      <c r="G23552" s="8"/>
      <c r="J23552" s="8"/>
    </row>
    <row r="23553">
      <c r="C23553" s="15"/>
      <c r="E23553" s="8"/>
      <c r="G23553" s="8"/>
      <c r="J23553" s="8"/>
    </row>
    <row r="23554">
      <c r="C23554" s="15"/>
      <c r="E23554" s="8"/>
      <c r="G23554" s="8"/>
      <c r="J23554" s="8"/>
    </row>
    <row r="23555">
      <c r="C23555" s="15"/>
      <c r="E23555" s="8"/>
      <c r="G23555" s="8"/>
      <c r="J23555" s="8"/>
    </row>
    <row r="23556">
      <c r="C23556" s="15"/>
      <c r="E23556" s="8"/>
      <c r="G23556" s="8"/>
      <c r="J23556" s="8"/>
    </row>
    <row r="23557">
      <c r="C23557" s="15"/>
      <c r="E23557" s="8"/>
      <c r="G23557" s="8"/>
      <c r="J23557" s="8"/>
    </row>
    <row r="23558">
      <c r="C23558" s="15"/>
      <c r="E23558" s="8"/>
      <c r="G23558" s="8"/>
      <c r="J23558" s="8"/>
    </row>
    <row r="23559">
      <c r="C23559" s="15"/>
      <c r="E23559" s="8"/>
      <c r="G23559" s="8"/>
      <c r="J23559" s="8"/>
    </row>
    <row r="23560">
      <c r="C23560" s="15"/>
      <c r="E23560" s="8"/>
      <c r="G23560" s="8"/>
      <c r="J23560" s="8"/>
    </row>
    <row r="23561">
      <c r="C23561" s="15"/>
      <c r="E23561" s="8"/>
      <c r="G23561" s="8"/>
      <c r="J23561" s="8"/>
    </row>
    <row r="23562">
      <c r="C23562" s="15"/>
      <c r="E23562" s="8"/>
      <c r="G23562" s="8"/>
      <c r="J23562" s="8"/>
    </row>
    <row r="23563">
      <c r="C23563" s="15"/>
      <c r="E23563" s="8"/>
      <c r="G23563" s="8"/>
      <c r="J23563" s="8"/>
    </row>
    <row r="23564">
      <c r="C23564" s="15"/>
      <c r="E23564" s="8"/>
      <c r="G23564" s="8"/>
      <c r="J23564" s="8"/>
    </row>
    <row r="23565">
      <c r="C23565" s="15"/>
      <c r="E23565" s="8"/>
      <c r="G23565" s="8"/>
      <c r="J23565" s="8"/>
    </row>
    <row r="23566">
      <c r="C23566" s="15"/>
      <c r="E23566" s="8"/>
      <c r="G23566" s="8"/>
      <c r="J23566" s="8"/>
    </row>
    <row r="23567">
      <c r="C23567" s="15"/>
      <c r="E23567" s="8"/>
      <c r="G23567" s="8"/>
      <c r="J23567" s="8"/>
    </row>
    <row r="23568">
      <c r="C23568" s="15"/>
      <c r="E23568" s="8"/>
      <c r="G23568" s="8"/>
      <c r="J23568" s="8"/>
    </row>
    <row r="23569">
      <c r="C23569" s="15"/>
      <c r="E23569" s="8"/>
      <c r="G23569" s="8"/>
      <c r="J23569" s="8"/>
    </row>
    <row r="23570">
      <c r="C23570" s="15"/>
      <c r="E23570" s="8"/>
      <c r="G23570" s="8"/>
      <c r="J23570" s="8"/>
    </row>
    <row r="23571">
      <c r="C23571" s="15"/>
      <c r="E23571" s="8"/>
      <c r="G23571" s="8"/>
      <c r="J23571" s="8"/>
    </row>
    <row r="23572">
      <c r="C23572" s="15"/>
      <c r="E23572" s="8"/>
      <c r="G23572" s="8"/>
      <c r="J23572" s="8"/>
    </row>
    <row r="23573">
      <c r="C23573" s="15"/>
      <c r="E23573" s="8"/>
      <c r="G23573" s="8"/>
      <c r="J23573" s="8"/>
    </row>
    <row r="23574">
      <c r="C23574" s="15"/>
      <c r="E23574" s="8"/>
      <c r="G23574" s="8"/>
      <c r="J23574" s="8"/>
    </row>
    <row r="23575">
      <c r="C23575" s="15"/>
      <c r="E23575" s="8"/>
      <c r="G23575" s="8"/>
      <c r="J23575" s="8"/>
    </row>
    <row r="23576">
      <c r="C23576" s="15"/>
      <c r="E23576" s="8"/>
      <c r="G23576" s="8"/>
      <c r="J23576" s="8"/>
    </row>
    <row r="23577">
      <c r="C23577" s="15"/>
      <c r="E23577" s="8"/>
      <c r="G23577" s="8"/>
      <c r="J23577" s="8"/>
    </row>
    <row r="23578">
      <c r="C23578" s="15"/>
      <c r="E23578" s="8"/>
      <c r="G23578" s="8"/>
      <c r="J23578" s="8"/>
    </row>
    <row r="23579">
      <c r="C23579" s="15"/>
      <c r="E23579" s="8"/>
      <c r="G23579" s="8"/>
      <c r="J23579" s="8"/>
    </row>
    <row r="23580">
      <c r="C23580" s="15"/>
      <c r="E23580" s="8"/>
      <c r="G23580" s="8"/>
      <c r="J23580" s="8"/>
    </row>
    <row r="23581">
      <c r="C23581" s="15"/>
      <c r="E23581" s="8"/>
      <c r="G23581" s="8"/>
      <c r="J23581" s="8"/>
    </row>
    <row r="23582">
      <c r="C23582" s="15"/>
      <c r="E23582" s="8"/>
      <c r="G23582" s="8"/>
      <c r="J23582" s="8"/>
    </row>
    <row r="23583">
      <c r="C23583" s="15"/>
      <c r="E23583" s="8"/>
      <c r="G23583" s="8"/>
      <c r="J23583" s="8"/>
    </row>
    <row r="23584">
      <c r="C23584" s="15"/>
      <c r="E23584" s="8"/>
      <c r="G23584" s="8"/>
      <c r="J23584" s="8"/>
    </row>
    <row r="23585">
      <c r="C23585" s="15"/>
      <c r="E23585" s="8"/>
      <c r="G23585" s="8"/>
      <c r="J23585" s="8"/>
    </row>
    <row r="23586">
      <c r="C23586" s="15"/>
      <c r="E23586" s="8"/>
      <c r="G23586" s="8"/>
      <c r="J23586" s="8"/>
    </row>
    <row r="23587">
      <c r="C23587" s="15"/>
      <c r="E23587" s="8"/>
      <c r="G23587" s="8"/>
      <c r="J23587" s="8"/>
    </row>
    <row r="23588">
      <c r="C23588" s="15"/>
      <c r="E23588" s="8"/>
      <c r="G23588" s="8"/>
      <c r="J23588" s="8"/>
    </row>
    <row r="23589">
      <c r="C23589" s="15"/>
      <c r="E23589" s="8"/>
      <c r="G23589" s="8"/>
      <c r="J23589" s="8"/>
    </row>
    <row r="23590">
      <c r="C23590" s="15"/>
      <c r="E23590" s="8"/>
      <c r="G23590" s="8"/>
      <c r="J23590" s="8"/>
    </row>
    <row r="23591">
      <c r="C23591" s="15"/>
      <c r="E23591" s="8"/>
      <c r="G23591" s="8"/>
      <c r="J23591" s="8"/>
    </row>
    <row r="23592">
      <c r="C23592" s="15"/>
      <c r="E23592" s="8"/>
      <c r="G23592" s="8"/>
      <c r="J23592" s="8"/>
    </row>
    <row r="23593">
      <c r="C23593" s="15"/>
      <c r="E23593" s="8"/>
      <c r="G23593" s="8"/>
      <c r="J23593" s="8"/>
    </row>
    <row r="23594">
      <c r="C23594" s="15"/>
      <c r="E23594" s="8"/>
      <c r="G23594" s="8"/>
      <c r="J23594" s="8"/>
    </row>
    <row r="23595">
      <c r="C23595" s="15"/>
      <c r="E23595" s="8"/>
      <c r="G23595" s="8"/>
      <c r="J23595" s="8"/>
    </row>
    <row r="23596">
      <c r="C23596" s="15"/>
      <c r="E23596" s="8"/>
      <c r="G23596" s="8"/>
      <c r="J23596" s="8"/>
    </row>
    <row r="23597">
      <c r="C23597" s="15"/>
      <c r="E23597" s="8"/>
      <c r="G23597" s="8"/>
      <c r="J23597" s="8"/>
    </row>
    <row r="23598">
      <c r="C23598" s="15"/>
      <c r="E23598" s="8"/>
      <c r="G23598" s="8"/>
      <c r="J23598" s="8"/>
    </row>
    <row r="23599">
      <c r="C23599" s="15"/>
      <c r="E23599" s="8"/>
      <c r="G23599" s="8"/>
      <c r="J23599" s="8"/>
    </row>
    <row r="23600">
      <c r="C23600" s="15"/>
      <c r="E23600" s="8"/>
      <c r="G23600" s="8"/>
      <c r="J23600" s="8"/>
    </row>
    <row r="23601">
      <c r="C23601" s="15"/>
      <c r="E23601" s="8"/>
      <c r="G23601" s="8"/>
      <c r="J23601" s="8"/>
    </row>
    <row r="23602">
      <c r="C23602" s="15"/>
      <c r="E23602" s="8"/>
      <c r="G23602" s="8"/>
      <c r="J23602" s="8"/>
    </row>
    <row r="23603">
      <c r="C23603" s="15"/>
      <c r="E23603" s="8"/>
      <c r="G23603" s="8"/>
      <c r="J23603" s="8"/>
    </row>
    <row r="23604">
      <c r="C23604" s="15"/>
      <c r="E23604" s="8"/>
      <c r="G23604" s="8"/>
      <c r="J23604" s="8"/>
    </row>
    <row r="23605">
      <c r="C23605" s="15"/>
      <c r="E23605" s="8"/>
      <c r="G23605" s="8"/>
      <c r="J23605" s="8"/>
    </row>
    <row r="23606">
      <c r="C23606" s="15"/>
      <c r="E23606" s="8"/>
      <c r="G23606" s="8"/>
      <c r="J23606" s="8"/>
    </row>
    <row r="23607">
      <c r="C23607" s="15"/>
      <c r="E23607" s="8"/>
      <c r="G23607" s="8"/>
      <c r="J23607" s="8"/>
    </row>
    <row r="23608">
      <c r="C23608" s="15"/>
      <c r="E23608" s="8"/>
      <c r="G23608" s="8"/>
      <c r="J23608" s="8"/>
    </row>
    <row r="23609">
      <c r="C23609" s="15"/>
      <c r="E23609" s="8"/>
      <c r="G23609" s="8"/>
      <c r="J23609" s="8"/>
    </row>
    <row r="23610">
      <c r="C23610" s="15"/>
      <c r="E23610" s="8"/>
      <c r="G23610" s="8"/>
      <c r="J23610" s="8"/>
    </row>
    <row r="23611">
      <c r="C23611" s="15"/>
      <c r="E23611" s="8"/>
      <c r="G23611" s="8"/>
      <c r="J23611" s="8"/>
    </row>
    <row r="23612">
      <c r="C23612" s="15"/>
      <c r="E23612" s="8"/>
      <c r="G23612" s="8"/>
      <c r="J23612" s="8"/>
    </row>
    <row r="23613">
      <c r="C23613" s="15"/>
      <c r="E23613" s="8"/>
      <c r="G23613" s="8"/>
      <c r="J23613" s="8"/>
    </row>
    <row r="23614">
      <c r="C23614" s="15"/>
      <c r="E23614" s="8"/>
      <c r="G23614" s="8"/>
      <c r="J23614" s="8"/>
    </row>
    <row r="23615">
      <c r="C23615" s="15"/>
      <c r="E23615" s="8"/>
      <c r="G23615" s="8"/>
      <c r="J23615" s="8"/>
    </row>
    <row r="23616">
      <c r="C23616" s="15"/>
      <c r="E23616" s="8"/>
      <c r="G23616" s="8"/>
      <c r="J23616" s="8"/>
    </row>
    <row r="23617">
      <c r="C23617" s="15"/>
      <c r="E23617" s="8"/>
      <c r="G23617" s="8"/>
      <c r="J23617" s="8"/>
    </row>
    <row r="23618">
      <c r="C23618" s="15"/>
      <c r="E23618" s="8"/>
      <c r="G23618" s="8"/>
      <c r="J23618" s="8"/>
    </row>
    <row r="23619">
      <c r="C23619" s="15"/>
      <c r="E23619" s="8"/>
      <c r="G23619" s="8"/>
      <c r="J23619" s="8"/>
    </row>
    <row r="23620">
      <c r="C23620" s="15"/>
      <c r="E23620" s="8"/>
      <c r="G23620" s="8"/>
      <c r="J23620" s="8"/>
    </row>
    <row r="23621">
      <c r="C23621" s="15"/>
      <c r="E23621" s="8"/>
      <c r="G23621" s="8"/>
      <c r="J23621" s="8"/>
    </row>
    <row r="23622">
      <c r="C23622" s="15"/>
      <c r="E23622" s="8"/>
      <c r="G23622" s="8"/>
      <c r="J23622" s="8"/>
    </row>
    <row r="23623">
      <c r="C23623" s="15"/>
      <c r="E23623" s="8"/>
      <c r="G23623" s="8"/>
      <c r="J23623" s="8"/>
    </row>
    <row r="23624">
      <c r="C23624" s="15"/>
      <c r="E23624" s="8"/>
      <c r="G23624" s="8"/>
      <c r="J23624" s="8"/>
    </row>
    <row r="23625">
      <c r="C23625" s="15"/>
      <c r="E23625" s="8"/>
      <c r="G23625" s="8"/>
      <c r="J23625" s="8"/>
    </row>
    <row r="23626">
      <c r="C23626" s="15"/>
      <c r="E23626" s="8"/>
      <c r="G23626" s="8"/>
      <c r="J23626" s="8"/>
    </row>
    <row r="23627">
      <c r="C23627" s="15"/>
      <c r="E23627" s="8"/>
      <c r="G23627" s="8"/>
      <c r="J23627" s="8"/>
    </row>
    <row r="23628">
      <c r="C23628" s="15"/>
      <c r="E23628" s="8"/>
      <c r="G23628" s="8"/>
      <c r="J23628" s="8"/>
    </row>
    <row r="23629">
      <c r="C23629" s="15"/>
      <c r="E23629" s="8"/>
      <c r="G23629" s="8"/>
      <c r="J23629" s="8"/>
    </row>
    <row r="23630">
      <c r="C23630" s="15"/>
      <c r="E23630" s="8"/>
      <c r="G23630" s="8"/>
      <c r="J23630" s="8"/>
    </row>
    <row r="23631">
      <c r="C23631" s="15"/>
      <c r="E23631" s="8"/>
      <c r="G23631" s="8"/>
      <c r="J23631" s="8"/>
    </row>
    <row r="23632">
      <c r="C23632" s="15"/>
      <c r="E23632" s="8"/>
      <c r="G23632" s="8"/>
      <c r="J23632" s="8"/>
    </row>
    <row r="23633">
      <c r="C23633" s="15"/>
      <c r="E23633" s="8"/>
      <c r="G23633" s="8"/>
      <c r="J23633" s="8"/>
    </row>
    <row r="23634">
      <c r="C23634" s="15"/>
      <c r="E23634" s="8"/>
      <c r="G23634" s="8"/>
      <c r="J23634" s="8"/>
    </row>
    <row r="23635">
      <c r="C23635" s="15"/>
      <c r="E23635" s="8"/>
      <c r="G23635" s="8"/>
      <c r="J23635" s="8"/>
    </row>
    <row r="23636">
      <c r="C23636" s="15"/>
      <c r="E23636" s="8"/>
      <c r="G23636" s="8"/>
      <c r="J23636" s="8"/>
    </row>
    <row r="23637">
      <c r="C23637" s="15"/>
      <c r="E23637" s="8"/>
      <c r="G23637" s="8"/>
      <c r="J23637" s="8"/>
    </row>
    <row r="23638">
      <c r="C23638" s="15"/>
      <c r="E23638" s="8"/>
      <c r="G23638" s="8"/>
      <c r="J23638" s="8"/>
    </row>
    <row r="23639">
      <c r="C23639" s="15"/>
      <c r="E23639" s="8"/>
      <c r="G23639" s="8"/>
      <c r="J23639" s="8"/>
    </row>
    <row r="23640">
      <c r="C23640" s="15"/>
      <c r="E23640" s="8"/>
      <c r="G23640" s="8"/>
      <c r="J23640" s="8"/>
    </row>
    <row r="23641">
      <c r="C23641" s="15"/>
      <c r="E23641" s="8"/>
      <c r="G23641" s="8"/>
      <c r="J23641" s="8"/>
    </row>
    <row r="23642">
      <c r="C23642" s="15"/>
      <c r="E23642" s="8"/>
      <c r="G23642" s="8"/>
      <c r="J23642" s="8"/>
    </row>
    <row r="23643">
      <c r="C23643" s="15"/>
      <c r="E23643" s="8"/>
      <c r="G23643" s="8"/>
      <c r="J23643" s="8"/>
    </row>
    <row r="23644">
      <c r="C23644" s="15"/>
      <c r="E23644" s="8"/>
      <c r="G23644" s="8"/>
      <c r="J23644" s="8"/>
    </row>
    <row r="23645">
      <c r="C23645" s="15"/>
      <c r="E23645" s="8"/>
      <c r="G23645" s="8"/>
      <c r="J23645" s="8"/>
    </row>
    <row r="23646">
      <c r="C23646" s="15"/>
      <c r="E23646" s="8"/>
      <c r="G23646" s="8"/>
      <c r="J23646" s="8"/>
    </row>
    <row r="23647">
      <c r="C23647" s="15"/>
      <c r="E23647" s="8"/>
      <c r="G23647" s="8"/>
      <c r="J23647" s="8"/>
    </row>
    <row r="23648">
      <c r="C23648" s="15"/>
      <c r="E23648" s="8"/>
      <c r="G23648" s="8"/>
      <c r="J23648" s="8"/>
    </row>
    <row r="23649">
      <c r="C23649" s="15"/>
      <c r="E23649" s="8"/>
      <c r="G23649" s="8"/>
      <c r="J23649" s="8"/>
    </row>
    <row r="23650">
      <c r="C23650" s="15"/>
      <c r="E23650" s="8"/>
      <c r="G23650" s="8"/>
      <c r="J23650" s="8"/>
    </row>
    <row r="23651">
      <c r="C23651" s="15"/>
      <c r="E23651" s="8"/>
      <c r="G23651" s="8"/>
      <c r="J23651" s="8"/>
    </row>
    <row r="23652">
      <c r="C23652" s="15"/>
      <c r="E23652" s="8"/>
      <c r="G23652" s="8"/>
      <c r="J23652" s="8"/>
    </row>
    <row r="23653">
      <c r="C23653" s="15"/>
      <c r="E23653" s="8"/>
      <c r="G23653" s="8"/>
      <c r="J23653" s="8"/>
    </row>
    <row r="23654">
      <c r="C23654" s="15"/>
      <c r="E23654" s="8"/>
      <c r="G23654" s="8"/>
      <c r="J23654" s="8"/>
    </row>
    <row r="23655">
      <c r="C23655" s="15"/>
      <c r="E23655" s="8"/>
      <c r="G23655" s="8"/>
      <c r="J23655" s="8"/>
    </row>
    <row r="23656">
      <c r="C23656" s="15"/>
      <c r="E23656" s="8"/>
      <c r="G23656" s="8"/>
      <c r="J23656" s="8"/>
    </row>
    <row r="23657">
      <c r="C23657" s="15"/>
      <c r="E23657" s="8"/>
      <c r="G23657" s="8"/>
      <c r="J23657" s="8"/>
    </row>
    <row r="23658">
      <c r="C23658" s="15"/>
      <c r="E23658" s="8"/>
      <c r="G23658" s="8"/>
      <c r="J23658" s="8"/>
    </row>
    <row r="23659">
      <c r="C23659" s="15"/>
      <c r="E23659" s="8"/>
      <c r="G23659" s="8"/>
      <c r="J23659" s="8"/>
    </row>
    <row r="23660">
      <c r="C23660" s="15"/>
      <c r="E23660" s="8"/>
      <c r="G23660" s="8"/>
      <c r="J23660" s="8"/>
    </row>
    <row r="23661">
      <c r="C23661" s="15"/>
      <c r="E23661" s="8"/>
      <c r="G23661" s="8"/>
      <c r="J23661" s="8"/>
    </row>
    <row r="23662">
      <c r="C23662" s="15"/>
      <c r="E23662" s="8"/>
      <c r="G23662" s="8"/>
      <c r="J23662" s="8"/>
    </row>
    <row r="23663">
      <c r="C23663" s="15"/>
      <c r="E23663" s="8"/>
      <c r="G23663" s="8"/>
      <c r="J23663" s="8"/>
    </row>
    <row r="23664">
      <c r="C23664" s="15"/>
      <c r="E23664" s="8"/>
      <c r="G23664" s="8"/>
      <c r="J23664" s="8"/>
    </row>
    <row r="23665">
      <c r="C23665" s="15"/>
      <c r="E23665" s="8"/>
      <c r="G23665" s="8"/>
      <c r="J23665" s="8"/>
    </row>
    <row r="23666">
      <c r="C23666" s="15"/>
      <c r="E23666" s="8"/>
      <c r="G23666" s="8"/>
      <c r="J23666" s="8"/>
    </row>
    <row r="23667">
      <c r="C23667" s="15"/>
      <c r="E23667" s="8"/>
      <c r="G23667" s="8"/>
      <c r="J23667" s="8"/>
    </row>
    <row r="23668">
      <c r="C23668" s="15"/>
      <c r="E23668" s="8"/>
      <c r="G23668" s="8"/>
      <c r="J23668" s="8"/>
    </row>
    <row r="23669">
      <c r="C23669" s="15"/>
      <c r="E23669" s="8"/>
      <c r="G23669" s="8"/>
      <c r="J23669" s="8"/>
    </row>
    <row r="23670">
      <c r="C23670" s="15"/>
      <c r="E23670" s="8"/>
      <c r="G23670" s="8"/>
      <c r="J23670" s="8"/>
    </row>
    <row r="23671">
      <c r="C23671" s="15"/>
      <c r="E23671" s="8"/>
      <c r="G23671" s="8"/>
      <c r="J23671" s="8"/>
    </row>
    <row r="23672">
      <c r="C23672" s="15"/>
      <c r="E23672" s="8"/>
      <c r="G23672" s="8"/>
      <c r="J23672" s="8"/>
    </row>
    <row r="23673">
      <c r="C23673" s="15"/>
      <c r="E23673" s="8"/>
      <c r="G23673" s="8"/>
      <c r="J23673" s="8"/>
    </row>
    <row r="23674">
      <c r="C23674" s="15"/>
      <c r="E23674" s="8"/>
      <c r="G23674" s="8"/>
      <c r="J23674" s="8"/>
    </row>
    <row r="23675">
      <c r="C23675" s="15"/>
      <c r="E23675" s="8"/>
      <c r="G23675" s="8"/>
      <c r="J23675" s="8"/>
    </row>
    <row r="23676">
      <c r="C23676" s="15"/>
      <c r="E23676" s="8"/>
      <c r="G23676" s="8"/>
      <c r="J23676" s="8"/>
    </row>
    <row r="23677">
      <c r="C23677" s="15"/>
      <c r="E23677" s="8"/>
      <c r="G23677" s="8"/>
      <c r="J23677" s="8"/>
    </row>
    <row r="23678">
      <c r="C23678" s="15"/>
      <c r="E23678" s="8"/>
      <c r="G23678" s="8"/>
      <c r="J23678" s="8"/>
    </row>
    <row r="23679">
      <c r="C23679" s="15"/>
      <c r="E23679" s="8"/>
      <c r="G23679" s="8"/>
      <c r="J23679" s="8"/>
    </row>
    <row r="23680">
      <c r="C23680" s="15"/>
      <c r="E23680" s="8"/>
      <c r="G23680" s="8"/>
      <c r="J23680" s="8"/>
    </row>
    <row r="23681">
      <c r="C23681" s="15"/>
      <c r="E23681" s="8"/>
      <c r="G23681" s="8"/>
      <c r="J23681" s="8"/>
    </row>
    <row r="23682">
      <c r="C23682" s="15"/>
      <c r="E23682" s="8"/>
      <c r="G23682" s="8"/>
      <c r="J23682" s="8"/>
    </row>
    <row r="23683">
      <c r="C23683" s="15"/>
      <c r="E23683" s="8"/>
      <c r="G23683" s="8"/>
      <c r="J23683" s="8"/>
    </row>
    <row r="23684">
      <c r="C23684" s="15"/>
      <c r="E23684" s="8"/>
      <c r="G23684" s="8"/>
      <c r="J23684" s="8"/>
    </row>
    <row r="23685">
      <c r="C23685" s="15"/>
      <c r="E23685" s="8"/>
      <c r="G23685" s="8"/>
      <c r="J23685" s="8"/>
    </row>
    <row r="23686">
      <c r="C23686" s="15"/>
      <c r="E23686" s="8"/>
      <c r="G23686" s="8"/>
      <c r="J23686" s="8"/>
    </row>
    <row r="23687">
      <c r="C23687" s="15"/>
      <c r="E23687" s="8"/>
      <c r="G23687" s="8"/>
      <c r="J23687" s="8"/>
    </row>
    <row r="23688">
      <c r="C23688" s="15"/>
      <c r="E23688" s="8"/>
      <c r="G23688" s="8"/>
      <c r="J23688" s="8"/>
    </row>
    <row r="23689">
      <c r="C23689" s="15"/>
      <c r="E23689" s="8"/>
      <c r="G23689" s="8"/>
      <c r="J23689" s="8"/>
    </row>
    <row r="23690">
      <c r="C23690" s="15"/>
      <c r="E23690" s="8"/>
      <c r="G23690" s="8"/>
      <c r="J23690" s="8"/>
    </row>
    <row r="23691">
      <c r="C23691" s="15"/>
      <c r="E23691" s="8"/>
      <c r="G23691" s="8"/>
      <c r="J23691" s="8"/>
    </row>
    <row r="23692">
      <c r="C23692" s="15"/>
      <c r="E23692" s="8"/>
      <c r="G23692" s="8"/>
      <c r="J23692" s="8"/>
    </row>
    <row r="23693">
      <c r="C23693" s="15"/>
      <c r="E23693" s="8"/>
      <c r="G23693" s="8"/>
      <c r="J23693" s="8"/>
    </row>
    <row r="23694">
      <c r="C23694" s="15"/>
      <c r="E23694" s="8"/>
      <c r="G23694" s="8"/>
      <c r="J23694" s="8"/>
    </row>
    <row r="23695">
      <c r="C23695" s="15"/>
      <c r="E23695" s="8"/>
      <c r="G23695" s="8"/>
      <c r="J23695" s="8"/>
    </row>
    <row r="23696">
      <c r="C23696" s="15"/>
      <c r="E23696" s="8"/>
      <c r="G23696" s="8"/>
      <c r="J23696" s="8"/>
    </row>
    <row r="23697">
      <c r="C23697" s="15"/>
      <c r="E23697" s="8"/>
      <c r="G23697" s="8"/>
      <c r="J23697" s="8"/>
    </row>
    <row r="23698">
      <c r="C23698" s="15"/>
      <c r="E23698" s="8"/>
      <c r="G23698" s="8"/>
      <c r="J23698" s="8"/>
    </row>
    <row r="23699">
      <c r="C23699" s="15"/>
      <c r="E23699" s="8"/>
      <c r="G23699" s="8"/>
      <c r="J23699" s="8"/>
    </row>
    <row r="23700">
      <c r="C23700" s="15"/>
      <c r="E23700" s="8"/>
      <c r="G23700" s="8"/>
      <c r="J23700" s="8"/>
    </row>
    <row r="23701">
      <c r="C23701" s="15"/>
      <c r="E23701" s="8"/>
      <c r="G23701" s="8"/>
      <c r="J23701" s="8"/>
    </row>
    <row r="23702">
      <c r="C23702" s="15"/>
      <c r="E23702" s="8"/>
      <c r="G23702" s="8"/>
      <c r="J23702" s="8"/>
    </row>
    <row r="23703">
      <c r="C23703" s="15"/>
      <c r="E23703" s="8"/>
      <c r="G23703" s="8"/>
      <c r="J23703" s="8"/>
    </row>
    <row r="23704">
      <c r="C23704" s="15"/>
      <c r="E23704" s="8"/>
      <c r="G23704" s="8"/>
      <c r="J23704" s="8"/>
    </row>
    <row r="23705">
      <c r="C23705" s="15"/>
      <c r="E23705" s="8"/>
      <c r="G23705" s="8"/>
      <c r="J23705" s="8"/>
    </row>
    <row r="23706">
      <c r="C23706" s="15"/>
      <c r="E23706" s="8"/>
      <c r="G23706" s="8"/>
      <c r="J23706" s="8"/>
    </row>
    <row r="23707">
      <c r="C23707" s="15"/>
      <c r="E23707" s="8"/>
      <c r="G23707" s="8"/>
      <c r="J23707" s="8"/>
    </row>
    <row r="23708">
      <c r="C23708" s="15"/>
      <c r="E23708" s="8"/>
      <c r="G23708" s="8"/>
      <c r="J23708" s="8"/>
    </row>
    <row r="23709">
      <c r="C23709" s="15"/>
      <c r="E23709" s="8"/>
      <c r="G23709" s="8"/>
      <c r="J23709" s="8"/>
    </row>
    <row r="23710">
      <c r="C23710" s="15"/>
      <c r="E23710" s="8"/>
      <c r="G23710" s="8"/>
      <c r="J23710" s="8"/>
    </row>
    <row r="23711">
      <c r="C23711" s="15"/>
      <c r="E23711" s="8"/>
      <c r="G23711" s="8"/>
      <c r="J23711" s="8"/>
    </row>
    <row r="23712">
      <c r="C23712" s="15"/>
      <c r="E23712" s="8"/>
      <c r="G23712" s="8"/>
      <c r="J23712" s="8"/>
    </row>
    <row r="23713">
      <c r="C23713" s="15"/>
      <c r="E23713" s="8"/>
      <c r="G23713" s="8"/>
      <c r="J23713" s="8"/>
    </row>
    <row r="23714">
      <c r="C23714" s="15"/>
      <c r="E23714" s="8"/>
      <c r="G23714" s="8"/>
      <c r="J23714" s="8"/>
    </row>
    <row r="23715">
      <c r="C23715" s="15"/>
      <c r="E23715" s="8"/>
      <c r="G23715" s="8"/>
      <c r="J23715" s="8"/>
    </row>
    <row r="23716">
      <c r="C23716" s="15"/>
      <c r="E23716" s="8"/>
      <c r="G23716" s="8"/>
      <c r="J23716" s="8"/>
    </row>
    <row r="23717">
      <c r="C23717" s="15"/>
      <c r="E23717" s="8"/>
      <c r="G23717" s="8"/>
      <c r="J23717" s="8"/>
    </row>
    <row r="23718">
      <c r="C23718" s="15"/>
      <c r="E23718" s="8"/>
      <c r="G23718" s="8"/>
      <c r="J23718" s="8"/>
    </row>
    <row r="23719">
      <c r="C23719" s="15"/>
      <c r="E23719" s="8"/>
      <c r="G23719" s="8"/>
      <c r="J23719" s="8"/>
    </row>
    <row r="23720">
      <c r="C23720" s="15"/>
      <c r="E23720" s="8"/>
      <c r="G23720" s="8"/>
      <c r="J23720" s="8"/>
    </row>
    <row r="23721">
      <c r="C23721" s="15"/>
      <c r="E23721" s="8"/>
      <c r="G23721" s="8"/>
      <c r="J23721" s="8"/>
    </row>
    <row r="23722">
      <c r="C23722" s="15"/>
      <c r="E23722" s="8"/>
      <c r="G23722" s="8"/>
      <c r="J23722" s="8"/>
    </row>
    <row r="23723">
      <c r="C23723" s="15"/>
      <c r="E23723" s="8"/>
      <c r="G23723" s="8"/>
      <c r="J23723" s="8"/>
    </row>
    <row r="23724">
      <c r="C23724" s="15"/>
      <c r="E23724" s="8"/>
      <c r="G23724" s="8"/>
      <c r="J23724" s="8"/>
    </row>
    <row r="23725">
      <c r="C23725" s="15"/>
      <c r="E23725" s="8"/>
      <c r="G23725" s="8"/>
      <c r="J23725" s="8"/>
    </row>
    <row r="23726">
      <c r="C23726" s="15"/>
      <c r="E23726" s="8"/>
      <c r="G23726" s="8"/>
      <c r="J23726" s="8"/>
    </row>
    <row r="23727">
      <c r="C23727" s="15"/>
      <c r="E23727" s="8"/>
      <c r="G23727" s="8"/>
      <c r="J23727" s="8"/>
    </row>
    <row r="23728">
      <c r="C23728" s="15"/>
      <c r="E23728" s="8"/>
      <c r="G23728" s="8"/>
      <c r="J23728" s="8"/>
    </row>
    <row r="23729">
      <c r="C23729" s="15"/>
      <c r="E23729" s="8"/>
      <c r="G23729" s="8"/>
      <c r="J23729" s="8"/>
    </row>
    <row r="23730">
      <c r="C23730" s="15"/>
      <c r="E23730" s="8"/>
      <c r="G23730" s="8"/>
      <c r="J23730" s="8"/>
    </row>
    <row r="23731">
      <c r="C23731" s="15"/>
      <c r="E23731" s="8"/>
      <c r="G23731" s="8"/>
      <c r="J23731" s="8"/>
    </row>
    <row r="23732">
      <c r="C23732" s="15"/>
      <c r="E23732" s="8"/>
      <c r="G23732" s="8"/>
      <c r="J23732" s="8"/>
    </row>
    <row r="23733">
      <c r="C23733" s="15"/>
      <c r="E23733" s="8"/>
      <c r="G23733" s="8"/>
      <c r="J23733" s="8"/>
    </row>
    <row r="23734">
      <c r="C23734" s="15"/>
      <c r="E23734" s="8"/>
      <c r="G23734" s="8"/>
      <c r="J23734" s="8"/>
    </row>
    <row r="23735">
      <c r="C23735" s="15"/>
      <c r="E23735" s="8"/>
      <c r="G23735" s="8"/>
      <c r="J23735" s="8"/>
    </row>
    <row r="23736">
      <c r="C23736" s="15"/>
      <c r="E23736" s="8"/>
      <c r="G23736" s="8"/>
      <c r="J23736" s="8"/>
    </row>
    <row r="23737">
      <c r="C23737" s="15"/>
      <c r="E23737" s="8"/>
      <c r="G23737" s="8"/>
      <c r="J23737" s="8"/>
    </row>
    <row r="23738">
      <c r="C23738" s="15"/>
      <c r="E23738" s="8"/>
      <c r="G23738" s="8"/>
      <c r="J23738" s="8"/>
    </row>
    <row r="23739">
      <c r="C23739" s="15"/>
      <c r="E23739" s="8"/>
      <c r="G23739" s="8"/>
      <c r="J23739" s="8"/>
    </row>
    <row r="23740">
      <c r="C23740" s="15"/>
      <c r="E23740" s="8"/>
      <c r="G23740" s="8"/>
      <c r="J23740" s="8"/>
    </row>
    <row r="23741">
      <c r="C23741" s="15"/>
      <c r="E23741" s="8"/>
      <c r="G23741" s="8"/>
      <c r="J23741" s="8"/>
    </row>
    <row r="23742">
      <c r="C23742" s="15"/>
      <c r="E23742" s="8"/>
      <c r="G23742" s="8"/>
      <c r="J23742" s="8"/>
    </row>
    <row r="23743">
      <c r="C23743" s="15"/>
      <c r="E23743" s="8"/>
      <c r="G23743" s="8"/>
      <c r="J23743" s="8"/>
    </row>
    <row r="23744">
      <c r="C23744" s="15"/>
      <c r="E23744" s="8"/>
      <c r="G23744" s="8"/>
      <c r="J23744" s="8"/>
    </row>
    <row r="23745">
      <c r="C23745" s="15"/>
      <c r="E23745" s="8"/>
      <c r="G23745" s="8"/>
      <c r="J23745" s="8"/>
    </row>
    <row r="23746">
      <c r="C23746" s="15"/>
      <c r="E23746" s="8"/>
      <c r="G23746" s="8"/>
      <c r="J23746" s="8"/>
    </row>
    <row r="23747">
      <c r="C23747" s="15"/>
      <c r="E23747" s="8"/>
      <c r="G23747" s="8"/>
      <c r="J23747" s="8"/>
    </row>
    <row r="23748">
      <c r="C23748" s="15"/>
      <c r="E23748" s="8"/>
      <c r="G23748" s="8"/>
      <c r="J23748" s="8"/>
    </row>
    <row r="23749">
      <c r="C23749" s="15"/>
      <c r="E23749" s="8"/>
      <c r="G23749" s="8"/>
      <c r="J23749" s="8"/>
    </row>
    <row r="23750">
      <c r="C23750" s="15"/>
      <c r="E23750" s="8"/>
      <c r="G23750" s="8"/>
      <c r="J23750" s="8"/>
    </row>
    <row r="23751">
      <c r="C23751" s="15"/>
      <c r="E23751" s="8"/>
      <c r="G23751" s="8"/>
      <c r="J23751" s="8"/>
    </row>
    <row r="23752">
      <c r="C23752" s="15"/>
      <c r="E23752" s="8"/>
      <c r="G23752" s="8"/>
      <c r="J23752" s="8"/>
    </row>
    <row r="23753">
      <c r="C23753" s="15"/>
      <c r="E23753" s="8"/>
      <c r="G23753" s="8"/>
      <c r="J23753" s="8"/>
    </row>
    <row r="23754">
      <c r="C23754" s="15"/>
      <c r="E23754" s="8"/>
      <c r="G23754" s="8"/>
      <c r="J23754" s="8"/>
    </row>
    <row r="23755">
      <c r="C23755" s="15"/>
      <c r="E23755" s="8"/>
      <c r="G23755" s="8"/>
      <c r="J23755" s="8"/>
    </row>
    <row r="23756">
      <c r="C23756" s="15"/>
      <c r="E23756" s="8"/>
      <c r="G23756" s="8"/>
      <c r="J23756" s="8"/>
    </row>
    <row r="23757">
      <c r="C23757" s="15"/>
      <c r="E23757" s="8"/>
      <c r="G23757" s="8"/>
      <c r="J23757" s="8"/>
    </row>
    <row r="23758">
      <c r="C23758" s="15"/>
      <c r="E23758" s="8"/>
      <c r="G23758" s="8"/>
      <c r="J23758" s="8"/>
    </row>
    <row r="23759">
      <c r="C23759" s="15"/>
      <c r="E23759" s="8"/>
      <c r="G23759" s="8"/>
      <c r="J23759" s="8"/>
    </row>
    <row r="23760">
      <c r="C23760" s="15"/>
      <c r="E23760" s="8"/>
      <c r="G23760" s="8"/>
      <c r="J23760" s="8"/>
    </row>
    <row r="23761">
      <c r="C23761" s="15"/>
      <c r="E23761" s="8"/>
      <c r="G23761" s="8"/>
      <c r="J23761" s="8"/>
    </row>
    <row r="23762">
      <c r="C23762" s="15"/>
      <c r="E23762" s="8"/>
      <c r="G23762" s="8"/>
      <c r="J23762" s="8"/>
    </row>
    <row r="23763">
      <c r="C23763" s="15"/>
      <c r="E23763" s="8"/>
      <c r="G23763" s="8"/>
      <c r="J23763" s="8"/>
    </row>
    <row r="23764">
      <c r="C23764" s="15"/>
      <c r="E23764" s="8"/>
      <c r="G23764" s="8"/>
      <c r="J23764" s="8"/>
    </row>
    <row r="23765">
      <c r="C23765" s="15"/>
      <c r="E23765" s="8"/>
      <c r="G23765" s="8"/>
      <c r="J23765" s="8"/>
    </row>
    <row r="23766">
      <c r="C23766" s="15"/>
      <c r="E23766" s="8"/>
      <c r="G23766" s="8"/>
      <c r="J23766" s="8"/>
    </row>
    <row r="23767">
      <c r="C23767" s="15"/>
      <c r="E23767" s="8"/>
      <c r="G23767" s="8"/>
      <c r="J23767" s="8"/>
    </row>
    <row r="23768">
      <c r="C23768" s="15"/>
      <c r="E23768" s="8"/>
      <c r="G23768" s="8"/>
      <c r="J23768" s="8"/>
    </row>
    <row r="23769">
      <c r="C23769" s="15"/>
      <c r="E23769" s="8"/>
      <c r="G23769" s="8"/>
      <c r="J23769" s="8"/>
    </row>
    <row r="23770">
      <c r="C23770" s="15"/>
      <c r="E23770" s="8"/>
      <c r="G23770" s="8"/>
      <c r="J23770" s="8"/>
    </row>
    <row r="23771">
      <c r="C23771" s="15"/>
      <c r="E23771" s="8"/>
      <c r="G23771" s="8"/>
      <c r="J23771" s="8"/>
    </row>
    <row r="23772">
      <c r="C23772" s="15"/>
      <c r="E23772" s="8"/>
      <c r="G23772" s="8"/>
      <c r="J23772" s="8"/>
    </row>
    <row r="23773">
      <c r="C23773" s="15"/>
      <c r="E23773" s="8"/>
      <c r="G23773" s="8"/>
      <c r="J23773" s="8"/>
    </row>
    <row r="23774">
      <c r="C23774" s="15"/>
      <c r="E23774" s="8"/>
      <c r="G23774" s="8"/>
      <c r="J23774" s="8"/>
    </row>
    <row r="23775">
      <c r="C23775" s="15"/>
      <c r="E23775" s="8"/>
      <c r="G23775" s="8"/>
      <c r="J23775" s="8"/>
    </row>
    <row r="23776">
      <c r="C23776" s="15"/>
      <c r="E23776" s="8"/>
      <c r="G23776" s="8"/>
      <c r="J23776" s="8"/>
    </row>
    <row r="23777">
      <c r="C23777" s="15"/>
      <c r="E23777" s="8"/>
      <c r="G23777" s="8"/>
      <c r="J23777" s="8"/>
    </row>
    <row r="23778">
      <c r="C23778" s="15"/>
      <c r="E23778" s="8"/>
      <c r="G23778" s="8"/>
      <c r="J23778" s="8"/>
    </row>
    <row r="23779">
      <c r="C23779" s="15"/>
      <c r="E23779" s="8"/>
      <c r="G23779" s="8"/>
      <c r="J23779" s="8"/>
    </row>
    <row r="23780">
      <c r="C23780" s="15"/>
      <c r="E23780" s="8"/>
      <c r="G23780" s="8"/>
      <c r="J23780" s="8"/>
    </row>
    <row r="23781">
      <c r="C23781" s="15"/>
      <c r="E23781" s="8"/>
      <c r="G23781" s="8"/>
      <c r="J23781" s="8"/>
    </row>
    <row r="23782">
      <c r="C23782" s="15"/>
      <c r="E23782" s="8"/>
      <c r="G23782" s="8"/>
      <c r="J23782" s="8"/>
    </row>
    <row r="23783">
      <c r="C23783" s="15"/>
      <c r="E23783" s="8"/>
      <c r="G23783" s="8"/>
      <c r="J23783" s="8"/>
    </row>
    <row r="23784">
      <c r="C23784" s="15"/>
      <c r="E23784" s="8"/>
      <c r="G23784" s="8"/>
      <c r="J23784" s="8"/>
    </row>
    <row r="23785">
      <c r="C23785" s="15"/>
      <c r="E23785" s="8"/>
      <c r="G23785" s="8"/>
      <c r="J23785" s="8"/>
    </row>
    <row r="23786">
      <c r="C23786" s="15"/>
      <c r="E23786" s="8"/>
      <c r="G23786" s="8"/>
      <c r="J23786" s="8"/>
    </row>
    <row r="23787">
      <c r="C23787" s="15"/>
      <c r="E23787" s="8"/>
      <c r="G23787" s="8"/>
      <c r="J23787" s="8"/>
    </row>
    <row r="23788">
      <c r="C23788" s="15"/>
      <c r="E23788" s="8"/>
      <c r="G23788" s="8"/>
      <c r="J23788" s="8"/>
    </row>
    <row r="23789">
      <c r="C23789" s="15"/>
      <c r="E23789" s="8"/>
      <c r="G23789" s="8"/>
      <c r="J23789" s="8"/>
    </row>
    <row r="23790">
      <c r="C23790" s="15"/>
      <c r="E23790" s="8"/>
      <c r="G23790" s="8"/>
      <c r="J23790" s="8"/>
    </row>
    <row r="23791">
      <c r="C23791" s="15"/>
      <c r="E23791" s="8"/>
      <c r="G23791" s="8"/>
      <c r="J23791" s="8"/>
    </row>
    <row r="23792">
      <c r="C23792" s="15"/>
      <c r="E23792" s="8"/>
      <c r="G23792" s="8"/>
      <c r="J23792" s="8"/>
    </row>
    <row r="23793">
      <c r="C23793" s="15"/>
      <c r="E23793" s="8"/>
      <c r="G23793" s="8"/>
      <c r="J23793" s="8"/>
    </row>
    <row r="23794">
      <c r="C23794" s="15"/>
      <c r="E23794" s="8"/>
      <c r="G23794" s="8"/>
      <c r="J23794" s="8"/>
    </row>
    <row r="23795">
      <c r="C23795" s="15"/>
      <c r="E23795" s="8"/>
      <c r="G23795" s="8"/>
      <c r="J23795" s="8"/>
    </row>
    <row r="23796">
      <c r="C23796" s="15"/>
      <c r="E23796" s="8"/>
      <c r="G23796" s="8"/>
      <c r="J23796" s="8"/>
    </row>
    <row r="23797">
      <c r="C23797" s="15"/>
      <c r="E23797" s="8"/>
      <c r="G23797" s="8"/>
      <c r="J23797" s="8"/>
    </row>
    <row r="23798">
      <c r="C23798" s="15"/>
      <c r="E23798" s="8"/>
      <c r="G23798" s="8"/>
      <c r="J23798" s="8"/>
    </row>
    <row r="23799">
      <c r="C23799" s="15"/>
      <c r="E23799" s="8"/>
      <c r="G23799" s="8"/>
      <c r="J23799" s="8"/>
    </row>
    <row r="23800">
      <c r="C23800" s="15"/>
      <c r="E23800" s="8"/>
      <c r="G23800" s="8"/>
      <c r="J23800" s="8"/>
    </row>
    <row r="23801">
      <c r="C23801" s="15"/>
      <c r="E23801" s="8"/>
      <c r="G23801" s="8"/>
      <c r="J23801" s="8"/>
    </row>
    <row r="23802">
      <c r="C23802" s="15"/>
      <c r="E23802" s="8"/>
      <c r="G23802" s="8"/>
      <c r="J23802" s="8"/>
    </row>
    <row r="23803">
      <c r="C23803" s="15"/>
      <c r="E23803" s="8"/>
      <c r="G23803" s="8"/>
      <c r="J23803" s="8"/>
    </row>
    <row r="23804">
      <c r="C23804" s="15"/>
      <c r="E23804" s="8"/>
      <c r="G23804" s="8"/>
      <c r="J23804" s="8"/>
    </row>
    <row r="23805">
      <c r="C23805" s="15"/>
      <c r="E23805" s="8"/>
      <c r="G23805" s="8"/>
      <c r="J23805" s="8"/>
    </row>
    <row r="23806">
      <c r="C23806" s="15"/>
      <c r="E23806" s="8"/>
      <c r="G23806" s="8"/>
      <c r="J23806" s="8"/>
    </row>
    <row r="23807">
      <c r="C23807" s="15"/>
      <c r="E23807" s="8"/>
      <c r="G23807" s="8"/>
      <c r="J23807" s="8"/>
    </row>
    <row r="23808">
      <c r="C23808" s="15"/>
      <c r="E23808" s="8"/>
      <c r="G23808" s="8"/>
      <c r="J23808" s="8"/>
    </row>
    <row r="23809">
      <c r="C23809" s="15"/>
      <c r="E23809" s="8"/>
      <c r="G23809" s="8"/>
      <c r="J23809" s="8"/>
    </row>
    <row r="23810">
      <c r="C23810" s="15"/>
      <c r="E23810" s="8"/>
      <c r="G23810" s="8"/>
      <c r="J23810" s="8"/>
    </row>
    <row r="23811">
      <c r="C23811" s="15"/>
      <c r="E23811" s="8"/>
      <c r="G23811" s="8"/>
      <c r="J23811" s="8"/>
    </row>
    <row r="23812">
      <c r="C23812" s="15"/>
      <c r="E23812" s="8"/>
      <c r="G23812" s="8"/>
      <c r="J23812" s="8"/>
    </row>
    <row r="23813">
      <c r="C23813" s="15"/>
      <c r="E23813" s="8"/>
      <c r="G23813" s="8"/>
      <c r="J23813" s="8"/>
    </row>
    <row r="23814">
      <c r="C23814" s="15"/>
      <c r="E23814" s="8"/>
      <c r="G23814" s="8"/>
      <c r="J23814" s="8"/>
    </row>
    <row r="23815">
      <c r="C23815" s="15"/>
      <c r="E23815" s="8"/>
      <c r="G23815" s="8"/>
      <c r="J23815" s="8"/>
    </row>
    <row r="23816">
      <c r="C23816" s="15"/>
      <c r="E23816" s="8"/>
      <c r="G23816" s="8"/>
      <c r="J23816" s="8"/>
    </row>
    <row r="23817">
      <c r="C23817" s="15"/>
      <c r="E23817" s="8"/>
      <c r="G23817" s="8"/>
      <c r="J23817" s="8"/>
    </row>
    <row r="23818">
      <c r="C23818" s="15"/>
      <c r="E23818" s="8"/>
      <c r="G23818" s="8"/>
      <c r="J23818" s="8"/>
    </row>
    <row r="23819">
      <c r="C23819" s="15"/>
      <c r="E23819" s="8"/>
      <c r="G23819" s="8"/>
      <c r="J23819" s="8"/>
    </row>
    <row r="23820">
      <c r="C23820" s="15"/>
      <c r="E23820" s="8"/>
      <c r="G23820" s="8"/>
      <c r="J23820" s="8"/>
    </row>
    <row r="23821">
      <c r="C23821" s="15"/>
      <c r="E23821" s="8"/>
      <c r="G23821" s="8"/>
      <c r="J23821" s="8"/>
    </row>
    <row r="23822">
      <c r="C23822" s="15"/>
      <c r="E23822" s="8"/>
      <c r="G23822" s="8"/>
      <c r="J23822" s="8"/>
    </row>
    <row r="23823">
      <c r="C23823" s="15"/>
      <c r="E23823" s="8"/>
      <c r="G23823" s="8"/>
      <c r="J23823" s="8"/>
    </row>
    <row r="23824">
      <c r="C23824" s="15"/>
      <c r="E23824" s="8"/>
      <c r="G23824" s="8"/>
      <c r="J23824" s="8"/>
    </row>
    <row r="23825">
      <c r="C23825" s="15"/>
      <c r="E23825" s="8"/>
      <c r="G23825" s="8"/>
      <c r="J23825" s="8"/>
    </row>
    <row r="23826">
      <c r="C23826" s="15"/>
      <c r="E23826" s="8"/>
      <c r="G23826" s="8"/>
      <c r="J23826" s="8"/>
    </row>
    <row r="23827">
      <c r="C23827" s="15"/>
      <c r="E23827" s="8"/>
      <c r="G23827" s="8"/>
      <c r="J23827" s="8"/>
    </row>
    <row r="23828">
      <c r="C23828" s="15"/>
      <c r="E23828" s="8"/>
      <c r="G23828" s="8"/>
      <c r="J23828" s="8"/>
    </row>
    <row r="23829">
      <c r="C23829" s="15"/>
      <c r="E23829" s="8"/>
      <c r="G23829" s="8"/>
      <c r="J23829" s="8"/>
    </row>
    <row r="23830">
      <c r="C23830" s="15"/>
      <c r="E23830" s="8"/>
      <c r="G23830" s="8"/>
      <c r="J23830" s="8"/>
    </row>
    <row r="23831">
      <c r="C23831" s="15"/>
      <c r="E23831" s="8"/>
      <c r="G23831" s="8"/>
      <c r="J23831" s="8"/>
    </row>
    <row r="23832">
      <c r="C23832" s="15"/>
      <c r="E23832" s="8"/>
      <c r="G23832" s="8"/>
      <c r="J23832" s="8"/>
    </row>
    <row r="23833">
      <c r="C23833" s="15"/>
      <c r="E23833" s="8"/>
      <c r="G23833" s="8"/>
      <c r="J23833" s="8"/>
    </row>
    <row r="23834">
      <c r="C23834" s="15"/>
      <c r="E23834" s="8"/>
      <c r="G23834" s="8"/>
      <c r="J23834" s="8"/>
    </row>
    <row r="23835">
      <c r="C23835" s="15"/>
      <c r="E23835" s="8"/>
      <c r="G23835" s="8"/>
      <c r="J23835" s="8"/>
    </row>
    <row r="23836">
      <c r="C23836" s="15"/>
      <c r="E23836" s="8"/>
      <c r="G23836" s="8"/>
      <c r="J23836" s="8"/>
    </row>
    <row r="23837">
      <c r="C23837" s="15"/>
      <c r="E23837" s="8"/>
      <c r="G23837" s="8"/>
      <c r="J23837" s="8"/>
    </row>
    <row r="23838">
      <c r="C23838" s="15"/>
      <c r="E23838" s="8"/>
      <c r="G23838" s="8"/>
      <c r="J23838" s="8"/>
    </row>
    <row r="23839">
      <c r="C23839" s="15"/>
      <c r="E23839" s="8"/>
      <c r="G23839" s="8"/>
      <c r="J23839" s="8"/>
    </row>
    <row r="23840">
      <c r="C23840" s="15"/>
      <c r="E23840" s="8"/>
      <c r="G23840" s="8"/>
      <c r="J23840" s="8"/>
    </row>
    <row r="23841">
      <c r="C23841" s="15"/>
      <c r="E23841" s="8"/>
      <c r="G23841" s="8"/>
      <c r="J23841" s="8"/>
    </row>
    <row r="23842">
      <c r="C23842" s="15"/>
      <c r="E23842" s="8"/>
      <c r="G23842" s="8"/>
      <c r="J23842" s="8"/>
    </row>
    <row r="23843">
      <c r="C23843" s="15"/>
      <c r="E23843" s="8"/>
      <c r="G23843" s="8"/>
      <c r="J23843" s="8"/>
    </row>
    <row r="23844">
      <c r="C23844" s="15"/>
      <c r="E23844" s="8"/>
      <c r="G23844" s="8"/>
      <c r="J23844" s="8"/>
    </row>
    <row r="23845">
      <c r="C23845" s="15"/>
      <c r="E23845" s="8"/>
      <c r="G23845" s="8"/>
      <c r="J23845" s="8"/>
    </row>
    <row r="23846">
      <c r="C23846" s="15"/>
      <c r="E23846" s="8"/>
      <c r="G23846" s="8"/>
      <c r="J23846" s="8"/>
    </row>
    <row r="23847">
      <c r="C23847" s="15"/>
      <c r="E23847" s="8"/>
      <c r="G23847" s="8"/>
      <c r="J23847" s="8"/>
    </row>
    <row r="23848">
      <c r="C23848" s="15"/>
      <c r="E23848" s="8"/>
      <c r="G23848" s="8"/>
      <c r="J23848" s="8"/>
    </row>
    <row r="23849">
      <c r="C23849" s="15"/>
      <c r="E23849" s="8"/>
      <c r="G23849" s="8"/>
      <c r="J23849" s="8"/>
    </row>
    <row r="23850">
      <c r="C23850" s="15"/>
      <c r="E23850" s="8"/>
      <c r="G23850" s="8"/>
      <c r="J23850" s="8"/>
    </row>
    <row r="23851">
      <c r="C23851" s="15"/>
      <c r="E23851" s="8"/>
      <c r="G23851" s="8"/>
      <c r="J23851" s="8"/>
    </row>
    <row r="23852">
      <c r="C23852" s="15"/>
      <c r="E23852" s="8"/>
      <c r="G23852" s="8"/>
      <c r="J23852" s="8"/>
    </row>
    <row r="23853">
      <c r="C23853" s="15"/>
      <c r="E23853" s="8"/>
      <c r="G23853" s="8"/>
      <c r="J23853" s="8"/>
    </row>
    <row r="23854">
      <c r="C23854" s="15"/>
      <c r="E23854" s="8"/>
      <c r="G23854" s="8"/>
      <c r="J23854" s="8"/>
    </row>
    <row r="23855">
      <c r="C23855" s="15"/>
      <c r="E23855" s="8"/>
      <c r="G23855" s="8"/>
      <c r="J23855" s="8"/>
    </row>
    <row r="23856">
      <c r="C23856" s="15"/>
      <c r="E23856" s="8"/>
      <c r="G23856" s="8"/>
      <c r="J23856" s="8"/>
    </row>
    <row r="23857">
      <c r="C23857" s="15"/>
      <c r="E23857" s="8"/>
      <c r="G23857" s="8"/>
      <c r="J23857" s="8"/>
    </row>
    <row r="23858">
      <c r="C23858" s="15"/>
      <c r="E23858" s="8"/>
      <c r="G23858" s="8"/>
      <c r="J23858" s="8"/>
    </row>
    <row r="23859">
      <c r="C23859" s="15"/>
      <c r="E23859" s="8"/>
      <c r="G23859" s="8"/>
      <c r="J23859" s="8"/>
    </row>
    <row r="23860">
      <c r="C23860" s="15"/>
      <c r="E23860" s="8"/>
      <c r="G23860" s="8"/>
      <c r="J23860" s="8"/>
    </row>
    <row r="23861">
      <c r="C23861" s="15"/>
      <c r="E23861" s="8"/>
      <c r="G23861" s="8"/>
      <c r="J23861" s="8"/>
    </row>
    <row r="23862">
      <c r="C23862" s="15"/>
      <c r="E23862" s="8"/>
      <c r="G23862" s="8"/>
      <c r="J23862" s="8"/>
    </row>
    <row r="23863">
      <c r="C23863" s="15"/>
      <c r="E23863" s="8"/>
      <c r="G23863" s="8"/>
      <c r="J23863" s="8"/>
    </row>
    <row r="23864">
      <c r="C23864" s="15"/>
      <c r="E23864" s="8"/>
      <c r="G23864" s="8"/>
      <c r="J23864" s="8"/>
    </row>
    <row r="23865">
      <c r="C23865" s="15"/>
      <c r="E23865" s="8"/>
      <c r="G23865" s="8"/>
      <c r="J23865" s="8"/>
    </row>
    <row r="23866">
      <c r="C23866" s="15"/>
      <c r="E23866" s="8"/>
      <c r="G23866" s="8"/>
      <c r="J23866" s="8"/>
    </row>
    <row r="23867">
      <c r="C23867" s="15"/>
      <c r="E23867" s="8"/>
      <c r="G23867" s="8"/>
      <c r="J23867" s="8"/>
    </row>
    <row r="23868">
      <c r="C23868" s="15"/>
      <c r="E23868" s="8"/>
      <c r="G23868" s="8"/>
      <c r="J23868" s="8"/>
    </row>
    <row r="23869">
      <c r="C23869" s="15"/>
      <c r="E23869" s="8"/>
      <c r="G23869" s="8"/>
      <c r="J23869" s="8"/>
    </row>
    <row r="23870">
      <c r="C23870" s="15"/>
      <c r="E23870" s="8"/>
      <c r="G23870" s="8"/>
      <c r="J23870" s="8"/>
    </row>
    <row r="23871">
      <c r="C23871" s="15"/>
      <c r="E23871" s="8"/>
      <c r="G23871" s="8"/>
      <c r="J23871" s="8"/>
    </row>
    <row r="23872">
      <c r="C23872" s="15"/>
      <c r="E23872" s="8"/>
      <c r="G23872" s="8"/>
      <c r="J23872" s="8"/>
    </row>
    <row r="23873">
      <c r="C23873" s="15"/>
      <c r="E23873" s="8"/>
      <c r="G23873" s="8"/>
      <c r="J23873" s="8"/>
    </row>
    <row r="23874">
      <c r="C23874" s="15"/>
      <c r="E23874" s="8"/>
      <c r="G23874" s="8"/>
      <c r="J23874" s="8"/>
    </row>
    <row r="23875">
      <c r="C23875" s="15"/>
      <c r="E23875" s="8"/>
      <c r="G23875" s="8"/>
      <c r="J23875" s="8"/>
    </row>
    <row r="23876">
      <c r="C23876" s="15"/>
      <c r="E23876" s="8"/>
      <c r="G23876" s="8"/>
      <c r="J23876" s="8"/>
    </row>
    <row r="23877">
      <c r="C23877" s="15"/>
      <c r="E23877" s="8"/>
      <c r="G23877" s="8"/>
      <c r="J23877" s="8"/>
    </row>
    <row r="23878">
      <c r="C23878" s="15"/>
      <c r="E23878" s="8"/>
      <c r="G23878" s="8"/>
      <c r="J23878" s="8"/>
    </row>
    <row r="23879">
      <c r="C23879" s="15"/>
      <c r="E23879" s="8"/>
      <c r="G23879" s="8"/>
      <c r="J23879" s="8"/>
    </row>
    <row r="23880">
      <c r="C23880" s="15"/>
      <c r="E23880" s="8"/>
      <c r="G23880" s="8"/>
      <c r="J23880" s="8"/>
    </row>
    <row r="23881">
      <c r="C23881" s="15"/>
      <c r="E23881" s="8"/>
      <c r="G23881" s="8"/>
      <c r="J23881" s="8"/>
    </row>
    <row r="23882">
      <c r="C23882" s="15"/>
      <c r="E23882" s="8"/>
      <c r="G23882" s="8"/>
      <c r="J23882" s="8"/>
    </row>
    <row r="23883">
      <c r="C23883" s="15"/>
      <c r="E23883" s="8"/>
      <c r="G23883" s="8"/>
      <c r="J23883" s="8"/>
    </row>
    <row r="23884">
      <c r="C23884" s="15"/>
      <c r="E23884" s="8"/>
      <c r="G23884" s="8"/>
      <c r="J23884" s="8"/>
    </row>
    <row r="23885">
      <c r="C23885" s="15"/>
      <c r="E23885" s="8"/>
      <c r="G23885" s="8"/>
      <c r="J23885" s="8"/>
    </row>
    <row r="23886">
      <c r="C23886" s="15"/>
      <c r="E23886" s="8"/>
      <c r="G23886" s="8"/>
      <c r="J23886" s="8"/>
    </row>
    <row r="23887">
      <c r="C23887" s="15"/>
      <c r="E23887" s="8"/>
      <c r="G23887" s="8"/>
      <c r="J23887" s="8"/>
    </row>
    <row r="23888">
      <c r="C23888" s="15"/>
      <c r="E23888" s="8"/>
      <c r="G23888" s="8"/>
      <c r="J23888" s="8"/>
    </row>
    <row r="23889">
      <c r="C23889" s="15"/>
      <c r="E23889" s="8"/>
      <c r="G23889" s="8"/>
      <c r="J23889" s="8"/>
    </row>
    <row r="23890">
      <c r="C23890" s="15"/>
      <c r="E23890" s="8"/>
      <c r="G23890" s="8"/>
      <c r="J23890" s="8"/>
    </row>
    <row r="23891">
      <c r="C23891" s="15"/>
      <c r="E23891" s="8"/>
      <c r="G23891" s="8"/>
      <c r="J23891" s="8"/>
    </row>
    <row r="23892">
      <c r="C23892" s="15"/>
      <c r="E23892" s="8"/>
      <c r="G23892" s="8"/>
      <c r="J23892" s="8"/>
    </row>
    <row r="23893">
      <c r="C23893" s="15"/>
      <c r="E23893" s="8"/>
      <c r="G23893" s="8"/>
      <c r="J23893" s="8"/>
    </row>
    <row r="23894">
      <c r="C23894" s="15"/>
      <c r="E23894" s="8"/>
      <c r="G23894" s="8"/>
      <c r="J23894" s="8"/>
    </row>
    <row r="23895">
      <c r="C23895" s="15"/>
      <c r="E23895" s="8"/>
      <c r="G23895" s="8"/>
      <c r="J23895" s="8"/>
    </row>
    <row r="23896">
      <c r="C23896" s="15"/>
      <c r="E23896" s="8"/>
      <c r="G23896" s="8"/>
      <c r="J23896" s="8"/>
    </row>
    <row r="23897">
      <c r="C23897" s="15"/>
      <c r="E23897" s="8"/>
      <c r="G23897" s="8"/>
      <c r="J23897" s="8"/>
    </row>
    <row r="23898">
      <c r="C23898" s="15"/>
      <c r="E23898" s="8"/>
      <c r="G23898" s="8"/>
      <c r="J23898" s="8"/>
    </row>
    <row r="23899">
      <c r="C23899" s="15"/>
      <c r="E23899" s="8"/>
      <c r="G23899" s="8"/>
      <c r="J23899" s="8"/>
    </row>
    <row r="23900">
      <c r="C23900" s="15"/>
      <c r="E23900" s="8"/>
      <c r="G23900" s="8"/>
      <c r="J23900" s="8"/>
    </row>
    <row r="23901">
      <c r="C23901" s="15"/>
      <c r="E23901" s="8"/>
      <c r="G23901" s="8"/>
      <c r="J23901" s="8"/>
    </row>
    <row r="23902">
      <c r="C23902" s="15"/>
      <c r="E23902" s="8"/>
      <c r="G23902" s="8"/>
      <c r="J23902" s="8"/>
    </row>
    <row r="23903">
      <c r="C23903" s="15"/>
      <c r="E23903" s="8"/>
      <c r="G23903" s="8"/>
      <c r="J23903" s="8"/>
    </row>
    <row r="23904">
      <c r="C23904" s="15"/>
      <c r="E23904" s="8"/>
      <c r="G23904" s="8"/>
      <c r="J23904" s="8"/>
    </row>
    <row r="23905">
      <c r="C23905" s="15"/>
      <c r="E23905" s="8"/>
      <c r="G23905" s="8"/>
      <c r="J23905" s="8"/>
    </row>
    <row r="23906">
      <c r="C23906" s="15"/>
      <c r="E23906" s="8"/>
      <c r="G23906" s="8"/>
      <c r="J23906" s="8"/>
    </row>
    <row r="23907">
      <c r="C23907" s="15"/>
      <c r="E23907" s="8"/>
      <c r="G23907" s="8"/>
      <c r="J23907" s="8"/>
    </row>
    <row r="23908">
      <c r="C23908" s="15"/>
      <c r="E23908" s="8"/>
      <c r="G23908" s="8"/>
      <c r="J23908" s="8"/>
    </row>
    <row r="23909">
      <c r="C23909" s="15"/>
      <c r="E23909" s="8"/>
      <c r="G23909" s="8"/>
      <c r="J23909" s="8"/>
    </row>
    <row r="23910">
      <c r="C23910" s="15"/>
      <c r="E23910" s="8"/>
      <c r="G23910" s="8"/>
      <c r="J23910" s="8"/>
    </row>
    <row r="23911">
      <c r="C23911" s="15"/>
      <c r="E23911" s="8"/>
      <c r="G23911" s="8"/>
      <c r="J23911" s="8"/>
    </row>
    <row r="23912">
      <c r="C23912" s="15"/>
      <c r="E23912" s="8"/>
      <c r="G23912" s="8"/>
      <c r="J23912" s="8"/>
    </row>
    <row r="23913">
      <c r="C23913" s="15"/>
      <c r="E23913" s="8"/>
      <c r="G23913" s="8"/>
      <c r="J23913" s="8"/>
    </row>
    <row r="23914">
      <c r="C23914" s="15"/>
      <c r="E23914" s="8"/>
      <c r="G23914" s="8"/>
      <c r="J23914" s="8"/>
    </row>
    <row r="23915">
      <c r="C23915" s="15"/>
      <c r="E23915" s="8"/>
      <c r="G23915" s="8"/>
      <c r="J23915" s="8"/>
    </row>
    <row r="23916">
      <c r="C23916" s="15"/>
      <c r="E23916" s="8"/>
      <c r="G23916" s="8"/>
      <c r="J23916" s="8"/>
    </row>
    <row r="23917">
      <c r="C23917" s="15"/>
      <c r="E23917" s="8"/>
      <c r="G23917" s="8"/>
      <c r="J23917" s="8"/>
    </row>
    <row r="23918">
      <c r="C23918" s="15"/>
      <c r="E23918" s="8"/>
      <c r="G23918" s="8"/>
      <c r="J23918" s="8"/>
    </row>
    <row r="23919">
      <c r="C23919" s="15"/>
      <c r="E23919" s="8"/>
      <c r="G23919" s="8"/>
      <c r="J23919" s="8"/>
    </row>
    <row r="23920">
      <c r="C23920" s="15"/>
      <c r="E23920" s="8"/>
      <c r="G23920" s="8"/>
      <c r="J23920" s="8"/>
    </row>
    <row r="23921">
      <c r="C23921" s="15"/>
      <c r="E23921" s="8"/>
      <c r="G23921" s="8"/>
      <c r="J23921" s="8"/>
    </row>
    <row r="23922">
      <c r="C23922" s="15"/>
      <c r="E23922" s="8"/>
      <c r="G23922" s="8"/>
      <c r="J23922" s="8"/>
    </row>
    <row r="23923">
      <c r="C23923" s="15"/>
      <c r="E23923" s="8"/>
      <c r="G23923" s="8"/>
      <c r="J23923" s="8"/>
    </row>
    <row r="23924">
      <c r="C23924" s="15"/>
      <c r="E23924" s="8"/>
      <c r="G23924" s="8"/>
      <c r="J23924" s="8"/>
    </row>
    <row r="23925">
      <c r="C23925" s="15"/>
      <c r="E23925" s="8"/>
      <c r="G23925" s="8"/>
      <c r="J23925" s="8"/>
    </row>
    <row r="23926">
      <c r="C23926" s="15"/>
      <c r="E23926" s="8"/>
      <c r="G23926" s="8"/>
      <c r="J23926" s="8"/>
    </row>
    <row r="23927">
      <c r="C23927" s="15"/>
      <c r="E23927" s="8"/>
      <c r="G23927" s="8"/>
      <c r="J23927" s="8"/>
    </row>
    <row r="23928">
      <c r="C23928" s="15"/>
      <c r="E23928" s="8"/>
      <c r="G23928" s="8"/>
      <c r="J23928" s="8"/>
    </row>
    <row r="23929">
      <c r="C23929" s="15"/>
      <c r="E23929" s="8"/>
      <c r="G23929" s="8"/>
      <c r="J23929" s="8"/>
    </row>
    <row r="23930">
      <c r="C23930" s="15"/>
      <c r="E23930" s="8"/>
      <c r="G23930" s="8"/>
      <c r="J23930" s="8"/>
    </row>
    <row r="23931">
      <c r="C23931" s="15"/>
      <c r="E23931" s="8"/>
      <c r="G23931" s="8"/>
      <c r="J23931" s="8"/>
    </row>
    <row r="23932">
      <c r="C23932" s="15"/>
      <c r="E23932" s="8"/>
      <c r="G23932" s="8"/>
      <c r="J23932" s="8"/>
    </row>
    <row r="23933">
      <c r="C23933" s="15"/>
      <c r="E23933" s="8"/>
      <c r="G23933" s="8"/>
      <c r="J23933" s="8"/>
    </row>
    <row r="23934">
      <c r="C23934" s="15"/>
      <c r="E23934" s="8"/>
      <c r="G23934" s="8"/>
      <c r="J23934" s="8"/>
    </row>
    <row r="23935">
      <c r="C23935" s="15"/>
      <c r="E23935" s="8"/>
      <c r="G23935" s="8"/>
      <c r="J23935" s="8"/>
    </row>
    <row r="23936">
      <c r="C23936" s="15"/>
      <c r="E23936" s="8"/>
      <c r="G23936" s="8"/>
      <c r="J23936" s="8"/>
    </row>
    <row r="23937">
      <c r="C23937" s="15"/>
      <c r="E23937" s="8"/>
      <c r="G23937" s="8"/>
      <c r="J23937" s="8"/>
    </row>
    <row r="23938">
      <c r="C23938" s="15"/>
      <c r="E23938" s="8"/>
      <c r="G23938" s="8"/>
      <c r="J23938" s="8"/>
    </row>
    <row r="23939">
      <c r="C23939" s="15"/>
      <c r="E23939" s="8"/>
      <c r="G23939" s="8"/>
      <c r="J23939" s="8"/>
    </row>
    <row r="23940">
      <c r="C23940" s="15"/>
      <c r="E23940" s="8"/>
      <c r="G23940" s="8"/>
      <c r="J23940" s="8"/>
    </row>
    <row r="23941">
      <c r="C23941" s="15"/>
      <c r="E23941" s="8"/>
      <c r="G23941" s="8"/>
      <c r="J23941" s="8"/>
    </row>
    <row r="23942">
      <c r="C23942" s="15"/>
      <c r="E23942" s="8"/>
      <c r="G23942" s="8"/>
      <c r="J23942" s="8"/>
    </row>
    <row r="23943">
      <c r="C23943" s="15"/>
      <c r="E23943" s="8"/>
      <c r="G23943" s="8"/>
      <c r="J23943" s="8"/>
    </row>
    <row r="23944">
      <c r="C23944" s="15"/>
      <c r="E23944" s="8"/>
      <c r="G23944" s="8"/>
      <c r="J23944" s="8"/>
    </row>
    <row r="23945">
      <c r="C23945" s="15"/>
      <c r="E23945" s="8"/>
      <c r="G23945" s="8"/>
      <c r="J23945" s="8"/>
    </row>
    <row r="23946">
      <c r="C23946" s="15"/>
      <c r="E23946" s="8"/>
      <c r="G23946" s="8"/>
      <c r="J23946" s="8"/>
    </row>
    <row r="23947">
      <c r="C23947" s="15"/>
      <c r="E23947" s="8"/>
      <c r="G23947" s="8"/>
      <c r="J23947" s="8"/>
    </row>
    <row r="23948">
      <c r="C23948" s="15"/>
      <c r="E23948" s="8"/>
      <c r="G23948" s="8"/>
      <c r="J23948" s="8"/>
    </row>
    <row r="23949">
      <c r="C23949" s="15"/>
      <c r="E23949" s="8"/>
      <c r="G23949" s="8"/>
      <c r="J23949" s="8"/>
    </row>
    <row r="23950">
      <c r="C23950" s="15"/>
      <c r="E23950" s="8"/>
      <c r="G23950" s="8"/>
      <c r="J23950" s="8"/>
    </row>
    <row r="23951">
      <c r="C23951" s="15"/>
      <c r="E23951" s="8"/>
      <c r="G23951" s="8"/>
      <c r="J23951" s="8"/>
    </row>
    <row r="23952">
      <c r="C23952" s="15"/>
      <c r="E23952" s="8"/>
      <c r="G23952" s="8"/>
      <c r="J23952" s="8"/>
    </row>
    <row r="23953">
      <c r="C23953" s="15"/>
      <c r="E23953" s="8"/>
      <c r="G23953" s="8"/>
      <c r="J23953" s="8"/>
    </row>
    <row r="23954">
      <c r="C23954" s="15"/>
      <c r="E23954" s="8"/>
      <c r="G23954" s="8"/>
      <c r="J23954" s="8"/>
    </row>
    <row r="23955">
      <c r="C23955" s="15"/>
      <c r="E23955" s="8"/>
      <c r="G23955" s="8"/>
      <c r="J23955" s="8"/>
    </row>
    <row r="23956">
      <c r="C23956" s="15"/>
      <c r="E23956" s="8"/>
      <c r="G23956" s="8"/>
      <c r="J23956" s="8"/>
    </row>
    <row r="23957">
      <c r="C23957" s="15"/>
      <c r="E23957" s="8"/>
      <c r="G23957" s="8"/>
      <c r="J23957" s="8"/>
    </row>
    <row r="23958">
      <c r="C23958" s="15"/>
      <c r="E23958" s="8"/>
      <c r="G23958" s="8"/>
      <c r="J23958" s="8"/>
    </row>
    <row r="23959">
      <c r="C23959" s="15"/>
      <c r="E23959" s="8"/>
      <c r="G23959" s="8"/>
      <c r="J23959" s="8"/>
    </row>
    <row r="23960">
      <c r="C23960" s="15"/>
      <c r="E23960" s="8"/>
      <c r="G23960" s="8"/>
      <c r="J23960" s="8"/>
    </row>
    <row r="23961">
      <c r="C23961" s="15"/>
      <c r="E23961" s="8"/>
      <c r="G23961" s="8"/>
      <c r="J23961" s="8"/>
    </row>
    <row r="23962">
      <c r="C23962" s="15"/>
      <c r="E23962" s="8"/>
      <c r="G23962" s="8"/>
      <c r="J23962" s="8"/>
    </row>
    <row r="23963">
      <c r="C23963" s="15"/>
      <c r="E23963" s="8"/>
      <c r="G23963" s="8"/>
      <c r="J23963" s="8"/>
    </row>
    <row r="23964">
      <c r="C23964" s="15"/>
      <c r="E23964" s="8"/>
      <c r="G23964" s="8"/>
      <c r="J23964" s="8"/>
    </row>
    <row r="23965">
      <c r="C23965" s="15"/>
      <c r="E23965" s="8"/>
      <c r="G23965" s="8"/>
      <c r="J23965" s="8"/>
    </row>
    <row r="23966">
      <c r="C23966" s="15"/>
      <c r="E23966" s="8"/>
      <c r="G23966" s="8"/>
      <c r="J23966" s="8"/>
    </row>
    <row r="23967">
      <c r="C23967" s="15"/>
      <c r="E23967" s="8"/>
      <c r="G23967" s="8"/>
      <c r="J23967" s="8"/>
    </row>
    <row r="23968">
      <c r="C23968" s="15"/>
      <c r="E23968" s="8"/>
      <c r="G23968" s="8"/>
      <c r="J23968" s="8"/>
    </row>
    <row r="23969">
      <c r="C23969" s="15"/>
      <c r="E23969" s="8"/>
      <c r="G23969" s="8"/>
      <c r="J23969" s="8"/>
    </row>
    <row r="23970">
      <c r="C23970" s="15"/>
      <c r="E23970" s="8"/>
      <c r="G23970" s="8"/>
      <c r="J23970" s="8"/>
    </row>
    <row r="23971">
      <c r="C23971" s="15"/>
      <c r="E23971" s="8"/>
      <c r="G23971" s="8"/>
      <c r="J23971" s="8"/>
    </row>
    <row r="23972">
      <c r="C23972" s="15"/>
      <c r="E23972" s="8"/>
      <c r="G23972" s="8"/>
      <c r="J23972" s="8"/>
    </row>
    <row r="23973">
      <c r="C23973" s="15"/>
      <c r="E23973" s="8"/>
      <c r="G23973" s="8"/>
      <c r="J23973" s="8"/>
    </row>
    <row r="23974">
      <c r="C23974" s="15"/>
      <c r="E23974" s="8"/>
      <c r="G23974" s="8"/>
      <c r="J23974" s="8"/>
    </row>
    <row r="23975">
      <c r="C23975" s="15"/>
      <c r="E23975" s="8"/>
      <c r="G23975" s="8"/>
      <c r="J23975" s="8"/>
    </row>
    <row r="23976">
      <c r="C23976" s="15"/>
      <c r="E23976" s="8"/>
      <c r="G23976" s="8"/>
      <c r="J23976" s="8"/>
    </row>
    <row r="23977">
      <c r="C23977" s="15"/>
      <c r="E23977" s="8"/>
      <c r="G23977" s="8"/>
      <c r="J23977" s="8"/>
    </row>
    <row r="23978">
      <c r="C23978" s="15"/>
      <c r="E23978" s="8"/>
      <c r="G23978" s="8"/>
      <c r="J23978" s="8"/>
    </row>
    <row r="23979">
      <c r="C23979" s="15"/>
      <c r="E23979" s="8"/>
      <c r="G23979" s="8"/>
      <c r="J23979" s="8"/>
    </row>
    <row r="23980">
      <c r="C23980" s="15"/>
      <c r="E23980" s="8"/>
      <c r="G23980" s="8"/>
      <c r="J23980" s="8"/>
    </row>
    <row r="23981">
      <c r="C23981" s="15"/>
      <c r="E23981" s="8"/>
      <c r="G23981" s="8"/>
      <c r="J23981" s="8"/>
    </row>
    <row r="23982">
      <c r="C23982" s="15"/>
      <c r="E23982" s="8"/>
      <c r="G23982" s="8"/>
      <c r="J23982" s="8"/>
    </row>
    <row r="23983">
      <c r="C23983" s="15"/>
      <c r="E23983" s="8"/>
      <c r="G23983" s="8"/>
      <c r="J23983" s="8"/>
    </row>
    <row r="23984">
      <c r="C23984" s="15"/>
      <c r="E23984" s="8"/>
      <c r="G23984" s="8"/>
      <c r="J23984" s="8"/>
    </row>
    <row r="23985">
      <c r="C23985" s="15"/>
      <c r="E23985" s="8"/>
      <c r="G23985" s="8"/>
      <c r="J23985" s="8"/>
    </row>
    <row r="23986">
      <c r="C23986" s="15"/>
      <c r="E23986" s="8"/>
      <c r="G23986" s="8"/>
      <c r="J23986" s="8"/>
    </row>
    <row r="23987">
      <c r="C23987" s="15"/>
      <c r="E23987" s="8"/>
      <c r="G23987" s="8"/>
      <c r="J23987" s="8"/>
    </row>
    <row r="23988">
      <c r="C23988" s="15"/>
      <c r="E23988" s="8"/>
      <c r="G23988" s="8"/>
      <c r="J23988" s="8"/>
    </row>
    <row r="23989">
      <c r="C23989" s="15"/>
      <c r="E23989" s="8"/>
      <c r="G23989" s="8"/>
      <c r="J23989" s="8"/>
    </row>
    <row r="23990">
      <c r="C23990" s="15"/>
      <c r="E23990" s="8"/>
      <c r="G23990" s="8"/>
      <c r="J23990" s="8"/>
    </row>
    <row r="23991">
      <c r="C23991" s="15"/>
      <c r="E23991" s="8"/>
      <c r="G23991" s="8"/>
      <c r="J23991" s="8"/>
    </row>
    <row r="23992">
      <c r="C23992" s="15"/>
      <c r="E23992" s="8"/>
      <c r="G23992" s="8"/>
      <c r="J23992" s="8"/>
    </row>
    <row r="23993">
      <c r="C23993" s="15"/>
      <c r="E23993" s="8"/>
      <c r="G23993" s="8"/>
      <c r="J23993" s="8"/>
    </row>
    <row r="23994">
      <c r="C23994" s="15"/>
      <c r="E23994" s="8"/>
      <c r="G23994" s="8"/>
      <c r="J23994" s="8"/>
    </row>
    <row r="23995">
      <c r="C23995" s="15"/>
      <c r="E23995" s="8"/>
      <c r="G23995" s="8"/>
      <c r="J23995" s="8"/>
    </row>
    <row r="23996">
      <c r="C23996" s="15"/>
      <c r="E23996" s="8"/>
      <c r="G23996" s="8"/>
      <c r="J23996" s="8"/>
    </row>
    <row r="23997">
      <c r="C23997" s="15"/>
      <c r="E23997" s="8"/>
      <c r="G23997" s="8"/>
      <c r="J23997" s="8"/>
    </row>
    <row r="23998">
      <c r="C23998" s="15"/>
      <c r="E23998" s="8"/>
      <c r="G23998" s="8"/>
      <c r="J23998" s="8"/>
    </row>
    <row r="23999">
      <c r="C23999" s="15"/>
      <c r="E23999" s="8"/>
      <c r="G23999" s="8"/>
      <c r="J23999" s="8"/>
    </row>
    <row r="24000">
      <c r="C24000" s="15"/>
      <c r="E24000" s="8"/>
      <c r="G24000" s="8"/>
      <c r="J24000" s="8"/>
    </row>
    <row r="24001">
      <c r="C24001" s="15"/>
      <c r="E24001" s="8"/>
      <c r="G24001" s="8"/>
      <c r="J24001" s="8"/>
    </row>
    <row r="24002">
      <c r="C24002" s="15"/>
      <c r="E24002" s="8"/>
      <c r="G24002" s="8"/>
      <c r="J24002" s="8"/>
    </row>
    <row r="24003">
      <c r="C24003" s="15"/>
      <c r="E24003" s="8"/>
      <c r="G24003" s="8"/>
      <c r="J24003" s="8"/>
    </row>
    <row r="24004">
      <c r="C24004" s="15"/>
      <c r="E24004" s="8"/>
      <c r="G24004" s="8"/>
      <c r="J24004" s="8"/>
    </row>
    <row r="24005">
      <c r="C24005" s="15"/>
      <c r="E24005" s="8"/>
      <c r="G24005" s="8"/>
      <c r="J24005" s="8"/>
    </row>
    <row r="24006">
      <c r="C24006" s="15"/>
      <c r="E24006" s="8"/>
      <c r="G24006" s="8"/>
      <c r="J24006" s="8"/>
    </row>
    <row r="24007">
      <c r="C24007" s="15"/>
      <c r="E24007" s="8"/>
      <c r="G24007" s="8"/>
      <c r="J24007" s="8"/>
    </row>
    <row r="24008">
      <c r="C24008" s="15"/>
      <c r="E24008" s="8"/>
      <c r="G24008" s="8"/>
      <c r="J24008" s="8"/>
    </row>
    <row r="24009">
      <c r="C24009" s="15"/>
      <c r="E24009" s="8"/>
      <c r="G24009" s="8"/>
      <c r="J24009" s="8"/>
    </row>
    <row r="24010">
      <c r="C24010" s="15"/>
      <c r="E24010" s="8"/>
      <c r="G24010" s="8"/>
      <c r="J24010" s="8"/>
    </row>
    <row r="24011">
      <c r="C24011" s="15"/>
      <c r="E24011" s="8"/>
      <c r="G24011" s="8"/>
      <c r="J24011" s="8"/>
    </row>
    <row r="24012">
      <c r="C24012" s="15"/>
      <c r="E24012" s="8"/>
      <c r="G24012" s="8"/>
      <c r="J24012" s="8"/>
    </row>
    <row r="24013">
      <c r="C24013" s="15"/>
      <c r="E24013" s="8"/>
      <c r="G24013" s="8"/>
      <c r="J24013" s="8"/>
    </row>
    <row r="24014">
      <c r="C24014" s="15"/>
      <c r="E24014" s="8"/>
      <c r="G24014" s="8"/>
      <c r="J24014" s="8"/>
    </row>
    <row r="24015">
      <c r="C24015" s="15"/>
      <c r="E24015" s="8"/>
      <c r="G24015" s="8"/>
      <c r="J24015" s="8"/>
    </row>
    <row r="24016">
      <c r="C24016" s="15"/>
      <c r="E24016" s="8"/>
      <c r="G24016" s="8"/>
      <c r="J24016" s="8"/>
    </row>
    <row r="24017">
      <c r="C24017" s="15"/>
      <c r="E24017" s="8"/>
      <c r="G24017" s="8"/>
      <c r="J24017" s="8"/>
    </row>
    <row r="24018">
      <c r="C24018" s="15"/>
      <c r="E24018" s="8"/>
      <c r="G24018" s="8"/>
      <c r="J24018" s="8"/>
    </row>
    <row r="24019">
      <c r="C24019" s="15"/>
      <c r="E24019" s="8"/>
      <c r="G24019" s="8"/>
      <c r="J24019" s="8"/>
    </row>
    <row r="24020">
      <c r="C24020" s="15"/>
      <c r="E24020" s="8"/>
      <c r="G24020" s="8"/>
      <c r="J24020" s="8"/>
    </row>
    <row r="24021">
      <c r="C24021" s="15"/>
      <c r="E24021" s="8"/>
      <c r="G24021" s="8"/>
      <c r="J24021" s="8"/>
    </row>
    <row r="24022">
      <c r="C24022" s="15"/>
      <c r="E24022" s="8"/>
      <c r="G24022" s="8"/>
      <c r="J24022" s="8"/>
    </row>
    <row r="24023">
      <c r="C24023" s="15"/>
      <c r="E24023" s="8"/>
      <c r="G24023" s="8"/>
      <c r="J24023" s="8"/>
    </row>
    <row r="24024">
      <c r="C24024" s="15"/>
      <c r="E24024" s="8"/>
      <c r="G24024" s="8"/>
      <c r="J24024" s="8"/>
    </row>
    <row r="24025">
      <c r="C24025" s="15"/>
      <c r="E24025" s="8"/>
      <c r="G24025" s="8"/>
      <c r="J24025" s="8"/>
    </row>
    <row r="24026">
      <c r="C24026" s="15"/>
      <c r="E24026" s="8"/>
      <c r="G24026" s="8"/>
      <c r="J24026" s="8"/>
    </row>
    <row r="24027">
      <c r="C24027" s="15"/>
      <c r="E24027" s="8"/>
      <c r="G24027" s="8"/>
      <c r="J24027" s="8"/>
    </row>
    <row r="24028">
      <c r="C24028" s="15"/>
      <c r="E24028" s="8"/>
      <c r="G24028" s="8"/>
      <c r="J24028" s="8"/>
    </row>
    <row r="24029">
      <c r="C24029" s="15"/>
      <c r="E24029" s="8"/>
      <c r="G24029" s="8"/>
      <c r="J24029" s="8"/>
    </row>
    <row r="24030">
      <c r="C24030" s="15"/>
      <c r="E24030" s="8"/>
      <c r="G24030" s="8"/>
      <c r="J24030" s="8"/>
    </row>
    <row r="24031">
      <c r="C24031" s="15"/>
      <c r="E24031" s="8"/>
      <c r="G24031" s="8"/>
      <c r="J24031" s="8"/>
    </row>
    <row r="24032">
      <c r="C24032" s="15"/>
      <c r="E24032" s="8"/>
      <c r="G24032" s="8"/>
      <c r="J24032" s="8"/>
    </row>
    <row r="24033">
      <c r="C24033" s="15"/>
      <c r="E24033" s="8"/>
      <c r="G24033" s="8"/>
      <c r="J24033" s="8"/>
    </row>
    <row r="24034">
      <c r="C24034" s="15"/>
      <c r="E24034" s="8"/>
      <c r="G24034" s="8"/>
      <c r="J24034" s="8"/>
    </row>
    <row r="24035">
      <c r="C24035" s="15"/>
      <c r="E24035" s="8"/>
      <c r="G24035" s="8"/>
      <c r="J24035" s="8"/>
    </row>
    <row r="24036">
      <c r="C24036" s="15"/>
      <c r="E24036" s="8"/>
      <c r="G24036" s="8"/>
      <c r="J24036" s="8"/>
    </row>
    <row r="24037">
      <c r="C24037" s="15"/>
      <c r="E24037" s="8"/>
      <c r="G24037" s="8"/>
      <c r="J24037" s="8"/>
    </row>
    <row r="24038">
      <c r="C24038" s="15"/>
      <c r="E24038" s="8"/>
      <c r="G24038" s="8"/>
      <c r="J24038" s="8"/>
    </row>
    <row r="24039">
      <c r="C24039" s="15"/>
      <c r="E24039" s="8"/>
      <c r="G24039" s="8"/>
      <c r="J24039" s="8"/>
    </row>
    <row r="24040">
      <c r="C24040" s="15"/>
      <c r="E24040" s="8"/>
      <c r="G24040" s="8"/>
      <c r="J24040" s="8"/>
    </row>
    <row r="24041">
      <c r="C24041" s="15"/>
      <c r="E24041" s="8"/>
      <c r="G24041" s="8"/>
      <c r="J24041" s="8"/>
    </row>
    <row r="24042">
      <c r="C24042" s="15"/>
      <c r="E24042" s="8"/>
      <c r="G24042" s="8"/>
      <c r="J24042" s="8"/>
    </row>
    <row r="24043">
      <c r="C24043" s="15"/>
      <c r="E24043" s="8"/>
      <c r="G24043" s="8"/>
      <c r="J24043" s="8"/>
    </row>
    <row r="24044">
      <c r="C24044" s="15"/>
      <c r="E24044" s="8"/>
      <c r="G24044" s="8"/>
      <c r="J24044" s="8"/>
    </row>
    <row r="24045">
      <c r="C24045" s="15"/>
      <c r="E24045" s="8"/>
      <c r="G24045" s="8"/>
      <c r="J24045" s="8"/>
    </row>
    <row r="24046">
      <c r="C24046" s="15"/>
      <c r="E24046" s="8"/>
      <c r="G24046" s="8"/>
      <c r="J24046" s="8"/>
    </row>
    <row r="24047">
      <c r="C24047" s="15"/>
      <c r="E24047" s="8"/>
      <c r="G24047" s="8"/>
      <c r="J24047" s="8"/>
    </row>
    <row r="24048">
      <c r="C24048" s="15"/>
      <c r="E24048" s="8"/>
      <c r="G24048" s="8"/>
      <c r="J24048" s="8"/>
    </row>
    <row r="24049">
      <c r="C24049" s="15"/>
      <c r="E24049" s="8"/>
      <c r="G24049" s="8"/>
      <c r="J24049" s="8"/>
    </row>
    <row r="24050">
      <c r="C24050" s="15"/>
      <c r="E24050" s="8"/>
      <c r="G24050" s="8"/>
      <c r="J24050" s="8"/>
    </row>
    <row r="24051">
      <c r="C24051" s="15"/>
      <c r="E24051" s="8"/>
      <c r="G24051" s="8"/>
      <c r="J24051" s="8"/>
    </row>
    <row r="24052">
      <c r="C24052" s="15"/>
      <c r="E24052" s="8"/>
      <c r="G24052" s="8"/>
      <c r="J24052" s="8"/>
    </row>
    <row r="24053">
      <c r="C24053" s="15"/>
      <c r="E24053" s="8"/>
      <c r="G24053" s="8"/>
      <c r="J24053" s="8"/>
    </row>
    <row r="24054">
      <c r="C24054" s="15"/>
      <c r="E24054" s="8"/>
      <c r="G24054" s="8"/>
      <c r="J24054" s="8"/>
    </row>
    <row r="24055">
      <c r="C24055" s="15"/>
      <c r="E24055" s="8"/>
      <c r="G24055" s="8"/>
      <c r="J24055" s="8"/>
    </row>
    <row r="24056">
      <c r="C24056" s="15"/>
      <c r="E24056" s="8"/>
      <c r="G24056" s="8"/>
      <c r="J24056" s="8"/>
    </row>
    <row r="24057">
      <c r="C24057" s="15"/>
      <c r="E24057" s="8"/>
      <c r="G24057" s="8"/>
      <c r="J24057" s="8"/>
    </row>
    <row r="24058">
      <c r="C24058" s="15"/>
      <c r="E24058" s="8"/>
      <c r="G24058" s="8"/>
      <c r="J24058" s="8"/>
    </row>
    <row r="24059">
      <c r="C24059" s="15"/>
      <c r="E24059" s="8"/>
      <c r="G24059" s="8"/>
      <c r="J24059" s="8"/>
    </row>
    <row r="24060">
      <c r="C24060" s="15"/>
      <c r="E24060" s="8"/>
      <c r="G24060" s="8"/>
      <c r="J24060" s="8"/>
    </row>
    <row r="24061">
      <c r="C24061" s="15"/>
      <c r="E24061" s="8"/>
      <c r="G24061" s="8"/>
      <c r="J24061" s="8"/>
    </row>
    <row r="24062">
      <c r="C24062" s="15"/>
      <c r="E24062" s="8"/>
      <c r="G24062" s="8"/>
      <c r="J24062" s="8"/>
    </row>
    <row r="24063">
      <c r="C24063" s="15"/>
      <c r="E24063" s="8"/>
      <c r="G24063" s="8"/>
      <c r="J24063" s="8"/>
    </row>
    <row r="24064">
      <c r="C24064" s="15"/>
      <c r="E24064" s="8"/>
      <c r="G24064" s="8"/>
      <c r="J24064" s="8"/>
    </row>
    <row r="24065">
      <c r="C24065" s="15"/>
      <c r="E24065" s="8"/>
      <c r="G24065" s="8"/>
      <c r="J24065" s="8"/>
    </row>
    <row r="24066">
      <c r="C24066" s="15"/>
      <c r="E24066" s="8"/>
      <c r="G24066" s="8"/>
      <c r="J24066" s="8"/>
    </row>
    <row r="24067">
      <c r="C24067" s="15"/>
      <c r="E24067" s="8"/>
      <c r="G24067" s="8"/>
      <c r="J24067" s="8"/>
    </row>
    <row r="24068">
      <c r="C24068" s="15"/>
      <c r="E24068" s="8"/>
      <c r="G24068" s="8"/>
      <c r="J24068" s="8"/>
    </row>
    <row r="24069">
      <c r="C24069" s="15"/>
      <c r="E24069" s="8"/>
      <c r="G24069" s="8"/>
      <c r="J24069" s="8"/>
    </row>
    <row r="24070">
      <c r="C24070" s="15"/>
      <c r="E24070" s="8"/>
      <c r="G24070" s="8"/>
      <c r="J24070" s="8"/>
    </row>
    <row r="24071">
      <c r="C24071" s="15"/>
      <c r="E24071" s="8"/>
      <c r="G24071" s="8"/>
      <c r="J24071" s="8"/>
    </row>
    <row r="24072">
      <c r="C24072" s="15"/>
      <c r="E24072" s="8"/>
      <c r="G24072" s="8"/>
      <c r="J24072" s="8"/>
    </row>
    <row r="24073">
      <c r="C24073" s="15"/>
      <c r="E24073" s="8"/>
      <c r="G24073" s="8"/>
      <c r="J24073" s="8"/>
    </row>
    <row r="24074">
      <c r="C24074" s="15"/>
      <c r="E24074" s="8"/>
      <c r="G24074" s="8"/>
      <c r="J24074" s="8"/>
    </row>
    <row r="24075">
      <c r="C24075" s="15"/>
      <c r="E24075" s="8"/>
      <c r="G24075" s="8"/>
      <c r="J24075" s="8"/>
    </row>
    <row r="24076">
      <c r="C24076" s="15"/>
      <c r="E24076" s="8"/>
      <c r="G24076" s="8"/>
      <c r="J24076" s="8"/>
    </row>
    <row r="24077">
      <c r="C24077" s="15"/>
      <c r="E24077" s="8"/>
      <c r="G24077" s="8"/>
      <c r="J24077" s="8"/>
    </row>
    <row r="24078">
      <c r="C24078" s="15"/>
      <c r="E24078" s="8"/>
      <c r="G24078" s="8"/>
      <c r="J24078" s="8"/>
    </row>
    <row r="24079">
      <c r="C24079" s="15"/>
      <c r="E24079" s="8"/>
      <c r="G24079" s="8"/>
      <c r="J24079" s="8"/>
    </row>
    <row r="24080">
      <c r="C24080" s="15"/>
      <c r="E24080" s="8"/>
      <c r="G24080" s="8"/>
      <c r="J24080" s="8"/>
    </row>
    <row r="24081">
      <c r="C24081" s="15"/>
      <c r="E24081" s="8"/>
      <c r="G24081" s="8"/>
      <c r="J24081" s="8"/>
    </row>
    <row r="24082">
      <c r="C24082" s="15"/>
      <c r="E24082" s="8"/>
      <c r="G24082" s="8"/>
      <c r="J24082" s="8"/>
    </row>
    <row r="24083">
      <c r="C24083" s="15"/>
      <c r="E24083" s="8"/>
      <c r="G24083" s="8"/>
      <c r="J24083" s="8"/>
    </row>
    <row r="24084">
      <c r="C24084" s="15"/>
      <c r="E24084" s="8"/>
      <c r="G24084" s="8"/>
      <c r="J24084" s="8"/>
    </row>
    <row r="24085">
      <c r="C24085" s="15"/>
      <c r="E24085" s="8"/>
      <c r="G24085" s="8"/>
      <c r="J24085" s="8"/>
    </row>
    <row r="24086">
      <c r="C24086" s="15"/>
      <c r="E24086" s="8"/>
      <c r="G24086" s="8"/>
      <c r="J24086" s="8"/>
    </row>
    <row r="24087">
      <c r="C24087" s="15"/>
      <c r="E24087" s="8"/>
      <c r="G24087" s="8"/>
      <c r="J24087" s="8"/>
    </row>
    <row r="24088">
      <c r="C24088" s="15"/>
      <c r="E24088" s="8"/>
      <c r="G24088" s="8"/>
      <c r="J24088" s="8"/>
    </row>
    <row r="24089">
      <c r="C24089" s="15"/>
      <c r="E24089" s="8"/>
      <c r="G24089" s="8"/>
      <c r="J24089" s="8"/>
    </row>
    <row r="24090">
      <c r="C24090" s="15"/>
      <c r="E24090" s="8"/>
      <c r="G24090" s="8"/>
      <c r="J24090" s="8"/>
    </row>
    <row r="24091">
      <c r="C24091" s="15"/>
      <c r="E24091" s="8"/>
      <c r="G24091" s="8"/>
      <c r="J24091" s="8"/>
    </row>
    <row r="24092">
      <c r="C24092" s="15"/>
      <c r="E24092" s="8"/>
      <c r="G24092" s="8"/>
      <c r="J24092" s="8"/>
    </row>
    <row r="24093">
      <c r="C24093" s="15"/>
      <c r="E24093" s="8"/>
      <c r="G24093" s="8"/>
      <c r="J24093" s="8"/>
    </row>
    <row r="24094">
      <c r="C24094" s="15"/>
      <c r="E24094" s="8"/>
      <c r="G24094" s="8"/>
      <c r="J24094" s="8"/>
    </row>
    <row r="24095">
      <c r="C24095" s="15"/>
      <c r="E24095" s="8"/>
      <c r="G24095" s="8"/>
      <c r="J24095" s="8"/>
    </row>
    <row r="24096">
      <c r="C24096" s="15"/>
      <c r="E24096" s="8"/>
      <c r="G24096" s="8"/>
      <c r="J24096" s="8"/>
    </row>
    <row r="24097">
      <c r="C24097" s="15"/>
      <c r="E24097" s="8"/>
      <c r="G24097" s="8"/>
      <c r="J24097" s="8"/>
    </row>
    <row r="24098">
      <c r="C24098" s="15"/>
      <c r="E24098" s="8"/>
      <c r="G24098" s="8"/>
      <c r="J24098" s="8"/>
    </row>
    <row r="24099">
      <c r="C24099" s="15"/>
      <c r="E24099" s="8"/>
      <c r="G24099" s="8"/>
      <c r="J24099" s="8"/>
    </row>
    <row r="24100">
      <c r="C24100" s="15"/>
      <c r="E24100" s="8"/>
      <c r="G24100" s="8"/>
      <c r="J24100" s="8"/>
    </row>
    <row r="24101">
      <c r="C24101" s="15"/>
      <c r="E24101" s="8"/>
      <c r="G24101" s="8"/>
      <c r="J24101" s="8"/>
    </row>
    <row r="24102">
      <c r="C24102" s="15"/>
      <c r="E24102" s="8"/>
      <c r="G24102" s="8"/>
      <c r="J24102" s="8"/>
    </row>
    <row r="24103">
      <c r="C24103" s="15"/>
      <c r="E24103" s="8"/>
      <c r="G24103" s="8"/>
      <c r="J24103" s="8"/>
    </row>
    <row r="24104">
      <c r="C24104" s="15"/>
      <c r="E24104" s="8"/>
      <c r="G24104" s="8"/>
      <c r="J24104" s="8"/>
    </row>
    <row r="24105">
      <c r="C24105" s="15"/>
      <c r="E24105" s="8"/>
      <c r="G24105" s="8"/>
      <c r="J24105" s="8"/>
    </row>
    <row r="24106">
      <c r="C24106" s="15"/>
      <c r="E24106" s="8"/>
      <c r="G24106" s="8"/>
      <c r="J24106" s="8"/>
    </row>
    <row r="24107">
      <c r="C24107" s="15"/>
      <c r="E24107" s="8"/>
      <c r="G24107" s="8"/>
      <c r="J24107" s="8"/>
    </row>
    <row r="24108">
      <c r="C24108" s="15"/>
      <c r="E24108" s="8"/>
      <c r="G24108" s="8"/>
      <c r="J24108" s="8"/>
    </row>
    <row r="24109">
      <c r="C24109" s="15"/>
      <c r="E24109" s="8"/>
      <c r="G24109" s="8"/>
      <c r="J24109" s="8"/>
    </row>
    <row r="24110">
      <c r="C24110" s="15"/>
      <c r="E24110" s="8"/>
      <c r="G24110" s="8"/>
      <c r="J24110" s="8"/>
    </row>
    <row r="24111">
      <c r="C24111" s="15"/>
      <c r="E24111" s="8"/>
      <c r="G24111" s="8"/>
      <c r="J24111" s="8"/>
    </row>
    <row r="24112">
      <c r="C24112" s="15"/>
      <c r="E24112" s="8"/>
      <c r="G24112" s="8"/>
      <c r="J24112" s="8"/>
    </row>
    <row r="24113">
      <c r="C24113" s="15"/>
      <c r="E24113" s="8"/>
      <c r="G24113" s="8"/>
      <c r="J24113" s="8"/>
    </row>
    <row r="24114">
      <c r="C24114" s="15"/>
      <c r="E24114" s="8"/>
      <c r="G24114" s="8"/>
      <c r="J24114" s="8"/>
    </row>
    <row r="24115">
      <c r="C24115" s="15"/>
      <c r="E24115" s="8"/>
      <c r="G24115" s="8"/>
      <c r="J24115" s="8"/>
    </row>
    <row r="24116">
      <c r="C24116" s="15"/>
      <c r="E24116" s="8"/>
      <c r="G24116" s="8"/>
      <c r="J24116" s="8"/>
    </row>
    <row r="24117">
      <c r="C24117" s="15"/>
      <c r="E24117" s="8"/>
      <c r="G24117" s="8"/>
      <c r="J24117" s="8"/>
    </row>
    <row r="24118">
      <c r="C24118" s="15"/>
      <c r="E24118" s="8"/>
      <c r="G24118" s="8"/>
      <c r="J24118" s="8"/>
    </row>
    <row r="24119">
      <c r="C24119" s="15"/>
      <c r="E24119" s="8"/>
      <c r="G24119" s="8"/>
      <c r="J24119" s="8"/>
    </row>
    <row r="24120">
      <c r="C24120" s="15"/>
      <c r="E24120" s="8"/>
      <c r="G24120" s="8"/>
      <c r="J24120" s="8"/>
    </row>
    <row r="24121">
      <c r="C24121" s="15"/>
      <c r="E24121" s="8"/>
      <c r="G24121" s="8"/>
      <c r="J24121" s="8"/>
    </row>
    <row r="24122">
      <c r="C24122" s="15"/>
      <c r="E24122" s="8"/>
      <c r="G24122" s="8"/>
      <c r="J24122" s="8"/>
    </row>
    <row r="24123">
      <c r="C24123" s="15"/>
      <c r="E24123" s="8"/>
      <c r="G24123" s="8"/>
      <c r="J24123" s="8"/>
    </row>
    <row r="24124">
      <c r="C24124" s="15"/>
      <c r="E24124" s="8"/>
      <c r="G24124" s="8"/>
      <c r="J24124" s="8"/>
    </row>
    <row r="24125">
      <c r="C24125" s="15"/>
      <c r="E24125" s="8"/>
      <c r="G24125" s="8"/>
      <c r="J24125" s="8"/>
    </row>
    <row r="24126">
      <c r="C24126" s="15"/>
      <c r="E24126" s="8"/>
      <c r="G24126" s="8"/>
      <c r="J24126" s="8"/>
    </row>
    <row r="24127">
      <c r="C24127" s="15"/>
      <c r="E24127" s="8"/>
      <c r="G24127" s="8"/>
      <c r="J24127" s="8"/>
    </row>
    <row r="24128">
      <c r="C24128" s="15"/>
      <c r="E24128" s="8"/>
      <c r="G24128" s="8"/>
      <c r="J24128" s="8"/>
    </row>
    <row r="24129">
      <c r="C24129" s="15"/>
      <c r="E24129" s="8"/>
      <c r="G24129" s="8"/>
      <c r="J24129" s="8"/>
    </row>
    <row r="24130">
      <c r="C24130" s="15"/>
      <c r="E24130" s="8"/>
      <c r="G24130" s="8"/>
      <c r="J24130" s="8"/>
    </row>
    <row r="24131">
      <c r="C24131" s="15"/>
      <c r="E24131" s="8"/>
      <c r="G24131" s="8"/>
      <c r="J24131" s="8"/>
    </row>
    <row r="24132">
      <c r="C24132" s="15"/>
      <c r="E24132" s="8"/>
      <c r="G24132" s="8"/>
      <c r="J24132" s="8"/>
    </row>
    <row r="24133">
      <c r="C24133" s="15"/>
      <c r="E24133" s="8"/>
      <c r="G24133" s="8"/>
      <c r="J24133" s="8"/>
    </row>
    <row r="24134">
      <c r="C24134" s="15"/>
      <c r="E24134" s="8"/>
      <c r="G24134" s="8"/>
      <c r="J24134" s="8"/>
    </row>
    <row r="24135">
      <c r="C24135" s="15"/>
      <c r="E24135" s="8"/>
      <c r="G24135" s="8"/>
      <c r="J24135" s="8"/>
    </row>
    <row r="24136">
      <c r="C24136" s="15"/>
      <c r="E24136" s="8"/>
      <c r="G24136" s="8"/>
      <c r="J24136" s="8"/>
    </row>
    <row r="24137">
      <c r="C24137" s="15"/>
      <c r="E24137" s="8"/>
      <c r="G24137" s="8"/>
      <c r="J24137" s="8"/>
    </row>
    <row r="24138">
      <c r="C24138" s="15"/>
      <c r="E24138" s="8"/>
      <c r="G24138" s="8"/>
      <c r="J24138" s="8"/>
    </row>
    <row r="24139">
      <c r="C24139" s="15"/>
      <c r="E24139" s="8"/>
      <c r="G24139" s="8"/>
      <c r="J24139" s="8"/>
    </row>
    <row r="24140">
      <c r="C24140" s="15"/>
      <c r="E24140" s="8"/>
      <c r="G24140" s="8"/>
      <c r="J24140" s="8"/>
    </row>
    <row r="24141">
      <c r="C24141" s="15"/>
      <c r="E24141" s="8"/>
      <c r="G24141" s="8"/>
      <c r="J24141" s="8"/>
    </row>
    <row r="24142">
      <c r="C24142" s="15"/>
      <c r="E24142" s="8"/>
      <c r="G24142" s="8"/>
      <c r="J24142" s="8"/>
    </row>
    <row r="24143">
      <c r="C24143" s="15"/>
      <c r="E24143" s="8"/>
      <c r="G24143" s="8"/>
      <c r="J24143" s="8"/>
    </row>
    <row r="24144">
      <c r="C24144" s="15"/>
      <c r="E24144" s="8"/>
      <c r="G24144" s="8"/>
      <c r="J24144" s="8"/>
    </row>
    <row r="24145">
      <c r="C24145" s="15"/>
      <c r="E24145" s="8"/>
      <c r="G24145" s="8"/>
      <c r="J24145" s="8"/>
    </row>
    <row r="24146">
      <c r="C24146" s="15"/>
      <c r="E24146" s="8"/>
      <c r="G24146" s="8"/>
      <c r="J24146" s="8"/>
    </row>
    <row r="24147">
      <c r="C24147" s="15"/>
      <c r="E24147" s="8"/>
      <c r="G24147" s="8"/>
      <c r="J24147" s="8"/>
    </row>
    <row r="24148">
      <c r="C24148" s="15"/>
      <c r="E24148" s="8"/>
      <c r="G24148" s="8"/>
      <c r="J24148" s="8"/>
    </row>
    <row r="24149">
      <c r="C24149" s="15"/>
      <c r="E24149" s="8"/>
      <c r="G24149" s="8"/>
      <c r="J24149" s="8"/>
    </row>
    <row r="24150">
      <c r="C24150" s="15"/>
      <c r="E24150" s="8"/>
      <c r="G24150" s="8"/>
      <c r="J24150" s="8"/>
    </row>
    <row r="24151">
      <c r="C24151" s="15"/>
      <c r="E24151" s="8"/>
      <c r="G24151" s="8"/>
      <c r="J24151" s="8"/>
    </row>
    <row r="24152">
      <c r="C24152" s="15"/>
      <c r="E24152" s="8"/>
      <c r="G24152" s="8"/>
      <c r="J24152" s="8"/>
    </row>
    <row r="24153">
      <c r="C24153" s="15"/>
      <c r="E24153" s="8"/>
      <c r="G24153" s="8"/>
      <c r="J24153" s="8"/>
    </row>
    <row r="24154">
      <c r="C24154" s="15"/>
      <c r="E24154" s="8"/>
      <c r="G24154" s="8"/>
      <c r="J24154" s="8"/>
    </row>
    <row r="24155">
      <c r="C24155" s="15"/>
      <c r="E24155" s="8"/>
      <c r="G24155" s="8"/>
      <c r="J24155" s="8"/>
    </row>
    <row r="24156">
      <c r="C24156" s="15"/>
      <c r="E24156" s="8"/>
      <c r="G24156" s="8"/>
      <c r="J24156" s="8"/>
    </row>
    <row r="24157">
      <c r="C24157" s="15"/>
      <c r="E24157" s="8"/>
      <c r="G24157" s="8"/>
      <c r="J24157" s="8"/>
    </row>
    <row r="24158">
      <c r="C24158" s="15"/>
      <c r="E24158" s="8"/>
      <c r="G24158" s="8"/>
      <c r="J24158" s="8"/>
    </row>
    <row r="24159">
      <c r="C24159" s="15"/>
      <c r="E24159" s="8"/>
      <c r="G24159" s="8"/>
      <c r="J24159" s="8"/>
    </row>
    <row r="24160">
      <c r="C24160" s="15"/>
      <c r="E24160" s="8"/>
      <c r="G24160" s="8"/>
      <c r="J24160" s="8"/>
    </row>
    <row r="24161">
      <c r="C24161" s="15"/>
      <c r="E24161" s="8"/>
      <c r="G24161" s="8"/>
      <c r="J24161" s="8"/>
    </row>
    <row r="24162">
      <c r="C24162" s="15"/>
      <c r="E24162" s="8"/>
      <c r="G24162" s="8"/>
      <c r="J24162" s="8"/>
    </row>
    <row r="24163">
      <c r="C24163" s="15"/>
      <c r="E24163" s="8"/>
      <c r="G24163" s="8"/>
      <c r="J24163" s="8"/>
    </row>
    <row r="24164">
      <c r="C24164" s="15"/>
      <c r="E24164" s="8"/>
      <c r="G24164" s="8"/>
      <c r="J24164" s="8"/>
    </row>
    <row r="24165">
      <c r="C24165" s="15"/>
      <c r="E24165" s="8"/>
      <c r="G24165" s="8"/>
      <c r="J24165" s="8"/>
    </row>
    <row r="24166">
      <c r="C24166" s="15"/>
      <c r="E24166" s="8"/>
      <c r="G24166" s="8"/>
      <c r="J24166" s="8"/>
    </row>
    <row r="24167">
      <c r="C24167" s="15"/>
      <c r="E24167" s="8"/>
      <c r="G24167" s="8"/>
      <c r="J24167" s="8"/>
    </row>
    <row r="24168">
      <c r="C24168" s="15"/>
      <c r="E24168" s="8"/>
      <c r="G24168" s="8"/>
      <c r="J24168" s="8"/>
    </row>
    <row r="24169">
      <c r="C24169" s="15"/>
      <c r="E24169" s="8"/>
      <c r="G24169" s="8"/>
      <c r="J24169" s="8"/>
    </row>
    <row r="24170">
      <c r="C24170" s="15"/>
      <c r="E24170" s="8"/>
      <c r="G24170" s="8"/>
      <c r="J24170" s="8"/>
    </row>
    <row r="24171">
      <c r="C24171" s="15"/>
      <c r="E24171" s="8"/>
      <c r="G24171" s="8"/>
      <c r="J24171" s="8"/>
    </row>
    <row r="24172">
      <c r="C24172" s="15"/>
      <c r="E24172" s="8"/>
      <c r="G24172" s="8"/>
      <c r="J24172" s="8"/>
    </row>
    <row r="24173">
      <c r="C24173" s="15"/>
      <c r="E24173" s="8"/>
      <c r="G24173" s="8"/>
      <c r="J24173" s="8"/>
    </row>
    <row r="24174">
      <c r="C24174" s="15"/>
      <c r="E24174" s="8"/>
      <c r="G24174" s="8"/>
      <c r="J24174" s="8"/>
    </row>
    <row r="24175">
      <c r="C24175" s="15"/>
      <c r="E24175" s="8"/>
      <c r="G24175" s="8"/>
      <c r="J24175" s="8"/>
    </row>
    <row r="24176">
      <c r="C24176" s="15"/>
      <c r="E24176" s="8"/>
      <c r="G24176" s="8"/>
      <c r="J24176" s="8"/>
    </row>
    <row r="24177">
      <c r="C24177" s="15"/>
      <c r="E24177" s="8"/>
      <c r="G24177" s="8"/>
      <c r="J24177" s="8"/>
    </row>
    <row r="24178">
      <c r="C24178" s="15"/>
      <c r="E24178" s="8"/>
      <c r="G24178" s="8"/>
      <c r="J24178" s="8"/>
    </row>
    <row r="24179">
      <c r="C24179" s="15"/>
      <c r="E24179" s="8"/>
      <c r="G24179" s="8"/>
      <c r="J24179" s="8"/>
    </row>
    <row r="24180">
      <c r="C24180" s="15"/>
      <c r="E24180" s="8"/>
      <c r="G24180" s="8"/>
      <c r="J24180" s="8"/>
    </row>
    <row r="24181">
      <c r="C24181" s="15"/>
      <c r="E24181" s="8"/>
      <c r="G24181" s="8"/>
      <c r="J24181" s="8"/>
    </row>
    <row r="24182">
      <c r="C24182" s="15"/>
      <c r="E24182" s="8"/>
      <c r="G24182" s="8"/>
      <c r="J24182" s="8"/>
    </row>
    <row r="24183">
      <c r="C24183" s="15"/>
      <c r="E24183" s="8"/>
      <c r="G24183" s="8"/>
      <c r="J24183" s="8"/>
    </row>
    <row r="24184">
      <c r="C24184" s="15"/>
      <c r="E24184" s="8"/>
      <c r="G24184" s="8"/>
      <c r="J24184" s="8"/>
    </row>
    <row r="24185">
      <c r="C24185" s="15"/>
      <c r="E24185" s="8"/>
      <c r="G24185" s="8"/>
      <c r="J24185" s="8"/>
    </row>
    <row r="24186">
      <c r="C24186" s="15"/>
      <c r="E24186" s="8"/>
      <c r="G24186" s="8"/>
      <c r="J24186" s="8"/>
    </row>
    <row r="24187">
      <c r="C24187" s="15"/>
      <c r="E24187" s="8"/>
      <c r="G24187" s="8"/>
      <c r="J24187" s="8"/>
    </row>
    <row r="24188">
      <c r="C24188" s="15"/>
      <c r="E24188" s="8"/>
      <c r="G24188" s="8"/>
      <c r="J24188" s="8"/>
    </row>
    <row r="24189">
      <c r="C24189" s="15"/>
      <c r="E24189" s="8"/>
      <c r="G24189" s="8"/>
      <c r="J24189" s="8"/>
    </row>
    <row r="24190">
      <c r="C24190" s="15"/>
      <c r="E24190" s="8"/>
      <c r="G24190" s="8"/>
      <c r="J24190" s="8"/>
    </row>
    <row r="24191">
      <c r="C24191" s="15"/>
      <c r="E24191" s="8"/>
      <c r="G24191" s="8"/>
      <c r="J24191" s="8"/>
    </row>
    <row r="24192">
      <c r="C24192" s="15"/>
      <c r="E24192" s="8"/>
      <c r="G24192" s="8"/>
      <c r="J24192" s="8"/>
    </row>
    <row r="24193">
      <c r="C24193" s="15"/>
      <c r="E24193" s="8"/>
      <c r="G24193" s="8"/>
      <c r="J24193" s="8"/>
    </row>
    <row r="24194">
      <c r="C24194" s="15"/>
      <c r="E24194" s="8"/>
      <c r="G24194" s="8"/>
      <c r="J24194" s="8"/>
    </row>
    <row r="24195">
      <c r="C24195" s="15"/>
      <c r="E24195" s="8"/>
      <c r="G24195" s="8"/>
      <c r="J24195" s="8"/>
    </row>
    <row r="24196">
      <c r="C24196" s="15"/>
      <c r="E24196" s="8"/>
      <c r="G24196" s="8"/>
      <c r="J24196" s="8"/>
    </row>
    <row r="24197">
      <c r="C24197" s="15"/>
      <c r="E24197" s="8"/>
      <c r="G24197" s="8"/>
      <c r="J24197" s="8"/>
    </row>
    <row r="24198">
      <c r="C24198" s="15"/>
      <c r="E24198" s="8"/>
      <c r="G24198" s="8"/>
      <c r="J24198" s="8"/>
    </row>
    <row r="24199">
      <c r="C24199" s="15"/>
      <c r="E24199" s="8"/>
      <c r="G24199" s="8"/>
      <c r="J24199" s="8"/>
    </row>
    <row r="24200">
      <c r="C24200" s="15"/>
      <c r="E24200" s="8"/>
      <c r="G24200" s="8"/>
      <c r="J24200" s="8"/>
    </row>
    <row r="24201">
      <c r="C24201" s="15"/>
      <c r="E24201" s="8"/>
      <c r="G24201" s="8"/>
      <c r="J24201" s="8"/>
    </row>
    <row r="24202">
      <c r="C24202" s="15"/>
      <c r="E24202" s="8"/>
      <c r="G24202" s="8"/>
      <c r="J24202" s="8"/>
    </row>
    <row r="24203">
      <c r="C24203" s="15"/>
      <c r="E24203" s="8"/>
      <c r="G24203" s="8"/>
      <c r="J24203" s="8"/>
    </row>
    <row r="24204">
      <c r="C24204" s="15"/>
      <c r="E24204" s="8"/>
      <c r="G24204" s="8"/>
      <c r="J24204" s="8"/>
    </row>
    <row r="24205">
      <c r="C24205" s="15"/>
      <c r="E24205" s="8"/>
      <c r="G24205" s="8"/>
      <c r="J24205" s="8"/>
    </row>
    <row r="24206">
      <c r="C24206" s="15"/>
      <c r="E24206" s="8"/>
      <c r="G24206" s="8"/>
      <c r="J24206" s="8"/>
    </row>
    <row r="24207">
      <c r="C24207" s="15"/>
      <c r="E24207" s="8"/>
      <c r="G24207" s="8"/>
      <c r="J24207" s="8"/>
    </row>
    <row r="24208">
      <c r="C24208" s="15"/>
      <c r="E24208" s="8"/>
      <c r="G24208" s="8"/>
      <c r="J24208" s="8"/>
    </row>
    <row r="24209">
      <c r="C24209" s="15"/>
      <c r="E24209" s="8"/>
      <c r="G24209" s="8"/>
      <c r="J24209" s="8"/>
    </row>
    <row r="24210">
      <c r="C24210" s="15"/>
      <c r="E24210" s="8"/>
      <c r="G24210" s="8"/>
      <c r="J24210" s="8"/>
    </row>
    <row r="24211">
      <c r="C24211" s="15"/>
      <c r="E24211" s="8"/>
      <c r="G24211" s="8"/>
      <c r="J24211" s="8"/>
    </row>
    <row r="24212">
      <c r="C24212" s="15"/>
      <c r="E24212" s="8"/>
      <c r="G24212" s="8"/>
      <c r="J24212" s="8"/>
    </row>
    <row r="24213">
      <c r="C24213" s="15"/>
      <c r="E24213" s="8"/>
      <c r="G24213" s="8"/>
      <c r="J24213" s="8"/>
    </row>
    <row r="24214">
      <c r="C24214" s="15"/>
      <c r="E24214" s="8"/>
      <c r="G24214" s="8"/>
      <c r="J24214" s="8"/>
    </row>
    <row r="24215">
      <c r="C24215" s="15"/>
      <c r="E24215" s="8"/>
      <c r="G24215" s="8"/>
      <c r="J24215" s="8"/>
    </row>
    <row r="24216">
      <c r="C24216" s="15"/>
      <c r="E24216" s="8"/>
      <c r="G24216" s="8"/>
      <c r="J24216" s="8"/>
    </row>
    <row r="24217">
      <c r="C24217" s="15"/>
      <c r="E24217" s="8"/>
      <c r="G24217" s="8"/>
      <c r="J24217" s="8"/>
    </row>
    <row r="24218">
      <c r="C24218" s="15"/>
      <c r="E24218" s="8"/>
      <c r="G24218" s="8"/>
      <c r="J24218" s="8"/>
    </row>
    <row r="24219">
      <c r="C24219" s="15"/>
      <c r="E24219" s="8"/>
      <c r="G24219" s="8"/>
      <c r="J24219" s="8"/>
    </row>
    <row r="24220">
      <c r="C24220" s="15"/>
      <c r="E24220" s="8"/>
      <c r="G24220" s="8"/>
      <c r="J24220" s="8"/>
    </row>
    <row r="24221">
      <c r="C24221" s="15"/>
      <c r="E24221" s="8"/>
      <c r="G24221" s="8"/>
      <c r="J24221" s="8"/>
    </row>
    <row r="24222">
      <c r="C24222" s="15"/>
      <c r="E24222" s="8"/>
      <c r="G24222" s="8"/>
      <c r="J24222" s="8"/>
    </row>
    <row r="24223">
      <c r="C24223" s="15"/>
      <c r="E24223" s="8"/>
      <c r="G24223" s="8"/>
      <c r="J24223" s="8"/>
    </row>
    <row r="24224">
      <c r="C24224" s="15"/>
      <c r="E24224" s="8"/>
      <c r="G24224" s="8"/>
      <c r="J24224" s="8"/>
    </row>
    <row r="24225">
      <c r="C24225" s="15"/>
      <c r="E24225" s="8"/>
      <c r="G24225" s="8"/>
      <c r="J24225" s="8"/>
    </row>
    <row r="24226">
      <c r="C24226" s="15"/>
      <c r="E24226" s="8"/>
      <c r="G24226" s="8"/>
      <c r="J24226" s="8"/>
    </row>
    <row r="24227">
      <c r="C24227" s="15"/>
      <c r="E24227" s="8"/>
      <c r="G24227" s="8"/>
      <c r="J24227" s="8"/>
    </row>
    <row r="24228">
      <c r="C24228" s="15"/>
      <c r="E24228" s="8"/>
      <c r="G24228" s="8"/>
      <c r="J24228" s="8"/>
    </row>
    <row r="24229">
      <c r="C24229" s="15"/>
      <c r="E24229" s="8"/>
      <c r="G24229" s="8"/>
      <c r="J24229" s="8"/>
    </row>
    <row r="24230">
      <c r="C24230" s="15"/>
      <c r="E24230" s="8"/>
      <c r="G24230" s="8"/>
      <c r="J24230" s="8"/>
    </row>
    <row r="24231">
      <c r="C24231" s="15"/>
      <c r="E24231" s="8"/>
      <c r="G24231" s="8"/>
      <c r="J24231" s="8"/>
    </row>
    <row r="24232">
      <c r="C24232" s="15"/>
      <c r="E24232" s="8"/>
      <c r="G24232" s="8"/>
      <c r="J24232" s="8"/>
    </row>
    <row r="24233">
      <c r="C24233" s="15"/>
      <c r="E24233" s="8"/>
      <c r="G24233" s="8"/>
      <c r="J24233" s="8"/>
    </row>
    <row r="24234">
      <c r="C24234" s="15"/>
      <c r="E24234" s="8"/>
      <c r="G24234" s="8"/>
      <c r="J24234" s="8"/>
    </row>
    <row r="24235">
      <c r="C24235" s="15"/>
      <c r="E24235" s="8"/>
      <c r="G24235" s="8"/>
      <c r="J24235" s="8"/>
    </row>
    <row r="24236">
      <c r="C24236" s="15"/>
      <c r="E24236" s="8"/>
      <c r="G24236" s="8"/>
      <c r="J24236" s="8"/>
    </row>
    <row r="24237">
      <c r="C24237" s="15"/>
      <c r="E24237" s="8"/>
      <c r="G24237" s="8"/>
      <c r="J24237" s="8"/>
    </row>
    <row r="24238">
      <c r="C24238" s="15"/>
      <c r="E24238" s="8"/>
      <c r="G24238" s="8"/>
      <c r="J24238" s="8"/>
    </row>
    <row r="24239">
      <c r="C24239" s="15"/>
      <c r="E24239" s="8"/>
      <c r="G24239" s="8"/>
      <c r="J24239" s="8"/>
    </row>
    <row r="24240">
      <c r="C24240" s="15"/>
      <c r="E24240" s="8"/>
      <c r="G24240" s="8"/>
      <c r="J24240" s="8"/>
    </row>
    <row r="24241">
      <c r="C24241" s="15"/>
      <c r="E24241" s="8"/>
      <c r="G24241" s="8"/>
      <c r="J24241" s="8"/>
    </row>
    <row r="24242">
      <c r="C24242" s="15"/>
      <c r="E24242" s="8"/>
      <c r="G24242" s="8"/>
      <c r="J24242" s="8"/>
    </row>
    <row r="24243">
      <c r="C24243" s="15"/>
      <c r="E24243" s="8"/>
      <c r="G24243" s="8"/>
      <c r="J24243" s="8"/>
    </row>
    <row r="24244">
      <c r="C24244" s="15"/>
      <c r="E24244" s="8"/>
      <c r="G24244" s="8"/>
      <c r="J24244" s="8"/>
    </row>
    <row r="24245">
      <c r="C24245" s="15"/>
      <c r="E24245" s="8"/>
      <c r="G24245" s="8"/>
      <c r="J24245" s="8"/>
    </row>
    <row r="24246">
      <c r="C24246" s="15"/>
      <c r="E24246" s="8"/>
      <c r="G24246" s="8"/>
      <c r="J24246" s="8"/>
    </row>
    <row r="24247">
      <c r="C24247" s="15"/>
      <c r="E24247" s="8"/>
      <c r="G24247" s="8"/>
      <c r="J24247" s="8"/>
    </row>
    <row r="24248">
      <c r="C24248" s="15"/>
      <c r="E24248" s="8"/>
      <c r="G24248" s="8"/>
      <c r="J24248" s="8"/>
    </row>
    <row r="24249">
      <c r="C24249" s="15"/>
      <c r="E24249" s="8"/>
      <c r="G24249" s="8"/>
      <c r="J24249" s="8"/>
    </row>
    <row r="24250">
      <c r="C24250" s="15"/>
      <c r="E24250" s="8"/>
      <c r="G24250" s="8"/>
      <c r="J24250" s="8"/>
    </row>
    <row r="24251">
      <c r="C24251" s="15"/>
      <c r="E24251" s="8"/>
      <c r="G24251" s="8"/>
      <c r="J24251" s="8"/>
    </row>
    <row r="24252">
      <c r="C24252" s="15"/>
      <c r="E24252" s="8"/>
      <c r="G24252" s="8"/>
      <c r="J24252" s="8"/>
    </row>
    <row r="24253">
      <c r="C24253" s="15"/>
      <c r="E24253" s="8"/>
      <c r="G24253" s="8"/>
      <c r="J24253" s="8"/>
    </row>
    <row r="24254">
      <c r="C24254" s="15"/>
      <c r="E24254" s="8"/>
      <c r="G24254" s="8"/>
      <c r="J24254" s="8"/>
    </row>
    <row r="24255">
      <c r="C24255" s="15"/>
      <c r="E24255" s="8"/>
      <c r="G24255" s="8"/>
      <c r="J24255" s="8"/>
    </row>
    <row r="24256">
      <c r="C24256" s="15"/>
      <c r="E24256" s="8"/>
      <c r="G24256" s="8"/>
      <c r="J24256" s="8"/>
    </row>
    <row r="24257">
      <c r="C24257" s="15"/>
      <c r="E24257" s="8"/>
      <c r="G24257" s="8"/>
      <c r="J24257" s="8"/>
    </row>
    <row r="24258">
      <c r="C24258" s="15"/>
      <c r="E24258" s="8"/>
      <c r="G24258" s="8"/>
      <c r="J24258" s="8"/>
    </row>
    <row r="24259">
      <c r="C24259" s="15"/>
      <c r="E24259" s="8"/>
      <c r="G24259" s="8"/>
      <c r="J24259" s="8"/>
    </row>
    <row r="24260">
      <c r="C24260" s="15"/>
      <c r="E24260" s="8"/>
      <c r="G24260" s="8"/>
      <c r="J24260" s="8"/>
    </row>
    <row r="24261">
      <c r="C24261" s="15"/>
      <c r="E24261" s="8"/>
      <c r="G24261" s="8"/>
      <c r="J24261" s="8"/>
    </row>
    <row r="24262">
      <c r="C24262" s="15"/>
      <c r="E24262" s="8"/>
      <c r="G24262" s="8"/>
      <c r="J24262" s="8"/>
    </row>
    <row r="24263">
      <c r="C24263" s="15"/>
      <c r="E24263" s="8"/>
      <c r="G24263" s="8"/>
      <c r="J24263" s="8"/>
    </row>
    <row r="24264">
      <c r="C24264" s="15"/>
      <c r="E24264" s="8"/>
      <c r="G24264" s="8"/>
      <c r="J24264" s="8"/>
    </row>
    <row r="24265">
      <c r="C24265" s="15"/>
      <c r="E24265" s="8"/>
      <c r="G24265" s="8"/>
      <c r="J24265" s="8"/>
    </row>
    <row r="24266">
      <c r="C24266" s="15"/>
      <c r="E24266" s="8"/>
      <c r="G24266" s="8"/>
      <c r="J24266" s="8"/>
    </row>
    <row r="24267">
      <c r="C24267" s="15"/>
      <c r="E24267" s="8"/>
      <c r="G24267" s="8"/>
      <c r="J24267" s="8"/>
    </row>
    <row r="24268">
      <c r="C24268" s="15"/>
      <c r="E24268" s="8"/>
      <c r="G24268" s="8"/>
      <c r="J24268" s="8"/>
    </row>
    <row r="24269">
      <c r="C24269" s="15"/>
      <c r="E24269" s="8"/>
      <c r="G24269" s="8"/>
      <c r="J24269" s="8"/>
    </row>
    <row r="24270">
      <c r="C24270" s="15"/>
      <c r="E24270" s="8"/>
      <c r="G24270" s="8"/>
      <c r="J24270" s="8"/>
    </row>
    <row r="24271">
      <c r="C24271" s="15"/>
      <c r="E24271" s="8"/>
      <c r="G24271" s="8"/>
      <c r="J24271" s="8"/>
    </row>
    <row r="24272">
      <c r="C24272" s="15"/>
      <c r="E24272" s="8"/>
      <c r="G24272" s="8"/>
      <c r="J24272" s="8"/>
    </row>
    <row r="24273">
      <c r="C24273" s="15"/>
      <c r="E24273" s="8"/>
      <c r="G24273" s="8"/>
      <c r="J24273" s="8"/>
    </row>
    <row r="24274">
      <c r="C24274" s="15"/>
      <c r="E24274" s="8"/>
      <c r="G24274" s="8"/>
      <c r="J24274" s="8"/>
    </row>
    <row r="24275">
      <c r="C24275" s="15"/>
      <c r="E24275" s="8"/>
      <c r="G24275" s="8"/>
      <c r="J24275" s="8"/>
    </row>
    <row r="24276">
      <c r="C24276" s="15"/>
      <c r="E24276" s="8"/>
      <c r="G24276" s="8"/>
      <c r="J24276" s="8"/>
    </row>
    <row r="24277">
      <c r="C24277" s="15"/>
      <c r="E24277" s="8"/>
      <c r="G24277" s="8"/>
      <c r="J24277" s="8"/>
    </row>
    <row r="24278">
      <c r="C24278" s="15"/>
      <c r="E24278" s="8"/>
      <c r="G24278" s="8"/>
      <c r="J24278" s="8"/>
    </row>
    <row r="24279">
      <c r="C24279" s="15"/>
      <c r="E24279" s="8"/>
      <c r="G24279" s="8"/>
      <c r="J24279" s="8"/>
    </row>
    <row r="24280">
      <c r="C24280" s="15"/>
      <c r="E24280" s="8"/>
      <c r="G24280" s="8"/>
      <c r="J24280" s="8"/>
    </row>
    <row r="24281">
      <c r="C24281" s="15"/>
      <c r="E24281" s="8"/>
      <c r="G24281" s="8"/>
      <c r="J24281" s="8"/>
    </row>
    <row r="24282">
      <c r="C24282" s="15"/>
      <c r="E24282" s="8"/>
      <c r="G24282" s="8"/>
      <c r="J24282" s="8"/>
    </row>
    <row r="24283">
      <c r="C24283" s="15"/>
      <c r="E24283" s="8"/>
      <c r="G24283" s="8"/>
      <c r="J24283" s="8"/>
    </row>
    <row r="24284">
      <c r="C24284" s="15"/>
      <c r="E24284" s="8"/>
      <c r="G24284" s="8"/>
      <c r="J24284" s="8"/>
    </row>
    <row r="24285">
      <c r="C24285" s="15"/>
      <c r="E24285" s="8"/>
      <c r="G24285" s="8"/>
      <c r="J24285" s="8"/>
    </row>
    <row r="24286">
      <c r="C24286" s="15"/>
      <c r="E24286" s="8"/>
      <c r="G24286" s="8"/>
      <c r="J24286" s="8"/>
    </row>
    <row r="24287">
      <c r="C24287" s="15"/>
      <c r="E24287" s="8"/>
      <c r="G24287" s="8"/>
      <c r="J24287" s="8"/>
    </row>
    <row r="24288">
      <c r="C24288" s="15"/>
      <c r="E24288" s="8"/>
      <c r="G24288" s="8"/>
      <c r="J24288" s="8"/>
    </row>
    <row r="24289">
      <c r="C24289" s="15"/>
      <c r="E24289" s="8"/>
      <c r="G24289" s="8"/>
      <c r="J24289" s="8"/>
    </row>
    <row r="24290">
      <c r="C24290" s="15"/>
      <c r="E24290" s="8"/>
      <c r="G24290" s="8"/>
      <c r="J24290" s="8"/>
    </row>
    <row r="24291">
      <c r="C24291" s="15"/>
      <c r="E24291" s="8"/>
      <c r="G24291" s="8"/>
      <c r="J24291" s="8"/>
    </row>
    <row r="24292">
      <c r="C24292" s="15"/>
      <c r="E24292" s="8"/>
      <c r="G24292" s="8"/>
      <c r="J24292" s="8"/>
    </row>
    <row r="24293">
      <c r="C24293" s="15"/>
      <c r="E24293" s="8"/>
      <c r="G24293" s="8"/>
      <c r="J24293" s="8"/>
    </row>
    <row r="24294">
      <c r="C24294" s="15"/>
      <c r="E24294" s="8"/>
      <c r="G24294" s="8"/>
      <c r="J24294" s="8"/>
    </row>
    <row r="24295">
      <c r="C24295" s="15"/>
      <c r="E24295" s="8"/>
      <c r="G24295" s="8"/>
      <c r="J24295" s="8"/>
    </row>
    <row r="24296">
      <c r="C24296" s="15"/>
      <c r="E24296" s="8"/>
      <c r="G24296" s="8"/>
      <c r="J24296" s="8"/>
    </row>
    <row r="24297">
      <c r="C24297" s="15"/>
      <c r="E24297" s="8"/>
      <c r="G24297" s="8"/>
      <c r="J24297" s="8"/>
    </row>
    <row r="24298">
      <c r="C24298" s="15"/>
      <c r="E24298" s="8"/>
      <c r="G24298" s="8"/>
      <c r="J24298" s="8"/>
    </row>
    <row r="24299">
      <c r="C24299" s="15"/>
      <c r="E24299" s="8"/>
      <c r="G24299" s="8"/>
      <c r="J24299" s="8"/>
    </row>
    <row r="24300">
      <c r="C24300" s="15"/>
      <c r="E24300" s="8"/>
      <c r="G24300" s="8"/>
      <c r="J24300" s="8"/>
    </row>
    <row r="24301">
      <c r="C24301" s="15"/>
      <c r="E24301" s="8"/>
      <c r="G24301" s="8"/>
      <c r="J24301" s="8"/>
    </row>
    <row r="24302">
      <c r="C24302" s="15"/>
      <c r="E24302" s="8"/>
      <c r="G24302" s="8"/>
      <c r="J24302" s="8"/>
    </row>
    <row r="24303">
      <c r="C24303" s="15"/>
      <c r="E24303" s="8"/>
      <c r="G24303" s="8"/>
      <c r="J24303" s="8"/>
    </row>
    <row r="24304">
      <c r="C24304" s="15"/>
      <c r="E24304" s="8"/>
      <c r="G24304" s="8"/>
      <c r="J24304" s="8"/>
    </row>
    <row r="24305">
      <c r="C24305" s="15"/>
      <c r="E24305" s="8"/>
      <c r="G24305" s="8"/>
      <c r="J24305" s="8"/>
    </row>
    <row r="24306">
      <c r="C24306" s="15"/>
      <c r="E24306" s="8"/>
      <c r="G24306" s="8"/>
      <c r="J24306" s="8"/>
    </row>
    <row r="24307">
      <c r="C24307" s="15"/>
      <c r="E24307" s="8"/>
      <c r="G24307" s="8"/>
      <c r="J24307" s="8"/>
    </row>
    <row r="24308">
      <c r="C24308" s="15"/>
      <c r="E24308" s="8"/>
      <c r="G24308" s="8"/>
      <c r="J24308" s="8"/>
    </row>
    <row r="24309">
      <c r="C24309" s="15"/>
      <c r="E24309" s="8"/>
      <c r="G24309" s="8"/>
      <c r="J24309" s="8"/>
    </row>
    <row r="24310">
      <c r="C24310" s="15"/>
      <c r="E24310" s="8"/>
      <c r="G24310" s="8"/>
      <c r="J24310" s="8"/>
    </row>
    <row r="24311">
      <c r="C24311" s="15"/>
      <c r="E24311" s="8"/>
      <c r="G24311" s="8"/>
      <c r="J24311" s="8"/>
    </row>
    <row r="24312">
      <c r="C24312" s="15"/>
      <c r="E24312" s="8"/>
      <c r="G24312" s="8"/>
      <c r="J24312" s="8"/>
    </row>
    <row r="24313">
      <c r="C24313" s="15"/>
      <c r="E24313" s="8"/>
      <c r="G24313" s="8"/>
      <c r="J24313" s="8"/>
    </row>
    <row r="24314">
      <c r="C24314" s="15"/>
      <c r="E24314" s="8"/>
      <c r="G24314" s="8"/>
      <c r="J24314" s="8"/>
    </row>
    <row r="24315">
      <c r="C24315" s="15"/>
      <c r="E24315" s="8"/>
      <c r="G24315" s="8"/>
      <c r="J24315" s="8"/>
    </row>
    <row r="24316">
      <c r="C24316" s="15"/>
      <c r="E24316" s="8"/>
      <c r="G24316" s="8"/>
      <c r="J24316" s="8"/>
    </row>
    <row r="24317">
      <c r="C24317" s="15"/>
      <c r="E24317" s="8"/>
      <c r="G24317" s="8"/>
      <c r="J24317" s="8"/>
    </row>
    <row r="24318">
      <c r="C24318" s="15"/>
      <c r="E24318" s="8"/>
      <c r="G24318" s="8"/>
      <c r="J24318" s="8"/>
    </row>
    <row r="24319">
      <c r="C24319" s="15"/>
      <c r="E24319" s="8"/>
      <c r="G24319" s="8"/>
      <c r="J24319" s="8"/>
    </row>
    <row r="24320">
      <c r="C24320" s="15"/>
      <c r="E24320" s="8"/>
      <c r="G24320" s="8"/>
      <c r="J24320" s="8"/>
    </row>
    <row r="24321">
      <c r="C24321" s="15"/>
      <c r="E24321" s="8"/>
      <c r="G24321" s="8"/>
      <c r="J24321" s="8"/>
    </row>
    <row r="24322">
      <c r="C24322" s="15"/>
      <c r="E24322" s="8"/>
      <c r="G24322" s="8"/>
      <c r="J24322" s="8"/>
    </row>
    <row r="24323">
      <c r="C24323" s="15"/>
      <c r="E24323" s="8"/>
      <c r="G24323" s="8"/>
      <c r="J24323" s="8"/>
    </row>
    <row r="24324">
      <c r="C24324" s="15"/>
      <c r="E24324" s="8"/>
      <c r="G24324" s="8"/>
      <c r="J24324" s="8"/>
    </row>
    <row r="24325">
      <c r="C24325" s="15"/>
      <c r="E24325" s="8"/>
      <c r="G24325" s="8"/>
      <c r="J24325" s="8"/>
    </row>
    <row r="24326">
      <c r="C24326" s="15"/>
      <c r="E24326" s="8"/>
      <c r="G24326" s="8"/>
      <c r="J24326" s="8"/>
    </row>
    <row r="24327">
      <c r="C24327" s="15"/>
      <c r="E24327" s="8"/>
      <c r="G24327" s="8"/>
      <c r="J24327" s="8"/>
    </row>
    <row r="24328">
      <c r="C24328" s="15"/>
      <c r="E24328" s="8"/>
      <c r="G24328" s="8"/>
      <c r="J24328" s="8"/>
    </row>
    <row r="24329">
      <c r="C24329" s="15"/>
      <c r="E24329" s="8"/>
      <c r="G24329" s="8"/>
      <c r="J24329" s="8"/>
    </row>
    <row r="24330">
      <c r="C24330" s="15"/>
      <c r="E24330" s="8"/>
      <c r="G24330" s="8"/>
      <c r="J24330" s="8"/>
    </row>
    <row r="24331">
      <c r="C24331" s="15"/>
      <c r="E24331" s="8"/>
      <c r="G24331" s="8"/>
      <c r="J24331" s="8"/>
    </row>
    <row r="24332">
      <c r="C24332" s="15"/>
      <c r="E24332" s="8"/>
      <c r="G24332" s="8"/>
      <c r="J24332" s="8"/>
    </row>
    <row r="24333">
      <c r="C24333" s="15"/>
      <c r="E24333" s="8"/>
      <c r="G24333" s="8"/>
      <c r="J24333" s="8"/>
    </row>
    <row r="24334">
      <c r="C24334" s="15"/>
      <c r="E24334" s="8"/>
      <c r="G24334" s="8"/>
      <c r="J24334" s="8"/>
    </row>
    <row r="24335">
      <c r="C24335" s="15"/>
      <c r="E24335" s="8"/>
      <c r="G24335" s="8"/>
      <c r="J24335" s="8"/>
    </row>
    <row r="24336">
      <c r="C24336" s="15"/>
      <c r="E24336" s="8"/>
      <c r="G24336" s="8"/>
      <c r="J24336" s="8"/>
    </row>
    <row r="24337">
      <c r="C24337" s="15"/>
      <c r="E24337" s="8"/>
      <c r="G24337" s="8"/>
      <c r="J24337" s="8"/>
    </row>
    <row r="24338">
      <c r="C24338" s="15"/>
      <c r="E24338" s="8"/>
      <c r="G24338" s="8"/>
      <c r="J24338" s="8"/>
    </row>
    <row r="24339">
      <c r="C24339" s="15"/>
      <c r="E24339" s="8"/>
      <c r="G24339" s="8"/>
      <c r="J24339" s="8"/>
    </row>
    <row r="24340">
      <c r="C24340" s="15"/>
      <c r="E24340" s="8"/>
      <c r="G24340" s="8"/>
      <c r="J24340" s="8"/>
    </row>
    <row r="24341">
      <c r="C24341" s="15"/>
      <c r="E24341" s="8"/>
      <c r="G24341" s="8"/>
      <c r="J24341" s="8"/>
    </row>
    <row r="24342">
      <c r="C24342" s="15"/>
      <c r="E24342" s="8"/>
      <c r="G24342" s="8"/>
      <c r="J24342" s="8"/>
    </row>
    <row r="24343">
      <c r="C24343" s="15"/>
      <c r="E24343" s="8"/>
      <c r="G24343" s="8"/>
      <c r="J24343" s="8"/>
    </row>
    <row r="24344">
      <c r="C24344" s="15"/>
      <c r="E24344" s="8"/>
      <c r="G24344" s="8"/>
      <c r="J24344" s="8"/>
    </row>
    <row r="24345">
      <c r="C24345" s="15"/>
      <c r="E24345" s="8"/>
      <c r="G24345" s="8"/>
      <c r="J24345" s="8"/>
    </row>
    <row r="24346">
      <c r="C24346" s="15"/>
      <c r="E24346" s="8"/>
      <c r="G24346" s="8"/>
      <c r="J24346" s="8"/>
    </row>
    <row r="24347">
      <c r="C24347" s="15"/>
      <c r="E24347" s="8"/>
      <c r="G24347" s="8"/>
      <c r="J24347" s="8"/>
    </row>
    <row r="24348">
      <c r="C24348" s="15"/>
      <c r="E24348" s="8"/>
      <c r="G24348" s="8"/>
      <c r="J24348" s="8"/>
    </row>
    <row r="24349">
      <c r="C24349" s="15"/>
      <c r="E24349" s="8"/>
      <c r="G24349" s="8"/>
      <c r="J24349" s="8"/>
    </row>
    <row r="24350">
      <c r="C24350" s="15"/>
      <c r="E24350" s="8"/>
      <c r="G24350" s="8"/>
      <c r="J24350" s="8"/>
    </row>
    <row r="24351">
      <c r="C24351" s="15"/>
      <c r="E24351" s="8"/>
      <c r="G24351" s="8"/>
      <c r="J24351" s="8"/>
    </row>
    <row r="24352">
      <c r="C24352" s="15"/>
      <c r="E24352" s="8"/>
      <c r="G24352" s="8"/>
      <c r="J24352" s="8"/>
    </row>
    <row r="24353">
      <c r="C24353" s="15"/>
      <c r="E24353" s="8"/>
      <c r="G24353" s="8"/>
      <c r="J24353" s="8"/>
    </row>
    <row r="24354">
      <c r="C24354" s="15"/>
      <c r="E24354" s="8"/>
      <c r="G24354" s="8"/>
      <c r="J24354" s="8"/>
    </row>
    <row r="24355">
      <c r="C24355" s="15"/>
      <c r="E24355" s="8"/>
      <c r="G24355" s="8"/>
      <c r="J24355" s="8"/>
    </row>
    <row r="24356">
      <c r="C24356" s="15"/>
      <c r="E24356" s="8"/>
      <c r="G24356" s="8"/>
      <c r="J24356" s="8"/>
    </row>
    <row r="24357">
      <c r="C24357" s="15"/>
      <c r="E24357" s="8"/>
      <c r="G24357" s="8"/>
      <c r="J24357" s="8"/>
    </row>
    <row r="24358">
      <c r="C24358" s="15"/>
      <c r="E24358" s="8"/>
      <c r="G24358" s="8"/>
      <c r="J24358" s="8"/>
    </row>
    <row r="24359">
      <c r="C24359" s="15"/>
      <c r="E24359" s="8"/>
      <c r="G24359" s="8"/>
      <c r="J24359" s="8"/>
    </row>
    <row r="24360">
      <c r="C24360" s="15"/>
      <c r="E24360" s="8"/>
      <c r="G24360" s="8"/>
      <c r="J24360" s="8"/>
    </row>
    <row r="24361">
      <c r="C24361" s="15"/>
      <c r="E24361" s="8"/>
      <c r="G24361" s="8"/>
      <c r="J24361" s="8"/>
    </row>
    <row r="24362">
      <c r="C24362" s="15"/>
      <c r="E24362" s="8"/>
      <c r="G24362" s="8"/>
      <c r="J24362" s="8"/>
    </row>
    <row r="24363">
      <c r="C24363" s="15"/>
      <c r="E24363" s="8"/>
      <c r="G24363" s="8"/>
      <c r="J24363" s="8"/>
    </row>
    <row r="24364">
      <c r="C24364" s="15"/>
      <c r="E24364" s="8"/>
      <c r="G24364" s="8"/>
      <c r="J24364" s="8"/>
    </row>
    <row r="24365">
      <c r="C24365" s="15"/>
      <c r="E24365" s="8"/>
      <c r="G24365" s="8"/>
      <c r="J24365" s="8"/>
    </row>
    <row r="24366">
      <c r="C24366" s="15"/>
      <c r="E24366" s="8"/>
      <c r="G24366" s="8"/>
      <c r="J24366" s="8"/>
    </row>
    <row r="24367">
      <c r="C24367" s="15"/>
      <c r="E24367" s="8"/>
      <c r="G24367" s="8"/>
      <c r="J24367" s="8"/>
    </row>
    <row r="24368">
      <c r="C24368" s="15"/>
      <c r="E24368" s="8"/>
      <c r="G24368" s="8"/>
      <c r="J24368" s="8"/>
    </row>
    <row r="24369">
      <c r="C24369" s="15"/>
      <c r="E24369" s="8"/>
      <c r="G24369" s="8"/>
      <c r="J24369" s="8"/>
    </row>
    <row r="24370">
      <c r="C24370" s="15"/>
      <c r="E24370" s="8"/>
      <c r="G24370" s="8"/>
      <c r="J24370" s="8"/>
    </row>
    <row r="24371">
      <c r="C24371" s="15"/>
      <c r="E24371" s="8"/>
      <c r="G24371" s="8"/>
      <c r="J24371" s="8"/>
    </row>
    <row r="24372">
      <c r="C24372" s="15"/>
      <c r="E24372" s="8"/>
      <c r="G24372" s="8"/>
      <c r="J24372" s="8"/>
    </row>
    <row r="24373">
      <c r="C24373" s="15"/>
      <c r="E24373" s="8"/>
      <c r="G24373" s="8"/>
      <c r="J24373" s="8"/>
    </row>
    <row r="24374">
      <c r="C24374" s="15"/>
      <c r="E24374" s="8"/>
      <c r="G24374" s="8"/>
      <c r="J24374" s="8"/>
    </row>
    <row r="24375">
      <c r="C24375" s="15"/>
      <c r="E24375" s="8"/>
      <c r="G24375" s="8"/>
      <c r="J24375" s="8"/>
    </row>
    <row r="24376">
      <c r="C24376" s="15"/>
      <c r="E24376" s="8"/>
      <c r="G24376" s="8"/>
      <c r="J24376" s="8"/>
    </row>
    <row r="24377">
      <c r="C24377" s="15"/>
      <c r="E24377" s="8"/>
      <c r="G24377" s="8"/>
      <c r="J24377" s="8"/>
    </row>
    <row r="24378">
      <c r="C24378" s="15"/>
      <c r="E24378" s="8"/>
      <c r="G24378" s="8"/>
      <c r="J24378" s="8"/>
    </row>
    <row r="24379">
      <c r="C24379" s="15"/>
      <c r="E24379" s="8"/>
      <c r="G24379" s="8"/>
      <c r="J24379" s="8"/>
    </row>
    <row r="24380">
      <c r="C24380" s="15"/>
      <c r="E24380" s="8"/>
      <c r="G24380" s="8"/>
      <c r="J24380" s="8"/>
    </row>
    <row r="24381">
      <c r="C24381" s="15"/>
      <c r="E24381" s="8"/>
      <c r="G24381" s="8"/>
      <c r="J24381" s="8"/>
    </row>
    <row r="24382">
      <c r="C24382" s="15"/>
      <c r="E24382" s="8"/>
      <c r="G24382" s="8"/>
      <c r="J24382" s="8"/>
    </row>
    <row r="24383">
      <c r="C24383" s="15"/>
      <c r="E24383" s="8"/>
      <c r="G24383" s="8"/>
      <c r="J24383" s="8"/>
    </row>
    <row r="24384">
      <c r="C24384" s="15"/>
      <c r="E24384" s="8"/>
      <c r="G24384" s="8"/>
      <c r="J24384" s="8"/>
    </row>
    <row r="24385">
      <c r="C24385" s="15"/>
      <c r="E24385" s="8"/>
      <c r="G24385" s="8"/>
      <c r="J24385" s="8"/>
    </row>
    <row r="24386">
      <c r="C24386" s="15"/>
      <c r="E24386" s="8"/>
      <c r="G24386" s="8"/>
      <c r="J24386" s="8"/>
    </row>
    <row r="24387">
      <c r="C24387" s="15"/>
      <c r="E24387" s="8"/>
      <c r="G24387" s="8"/>
      <c r="J24387" s="8"/>
    </row>
    <row r="24388">
      <c r="C24388" s="15"/>
      <c r="E24388" s="8"/>
      <c r="G24388" s="8"/>
      <c r="J24388" s="8"/>
    </row>
    <row r="24389">
      <c r="C24389" s="15"/>
      <c r="E24389" s="8"/>
      <c r="G24389" s="8"/>
      <c r="J24389" s="8"/>
    </row>
    <row r="24390">
      <c r="C24390" s="15"/>
      <c r="E24390" s="8"/>
      <c r="G24390" s="8"/>
      <c r="J24390" s="8"/>
    </row>
    <row r="24391">
      <c r="C24391" s="15"/>
      <c r="E24391" s="8"/>
      <c r="G24391" s="8"/>
      <c r="J24391" s="8"/>
    </row>
    <row r="24392">
      <c r="C24392" s="15"/>
      <c r="E24392" s="8"/>
      <c r="G24392" s="8"/>
      <c r="J24392" s="8"/>
    </row>
    <row r="24393">
      <c r="C24393" s="15"/>
      <c r="E24393" s="8"/>
      <c r="G24393" s="8"/>
      <c r="J24393" s="8"/>
    </row>
    <row r="24394">
      <c r="C24394" s="15"/>
      <c r="E24394" s="8"/>
      <c r="G24394" s="8"/>
      <c r="J24394" s="8"/>
    </row>
    <row r="24395">
      <c r="C24395" s="15"/>
      <c r="E24395" s="8"/>
      <c r="G24395" s="8"/>
      <c r="J24395" s="8"/>
    </row>
    <row r="24396">
      <c r="C24396" s="15"/>
      <c r="E24396" s="8"/>
      <c r="G24396" s="8"/>
      <c r="J24396" s="8"/>
    </row>
    <row r="24397">
      <c r="C24397" s="15"/>
      <c r="E24397" s="8"/>
      <c r="G24397" s="8"/>
      <c r="J24397" s="8"/>
    </row>
    <row r="24398">
      <c r="C24398" s="15"/>
      <c r="E24398" s="8"/>
      <c r="G24398" s="8"/>
      <c r="J24398" s="8"/>
    </row>
    <row r="24399">
      <c r="C24399" s="15"/>
      <c r="E24399" s="8"/>
      <c r="G24399" s="8"/>
      <c r="J24399" s="8"/>
    </row>
    <row r="24400">
      <c r="C24400" s="15"/>
      <c r="E24400" s="8"/>
      <c r="G24400" s="8"/>
      <c r="J24400" s="8"/>
    </row>
    <row r="24401">
      <c r="C24401" s="15"/>
      <c r="E24401" s="8"/>
      <c r="G24401" s="8"/>
      <c r="J24401" s="8"/>
    </row>
    <row r="24402">
      <c r="C24402" s="15"/>
      <c r="E24402" s="8"/>
      <c r="G24402" s="8"/>
      <c r="J24402" s="8"/>
    </row>
    <row r="24403">
      <c r="C24403" s="15"/>
      <c r="E24403" s="8"/>
      <c r="G24403" s="8"/>
      <c r="J24403" s="8"/>
    </row>
    <row r="24404">
      <c r="C24404" s="15"/>
      <c r="E24404" s="8"/>
      <c r="G24404" s="8"/>
      <c r="J24404" s="8"/>
    </row>
    <row r="24405">
      <c r="C24405" s="15"/>
      <c r="E24405" s="8"/>
      <c r="G24405" s="8"/>
      <c r="J24405" s="8"/>
    </row>
    <row r="24406">
      <c r="C24406" s="15"/>
      <c r="E24406" s="8"/>
      <c r="G24406" s="8"/>
      <c r="J24406" s="8"/>
    </row>
    <row r="24407">
      <c r="C24407" s="15"/>
      <c r="E24407" s="8"/>
      <c r="G24407" s="8"/>
      <c r="J24407" s="8"/>
    </row>
    <row r="24408">
      <c r="C24408" s="15"/>
      <c r="E24408" s="8"/>
      <c r="G24408" s="8"/>
      <c r="J24408" s="8"/>
    </row>
    <row r="24409">
      <c r="C24409" s="15"/>
      <c r="E24409" s="8"/>
      <c r="G24409" s="8"/>
      <c r="J24409" s="8"/>
    </row>
    <row r="24410">
      <c r="C24410" s="15"/>
      <c r="E24410" s="8"/>
      <c r="G24410" s="8"/>
      <c r="J24410" s="8"/>
    </row>
    <row r="24411">
      <c r="C24411" s="15"/>
      <c r="E24411" s="8"/>
      <c r="G24411" s="8"/>
      <c r="J24411" s="8"/>
    </row>
    <row r="24412">
      <c r="C24412" s="15"/>
      <c r="E24412" s="8"/>
      <c r="G24412" s="8"/>
      <c r="J24412" s="8"/>
    </row>
    <row r="24413">
      <c r="C24413" s="15"/>
      <c r="E24413" s="8"/>
      <c r="G24413" s="8"/>
      <c r="J24413" s="8"/>
    </row>
    <row r="24414">
      <c r="C24414" s="15"/>
      <c r="E24414" s="8"/>
      <c r="G24414" s="8"/>
      <c r="J24414" s="8"/>
    </row>
    <row r="24415">
      <c r="C24415" s="15"/>
      <c r="E24415" s="8"/>
      <c r="G24415" s="8"/>
      <c r="J24415" s="8"/>
    </row>
    <row r="24416">
      <c r="C24416" s="15"/>
      <c r="E24416" s="8"/>
      <c r="G24416" s="8"/>
      <c r="J24416" s="8"/>
    </row>
    <row r="24417">
      <c r="C24417" s="15"/>
      <c r="E24417" s="8"/>
      <c r="G24417" s="8"/>
      <c r="J24417" s="8"/>
    </row>
    <row r="24418">
      <c r="C24418" s="15"/>
      <c r="E24418" s="8"/>
      <c r="G24418" s="8"/>
      <c r="J24418" s="8"/>
    </row>
    <row r="24419">
      <c r="C24419" s="15"/>
      <c r="E24419" s="8"/>
      <c r="G24419" s="8"/>
      <c r="J24419" s="8"/>
    </row>
    <row r="24420">
      <c r="C24420" s="15"/>
      <c r="E24420" s="8"/>
      <c r="G24420" s="8"/>
      <c r="J24420" s="8"/>
    </row>
    <row r="24421">
      <c r="C24421" s="15"/>
      <c r="E24421" s="8"/>
      <c r="G24421" s="8"/>
      <c r="J24421" s="8"/>
    </row>
    <row r="24422">
      <c r="C24422" s="15"/>
      <c r="E24422" s="8"/>
      <c r="G24422" s="8"/>
      <c r="J24422" s="8"/>
    </row>
    <row r="24423">
      <c r="C24423" s="15"/>
      <c r="E24423" s="8"/>
      <c r="G24423" s="8"/>
      <c r="J24423" s="8"/>
    </row>
    <row r="24424">
      <c r="C24424" s="15"/>
      <c r="E24424" s="8"/>
      <c r="G24424" s="8"/>
      <c r="J24424" s="8"/>
    </row>
    <row r="24425">
      <c r="C24425" s="15"/>
      <c r="E24425" s="8"/>
      <c r="G24425" s="8"/>
      <c r="J24425" s="8"/>
    </row>
    <row r="24426">
      <c r="C24426" s="15"/>
      <c r="E24426" s="8"/>
      <c r="G24426" s="8"/>
      <c r="J24426" s="8"/>
    </row>
    <row r="24427">
      <c r="C24427" s="15"/>
      <c r="E24427" s="8"/>
      <c r="G24427" s="8"/>
      <c r="J24427" s="8"/>
    </row>
    <row r="24428">
      <c r="C24428" s="15"/>
      <c r="E24428" s="8"/>
      <c r="G24428" s="8"/>
      <c r="J24428" s="8"/>
    </row>
    <row r="24429">
      <c r="C24429" s="15"/>
      <c r="E24429" s="8"/>
      <c r="G24429" s="8"/>
      <c r="J24429" s="8"/>
    </row>
    <row r="24430">
      <c r="C24430" s="15"/>
      <c r="E24430" s="8"/>
      <c r="G24430" s="8"/>
      <c r="J24430" s="8"/>
    </row>
    <row r="24431">
      <c r="C24431" s="15"/>
      <c r="E24431" s="8"/>
      <c r="G24431" s="8"/>
      <c r="J24431" s="8"/>
    </row>
    <row r="24432">
      <c r="C24432" s="15"/>
      <c r="E24432" s="8"/>
      <c r="G24432" s="8"/>
      <c r="J24432" s="8"/>
    </row>
    <row r="24433">
      <c r="C24433" s="15"/>
      <c r="E24433" s="8"/>
      <c r="G24433" s="8"/>
      <c r="J24433" s="8"/>
    </row>
    <row r="24434">
      <c r="C24434" s="15"/>
      <c r="E24434" s="8"/>
      <c r="G24434" s="8"/>
      <c r="J24434" s="8"/>
    </row>
    <row r="24435">
      <c r="C24435" s="15"/>
      <c r="E24435" s="8"/>
      <c r="G24435" s="8"/>
      <c r="J24435" s="8"/>
    </row>
    <row r="24436">
      <c r="C24436" s="15"/>
      <c r="E24436" s="8"/>
      <c r="G24436" s="8"/>
      <c r="J24436" s="8"/>
    </row>
    <row r="24437">
      <c r="C24437" s="15"/>
      <c r="E24437" s="8"/>
      <c r="G24437" s="8"/>
      <c r="J24437" s="8"/>
    </row>
    <row r="24438">
      <c r="C24438" s="15"/>
      <c r="E24438" s="8"/>
      <c r="G24438" s="8"/>
      <c r="J24438" s="8"/>
    </row>
    <row r="24439">
      <c r="C24439" s="15"/>
      <c r="E24439" s="8"/>
      <c r="G24439" s="8"/>
      <c r="J24439" s="8"/>
    </row>
    <row r="24440">
      <c r="C24440" s="15"/>
      <c r="E24440" s="8"/>
      <c r="G24440" s="8"/>
      <c r="J24440" s="8"/>
    </row>
    <row r="24441">
      <c r="C24441" s="15"/>
      <c r="E24441" s="8"/>
      <c r="G24441" s="8"/>
      <c r="J24441" s="8"/>
    </row>
    <row r="24442">
      <c r="C24442" s="15"/>
      <c r="E24442" s="8"/>
      <c r="G24442" s="8"/>
      <c r="J24442" s="8"/>
    </row>
    <row r="24443">
      <c r="C24443" s="15"/>
      <c r="E24443" s="8"/>
      <c r="G24443" s="8"/>
      <c r="J24443" s="8"/>
    </row>
    <row r="24444">
      <c r="C24444" s="15"/>
      <c r="E24444" s="8"/>
      <c r="G24444" s="8"/>
      <c r="J24444" s="8"/>
    </row>
    <row r="24445">
      <c r="C24445" s="15"/>
      <c r="E24445" s="8"/>
      <c r="G24445" s="8"/>
      <c r="J24445" s="8"/>
    </row>
    <row r="24446">
      <c r="C24446" s="15"/>
      <c r="E24446" s="8"/>
      <c r="G24446" s="8"/>
      <c r="J24446" s="8"/>
    </row>
    <row r="24447">
      <c r="C24447" s="15"/>
      <c r="E24447" s="8"/>
      <c r="G24447" s="8"/>
      <c r="J24447" s="8"/>
    </row>
    <row r="24448">
      <c r="C24448" s="15"/>
      <c r="E24448" s="8"/>
      <c r="G24448" s="8"/>
      <c r="J24448" s="8"/>
    </row>
    <row r="24449">
      <c r="C24449" s="15"/>
      <c r="E24449" s="8"/>
      <c r="G24449" s="8"/>
      <c r="J24449" s="8"/>
    </row>
    <row r="24450">
      <c r="C24450" s="15"/>
      <c r="E24450" s="8"/>
      <c r="G24450" s="8"/>
      <c r="J24450" s="8"/>
    </row>
    <row r="24451">
      <c r="C24451" s="15"/>
      <c r="E24451" s="8"/>
      <c r="G24451" s="8"/>
      <c r="J24451" s="8"/>
    </row>
    <row r="24452">
      <c r="C24452" s="15"/>
      <c r="E24452" s="8"/>
      <c r="G24452" s="8"/>
      <c r="J24452" s="8"/>
    </row>
    <row r="24453">
      <c r="C24453" s="15"/>
      <c r="E24453" s="8"/>
      <c r="G24453" s="8"/>
      <c r="J24453" s="8"/>
    </row>
    <row r="24454">
      <c r="C24454" s="15"/>
      <c r="E24454" s="8"/>
      <c r="G24454" s="8"/>
      <c r="J24454" s="8"/>
    </row>
    <row r="24455">
      <c r="C24455" s="15"/>
      <c r="E24455" s="8"/>
      <c r="G24455" s="8"/>
      <c r="J24455" s="8"/>
    </row>
    <row r="24456">
      <c r="C24456" s="15"/>
      <c r="E24456" s="8"/>
      <c r="G24456" s="8"/>
      <c r="J24456" s="8"/>
    </row>
    <row r="24457">
      <c r="C24457" s="15"/>
      <c r="E24457" s="8"/>
      <c r="G24457" s="8"/>
      <c r="J24457" s="8"/>
    </row>
    <row r="24458">
      <c r="C24458" s="15"/>
      <c r="E24458" s="8"/>
      <c r="G24458" s="8"/>
      <c r="J24458" s="8"/>
    </row>
    <row r="24459">
      <c r="C24459" s="15"/>
      <c r="E24459" s="8"/>
      <c r="G24459" s="8"/>
      <c r="J24459" s="8"/>
    </row>
    <row r="24460">
      <c r="C24460" s="15"/>
      <c r="E24460" s="8"/>
      <c r="G24460" s="8"/>
      <c r="J24460" s="8"/>
    </row>
    <row r="24461">
      <c r="C24461" s="15"/>
      <c r="E24461" s="8"/>
      <c r="G24461" s="8"/>
      <c r="J24461" s="8"/>
    </row>
    <row r="24462">
      <c r="C24462" s="15"/>
      <c r="E24462" s="8"/>
      <c r="G24462" s="8"/>
      <c r="J24462" s="8"/>
    </row>
    <row r="24463">
      <c r="C24463" s="15"/>
      <c r="E24463" s="8"/>
      <c r="G24463" s="8"/>
      <c r="J24463" s="8"/>
    </row>
    <row r="24464">
      <c r="C24464" s="15"/>
      <c r="E24464" s="8"/>
      <c r="G24464" s="8"/>
      <c r="J24464" s="8"/>
    </row>
    <row r="24465">
      <c r="C24465" s="15"/>
      <c r="E24465" s="8"/>
      <c r="G24465" s="8"/>
      <c r="J24465" s="8"/>
    </row>
    <row r="24466">
      <c r="C24466" s="15"/>
      <c r="E24466" s="8"/>
      <c r="G24466" s="8"/>
      <c r="J24466" s="8"/>
    </row>
    <row r="24467">
      <c r="C24467" s="15"/>
      <c r="E24467" s="8"/>
      <c r="G24467" s="8"/>
      <c r="J24467" s="8"/>
    </row>
    <row r="24468">
      <c r="C24468" s="15"/>
      <c r="E24468" s="8"/>
      <c r="G24468" s="8"/>
      <c r="J24468" s="8"/>
    </row>
    <row r="24469">
      <c r="C24469" s="15"/>
      <c r="E24469" s="8"/>
      <c r="G24469" s="8"/>
      <c r="J24469" s="8"/>
    </row>
    <row r="24470">
      <c r="C24470" s="15"/>
      <c r="E24470" s="8"/>
      <c r="G24470" s="8"/>
      <c r="J24470" s="8"/>
    </row>
    <row r="24471">
      <c r="C24471" s="15"/>
      <c r="E24471" s="8"/>
      <c r="G24471" s="8"/>
      <c r="J24471" s="8"/>
    </row>
    <row r="24472">
      <c r="C24472" s="15"/>
      <c r="E24472" s="8"/>
      <c r="G24472" s="8"/>
      <c r="J24472" s="8"/>
    </row>
    <row r="24473">
      <c r="C24473" s="15"/>
      <c r="E24473" s="8"/>
      <c r="G24473" s="8"/>
      <c r="J24473" s="8"/>
    </row>
    <row r="24474">
      <c r="C24474" s="15"/>
      <c r="E24474" s="8"/>
      <c r="G24474" s="8"/>
      <c r="J24474" s="8"/>
    </row>
    <row r="24475">
      <c r="C24475" s="15"/>
      <c r="E24475" s="8"/>
      <c r="G24475" s="8"/>
      <c r="J24475" s="8"/>
    </row>
    <row r="24476">
      <c r="C24476" s="15"/>
      <c r="E24476" s="8"/>
      <c r="G24476" s="8"/>
      <c r="J24476" s="8"/>
    </row>
    <row r="24477">
      <c r="C24477" s="15"/>
      <c r="E24477" s="8"/>
      <c r="G24477" s="8"/>
      <c r="J24477" s="8"/>
    </row>
    <row r="24478">
      <c r="C24478" s="15"/>
      <c r="E24478" s="8"/>
      <c r="G24478" s="8"/>
      <c r="J24478" s="8"/>
    </row>
    <row r="24479">
      <c r="C24479" s="15"/>
      <c r="E24479" s="8"/>
      <c r="G24479" s="8"/>
      <c r="J24479" s="8"/>
    </row>
    <row r="24480">
      <c r="C24480" s="15"/>
      <c r="E24480" s="8"/>
      <c r="G24480" s="8"/>
      <c r="J24480" s="8"/>
    </row>
    <row r="24481">
      <c r="C24481" s="15"/>
      <c r="E24481" s="8"/>
      <c r="G24481" s="8"/>
      <c r="J24481" s="8"/>
    </row>
    <row r="24482">
      <c r="C24482" s="15"/>
      <c r="E24482" s="8"/>
      <c r="G24482" s="8"/>
      <c r="J24482" s="8"/>
    </row>
    <row r="24483">
      <c r="C24483" s="15"/>
      <c r="E24483" s="8"/>
      <c r="G24483" s="8"/>
      <c r="J24483" s="8"/>
    </row>
    <row r="24484">
      <c r="C24484" s="15"/>
      <c r="E24484" s="8"/>
      <c r="G24484" s="8"/>
      <c r="J24484" s="8"/>
    </row>
    <row r="24485">
      <c r="C24485" s="15"/>
      <c r="E24485" s="8"/>
      <c r="G24485" s="8"/>
      <c r="J24485" s="8"/>
    </row>
    <row r="24486">
      <c r="C24486" s="15"/>
      <c r="E24486" s="8"/>
      <c r="G24486" s="8"/>
      <c r="J24486" s="8"/>
    </row>
    <row r="24487">
      <c r="C24487" s="15"/>
      <c r="E24487" s="8"/>
      <c r="G24487" s="8"/>
      <c r="J24487" s="8"/>
    </row>
    <row r="24488">
      <c r="C24488" s="15"/>
      <c r="E24488" s="8"/>
      <c r="G24488" s="8"/>
      <c r="J24488" s="8"/>
    </row>
    <row r="24489">
      <c r="C24489" s="15"/>
      <c r="E24489" s="8"/>
      <c r="G24489" s="8"/>
      <c r="J24489" s="8"/>
    </row>
    <row r="24490">
      <c r="C24490" s="15"/>
      <c r="E24490" s="8"/>
      <c r="G24490" s="8"/>
      <c r="J24490" s="8"/>
    </row>
    <row r="24491">
      <c r="C24491" s="15"/>
      <c r="E24491" s="8"/>
      <c r="G24491" s="8"/>
      <c r="J24491" s="8"/>
    </row>
    <row r="24492">
      <c r="C24492" s="15"/>
      <c r="E24492" s="8"/>
      <c r="G24492" s="8"/>
      <c r="J24492" s="8"/>
    </row>
    <row r="24493">
      <c r="C24493" s="15"/>
      <c r="E24493" s="8"/>
      <c r="G24493" s="8"/>
      <c r="J24493" s="8"/>
    </row>
    <row r="24494">
      <c r="C24494" s="15"/>
      <c r="E24494" s="8"/>
      <c r="G24494" s="8"/>
      <c r="J24494" s="8"/>
    </row>
    <row r="24495">
      <c r="C24495" s="15"/>
      <c r="E24495" s="8"/>
      <c r="G24495" s="8"/>
      <c r="J24495" s="8"/>
    </row>
    <row r="24496">
      <c r="C24496" s="15"/>
      <c r="E24496" s="8"/>
      <c r="G24496" s="8"/>
      <c r="J24496" s="8"/>
    </row>
    <row r="24497">
      <c r="C24497" s="15"/>
      <c r="E24497" s="8"/>
      <c r="G24497" s="8"/>
      <c r="J24497" s="8"/>
    </row>
    <row r="24498">
      <c r="C24498" s="15"/>
      <c r="E24498" s="8"/>
      <c r="G24498" s="8"/>
      <c r="J24498" s="8"/>
    </row>
    <row r="24499">
      <c r="C24499" s="15"/>
      <c r="E24499" s="8"/>
      <c r="G24499" s="8"/>
      <c r="J24499" s="8"/>
    </row>
    <row r="24500">
      <c r="C24500" s="15"/>
      <c r="E24500" s="8"/>
      <c r="G24500" s="8"/>
      <c r="J24500" s="8"/>
    </row>
    <row r="24501">
      <c r="C24501" s="15"/>
      <c r="E24501" s="8"/>
      <c r="G24501" s="8"/>
      <c r="J24501" s="8"/>
    </row>
    <row r="24502">
      <c r="C24502" s="15"/>
      <c r="E24502" s="8"/>
      <c r="G24502" s="8"/>
      <c r="J24502" s="8"/>
    </row>
    <row r="24503">
      <c r="C24503" s="15"/>
      <c r="E24503" s="8"/>
      <c r="G24503" s="8"/>
      <c r="J24503" s="8"/>
    </row>
    <row r="24504">
      <c r="C24504" s="15"/>
      <c r="E24504" s="8"/>
      <c r="G24504" s="8"/>
      <c r="J24504" s="8"/>
    </row>
    <row r="24505">
      <c r="C24505" s="15"/>
      <c r="E24505" s="8"/>
      <c r="G24505" s="8"/>
      <c r="J24505" s="8"/>
    </row>
    <row r="24506">
      <c r="C24506" s="15"/>
      <c r="E24506" s="8"/>
      <c r="G24506" s="8"/>
      <c r="J24506" s="8"/>
    </row>
    <row r="24507">
      <c r="C24507" s="15"/>
      <c r="E24507" s="8"/>
      <c r="G24507" s="8"/>
      <c r="J24507" s="8"/>
    </row>
    <row r="24508">
      <c r="C24508" s="15"/>
      <c r="E24508" s="8"/>
      <c r="G24508" s="8"/>
      <c r="J24508" s="8"/>
    </row>
    <row r="24509">
      <c r="C24509" s="15"/>
      <c r="E24509" s="8"/>
      <c r="G24509" s="8"/>
      <c r="J24509" s="8"/>
    </row>
    <row r="24510">
      <c r="C24510" s="15"/>
      <c r="E24510" s="8"/>
      <c r="G24510" s="8"/>
      <c r="J24510" s="8"/>
    </row>
    <row r="24511">
      <c r="C24511" s="15"/>
      <c r="E24511" s="8"/>
      <c r="G24511" s="8"/>
      <c r="J24511" s="8"/>
    </row>
    <row r="24512">
      <c r="C24512" s="15"/>
      <c r="E24512" s="8"/>
      <c r="G24512" s="8"/>
      <c r="J24512" s="8"/>
    </row>
    <row r="24513">
      <c r="C24513" s="15"/>
      <c r="E24513" s="8"/>
      <c r="G24513" s="8"/>
      <c r="J24513" s="8"/>
    </row>
    <row r="24514">
      <c r="C24514" s="15"/>
      <c r="E24514" s="8"/>
      <c r="G24514" s="8"/>
      <c r="J24514" s="8"/>
    </row>
    <row r="24515">
      <c r="C24515" s="15"/>
      <c r="E24515" s="8"/>
      <c r="G24515" s="8"/>
      <c r="J24515" s="8"/>
    </row>
    <row r="24516">
      <c r="C24516" s="15"/>
      <c r="E24516" s="8"/>
      <c r="G24516" s="8"/>
      <c r="J24516" s="8"/>
    </row>
    <row r="24517">
      <c r="C24517" s="15"/>
      <c r="E24517" s="8"/>
      <c r="G24517" s="8"/>
      <c r="J24517" s="8"/>
    </row>
    <row r="24518">
      <c r="C24518" s="15"/>
      <c r="E24518" s="8"/>
      <c r="G24518" s="8"/>
      <c r="J24518" s="8"/>
    </row>
    <row r="24519">
      <c r="C24519" s="15"/>
      <c r="E24519" s="8"/>
      <c r="G24519" s="8"/>
      <c r="J24519" s="8"/>
    </row>
    <row r="24520">
      <c r="C24520" s="15"/>
      <c r="E24520" s="8"/>
      <c r="G24520" s="8"/>
      <c r="J24520" s="8"/>
    </row>
    <row r="24521">
      <c r="C24521" s="15"/>
      <c r="E24521" s="8"/>
      <c r="G24521" s="8"/>
      <c r="J24521" s="8"/>
    </row>
    <row r="24522">
      <c r="C24522" s="15"/>
      <c r="E24522" s="8"/>
      <c r="G24522" s="8"/>
      <c r="J24522" s="8"/>
    </row>
    <row r="24523">
      <c r="C24523" s="15"/>
      <c r="E24523" s="8"/>
      <c r="G24523" s="8"/>
      <c r="J24523" s="8"/>
    </row>
    <row r="24524">
      <c r="C24524" s="15"/>
      <c r="E24524" s="8"/>
      <c r="G24524" s="8"/>
      <c r="J24524" s="8"/>
    </row>
    <row r="24525">
      <c r="C24525" s="15"/>
      <c r="E24525" s="8"/>
      <c r="G24525" s="8"/>
      <c r="J24525" s="8"/>
    </row>
    <row r="24526">
      <c r="C24526" s="15"/>
      <c r="E24526" s="8"/>
      <c r="G24526" s="8"/>
      <c r="J24526" s="8"/>
    </row>
    <row r="24527">
      <c r="C24527" s="15"/>
      <c r="E24527" s="8"/>
      <c r="G24527" s="8"/>
      <c r="J24527" s="8"/>
    </row>
    <row r="24528">
      <c r="C24528" s="15"/>
      <c r="E24528" s="8"/>
      <c r="G24528" s="8"/>
      <c r="J24528" s="8"/>
    </row>
    <row r="24529">
      <c r="C24529" s="15"/>
      <c r="E24529" s="8"/>
      <c r="G24529" s="8"/>
      <c r="J24529" s="8"/>
    </row>
    <row r="24530">
      <c r="C24530" s="15"/>
      <c r="E24530" s="8"/>
      <c r="G24530" s="8"/>
      <c r="J24530" s="8"/>
    </row>
    <row r="24531">
      <c r="C24531" s="15"/>
      <c r="E24531" s="8"/>
      <c r="G24531" s="8"/>
      <c r="J24531" s="8"/>
    </row>
    <row r="24532">
      <c r="C24532" s="15"/>
      <c r="E24532" s="8"/>
      <c r="G24532" s="8"/>
      <c r="J24532" s="8"/>
    </row>
    <row r="24533">
      <c r="C24533" s="15"/>
      <c r="E24533" s="8"/>
      <c r="G24533" s="8"/>
      <c r="J24533" s="8"/>
    </row>
    <row r="24534">
      <c r="C24534" s="15"/>
      <c r="E24534" s="8"/>
      <c r="G24534" s="8"/>
      <c r="J24534" s="8"/>
    </row>
    <row r="24535">
      <c r="C24535" s="15"/>
      <c r="E24535" s="8"/>
      <c r="G24535" s="8"/>
      <c r="J24535" s="8"/>
    </row>
    <row r="24536">
      <c r="C24536" s="15"/>
      <c r="E24536" s="8"/>
      <c r="G24536" s="8"/>
      <c r="J24536" s="8"/>
    </row>
    <row r="24537">
      <c r="C24537" s="15"/>
      <c r="E24537" s="8"/>
      <c r="G24537" s="8"/>
      <c r="J24537" s="8"/>
    </row>
    <row r="24538">
      <c r="C24538" s="15"/>
      <c r="E24538" s="8"/>
      <c r="G24538" s="8"/>
      <c r="J24538" s="8"/>
    </row>
    <row r="24539">
      <c r="C24539" s="15"/>
      <c r="E24539" s="8"/>
      <c r="G24539" s="8"/>
      <c r="J24539" s="8"/>
    </row>
    <row r="24540">
      <c r="C24540" s="15"/>
      <c r="E24540" s="8"/>
      <c r="G24540" s="8"/>
      <c r="J24540" s="8"/>
    </row>
    <row r="24541">
      <c r="C24541" s="15"/>
      <c r="E24541" s="8"/>
      <c r="G24541" s="8"/>
      <c r="J24541" s="8"/>
    </row>
    <row r="24542">
      <c r="C24542" s="15"/>
      <c r="E24542" s="8"/>
      <c r="G24542" s="8"/>
      <c r="J24542" s="8"/>
    </row>
    <row r="24543">
      <c r="C24543" s="15"/>
      <c r="E24543" s="8"/>
      <c r="G24543" s="8"/>
      <c r="J24543" s="8"/>
    </row>
    <row r="24544">
      <c r="C24544" s="15"/>
      <c r="E24544" s="8"/>
      <c r="G24544" s="8"/>
      <c r="J24544" s="8"/>
    </row>
    <row r="24545">
      <c r="C24545" s="15"/>
      <c r="E24545" s="8"/>
      <c r="G24545" s="8"/>
      <c r="J24545" s="8"/>
    </row>
    <row r="24546">
      <c r="C24546" s="15"/>
      <c r="E24546" s="8"/>
      <c r="G24546" s="8"/>
      <c r="J24546" s="8"/>
    </row>
    <row r="24547">
      <c r="C24547" s="15"/>
      <c r="E24547" s="8"/>
      <c r="G24547" s="8"/>
      <c r="J24547" s="8"/>
    </row>
    <row r="24548">
      <c r="C24548" s="15"/>
      <c r="E24548" s="8"/>
      <c r="G24548" s="8"/>
      <c r="J24548" s="8"/>
    </row>
    <row r="24549">
      <c r="C24549" s="15"/>
      <c r="E24549" s="8"/>
      <c r="G24549" s="8"/>
      <c r="J24549" s="8"/>
    </row>
    <row r="24550">
      <c r="C24550" s="15"/>
      <c r="E24550" s="8"/>
      <c r="G24550" s="8"/>
      <c r="J24550" s="8"/>
    </row>
    <row r="24551">
      <c r="C24551" s="15"/>
      <c r="E24551" s="8"/>
      <c r="G24551" s="8"/>
      <c r="J24551" s="8"/>
    </row>
    <row r="24552">
      <c r="C24552" s="15"/>
      <c r="E24552" s="8"/>
      <c r="G24552" s="8"/>
      <c r="J24552" s="8"/>
    </row>
    <row r="24553">
      <c r="C24553" s="15"/>
      <c r="E24553" s="8"/>
      <c r="G24553" s="8"/>
      <c r="J24553" s="8"/>
    </row>
    <row r="24554">
      <c r="C24554" s="15"/>
      <c r="E24554" s="8"/>
      <c r="G24554" s="8"/>
      <c r="J24554" s="8"/>
    </row>
    <row r="24555">
      <c r="C24555" s="15"/>
      <c r="E24555" s="8"/>
      <c r="G24555" s="8"/>
      <c r="J24555" s="8"/>
    </row>
    <row r="24556">
      <c r="C24556" s="15"/>
      <c r="E24556" s="8"/>
      <c r="G24556" s="8"/>
      <c r="J24556" s="8"/>
    </row>
    <row r="24557">
      <c r="C24557" s="15"/>
      <c r="E24557" s="8"/>
      <c r="G24557" s="8"/>
      <c r="J24557" s="8"/>
    </row>
    <row r="24558">
      <c r="C24558" s="15"/>
      <c r="E24558" s="8"/>
      <c r="G24558" s="8"/>
      <c r="J24558" s="8"/>
    </row>
    <row r="24559">
      <c r="C24559" s="15"/>
      <c r="E24559" s="8"/>
      <c r="G24559" s="8"/>
      <c r="J24559" s="8"/>
    </row>
    <row r="24560">
      <c r="C24560" s="15"/>
      <c r="E24560" s="8"/>
      <c r="G24560" s="8"/>
      <c r="J24560" s="8"/>
    </row>
    <row r="24561">
      <c r="C24561" s="15"/>
      <c r="E24561" s="8"/>
      <c r="G24561" s="8"/>
      <c r="J24561" s="8"/>
    </row>
    <row r="24562">
      <c r="C24562" s="15"/>
      <c r="E24562" s="8"/>
      <c r="G24562" s="8"/>
      <c r="J24562" s="8"/>
    </row>
    <row r="24563">
      <c r="C24563" s="15"/>
      <c r="E24563" s="8"/>
      <c r="G24563" s="8"/>
      <c r="J24563" s="8"/>
    </row>
    <row r="24564">
      <c r="C24564" s="15"/>
      <c r="E24564" s="8"/>
      <c r="G24564" s="8"/>
      <c r="J24564" s="8"/>
    </row>
    <row r="24565">
      <c r="C24565" s="15"/>
      <c r="E24565" s="8"/>
      <c r="G24565" s="8"/>
      <c r="J24565" s="8"/>
    </row>
    <row r="24566">
      <c r="C24566" s="15"/>
      <c r="E24566" s="8"/>
      <c r="G24566" s="8"/>
      <c r="J24566" s="8"/>
    </row>
    <row r="24567">
      <c r="C24567" s="15"/>
      <c r="E24567" s="8"/>
      <c r="G24567" s="8"/>
      <c r="J24567" s="8"/>
    </row>
    <row r="24568">
      <c r="C24568" s="15"/>
      <c r="E24568" s="8"/>
      <c r="G24568" s="8"/>
      <c r="J24568" s="8"/>
    </row>
    <row r="24569">
      <c r="C24569" s="15"/>
      <c r="E24569" s="8"/>
      <c r="G24569" s="8"/>
      <c r="J24569" s="8"/>
    </row>
    <row r="24570">
      <c r="C24570" s="15"/>
      <c r="E24570" s="8"/>
      <c r="G24570" s="8"/>
      <c r="J24570" s="8"/>
    </row>
    <row r="24571">
      <c r="C24571" s="15"/>
      <c r="E24571" s="8"/>
      <c r="G24571" s="8"/>
      <c r="J24571" s="8"/>
    </row>
    <row r="24572">
      <c r="C24572" s="15"/>
      <c r="E24572" s="8"/>
      <c r="G24572" s="8"/>
      <c r="J24572" s="8"/>
    </row>
    <row r="24573">
      <c r="C24573" s="15"/>
      <c r="E24573" s="8"/>
      <c r="G24573" s="8"/>
      <c r="J24573" s="8"/>
    </row>
    <row r="24574">
      <c r="C24574" s="15"/>
      <c r="E24574" s="8"/>
      <c r="G24574" s="8"/>
      <c r="J24574" s="8"/>
    </row>
    <row r="24575">
      <c r="C24575" s="15"/>
      <c r="E24575" s="8"/>
      <c r="G24575" s="8"/>
      <c r="J24575" s="8"/>
    </row>
    <row r="24576">
      <c r="C24576" s="15"/>
      <c r="E24576" s="8"/>
      <c r="G24576" s="8"/>
      <c r="J24576" s="8"/>
    </row>
    <row r="24577">
      <c r="C24577" s="15"/>
      <c r="E24577" s="8"/>
      <c r="G24577" s="8"/>
      <c r="J24577" s="8"/>
    </row>
    <row r="24578">
      <c r="C24578" s="15"/>
      <c r="E24578" s="8"/>
      <c r="G24578" s="8"/>
      <c r="J24578" s="8"/>
    </row>
    <row r="24579">
      <c r="C24579" s="15"/>
      <c r="E24579" s="8"/>
      <c r="G24579" s="8"/>
      <c r="J24579" s="8"/>
    </row>
    <row r="24580">
      <c r="C24580" s="15"/>
      <c r="E24580" s="8"/>
      <c r="G24580" s="8"/>
      <c r="J24580" s="8"/>
    </row>
    <row r="24581">
      <c r="C24581" s="15"/>
      <c r="E24581" s="8"/>
      <c r="G24581" s="8"/>
      <c r="J24581" s="8"/>
    </row>
    <row r="24582">
      <c r="C24582" s="15"/>
      <c r="E24582" s="8"/>
      <c r="G24582" s="8"/>
      <c r="J24582" s="8"/>
    </row>
    <row r="24583">
      <c r="C24583" s="15"/>
      <c r="E24583" s="8"/>
      <c r="G24583" s="8"/>
      <c r="J24583" s="8"/>
    </row>
    <row r="24584">
      <c r="C24584" s="15"/>
      <c r="E24584" s="8"/>
      <c r="G24584" s="8"/>
      <c r="J24584" s="8"/>
    </row>
    <row r="24585">
      <c r="C24585" s="15"/>
      <c r="E24585" s="8"/>
      <c r="G24585" s="8"/>
      <c r="J24585" s="8"/>
    </row>
    <row r="24586">
      <c r="C24586" s="15"/>
      <c r="E24586" s="8"/>
      <c r="G24586" s="8"/>
      <c r="J24586" s="8"/>
    </row>
    <row r="24587">
      <c r="C24587" s="15"/>
      <c r="E24587" s="8"/>
      <c r="G24587" s="8"/>
      <c r="J24587" s="8"/>
    </row>
    <row r="24588">
      <c r="C24588" s="15"/>
      <c r="E24588" s="8"/>
      <c r="G24588" s="8"/>
      <c r="J24588" s="8"/>
    </row>
    <row r="24589">
      <c r="C24589" s="15"/>
      <c r="E24589" s="8"/>
      <c r="G24589" s="8"/>
      <c r="J24589" s="8"/>
    </row>
    <row r="24590">
      <c r="C24590" s="15"/>
      <c r="E24590" s="8"/>
      <c r="G24590" s="8"/>
      <c r="J24590" s="8"/>
    </row>
    <row r="24591">
      <c r="C24591" s="15"/>
      <c r="E24591" s="8"/>
      <c r="G24591" s="8"/>
      <c r="J24591" s="8"/>
    </row>
    <row r="24592">
      <c r="C24592" s="15"/>
      <c r="E24592" s="8"/>
      <c r="G24592" s="8"/>
      <c r="J24592" s="8"/>
    </row>
    <row r="24593">
      <c r="C24593" s="15"/>
      <c r="E24593" s="8"/>
      <c r="G24593" s="8"/>
      <c r="J24593" s="8"/>
    </row>
    <row r="24594">
      <c r="C24594" s="15"/>
      <c r="E24594" s="8"/>
      <c r="G24594" s="8"/>
      <c r="J24594" s="8"/>
    </row>
    <row r="24595">
      <c r="C24595" s="15"/>
      <c r="E24595" s="8"/>
      <c r="G24595" s="8"/>
      <c r="J24595" s="8"/>
    </row>
    <row r="24596">
      <c r="C24596" s="15"/>
      <c r="E24596" s="8"/>
      <c r="G24596" s="8"/>
      <c r="J24596" s="8"/>
    </row>
    <row r="24597">
      <c r="C24597" s="15"/>
      <c r="E24597" s="8"/>
      <c r="G24597" s="8"/>
      <c r="J24597" s="8"/>
    </row>
    <row r="24598">
      <c r="C24598" s="15"/>
      <c r="E24598" s="8"/>
      <c r="G24598" s="8"/>
      <c r="J24598" s="8"/>
    </row>
    <row r="24599">
      <c r="C24599" s="15"/>
      <c r="E24599" s="8"/>
      <c r="G24599" s="8"/>
      <c r="J24599" s="8"/>
    </row>
    <row r="24600">
      <c r="C24600" s="15"/>
      <c r="E24600" s="8"/>
      <c r="G24600" s="8"/>
      <c r="J24600" s="8"/>
    </row>
    <row r="24601">
      <c r="C24601" s="15"/>
      <c r="E24601" s="8"/>
      <c r="G24601" s="8"/>
      <c r="J24601" s="8"/>
    </row>
    <row r="24602">
      <c r="C24602" s="15"/>
      <c r="E24602" s="8"/>
      <c r="G24602" s="8"/>
      <c r="J24602" s="8"/>
    </row>
    <row r="24603">
      <c r="C24603" s="15"/>
      <c r="E24603" s="8"/>
      <c r="G24603" s="8"/>
      <c r="J24603" s="8"/>
    </row>
    <row r="24604">
      <c r="C24604" s="15"/>
      <c r="E24604" s="8"/>
      <c r="G24604" s="8"/>
      <c r="J24604" s="8"/>
    </row>
    <row r="24605">
      <c r="C24605" s="15"/>
      <c r="E24605" s="8"/>
      <c r="G24605" s="8"/>
      <c r="J24605" s="8"/>
    </row>
    <row r="24606">
      <c r="C24606" s="15"/>
      <c r="E24606" s="8"/>
      <c r="G24606" s="8"/>
      <c r="J24606" s="8"/>
    </row>
    <row r="24607">
      <c r="C24607" s="15"/>
      <c r="E24607" s="8"/>
      <c r="G24607" s="8"/>
      <c r="J24607" s="8"/>
    </row>
    <row r="24608">
      <c r="C24608" s="15"/>
      <c r="E24608" s="8"/>
      <c r="G24608" s="8"/>
      <c r="J24608" s="8"/>
    </row>
    <row r="24609">
      <c r="C24609" s="15"/>
      <c r="E24609" s="8"/>
      <c r="G24609" s="8"/>
      <c r="J24609" s="8"/>
    </row>
    <row r="24610">
      <c r="C24610" s="15"/>
      <c r="E24610" s="8"/>
      <c r="G24610" s="8"/>
      <c r="J24610" s="8"/>
    </row>
    <row r="24611">
      <c r="C24611" s="15"/>
      <c r="E24611" s="8"/>
      <c r="G24611" s="8"/>
      <c r="J24611" s="8"/>
    </row>
    <row r="24612">
      <c r="C24612" s="15"/>
      <c r="E24612" s="8"/>
      <c r="G24612" s="8"/>
      <c r="J24612" s="8"/>
    </row>
    <row r="24613">
      <c r="C24613" s="15"/>
      <c r="E24613" s="8"/>
      <c r="G24613" s="8"/>
      <c r="J24613" s="8"/>
    </row>
    <row r="24614">
      <c r="C24614" s="15"/>
      <c r="E24614" s="8"/>
      <c r="G24614" s="8"/>
      <c r="J24614" s="8"/>
    </row>
    <row r="24615">
      <c r="C24615" s="15"/>
      <c r="E24615" s="8"/>
      <c r="G24615" s="8"/>
      <c r="J24615" s="8"/>
    </row>
    <row r="24616">
      <c r="C24616" s="15"/>
      <c r="E24616" s="8"/>
      <c r="G24616" s="8"/>
      <c r="J24616" s="8"/>
    </row>
    <row r="24617">
      <c r="C24617" s="15"/>
      <c r="E24617" s="8"/>
      <c r="G24617" s="8"/>
      <c r="J24617" s="8"/>
    </row>
    <row r="24618">
      <c r="C24618" s="15"/>
      <c r="E24618" s="8"/>
      <c r="G24618" s="8"/>
      <c r="J24618" s="8"/>
    </row>
    <row r="24619">
      <c r="C24619" s="15"/>
      <c r="E24619" s="8"/>
      <c r="G24619" s="8"/>
      <c r="J24619" s="8"/>
    </row>
    <row r="24620">
      <c r="C24620" s="15"/>
      <c r="E24620" s="8"/>
      <c r="G24620" s="8"/>
      <c r="J24620" s="8"/>
    </row>
    <row r="24621">
      <c r="C24621" s="15"/>
      <c r="E24621" s="8"/>
      <c r="G24621" s="8"/>
      <c r="J24621" s="8"/>
    </row>
    <row r="24622">
      <c r="C24622" s="15"/>
      <c r="E24622" s="8"/>
      <c r="G24622" s="8"/>
      <c r="J24622" s="8"/>
    </row>
    <row r="24623">
      <c r="C24623" s="15"/>
      <c r="E24623" s="8"/>
      <c r="G24623" s="8"/>
      <c r="J24623" s="8"/>
    </row>
    <row r="24624">
      <c r="C24624" s="15"/>
      <c r="E24624" s="8"/>
      <c r="G24624" s="8"/>
      <c r="J24624" s="8"/>
    </row>
    <row r="24625">
      <c r="C24625" s="15"/>
      <c r="E24625" s="8"/>
      <c r="G24625" s="8"/>
      <c r="J24625" s="8"/>
    </row>
    <row r="24626">
      <c r="C24626" s="15"/>
      <c r="E24626" s="8"/>
      <c r="G24626" s="8"/>
      <c r="J24626" s="8"/>
    </row>
    <row r="24627">
      <c r="C24627" s="15"/>
      <c r="E24627" s="8"/>
      <c r="G24627" s="8"/>
      <c r="J24627" s="8"/>
    </row>
    <row r="24628">
      <c r="C24628" s="15"/>
      <c r="E24628" s="8"/>
      <c r="G24628" s="8"/>
      <c r="J24628" s="8"/>
    </row>
    <row r="24629">
      <c r="C24629" s="15"/>
      <c r="E24629" s="8"/>
      <c r="G24629" s="8"/>
      <c r="J24629" s="8"/>
    </row>
    <row r="24630">
      <c r="C24630" s="15"/>
      <c r="E24630" s="8"/>
      <c r="G24630" s="8"/>
      <c r="J24630" s="8"/>
    </row>
    <row r="24631">
      <c r="C24631" s="15"/>
      <c r="E24631" s="8"/>
      <c r="G24631" s="8"/>
      <c r="J24631" s="8"/>
    </row>
    <row r="24632">
      <c r="C24632" s="15"/>
      <c r="E24632" s="8"/>
      <c r="G24632" s="8"/>
      <c r="J24632" s="8"/>
    </row>
    <row r="24633">
      <c r="C24633" s="15"/>
      <c r="E24633" s="8"/>
      <c r="G24633" s="8"/>
      <c r="J24633" s="8"/>
    </row>
    <row r="24634">
      <c r="C24634" s="15"/>
      <c r="E24634" s="8"/>
      <c r="G24634" s="8"/>
      <c r="J24634" s="8"/>
    </row>
    <row r="24635">
      <c r="C24635" s="15"/>
      <c r="E24635" s="8"/>
      <c r="G24635" s="8"/>
      <c r="J24635" s="8"/>
    </row>
    <row r="24636">
      <c r="C24636" s="15"/>
      <c r="E24636" s="8"/>
      <c r="G24636" s="8"/>
      <c r="J24636" s="8"/>
    </row>
    <row r="24637">
      <c r="C24637" s="15"/>
      <c r="E24637" s="8"/>
      <c r="G24637" s="8"/>
      <c r="J24637" s="8"/>
    </row>
    <row r="24638">
      <c r="C24638" s="15"/>
      <c r="E24638" s="8"/>
      <c r="G24638" s="8"/>
      <c r="J24638" s="8"/>
    </row>
    <row r="24639">
      <c r="C24639" s="15"/>
      <c r="E24639" s="8"/>
      <c r="G24639" s="8"/>
      <c r="J24639" s="8"/>
    </row>
    <row r="24640">
      <c r="C24640" s="15"/>
      <c r="E24640" s="8"/>
      <c r="G24640" s="8"/>
      <c r="J24640" s="8"/>
    </row>
    <row r="24641">
      <c r="C24641" s="15"/>
      <c r="E24641" s="8"/>
      <c r="G24641" s="8"/>
      <c r="J24641" s="8"/>
    </row>
    <row r="24642">
      <c r="C24642" s="15"/>
      <c r="E24642" s="8"/>
      <c r="G24642" s="8"/>
      <c r="J24642" s="8"/>
    </row>
    <row r="24643">
      <c r="C24643" s="15"/>
      <c r="E24643" s="8"/>
      <c r="G24643" s="8"/>
      <c r="J24643" s="8"/>
    </row>
    <row r="24644">
      <c r="C24644" s="15"/>
      <c r="E24644" s="8"/>
      <c r="G24644" s="8"/>
      <c r="J24644" s="8"/>
    </row>
    <row r="24645">
      <c r="C24645" s="15"/>
      <c r="E24645" s="8"/>
      <c r="G24645" s="8"/>
      <c r="J24645" s="8"/>
    </row>
    <row r="24646">
      <c r="C24646" s="15"/>
      <c r="E24646" s="8"/>
      <c r="G24646" s="8"/>
      <c r="J24646" s="8"/>
    </row>
    <row r="24647">
      <c r="C24647" s="15"/>
      <c r="E24647" s="8"/>
      <c r="G24647" s="8"/>
      <c r="J24647" s="8"/>
    </row>
    <row r="24648">
      <c r="C24648" s="15"/>
      <c r="E24648" s="8"/>
      <c r="G24648" s="8"/>
      <c r="J24648" s="8"/>
    </row>
    <row r="24649">
      <c r="C24649" s="15"/>
      <c r="E24649" s="8"/>
      <c r="G24649" s="8"/>
      <c r="J24649" s="8"/>
    </row>
    <row r="24650">
      <c r="C24650" s="15"/>
      <c r="E24650" s="8"/>
      <c r="G24650" s="8"/>
      <c r="J24650" s="8"/>
    </row>
    <row r="24651">
      <c r="C24651" s="15"/>
      <c r="E24651" s="8"/>
      <c r="G24651" s="8"/>
      <c r="J24651" s="8"/>
    </row>
    <row r="24652">
      <c r="C24652" s="15"/>
      <c r="E24652" s="8"/>
      <c r="G24652" s="8"/>
      <c r="J24652" s="8"/>
    </row>
    <row r="24653">
      <c r="C24653" s="15"/>
      <c r="E24653" s="8"/>
      <c r="G24653" s="8"/>
      <c r="J24653" s="8"/>
    </row>
    <row r="24654">
      <c r="C24654" s="15"/>
      <c r="E24654" s="8"/>
      <c r="G24654" s="8"/>
      <c r="J24654" s="8"/>
    </row>
    <row r="24655">
      <c r="C24655" s="15"/>
      <c r="E24655" s="8"/>
      <c r="G24655" s="8"/>
      <c r="J24655" s="8"/>
    </row>
    <row r="24656">
      <c r="C24656" s="15"/>
      <c r="E24656" s="8"/>
      <c r="G24656" s="8"/>
      <c r="J24656" s="8"/>
    </row>
    <row r="24657">
      <c r="C24657" s="15"/>
      <c r="E24657" s="8"/>
      <c r="G24657" s="8"/>
      <c r="J24657" s="8"/>
    </row>
    <row r="24658">
      <c r="C24658" s="15"/>
      <c r="E24658" s="8"/>
      <c r="G24658" s="8"/>
      <c r="J24658" s="8"/>
    </row>
    <row r="24659">
      <c r="C24659" s="15"/>
      <c r="E24659" s="8"/>
      <c r="G24659" s="8"/>
      <c r="J24659" s="8"/>
    </row>
    <row r="24660">
      <c r="C24660" s="15"/>
      <c r="E24660" s="8"/>
      <c r="G24660" s="8"/>
      <c r="J24660" s="8"/>
    </row>
    <row r="24661">
      <c r="C24661" s="15"/>
      <c r="E24661" s="8"/>
      <c r="G24661" s="8"/>
      <c r="J24661" s="8"/>
    </row>
    <row r="24662">
      <c r="C24662" s="15"/>
      <c r="E24662" s="8"/>
      <c r="G24662" s="8"/>
      <c r="J24662" s="8"/>
    </row>
    <row r="24663">
      <c r="C24663" s="15"/>
      <c r="E24663" s="8"/>
      <c r="G24663" s="8"/>
      <c r="J24663" s="8"/>
    </row>
    <row r="24664">
      <c r="C24664" s="15"/>
      <c r="E24664" s="8"/>
      <c r="G24664" s="8"/>
      <c r="J24664" s="8"/>
    </row>
    <row r="24665">
      <c r="C24665" s="15"/>
      <c r="E24665" s="8"/>
      <c r="G24665" s="8"/>
      <c r="J24665" s="8"/>
    </row>
    <row r="24666">
      <c r="C24666" s="15"/>
      <c r="E24666" s="8"/>
      <c r="G24666" s="8"/>
      <c r="J24666" s="8"/>
    </row>
    <row r="24667">
      <c r="C24667" s="15"/>
      <c r="E24667" s="8"/>
      <c r="G24667" s="8"/>
      <c r="J24667" s="8"/>
    </row>
    <row r="24668">
      <c r="C24668" s="15"/>
      <c r="E24668" s="8"/>
      <c r="G24668" s="8"/>
      <c r="J24668" s="8"/>
    </row>
    <row r="24669">
      <c r="C24669" s="15"/>
      <c r="E24669" s="8"/>
      <c r="G24669" s="8"/>
      <c r="J24669" s="8"/>
    </row>
    <row r="24670">
      <c r="C24670" s="15"/>
      <c r="E24670" s="8"/>
      <c r="G24670" s="8"/>
      <c r="J24670" s="8"/>
    </row>
    <row r="24671">
      <c r="C24671" s="15"/>
      <c r="E24671" s="8"/>
      <c r="G24671" s="8"/>
      <c r="J24671" s="8"/>
    </row>
    <row r="24672">
      <c r="C24672" s="15"/>
      <c r="E24672" s="8"/>
      <c r="G24672" s="8"/>
      <c r="J24672" s="8"/>
    </row>
    <row r="24673">
      <c r="C24673" s="15"/>
      <c r="E24673" s="8"/>
      <c r="G24673" s="8"/>
      <c r="J24673" s="8"/>
    </row>
    <row r="24674">
      <c r="C24674" s="15"/>
      <c r="E24674" s="8"/>
      <c r="G24674" s="8"/>
      <c r="J24674" s="8"/>
    </row>
    <row r="24675">
      <c r="C24675" s="15"/>
      <c r="E24675" s="8"/>
      <c r="G24675" s="8"/>
      <c r="J24675" s="8"/>
    </row>
    <row r="24676">
      <c r="C24676" s="15"/>
      <c r="E24676" s="8"/>
      <c r="G24676" s="8"/>
      <c r="J24676" s="8"/>
    </row>
    <row r="24677">
      <c r="C24677" s="15"/>
      <c r="E24677" s="8"/>
      <c r="G24677" s="8"/>
      <c r="J24677" s="8"/>
    </row>
    <row r="24678">
      <c r="C24678" s="15"/>
      <c r="E24678" s="8"/>
      <c r="G24678" s="8"/>
      <c r="J24678" s="8"/>
    </row>
    <row r="24679">
      <c r="C24679" s="15"/>
      <c r="E24679" s="8"/>
      <c r="G24679" s="8"/>
      <c r="J24679" s="8"/>
    </row>
    <row r="24680">
      <c r="C24680" s="15"/>
      <c r="E24680" s="8"/>
      <c r="G24680" s="8"/>
      <c r="J24680" s="8"/>
    </row>
    <row r="24681">
      <c r="C24681" s="15"/>
      <c r="E24681" s="8"/>
      <c r="G24681" s="8"/>
      <c r="J24681" s="8"/>
    </row>
    <row r="24682">
      <c r="C24682" s="15"/>
      <c r="E24682" s="8"/>
      <c r="G24682" s="8"/>
      <c r="J24682" s="8"/>
    </row>
    <row r="24683">
      <c r="C24683" s="15"/>
      <c r="E24683" s="8"/>
      <c r="G24683" s="8"/>
      <c r="J24683" s="8"/>
    </row>
    <row r="24684">
      <c r="C24684" s="15"/>
      <c r="E24684" s="8"/>
      <c r="G24684" s="8"/>
      <c r="J24684" s="8"/>
    </row>
    <row r="24685">
      <c r="C24685" s="15"/>
      <c r="E24685" s="8"/>
      <c r="G24685" s="8"/>
      <c r="J24685" s="8"/>
    </row>
    <row r="24686">
      <c r="C24686" s="15"/>
      <c r="E24686" s="8"/>
      <c r="G24686" s="8"/>
      <c r="J24686" s="8"/>
    </row>
    <row r="24687">
      <c r="C24687" s="15"/>
      <c r="E24687" s="8"/>
      <c r="G24687" s="8"/>
      <c r="J24687" s="8"/>
    </row>
    <row r="24688">
      <c r="C24688" s="15"/>
      <c r="E24688" s="8"/>
      <c r="G24688" s="8"/>
      <c r="J24688" s="8"/>
    </row>
    <row r="24689">
      <c r="C24689" s="15"/>
      <c r="E24689" s="8"/>
      <c r="G24689" s="8"/>
      <c r="J24689" s="8"/>
    </row>
    <row r="24690">
      <c r="C24690" s="15"/>
      <c r="E24690" s="8"/>
      <c r="G24690" s="8"/>
      <c r="J24690" s="8"/>
    </row>
    <row r="24691">
      <c r="C24691" s="15"/>
      <c r="E24691" s="8"/>
      <c r="G24691" s="8"/>
      <c r="J24691" s="8"/>
    </row>
    <row r="24692">
      <c r="C24692" s="15"/>
      <c r="E24692" s="8"/>
      <c r="G24692" s="8"/>
      <c r="J24692" s="8"/>
    </row>
    <row r="24693">
      <c r="C24693" s="15"/>
      <c r="E24693" s="8"/>
      <c r="G24693" s="8"/>
      <c r="J24693" s="8"/>
    </row>
    <row r="24694">
      <c r="C24694" s="15"/>
      <c r="E24694" s="8"/>
      <c r="G24694" s="8"/>
      <c r="J24694" s="8"/>
    </row>
    <row r="24695">
      <c r="C24695" s="15"/>
      <c r="E24695" s="8"/>
      <c r="G24695" s="8"/>
      <c r="J24695" s="8"/>
    </row>
    <row r="24696">
      <c r="C24696" s="15"/>
      <c r="E24696" s="8"/>
      <c r="G24696" s="8"/>
      <c r="J24696" s="8"/>
    </row>
    <row r="24697">
      <c r="C24697" s="15"/>
      <c r="E24697" s="8"/>
      <c r="G24697" s="8"/>
      <c r="J24697" s="8"/>
    </row>
    <row r="24698">
      <c r="C24698" s="15"/>
      <c r="E24698" s="8"/>
      <c r="G24698" s="8"/>
      <c r="J24698" s="8"/>
    </row>
    <row r="24699">
      <c r="C24699" s="15"/>
      <c r="E24699" s="8"/>
      <c r="G24699" s="8"/>
      <c r="J24699" s="8"/>
    </row>
    <row r="24700">
      <c r="C24700" s="15"/>
      <c r="E24700" s="8"/>
      <c r="G24700" s="8"/>
      <c r="J24700" s="8"/>
    </row>
    <row r="24701">
      <c r="C24701" s="15"/>
      <c r="E24701" s="8"/>
      <c r="G24701" s="8"/>
      <c r="J24701" s="8"/>
    </row>
    <row r="24702">
      <c r="C24702" s="15"/>
      <c r="E24702" s="8"/>
      <c r="G24702" s="8"/>
      <c r="J24702" s="8"/>
    </row>
    <row r="24703">
      <c r="C24703" s="15"/>
      <c r="E24703" s="8"/>
      <c r="G24703" s="8"/>
      <c r="J24703" s="8"/>
    </row>
    <row r="24704">
      <c r="C24704" s="15"/>
      <c r="E24704" s="8"/>
      <c r="G24704" s="8"/>
      <c r="J24704" s="8"/>
    </row>
    <row r="24705">
      <c r="C24705" s="15"/>
      <c r="E24705" s="8"/>
      <c r="G24705" s="8"/>
      <c r="J24705" s="8"/>
    </row>
    <row r="24706">
      <c r="C24706" s="15"/>
      <c r="E24706" s="8"/>
      <c r="G24706" s="8"/>
      <c r="J24706" s="8"/>
    </row>
    <row r="24707">
      <c r="C24707" s="15"/>
      <c r="E24707" s="8"/>
      <c r="G24707" s="8"/>
      <c r="J24707" s="8"/>
    </row>
    <row r="24708">
      <c r="C24708" s="15"/>
      <c r="E24708" s="8"/>
      <c r="G24708" s="8"/>
      <c r="J24708" s="8"/>
    </row>
    <row r="24709">
      <c r="C24709" s="15"/>
      <c r="E24709" s="8"/>
      <c r="G24709" s="8"/>
      <c r="J24709" s="8"/>
    </row>
    <row r="24710">
      <c r="C24710" s="15"/>
      <c r="E24710" s="8"/>
      <c r="G24710" s="8"/>
      <c r="J24710" s="8"/>
    </row>
    <row r="24711">
      <c r="C24711" s="15"/>
      <c r="E24711" s="8"/>
      <c r="G24711" s="8"/>
      <c r="J24711" s="8"/>
    </row>
    <row r="24712">
      <c r="C24712" s="15"/>
      <c r="E24712" s="8"/>
      <c r="G24712" s="8"/>
      <c r="J24712" s="8"/>
    </row>
    <row r="24713">
      <c r="C24713" s="15"/>
      <c r="E24713" s="8"/>
      <c r="G24713" s="8"/>
      <c r="J24713" s="8"/>
    </row>
    <row r="24714">
      <c r="C24714" s="15"/>
      <c r="E24714" s="8"/>
      <c r="G24714" s="8"/>
      <c r="J24714" s="8"/>
    </row>
    <row r="24715">
      <c r="C24715" s="15"/>
      <c r="E24715" s="8"/>
      <c r="G24715" s="8"/>
      <c r="J24715" s="8"/>
    </row>
    <row r="24716">
      <c r="C24716" s="15"/>
      <c r="E24716" s="8"/>
      <c r="G24716" s="8"/>
      <c r="J24716" s="8"/>
    </row>
    <row r="24717">
      <c r="C24717" s="15"/>
      <c r="E24717" s="8"/>
      <c r="G24717" s="8"/>
      <c r="J24717" s="8"/>
    </row>
    <row r="24718">
      <c r="C24718" s="15"/>
      <c r="E24718" s="8"/>
      <c r="G24718" s="8"/>
      <c r="J24718" s="8"/>
    </row>
    <row r="24719">
      <c r="C24719" s="15"/>
      <c r="E24719" s="8"/>
      <c r="G24719" s="8"/>
      <c r="J24719" s="8"/>
    </row>
    <row r="24720">
      <c r="C24720" s="15"/>
      <c r="E24720" s="8"/>
      <c r="G24720" s="8"/>
      <c r="J24720" s="8"/>
    </row>
    <row r="24721">
      <c r="C24721" s="15"/>
      <c r="E24721" s="8"/>
      <c r="G24721" s="8"/>
      <c r="J24721" s="8"/>
    </row>
    <row r="24722">
      <c r="C24722" s="15"/>
      <c r="E24722" s="8"/>
      <c r="G24722" s="8"/>
      <c r="J24722" s="8"/>
    </row>
    <row r="24723">
      <c r="C24723" s="15"/>
      <c r="E24723" s="8"/>
      <c r="G24723" s="8"/>
      <c r="J24723" s="8"/>
    </row>
    <row r="24724">
      <c r="C24724" s="15"/>
      <c r="E24724" s="8"/>
      <c r="G24724" s="8"/>
      <c r="J24724" s="8"/>
    </row>
    <row r="24725">
      <c r="C24725" s="15"/>
      <c r="E24725" s="8"/>
      <c r="G24725" s="8"/>
      <c r="J24725" s="8"/>
    </row>
    <row r="24726">
      <c r="C24726" s="15"/>
      <c r="E24726" s="8"/>
      <c r="G24726" s="8"/>
      <c r="J24726" s="8"/>
    </row>
    <row r="24727">
      <c r="C24727" s="15"/>
      <c r="E24727" s="8"/>
      <c r="G24727" s="8"/>
      <c r="J24727" s="8"/>
    </row>
    <row r="24728">
      <c r="C24728" s="15"/>
      <c r="E24728" s="8"/>
      <c r="G24728" s="8"/>
      <c r="J24728" s="8"/>
    </row>
    <row r="24729">
      <c r="C24729" s="15"/>
      <c r="E24729" s="8"/>
      <c r="G24729" s="8"/>
      <c r="J24729" s="8"/>
    </row>
    <row r="24730">
      <c r="C24730" s="15"/>
      <c r="E24730" s="8"/>
      <c r="G24730" s="8"/>
      <c r="J24730" s="8"/>
    </row>
    <row r="24731">
      <c r="C24731" s="15"/>
      <c r="E24731" s="8"/>
      <c r="G24731" s="8"/>
      <c r="J24731" s="8"/>
    </row>
    <row r="24732">
      <c r="C24732" s="15"/>
      <c r="E24732" s="8"/>
      <c r="G24732" s="8"/>
      <c r="J24732" s="8"/>
    </row>
    <row r="24733">
      <c r="C24733" s="15"/>
      <c r="E24733" s="8"/>
      <c r="G24733" s="8"/>
      <c r="J24733" s="8"/>
    </row>
    <row r="24734">
      <c r="C24734" s="15"/>
      <c r="E24734" s="8"/>
      <c r="G24734" s="8"/>
      <c r="J24734" s="8"/>
    </row>
    <row r="24735">
      <c r="C24735" s="15"/>
      <c r="E24735" s="8"/>
      <c r="G24735" s="8"/>
      <c r="J24735" s="8"/>
    </row>
    <row r="24736">
      <c r="C24736" s="15"/>
      <c r="E24736" s="8"/>
      <c r="G24736" s="8"/>
      <c r="J24736" s="8"/>
    </row>
    <row r="24737">
      <c r="C24737" s="15"/>
      <c r="E24737" s="8"/>
      <c r="G24737" s="8"/>
      <c r="J24737" s="8"/>
    </row>
    <row r="24738">
      <c r="C24738" s="15"/>
      <c r="E24738" s="8"/>
      <c r="G24738" s="8"/>
      <c r="J24738" s="8"/>
    </row>
    <row r="24739">
      <c r="C24739" s="15"/>
      <c r="E24739" s="8"/>
      <c r="G24739" s="8"/>
      <c r="J24739" s="8"/>
    </row>
    <row r="24740">
      <c r="C24740" s="15"/>
      <c r="E24740" s="8"/>
      <c r="G24740" s="8"/>
      <c r="J24740" s="8"/>
    </row>
    <row r="24741">
      <c r="C24741" s="15"/>
      <c r="E24741" s="8"/>
      <c r="G24741" s="8"/>
      <c r="J24741" s="8"/>
    </row>
    <row r="24742">
      <c r="C24742" s="15"/>
      <c r="E24742" s="8"/>
      <c r="G24742" s="8"/>
      <c r="J24742" s="8"/>
    </row>
    <row r="24743">
      <c r="C24743" s="15"/>
      <c r="E24743" s="8"/>
      <c r="G24743" s="8"/>
      <c r="J24743" s="8"/>
    </row>
    <row r="24744">
      <c r="C24744" s="15"/>
      <c r="E24744" s="8"/>
      <c r="G24744" s="8"/>
      <c r="J24744" s="8"/>
    </row>
    <row r="24745">
      <c r="C24745" s="15"/>
      <c r="E24745" s="8"/>
      <c r="G24745" s="8"/>
      <c r="J24745" s="8"/>
    </row>
    <row r="24746">
      <c r="C24746" s="15"/>
      <c r="E24746" s="8"/>
      <c r="G24746" s="8"/>
      <c r="J24746" s="8"/>
    </row>
    <row r="24747">
      <c r="C24747" s="15"/>
      <c r="E24747" s="8"/>
      <c r="G24747" s="8"/>
      <c r="J24747" s="8"/>
    </row>
    <row r="24748">
      <c r="C24748" s="15"/>
      <c r="E24748" s="8"/>
      <c r="G24748" s="8"/>
      <c r="J24748" s="8"/>
    </row>
    <row r="24749">
      <c r="C24749" s="15"/>
      <c r="E24749" s="8"/>
      <c r="G24749" s="8"/>
      <c r="J24749" s="8"/>
    </row>
    <row r="24750">
      <c r="C24750" s="15"/>
      <c r="E24750" s="8"/>
      <c r="G24750" s="8"/>
      <c r="J24750" s="8"/>
    </row>
    <row r="24751">
      <c r="C24751" s="15"/>
      <c r="E24751" s="8"/>
      <c r="G24751" s="8"/>
      <c r="J24751" s="8"/>
    </row>
    <row r="24752">
      <c r="C24752" s="15"/>
      <c r="E24752" s="8"/>
      <c r="G24752" s="8"/>
      <c r="J24752" s="8"/>
    </row>
    <row r="24753">
      <c r="C24753" s="15"/>
      <c r="E24753" s="8"/>
      <c r="G24753" s="8"/>
      <c r="J24753" s="8"/>
    </row>
    <row r="24754">
      <c r="C24754" s="15"/>
      <c r="E24754" s="8"/>
      <c r="G24754" s="8"/>
      <c r="J24754" s="8"/>
    </row>
    <row r="24755">
      <c r="C24755" s="15"/>
      <c r="E24755" s="8"/>
      <c r="G24755" s="8"/>
      <c r="J24755" s="8"/>
    </row>
    <row r="24756">
      <c r="C24756" s="15"/>
      <c r="E24756" s="8"/>
      <c r="G24756" s="8"/>
      <c r="J24756" s="8"/>
    </row>
    <row r="24757">
      <c r="C24757" s="15"/>
      <c r="E24757" s="8"/>
      <c r="G24757" s="8"/>
      <c r="J24757" s="8"/>
    </row>
    <row r="24758">
      <c r="C24758" s="15"/>
      <c r="E24758" s="8"/>
      <c r="G24758" s="8"/>
      <c r="J24758" s="8"/>
    </row>
    <row r="24759">
      <c r="C24759" s="15"/>
      <c r="E24759" s="8"/>
      <c r="G24759" s="8"/>
      <c r="J24759" s="8"/>
    </row>
    <row r="24760">
      <c r="C24760" s="15"/>
      <c r="E24760" s="8"/>
      <c r="G24760" s="8"/>
      <c r="J24760" s="8"/>
    </row>
    <row r="24761">
      <c r="C24761" s="15"/>
      <c r="E24761" s="8"/>
      <c r="G24761" s="8"/>
      <c r="J24761" s="8"/>
    </row>
    <row r="24762">
      <c r="C24762" s="15"/>
      <c r="E24762" s="8"/>
      <c r="G24762" s="8"/>
      <c r="J24762" s="8"/>
    </row>
    <row r="24763">
      <c r="C24763" s="15"/>
      <c r="E24763" s="8"/>
      <c r="G24763" s="8"/>
      <c r="J24763" s="8"/>
    </row>
    <row r="24764">
      <c r="C24764" s="15"/>
      <c r="E24764" s="8"/>
      <c r="G24764" s="8"/>
      <c r="J24764" s="8"/>
    </row>
    <row r="24765">
      <c r="C24765" s="15"/>
      <c r="E24765" s="8"/>
      <c r="G24765" s="8"/>
      <c r="J24765" s="8"/>
    </row>
    <row r="24766">
      <c r="C24766" s="15"/>
      <c r="E24766" s="8"/>
      <c r="G24766" s="8"/>
      <c r="J24766" s="8"/>
    </row>
    <row r="24767">
      <c r="C24767" s="15"/>
      <c r="E24767" s="8"/>
      <c r="G24767" s="8"/>
      <c r="J24767" s="8"/>
    </row>
    <row r="24768">
      <c r="C24768" s="15"/>
      <c r="E24768" s="8"/>
      <c r="G24768" s="8"/>
      <c r="J24768" s="8"/>
    </row>
    <row r="24769">
      <c r="C24769" s="15"/>
      <c r="E24769" s="8"/>
      <c r="G24769" s="8"/>
      <c r="J24769" s="8"/>
    </row>
    <row r="24770">
      <c r="C24770" s="15"/>
      <c r="E24770" s="8"/>
      <c r="G24770" s="8"/>
      <c r="J24770" s="8"/>
    </row>
    <row r="24771">
      <c r="C24771" s="15"/>
      <c r="E24771" s="8"/>
      <c r="G24771" s="8"/>
      <c r="J24771" s="8"/>
    </row>
    <row r="24772">
      <c r="C24772" s="15"/>
      <c r="E24772" s="8"/>
      <c r="G24772" s="8"/>
      <c r="J24772" s="8"/>
    </row>
    <row r="24773">
      <c r="C24773" s="15"/>
      <c r="E24773" s="8"/>
      <c r="G24773" s="8"/>
      <c r="J24773" s="8"/>
    </row>
    <row r="24774">
      <c r="C24774" s="15"/>
      <c r="E24774" s="8"/>
      <c r="G24774" s="8"/>
      <c r="J24774" s="8"/>
    </row>
    <row r="24775">
      <c r="C24775" s="15"/>
      <c r="E24775" s="8"/>
      <c r="G24775" s="8"/>
      <c r="J24775" s="8"/>
    </row>
    <row r="24776">
      <c r="C24776" s="15"/>
      <c r="E24776" s="8"/>
      <c r="G24776" s="8"/>
      <c r="J24776" s="8"/>
    </row>
    <row r="24777">
      <c r="C24777" s="15"/>
      <c r="E24777" s="8"/>
      <c r="G24777" s="8"/>
      <c r="J24777" s="8"/>
    </row>
    <row r="24778">
      <c r="C24778" s="15"/>
      <c r="E24778" s="8"/>
      <c r="G24778" s="8"/>
      <c r="J24778" s="8"/>
    </row>
    <row r="24779">
      <c r="C24779" s="15"/>
      <c r="E24779" s="8"/>
      <c r="G24779" s="8"/>
      <c r="J24779" s="8"/>
    </row>
    <row r="24780">
      <c r="C24780" s="15"/>
      <c r="E24780" s="8"/>
      <c r="G24780" s="8"/>
      <c r="J24780" s="8"/>
    </row>
    <row r="24781">
      <c r="C24781" s="15"/>
      <c r="E24781" s="8"/>
      <c r="G24781" s="8"/>
      <c r="J24781" s="8"/>
    </row>
    <row r="24782">
      <c r="C24782" s="15"/>
      <c r="E24782" s="8"/>
      <c r="G24782" s="8"/>
      <c r="J24782" s="8"/>
    </row>
    <row r="24783">
      <c r="C24783" s="15"/>
      <c r="E24783" s="8"/>
      <c r="G24783" s="8"/>
      <c r="J24783" s="8"/>
    </row>
    <row r="24784">
      <c r="C24784" s="15"/>
      <c r="E24784" s="8"/>
      <c r="G24784" s="8"/>
      <c r="J24784" s="8"/>
    </row>
    <row r="24785">
      <c r="C24785" s="15"/>
      <c r="E24785" s="8"/>
      <c r="G24785" s="8"/>
      <c r="J24785" s="8"/>
    </row>
    <row r="24786">
      <c r="C24786" s="15"/>
      <c r="E24786" s="8"/>
      <c r="G24786" s="8"/>
      <c r="J24786" s="8"/>
    </row>
    <row r="24787">
      <c r="C24787" s="15"/>
      <c r="E24787" s="8"/>
      <c r="G24787" s="8"/>
      <c r="J24787" s="8"/>
    </row>
    <row r="24788">
      <c r="C24788" s="15"/>
      <c r="E24788" s="8"/>
      <c r="G24788" s="8"/>
      <c r="J24788" s="8"/>
    </row>
    <row r="24789">
      <c r="C24789" s="15"/>
      <c r="E24789" s="8"/>
      <c r="G24789" s="8"/>
      <c r="J24789" s="8"/>
    </row>
    <row r="24790">
      <c r="C24790" s="15"/>
      <c r="E24790" s="8"/>
      <c r="G24790" s="8"/>
      <c r="J24790" s="8"/>
    </row>
    <row r="24791">
      <c r="C24791" s="15"/>
      <c r="E24791" s="8"/>
      <c r="G24791" s="8"/>
      <c r="J24791" s="8"/>
    </row>
    <row r="24792">
      <c r="C24792" s="15"/>
      <c r="E24792" s="8"/>
      <c r="G24792" s="8"/>
      <c r="J24792" s="8"/>
    </row>
    <row r="24793">
      <c r="C24793" s="15"/>
      <c r="E24793" s="8"/>
      <c r="G24793" s="8"/>
      <c r="J24793" s="8"/>
    </row>
    <row r="24794">
      <c r="C24794" s="15"/>
      <c r="E24794" s="8"/>
      <c r="G24794" s="8"/>
      <c r="J24794" s="8"/>
    </row>
    <row r="24795">
      <c r="C24795" s="15"/>
      <c r="E24795" s="8"/>
      <c r="G24795" s="8"/>
      <c r="J24795" s="8"/>
    </row>
    <row r="24796">
      <c r="C24796" s="15"/>
      <c r="E24796" s="8"/>
      <c r="G24796" s="8"/>
      <c r="J24796" s="8"/>
    </row>
    <row r="24797">
      <c r="C24797" s="15"/>
      <c r="E24797" s="8"/>
      <c r="G24797" s="8"/>
      <c r="J24797" s="8"/>
    </row>
    <row r="24798">
      <c r="C24798" s="15"/>
      <c r="E24798" s="8"/>
      <c r="G24798" s="8"/>
      <c r="J24798" s="8"/>
    </row>
    <row r="24799">
      <c r="C24799" s="15"/>
      <c r="E24799" s="8"/>
      <c r="G24799" s="8"/>
      <c r="J24799" s="8"/>
    </row>
    <row r="24800">
      <c r="C24800" s="15"/>
      <c r="E24800" s="8"/>
      <c r="G24800" s="8"/>
      <c r="J24800" s="8"/>
    </row>
    <row r="24801">
      <c r="C24801" s="15"/>
      <c r="E24801" s="8"/>
      <c r="G24801" s="8"/>
      <c r="J24801" s="8"/>
    </row>
    <row r="24802">
      <c r="C24802" s="15"/>
      <c r="E24802" s="8"/>
      <c r="G24802" s="8"/>
      <c r="J24802" s="8"/>
    </row>
    <row r="24803">
      <c r="C24803" s="15"/>
      <c r="E24803" s="8"/>
      <c r="G24803" s="8"/>
      <c r="J24803" s="8"/>
    </row>
    <row r="24804">
      <c r="C24804" s="15"/>
      <c r="E24804" s="8"/>
      <c r="G24804" s="8"/>
      <c r="J24804" s="8"/>
    </row>
    <row r="24805">
      <c r="C24805" s="15"/>
      <c r="E24805" s="8"/>
      <c r="G24805" s="8"/>
      <c r="J24805" s="8"/>
    </row>
    <row r="24806">
      <c r="C24806" s="15"/>
      <c r="E24806" s="8"/>
      <c r="G24806" s="8"/>
      <c r="J24806" s="8"/>
    </row>
    <row r="24807">
      <c r="C24807" s="15"/>
      <c r="E24807" s="8"/>
      <c r="G24807" s="8"/>
      <c r="J24807" s="8"/>
    </row>
    <row r="24808">
      <c r="C24808" s="15"/>
      <c r="E24808" s="8"/>
      <c r="G24808" s="8"/>
      <c r="J24808" s="8"/>
    </row>
    <row r="24809">
      <c r="C24809" s="15"/>
      <c r="E24809" s="8"/>
      <c r="G24809" s="8"/>
      <c r="J24809" s="8"/>
    </row>
    <row r="24810">
      <c r="C24810" s="15"/>
      <c r="E24810" s="8"/>
      <c r="G24810" s="8"/>
      <c r="J24810" s="8"/>
    </row>
    <row r="24811">
      <c r="C24811" s="15"/>
      <c r="E24811" s="8"/>
      <c r="G24811" s="8"/>
      <c r="J24811" s="8"/>
    </row>
    <row r="24812">
      <c r="C24812" s="15"/>
      <c r="E24812" s="8"/>
      <c r="G24812" s="8"/>
      <c r="J24812" s="8"/>
    </row>
    <row r="24813">
      <c r="C24813" s="15"/>
      <c r="E24813" s="8"/>
      <c r="G24813" s="8"/>
      <c r="J24813" s="8"/>
    </row>
    <row r="24814">
      <c r="C24814" s="15"/>
      <c r="E24814" s="8"/>
      <c r="G24814" s="8"/>
      <c r="J24814" s="8"/>
    </row>
    <row r="24815">
      <c r="C24815" s="15"/>
      <c r="E24815" s="8"/>
      <c r="G24815" s="8"/>
      <c r="J24815" s="8"/>
    </row>
    <row r="24816">
      <c r="C24816" s="15"/>
      <c r="E24816" s="8"/>
      <c r="G24816" s="8"/>
      <c r="J24816" s="8"/>
    </row>
    <row r="24817">
      <c r="C24817" s="15"/>
      <c r="E24817" s="8"/>
      <c r="G24817" s="8"/>
      <c r="J24817" s="8"/>
    </row>
    <row r="24818">
      <c r="C24818" s="15"/>
      <c r="E24818" s="8"/>
      <c r="G24818" s="8"/>
      <c r="J24818" s="8"/>
    </row>
    <row r="24819">
      <c r="C24819" s="15"/>
      <c r="E24819" s="8"/>
      <c r="G24819" s="8"/>
      <c r="J24819" s="8"/>
    </row>
    <row r="24820">
      <c r="C24820" s="15"/>
      <c r="E24820" s="8"/>
      <c r="G24820" s="8"/>
      <c r="J24820" s="8"/>
    </row>
    <row r="24821">
      <c r="C24821" s="15"/>
      <c r="E24821" s="8"/>
      <c r="G24821" s="8"/>
      <c r="J24821" s="8"/>
    </row>
    <row r="24822">
      <c r="C24822" s="15"/>
      <c r="E24822" s="8"/>
      <c r="G24822" s="8"/>
      <c r="J24822" s="8"/>
    </row>
    <row r="24823">
      <c r="C24823" s="15"/>
      <c r="E24823" s="8"/>
      <c r="G24823" s="8"/>
      <c r="J24823" s="8"/>
    </row>
    <row r="24824">
      <c r="C24824" s="15"/>
      <c r="E24824" s="8"/>
      <c r="G24824" s="8"/>
      <c r="J24824" s="8"/>
    </row>
    <row r="24825">
      <c r="C24825" s="15"/>
      <c r="E24825" s="8"/>
      <c r="G24825" s="8"/>
      <c r="J24825" s="8"/>
    </row>
    <row r="24826">
      <c r="C24826" s="15"/>
      <c r="E24826" s="8"/>
      <c r="G24826" s="8"/>
      <c r="J24826" s="8"/>
    </row>
    <row r="24827">
      <c r="C24827" s="15"/>
      <c r="E24827" s="8"/>
      <c r="G24827" s="8"/>
      <c r="J24827" s="8"/>
    </row>
    <row r="24828">
      <c r="C24828" s="15"/>
      <c r="E24828" s="8"/>
      <c r="G24828" s="8"/>
      <c r="J24828" s="8"/>
    </row>
    <row r="24829">
      <c r="C24829" s="15"/>
      <c r="E24829" s="8"/>
      <c r="G24829" s="8"/>
      <c r="J24829" s="8"/>
    </row>
    <row r="24830">
      <c r="C24830" s="15"/>
      <c r="E24830" s="8"/>
      <c r="G24830" s="8"/>
      <c r="J24830" s="8"/>
    </row>
    <row r="24831">
      <c r="C24831" s="15"/>
      <c r="E24831" s="8"/>
      <c r="G24831" s="8"/>
      <c r="J24831" s="8"/>
    </row>
    <row r="24832">
      <c r="C24832" s="15"/>
      <c r="E24832" s="8"/>
      <c r="G24832" s="8"/>
      <c r="J24832" s="8"/>
    </row>
    <row r="24833">
      <c r="C24833" s="15"/>
      <c r="E24833" s="8"/>
      <c r="G24833" s="8"/>
      <c r="J24833" s="8"/>
    </row>
    <row r="24834">
      <c r="C24834" s="15"/>
      <c r="E24834" s="8"/>
      <c r="G24834" s="8"/>
      <c r="J24834" s="8"/>
    </row>
    <row r="24835">
      <c r="C24835" s="15"/>
      <c r="E24835" s="8"/>
      <c r="G24835" s="8"/>
      <c r="J24835" s="8"/>
    </row>
    <row r="24836">
      <c r="C24836" s="15"/>
      <c r="E24836" s="8"/>
      <c r="G24836" s="8"/>
      <c r="J24836" s="8"/>
    </row>
    <row r="24837">
      <c r="C24837" s="15"/>
      <c r="E24837" s="8"/>
      <c r="G24837" s="8"/>
      <c r="J24837" s="8"/>
    </row>
    <row r="24838">
      <c r="C24838" s="15"/>
      <c r="E24838" s="8"/>
      <c r="G24838" s="8"/>
      <c r="J24838" s="8"/>
    </row>
    <row r="24839">
      <c r="C24839" s="15"/>
      <c r="E24839" s="8"/>
      <c r="G24839" s="8"/>
      <c r="J24839" s="8"/>
    </row>
    <row r="24840">
      <c r="C24840" s="15"/>
      <c r="E24840" s="8"/>
      <c r="G24840" s="8"/>
      <c r="J24840" s="8"/>
    </row>
    <row r="24841">
      <c r="C24841" s="15"/>
      <c r="E24841" s="8"/>
      <c r="G24841" s="8"/>
      <c r="J24841" s="8"/>
    </row>
    <row r="24842">
      <c r="C24842" s="15"/>
      <c r="E24842" s="8"/>
      <c r="G24842" s="8"/>
      <c r="J24842" s="8"/>
    </row>
    <row r="24843">
      <c r="C24843" s="15"/>
      <c r="E24843" s="8"/>
      <c r="G24843" s="8"/>
      <c r="J24843" s="8"/>
    </row>
    <row r="24844">
      <c r="C24844" s="15"/>
      <c r="E24844" s="8"/>
      <c r="G24844" s="8"/>
      <c r="J24844" s="8"/>
    </row>
    <row r="24845">
      <c r="C24845" s="15"/>
      <c r="E24845" s="8"/>
      <c r="G24845" s="8"/>
      <c r="J24845" s="8"/>
    </row>
    <row r="24846">
      <c r="C24846" s="15"/>
      <c r="E24846" s="8"/>
      <c r="G24846" s="8"/>
      <c r="J24846" s="8"/>
    </row>
    <row r="24847">
      <c r="C24847" s="15"/>
      <c r="E24847" s="8"/>
      <c r="G24847" s="8"/>
      <c r="J24847" s="8"/>
    </row>
    <row r="24848">
      <c r="C24848" s="15"/>
      <c r="E24848" s="8"/>
      <c r="G24848" s="8"/>
      <c r="J24848" s="8"/>
    </row>
    <row r="24849">
      <c r="C24849" s="15"/>
      <c r="E24849" s="8"/>
      <c r="G24849" s="8"/>
      <c r="J24849" s="8"/>
    </row>
    <row r="24850">
      <c r="C24850" s="15"/>
      <c r="E24850" s="8"/>
      <c r="G24850" s="8"/>
      <c r="J24850" s="8"/>
    </row>
    <row r="24851">
      <c r="C24851" s="15"/>
      <c r="E24851" s="8"/>
      <c r="G24851" s="8"/>
      <c r="J24851" s="8"/>
    </row>
    <row r="24852">
      <c r="C24852" s="15"/>
      <c r="E24852" s="8"/>
      <c r="G24852" s="8"/>
      <c r="J24852" s="8"/>
    </row>
    <row r="24853">
      <c r="C24853" s="15"/>
      <c r="E24853" s="8"/>
      <c r="G24853" s="8"/>
      <c r="J24853" s="8"/>
    </row>
    <row r="24854">
      <c r="C24854" s="15"/>
      <c r="E24854" s="8"/>
      <c r="G24854" s="8"/>
      <c r="J24854" s="8"/>
    </row>
    <row r="24855">
      <c r="C24855" s="15"/>
      <c r="E24855" s="8"/>
      <c r="G24855" s="8"/>
      <c r="J24855" s="8"/>
    </row>
    <row r="24856">
      <c r="C24856" s="15"/>
      <c r="E24856" s="8"/>
      <c r="G24856" s="8"/>
      <c r="J24856" s="8"/>
    </row>
    <row r="24857">
      <c r="C24857" s="15"/>
      <c r="E24857" s="8"/>
      <c r="G24857" s="8"/>
      <c r="J24857" s="8"/>
    </row>
    <row r="24858">
      <c r="C24858" s="15"/>
      <c r="E24858" s="8"/>
      <c r="G24858" s="8"/>
      <c r="J24858" s="8"/>
    </row>
    <row r="24859">
      <c r="C24859" s="15"/>
      <c r="E24859" s="8"/>
      <c r="G24859" s="8"/>
      <c r="J24859" s="8"/>
    </row>
    <row r="24860">
      <c r="C24860" s="15"/>
      <c r="E24860" s="8"/>
      <c r="G24860" s="8"/>
      <c r="J24860" s="8"/>
    </row>
    <row r="24861">
      <c r="C24861" s="15"/>
      <c r="E24861" s="8"/>
      <c r="G24861" s="8"/>
      <c r="J24861" s="8"/>
    </row>
    <row r="24862">
      <c r="C24862" s="15"/>
      <c r="E24862" s="8"/>
      <c r="G24862" s="8"/>
      <c r="J24862" s="8"/>
    </row>
    <row r="24863">
      <c r="C24863" s="15"/>
      <c r="E24863" s="8"/>
      <c r="G24863" s="8"/>
      <c r="J24863" s="8"/>
    </row>
    <row r="24864">
      <c r="C24864" s="15"/>
      <c r="E24864" s="8"/>
      <c r="G24864" s="8"/>
      <c r="J24864" s="8"/>
    </row>
    <row r="24865">
      <c r="C24865" s="15"/>
      <c r="E24865" s="8"/>
      <c r="G24865" s="8"/>
      <c r="J24865" s="8"/>
    </row>
    <row r="24866">
      <c r="C24866" s="15"/>
      <c r="E24866" s="8"/>
      <c r="G24866" s="8"/>
      <c r="J24866" s="8"/>
    </row>
    <row r="24867">
      <c r="C24867" s="15"/>
      <c r="E24867" s="8"/>
      <c r="G24867" s="8"/>
      <c r="J24867" s="8"/>
    </row>
    <row r="24868">
      <c r="C24868" s="15"/>
      <c r="E24868" s="8"/>
      <c r="G24868" s="8"/>
      <c r="J24868" s="8"/>
    </row>
    <row r="24869">
      <c r="C24869" s="15"/>
      <c r="E24869" s="8"/>
      <c r="G24869" s="8"/>
      <c r="J24869" s="8"/>
    </row>
    <row r="24870">
      <c r="C24870" s="15"/>
      <c r="E24870" s="8"/>
      <c r="G24870" s="8"/>
      <c r="J24870" s="8"/>
    </row>
    <row r="24871">
      <c r="C24871" s="15"/>
      <c r="E24871" s="8"/>
      <c r="G24871" s="8"/>
      <c r="J24871" s="8"/>
    </row>
    <row r="24872">
      <c r="C24872" s="15"/>
      <c r="E24872" s="8"/>
      <c r="G24872" s="8"/>
      <c r="J24872" s="8"/>
    </row>
    <row r="24873">
      <c r="C24873" s="15"/>
      <c r="E24873" s="8"/>
      <c r="G24873" s="8"/>
      <c r="J24873" s="8"/>
    </row>
    <row r="24874">
      <c r="C24874" s="15"/>
      <c r="E24874" s="8"/>
      <c r="G24874" s="8"/>
      <c r="J24874" s="8"/>
    </row>
    <row r="24875">
      <c r="C24875" s="15"/>
      <c r="E24875" s="8"/>
      <c r="G24875" s="8"/>
      <c r="J24875" s="8"/>
    </row>
    <row r="24876">
      <c r="C24876" s="15"/>
      <c r="E24876" s="8"/>
      <c r="G24876" s="8"/>
      <c r="J24876" s="8"/>
    </row>
    <row r="24877">
      <c r="C24877" s="15"/>
      <c r="E24877" s="8"/>
      <c r="G24877" s="8"/>
      <c r="J24877" s="8"/>
    </row>
    <row r="24878">
      <c r="C24878" s="15"/>
      <c r="E24878" s="8"/>
      <c r="G24878" s="8"/>
      <c r="J24878" s="8"/>
    </row>
    <row r="24879">
      <c r="C24879" s="15"/>
      <c r="E24879" s="8"/>
      <c r="G24879" s="8"/>
      <c r="J24879" s="8"/>
    </row>
    <row r="24880">
      <c r="C24880" s="15"/>
      <c r="E24880" s="8"/>
      <c r="G24880" s="8"/>
      <c r="J24880" s="8"/>
    </row>
    <row r="24881">
      <c r="C24881" s="15"/>
      <c r="E24881" s="8"/>
      <c r="G24881" s="8"/>
      <c r="J24881" s="8"/>
    </row>
    <row r="24882">
      <c r="C24882" s="15"/>
      <c r="E24882" s="8"/>
      <c r="G24882" s="8"/>
      <c r="J24882" s="8"/>
    </row>
    <row r="24883">
      <c r="C24883" s="15"/>
      <c r="E24883" s="8"/>
      <c r="G24883" s="8"/>
      <c r="J24883" s="8"/>
    </row>
    <row r="24884">
      <c r="C24884" s="15"/>
      <c r="E24884" s="8"/>
      <c r="G24884" s="8"/>
      <c r="J24884" s="8"/>
    </row>
    <row r="24885">
      <c r="C24885" s="15"/>
      <c r="E24885" s="8"/>
      <c r="G24885" s="8"/>
      <c r="J24885" s="8"/>
    </row>
    <row r="24886">
      <c r="C24886" s="15"/>
      <c r="E24886" s="8"/>
      <c r="G24886" s="8"/>
      <c r="J24886" s="8"/>
    </row>
    <row r="24887">
      <c r="C24887" s="15"/>
      <c r="E24887" s="8"/>
      <c r="G24887" s="8"/>
      <c r="J24887" s="8"/>
    </row>
    <row r="24888">
      <c r="C24888" s="15"/>
      <c r="E24888" s="8"/>
      <c r="G24888" s="8"/>
      <c r="J24888" s="8"/>
    </row>
    <row r="24889">
      <c r="C24889" s="15"/>
      <c r="E24889" s="8"/>
      <c r="G24889" s="8"/>
      <c r="J24889" s="8"/>
    </row>
    <row r="24890">
      <c r="C24890" s="15"/>
      <c r="E24890" s="8"/>
      <c r="G24890" s="8"/>
      <c r="J24890" s="8"/>
    </row>
    <row r="24891">
      <c r="C24891" s="15"/>
      <c r="E24891" s="8"/>
      <c r="G24891" s="8"/>
      <c r="J24891" s="8"/>
    </row>
    <row r="24892">
      <c r="C24892" s="15"/>
      <c r="E24892" s="8"/>
      <c r="G24892" s="8"/>
      <c r="J24892" s="8"/>
    </row>
    <row r="24893">
      <c r="C24893" s="15"/>
      <c r="E24893" s="8"/>
      <c r="G24893" s="8"/>
      <c r="J24893" s="8"/>
    </row>
    <row r="24894">
      <c r="C24894" s="15"/>
      <c r="E24894" s="8"/>
      <c r="G24894" s="8"/>
      <c r="J24894" s="8"/>
    </row>
    <row r="24895">
      <c r="C24895" s="15"/>
      <c r="E24895" s="8"/>
      <c r="G24895" s="8"/>
      <c r="J24895" s="8"/>
    </row>
    <row r="24896">
      <c r="C24896" s="15"/>
      <c r="E24896" s="8"/>
      <c r="G24896" s="8"/>
      <c r="J24896" s="8"/>
    </row>
    <row r="24897">
      <c r="C24897" s="15"/>
      <c r="E24897" s="8"/>
      <c r="G24897" s="8"/>
      <c r="J24897" s="8"/>
    </row>
    <row r="24898">
      <c r="C24898" s="15"/>
      <c r="E24898" s="8"/>
      <c r="G24898" s="8"/>
      <c r="J24898" s="8"/>
    </row>
    <row r="24899">
      <c r="C24899" s="15"/>
      <c r="E24899" s="8"/>
      <c r="G24899" s="8"/>
      <c r="J24899" s="8"/>
    </row>
    <row r="24900">
      <c r="C24900" s="15"/>
      <c r="E24900" s="8"/>
      <c r="G24900" s="8"/>
      <c r="J24900" s="8"/>
    </row>
    <row r="24901">
      <c r="C24901" s="15"/>
      <c r="E24901" s="8"/>
      <c r="G24901" s="8"/>
      <c r="J24901" s="8"/>
    </row>
    <row r="24902">
      <c r="C24902" s="15"/>
      <c r="E24902" s="8"/>
      <c r="G24902" s="8"/>
      <c r="J24902" s="8"/>
    </row>
    <row r="24903">
      <c r="C24903" s="15"/>
      <c r="E24903" s="8"/>
      <c r="G24903" s="8"/>
      <c r="J24903" s="8"/>
    </row>
    <row r="24904">
      <c r="C24904" s="15"/>
      <c r="E24904" s="8"/>
      <c r="G24904" s="8"/>
      <c r="J24904" s="8"/>
    </row>
    <row r="24905">
      <c r="C24905" s="15"/>
      <c r="E24905" s="8"/>
      <c r="G24905" s="8"/>
      <c r="J24905" s="8"/>
    </row>
    <row r="24906">
      <c r="C24906" s="15"/>
      <c r="E24906" s="8"/>
      <c r="G24906" s="8"/>
      <c r="J24906" s="8"/>
    </row>
    <row r="24907">
      <c r="C24907" s="15"/>
      <c r="E24907" s="8"/>
      <c r="G24907" s="8"/>
      <c r="J24907" s="8"/>
    </row>
    <row r="24908">
      <c r="C24908" s="15"/>
      <c r="E24908" s="8"/>
      <c r="G24908" s="8"/>
      <c r="J24908" s="8"/>
    </row>
    <row r="24909">
      <c r="C24909" s="15"/>
      <c r="E24909" s="8"/>
      <c r="G24909" s="8"/>
      <c r="J24909" s="8"/>
    </row>
    <row r="24910">
      <c r="C24910" s="15"/>
      <c r="E24910" s="8"/>
      <c r="G24910" s="8"/>
      <c r="J24910" s="8"/>
    </row>
    <row r="24911">
      <c r="C24911" s="15"/>
      <c r="E24911" s="8"/>
      <c r="G24911" s="8"/>
      <c r="J24911" s="8"/>
    </row>
    <row r="24912">
      <c r="C24912" s="15"/>
      <c r="E24912" s="8"/>
      <c r="G24912" s="8"/>
      <c r="J24912" s="8"/>
    </row>
    <row r="24913">
      <c r="C24913" s="15"/>
      <c r="E24913" s="8"/>
      <c r="G24913" s="8"/>
      <c r="J24913" s="8"/>
    </row>
    <row r="24914">
      <c r="C24914" s="15"/>
      <c r="E24914" s="8"/>
      <c r="G24914" s="8"/>
      <c r="J24914" s="8"/>
    </row>
    <row r="24915">
      <c r="C24915" s="15"/>
      <c r="E24915" s="8"/>
      <c r="G24915" s="8"/>
      <c r="J24915" s="8"/>
    </row>
    <row r="24916">
      <c r="C24916" s="15"/>
      <c r="E24916" s="8"/>
      <c r="G24916" s="8"/>
      <c r="J24916" s="8"/>
    </row>
    <row r="24917">
      <c r="C24917" s="15"/>
      <c r="E24917" s="8"/>
      <c r="G24917" s="8"/>
      <c r="J24917" s="8"/>
    </row>
    <row r="24918">
      <c r="C24918" s="15"/>
      <c r="E24918" s="8"/>
      <c r="G24918" s="8"/>
      <c r="J24918" s="8"/>
    </row>
    <row r="24919">
      <c r="C24919" s="15"/>
      <c r="E24919" s="8"/>
      <c r="G24919" s="8"/>
      <c r="J24919" s="8"/>
    </row>
    <row r="24920">
      <c r="C24920" s="15"/>
      <c r="E24920" s="8"/>
      <c r="G24920" s="8"/>
      <c r="J24920" s="8"/>
    </row>
    <row r="24921">
      <c r="C24921" s="15"/>
      <c r="E24921" s="8"/>
      <c r="G24921" s="8"/>
      <c r="J24921" s="8"/>
    </row>
    <row r="24922">
      <c r="C24922" s="15"/>
      <c r="E24922" s="8"/>
      <c r="G24922" s="8"/>
      <c r="J24922" s="8"/>
    </row>
    <row r="24923">
      <c r="C24923" s="15"/>
      <c r="E24923" s="8"/>
      <c r="G24923" s="8"/>
      <c r="J24923" s="8"/>
    </row>
    <row r="24924">
      <c r="C24924" s="15"/>
      <c r="E24924" s="8"/>
      <c r="G24924" s="8"/>
      <c r="J24924" s="8"/>
    </row>
    <row r="24925">
      <c r="C24925" s="15"/>
      <c r="E24925" s="8"/>
      <c r="G24925" s="8"/>
      <c r="J24925" s="8"/>
    </row>
    <row r="24926">
      <c r="C24926" s="15"/>
      <c r="E24926" s="8"/>
      <c r="G24926" s="8"/>
      <c r="J24926" s="8"/>
    </row>
    <row r="24927">
      <c r="C24927" s="15"/>
      <c r="E24927" s="8"/>
      <c r="G24927" s="8"/>
      <c r="J24927" s="8"/>
    </row>
    <row r="24928">
      <c r="C24928" s="15"/>
      <c r="E24928" s="8"/>
      <c r="G24928" s="8"/>
      <c r="J24928" s="8"/>
    </row>
    <row r="24929">
      <c r="C24929" s="15"/>
      <c r="E24929" s="8"/>
      <c r="G24929" s="8"/>
      <c r="J24929" s="8"/>
    </row>
    <row r="24930">
      <c r="C24930" s="15"/>
      <c r="E24930" s="8"/>
      <c r="G24930" s="8"/>
      <c r="J24930" s="8"/>
    </row>
    <row r="24931">
      <c r="C24931" s="15"/>
      <c r="E24931" s="8"/>
      <c r="G24931" s="8"/>
      <c r="J24931" s="8"/>
    </row>
    <row r="24932">
      <c r="C24932" s="15"/>
      <c r="E24932" s="8"/>
      <c r="G24932" s="8"/>
      <c r="J24932" s="8"/>
    </row>
    <row r="24933">
      <c r="C24933" s="15"/>
      <c r="E24933" s="8"/>
      <c r="G24933" s="8"/>
      <c r="J24933" s="8"/>
    </row>
    <row r="24934">
      <c r="C24934" s="15"/>
      <c r="E24934" s="8"/>
      <c r="G24934" s="8"/>
      <c r="J24934" s="8"/>
    </row>
    <row r="24935">
      <c r="C24935" s="15"/>
      <c r="E24935" s="8"/>
      <c r="G24935" s="8"/>
      <c r="J24935" s="8"/>
    </row>
    <row r="24936">
      <c r="C24936" s="15"/>
      <c r="E24936" s="8"/>
      <c r="G24936" s="8"/>
      <c r="J24936" s="8"/>
    </row>
    <row r="24937">
      <c r="C24937" s="15"/>
      <c r="E24937" s="8"/>
      <c r="G24937" s="8"/>
      <c r="J24937" s="8"/>
    </row>
    <row r="24938">
      <c r="C24938" s="15"/>
      <c r="E24938" s="8"/>
      <c r="G24938" s="8"/>
      <c r="J24938" s="8"/>
    </row>
    <row r="24939">
      <c r="C24939" s="15"/>
      <c r="E24939" s="8"/>
      <c r="G24939" s="8"/>
      <c r="J24939" s="8"/>
    </row>
    <row r="24940">
      <c r="C24940" s="15"/>
      <c r="E24940" s="8"/>
      <c r="G24940" s="8"/>
      <c r="J24940" s="8"/>
    </row>
    <row r="24941">
      <c r="C24941" s="15"/>
      <c r="E24941" s="8"/>
      <c r="G24941" s="8"/>
      <c r="J24941" s="8"/>
    </row>
    <row r="24942">
      <c r="C24942" s="15"/>
      <c r="E24942" s="8"/>
      <c r="G24942" s="8"/>
      <c r="J24942" s="8"/>
    </row>
    <row r="24943">
      <c r="C24943" s="15"/>
      <c r="E24943" s="8"/>
      <c r="G24943" s="8"/>
      <c r="J24943" s="8"/>
    </row>
    <row r="24944">
      <c r="C24944" s="15"/>
      <c r="E24944" s="8"/>
      <c r="G24944" s="8"/>
      <c r="J24944" s="8"/>
    </row>
    <row r="24945">
      <c r="C24945" s="15"/>
      <c r="E24945" s="8"/>
      <c r="G24945" s="8"/>
      <c r="J24945" s="8"/>
    </row>
    <row r="24946">
      <c r="C24946" s="15"/>
      <c r="E24946" s="8"/>
      <c r="G24946" s="8"/>
      <c r="J24946" s="8"/>
    </row>
    <row r="24947">
      <c r="C24947" s="15"/>
      <c r="E24947" s="8"/>
      <c r="G24947" s="8"/>
      <c r="J24947" s="8"/>
    </row>
    <row r="24948">
      <c r="C24948" s="15"/>
      <c r="E24948" s="8"/>
      <c r="G24948" s="8"/>
      <c r="J24948" s="8"/>
    </row>
    <row r="24949">
      <c r="C24949" s="15"/>
      <c r="E24949" s="8"/>
      <c r="G24949" s="8"/>
      <c r="J24949" s="8"/>
    </row>
    <row r="24950">
      <c r="C24950" s="15"/>
      <c r="E24950" s="8"/>
      <c r="G24950" s="8"/>
      <c r="J24950" s="8"/>
    </row>
    <row r="24951">
      <c r="C24951" s="15"/>
      <c r="E24951" s="8"/>
      <c r="G24951" s="8"/>
      <c r="J24951" s="8"/>
    </row>
    <row r="24952">
      <c r="C24952" s="15"/>
      <c r="E24952" s="8"/>
      <c r="G24952" s="8"/>
      <c r="J24952" s="8"/>
    </row>
    <row r="24953">
      <c r="C24953" s="15"/>
      <c r="E24953" s="8"/>
      <c r="G24953" s="8"/>
      <c r="J24953" s="8"/>
    </row>
    <row r="24954">
      <c r="C24954" s="15"/>
      <c r="E24954" s="8"/>
      <c r="G24954" s="8"/>
      <c r="J24954" s="8"/>
    </row>
    <row r="24955">
      <c r="C24955" s="15"/>
      <c r="E24955" s="8"/>
      <c r="G24955" s="8"/>
      <c r="J24955" s="8"/>
    </row>
    <row r="24956">
      <c r="C24956" s="15"/>
      <c r="E24956" s="8"/>
      <c r="G24956" s="8"/>
      <c r="J24956" s="8"/>
    </row>
    <row r="24957">
      <c r="C24957" s="15"/>
      <c r="E24957" s="8"/>
      <c r="G24957" s="8"/>
      <c r="J24957" s="8"/>
    </row>
    <row r="24958">
      <c r="C24958" s="15"/>
      <c r="E24958" s="8"/>
      <c r="G24958" s="8"/>
      <c r="J24958" s="8"/>
    </row>
    <row r="24959">
      <c r="C24959" s="15"/>
      <c r="E24959" s="8"/>
      <c r="G24959" s="8"/>
      <c r="J24959" s="8"/>
    </row>
    <row r="24960">
      <c r="C24960" s="15"/>
      <c r="E24960" s="8"/>
      <c r="G24960" s="8"/>
      <c r="J24960" s="8"/>
    </row>
    <row r="24961">
      <c r="C24961" s="15"/>
      <c r="E24961" s="8"/>
      <c r="G24961" s="8"/>
      <c r="J24961" s="8"/>
    </row>
    <row r="24962">
      <c r="C24962" s="15"/>
      <c r="E24962" s="8"/>
      <c r="G24962" s="8"/>
      <c r="J24962" s="8"/>
    </row>
    <row r="24963">
      <c r="C24963" s="15"/>
      <c r="E24963" s="8"/>
      <c r="G24963" s="8"/>
      <c r="J24963" s="8"/>
    </row>
    <row r="24964">
      <c r="C24964" s="15"/>
      <c r="E24964" s="8"/>
      <c r="G24964" s="8"/>
      <c r="J24964" s="8"/>
    </row>
    <row r="24965">
      <c r="C24965" s="15"/>
      <c r="E24965" s="8"/>
      <c r="G24965" s="8"/>
      <c r="J24965" s="8"/>
    </row>
    <row r="24966">
      <c r="C24966" s="15"/>
      <c r="E24966" s="8"/>
      <c r="G24966" s="8"/>
      <c r="J24966" s="8"/>
    </row>
    <row r="24967">
      <c r="C24967" s="15"/>
      <c r="E24967" s="8"/>
      <c r="G24967" s="8"/>
      <c r="J24967" s="8"/>
    </row>
    <row r="24968">
      <c r="C24968" s="15"/>
      <c r="E24968" s="8"/>
      <c r="G24968" s="8"/>
      <c r="J24968" s="8"/>
    </row>
    <row r="24969">
      <c r="C24969" s="15"/>
      <c r="E24969" s="8"/>
      <c r="G24969" s="8"/>
      <c r="J24969" s="8"/>
    </row>
    <row r="24970">
      <c r="C24970" s="15"/>
      <c r="E24970" s="8"/>
      <c r="G24970" s="8"/>
      <c r="J24970" s="8"/>
    </row>
    <row r="24971">
      <c r="C24971" s="15"/>
      <c r="E24971" s="8"/>
      <c r="G24971" s="8"/>
      <c r="J24971" s="8"/>
    </row>
    <row r="24972">
      <c r="C24972" s="15"/>
      <c r="E24972" s="8"/>
      <c r="G24972" s="8"/>
      <c r="J24972" s="8"/>
    </row>
    <row r="24973">
      <c r="C24973" s="15"/>
      <c r="E24973" s="8"/>
      <c r="G24973" s="8"/>
      <c r="J24973" s="8"/>
    </row>
    <row r="24974">
      <c r="C24974" s="15"/>
      <c r="E24974" s="8"/>
      <c r="G24974" s="8"/>
      <c r="J24974" s="8"/>
    </row>
    <row r="24975">
      <c r="C24975" s="15"/>
      <c r="E24975" s="8"/>
      <c r="G24975" s="8"/>
      <c r="J24975" s="8"/>
    </row>
    <row r="24976">
      <c r="C24976" s="15"/>
      <c r="E24976" s="8"/>
      <c r="G24976" s="8"/>
      <c r="J24976" s="8"/>
    </row>
    <row r="24977">
      <c r="C24977" s="15"/>
      <c r="E24977" s="8"/>
      <c r="G24977" s="8"/>
      <c r="J24977" s="8"/>
    </row>
    <row r="24978">
      <c r="C24978" s="15"/>
      <c r="E24978" s="8"/>
      <c r="G24978" s="8"/>
      <c r="J24978" s="8"/>
    </row>
    <row r="24979">
      <c r="C24979" s="15"/>
      <c r="E24979" s="8"/>
      <c r="G24979" s="8"/>
      <c r="J24979" s="8"/>
    </row>
    <row r="24980">
      <c r="C24980" s="15"/>
      <c r="E24980" s="8"/>
      <c r="G24980" s="8"/>
      <c r="J24980" s="8"/>
    </row>
    <row r="24981">
      <c r="C24981" s="15"/>
      <c r="E24981" s="8"/>
      <c r="G24981" s="8"/>
      <c r="J24981" s="8"/>
    </row>
    <row r="24982">
      <c r="C24982" s="15"/>
      <c r="E24982" s="8"/>
      <c r="G24982" s="8"/>
      <c r="J24982" s="8"/>
    </row>
    <row r="24983">
      <c r="C24983" s="15"/>
      <c r="E24983" s="8"/>
      <c r="G24983" s="8"/>
      <c r="J24983" s="8"/>
    </row>
    <row r="24984">
      <c r="C24984" s="15"/>
      <c r="E24984" s="8"/>
      <c r="G24984" s="8"/>
      <c r="J24984" s="8"/>
    </row>
    <row r="24985">
      <c r="C24985" s="15"/>
      <c r="E24985" s="8"/>
      <c r="G24985" s="8"/>
      <c r="J24985" s="8"/>
    </row>
    <row r="24986">
      <c r="C24986" s="15"/>
      <c r="E24986" s="8"/>
      <c r="G24986" s="8"/>
      <c r="J24986" s="8"/>
    </row>
    <row r="24987">
      <c r="C24987" s="15"/>
      <c r="E24987" s="8"/>
      <c r="G24987" s="8"/>
      <c r="J24987" s="8"/>
    </row>
    <row r="24988">
      <c r="C24988" s="15"/>
      <c r="E24988" s="8"/>
      <c r="G24988" s="8"/>
      <c r="J24988" s="8"/>
    </row>
    <row r="24989">
      <c r="C24989" s="15"/>
      <c r="E24989" s="8"/>
      <c r="G24989" s="8"/>
      <c r="J24989" s="8"/>
    </row>
    <row r="24990">
      <c r="C24990" s="15"/>
      <c r="E24990" s="8"/>
      <c r="G24990" s="8"/>
      <c r="J24990" s="8"/>
    </row>
    <row r="24991">
      <c r="C24991" s="15"/>
      <c r="E24991" s="8"/>
      <c r="G24991" s="8"/>
      <c r="J24991" s="8"/>
    </row>
    <row r="24992">
      <c r="C24992" s="15"/>
      <c r="E24992" s="8"/>
      <c r="G24992" s="8"/>
      <c r="J24992" s="8"/>
    </row>
    <row r="24993">
      <c r="C24993" s="15"/>
      <c r="E24993" s="8"/>
      <c r="G24993" s="8"/>
      <c r="J24993" s="8"/>
    </row>
    <row r="24994">
      <c r="C24994" s="15"/>
      <c r="E24994" s="8"/>
      <c r="G24994" s="8"/>
      <c r="J24994" s="8"/>
    </row>
    <row r="24995">
      <c r="C24995" s="15"/>
      <c r="E24995" s="8"/>
      <c r="G24995" s="8"/>
      <c r="J24995" s="8"/>
    </row>
    <row r="24996">
      <c r="C24996" s="15"/>
      <c r="E24996" s="8"/>
      <c r="G24996" s="8"/>
      <c r="J24996" s="8"/>
    </row>
    <row r="24997">
      <c r="C24997" s="15"/>
      <c r="E24997" s="8"/>
      <c r="G24997" s="8"/>
      <c r="J24997" s="8"/>
    </row>
    <row r="24998">
      <c r="C24998" s="15"/>
      <c r="E24998" s="8"/>
      <c r="G24998" s="8"/>
      <c r="J24998" s="8"/>
    </row>
    <row r="24999">
      <c r="C24999" s="15"/>
      <c r="E24999" s="8"/>
      <c r="G24999" s="8"/>
      <c r="J24999" s="8"/>
    </row>
    <row r="25000">
      <c r="C25000" s="15"/>
      <c r="E25000" s="8"/>
      <c r="G25000" s="8"/>
      <c r="J25000" s="8"/>
    </row>
    <row r="25001">
      <c r="C25001" s="15"/>
      <c r="E25001" s="8"/>
      <c r="G25001" s="8"/>
      <c r="J25001" s="8"/>
    </row>
    <row r="25002">
      <c r="C25002" s="15"/>
      <c r="E25002" s="8"/>
      <c r="G25002" s="8"/>
      <c r="J25002" s="8"/>
    </row>
    <row r="25003">
      <c r="C25003" s="15"/>
      <c r="E25003" s="8"/>
      <c r="G25003" s="8"/>
      <c r="J25003" s="8"/>
    </row>
    <row r="25004">
      <c r="C25004" s="15"/>
      <c r="E25004" s="8"/>
      <c r="G25004" s="8"/>
      <c r="J25004" s="8"/>
    </row>
    <row r="25005">
      <c r="C25005" s="15"/>
      <c r="E25005" s="8"/>
      <c r="G25005" s="8"/>
      <c r="J25005" s="8"/>
    </row>
    <row r="25006">
      <c r="C25006" s="15"/>
      <c r="E25006" s="8"/>
      <c r="G25006" s="8"/>
      <c r="J25006" s="8"/>
    </row>
    <row r="25007">
      <c r="C25007" s="15"/>
      <c r="E25007" s="8"/>
      <c r="G25007" s="8"/>
      <c r="J25007" s="8"/>
    </row>
    <row r="25008">
      <c r="C25008" s="15"/>
      <c r="E25008" s="8"/>
      <c r="G25008" s="8"/>
      <c r="J25008" s="8"/>
    </row>
    <row r="25009">
      <c r="C25009" s="15"/>
      <c r="E25009" s="8"/>
      <c r="G25009" s="8"/>
      <c r="J25009" s="8"/>
    </row>
    <row r="25010">
      <c r="C25010" s="15"/>
      <c r="E25010" s="8"/>
      <c r="G25010" s="8"/>
      <c r="J25010" s="8"/>
    </row>
    <row r="25011">
      <c r="C25011" s="15"/>
      <c r="E25011" s="8"/>
      <c r="G25011" s="8"/>
      <c r="J25011" s="8"/>
    </row>
    <row r="25012">
      <c r="C25012" s="15"/>
      <c r="E25012" s="8"/>
      <c r="G25012" s="8"/>
      <c r="J25012" s="8"/>
    </row>
    <row r="25013">
      <c r="C25013" s="15"/>
      <c r="E25013" s="8"/>
      <c r="G25013" s="8"/>
      <c r="J25013" s="8"/>
    </row>
    <row r="25014">
      <c r="C25014" s="15"/>
      <c r="E25014" s="8"/>
      <c r="G25014" s="8"/>
      <c r="J25014" s="8"/>
    </row>
    <row r="25015">
      <c r="C25015" s="15"/>
      <c r="E25015" s="8"/>
      <c r="G25015" s="8"/>
      <c r="J25015" s="8"/>
    </row>
    <row r="25016">
      <c r="C25016" s="15"/>
      <c r="E25016" s="8"/>
      <c r="G25016" s="8"/>
      <c r="J25016" s="8"/>
    </row>
    <row r="25017">
      <c r="C25017" s="15"/>
      <c r="E25017" s="8"/>
      <c r="G25017" s="8"/>
      <c r="J25017" s="8"/>
    </row>
    <row r="25018">
      <c r="C25018" s="15"/>
      <c r="E25018" s="8"/>
      <c r="G25018" s="8"/>
      <c r="J25018" s="8"/>
    </row>
    <row r="25019">
      <c r="C25019" s="15"/>
      <c r="E25019" s="8"/>
      <c r="G25019" s="8"/>
      <c r="J25019" s="8"/>
    </row>
    <row r="25020">
      <c r="C25020" s="15"/>
      <c r="E25020" s="8"/>
      <c r="G25020" s="8"/>
      <c r="J25020" s="8"/>
    </row>
    <row r="25021">
      <c r="C25021" s="15"/>
      <c r="E25021" s="8"/>
      <c r="G25021" s="8"/>
      <c r="J25021" s="8"/>
    </row>
    <row r="25022">
      <c r="C25022" s="15"/>
      <c r="E25022" s="8"/>
      <c r="G25022" s="8"/>
      <c r="J25022" s="8"/>
    </row>
    <row r="25023">
      <c r="C25023" s="15"/>
      <c r="E25023" s="8"/>
      <c r="G25023" s="8"/>
      <c r="J25023" s="8"/>
    </row>
    <row r="25024">
      <c r="C25024" s="15"/>
      <c r="E25024" s="8"/>
      <c r="G25024" s="8"/>
      <c r="J25024" s="8"/>
    </row>
    <row r="25025">
      <c r="C25025" s="15"/>
      <c r="E25025" s="8"/>
      <c r="G25025" s="8"/>
      <c r="J25025" s="8"/>
    </row>
    <row r="25026">
      <c r="C25026" s="15"/>
      <c r="E25026" s="8"/>
      <c r="G25026" s="8"/>
      <c r="J25026" s="8"/>
    </row>
    <row r="25027">
      <c r="C25027" s="15"/>
      <c r="E25027" s="8"/>
      <c r="G25027" s="8"/>
      <c r="J25027" s="8"/>
    </row>
    <row r="25028">
      <c r="C25028" s="15"/>
      <c r="E25028" s="8"/>
      <c r="G25028" s="8"/>
      <c r="J25028" s="8"/>
    </row>
    <row r="25029">
      <c r="C25029" s="15"/>
      <c r="E25029" s="8"/>
      <c r="G25029" s="8"/>
      <c r="J25029" s="8"/>
    </row>
    <row r="25030">
      <c r="C25030" s="15"/>
      <c r="E25030" s="8"/>
      <c r="G25030" s="8"/>
      <c r="J25030" s="8"/>
    </row>
    <row r="25031">
      <c r="C25031" s="15"/>
      <c r="E25031" s="8"/>
      <c r="G25031" s="8"/>
      <c r="J25031" s="8"/>
    </row>
    <row r="25032">
      <c r="C25032" s="15"/>
      <c r="E25032" s="8"/>
      <c r="G25032" s="8"/>
      <c r="J25032" s="8"/>
    </row>
    <row r="25033">
      <c r="C25033" s="15"/>
      <c r="E25033" s="8"/>
      <c r="G25033" s="8"/>
      <c r="J25033" s="8"/>
    </row>
    <row r="25034">
      <c r="C25034" s="15"/>
      <c r="E25034" s="8"/>
      <c r="G25034" s="8"/>
      <c r="J25034" s="8"/>
    </row>
    <row r="25035">
      <c r="C25035" s="15"/>
      <c r="E25035" s="8"/>
      <c r="G25035" s="8"/>
      <c r="J25035" s="8"/>
    </row>
    <row r="25036">
      <c r="C25036" s="15"/>
      <c r="E25036" s="8"/>
      <c r="G25036" s="8"/>
      <c r="J25036" s="8"/>
    </row>
    <row r="25037">
      <c r="C25037" s="15"/>
      <c r="E25037" s="8"/>
      <c r="G25037" s="8"/>
      <c r="J25037" s="8"/>
    </row>
    <row r="25038">
      <c r="C25038" s="15"/>
      <c r="E25038" s="8"/>
      <c r="G25038" s="8"/>
      <c r="J25038" s="8"/>
    </row>
    <row r="25039">
      <c r="C25039" s="15"/>
      <c r="E25039" s="8"/>
      <c r="G25039" s="8"/>
      <c r="J25039" s="8"/>
    </row>
    <row r="25040">
      <c r="C25040" s="15"/>
      <c r="E25040" s="8"/>
      <c r="G25040" s="8"/>
      <c r="J25040" s="8"/>
    </row>
    <row r="25041">
      <c r="C25041" s="15"/>
      <c r="E25041" s="8"/>
      <c r="G25041" s="8"/>
      <c r="J25041" s="8"/>
    </row>
    <row r="25042">
      <c r="C25042" s="15"/>
      <c r="E25042" s="8"/>
      <c r="G25042" s="8"/>
      <c r="J25042" s="8"/>
    </row>
    <row r="25043">
      <c r="C25043" s="15"/>
      <c r="E25043" s="8"/>
      <c r="G25043" s="8"/>
      <c r="J25043" s="8"/>
    </row>
    <row r="25044">
      <c r="C25044" s="15"/>
      <c r="E25044" s="8"/>
      <c r="G25044" s="8"/>
      <c r="J25044" s="8"/>
    </row>
    <row r="25045">
      <c r="C25045" s="15"/>
      <c r="E25045" s="8"/>
      <c r="G25045" s="8"/>
      <c r="J25045" s="8"/>
    </row>
    <row r="25046">
      <c r="C25046" s="15"/>
      <c r="E25046" s="8"/>
      <c r="G25046" s="8"/>
      <c r="J25046" s="8"/>
    </row>
    <row r="25047">
      <c r="C25047" s="15"/>
      <c r="E25047" s="8"/>
      <c r="G25047" s="8"/>
      <c r="J25047" s="8"/>
    </row>
    <row r="25048">
      <c r="C25048" s="15"/>
      <c r="E25048" s="8"/>
      <c r="G25048" s="8"/>
      <c r="J25048" s="8"/>
    </row>
    <row r="25049">
      <c r="C25049" s="15"/>
      <c r="E25049" s="8"/>
      <c r="G25049" s="8"/>
      <c r="J25049" s="8"/>
    </row>
    <row r="25050">
      <c r="C25050" s="15"/>
      <c r="E25050" s="8"/>
      <c r="G25050" s="8"/>
      <c r="J25050" s="8"/>
    </row>
    <row r="25051">
      <c r="C25051" s="15"/>
      <c r="E25051" s="8"/>
      <c r="G25051" s="8"/>
      <c r="J25051" s="8"/>
    </row>
    <row r="25052">
      <c r="C25052" s="15"/>
      <c r="E25052" s="8"/>
      <c r="G25052" s="8"/>
      <c r="J25052" s="8"/>
    </row>
    <row r="25053">
      <c r="C25053" s="15"/>
      <c r="E25053" s="8"/>
      <c r="G25053" s="8"/>
      <c r="J25053" s="8"/>
    </row>
    <row r="25054">
      <c r="C25054" s="15"/>
      <c r="E25054" s="8"/>
      <c r="G25054" s="8"/>
      <c r="J25054" s="8"/>
    </row>
    <row r="25055">
      <c r="C25055" s="15"/>
      <c r="E25055" s="8"/>
      <c r="G25055" s="8"/>
      <c r="J25055" s="8"/>
    </row>
    <row r="25056">
      <c r="C25056" s="15"/>
      <c r="E25056" s="8"/>
      <c r="G25056" s="8"/>
      <c r="J25056" s="8"/>
    </row>
    <row r="25057">
      <c r="C25057" s="15"/>
      <c r="E25057" s="8"/>
      <c r="G25057" s="8"/>
      <c r="J25057" s="8"/>
    </row>
    <row r="25058">
      <c r="C25058" s="15"/>
      <c r="E25058" s="8"/>
      <c r="G25058" s="8"/>
      <c r="J25058" s="8"/>
    </row>
    <row r="25059">
      <c r="C25059" s="15"/>
      <c r="E25059" s="8"/>
      <c r="G25059" s="8"/>
      <c r="J25059" s="8"/>
    </row>
    <row r="25060">
      <c r="C25060" s="15"/>
      <c r="E25060" s="8"/>
      <c r="G25060" s="8"/>
      <c r="J25060" s="8"/>
    </row>
    <row r="25061">
      <c r="C25061" s="15"/>
      <c r="E25061" s="8"/>
      <c r="G25061" s="8"/>
      <c r="J25061" s="8"/>
    </row>
    <row r="25062">
      <c r="C25062" s="15"/>
      <c r="E25062" s="8"/>
      <c r="G25062" s="8"/>
      <c r="J25062" s="8"/>
    </row>
    <row r="25063">
      <c r="C25063" s="15"/>
      <c r="E25063" s="8"/>
      <c r="G25063" s="8"/>
      <c r="J25063" s="8"/>
    </row>
    <row r="25064">
      <c r="C25064" s="15"/>
      <c r="E25064" s="8"/>
      <c r="G25064" s="8"/>
      <c r="J25064" s="8"/>
    </row>
    <row r="25065">
      <c r="C25065" s="15"/>
      <c r="E25065" s="8"/>
      <c r="G25065" s="8"/>
      <c r="J25065" s="8"/>
    </row>
    <row r="25066">
      <c r="C25066" s="15"/>
      <c r="E25066" s="8"/>
      <c r="G25066" s="8"/>
      <c r="J25066" s="8"/>
    </row>
    <row r="25067">
      <c r="C25067" s="15"/>
      <c r="E25067" s="8"/>
      <c r="G25067" s="8"/>
      <c r="J25067" s="8"/>
    </row>
    <row r="25068">
      <c r="C25068" s="15"/>
      <c r="E25068" s="8"/>
      <c r="G25068" s="8"/>
      <c r="J25068" s="8"/>
    </row>
    <row r="25069">
      <c r="C25069" s="15"/>
      <c r="E25069" s="8"/>
      <c r="G25069" s="8"/>
      <c r="J25069" s="8"/>
    </row>
    <row r="25070">
      <c r="C25070" s="15"/>
      <c r="E25070" s="8"/>
      <c r="G25070" s="8"/>
      <c r="J25070" s="8"/>
    </row>
    <row r="25071">
      <c r="C25071" s="15"/>
      <c r="E25071" s="8"/>
      <c r="G25071" s="8"/>
      <c r="J25071" s="8"/>
    </row>
    <row r="25072">
      <c r="C25072" s="15"/>
      <c r="E25072" s="8"/>
      <c r="G25072" s="8"/>
      <c r="J25072" s="8"/>
    </row>
    <row r="25073">
      <c r="C25073" s="15"/>
      <c r="E25073" s="8"/>
      <c r="G25073" s="8"/>
      <c r="J25073" s="8"/>
    </row>
    <row r="25074">
      <c r="C25074" s="15"/>
      <c r="E25074" s="8"/>
      <c r="G25074" s="8"/>
      <c r="J25074" s="8"/>
    </row>
    <row r="25075">
      <c r="C25075" s="15"/>
      <c r="E25075" s="8"/>
      <c r="G25075" s="8"/>
      <c r="J25075" s="8"/>
    </row>
    <row r="25076">
      <c r="C25076" s="15"/>
      <c r="E25076" s="8"/>
      <c r="G25076" s="8"/>
      <c r="J25076" s="8"/>
    </row>
    <row r="25077">
      <c r="C25077" s="15"/>
      <c r="E25077" s="8"/>
      <c r="G25077" s="8"/>
      <c r="J25077" s="8"/>
    </row>
    <row r="25078">
      <c r="C25078" s="15"/>
      <c r="E25078" s="8"/>
      <c r="G25078" s="8"/>
      <c r="J25078" s="8"/>
    </row>
    <row r="25079">
      <c r="C25079" s="15"/>
      <c r="E25079" s="8"/>
      <c r="G25079" s="8"/>
      <c r="J25079" s="8"/>
    </row>
    <row r="25080">
      <c r="C25080" s="15"/>
      <c r="E25080" s="8"/>
      <c r="G25080" s="8"/>
      <c r="J25080" s="8"/>
    </row>
    <row r="25081">
      <c r="C25081" s="15"/>
      <c r="E25081" s="8"/>
      <c r="G25081" s="8"/>
      <c r="J25081" s="8"/>
    </row>
    <row r="25082">
      <c r="C25082" s="15"/>
      <c r="E25082" s="8"/>
      <c r="G25082" s="8"/>
      <c r="J25082" s="8"/>
    </row>
    <row r="25083">
      <c r="C25083" s="15"/>
      <c r="E25083" s="8"/>
      <c r="G25083" s="8"/>
      <c r="J25083" s="8"/>
    </row>
    <row r="25084">
      <c r="C25084" s="15"/>
      <c r="E25084" s="8"/>
      <c r="G25084" s="8"/>
      <c r="J25084" s="8"/>
    </row>
    <row r="25085">
      <c r="C25085" s="15"/>
      <c r="E25085" s="8"/>
      <c r="G25085" s="8"/>
      <c r="J25085" s="8"/>
    </row>
    <row r="25086">
      <c r="C25086" s="15"/>
      <c r="E25086" s="8"/>
      <c r="G25086" s="8"/>
      <c r="J25086" s="8"/>
    </row>
    <row r="25087">
      <c r="C25087" s="15"/>
      <c r="E25087" s="8"/>
      <c r="G25087" s="8"/>
      <c r="J25087" s="8"/>
    </row>
    <row r="25088">
      <c r="C25088" s="15"/>
      <c r="E25088" s="8"/>
      <c r="G25088" s="8"/>
      <c r="J25088" s="8"/>
    </row>
    <row r="25089">
      <c r="C25089" s="15"/>
      <c r="E25089" s="8"/>
      <c r="G25089" s="8"/>
      <c r="J25089" s="8"/>
    </row>
    <row r="25090">
      <c r="C25090" s="15"/>
      <c r="E25090" s="8"/>
      <c r="G25090" s="8"/>
      <c r="J25090" s="8"/>
    </row>
    <row r="25091">
      <c r="C25091" s="15"/>
      <c r="E25091" s="8"/>
      <c r="G25091" s="8"/>
      <c r="J25091" s="8"/>
    </row>
    <row r="25092">
      <c r="C25092" s="15"/>
      <c r="E25092" s="8"/>
      <c r="G25092" s="8"/>
      <c r="J25092" s="8"/>
    </row>
    <row r="25093">
      <c r="C25093" s="15"/>
      <c r="E25093" s="8"/>
      <c r="G25093" s="8"/>
      <c r="J25093" s="8"/>
    </row>
    <row r="25094">
      <c r="C25094" s="15"/>
      <c r="E25094" s="8"/>
      <c r="G25094" s="8"/>
      <c r="J25094" s="8"/>
    </row>
    <row r="25095">
      <c r="C25095" s="15"/>
      <c r="E25095" s="8"/>
      <c r="G25095" s="8"/>
      <c r="J25095" s="8"/>
    </row>
    <row r="25096">
      <c r="C25096" s="15"/>
      <c r="E25096" s="8"/>
      <c r="G25096" s="8"/>
      <c r="J25096" s="8"/>
    </row>
    <row r="25097">
      <c r="C25097" s="15"/>
      <c r="E25097" s="8"/>
      <c r="G25097" s="8"/>
      <c r="J25097" s="8"/>
    </row>
    <row r="25098">
      <c r="C25098" s="15"/>
      <c r="E25098" s="8"/>
      <c r="G25098" s="8"/>
      <c r="J25098" s="8"/>
    </row>
    <row r="25099">
      <c r="C25099" s="15"/>
      <c r="E25099" s="8"/>
      <c r="G25099" s="8"/>
      <c r="J25099" s="8"/>
    </row>
    <row r="25100">
      <c r="C25100" s="15"/>
      <c r="E25100" s="8"/>
      <c r="G25100" s="8"/>
      <c r="J25100" s="8"/>
    </row>
    <row r="25101">
      <c r="C25101" s="15"/>
      <c r="E25101" s="8"/>
      <c r="G25101" s="8"/>
      <c r="J25101" s="8"/>
    </row>
    <row r="25102">
      <c r="C25102" s="15"/>
      <c r="E25102" s="8"/>
      <c r="G25102" s="8"/>
      <c r="J25102" s="8"/>
    </row>
    <row r="25103">
      <c r="C25103" s="15"/>
      <c r="E25103" s="8"/>
      <c r="G25103" s="8"/>
      <c r="J25103" s="8"/>
    </row>
    <row r="25104">
      <c r="C25104" s="15"/>
      <c r="E25104" s="8"/>
      <c r="G25104" s="8"/>
      <c r="J25104" s="8"/>
    </row>
    <row r="25105">
      <c r="C25105" s="15"/>
      <c r="E25105" s="8"/>
      <c r="G25105" s="8"/>
      <c r="J25105" s="8"/>
    </row>
    <row r="25106">
      <c r="C25106" s="15"/>
      <c r="E25106" s="8"/>
      <c r="G25106" s="8"/>
      <c r="J25106" s="8"/>
    </row>
    <row r="25107">
      <c r="C25107" s="15"/>
      <c r="E25107" s="8"/>
      <c r="G25107" s="8"/>
      <c r="J25107" s="8"/>
    </row>
    <row r="25108">
      <c r="C25108" s="15"/>
      <c r="E25108" s="8"/>
      <c r="G25108" s="8"/>
      <c r="J25108" s="8"/>
    </row>
    <row r="25109">
      <c r="C25109" s="15"/>
      <c r="E25109" s="8"/>
      <c r="G25109" s="8"/>
      <c r="J25109" s="8"/>
    </row>
    <row r="25110">
      <c r="C25110" s="15"/>
      <c r="E25110" s="8"/>
      <c r="G25110" s="8"/>
      <c r="J25110" s="8"/>
    </row>
    <row r="25111">
      <c r="C25111" s="15"/>
      <c r="E25111" s="8"/>
      <c r="G25111" s="8"/>
      <c r="J25111" s="8"/>
    </row>
    <row r="25112">
      <c r="C25112" s="15"/>
      <c r="E25112" s="8"/>
      <c r="G25112" s="8"/>
      <c r="J25112" s="8"/>
    </row>
    <row r="25113">
      <c r="C25113" s="15"/>
      <c r="E25113" s="8"/>
      <c r="G25113" s="8"/>
      <c r="J25113" s="8"/>
    </row>
    <row r="25114">
      <c r="C25114" s="15"/>
      <c r="E25114" s="8"/>
      <c r="G25114" s="8"/>
      <c r="J25114" s="8"/>
    </row>
    <row r="25115">
      <c r="C25115" s="15"/>
      <c r="E25115" s="8"/>
      <c r="G25115" s="8"/>
      <c r="J25115" s="8"/>
    </row>
    <row r="25116">
      <c r="C25116" s="15"/>
      <c r="E25116" s="8"/>
      <c r="G25116" s="8"/>
      <c r="J25116" s="8"/>
    </row>
    <row r="25117">
      <c r="C25117" s="15"/>
      <c r="E25117" s="8"/>
      <c r="G25117" s="8"/>
      <c r="J25117" s="8"/>
    </row>
    <row r="25118">
      <c r="C25118" s="15"/>
      <c r="E25118" s="8"/>
      <c r="G25118" s="8"/>
      <c r="J25118" s="8"/>
    </row>
    <row r="25119">
      <c r="C25119" s="15"/>
      <c r="E25119" s="8"/>
      <c r="G25119" s="8"/>
      <c r="J25119" s="8"/>
    </row>
    <row r="25120">
      <c r="C25120" s="15"/>
      <c r="E25120" s="8"/>
      <c r="G25120" s="8"/>
      <c r="J25120" s="8"/>
    </row>
    <row r="25121">
      <c r="C25121" s="15"/>
      <c r="E25121" s="8"/>
      <c r="G25121" s="8"/>
      <c r="J25121" s="8"/>
    </row>
    <row r="25122">
      <c r="C25122" s="15"/>
      <c r="E25122" s="8"/>
      <c r="G25122" s="8"/>
      <c r="J25122" s="8"/>
    </row>
    <row r="25123">
      <c r="C25123" s="15"/>
      <c r="E25123" s="8"/>
      <c r="G25123" s="8"/>
      <c r="J25123" s="8"/>
    </row>
    <row r="25124">
      <c r="C25124" s="15"/>
      <c r="E25124" s="8"/>
      <c r="G25124" s="8"/>
      <c r="J25124" s="8"/>
    </row>
    <row r="25125">
      <c r="C25125" s="15"/>
      <c r="E25125" s="8"/>
      <c r="G25125" s="8"/>
      <c r="J25125" s="8"/>
    </row>
    <row r="25126">
      <c r="C25126" s="15"/>
      <c r="E25126" s="8"/>
      <c r="G25126" s="8"/>
      <c r="J25126" s="8"/>
    </row>
    <row r="25127">
      <c r="C25127" s="15"/>
      <c r="E25127" s="8"/>
      <c r="G25127" s="8"/>
      <c r="J25127" s="8"/>
    </row>
    <row r="25128">
      <c r="C25128" s="15"/>
      <c r="E25128" s="8"/>
      <c r="G25128" s="8"/>
      <c r="J25128" s="8"/>
    </row>
    <row r="25129">
      <c r="C25129" s="15"/>
      <c r="E25129" s="8"/>
      <c r="G25129" s="8"/>
      <c r="J25129" s="8"/>
    </row>
    <row r="25130">
      <c r="C25130" s="15"/>
      <c r="E25130" s="8"/>
      <c r="G25130" s="8"/>
      <c r="J25130" s="8"/>
    </row>
    <row r="25131">
      <c r="C25131" s="15"/>
      <c r="E25131" s="8"/>
      <c r="G25131" s="8"/>
      <c r="J25131" s="8"/>
    </row>
    <row r="25132">
      <c r="C25132" s="15"/>
      <c r="E25132" s="8"/>
      <c r="G25132" s="8"/>
      <c r="J25132" s="8"/>
    </row>
    <row r="25133">
      <c r="C25133" s="15"/>
      <c r="E25133" s="8"/>
      <c r="G25133" s="8"/>
      <c r="J25133" s="8"/>
    </row>
    <row r="25134">
      <c r="C25134" s="15"/>
      <c r="E25134" s="8"/>
      <c r="G25134" s="8"/>
      <c r="J25134" s="8"/>
    </row>
    <row r="25135">
      <c r="C25135" s="15"/>
      <c r="E25135" s="8"/>
      <c r="G25135" s="8"/>
      <c r="J25135" s="8"/>
    </row>
    <row r="25136">
      <c r="C25136" s="15"/>
      <c r="E25136" s="8"/>
      <c r="G25136" s="8"/>
      <c r="J25136" s="8"/>
    </row>
    <row r="25137">
      <c r="C25137" s="15"/>
      <c r="E25137" s="8"/>
      <c r="G25137" s="8"/>
      <c r="J25137" s="8"/>
    </row>
    <row r="25138">
      <c r="C25138" s="15"/>
      <c r="E25138" s="8"/>
      <c r="G25138" s="8"/>
      <c r="J25138" s="8"/>
    </row>
    <row r="25139">
      <c r="C25139" s="15"/>
      <c r="E25139" s="8"/>
      <c r="G25139" s="8"/>
      <c r="J25139" s="8"/>
    </row>
    <row r="25140">
      <c r="C25140" s="15"/>
      <c r="E25140" s="8"/>
      <c r="G25140" s="8"/>
      <c r="J25140" s="8"/>
    </row>
    <row r="25141">
      <c r="C25141" s="15"/>
      <c r="E25141" s="8"/>
      <c r="G25141" s="8"/>
      <c r="J25141" s="8"/>
    </row>
    <row r="25142">
      <c r="C25142" s="15"/>
      <c r="E25142" s="8"/>
      <c r="G25142" s="8"/>
      <c r="J25142" s="8"/>
    </row>
    <row r="25143">
      <c r="C25143" s="15"/>
      <c r="E25143" s="8"/>
      <c r="G25143" s="8"/>
      <c r="J25143" s="8"/>
    </row>
    <row r="25144">
      <c r="C25144" s="15"/>
      <c r="E25144" s="8"/>
      <c r="G25144" s="8"/>
      <c r="J25144" s="8"/>
    </row>
    <row r="25145">
      <c r="C25145" s="15"/>
      <c r="E25145" s="8"/>
      <c r="G25145" s="8"/>
      <c r="J25145" s="8"/>
    </row>
    <row r="25146">
      <c r="C25146" s="15"/>
      <c r="E25146" s="8"/>
      <c r="G25146" s="8"/>
      <c r="J25146" s="8"/>
    </row>
    <row r="25147">
      <c r="C25147" s="15"/>
      <c r="E25147" s="8"/>
      <c r="G25147" s="8"/>
      <c r="J25147" s="8"/>
    </row>
    <row r="25148">
      <c r="C25148" s="15"/>
      <c r="E25148" s="8"/>
      <c r="G25148" s="8"/>
      <c r="J25148" s="8"/>
    </row>
    <row r="25149">
      <c r="C25149" s="15"/>
      <c r="E25149" s="8"/>
      <c r="G25149" s="8"/>
      <c r="J25149" s="8"/>
    </row>
    <row r="25150">
      <c r="C25150" s="15"/>
      <c r="E25150" s="8"/>
      <c r="G25150" s="8"/>
      <c r="J25150" s="8"/>
    </row>
    <row r="25151">
      <c r="C25151" s="15"/>
      <c r="E25151" s="8"/>
      <c r="G25151" s="8"/>
      <c r="J25151" s="8"/>
    </row>
    <row r="25152">
      <c r="C25152" s="15"/>
      <c r="E25152" s="8"/>
      <c r="G25152" s="8"/>
      <c r="J25152" s="8"/>
    </row>
    <row r="25153">
      <c r="C25153" s="15"/>
      <c r="E25153" s="8"/>
      <c r="G25153" s="8"/>
      <c r="J25153" s="8"/>
    </row>
    <row r="25154">
      <c r="C25154" s="15"/>
      <c r="E25154" s="8"/>
      <c r="G25154" s="8"/>
      <c r="J25154" s="8"/>
    </row>
    <row r="25155">
      <c r="C25155" s="15"/>
      <c r="E25155" s="8"/>
      <c r="G25155" s="8"/>
      <c r="J25155" s="8"/>
    </row>
    <row r="25156">
      <c r="C25156" s="15"/>
      <c r="E25156" s="8"/>
      <c r="G25156" s="8"/>
      <c r="J25156" s="8"/>
    </row>
    <row r="25157">
      <c r="C25157" s="15"/>
      <c r="E25157" s="8"/>
      <c r="G25157" s="8"/>
      <c r="J25157" s="8"/>
    </row>
    <row r="25158">
      <c r="C25158" s="15"/>
      <c r="E25158" s="8"/>
      <c r="G25158" s="8"/>
      <c r="J25158" s="8"/>
    </row>
    <row r="25159">
      <c r="C25159" s="15"/>
      <c r="E25159" s="8"/>
      <c r="G25159" s="8"/>
      <c r="J25159" s="8"/>
    </row>
    <row r="25160">
      <c r="C25160" s="15"/>
      <c r="E25160" s="8"/>
      <c r="G25160" s="8"/>
      <c r="J25160" s="8"/>
    </row>
    <row r="25161">
      <c r="C25161" s="15"/>
      <c r="E25161" s="8"/>
      <c r="G25161" s="8"/>
      <c r="J25161" s="8"/>
    </row>
    <row r="25162">
      <c r="C25162" s="15"/>
      <c r="E25162" s="8"/>
      <c r="G25162" s="8"/>
      <c r="J25162" s="8"/>
    </row>
    <row r="25163">
      <c r="C25163" s="15"/>
      <c r="E25163" s="8"/>
      <c r="G25163" s="8"/>
      <c r="J25163" s="8"/>
    </row>
    <row r="25164">
      <c r="C25164" s="15"/>
      <c r="E25164" s="8"/>
      <c r="G25164" s="8"/>
      <c r="J25164" s="8"/>
    </row>
    <row r="25165">
      <c r="C25165" s="15"/>
      <c r="E25165" s="8"/>
      <c r="G25165" s="8"/>
      <c r="J25165" s="8"/>
    </row>
    <row r="25166">
      <c r="C25166" s="15"/>
      <c r="E25166" s="8"/>
      <c r="G25166" s="8"/>
      <c r="J25166" s="8"/>
    </row>
    <row r="25167">
      <c r="C25167" s="15"/>
      <c r="E25167" s="8"/>
      <c r="G25167" s="8"/>
      <c r="J25167" s="8"/>
    </row>
    <row r="25168">
      <c r="C25168" s="15"/>
      <c r="E25168" s="8"/>
      <c r="G25168" s="8"/>
      <c r="J25168" s="8"/>
    </row>
    <row r="25169">
      <c r="C25169" s="15"/>
      <c r="E25169" s="8"/>
      <c r="G25169" s="8"/>
      <c r="J25169" s="8"/>
    </row>
    <row r="25170">
      <c r="C25170" s="15"/>
      <c r="E25170" s="8"/>
      <c r="G25170" s="8"/>
      <c r="J25170" s="8"/>
    </row>
    <row r="25171">
      <c r="C25171" s="15"/>
      <c r="E25171" s="8"/>
      <c r="G25171" s="8"/>
      <c r="J25171" s="8"/>
    </row>
    <row r="25172">
      <c r="C25172" s="15"/>
      <c r="E25172" s="8"/>
      <c r="G25172" s="8"/>
      <c r="J25172" s="8"/>
    </row>
    <row r="25173">
      <c r="C25173" s="15"/>
      <c r="E25173" s="8"/>
      <c r="G25173" s="8"/>
      <c r="J25173" s="8"/>
    </row>
    <row r="25174">
      <c r="C25174" s="15"/>
      <c r="E25174" s="8"/>
      <c r="G25174" s="8"/>
      <c r="J25174" s="8"/>
    </row>
    <row r="25175">
      <c r="C25175" s="15"/>
      <c r="E25175" s="8"/>
      <c r="G25175" s="8"/>
      <c r="J25175" s="8"/>
    </row>
    <row r="25176">
      <c r="C25176" s="15"/>
      <c r="E25176" s="8"/>
      <c r="G25176" s="8"/>
      <c r="J25176" s="8"/>
    </row>
    <row r="25177">
      <c r="C25177" s="15"/>
      <c r="E25177" s="8"/>
      <c r="G25177" s="8"/>
      <c r="J25177" s="8"/>
    </row>
    <row r="25178">
      <c r="C25178" s="15"/>
      <c r="E25178" s="8"/>
      <c r="G25178" s="8"/>
      <c r="J25178" s="8"/>
    </row>
    <row r="25179">
      <c r="C25179" s="15"/>
      <c r="E25179" s="8"/>
      <c r="G25179" s="8"/>
      <c r="J25179" s="8"/>
    </row>
    <row r="25180">
      <c r="C25180" s="15"/>
      <c r="E25180" s="8"/>
      <c r="G25180" s="8"/>
      <c r="J25180" s="8"/>
    </row>
    <row r="25181">
      <c r="C25181" s="15"/>
      <c r="E25181" s="8"/>
      <c r="G25181" s="8"/>
      <c r="J25181" s="8"/>
    </row>
    <row r="25182">
      <c r="C25182" s="15"/>
      <c r="E25182" s="8"/>
      <c r="G25182" s="8"/>
      <c r="J25182" s="8"/>
    </row>
    <row r="25183">
      <c r="C25183" s="15"/>
      <c r="E25183" s="8"/>
      <c r="G25183" s="8"/>
      <c r="J25183" s="8"/>
    </row>
    <row r="25184">
      <c r="C25184" s="15"/>
      <c r="E25184" s="8"/>
      <c r="G25184" s="8"/>
      <c r="J25184" s="8"/>
    </row>
    <row r="25185">
      <c r="C25185" s="15"/>
      <c r="E25185" s="8"/>
      <c r="G25185" s="8"/>
      <c r="J25185" s="8"/>
    </row>
    <row r="25186">
      <c r="C25186" s="15"/>
      <c r="E25186" s="8"/>
      <c r="G25186" s="8"/>
      <c r="J25186" s="8"/>
    </row>
    <row r="25187">
      <c r="C25187" s="15"/>
      <c r="E25187" s="8"/>
      <c r="G25187" s="8"/>
      <c r="J25187" s="8"/>
    </row>
    <row r="25188">
      <c r="C25188" s="15"/>
      <c r="E25188" s="8"/>
      <c r="G25188" s="8"/>
      <c r="J25188" s="8"/>
    </row>
    <row r="25189">
      <c r="C25189" s="15"/>
      <c r="E25189" s="8"/>
      <c r="G25189" s="8"/>
      <c r="J25189" s="8"/>
    </row>
    <row r="25190">
      <c r="C25190" s="15"/>
      <c r="E25190" s="8"/>
      <c r="G25190" s="8"/>
      <c r="J25190" s="8"/>
    </row>
    <row r="25191">
      <c r="C25191" s="15"/>
      <c r="E25191" s="8"/>
      <c r="G25191" s="8"/>
      <c r="J25191" s="8"/>
    </row>
    <row r="25192">
      <c r="C25192" s="15"/>
      <c r="E25192" s="8"/>
      <c r="G25192" s="8"/>
      <c r="J25192" s="8"/>
    </row>
    <row r="25193">
      <c r="C25193" s="15"/>
      <c r="E25193" s="8"/>
      <c r="G25193" s="8"/>
      <c r="J25193" s="8"/>
    </row>
    <row r="25194">
      <c r="C25194" s="15"/>
      <c r="E25194" s="8"/>
      <c r="G25194" s="8"/>
      <c r="J25194" s="8"/>
    </row>
    <row r="25195">
      <c r="C25195" s="15"/>
      <c r="E25195" s="8"/>
      <c r="G25195" s="8"/>
      <c r="J25195" s="8"/>
    </row>
    <row r="25196">
      <c r="C25196" s="15"/>
      <c r="E25196" s="8"/>
      <c r="G25196" s="8"/>
      <c r="J25196" s="8"/>
    </row>
    <row r="25197">
      <c r="C25197" s="15"/>
      <c r="E25197" s="8"/>
      <c r="G25197" s="8"/>
      <c r="J25197" s="8"/>
    </row>
    <row r="25198">
      <c r="C25198" s="15"/>
      <c r="E25198" s="8"/>
      <c r="G25198" s="8"/>
      <c r="J25198" s="8"/>
    </row>
    <row r="25199">
      <c r="C25199" s="15"/>
      <c r="E25199" s="8"/>
      <c r="G25199" s="8"/>
      <c r="J25199" s="8"/>
    </row>
    <row r="25200">
      <c r="C25200" s="15"/>
      <c r="E25200" s="8"/>
      <c r="G25200" s="8"/>
      <c r="J25200" s="8"/>
    </row>
    <row r="25201">
      <c r="C25201" s="15"/>
      <c r="E25201" s="8"/>
      <c r="G25201" s="8"/>
      <c r="J25201" s="8"/>
    </row>
    <row r="25202">
      <c r="C25202" s="15"/>
      <c r="E25202" s="8"/>
      <c r="G25202" s="8"/>
      <c r="J25202" s="8"/>
    </row>
    <row r="25203">
      <c r="C25203" s="15"/>
      <c r="E25203" s="8"/>
      <c r="G25203" s="8"/>
      <c r="J25203" s="8"/>
    </row>
    <row r="25204">
      <c r="C25204" s="15"/>
      <c r="E25204" s="8"/>
      <c r="G25204" s="8"/>
      <c r="J25204" s="8"/>
    </row>
    <row r="25205">
      <c r="C25205" s="15"/>
      <c r="E25205" s="8"/>
      <c r="G25205" s="8"/>
      <c r="J25205" s="8"/>
    </row>
    <row r="25206">
      <c r="C25206" s="15"/>
      <c r="E25206" s="8"/>
      <c r="G25206" s="8"/>
      <c r="J25206" s="8"/>
    </row>
    <row r="25207">
      <c r="C25207" s="15"/>
      <c r="E25207" s="8"/>
      <c r="G25207" s="8"/>
      <c r="J25207" s="8"/>
    </row>
    <row r="25208">
      <c r="C25208" s="15"/>
      <c r="E25208" s="8"/>
      <c r="G25208" s="8"/>
      <c r="J25208" s="8"/>
    </row>
    <row r="25209">
      <c r="C25209" s="15"/>
      <c r="E25209" s="8"/>
      <c r="G25209" s="8"/>
      <c r="J25209" s="8"/>
    </row>
    <row r="25210">
      <c r="C25210" s="15"/>
      <c r="E25210" s="8"/>
      <c r="G25210" s="8"/>
      <c r="J25210" s="8"/>
    </row>
    <row r="25211">
      <c r="C25211" s="15"/>
      <c r="E25211" s="8"/>
      <c r="G25211" s="8"/>
      <c r="J25211" s="8"/>
    </row>
    <row r="25212">
      <c r="C25212" s="15"/>
      <c r="E25212" s="8"/>
      <c r="G25212" s="8"/>
      <c r="J25212" s="8"/>
    </row>
    <row r="25213">
      <c r="C25213" s="15"/>
      <c r="E25213" s="8"/>
      <c r="G25213" s="8"/>
      <c r="J25213" s="8"/>
    </row>
    <row r="25214">
      <c r="C25214" s="15"/>
      <c r="E25214" s="8"/>
      <c r="G25214" s="8"/>
      <c r="J25214" s="8"/>
    </row>
    <row r="25215">
      <c r="C25215" s="15"/>
      <c r="E25215" s="8"/>
      <c r="G25215" s="8"/>
      <c r="J25215" s="8"/>
    </row>
    <row r="25216">
      <c r="C25216" s="15"/>
      <c r="E25216" s="8"/>
      <c r="G25216" s="8"/>
      <c r="J25216" s="8"/>
    </row>
    <row r="25217">
      <c r="C25217" s="15"/>
      <c r="E25217" s="8"/>
      <c r="G25217" s="8"/>
      <c r="J25217" s="8"/>
    </row>
    <row r="25218">
      <c r="C25218" s="15"/>
      <c r="E25218" s="8"/>
      <c r="G25218" s="8"/>
      <c r="J25218" s="8"/>
    </row>
    <row r="25219">
      <c r="C25219" s="15"/>
      <c r="E25219" s="8"/>
      <c r="G25219" s="8"/>
      <c r="J25219" s="8"/>
    </row>
    <row r="25220">
      <c r="C25220" s="15"/>
      <c r="E25220" s="8"/>
      <c r="G25220" s="8"/>
      <c r="J25220" s="8"/>
    </row>
    <row r="25221">
      <c r="C25221" s="15"/>
      <c r="E25221" s="8"/>
      <c r="G25221" s="8"/>
      <c r="J25221" s="8"/>
    </row>
    <row r="25222">
      <c r="C25222" s="15"/>
      <c r="E25222" s="8"/>
      <c r="G25222" s="8"/>
      <c r="J25222" s="8"/>
    </row>
    <row r="25223">
      <c r="C25223" s="15"/>
      <c r="E25223" s="8"/>
      <c r="G25223" s="8"/>
      <c r="J25223" s="8"/>
    </row>
    <row r="25224">
      <c r="C25224" s="15"/>
      <c r="E25224" s="8"/>
      <c r="G25224" s="8"/>
      <c r="J25224" s="8"/>
    </row>
    <row r="25225">
      <c r="C25225" s="15"/>
      <c r="E25225" s="8"/>
      <c r="G25225" s="8"/>
      <c r="J25225" s="8"/>
    </row>
    <row r="25226">
      <c r="C25226" s="15"/>
      <c r="E25226" s="8"/>
      <c r="G25226" s="8"/>
      <c r="J25226" s="8"/>
    </row>
    <row r="25227">
      <c r="C25227" s="15"/>
      <c r="E25227" s="8"/>
      <c r="G25227" s="8"/>
      <c r="J25227" s="8"/>
    </row>
    <row r="25228">
      <c r="C25228" s="15"/>
      <c r="E25228" s="8"/>
      <c r="G25228" s="8"/>
      <c r="J25228" s="8"/>
    </row>
    <row r="25229">
      <c r="C25229" s="15"/>
      <c r="E25229" s="8"/>
      <c r="G25229" s="8"/>
      <c r="J25229" s="8"/>
    </row>
    <row r="25230">
      <c r="C25230" s="15"/>
      <c r="E25230" s="8"/>
      <c r="G25230" s="8"/>
      <c r="J25230" s="8"/>
    </row>
    <row r="25231">
      <c r="C25231" s="15"/>
      <c r="E25231" s="8"/>
      <c r="G25231" s="8"/>
      <c r="J25231" s="8"/>
    </row>
    <row r="25232">
      <c r="C25232" s="15"/>
      <c r="E25232" s="8"/>
      <c r="G25232" s="8"/>
      <c r="J25232" s="8"/>
    </row>
    <row r="25233">
      <c r="C25233" s="15"/>
      <c r="E25233" s="8"/>
      <c r="G25233" s="8"/>
      <c r="J25233" s="8"/>
    </row>
    <row r="25234">
      <c r="C25234" s="15"/>
      <c r="E25234" s="8"/>
      <c r="G25234" s="8"/>
      <c r="J25234" s="8"/>
    </row>
    <row r="25235">
      <c r="C25235" s="15"/>
      <c r="E25235" s="8"/>
      <c r="G25235" s="8"/>
      <c r="J25235" s="8"/>
    </row>
    <row r="25236">
      <c r="C25236" s="15"/>
      <c r="E25236" s="8"/>
      <c r="G25236" s="8"/>
      <c r="J25236" s="8"/>
    </row>
    <row r="25237">
      <c r="C25237" s="15"/>
      <c r="E25237" s="8"/>
      <c r="G25237" s="8"/>
      <c r="J25237" s="8"/>
    </row>
    <row r="25238">
      <c r="C25238" s="15"/>
      <c r="E25238" s="8"/>
      <c r="G25238" s="8"/>
      <c r="J25238" s="8"/>
    </row>
    <row r="25239">
      <c r="C25239" s="15"/>
      <c r="E25239" s="8"/>
      <c r="G25239" s="8"/>
      <c r="J25239" s="8"/>
    </row>
    <row r="25240">
      <c r="C25240" s="15"/>
      <c r="E25240" s="8"/>
      <c r="G25240" s="8"/>
      <c r="J25240" s="8"/>
    </row>
    <row r="25241">
      <c r="C25241" s="15"/>
      <c r="E25241" s="8"/>
      <c r="G25241" s="8"/>
      <c r="J25241" s="8"/>
    </row>
    <row r="25242">
      <c r="C25242" s="15"/>
      <c r="E25242" s="8"/>
      <c r="G25242" s="8"/>
      <c r="J25242" s="8"/>
    </row>
    <row r="25243">
      <c r="C25243" s="15"/>
      <c r="E25243" s="8"/>
      <c r="G25243" s="8"/>
      <c r="J25243" s="8"/>
    </row>
    <row r="25244">
      <c r="C25244" s="15"/>
      <c r="E25244" s="8"/>
      <c r="G25244" s="8"/>
      <c r="J25244" s="8"/>
    </row>
    <row r="25245">
      <c r="C25245" s="15"/>
      <c r="E25245" s="8"/>
      <c r="G25245" s="8"/>
      <c r="J25245" s="8"/>
    </row>
    <row r="25246">
      <c r="C25246" s="15"/>
      <c r="E25246" s="8"/>
      <c r="G25246" s="8"/>
      <c r="J25246" s="8"/>
    </row>
    <row r="25247">
      <c r="C25247" s="15"/>
      <c r="E25247" s="8"/>
      <c r="G25247" s="8"/>
      <c r="J25247" s="8"/>
    </row>
    <row r="25248">
      <c r="C25248" s="15"/>
      <c r="E25248" s="8"/>
      <c r="G25248" s="8"/>
      <c r="J25248" s="8"/>
    </row>
    <row r="25249">
      <c r="C25249" s="15"/>
      <c r="E25249" s="8"/>
      <c r="G25249" s="8"/>
      <c r="J25249" s="8"/>
    </row>
    <row r="25250">
      <c r="C25250" s="15"/>
      <c r="E25250" s="8"/>
      <c r="G25250" s="8"/>
      <c r="J25250" s="8"/>
    </row>
    <row r="25251">
      <c r="C25251" s="15"/>
      <c r="E25251" s="8"/>
      <c r="G25251" s="8"/>
      <c r="J25251" s="8"/>
    </row>
    <row r="25252">
      <c r="C25252" s="15"/>
      <c r="E25252" s="8"/>
      <c r="G25252" s="8"/>
      <c r="J25252" s="8"/>
    </row>
    <row r="25253">
      <c r="C25253" s="15"/>
      <c r="E25253" s="8"/>
      <c r="G25253" s="8"/>
      <c r="J25253" s="8"/>
    </row>
    <row r="25254">
      <c r="C25254" s="15"/>
      <c r="E25254" s="8"/>
      <c r="G25254" s="8"/>
      <c r="J25254" s="8"/>
    </row>
    <row r="25255">
      <c r="C25255" s="15"/>
      <c r="E25255" s="8"/>
      <c r="G25255" s="8"/>
      <c r="J25255" s="8"/>
    </row>
    <row r="25256">
      <c r="C25256" s="15"/>
      <c r="E25256" s="8"/>
      <c r="G25256" s="8"/>
      <c r="J25256" s="8"/>
    </row>
    <row r="25257">
      <c r="C25257" s="15"/>
      <c r="E25257" s="8"/>
      <c r="G25257" s="8"/>
      <c r="J25257" s="8"/>
    </row>
    <row r="25258">
      <c r="C25258" s="15"/>
      <c r="E25258" s="8"/>
      <c r="G25258" s="8"/>
      <c r="J25258" s="8"/>
    </row>
    <row r="25259">
      <c r="C25259" s="15"/>
      <c r="E25259" s="8"/>
      <c r="G25259" s="8"/>
      <c r="J25259" s="8"/>
    </row>
    <row r="25260">
      <c r="C25260" s="15"/>
      <c r="E25260" s="8"/>
      <c r="G25260" s="8"/>
      <c r="J25260" s="8"/>
    </row>
    <row r="25261">
      <c r="C25261" s="15"/>
      <c r="E25261" s="8"/>
      <c r="G25261" s="8"/>
      <c r="J25261" s="8"/>
    </row>
    <row r="25262">
      <c r="C25262" s="15"/>
      <c r="E25262" s="8"/>
      <c r="G25262" s="8"/>
      <c r="J25262" s="8"/>
    </row>
    <row r="25263">
      <c r="C25263" s="15"/>
      <c r="E25263" s="8"/>
      <c r="G25263" s="8"/>
      <c r="J25263" s="8"/>
    </row>
    <row r="25264">
      <c r="C25264" s="15"/>
      <c r="E25264" s="8"/>
      <c r="G25264" s="8"/>
      <c r="J25264" s="8"/>
    </row>
    <row r="25265">
      <c r="C25265" s="15"/>
      <c r="E25265" s="8"/>
      <c r="G25265" s="8"/>
      <c r="J25265" s="8"/>
    </row>
    <row r="25266">
      <c r="C25266" s="15"/>
      <c r="E25266" s="8"/>
      <c r="G25266" s="8"/>
      <c r="J25266" s="8"/>
    </row>
    <row r="25267">
      <c r="C25267" s="15"/>
      <c r="E25267" s="8"/>
      <c r="G25267" s="8"/>
      <c r="J25267" s="8"/>
    </row>
    <row r="25268">
      <c r="C25268" s="15"/>
      <c r="E25268" s="8"/>
      <c r="G25268" s="8"/>
      <c r="J25268" s="8"/>
    </row>
    <row r="25269">
      <c r="C25269" s="15"/>
      <c r="E25269" s="8"/>
      <c r="G25269" s="8"/>
      <c r="J25269" s="8"/>
    </row>
    <row r="25270">
      <c r="C25270" s="15"/>
      <c r="E25270" s="8"/>
      <c r="G25270" s="8"/>
      <c r="J25270" s="8"/>
    </row>
    <row r="25271">
      <c r="C25271" s="15"/>
      <c r="E25271" s="8"/>
      <c r="G25271" s="8"/>
      <c r="J25271" s="8"/>
    </row>
    <row r="25272">
      <c r="C25272" s="15"/>
      <c r="E25272" s="8"/>
      <c r="G25272" s="8"/>
      <c r="J25272" s="8"/>
    </row>
    <row r="25273">
      <c r="C25273" s="15"/>
      <c r="E25273" s="8"/>
      <c r="G25273" s="8"/>
      <c r="J25273" s="8"/>
    </row>
    <row r="25274">
      <c r="C25274" s="15"/>
      <c r="E25274" s="8"/>
      <c r="G25274" s="8"/>
      <c r="J25274" s="8"/>
    </row>
    <row r="25275">
      <c r="C25275" s="15"/>
      <c r="E25275" s="8"/>
      <c r="G25275" s="8"/>
      <c r="J25275" s="8"/>
    </row>
    <row r="25276">
      <c r="C25276" s="15"/>
      <c r="E25276" s="8"/>
      <c r="G25276" s="8"/>
      <c r="J25276" s="8"/>
    </row>
    <row r="25277">
      <c r="C25277" s="15"/>
      <c r="E25277" s="8"/>
      <c r="G25277" s="8"/>
      <c r="J25277" s="8"/>
    </row>
    <row r="25278">
      <c r="C25278" s="15"/>
      <c r="E25278" s="8"/>
      <c r="G25278" s="8"/>
      <c r="J25278" s="8"/>
    </row>
    <row r="25279">
      <c r="C25279" s="15"/>
      <c r="E25279" s="8"/>
      <c r="G25279" s="8"/>
      <c r="J25279" s="8"/>
    </row>
    <row r="25280">
      <c r="C25280" s="15"/>
      <c r="E25280" s="8"/>
      <c r="G25280" s="8"/>
      <c r="J25280" s="8"/>
    </row>
    <row r="25281">
      <c r="C25281" s="15"/>
      <c r="E25281" s="8"/>
      <c r="G25281" s="8"/>
      <c r="J25281" s="8"/>
    </row>
    <row r="25282">
      <c r="C25282" s="15"/>
      <c r="E25282" s="8"/>
      <c r="G25282" s="8"/>
      <c r="J25282" s="8"/>
    </row>
    <row r="25283">
      <c r="C25283" s="15"/>
      <c r="E25283" s="8"/>
      <c r="G25283" s="8"/>
      <c r="J25283" s="8"/>
    </row>
    <row r="25284">
      <c r="C25284" s="15"/>
      <c r="E25284" s="8"/>
      <c r="G25284" s="8"/>
      <c r="J25284" s="8"/>
    </row>
    <row r="25285">
      <c r="C25285" s="15"/>
      <c r="E25285" s="8"/>
      <c r="G25285" s="8"/>
      <c r="J25285" s="8"/>
    </row>
    <row r="25286">
      <c r="C25286" s="15"/>
      <c r="E25286" s="8"/>
      <c r="G25286" s="8"/>
      <c r="J25286" s="8"/>
    </row>
    <row r="25287">
      <c r="C25287" s="15"/>
      <c r="E25287" s="8"/>
      <c r="G25287" s="8"/>
      <c r="J25287" s="8"/>
    </row>
    <row r="25288">
      <c r="C25288" s="15"/>
      <c r="E25288" s="8"/>
      <c r="G25288" s="8"/>
      <c r="J25288" s="8"/>
    </row>
    <row r="25289">
      <c r="C25289" s="15"/>
      <c r="E25289" s="8"/>
      <c r="G25289" s="8"/>
      <c r="J25289" s="8"/>
    </row>
    <row r="25290">
      <c r="C25290" s="15"/>
      <c r="E25290" s="8"/>
      <c r="G25290" s="8"/>
      <c r="J25290" s="8"/>
    </row>
    <row r="25291">
      <c r="C25291" s="15"/>
      <c r="E25291" s="8"/>
      <c r="G25291" s="8"/>
      <c r="J25291" s="8"/>
    </row>
    <row r="25292">
      <c r="C25292" s="15"/>
      <c r="E25292" s="8"/>
      <c r="G25292" s="8"/>
      <c r="J25292" s="8"/>
    </row>
    <row r="25293">
      <c r="C25293" s="15"/>
      <c r="E25293" s="8"/>
      <c r="G25293" s="8"/>
      <c r="J25293" s="8"/>
    </row>
    <row r="25294">
      <c r="C25294" s="15"/>
      <c r="E25294" s="8"/>
      <c r="G25294" s="8"/>
      <c r="J25294" s="8"/>
    </row>
    <row r="25295">
      <c r="C25295" s="15"/>
      <c r="E25295" s="8"/>
      <c r="G25295" s="8"/>
      <c r="J25295" s="8"/>
    </row>
    <row r="25296">
      <c r="C25296" s="15"/>
      <c r="E25296" s="8"/>
      <c r="G25296" s="8"/>
      <c r="J25296" s="8"/>
    </row>
    <row r="25297">
      <c r="C25297" s="15"/>
      <c r="E25297" s="8"/>
      <c r="G25297" s="8"/>
      <c r="J25297" s="8"/>
    </row>
    <row r="25298">
      <c r="C25298" s="15"/>
      <c r="E25298" s="8"/>
      <c r="G25298" s="8"/>
      <c r="J25298" s="8"/>
    </row>
    <row r="25299">
      <c r="C25299" s="15"/>
      <c r="E25299" s="8"/>
      <c r="G25299" s="8"/>
      <c r="J25299" s="8"/>
    </row>
    <row r="25300">
      <c r="C25300" s="15"/>
      <c r="E25300" s="8"/>
      <c r="G25300" s="8"/>
      <c r="J25300" s="8"/>
    </row>
    <row r="25301">
      <c r="C25301" s="15"/>
      <c r="E25301" s="8"/>
      <c r="G25301" s="8"/>
      <c r="J25301" s="8"/>
    </row>
    <row r="25302">
      <c r="C25302" s="15"/>
      <c r="E25302" s="8"/>
      <c r="G25302" s="8"/>
      <c r="J25302" s="8"/>
    </row>
    <row r="25303">
      <c r="C25303" s="15"/>
      <c r="E25303" s="8"/>
      <c r="G25303" s="8"/>
      <c r="J25303" s="8"/>
    </row>
    <row r="25304">
      <c r="C25304" s="15"/>
      <c r="E25304" s="8"/>
      <c r="G25304" s="8"/>
      <c r="J25304" s="8"/>
    </row>
    <row r="25305">
      <c r="C25305" s="15"/>
      <c r="E25305" s="8"/>
      <c r="G25305" s="8"/>
      <c r="J25305" s="8"/>
    </row>
    <row r="25306">
      <c r="C25306" s="15"/>
      <c r="E25306" s="8"/>
      <c r="G25306" s="8"/>
      <c r="J25306" s="8"/>
    </row>
    <row r="25307">
      <c r="C25307" s="15"/>
      <c r="E25307" s="8"/>
      <c r="G25307" s="8"/>
      <c r="J25307" s="8"/>
    </row>
    <row r="25308">
      <c r="C25308" s="15"/>
      <c r="E25308" s="8"/>
      <c r="G25308" s="8"/>
      <c r="J25308" s="8"/>
    </row>
    <row r="25309">
      <c r="C25309" s="15"/>
      <c r="E25309" s="8"/>
      <c r="G25309" s="8"/>
      <c r="J25309" s="8"/>
    </row>
    <row r="25310">
      <c r="C25310" s="15"/>
      <c r="E25310" s="8"/>
      <c r="G25310" s="8"/>
      <c r="J25310" s="8"/>
    </row>
    <row r="25311">
      <c r="C25311" s="15"/>
      <c r="E25311" s="8"/>
      <c r="G25311" s="8"/>
      <c r="J25311" s="8"/>
    </row>
    <row r="25312">
      <c r="C25312" s="15"/>
      <c r="E25312" s="8"/>
      <c r="G25312" s="8"/>
      <c r="J25312" s="8"/>
    </row>
    <row r="25313">
      <c r="C25313" s="15"/>
      <c r="E25313" s="8"/>
      <c r="G25313" s="8"/>
      <c r="J25313" s="8"/>
    </row>
    <row r="25314">
      <c r="C25314" s="15"/>
      <c r="E25314" s="8"/>
      <c r="G25314" s="8"/>
      <c r="J25314" s="8"/>
    </row>
    <row r="25315">
      <c r="C25315" s="15"/>
      <c r="E25315" s="8"/>
      <c r="G25315" s="8"/>
      <c r="J25315" s="8"/>
    </row>
    <row r="25316">
      <c r="C25316" s="15"/>
      <c r="E25316" s="8"/>
      <c r="G25316" s="8"/>
      <c r="J25316" s="8"/>
    </row>
    <row r="25317">
      <c r="C25317" s="15"/>
      <c r="E25317" s="8"/>
      <c r="G25317" s="8"/>
      <c r="J25317" s="8"/>
    </row>
    <row r="25318">
      <c r="C25318" s="15"/>
      <c r="E25318" s="8"/>
      <c r="G25318" s="8"/>
      <c r="J25318" s="8"/>
    </row>
    <row r="25319">
      <c r="C25319" s="15"/>
      <c r="E25319" s="8"/>
      <c r="G25319" s="8"/>
      <c r="J25319" s="8"/>
    </row>
    <row r="25320">
      <c r="C25320" s="15"/>
      <c r="E25320" s="8"/>
      <c r="G25320" s="8"/>
      <c r="J25320" s="8"/>
    </row>
    <row r="25321">
      <c r="C25321" s="15"/>
      <c r="E25321" s="8"/>
      <c r="G25321" s="8"/>
      <c r="J25321" s="8"/>
    </row>
    <row r="25322">
      <c r="C25322" s="15"/>
      <c r="E25322" s="8"/>
      <c r="G25322" s="8"/>
      <c r="J25322" s="8"/>
    </row>
    <row r="25323">
      <c r="C25323" s="15"/>
      <c r="E25323" s="8"/>
      <c r="G25323" s="8"/>
      <c r="J25323" s="8"/>
    </row>
    <row r="25324">
      <c r="C25324" s="15"/>
      <c r="E25324" s="8"/>
      <c r="G25324" s="8"/>
      <c r="J25324" s="8"/>
    </row>
    <row r="25325">
      <c r="C25325" s="15"/>
      <c r="E25325" s="8"/>
      <c r="G25325" s="8"/>
      <c r="J25325" s="8"/>
    </row>
    <row r="25326">
      <c r="C25326" s="15"/>
      <c r="E25326" s="8"/>
      <c r="G25326" s="8"/>
      <c r="J25326" s="8"/>
    </row>
    <row r="25327">
      <c r="C25327" s="15"/>
      <c r="E25327" s="8"/>
      <c r="G25327" s="8"/>
      <c r="J25327" s="8"/>
    </row>
    <row r="25328">
      <c r="C25328" s="15"/>
      <c r="E25328" s="8"/>
      <c r="G25328" s="8"/>
      <c r="J25328" s="8"/>
    </row>
    <row r="25329">
      <c r="C25329" s="15"/>
      <c r="E25329" s="8"/>
      <c r="G25329" s="8"/>
      <c r="J25329" s="8"/>
    </row>
    <row r="25330">
      <c r="C25330" s="15"/>
      <c r="E25330" s="8"/>
      <c r="G25330" s="8"/>
      <c r="J25330" s="8"/>
    </row>
    <row r="25331">
      <c r="C25331" s="15"/>
      <c r="E25331" s="8"/>
      <c r="G25331" s="8"/>
      <c r="J25331" s="8"/>
    </row>
    <row r="25332">
      <c r="C25332" s="15"/>
      <c r="E25332" s="8"/>
      <c r="G25332" s="8"/>
      <c r="J25332" s="8"/>
    </row>
    <row r="25333">
      <c r="C25333" s="15"/>
      <c r="E25333" s="8"/>
      <c r="G25333" s="8"/>
      <c r="J25333" s="8"/>
    </row>
    <row r="25334">
      <c r="C25334" s="15"/>
      <c r="E25334" s="8"/>
      <c r="G25334" s="8"/>
      <c r="J25334" s="8"/>
    </row>
    <row r="25335">
      <c r="C25335" s="15"/>
      <c r="E25335" s="8"/>
      <c r="G25335" s="8"/>
      <c r="J25335" s="8"/>
    </row>
    <row r="25336">
      <c r="C25336" s="15"/>
      <c r="E25336" s="8"/>
      <c r="G25336" s="8"/>
      <c r="J25336" s="8"/>
    </row>
    <row r="25337">
      <c r="C25337" s="15"/>
      <c r="E25337" s="8"/>
      <c r="G25337" s="8"/>
      <c r="J25337" s="8"/>
    </row>
    <row r="25338">
      <c r="C25338" s="15"/>
      <c r="E25338" s="8"/>
      <c r="G25338" s="8"/>
      <c r="J25338" s="8"/>
    </row>
    <row r="25339">
      <c r="C25339" s="15"/>
      <c r="E25339" s="8"/>
      <c r="G25339" s="8"/>
      <c r="J25339" s="8"/>
    </row>
    <row r="25340">
      <c r="C25340" s="15"/>
      <c r="E25340" s="8"/>
      <c r="G25340" s="8"/>
      <c r="J25340" s="8"/>
    </row>
    <row r="25341">
      <c r="C25341" s="15"/>
      <c r="E25341" s="8"/>
      <c r="G25341" s="8"/>
      <c r="J25341" s="8"/>
    </row>
    <row r="25342">
      <c r="C25342" s="15"/>
      <c r="E25342" s="8"/>
      <c r="G25342" s="8"/>
      <c r="J25342" s="8"/>
    </row>
    <row r="25343">
      <c r="C25343" s="15"/>
      <c r="E25343" s="8"/>
      <c r="G25343" s="8"/>
      <c r="J25343" s="8"/>
    </row>
    <row r="25344">
      <c r="C25344" s="15"/>
      <c r="E25344" s="8"/>
      <c r="G25344" s="8"/>
      <c r="J25344" s="8"/>
    </row>
    <row r="25345">
      <c r="C25345" s="15"/>
      <c r="E25345" s="8"/>
      <c r="G25345" s="8"/>
      <c r="J25345" s="8"/>
    </row>
    <row r="25346">
      <c r="C25346" s="15"/>
      <c r="E25346" s="8"/>
      <c r="G25346" s="8"/>
      <c r="J25346" s="8"/>
    </row>
    <row r="25347">
      <c r="C25347" s="15"/>
      <c r="E25347" s="8"/>
      <c r="G25347" s="8"/>
      <c r="J25347" s="8"/>
    </row>
    <row r="25348">
      <c r="C25348" s="15"/>
      <c r="E25348" s="8"/>
      <c r="G25348" s="8"/>
      <c r="J25348" s="8"/>
    </row>
    <row r="25349">
      <c r="C25349" s="15"/>
      <c r="E25349" s="8"/>
      <c r="G25349" s="8"/>
      <c r="J25349" s="8"/>
    </row>
    <row r="25350">
      <c r="C25350" s="15"/>
      <c r="E25350" s="8"/>
      <c r="G25350" s="8"/>
      <c r="J25350" s="8"/>
    </row>
    <row r="25351">
      <c r="C25351" s="15"/>
      <c r="E25351" s="8"/>
      <c r="G25351" s="8"/>
      <c r="J25351" s="8"/>
    </row>
    <row r="25352">
      <c r="C25352" s="15"/>
      <c r="E25352" s="8"/>
      <c r="G25352" s="8"/>
      <c r="J25352" s="8"/>
    </row>
    <row r="25353">
      <c r="C25353" s="15"/>
      <c r="E25353" s="8"/>
      <c r="G25353" s="8"/>
      <c r="J25353" s="8"/>
    </row>
    <row r="25354">
      <c r="C25354" s="15"/>
      <c r="E25354" s="8"/>
      <c r="G25354" s="8"/>
      <c r="J25354" s="8"/>
    </row>
    <row r="25355">
      <c r="C25355" s="15"/>
      <c r="E25355" s="8"/>
      <c r="G25355" s="8"/>
      <c r="J25355" s="8"/>
    </row>
    <row r="25356">
      <c r="C25356" s="15"/>
      <c r="E25356" s="8"/>
      <c r="G25356" s="8"/>
      <c r="J25356" s="8"/>
    </row>
    <row r="25357">
      <c r="C25357" s="15"/>
      <c r="E25357" s="8"/>
      <c r="G25357" s="8"/>
      <c r="J25357" s="8"/>
    </row>
    <row r="25358">
      <c r="C25358" s="15"/>
      <c r="E25358" s="8"/>
      <c r="G25358" s="8"/>
      <c r="J25358" s="8"/>
    </row>
    <row r="25359">
      <c r="C25359" s="15"/>
      <c r="E25359" s="8"/>
      <c r="G25359" s="8"/>
      <c r="J25359" s="8"/>
    </row>
    <row r="25360">
      <c r="C25360" s="15"/>
      <c r="E25360" s="8"/>
      <c r="G25360" s="8"/>
      <c r="J25360" s="8"/>
    </row>
    <row r="25361">
      <c r="C25361" s="15"/>
      <c r="E25361" s="8"/>
      <c r="G25361" s="8"/>
      <c r="J25361" s="8"/>
    </row>
    <row r="25362">
      <c r="C25362" s="15"/>
      <c r="E25362" s="8"/>
      <c r="G25362" s="8"/>
      <c r="J25362" s="8"/>
    </row>
    <row r="25363">
      <c r="C25363" s="15"/>
      <c r="E25363" s="8"/>
      <c r="G25363" s="8"/>
      <c r="J25363" s="8"/>
    </row>
    <row r="25364">
      <c r="C25364" s="15"/>
      <c r="E25364" s="8"/>
      <c r="G25364" s="8"/>
      <c r="J25364" s="8"/>
    </row>
    <row r="25365">
      <c r="C25365" s="15"/>
      <c r="E25365" s="8"/>
      <c r="G25365" s="8"/>
      <c r="J25365" s="8"/>
    </row>
    <row r="25366">
      <c r="C25366" s="15"/>
      <c r="E25366" s="8"/>
      <c r="G25366" s="8"/>
      <c r="J25366" s="8"/>
    </row>
    <row r="25367">
      <c r="C25367" s="15"/>
      <c r="E25367" s="8"/>
      <c r="G25367" s="8"/>
      <c r="J25367" s="8"/>
    </row>
    <row r="25368">
      <c r="C25368" s="15"/>
      <c r="E25368" s="8"/>
      <c r="G25368" s="8"/>
      <c r="J25368" s="8"/>
    </row>
    <row r="25369">
      <c r="C25369" s="15"/>
      <c r="E25369" s="8"/>
      <c r="G25369" s="8"/>
      <c r="J25369" s="8"/>
    </row>
    <row r="25370">
      <c r="C25370" s="15"/>
      <c r="E25370" s="8"/>
      <c r="G25370" s="8"/>
      <c r="J25370" s="8"/>
    </row>
    <row r="25371">
      <c r="C25371" s="15"/>
      <c r="E25371" s="8"/>
      <c r="G25371" s="8"/>
      <c r="J25371" s="8"/>
    </row>
    <row r="25372">
      <c r="C25372" s="15"/>
      <c r="E25372" s="8"/>
      <c r="G25372" s="8"/>
      <c r="J25372" s="8"/>
    </row>
    <row r="25373">
      <c r="C25373" s="15"/>
      <c r="E25373" s="8"/>
      <c r="G25373" s="8"/>
      <c r="J25373" s="8"/>
    </row>
    <row r="25374">
      <c r="C25374" s="15"/>
      <c r="E25374" s="8"/>
      <c r="G25374" s="8"/>
      <c r="J25374" s="8"/>
    </row>
    <row r="25375">
      <c r="C25375" s="15"/>
      <c r="E25375" s="8"/>
      <c r="G25375" s="8"/>
      <c r="J25375" s="8"/>
    </row>
    <row r="25376">
      <c r="C25376" s="15"/>
      <c r="E25376" s="8"/>
      <c r="G25376" s="8"/>
      <c r="J25376" s="8"/>
    </row>
    <row r="25377">
      <c r="C25377" s="15"/>
      <c r="E25377" s="8"/>
      <c r="G25377" s="8"/>
      <c r="J25377" s="8"/>
    </row>
    <row r="25378">
      <c r="C25378" s="15"/>
      <c r="E25378" s="8"/>
      <c r="G25378" s="8"/>
      <c r="J25378" s="8"/>
    </row>
    <row r="25379">
      <c r="C25379" s="15"/>
      <c r="E25379" s="8"/>
      <c r="G25379" s="8"/>
      <c r="J25379" s="8"/>
    </row>
    <row r="25380">
      <c r="C25380" s="15"/>
      <c r="E25380" s="8"/>
      <c r="G25380" s="8"/>
      <c r="J25380" s="8"/>
    </row>
    <row r="25381">
      <c r="C25381" s="15"/>
      <c r="E25381" s="8"/>
      <c r="G25381" s="8"/>
      <c r="J25381" s="8"/>
    </row>
    <row r="25382">
      <c r="C25382" s="15"/>
      <c r="E25382" s="8"/>
      <c r="G25382" s="8"/>
      <c r="J25382" s="8"/>
    </row>
    <row r="25383">
      <c r="C25383" s="15"/>
      <c r="E25383" s="8"/>
      <c r="G25383" s="8"/>
      <c r="J25383" s="8"/>
    </row>
    <row r="25384">
      <c r="C25384" s="15"/>
      <c r="E25384" s="8"/>
      <c r="G25384" s="8"/>
      <c r="J25384" s="8"/>
    </row>
    <row r="25385">
      <c r="C25385" s="15"/>
      <c r="E25385" s="8"/>
      <c r="G25385" s="8"/>
      <c r="J25385" s="8"/>
    </row>
    <row r="25386">
      <c r="C25386" s="15"/>
      <c r="E25386" s="8"/>
      <c r="G25386" s="8"/>
      <c r="J25386" s="8"/>
    </row>
    <row r="25387">
      <c r="C25387" s="15"/>
      <c r="E25387" s="8"/>
      <c r="G25387" s="8"/>
      <c r="J25387" s="8"/>
    </row>
    <row r="25388">
      <c r="C25388" s="15"/>
      <c r="E25388" s="8"/>
      <c r="G25388" s="8"/>
      <c r="J25388" s="8"/>
    </row>
    <row r="25389">
      <c r="C25389" s="15"/>
      <c r="E25389" s="8"/>
      <c r="G25389" s="8"/>
      <c r="J25389" s="8"/>
    </row>
    <row r="25390">
      <c r="C25390" s="15"/>
      <c r="E25390" s="8"/>
      <c r="G25390" s="8"/>
      <c r="J25390" s="8"/>
    </row>
    <row r="25391">
      <c r="C25391" s="15"/>
      <c r="E25391" s="8"/>
      <c r="G25391" s="8"/>
      <c r="J25391" s="8"/>
    </row>
    <row r="25392">
      <c r="C25392" s="15"/>
      <c r="E25392" s="8"/>
      <c r="G25392" s="8"/>
      <c r="J25392" s="8"/>
    </row>
    <row r="25393">
      <c r="C25393" s="15"/>
      <c r="E25393" s="8"/>
      <c r="G25393" s="8"/>
      <c r="J25393" s="8"/>
    </row>
    <row r="25394">
      <c r="C25394" s="15"/>
      <c r="E25394" s="8"/>
      <c r="G25394" s="8"/>
      <c r="J25394" s="8"/>
    </row>
    <row r="25395">
      <c r="C25395" s="15"/>
      <c r="E25395" s="8"/>
      <c r="G25395" s="8"/>
      <c r="J25395" s="8"/>
    </row>
    <row r="25396">
      <c r="C25396" s="15"/>
      <c r="E25396" s="8"/>
      <c r="G25396" s="8"/>
      <c r="J25396" s="8"/>
    </row>
    <row r="25397">
      <c r="C25397" s="15"/>
      <c r="E25397" s="8"/>
      <c r="G25397" s="8"/>
      <c r="J25397" s="8"/>
    </row>
    <row r="25398">
      <c r="C25398" s="15"/>
      <c r="E25398" s="8"/>
      <c r="G25398" s="8"/>
      <c r="J25398" s="8"/>
    </row>
    <row r="25399">
      <c r="C25399" s="15"/>
      <c r="E25399" s="8"/>
      <c r="G25399" s="8"/>
      <c r="J25399" s="8"/>
    </row>
    <row r="25400">
      <c r="C25400" s="15"/>
      <c r="E25400" s="8"/>
      <c r="G25400" s="8"/>
      <c r="J25400" s="8"/>
    </row>
    <row r="25401">
      <c r="C25401" s="15"/>
      <c r="E25401" s="8"/>
      <c r="G25401" s="8"/>
      <c r="J25401" s="8"/>
    </row>
    <row r="25402">
      <c r="C25402" s="15"/>
      <c r="E25402" s="8"/>
      <c r="G25402" s="8"/>
      <c r="J25402" s="8"/>
    </row>
    <row r="25403">
      <c r="C25403" s="15"/>
      <c r="E25403" s="8"/>
      <c r="G25403" s="8"/>
      <c r="J25403" s="8"/>
    </row>
    <row r="25404">
      <c r="C25404" s="15"/>
      <c r="E25404" s="8"/>
      <c r="G25404" s="8"/>
      <c r="J25404" s="8"/>
    </row>
    <row r="25405">
      <c r="C25405" s="15"/>
      <c r="E25405" s="8"/>
      <c r="G25405" s="8"/>
      <c r="J25405" s="8"/>
    </row>
    <row r="25406">
      <c r="C25406" s="15"/>
      <c r="E25406" s="8"/>
      <c r="G25406" s="8"/>
      <c r="J25406" s="8"/>
    </row>
    <row r="25407">
      <c r="C25407" s="15"/>
      <c r="E25407" s="8"/>
      <c r="G25407" s="8"/>
      <c r="J25407" s="8"/>
    </row>
    <row r="25408">
      <c r="C25408" s="15"/>
      <c r="E25408" s="8"/>
      <c r="G25408" s="8"/>
      <c r="J25408" s="8"/>
    </row>
    <row r="25409">
      <c r="C25409" s="15"/>
      <c r="E25409" s="8"/>
      <c r="G25409" s="8"/>
      <c r="J25409" s="8"/>
    </row>
    <row r="25410">
      <c r="C25410" s="15"/>
      <c r="E25410" s="8"/>
      <c r="G25410" s="8"/>
      <c r="J25410" s="8"/>
    </row>
    <row r="25411">
      <c r="C25411" s="15"/>
      <c r="E25411" s="8"/>
      <c r="G25411" s="8"/>
      <c r="J25411" s="8"/>
    </row>
    <row r="25412">
      <c r="C25412" s="15"/>
      <c r="E25412" s="8"/>
      <c r="G25412" s="8"/>
      <c r="J25412" s="8"/>
    </row>
    <row r="25413">
      <c r="C25413" s="15"/>
      <c r="E25413" s="8"/>
      <c r="G25413" s="8"/>
      <c r="J25413" s="8"/>
    </row>
    <row r="25414">
      <c r="C25414" s="15"/>
      <c r="E25414" s="8"/>
      <c r="G25414" s="8"/>
      <c r="J25414" s="8"/>
    </row>
    <row r="25415">
      <c r="C25415" s="15"/>
      <c r="E25415" s="8"/>
      <c r="G25415" s="8"/>
      <c r="J25415" s="8"/>
    </row>
    <row r="25416">
      <c r="C25416" s="15"/>
      <c r="E25416" s="8"/>
      <c r="G25416" s="8"/>
      <c r="J25416" s="8"/>
    </row>
    <row r="25417">
      <c r="C25417" s="15"/>
      <c r="E25417" s="8"/>
      <c r="G25417" s="8"/>
      <c r="J25417" s="8"/>
    </row>
    <row r="25418">
      <c r="C25418" s="15"/>
      <c r="E25418" s="8"/>
      <c r="G25418" s="8"/>
      <c r="J25418" s="8"/>
    </row>
    <row r="25419">
      <c r="C25419" s="15"/>
      <c r="E25419" s="8"/>
      <c r="G25419" s="8"/>
      <c r="J25419" s="8"/>
    </row>
    <row r="25420">
      <c r="C25420" s="15"/>
      <c r="E25420" s="8"/>
      <c r="G25420" s="8"/>
      <c r="J25420" s="8"/>
    </row>
    <row r="25421">
      <c r="C25421" s="15"/>
      <c r="E25421" s="8"/>
      <c r="G25421" s="8"/>
      <c r="J25421" s="8"/>
    </row>
    <row r="25422">
      <c r="C25422" s="15"/>
      <c r="E25422" s="8"/>
      <c r="G25422" s="8"/>
      <c r="J25422" s="8"/>
    </row>
    <row r="25423">
      <c r="C25423" s="15"/>
      <c r="E25423" s="8"/>
      <c r="G25423" s="8"/>
      <c r="J25423" s="8"/>
    </row>
    <row r="25424">
      <c r="C25424" s="15"/>
      <c r="E25424" s="8"/>
      <c r="G25424" s="8"/>
      <c r="J25424" s="8"/>
    </row>
    <row r="25425">
      <c r="C25425" s="15"/>
      <c r="E25425" s="8"/>
      <c r="G25425" s="8"/>
      <c r="J25425" s="8"/>
    </row>
    <row r="25426">
      <c r="C25426" s="15"/>
      <c r="E25426" s="8"/>
      <c r="G25426" s="8"/>
      <c r="J25426" s="8"/>
    </row>
    <row r="25427">
      <c r="C25427" s="15"/>
      <c r="E25427" s="8"/>
      <c r="G25427" s="8"/>
      <c r="J25427" s="8"/>
    </row>
    <row r="25428">
      <c r="C25428" s="15"/>
      <c r="E25428" s="8"/>
      <c r="G25428" s="8"/>
      <c r="J25428" s="8"/>
    </row>
    <row r="25429">
      <c r="C25429" s="15"/>
      <c r="E25429" s="8"/>
      <c r="G25429" s="8"/>
      <c r="J25429" s="8"/>
    </row>
    <row r="25430">
      <c r="C25430" s="15"/>
      <c r="E25430" s="8"/>
      <c r="G25430" s="8"/>
      <c r="J25430" s="8"/>
    </row>
    <row r="25431">
      <c r="C25431" s="15"/>
      <c r="E25431" s="8"/>
      <c r="G25431" s="8"/>
      <c r="J25431" s="8"/>
    </row>
    <row r="25432">
      <c r="C25432" s="15"/>
      <c r="E25432" s="8"/>
      <c r="G25432" s="8"/>
      <c r="J25432" s="8"/>
    </row>
    <row r="25433">
      <c r="C25433" s="15"/>
      <c r="E25433" s="8"/>
      <c r="G25433" s="8"/>
      <c r="J25433" s="8"/>
    </row>
    <row r="25434">
      <c r="C25434" s="15"/>
      <c r="E25434" s="8"/>
      <c r="G25434" s="8"/>
      <c r="J25434" s="8"/>
    </row>
    <row r="25435">
      <c r="C25435" s="15"/>
      <c r="E25435" s="8"/>
      <c r="G25435" s="8"/>
      <c r="J25435" s="8"/>
    </row>
    <row r="25436">
      <c r="C25436" s="15"/>
      <c r="E25436" s="8"/>
      <c r="G25436" s="8"/>
      <c r="J25436" s="8"/>
    </row>
    <row r="25437">
      <c r="C25437" s="15"/>
      <c r="E25437" s="8"/>
      <c r="G25437" s="8"/>
      <c r="J25437" s="8"/>
    </row>
    <row r="25438">
      <c r="C25438" s="15"/>
      <c r="E25438" s="8"/>
      <c r="G25438" s="8"/>
      <c r="J25438" s="8"/>
    </row>
    <row r="25439">
      <c r="C25439" s="15"/>
      <c r="E25439" s="8"/>
      <c r="G25439" s="8"/>
      <c r="J25439" s="8"/>
    </row>
    <row r="25440">
      <c r="C25440" s="15"/>
      <c r="E25440" s="8"/>
      <c r="G25440" s="8"/>
      <c r="J25440" s="8"/>
    </row>
    <row r="25441">
      <c r="C25441" s="15"/>
      <c r="E25441" s="8"/>
      <c r="G25441" s="8"/>
      <c r="J25441" s="8"/>
    </row>
    <row r="25442">
      <c r="C25442" s="15"/>
      <c r="E25442" s="8"/>
      <c r="G25442" s="8"/>
      <c r="J25442" s="8"/>
    </row>
    <row r="25443">
      <c r="C25443" s="15"/>
      <c r="E25443" s="8"/>
      <c r="G25443" s="8"/>
      <c r="J25443" s="8"/>
    </row>
    <row r="25444">
      <c r="C25444" s="15"/>
      <c r="E25444" s="8"/>
      <c r="G25444" s="8"/>
      <c r="J25444" s="8"/>
    </row>
    <row r="25445">
      <c r="C25445" s="15"/>
      <c r="E25445" s="8"/>
      <c r="G25445" s="8"/>
      <c r="J25445" s="8"/>
    </row>
    <row r="25446">
      <c r="C25446" s="15"/>
      <c r="E25446" s="8"/>
      <c r="G25446" s="8"/>
      <c r="J25446" s="8"/>
    </row>
    <row r="25447">
      <c r="C25447" s="15"/>
      <c r="E25447" s="8"/>
      <c r="G25447" s="8"/>
      <c r="J25447" s="8"/>
    </row>
    <row r="25448">
      <c r="C25448" s="15"/>
      <c r="E25448" s="8"/>
      <c r="G25448" s="8"/>
      <c r="J25448" s="8"/>
    </row>
    <row r="25449">
      <c r="C25449" s="15"/>
      <c r="E25449" s="8"/>
      <c r="G25449" s="8"/>
      <c r="J25449" s="8"/>
    </row>
    <row r="25450">
      <c r="C25450" s="15"/>
      <c r="E25450" s="8"/>
      <c r="G25450" s="8"/>
      <c r="J25450" s="8"/>
    </row>
    <row r="25451">
      <c r="C25451" s="15"/>
      <c r="E25451" s="8"/>
      <c r="G25451" s="8"/>
      <c r="J25451" s="8"/>
    </row>
    <row r="25452">
      <c r="C25452" s="15"/>
      <c r="E25452" s="8"/>
      <c r="G25452" s="8"/>
      <c r="J25452" s="8"/>
    </row>
    <row r="25453">
      <c r="C25453" s="15"/>
      <c r="E25453" s="8"/>
      <c r="G25453" s="8"/>
      <c r="J25453" s="8"/>
    </row>
    <row r="25454">
      <c r="C25454" s="15"/>
      <c r="E25454" s="8"/>
      <c r="G25454" s="8"/>
      <c r="J25454" s="8"/>
    </row>
    <row r="25455">
      <c r="C25455" s="15"/>
      <c r="E25455" s="8"/>
      <c r="G25455" s="8"/>
      <c r="J25455" s="8"/>
    </row>
    <row r="25456">
      <c r="C25456" s="15"/>
      <c r="E25456" s="8"/>
      <c r="G25456" s="8"/>
      <c r="J25456" s="8"/>
    </row>
    <row r="25457">
      <c r="C25457" s="15"/>
      <c r="E25457" s="8"/>
      <c r="G25457" s="8"/>
      <c r="J25457" s="8"/>
    </row>
    <row r="25458">
      <c r="C25458" s="15"/>
      <c r="E25458" s="8"/>
      <c r="G25458" s="8"/>
      <c r="J25458" s="8"/>
    </row>
    <row r="25459">
      <c r="C25459" s="15"/>
      <c r="E25459" s="8"/>
      <c r="G25459" s="8"/>
      <c r="J25459" s="8"/>
    </row>
    <row r="25460">
      <c r="C25460" s="15"/>
      <c r="E25460" s="8"/>
      <c r="G25460" s="8"/>
      <c r="J25460" s="8"/>
    </row>
    <row r="25461">
      <c r="C25461" s="15"/>
      <c r="E25461" s="8"/>
      <c r="G25461" s="8"/>
      <c r="J25461" s="8"/>
    </row>
    <row r="25462">
      <c r="C25462" s="15"/>
      <c r="E25462" s="8"/>
      <c r="G25462" s="8"/>
      <c r="J25462" s="8"/>
    </row>
    <row r="25463">
      <c r="C25463" s="15"/>
      <c r="E25463" s="8"/>
      <c r="G25463" s="8"/>
      <c r="J25463" s="8"/>
    </row>
    <row r="25464">
      <c r="C25464" s="15"/>
      <c r="E25464" s="8"/>
      <c r="G25464" s="8"/>
      <c r="J25464" s="8"/>
    </row>
    <row r="25465">
      <c r="C25465" s="15"/>
      <c r="E25465" s="8"/>
      <c r="G25465" s="8"/>
      <c r="J25465" s="8"/>
    </row>
    <row r="25466">
      <c r="C25466" s="15"/>
      <c r="E25466" s="8"/>
      <c r="G25466" s="8"/>
      <c r="J25466" s="8"/>
    </row>
    <row r="25467">
      <c r="C25467" s="15"/>
      <c r="E25467" s="8"/>
      <c r="G25467" s="8"/>
      <c r="J25467" s="8"/>
    </row>
    <row r="25468">
      <c r="C25468" s="15"/>
      <c r="E25468" s="8"/>
      <c r="G25468" s="8"/>
      <c r="J25468" s="8"/>
    </row>
    <row r="25469">
      <c r="C25469" s="15"/>
      <c r="E25469" s="8"/>
      <c r="G25469" s="8"/>
      <c r="J25469" s="8"/>
    </row>
    <row r="25470">
      <c r="C25470" s="15"/>
      <c r="E25470" s="8"/>
      <c r="G25470" s="8"/>
      <c r="J25470" s="8"/>
    </row>
    <row r="25471">
      <c r="C25471" s="15"/>
      <c r="E25471" s="8"/>
      <c r="G25471" s="8"/>
      <c r="J25471" s="8"/>
    </row>
    <row r="25472">
      <c r="C25472" s="15"/>
      <c r="E25472" s="8"/>
      <c r="G25472" s="8"/>
      <c r="J25472" s="8"/>
    </row>
    <row r="25473">
      <c r="C25473" s="15"/>
      <c r="E25473" s="8"/>
      <c r="G25473" s="8"/>
      <c r="J25473" s="8"/>
    </row>
    <row r="25474">
      <c r="C25474" s="15"/>
      <c r="E25474" s="8"/>
      <c r="G25474" s="8"/>
      <c r="J25474" s="8"/>
    </row>
    <row r="25475">
      <c r="C25475" s="15"/>
      <c r="E25475" s="8"/>
      <c r="G25475" s="8"/>
      <c r="J25475" s="8"/>
    </row>
    <row r="25476">
      <c r="C25476" s="15"/>
      <c r="E25476" s="8"/>
      <c r="G25476" s="8"/>
      <c r="J25476" s="8"/>
    </row>
    <row r="25477">
      <c r="C25477" s="15"/>
      <c r="E25477" s="8"/>
      <c r="G25477" s="8"/>
      <c r="J25477" s="8"/>
    </row>
    <row r="25478">
      <c r="C25478" s="15"/>
      <c r="E25478" s="8"/>
      <c r="G25478" s="8"/>
      <c r="J25478" s="8"/>
    </row>
    <row r="25479">
      <c r="C25479" s="15"/>
      <c r="E25479" s="8"/>
      <c r="G25479" s="8"/>
      <c r="J25479" s="8"/>
    </row>
    <row r="25480">
      <c r="C25480" s="15"/>
      <c r="E25480" s="8"/>
      <c r="G25480" s="8"/>
      <c r="J25480" s="8"/>
    </row>
    <row r="25481">
      <c r="C25481" s="15"/>
      <c r="E25481" s="8"/>
      <c r="G25481" s="8"/>
      <c r="J25481" s="8"/>
    </row>
    <row r="25482">
      <c r="C25482" s="15"/>
      <c r="E25482" s="8"/>
      <c r="G25482" s="8"/>
      <c r="J25482" s="8"/>
    </row>
    <row r="25483">
      <c r="C25483" s="15"/>
      <c r="E25483" s="8"/>
      <c r="G25483" s="8"/>
      <c r="J25483" s="8"/>
    </row>
    <row r="25484">
      <c r="C25484" s="15"/>
      <c r="E25484" s="8"/>
      <c r="G25484" s="8"/>
      <c r="J25484" s="8"/>
    </row>
    <row r="25485">
      <c r="C25485" s="15"/>
      <c r="E25485" s="8"/>
      <c r="G25485" s="8"/>
      <c r="J25485" s="8"/>
    </row>
    <row r="25486">
      <c r="C25486" s="15"/>
      <c r="E25486" s="8"/>
      <c r="G25486" s="8"/>
      <c r="J25486" s="8"/>
    </row>
    <row r="25487">
      <c r="C25487" s="15"/>
      <c r="E25487" s="8"/>
      <c r="G25487" s="8"/>
      <c r="J25487" s="8"/>
    </row>
    <row r="25488">
      <c r="C25488" s="15"/>
      <c r="E25488" s="8"/>
      <c r="G25488" s="8"/>
      <c r="J25488" s="8"/>
    </row>
    <row r="25489">
      <c r="C25489" s="15"/>
      <c r="E25489" s="8"/>
      <c r="G25489" s="8"/>
      <c r="J25489" s="8"/>
    </row>
    <row r="25490">
      <c r="C25490" s="15"/>
      <c r="E25490" s="8"/>
      <c r="G25490" s="8"/>
      <c r="J25490" s="8"/>
    </row>
    <row r="25491">
      <c r="C25491" s="15"/>
      <c r="E25491" s="8"/>
      <c r="G25491" s="8"/>
      <c r="J25491" s="8"/>
    </row>
    <row r="25492">
      <c r="C25492" s="15"/>
      <c r="E25492" s="8"/>
      <c r="G25492" s="8"/>
      <c r="J25492" s="8"/>
    </row>
    <row r="25493">
      <c r="C25493" s="15"/>
      <c r="E25493" s="8"/>
      <c r="G25493" s="8"/>
      <c r="J25493" s="8"/>
    </row>
    <row r="25494">
      <c r="C25494" s="15"/>
      <c r="E25494" s="8"/>
      <c r="G25494" s="8"/>
      <c r="J25494" s="8"/>
    </row>
    <row r="25495">
      <c r="C25495" s="15"/>
      <c r="E25495" s="8"/>
      <c r="G25495" s="8"/>
      <c r="J25495" s="8"/>
    </row>
    <row r="25496">
      <c r="C25496" s="15"/>
      <c r="E25496" s="8"/>
      <c r="G25496" s="8"/>
      <c r="J25496" s="8"/>
    </row>
    <row r="25497">
      <c r="C25497" s="15"/>
      <c r="E25497" s="8"/>
      <c r="G25497" s="8"/>
      <c r="J25497" s="8"/>
    </row>
    <row r="25498">
      <c r="C25498" s="15"/>
      <c r="E25498" s="8"/>
      <c r="G25498" s="8"/>
      <c r="J25498" s="8"/>
    </row>
    <row r="25499">
      <c r="C25499" s="15"/>
      <c r="E25499" s="8"/>
      <c r="G25499" s="8"/>
      <c r="J25499" s="8"/>
    </row>
    <row r="25500">
      <c r="C25500" s="15"/>
      <c r="E25500" s="8"/>
      <c r="G25500" s="8"/>
      <c r="J25500" s="8"/>
    </row>
    <row r="25501">
      <c r="C25501" s="15"/>
      <c r="E25501" s="8"/>
      <c r="G25501" s="8"/>
      <c r="J25501" s="8"/>
    </row>
    <row r="25502">
      <c r="C25502" s="15"/>
      <c r="E25502" s="8"/>
      <c r="G25502" s="8"/>
      <c r="J25502" s="8"/>
    </row>
    <row r="25503">
      <c r="C25503" s="15"/>
      <c r="E25503" s="8"/>
      <c r="G25503" s="8"/>
      <c r="J25503" s="8"/>
    </row>
    <row r="25504">
      <c r="C25504" s="15"/>
      <c r="E25504" s="8"/>
      <c r="G25504" s="8"/>
      <c r="J25504" s="8"/>
    </row>
    <row r="25505">
      <c r="C25505" s="15"/>
      <c r="E25505" s="8"/>
      <c r="G25505" s="8"/>
      <c r="J25505" s="8"/>
    </row>
    <row r="25506">
      <c r="C25506" s="15"/>
      <c r="E25506" s="8"/>
      <c r="G25506" s="8"/>
      <c r="J25506" s="8"/>
    </row>
    <row r="25507">
      <c r="C25507" s="15"/>
      <c r="E25507" s="8"/>
      <c r="G25507" s="8"/>
      <c r="J25507" s="8"/>
    </row>
    <row r="25508">
      <c r="C25508" s="15"/>
      <c r="E25508" s="8"/>
      <c r="G25508" s="8"/>
      <c r="J25508" s="8"/>
    </row>
    <row r="25509">
      <c r="C25509" s="15"/>
      <c r="E25509" s="8"/>
      <c r="G25509" s="8"/>
      <c r="J25509" s="8"/>
    </row>
    <row r="25510">
      <c r="C25510" s="15"/>
      <c r="E25510" s="8"/>
      <c r="G25510" s="8"/>
      <c r="J25510" s="8"/>
    </row>
    <row r="25511">
      <c r="C25511" s="15"/>
      <c r="E25511" s="8"/>
      <c r="G25511" s="8"/>
      <c r="J25511" s="8"/>
    </row>
    <row r="25512">
      <c r="C25512" s="15"/>
      <c r="E25512" s="8"/>
      <c r="G25512" s="8"/>
      <c r="J25512" s="8"/>
    </row>
    <row r="25513">
      <c r="C25513" s="15"/>
      <c r="E25513" s="8"/>
      <c r="G25513" s="8"/>
      <c r="J25513" s="8"/>
    </row>
    <row r="25514">
      <c r="C25514" s="15"/>
      <c r="E25514" s="8"/>
      <c r="G25514" s="8"/>
      <c r="J25514" s="8"/>
    </row>
    <row r="25515">
      <c r="C25515" s="15"/>
      <c r="E25515" s="8"/>
      <c r="G25515" s="8"/>
      <c r="J25515" s="8"/>
    </row>
    <row r="25516">
      <c r="C25516" s="15"/>
      <c r="E25516" s="8"/>
      <c r="G25516" s="8"/>
      <c r="J25516" s="8"/>
    </row>
    <row r="25517">
      <c r="C25517" s="15"/>
      <c r="E25517" s="8"/>
      <c r="G25517" s="8"/>
      <c r="J25517" s="8"/>
    </row>
    <row r="25518">
      <c r="C25518" s="15"/>
      <c r="E25518" s="8"/>
      <c r="G25518" s="8"/>
      <c r="J25518" s="8"/>
    </row>
    <row r="25519">
      <c r="C25519" s="15"/>
      <c r="E25519" s="8"/>
      <c r="G25519" s="8"/>
      <c r="J25519" s="8"/>
    </row>
    <row r="25520">
      <c r="C25520" s="15"/>
      <c r="E25520" s="8"/>
      <c r="G25520" s="8"/>
      <c r="J25520" s="8"/>
    </row>
    <row r="25521">
      <c r="C25521" s="15"/>
      <c r="E25521" s="8"/>
      <c r="G25521" s="8"/>
      <c r="J25521" s="8"/>
    </row>
    <row r="25522">
      <c r="C25522" s="15"/>
      <c r="E25522" s="8"/>
      <c r="G25522" s="8"/>
      <c r="J25522" s="8"/>
    </row>
    <row r="25523">
      <c r="C25523" s="15"/>
      <c r="E25523" s="8"/>
      <c r="G25523" s="8"/>
      <c r="J25523" s="8"/>
    </row>
    <row r="25524">
      <c r="C25524" s="15"/>
      <c r="E25524" s="8"/>
      <c r="G25524" s="8"/>
      <c r="J25524" s="8"/>
    </row>
    <row r="25525">
      <c r="C25525" s="15"/>
      <c r="E25525" s="8"/>
      <c r="G25525" s="8"/>
      <c r="J25525" s="8"/>
    </row>
    <row r="25526">
      <c r="C25526" s="15"/>
      <c r="E25526" s="8"/>
      <c r="G25526" s="8"/>
      <c r="J25526" s="8"/>
    </row>
    <row r="25527">
      <c r="C25527" s="15"/>
      <c r="E25527" s="8"/>
      <c r="G25527" s="8"/>
      <c r="J25527" s="8"/>
    </row>
    <row r="25528">
      <c r="C25528" s="15"/>
      <c r="E25528" s="8"/>
      <c r="G25528" s="8"/>
      <c r="J25528" s="8"/>
    </row>
    <row r="25529">
      <c r="C25529" s="15"/>
      <c r="E25529" s="8"/>
      <c r="G25529" s="8"/>
      <c r="J25529" s="8"/>
    </row>
    <row r="25530">
      <c r="C25530" s="15"/>
      <c r="E25530" s="8"/>
      <c r="G25530" s="8"/>
      <c r="J25530" s="8"/>
    </row>
    <row r="25531">
      <c r="C25531" s="15"/>
      <c r="E25531" s="8"/>
      <c r="G25531" s="8"/>
      <c r="J25531" s="8"/>
    </row>
    <row r="25532">
      <c r="C25532" s="15"/>
      <c r="E25532" s="8"/>
      <c r="G25532" s="8"/>
      <c r="J25532" s="8"/>
    </row>
    <row r="25533">
      <c r="C25533" s="15"/>
      <c r="E25533" s="8"/>
      <c r="G25533" s="8"/>
      <c r="J25533" s="8"/>
    </row>
    <row r="25534">
      <c r="C25534" s="15"/>
      <c r="E25534" s="8"/>
      <c r="G25534" s="8"/>
      <c r="J25534" s="8"/>
    </row>
    <row r="25535">
      <c r="C25535" s="15"/>
      <c r="E25535" s="8"/>
      <c r="G25535" s="8"/>
      <c r="J25535" s="8"/>
    </row>
    <row r="25536">
      <c r="C25536" s="15"/>
      <c r="E25536" s="8"/>
      <c r="G25536" s="8"/>
      <c r="J25536" s="8"/>
    </row>
    <row r="25537">
      <c r="C25537" s="15"/>
      <c r="E25537" s="8"/>
      <c r="G25537" s="8"/>
      <c r="J25537" s="8"/>
    </row>
    <row r="25538">
      <c r="C25538" s="15"/>
      <c r="E25538" s="8"/>
      <c r="G25538" s="8"/>
      <c r="J25538" s="8"/>
    </row>
    <row r="25539">
      <c r="C25539" s="15"/>
      <c r="E25539" s="8"/>
      <c r="G25539" s="8"/>
      <c r="J25539" s="8"/>
    </row>
    <row r="25540">
      <c r="C25540" s="15"/>
      <c r="E25540" s="8"/>
      <c r="G25540" s="8"/>
      <c r="J25540" s="8"/>
    </row>
    <row r="25541">
      <c r="C25541" s="15"/>
      <c r="E25541" s="8"/>
      <c r="G25541" s="8"/>
      <c r="J25541" s="8"/>
    </row>
    <row r="25542">
      <c r="C25542" s="15"/>
      <c r="E25542" s="8"/>
      <c r="G25542" s="8"/>
      <c r="J25542" s="8"/>
    </row>
    <row r="25543">
      <c r="C25543" s="15"/>
      <c r="E25543" s="8"/>
      <c r="G25543" s="8"/>
      <c r="J25543" s="8"/>
    </row>
    <row r="25544">
      <c r="C25544" s="15"/>
      <c r="E25544" s="8"/>
      <c r="G25544" s="8"/>
      <c r="J25544" s="8"/>
    </row>
    <row r="25545">
      <c r="C25545" s="15"/>
      <c r="E25545" s="8"/>
      <c r="G25545" s="8"/>
      <c r="J25545" s="8"/>
    </row>
    <row r="25546">
      <c r="C25546" s="15"/>
      <c r="E25546" s="8"/>
      <c r="G25546" s="8"/>
      <c r="J25546" s="8"/>
    </row>
    <row r="25547">
      <c r="C25547" s="15"/>
      <c r="E25547" s="8"/>
      <c r="G25547" s="8"/>
      <c r="J25547" s="8"/>
    </row>
    <row r="25548">
      <c r="C25548" s="15"/>
      <c r="E25548" s="8"/>
      <c r="G25548" s="8"/>
      <c r="J25548" s="8"/>
    </row>
    <row r="25549">
      <c r="C25549" s="15"/>
      <c r="E25549" s="8"/>
      <c r="G25549" s="8"/>
      <c r="J25549" s="8"/>
    </row>
    <row r="25550">
      <c r="C25550" s="15"/>
      <c r="E25550" s="8"/>
      <c r="G25550" s="8"/>
      <c r="J25550" s="8"/>
    </row>
    <row r="25551">
      <c r="C25551" s="15"/>
      <c r="E25551" s="8"/>
      <c r="G25551" s="8"/>
      <c r="J25551" s="8"/>
    </row>
    <row r="25552">
      <c r="C25552" s="15"/>
      <c r="E25552" s="8"/>
      <c r="G25552" s="8"/>
      <c r="J25552" s="8"/>
    </row>
    <row r="25553">
      <c r="C25553" s="15"/>
      <c r="E25553" s="8"/>
      <c r="G25553" s="8"/>
      <c r="J25553" s="8"/>
    </row>
    <row r="25554">
      <c r="C25554" s="15"/>
      <c r="E25554" s="8"/>
      <c r="G25554" s="8"/>
      <c r="J25554" s="8"/>
    </row>
    <row r="25555">
      <c r="C25555" s="15"/>
      <c r="E25555" s="8"/>
      <c r="G25555" s="8"/>
      <c r="J25555" s="8"/>
    </row>
    <row r="25556">
      <c r="C25556" s="15"/>
      <c r="E25556" s="8"/>
      <c r="G25556" s="8"/>
      <c r="J25556" s="8"/>
    </row>
    <row r="25557">
      <c r="C25557" s="15"/>
      <c r="E25557" s="8"/>
      <c r="G25557" s="8"/>
      <c r="J25557" s="8"/>
    </row>
    <row r="25558">
      <c r="C25558" s="15"/>
      <c r="E25558" s="8"/>
      <c r="G25558" s="8"/>
      <c r="J25558" s="8"/>
    </row>
    <row r="25559">
      <c r="C25559" s="15"/>
      <c r="E25559" s="8"/>
      <c r="G25559" s="8"/>
      <c r="J25559" s="8"/>
    </row>
    <row r="25560">
      <c r="C25560" s="15"/>
      <c r="E25560" s="8"/>
      <c r="G25560" s="8"/>
      <c r="J25560" s="8"/>
    </row>
    <row r="25561">
      <c r="C25561" s="15"/>
      <c r="E25561" s="8"/>
      <c r="G25561" s="8"/>
      <c r="J25561" s="8"/>
    </row>
    <row r="25562">
      <c r="C25562" s="15"/>
      <c r="E25562" s="8"/>
      <c r="G25562" s="8"/>
      <c r="J25562" s="8"/>
    </row>
    <row r="25563">
      <c r="C25563" s="15"/>
      <c r="E25563" s="8"/>
      <c r="G25563" s="8"/>
      <c r="J25563" s="8"/>
    </row>
    <row r="25564">
      <c r="C25564" s="15"/>
      <c r="E25564" s="8"/>
      <c r="G25564" s="8"/>
      <c r="J25564" s="8"/>
    </row>
    <row r="25565">
      <c r="C25565" s="15"/>
      <c r="E25565" s="8"/>
      <c r="G25565" s="8"/>
      <c r="J25565" s="8"/>
    </row>
    <row r="25566">
      <c r="C25566" s="15"/>
      <c r="E25566" s="8"/>
      <c r="G25566" s="8"/>
      <c r="J25566" s="8"/>
    </row>
    <row r="25567">
      <c r="C25567" s="15"/>
      <c r="E25567" s="8"/>
      <c r="G25567" s="8"/>
      <c r="J25567" s="8"/>
    </row>
    <row r="25568">
      <c r="C25568" s="15"/>
      <c r="E25568" s="8"/>
      <c r="G25568" s="8"/>
      <c r="J25568" s="8"/>
    </row>
    <row r="25569">
      <c r="C25569" s="15"/>
      <c r="E25569" s="8"/>
      <c r="G25569" s="8"/>
      <c r="J25569" s="8"/>
    </row>
    <row r="25570">
      <c r="C25570" s="15"/>
      <c r="E25570" s="8"/>
      <c r="G25570" s="8"/>
      <c r="J25570" s="8"/>
    </row>
    <row r="25571">
      <c r="C25571" s="15"/>
      <c r="E25571" s="8"/>
      <c r="G25571" s="8"/>
      <c r="J25571" s="8"/>
    </row>
    <row r="25572">
      <c r="C25572" s="15"/>
      <c r="E25572" s="8"/>
      <c r="G25572" s="8"/>
      <c r="J25572" s="8"/>
    </row>
    <row r="25573">
      <c r="C25573" s="15"/>
      <c r="E25573" s="8"/>
      <c r="G25573" s="8"/>
      <c r="J25573" s="8"/>
    </row>
    <row r="25574">
      <c r="C25574" s="15"/>
      <c r="E25574" s="8"/>
      <c r="G25574" s="8"/>
      <c r="J25574" s="8"/>
    </row>
    <row r="25575">
      <c r="C25575" s="15"/>
      <c r="E25575" s="8"/>
      <c r="G25575" s="8"/>
      <c r="J25575" s="8"/>
    </row>
    <row r="25576">
      <c r="C25576" s="15"/>
      <c r="E25576" s="8"/>
      <c r="G25576" s="8"/>
      <c r="J25576" s="8"/>
    </row>
    <row r="25577">
      <c r="C25577" s="15"/>
      <c r="E25577" s="8"/>
      <c r="G25577" s="8"/>
      <c r="J25577" s="8"/>
    </row>
    <row r="25578">
      <c r="C25578" s="15"/>
      <c r="E25578" s="8"/>
      <c r="G25578" s="8"/>
      <c r="J25578" s="8"/>
    </row>
    <row r="25579">
      <c r="C25579" s="15"/>
      <c r="E25579" s="8"/>
      <c r="G25579" s="8"/>
      <c r="J25579" s="8"/>
    </row>
    <row r="25580">
      <c r="C25580" s="15"/>
      <c r="E25580" s="8"/>
      <c r="G25580" s="8"/>
      <c r="J25580" s="8"/>
    </row>
    <row r="25581">
      <c r="C25581" s="15"/>
      <c r="E25581" s="8"/>
      <c r="G25581" s="8"/>
      <c r="J25581" s="8"/>
    </row>
    <row r="25582">
      <c r="C25582" s="15"/>
      <c r="E25582" s="8"/>
      <c r="G25582" s="8"/>
      <c r="J25582" s="8"/>
    </row>
    <row r="25583">
      <c r="C25583" s="15"/>
      <c r="E25583" s="8"/>
      <c r="G25583" s="8"/>
      <c r="J25583" s="8"/>
    </row>
    <row r="25584">
      <c r="C25584" s="15"/>
      <c r="E25584" s="8"/>
      <c r="G25584" s="8"/>
      <c r="J25584" s="8"/>
    </row>
    <row r="25585">
      <c r="C25585" s="15"/>
      <c r="E25585" s="8"/>
      <c r="G25585" s="8"/>
      <c r="J25585" s="8"/>
    </row>
    <row r="25586">
      <c r="C25586" s="15"/>
      <c r="E25586" s="8"/>
      <c r="G25586" s="8"/>
      <c r="J25586" s="8"/>
    </row>
    <row r="25587">
      <c r="C25587" s="15"/>
      <c r="E25587" s="8"/>
      <c r="G25587" s="8"/>
      <c r="J25587" s="8"/>
    </row>
    <row r="25588">
      <c r="C25588" s="15"/>
      <c r="E25588" s="8"/>
      <c r="G25588" s="8"/>
      <c r="J25588" s="8"/>
    </row>
    <row r="25589">
      <c r="C25589" s="15"/>
      <c r="E25589" s="8"/>
      <c r="G25589" s="8"/>
      <c r="J25589" s="8"/>
    </row>
    <row r="25590">
      <c r="C25590" s="15"/>
      <c r="E25590" s="8"/>
      <c r="G25590" s="8"/>
      <c r="J25590" s="8"/>
    </row>
    <row r="25591">
      <c r="C25591" s="15"/>
      <c r="E25591" s="8"/>
      <c r="G25591" s="8"/>
      <c r="J25591" s="8"/>
    </row>
    <row r="25592">
      <c r="C25592" s="15"/>
      <c r="E25592" s="8"/>
      <c r="G25592" s="8"/>
      <c r="J25592" s="8"/>
    </row>
    <row r="25593">
      <c r="C25593" s="15"/>
      <c r="E25593" s="8"/>
      <c r="G25593" s="8"/>
      <c r="J25593" s="8"/>
    </row>
    <row r="25594">
      <c r="C25594" s="15"/>
      <c r="E25594" s="8"/>
      <c r="G25594" s="8"/>
      <c r="J25594" s="8"/>
    </row>
    <row r="25595">
      <c r="C25595" s="15"/>
      <c r="E25595" s="8"/>
      <c r="G25595" s="8"/>
      <c r="J25595" s="8"/>
    </row>
    <row r="25596">
      <c r="C25596" s="15"/>
      <c r="E25596" s="8"/>
      <c r="G25596" s="8"/>
      <c r="J25596" s="8"/>
    </row>
    <row r="25597">
      <c r="C25597" s="15"/>
      <c r="E25597" s="8"/>
      <c r="G25597" s="8"/>
      <c r="J25597" s="8"/>
    </row>
    <row r="25598">
      <c r="C25598" s="15"/>
      <c r="E25598" s="8"/>
      <c r="G25598" s="8"/>
      <c r="J25598" s="8"/>
    </row>
    <row r="25599">
      <c r="C25599" s="15"/>
      <c r="E25599" s="8"/>
      <c r="G25599" s="8"/>
      <c r="J25599" s="8"/>
    </row>
    <row r="25600">
      <c r="C25600" s="15"/>
      <c r="E25600" s="8"/>
      <c r="G25600" s="8"/>
      <c r="J25600" s="8"/>
    </row>
    <row r="25601">
      <c r="C25601" s="15"/>
      <c r="E25601" s="8"/>
      <c r="G25601" s="8"/>
      <c r="J25601" s="8"/>
    </row>
    <row r="25602">
      <c r="C25602" s="15"/>
      <c r="E25602" s="8"/>
      <c r="G25602" s="8"/>
      <c r="J25602" s="8"/>
    </row>
    <row r="25603">
      <c r="C25603" s="15"/>
      <c r="E25603" s="8"/>
      <c r="G25603" s="8"/>
      <c r="J25603" s="8"/>
    </row>
    <row r="25604">
      <c r="C25604" s="15"/>
      <c r="E25604" s="8"/>
      <c r="G25604" s="8"/>
      <c r="J25604" s="8"/>
    </row>
    <row r="25605">
      <c r="C25605" s="15"/>
      <c r="E25605" s="8"/>
      <c r="G25605" s="8"/>
      <c r="J25605" s="8"/>
    </row>
    <row r="25606">
      <c r="C25606" s="15"/>
      <c r="E25606" s="8"/>
      <c r="G25606" s="8"/>
      <c r="J25606" s="8"/>
    </row>
    <row r="25607">
      <c r="C25607" s="15"/>
      <c r="E25607" s="8"/>
      <c r="G25607" s="8"/>
      <c r="J25607" s="8"/>
    </row>
    <row r="25608">
      <c r="C25608" s="15"/>
      <c r="E25608" s="8"/>
      <c r="G25608" s="8"/>
      <c r="J25608" s="8"/>
    </row>
    <row r="25609">
      <c r="C25609" s="15"/>
      <c r="E25609" s="8"/>
      <c r="G25609" s="8"/>
      <c r="J25609" s="8"/>
    </row>
    <row r="25610">
      <c r="C25610" s="15"/>
      <c r="E25610" s="8"/>
      <c r="G25610" s="8"/>
      <c r="J25610" s="8"/>
    </row>
    <row r="25611">
      <c r="C25611" s="15"/>
      <c r="E25611" s="8"/>
      <c r="G25611" s="8"/>
      <c r="J25611" s="8"/>
    </row>
    <row r="25612">
      <c r="C25612" s="15"/>
      <c r="E25612" s="8"/>
      <c r="G25612" s="8"/>
      <c r="J25612" s="8"/>
    </row>
    <row r="25613">
      <c r="C25613" s="15"/>
      <c r="E25613" s="8"/>
      <c r="G25613" s="8"/>
      <c r="J25613" s="8"/>
    </row>
    <row r="25614">
      <c r="C25614" s="15"/>
      <c r="E25614" s="8"/>
      <c r="G25614" s="8"/>
      <c r="J25614" s="8"/>
    </row>
    <row r="25615">
      <c r="C25615" s="15"/>
      <c r="E25615" s="8"/>
      <c r="G25615" s="8"/>
      <c r="J25615" s="8"/>
    </row>
    <row r="25616">
      <c r="C25616" s="15"/>
      <c r="E25616" s="8"/>
      <c r="G25616" s="8"/>
      <c r="J25616" s="8"/>
    </row>
    <row r="25617">
      <c r="C25617" s="15"/>
      <c r="E25617" s="8"/>
      <c r="G25617" s="8"/>
      <c r="J25617" s="8"/>
    </row>
    <row r="25618">
      <c r="C25618" s="15"/>
      <c r="E25618" s="8"/>
      <c r="G25618" s="8"/>
      <c r="J25618" s="8"/>
    </row>
    <row r="25619">
      <c r="C25619" s="15"/>
      <c r="E25619" s="8"/>
      <c r="G25619" s="8"/>
      <c r="J25619" s="8"/>
    </row>
    <row r="25620">
      <c r="C25620" s="15"/>
      <c r="E25620" s="8"/>
      <c r="G25620" s="8"/>
      <c r="J25620" s="8"/>
    </row>
    <row r="25621">
      <c r="C25621" s="15"/>
      <c r="E25621" s="8"/>
      <c r="G25621" s="8"/>
      <c r="J25621" s="8"/>
    </row>
    <row r="25622">
      <c r="C25622" s="15"/>
      <c r="E25622" s="8"/>
      <c r="G25622" s="8"/>
      <c r="J25622" s="8"/>
    </row>
    <row r="25623">
      <c r="C25623" s="15"/>
      <c r="E25623" s="8"/>
      <c r="G25623" s="8"/>
      <c r="J25623" s="8"/>
    </row>
    <row r="25624">
      <c r="C25624" s="15"/>
      <c r="E25624" s="8"/>
      <c r="G25624" s="8"/>
      <c r="J25624" s="8"/>
    </row>
    <row r="25625">
      <c r="C25625" s="15"/>
      <c r="E25625" s="8"/>
      <c r="G25625" s="8"/>
      <c r="J25625" s="8"/>
    </row>
    <row r="25626">
      <c r="C25626" s="15"/>
      <c r="E25626" s="8"/>
      <c r="G25626" s="8"/>
      <c r="J25626" s="8"/>
    </row>
    <row r="25627">
      <c r="C25627" s="15"/>
      <c r="E25627" s="8"/>
      <c r="G25627" s="8"/>
      <c r="J25627" s="8"/>
    </row>
    <row r="25628">
      <c r="C25628" s="15"/>
      <c r="E25628" s="8"/>
      <c r="G25628" s="8"/>
      <c r="J25628" s="8"/>
    </row>
    <row r="25629">
      <c r="C25629" s="15"/>
      <c r="E25629" s="8"/>
      <c r="G25629" s="8"/>
      <c r="J25629" s="8"/>
    </row>
    <row r="25630">
      <c r="C25630" s="15"/>
      <c r="E25630" s="8"/>
      <c r="G25630" s="8"/>
      <c r="J25630" s="8"/>
    </row>
    <row r="25631">
      <c r="C25631" s="15"/>
      <c r="E25631" s="8"/>
      <c r="G25631" s="8"/>
      <c r="J25631" s="8"/>
    </row>
    <row r="25632">
      <c r="C25632" s="15"/>
      <c r="E25632" s="8"/>
      <c r="G25632" s="8"/>
      <c r="J25632" s="8"/>
    </row>
    <row r="25633">
      <c r="C25633" s="15"/>
      <c r="E25633" s="8"/>
      <c r="G25633" s="8"/>
      <c r="J25633" s="8"/>
    </row>
    <row r="25634">
      <c r="C25634" s="15"/>
      <c r="E25634" s="8"/>
      <c r="G25634" s="8"/>
      <c r="J25634" s="8"/>
    </row>
    <row r="25635">
      <c r="C25635" s="15"/>
      <c r="E25635" s="8"/>
      <c r="G25635" s="8"/>
      <c r="J25635" s="8"/>
    </row>
    <row r="25636">
      <c r="C25636" s="15"/>
      <c r="E25636" s="8"/>
      <c r="G25636" s="8"/>
      <c r="J25636" s="8"/>
    </row>
    <row r="25637">
      <c r="C25637" s="15"/>
      <c r="E25637" s="8"/>
      <c r="G25637" s="8"/>
      <c r="J25637" s="8"/>
    </row>
    <row r="25638">
      <c r="C25638" s="15"/>
      <c r="E25638" s="8"/>
      <c r="G25638" s="8"/>
      <c r="J25638" s="8"/>
    </row>
    <row r="25639">
      <c r="C25639" s="15"/>
      <c r="E25639" s="8"/>
      <c r="G25639" s="8"/>
      <c r="J25639" s="8"/>
    </row>
    <row r="25640">
      <c r="C25640" s="15"/>
      <c r="E25640" s="8"/>
      <c r="G25640" s="8"/>
      <c r="J25640" s="8"/>
    </row>
    <row r="25641">
      <c r="C25641" s="15"/>
      <c r="E25641" s="8"/>
      <c r="G25641" s="8"/>
      <c r="J25641" s="8"/>
    </row>
    <row r="25642">
      <c r="C25642" s="15"/>
      <c r="E25642" s="8"/>
      <c r="G25642" s="8"/>
      <c r="J25642" s="8"/>
    </row>
    <row r="25643">
      <c r="C25643" s="15"/>
      <c r="E25643" s="8"/>
      <c r="G25643" s="8"/>
      <c r="J25643" s="8"/>
    </row>
    <row r="25644">
      <c r="C25644" s="15"/>
      <c r="E25644" s="8"/>
      <c r="G25644" s="8"/>
      <c r="J25644" s="8"/>
    </row>
    <row r="25645">
      <c r="C25645" s="15"/>
      <c r="E25645" s="8"/>
      <c r="G25645" s="8"/>
      <c r="J25645" s="8"/>
    </row>
    <row r="25646">
      <c r="C25646" s="15"/>
      <c r="E25646" s="8"/>
      <c r="G25646" s="8"/>
      <c r="J25646" s="8"/>
    </row>
    <row r="25647">
      <c r="C25647" s="15"/>
      <c r="E25647" s="8"/>
      <c r="G25647" s="8"/>
      <c r="J25647" s="8"/>
    </row>
    <row r="25648">
      <c r="C25648" s="15"/>
      <c r="E25648" s="8"/>
      <c r="G25648" s="8"/>
      <c r="J25648" s="8"/>
    </row>
    <row r="25649">
      <c r="C25649" s="15"/>
      <c r="E25649" s="8"/>
      <c r="G25649" s="8"/>
      <c r="J25649" s="8"/>
    </row>
    <row r="25650">
      <c r="C25650" s="15"/>
      <c r="E25650" s="8"/>
      <c r="G25650" s="8"/>
      <c r="J25650" s="8"/>
    </row>
    <row r="25651">
      <c r="C25651" s="15"/>
      <c r="E25651" s="8"/>
      <c r="G25651" s="8"/>
      <c r="J25651" s="8"/>
    </row>
    <row r="25652">
      <c r="C25652" s="15"/>
      <c r="E25652" s="8"/>
      <c r="G25652" s="8"/>
      <c r="J25652" s="8"/>
    </row>
    <row r="25653">
      <c r="C25653" s="15"/>
      <c r="E25653" s="8"/>
      <c r="G25653" s="8"/>
      <c r="J25653" s="8"/>
    </row>
    <row r="25654">
      <c r="C25654" s="15"/>
      <c r="E25654" s="8"/>
      <c r="G25654" s="8"/>
      <c r="J25654" s="8"/>
    </row>
    <row r="25655">
      <c r="C25655" s="15"/>
      <c r="E25655" s="8"/>
      <c r="G25655" s="8"/>
      <c r="J25655" s="8"/>
    </row>
    <row r="25656">
      <c r="C25656" s="15"/>
      <c r="E25656" s="8"/>
      <c r="G25656" s="8"/>
      <c r="J25656" s="8"/>
    </row>
    <row r="25657">
      <c r="C25657" s="15"/>
      <c r="E25657" s="8"/>
      <c r="G25657" s="8"/>
      <c r="J25657" s="8"/>
    </row>
    <row r="25658">
      <c r="C25658" s="15"/>
      <c r="E25658" s="8"/>
      <c r="G25658" s="8"/>
      <c r="J25658" s="8"/>
    </row>
    <row r="25659">
      <c r="C25659" s="15"/>
      <c r="E25659" s="8"/>
      <c r="G25659" s="8"/>
      <c r="J25659" s="8"/>
    </row>
    <row r="25660">
      <c r="C25660" s="15"/>
      <c r="E25660" s="8"/>
      <c r="G25660" s="8"/>
      <c r="J25660" s="8"/>
    </row>
    <row r="25661">
      <c r="C25661" s="15"/>
      <c r="E25661" s="8"/>
      <c r="G25661" s="8"/>
      <c r="J25661" s="8"/>
    </row>
    <row r="25662">
      <c r="C25662" s="15"/>
      <c r="E25662" s="8"/>
      <c r="G25662" s="8"/>
      <c r="J25662" s="8"/>
    </row>
    <row r="25663">
      <c r="C25663" s="15"/>
      <c r="E25663" s="8"/>
      <c r="G25663" s="8"/>
      <c r="J25663" s="8"/>
    </row>
    <row r="25664">
      <c r="C25664" s="15"/>
      <c r="E25664" s="8"/>
      <c r="G25664" s="8"/>
      <c r="J25664" s="8"/>
    </row>
    <row r="25665">
      <c r="C25665" s="15"/>
      <c r="E25665" s="8"/>
      <c r="G25665" s="8"/>
      <c r="J25665" s="8"/>
    </row>
    <row r="25666">
      <c r="C25666" s="15"/>
      <c r="E25666" s="8"/>
      <c r="G25666" s="8"/>
      <c r="J25666" s="8"/>
    </row>
    <row r="25667">
      <c r="C25667" s="15"/>
      <c r="E25667" s="8"/>
      <c r="G25667" s="8"/>
      <c r="J25667" s="8"/>
    </row>
    <row r="25668">
      <c r="C25668" s="15"/>
      <c r="E25668" s="8"/>
      <c r="G25668" s="8"/>
      <c r="J25668" s="8"/>
    </row>
    <row r="25669">
      <c r="C25669" s="15"/>
      <c r="E25669" s="8"/>
      <c r="G25669" s="8"/>
      <c r="J25669" s="8"/>
    </row>
    <row r="25670">
      <c r="C25670" s="15"/>
      <c r="E25670" s="8"/>
      <c r="G25670" s="8"/>
      <c r="J25670" s="8"/>
    </row>
    <row r="25671">
      <c r="C25671" s="15"/>
      <c r="E25671" s="8"/>
      <c r="G25671" s="8"/>
      <c r="J25671" s="8"/>
    </row>
    <row r="25672">
      <c r="C25672" s="15"/>
      <c r="E25672" s="8"/>
      <c r="G25672" s="8"/>
      <c r="J25672" s="8"/>
    </row>
    <row r="25673">
      <c r="C25673" s="15"/>
      <c r="E25673" s="8"/>
      <c r="G25673" s="8"/>
      <c r="J25673" s="8"/>
    </row>
    <row r="25674">
      <c r="C25674" s="15"/>
      <c r="E25674" s="8"/>
      <c r="G25674" s="8"/>
      <c r="J25674" s="8"/>
    </row>
    <row r="25675">
      <c r="C25675" s="15"/>
      <c r="E25675" s="8"/>
      <c r="G25675" s="8"/>
      <c r="J25675" s="8"/>
    </row>
    <row r="25676">
      <c r="C25676" s="15"/>
      <c r="E25676" s="8"/>
      <c r="G25676" s="8"/>
      <c r="J25676" s="8"/>
    </row>
    <row r="25677">
      <c r="C25677" s="15"/>
      <c r="E25677" s="8"/>
      <c r="G25677" s="8"/>
      <c r="J25677" s="8"/>
    </row>
    <row r="25678">
      <c r="C25678" s="15"/>
      <c r="E25678" s="8"/>
      <c r="G25678" s="8"/>
      <c r="J25678" s="8"/>
    </row>
    <row r="25679">
      <c r="C25679" s="15"/>
      <c r="E25679" s="8"/>
      <c r="G25679" s="8"/>
      <c r="J25679" s="8"/>
    </row>
    <row r="25680">
      <c r="C25680" s="15"/>
      <c r="E25680" s="8"/>
      <c r="G25680" s="8"/>
      <c r="J25680" s="8"/>
    </row>
    <row r="25681">
      <c r="C25681" s="15"/>
      <c r="E25681" s="8"/>
      <c r="G25681" s="8"/>
      <c r="J25681" s="8"/>
    </row>
    <row r="25682">
      <c r="C25682" s="15"/>
      <c r="E25682" s="8"/>
      <c r="G25682" s="8"/>
      <c r="J25682" s="8"/>
    </row>
    <row r="25683">
      <c r="C25683" s="15"/>
      <c r="E25683" s="8"/>
      <c r="G25683" s="8"/>
      <c r="J25683" s="8"/>
    </row>
    <row r="25684">
      <c r="C25684" s="15"/>
      <c r="E25684" s="8"/>
      <c r="G25684" s="8"/>
      <c r="J25684" s="8"/>
    </row>
    <row r="25685">
      <c r="C25685" s="15"/>
      <c r="E25685" s="8"/>
      <c r="G25685" s="8"/>
      <c r="J25685" s="8"/>
    </row>
    <row r="25686">
      <c r="C25686" s="15"/>
      <c r="E25686" s="8"/>
      <c r="G25686" s="8"/>
      <c r="J25686" s="8"/>
    </row>
    <row r="25687">
      <c r="C25687" s="15"/>
      <c r="E25687" s="8"/>
      <c r="G25687" s="8"/>
      <c r="J25687" s="8"/>
    </row>
    <row r="25688">
      <c r="C25688" s="15"/>
      <c r="E25688" s="8"/>
      <c r="G25688" s="8"/>
      <c r="J25688" s="8"/>
    </row>
    <row r="25689">
      <c r="C25689" s="15"/>
      <c r="E25689" s="8"/>
      <c r="G25689" s="8"/>
      <c r="J25689" s="8"/>
    </row>
    <row r="25690">
      <c r="C25690" s="15"/>
      <c r="E25690" s="8"/>
      <c r="G25690" s="8"/>
      <c r="J25690" s="8"/>
    </row>
    <row r="25691">
      <c r="C25691" s="15"/>
      <c r="E25691" s="8"/>
      <c r="G25691" s="8"/>
      <c r="J25691" s="8"/>
    </row>
    <row r="25692">
      <c r="C25692" s="15"/>
      <c r="E25692" s="8"/>
      <c r="G25692" s="8"/>
      <c r="J25692" s="8"/>
    </row>
    <row r="25693">
      <c r="C25693" s="15"/>
      <c r="E25693" s="8"/>
      <c r="G25693" s="8"/>
      <c r="J25693" s="8"/>
    </row>
    <row r="25694">
      <c r="C25694" s="15"/>
      <c r="E25694" s="8"/>
      <c r="G25694" s="8"/>
      <c r="J25694" s="8"/>
    </row>
    <row r="25695">
      <c r="C25695" s="15"/>
      <c r="E25695" s="8"/>
      <c r="G25695" s="8"/>
      <c r="J25695" s="8"/>
    </row>
    <row r="25696">
      <c r="C25696" s="15"/>
      <c r="E25696" s="8"/>
      <c r="G25696" s="8"/>
      <c r="J25696" s="8"/>
    </row>
    <row r="25697">
      <c r="C25697" s="15"/>
      <c r="E25697" s="8"/>
      <c r="G25697" s="8"/>
      <c r="J25697" s="8"/>
    </row>
    <row r="25698">
      <c r="C25698" s="15"/>
      <c r="E25698" s="8"/>
      <c r="G25698" s="8"/>
      <c r="J25698" s="8"/>
    </row>
    <row r="25699">
      <c r="C25699" s="15"/>
      <c r="E25699" s="8"/>
      <c r="G25699" s="8"/>
      <c r="J25699" s="8"/>
    </row>
    <row r="25700">
      <c r="C25700" s="15"/>
      <c r="E25700" s="8"/>
      <c r="G25700" s="8"/>
      <c r="J25700" s="8"/>
    </row>
    <row r="25701">
      <c r="C25701" s="15"/>
      <c r="E25701" s="8"/>
      <c r="G25701" s="8"/>
      <c r="J25701" s="8"/>
    </row>
    <row r="25702">
      <c r="C25702" s="15"/>
      <c r="E25702" s="8"/>
      <c r="G25702" s="8"/>
      <c r="J25702" s="8"/>
    </row>
    <row r="25703">
      <c r="C25703" s="15"/>
      <c r="E25703" s="8"/>
      <c r="G25703" s="8"/>
      <c r="J25703" s="8"/>
    </row>
    <row r="25704">
      <c r="C25704" s="15"/>
      <c r="E25704" s="8"/>
      <c r="G25704" s="8"/>
      <c r="J25704" s="8"/>
    </row>
    <row r="25705">
      <c r="C25705" s="15"/>
      <c r="E25705" s="8"/>
      <c r="G25705" s="8"/>
      <c r="J25705" s="8"/>
    </row>
    <row r="25706">
      <c r="C25706" s="15"/>
      <c r="E25706" s="8"/>
      <c r="G25706" s="8"/>
      <c r="J25706" s="8"/>
    </row>
    <row r="25707">
      <c r="C25707" s="15"/>
      <c r="E25707" s="8"/>
      <c r="G25707" s="8"/>
      <c r="J25707" s="8"/>
    </row>
    <row r="25708">
      <c r="C25708" s="15"/>
      <c r="E25708" s="8"/>
      <c r="G25708" s="8"/>
      <c r="J25708" s="8"/>
    </row>
    <row r="25709">
      <c r="C25709" s="15"/>
      <c r="E25709" s="8"/>
      <c r="G25709" s="8"/>
      <c r="J25709" s="8"/>
    </row>
    <row r="25710">
      <c r="C25710" s="15"/>
      <c r="E25710" s="8"/>
      <c r="G25710" s="8"/>
      <c r="J25710" s="8"/>
    </row>
    <row r="25711">
      <c r="C25711" s="15"/>
      <c r="E25711" s="8"/>
      <c r="G25711" s="8"/>
      <c r="J25711" s="8"/>
    </row>
    <row r="25712">
      <c r="C25712" s="15"/>
      <c r="E25712" s="8"/>
      <c r="G25712" s="8"/>
      <c r="J25712" s="8"/>
    </row>
    <row r="25713">
      <c r="C25713" s="15"/>
      <c r="E25713" s="8"/>
      <c r="G25713" s="8"/>
      <c r="J25713" s="8"/>
    </row>
    <row r="25714">
      <c r="C25714" s="15"/>
      <c r="E25714" s="8"/>
      <c r="G25714" s="8"/>
      <c r="J25714" s="8"/>
    </row>
    <row r="25715">
      <c r="C25715" s="15"/>
      <c r="E25715" s="8"/>
      <c r="G25715" s="8"/>
      <c r="J25715" s="8"/>
    </row>
    <row r="25716">
      <c r="C25716" s="15"/>
      <c r="E25716" s="8"/>
      <c r="G25716" s="8"/>
      <c r="J25716" s="8"/>
    </row>
    <row r="25717">
      <c r="C25717" s="15"/>
      <c r="E25717" s="8"/>
      <c r="G25717" s="8"/>
      <c r="J25717" s="8"/>
    </row>
    <row r="25718">
      <c r="C25718" s="15"/>
      <c r="E25718" s="8"/>
      <c r="G25718" s="8"/>
      <c r="J25718" s="8"/>
    </row>
    <row r="25719">
      <c r="C25719" s="15"/>
      <c r="E25719" s="8"/>
      <c r="G25719" s="8"/>
      <c r="J25719" s="8"/>
    </row>
    <row r="25720">
      <c r="C25720" s="15"/>
      <c r="E25720" s="8"/>
      <c r="G25720" s="8"/>
      <c r="J25720" s="8"/>
    </row>
    <row r="25721">
      <c r="C25721" s="15"/>
      <c r="E25721" s="8"/>
      <c r="G25721" s="8"/>
      <c r="J25721" s="8"/>
    </row>
    <row r="25722">
      <c r="C25722" s="15"/>
      <c r="E25722" s="8"/>
      <c r="G25722" s="8"/>
      <c r="J25722" s="8"/>
    </row>
    <row r="25723">
      <c r="C25723" s="15"/>
      <c r="E25723" s="8"/>
      <c r="G25723" s="8"/>
      <c r="J25723" s="8"/>
    </row>
    <row r="25724">
      <c r="C25724" s="15"/>
      <c r="E25724" s="8"/>
      <c r="G25724" s="8"/>
      <c r="J25724" s="8"/>
    </row>
    <row r="25725">
      <c r="C25725" s="15"/>
      <c r="E25725" s="8"/>
      <c r="G25725" s="8"/>
      <c r="J25725" s="8"/>
    </row>
    <row r="25726">
      <c r="C25726" s="15"/>
      <c r="E25726" s="8"/>
      <c r="G25726" s="8"/>
      <c r="J25726" s="8"/>
    </row>
    <row r="25727">
      <c r="C25727" s="15"/>
      <c r="E25727" s="8"/>
      <c r="G25727" s="8"/>
      <c r="J25727" s="8"/>
    </row>
    <row r="25728">
      <c r="C25728" s="15"/>
      <c r="E25728" s="8"/>
      <c r="G25728" s="8"/>
      <c r="J25728" s="8"/>
    </row>
    <row r="25729">
      <c r="C25729" s="15"/>
      <c r="E25729" s="8"/>
      <c r="G25729" s="8"/>
      <c r="J25729" s="8"/>
    </row>
    <row r="25730">
      <c r="C25730" s="15"/>
      <c r="E25730" s="8"/>
      <c r="G25730" s="8"/>
      <c r="J25730" s="8"/>
    </row>
    <row r="25731">
      <c r="C25731" s="15"/>
      <c r="E25731" s="8"/>
      <c r="G25731" s="8"/>
      <c r="J25731" s="8"/>
    </row>
    <row r="25732">
      <c r="C25732" s="15"/>
      <c r="E25732" s="8"/>
      <c r="G25732" s="8"/>
      <c r="J25732" s="8"/>
    </row>
    <row r="25733">
      <c r="C25733" s="15"/>
      <c r="E25733" s="8"/>
      <c r="G25733" s="8"/>
      <c r="J25733" s="8"/>
    </row>
    <row r="25734">
      <c r="C25734" s="15"/>
      <c r="E25734" s="8"/>
      <c r="G25734" s="8"/>
      <c r="J25734" s="8"/>
    </row>
    <row r="25735">
      <c r="C25735" s="15"/>
      <c r="E25735" s="8"/>
      <c r="G25735" s="8"/>
      <c r="J25735" s="8"/>
    </row>
    <row r="25736">
      <c r="C25736" s="15"/>
      <c r="E25736" s="8"/>
      <c r="G25736" s="8"/>
      <c r="J25736" s="8"/>
    </row>
    <row r="25737">
      <c r="C25737" s="15"/>
      <c r="E25737" s="8"/>
      <c r="G25737" s="8"/>
      <c r="J25737" s="8"/>
    </row>
    <row r="25738">
      <c r="C25738" s="15"/>
      <c r="E25738" s="8"/>
      <c r="G25738" s="8"/>
      <c r="J25738" s="8"/>
    </row>
    <row r="25739">
      <c r="C25739" s="15"/>
      <c r="E25739" s="8"/>
      <c r="G25739" s="8"/>
      <c r="J25739" s="8"/>
    </row>
    <row r="25740">
      <c r="C25740" s="15"/>
      <c r="E25740" s="8"/>
      <c r="G25740" s="8"/>
      <c r="J25740" s="8"/>
    </row>
    <row r="25741">
      <c r="C25741" s="15"/>
      <c r="E25741" s="8"/>
      <c r="G25741" s="8"/>
      <c r="J25741" s="8"/>
    </row>
    <row r="25742">
      <c r="C25742" s="15"/>
      <c r="E25742" s="8"/>
      <c r="G25742" s="8"/>
      <c r="J25742" s="8"/>
    </row>
    <row r="25743">
      <c r="C25743" s="15"/>
      <c r="E25743" s="8"/>
      <c r="G25743" s="8"/>
      <c r="J25743" s="8"/>
    </row>
    <row r="25744">
      <c r="C25744" s="15"/>
      <c r="E25744" s="8"/>
      <c r="G25744" s="8"/>
      <c r="J25744" s="8"/>
    </row>
    <row r="25745">
      <c r="C25745" s="15"/>
      <c r="E25745" s="8"/>
      <c r="G25745" s="8"/>
      <c r="J25745" s="8"/>
    </row>
    <row r="25746">
      <c r="C25746" s="15"/>
      <c r="E25746" s="8"/>
      <c r="G25746" s="8"/>
      <c r="J25746" s="8"/>
    </row>
    <row r="25747">
      <c r="C25747" s="15"/>
      <c r="E25747" s="8"/>
      <c r="G25747" s="8"/>
      <c r="J25747" s="8"/>
    </row>
    <row r="25748">
      <c r="C25748" s="15"/>
      <c r="E25748" s="8"/>
      <c r="G25748" s="8"/>
      <c r="J25748" s="8"/>
    </row>
    <row r="25749">
      <c r="C25749" s="15"/>
      <c r="E25749" s="8"/>
      <c r="G25749" s="8"/>
      <c r="J25749" s="8"/>
    </row>
    <row r="25750">
      <c r="C25750" s="15"/>
      <c r="E25750" s="8"/>
      <c r="G25750" s="8"/>
      <c r="J25750" s="8"/>
    </row>
    <row r="25751">
      <c r="C25751" s="15"/>
      <c r="E25751" s="8"/>
      <c r="G25751" s="8"/>
      <c r="J25751" s="8"/>
    </row>
    <row r="25752">
      <c r="C25752" s="15"/>
      <c r="E25752" s="8"/>
      <c r="G25752" s="8"/>
      <c r="J25752" s="8"/>
    </row>
    <row r="25753">
      <c r="C25753" s="15"/>
      <c r="E25753" s="8"/>
      <c r="G25753" s="8"/>
      <c r="J25753" s="8"/>
    </row>
    <row r="25754">
      <c r="C25754" s="15"/>
      <c r="E25754" s="8"/>
      <c r="G25754" s="8"/>
      <c r="J25754" s="8"/>
    </row>
    <row r="25755">
      <c r="C25755" s="15"/>
      <c r="E25755" s="8"/>
      <c r="G25755" s="8"/>
      <c r="J25755" s="8"/>
    </row>
    <row r="25756">
      <c r="C25756" s="15"/>
      <c r="E25756" s="8"/>
      <c r="G25756" s="8"/>
      <c r="J25756" s="8"/>
    </row>
    <row r="25757">
      <c r="C25757" s="15"/>
      <c r="E25757" s="8"/>
      <c r="G25757" s="8"/>
      <c r="J25757" s="8"/>
    </row>
    <row r="25758">
      <c r="C25758" s="15"/>
      <c r="E25758" s="8"/>
      <c r="G25758" s="8"/>
      <c r="J25758" s="8"/>
    </row>
    <row r="25759">
      <c r="C25759" s="15"/>
      <c r="E25759" s="8"/>
      <c r="G25759" s="8"/>
      <c r="J25759" s="8"/>
    </row>
    <row r="25760">
      <c r="C25760" s="15"/>
      <c r="E25760" s="8"/>
      <c r="G25760" s="8"/>
      <c r="J25760" s="8"/>
    </row>
    <row r="25761">
      <c r="C25761" s="15"/>
      <c r="E25761" s="8"/>
      <c r="G25761" s="8"/>
      <c r="J25761" s="8"/>
    </row>
    <row r="25762">
      <c r="C25762" s="15"/>
      <c r="E25762" s="8"/>
      <c r="G25762" s="8"/>
      <c r="J25762" s="8"/>
    </row>
    <row r="25763">
      <c r="C25763" s="15"/>
      <c r="E25763" s="8"/>
      <c r="G25763" s="8"/>
      <c r="J25763" s="8"/>
    </row>
    <row r="25764">
      <c r="C25764" s="15"/>
      <c r="E25764" s="8"/>
      <c r="G25764" s="8"/>
      <c r="J25764" s="8"/>
    </row>
    <row r="25765">
      <c r="C25765" s="15"/>
      <c r="E25765" s="8"/>
      <c r="G25765" s="8"/>
      <c r="J25765" s="8"/>
    </row>
    <row r="25766">
      <c r="C25766" s="15"/>
      <c r="E25766" s="8"/>
      <c r="G25766" s="8"/>
      <c r="J25766" s="8"/>
    </row>
    <row r="25767">
      <c r="C25767" s="15"/>
      <c r="E25767" s="8"/>
      <c r="G25767" s="8"/>
      <c r="J25767" s="8"/>
    </row>
    <row r="25768">
      <c r="C25768" s="15"/>
      <c r="E25768" s="8"/>
      <c r="G25768" s="8"/>
      <c r="J25768" s="8"/>
    </row>
    <row r="25769">
      <c r="C25769" s="15"/>
      <c r="E25769" s="8"/>
      <c r="G25769" s="8"/>
      <c r="J25769" s="8"/>
    </row>
    <row r="25770">
      <c r="C25770" s="15"/>
      <c r="E25770" s="8"/>
      <c r="G25770" s="8"/>
      <c r="J25770" s="8"/>
    </row>
    <row r="25771">
      <c r="C25771" s="15"/>
      <c r="E25771" s="8"/>
      <c r="G25771" s="8"/>
      <c r="J25771" s="8"/>
    </row>
    <row r="25772">
      <c r="C25772" s="15"/>
      <c r="E25772" s="8"/>
      <c r="G25772" s="8"/>
      <c r="J25772" s="8"/>
    </row>
    <row r="25773">
      <c r="C25773" s="15"/>
      <c r="E25773" s="8"/>
      <c r="G25773" s="8"/>
      <c r="J25773" s="8"/>
    </row>
    <row r="25774">
      <c r="C25774" s="15"/>
      <c r="E25774" s="8"/>
      <c r="G25774" s="8"/>
      <c r="J25774" s="8"/>
    </row>
    <row r="25775">
      <c r="C25775" s="15"/>
      <c r="E25775" s="8"/>
      <c r="G25775" s="8"/>
      <c r="J25775" s="8"/>
    </row>
    <row r="25776">
      <c r="C25776" s="15"/>
      <c r="E25776" s="8"/>
      <c r="G25776" s="8"/>
      <c r="J25776" s="8"/>
    </row>
    <row r="25777">
      <c r="C25777" s="15"/>
      <c r="E25777" s="8"/>
      <c r="G25777" s="8"/>
      <c r="J25777" s="8"/>
    </row>
    <row r="25778">
      <c r="C25778" s="15"/>
      <c r="E25778" s="8"/>
      <c r="G25778" s="8"/>
      <c r="J25778" s="8"/>
    </row>
    <row r="25779">
      <c r="C25779" s="15"/>
      <c r="E25779" s="8"/>
      <c r="G25779" s="8"/>
      <c r="J25779" s="8"/>
    </row>
    <row r="25780">
      <c r="C25780" s="15"/>
      <c r="E25780" s="8"/>
      <c r="G25780" s="8"/>
      <c r="J25780" s="8"/>
    </row>
    <row r="25781">
      <c r="C25781" s="15"/>
      <c r="E25781" s="8"/>
      <c r="G25781" s="8"/>
      <c r="J25781" s="8"/>
    </row>
    <row r="25782">
      <c r="C25782" s="15"/>
      <c r="E25782" s="8"/>
      <c r="G25782" s="8"/>
      <c r="J25782" s="8"/>
    </row>
    <row r="25783">
      <c r="C25783" s="15"/>
      <c r="E25783" s="8"/>
      <c r="G25783" s="8"/>
      <c r="J25783" s="8"/>
    </row>
    <row r="25784">
      <c r="C25784" s="15"/>
      <c r="E25784" s="8"/>
      <c r="G25784" s="8"/>
      <c r="J25784" s="8"/>
    </row>
    <row r="25785">
      <c r="C25785" s="15"/>
      <c r="E25785" s="8"/>
      <c r="G25785" s="8"/>
      <c r="J25785" s="8"/>
    </row>
    <row r="25786">
      <c r="C25786" s="15"/>
      <c r="E25786" s="8"/>
      <c r="G25786" s="8"/>
      <c r="J25786" s="8"/>
    </row>
    <row r="25787">
      <c r="C25787" s="15"/>
      <c r="E25787" s="8"/>
      <c r="G25787" s="8"/>
      <c r="J25787" s="8"/>
    </row>
    <row r="25788">
      <c r="C25788" s="15"/>
      <c r="E25788" s="8"/>
      <c r="G25788" s="8"/>
      <c r="J25788" s="8"/>
    </row>
    <row r="25789">
      <c r="C25789" s="15"/>
      <c r="E25789" s="8"/>
      <c r="G25789" s="8"/>
      <c r="J25789" s="8"/>
    </row>
    <row r="25790">
      <c r="C25790" s="15"/>
      <c r="E25790" s="8"/>
      <c r="G25790" s="8"/>
      <c r="J25790" s="8"/>
    </row>
    <row r="25791">
      <c r="C25791" s="15"/>
      <c r="E25791" s="8"/>
      <c r="G25791" s="8"/>
      <c r="J25791" s="8"/>
    </row>
    <row r="25792">
      <c r="C25792" s="15"/>
      <c r="E25792" s="8"/>
      <c r="G25792" s="8"/>
      <c r="J25792" s="8"/>
    </row>
    <row r="25793">
      <c r="C25793" s="15"/>
      <c r="E25793" s="8"/>
      <c r="G25793" s="8"/>
      <c r="J25793" s="8"/>
    </row>
    <row r="25794">
      <c r="C25794" s="15"/>
      <c r="E25794" s="8"/>
      <c r="G25794" s="8"/>
      <c r="J25794" s="8"/>
    </row>
    <row r="25795">
      <c r="C25795" s="15"/>
      <c r="E25795" s="8"/>
      <c r="G25795" s="8"/>
      <c r="J25795" s="8"/>
    </row>
    <row r="25796">
      <c r="C25796" s="15"/>
      <c r="E25796" s="8"/>
      <c r="G25796" s="8"/>
      <c r="J25796" s="8"/>
    </row>
    <row r="25797">
      <c r="C25797" s="15"/>
      <c r="E25797" s="8"/>
      <c r="G25797" s="8"/>
      <c r="J25797" s="8"/>
    </row>
    <row r="25798">
      <c r="C25798" s="15"/>
      <c r="E25798" s="8"/>
      <c r="G25798" s="8"/>
      <c r="J25798" s="8"/>
    </row>
    <row r="25799">
      <c r="C25799" s="15"/>
      <c r="E25799" s="8"/>
      <c r="G25799" s="8"/>
      <c r="J25799" s="8"/>
    </row>
    <row r="25800">
      <c r="C25800" s="15"/>
      <c r="E25800" s="8"/>
      <c r="G25800" s="8"/>
      <c r="J25800" s="8"/>
    </row>
    <row r="25801">
      <c r="C25801" s="15"/>
      <c r="E25801" s="8"/>
      <c r="G25801" s="8"/>
      <c r="J25801" s="8"/>
    </row>
    <row r="25802">
      <c r="C25802" s="15"/>
      <c r="E25802" s="8"/>
      <c r="G25802" s="8"/>
      <c r="J25802" s="8"/>
    </row>
    <row r="25803">
      <c r="C25803" s="15"/>
      <c r="E25803" s="8"/>
      <c r="G25803" s="8"/>
      <c r="J25803" s="8"/>
    </row>
    <row r="25804">
      <c r="C25804" s="15"/>
      <c r="E25804" s="8"/>
      <c r="G25804" s="8"/>
      <c r="J25804" s="8"/>
    </row>
    <row r="25805">
      <c r="C25805" s="15"/>
      <c r="E25805" s="8"/>
      <c r="G25805" s="8"/>
      <c r="J25805" s="8"/>
    </row>
    <row r="25806">
      <c r="C25806" s="15"/>
      <c r="E25806" s="8"/>
      <c r="G25806" s="8"/>
      <c r="J25806" s="8"/>
    </row>
    <row r="25807">
      <c r="C25807" s="15"/>
      <c r="E25807" s="8"/>
      <c r="G25807" s="8"/>
      <c r="J25807" s="8"/>
    </row>
    <row r="25808">
      <c r="C25808" s="15"/>
      <c r="E25808" s="8"/>
      <c r="G25808" s="8"/>
      <c r="J25808" s="8"/>
    </row>
    <row r="25809">
      <c r="C25809" s="15"/>
      <c r="E25809" s="8"/>
      <c r="G25809" s="8"/>
      <c r="J25809" s="8"/>
    </row>
    <row r="25810">
      <c r="C25810" s="15"/>
      <c r="E25810" s="8"/>
      <c r="G25810" s="8"/>
      <c r="J25810" s="8"/>
    </row>
    <row r="25811">
      <c r="C25811" s="15"/>
      <c r="E25811" s="8"/>
      <c r="G25811" s="8"/>
      <c r="J25811" s="8"/>
    </row>
    <row r="25812">
      <c r="C25812" s="15"/>
      <c r="E25812" s="8"/>
      <c r="G25812" s="8"/>
      <c r="J25812" s="8"/>
    </row>
    <row r="25813">
      <c r="C25813" s="15"/>
      <c r="E25813" s="8"/>
      <c r="G25813" s="8"/>
      <c r="J25813" s="8"/>
    </row>
    <row r="25814">
      <c r="C25814" s="15"/>
      <c r="E25814" s="8"/>
      <c r="G25814" s="8"/>
      <c r="J25814" s="8"/>
    </row>
    <row r="25815">
      <c r="C25815" s="15"/>
      <c r="E25815" s="8"/>
      <c r="G25815" s="8"/>
      <c r="J25815" s="8"/>
    </row>
    <row r="25816">
      <c r="C25816" s="15"/>
      <c r="E25816" s="8"/>
      <c r="G25816" s="8"/>
      <c r="J25816" s="8"/>
    </row>
    <row r="25817">
      <c r="C25817" s="15"/>
      <c r="E25817" s="8"/>
      <c r="G25817" s="8"/>
      <c r="J25817" s="8"/>
    </row>
    <row r="25818">
      <c r="C25818" s="15"/>
      <c r="E25818" s="8"/>
      <c r="G25818" s="8"/>
      <c r="J25818" s="8"/>
    </row>
    <row r="25819">
      <c r="C25819" s="15"/>
      <c r="E25819" s="8"/>
      <c r="G25819" s="8"/>
      <c r="J25819" s="8"/>
    </row>
    <row r="25820">
      <c r="C25820" s="15"/>
      <c r="E25820" s="8"/>
      <c r="G25820" s="8"/>
      <c r="J25820" s="8"/>
    </row>
    <row r="25821">
      <c r="C25821" s="15"/>
      <c r="E25821" s="8"/>
      <c r="G25821" s="8"/>
      <c r="J25821" s="8"/>
    </row>
    <row r="25822">
      <c r="C25822" s="15"/>
      <c r="E25822" s="8"/>
      <c r="G25822" s="8"/>
      <c r="J25822" s="8"/>
    </row>
    <row r="25823">
      <c r="C25823" s="15"/>
      <c r="E25823" s="8"/>
      <c r="G25823" s="8"/>
      <c r="J25823" s="8"/>
    </row>
    <row r="25824">
      <c r="C25824" s="15"/>
      <c r="E25824" s="8"/>
      <c r="G25824" s="8"/>
      <c r="J25824" s="8"/>
    </row>
    <row r="25825">
      <c r="C25825" s="15"/>
      <c r="E25825" s="8"/>
      <c r="G25825" s="8"/>
      <c r="J25825" s="8"/>
    </row>
    <row r="25826">
      <c r="C25826" s="15"/>
      <c r="E25826" s="8"/>
      <c r="G25826" s="8"/>
      <c r="J25826" s="8"/>
    </row>
    <row r="25827">
      <c r="C25827" s="15"/>
      <c r="E25827" s="8"/>
      <c r="G25827" s="8"/>
      <c r="J25827" s="8"/>
    </row>
    <row r="25828">
      <c r="C25828" s="15"/>
      <c r="E25828" s="8"/>
      <c r="G25828" s="8"/>
      <c r="J25828" s="8"/>
    </row>
    <row r="25829">
      <c r="C25829" s="15"/>
      <c r="E25829" s="8"/>
      <c r="G25829" s="8"/>
      <c r="J25829" s="8"/>
    </row>
    <row r="25830">
      <c r="C25830" s="15"/>
      <c r="E25830" s="8"/>
      <c r="G25830" s="8"/>
      <c r="J25830" s="8"/>
    </row>
    <row r="25831">
      <c r="C25831" s="15"/>
      <c r="E25831" s="8"/>
      <c r="G25831" s="8"/>
      <c r="J25831" s="8"/>
    </row>
    <row r="25832">
      <c r="C25832" s="15"/>
      <c r="E25832" s="8"/>
      <c r="G25832" s="8"/>
      <c r="J25832" s="8"/>
    </row>
    <row r="25833">
      <c r="C25833" s="15"/>
      <c r="E25833" s="8"/>
      <c r="G25833" s="8"/>
      <c r="J25833" s="8"/>
    </row>
    <row r="25834">
      <c r="C25834" s="15"/>
      <c r="E25834" s="8"/>
      <c r="G25834" s="8"/>
      <c r="J25834" s="8"/>
    </row>
    <row r="25835">
      <c r="C25835" s="15"/>
      <c r="E25835" s="8"/>
      <c r="G25835" s="8"/>
      <c r="J25835" s="8"/>
    </row>
    <row r="25836">
      <c r="C25836" s="15"/>
      <c r="E25836" s="8"/>
      <c r="G25836" s="8"/>
      <c r="J25836" s="8"/>
    </row>
    <row r="25837">
      <c r="C25837" s="15"/>
      <c r="E25837" s="8"/>
      <c r="G25837" s="8"/>
      <c r="J25837" s="8"/>
    </row>
    <row r="25838">
      <c r="C25838" s="15"/>
      <c r="E25838" s="8"/>
      <c r="G25838" s="8"/>
      <c r="J25838" s="8"/>
    </row>
    <row r="25839">
      <c r="C25839" s="15"/>
      <c r="E25839" s="8"/>
      <c r="G25839" s="8"/>
      <c r="J25839" s="8"/>
    </row>
    <row r="25840">
      <c r="C25840" s="15"/>
      <c r="E25840" s="8"/>
      <c r="G25840" s="8"/>
      <c r="J25840" s="8"/>
    </row>
    <row r="25841">
      <c r="C25841" s="15"/>
      <c r="E25841" s="8"/>
      <c r="G25841" s="8"/>
      <c r="J25841" s="8"/>
    </row>
    <row r="25842">
      <c r="C25842" s="15"/>
      <c r="E25842" s="8"/>
      <c r="G25842" s="8"/>
      <c r="J25842" s="8"/>
    </row>
    <row r="25843">
      <c r="C25843" s="15"/>
      <c r="E25843" s="8"/>
      <c r="G25843" s="8"/>
      <c r="J25843" s="8"/>
    </row>
    <row r="25844">
      <c r="C25844" s="15"/>
      <c r="E25844" s="8"/>
      <c r="G25844" s="8"/>
      <c r="J25844" s="8"/>
    </row>
    <row r="25845">
      <c r="C25845" s="15"/>
      <c r="E25845" s="8"/>
      <c r="G25845" s="8"/>
      <c r="J25845" s="8"/>
    </row>
    <row r="25846">
      <c r="C25846" s="15"/>
      <c r="E25846" s="8"/>
      <c r="G25846" s="8"/>
      <c r="J25846" s="8"/>
    </row>
    <row r="25847">
      <c r="C25847" s="15"/>
      <c r="E25847" s="8"/>
      <c r="G25847" s="8"/>
      <c r="J25847" s="8"/>
    </row>
    <row r="25848">
      <c r="C25848" s="15"/>
      <c r="E25848" s="8"/>
      <c r="G25848" s="8"/>
      <c r="J25848" s="8"/>
    </row>
    <row r="25849">
      <c r="C25849" s="15"/>
      <c r="E25849" s="8"/>
      <c r="G25849" s="8"/>
      <c r="J25849" s="8"/>
    </row>
    <row r="25850">
      <c r="C25850" s="15"/>
      <c r="E25850" s="8"/>
      <c r="G25850" s="8"/>
      <c r="J25850" s="8"/>
    </row>
    <row r="25851">
      <c r="C25851" s="15"/>
      <c r="E25851" s="8"/>
      <c r="G25851" s="8"/>
      <c r="J25851" s="8"/>
    </row>
    <row r="25852">
      <c r="C25852" s="15"/>
      <c r="E25852" s="8"/>
      <c r="G25852" s="8"/>
      <c r="J25852" s="8"/>
    </row>
    <row r="25853">
      <c r="C25853" s="15"/>
      <c r="E25853" s="8"/>
      <c r="G25853" s="8"/>
      <c r="J25853" s="8"/>
    </row>
    <row r="25854">
      <c r="C25854" s="15"/>
      <c r="E25854" s="8"/>
      <c r="G25854" s="8"/>
      <c r="J25854" s="8"/>
    </row>
    <row r="25855">
      <c r="C25855" s="15"/>
      <c r="E25855" s="8"/>
      <c r="G25855" s="8"/>
      <c r="J25855" s="8"/>
    </row>
    <row r="25856">
      <c r="C25856" s="15"/>
      <c r="E25856" s="8"/>
      <c r="G25856" s="8"/>
      <c r="J25856" s="8"/>
    </row>
    <row r="25857">
      <c r="C25857" s="15"/>
      <c r="E25857" s="8"/>
      <c r="G25857" s="8"/>
      <c r="J25857" s="8"/>
    </row>
    <row r="25858">
      <c r="C25858" s="15"/>
      <c r="E25858" s="8"/>
      <c r="G25858" s="8"/>
      <c r="J25858" s="8"/>
    </row>
    <row r="25859">
      <c r="C25859" s="15"/>
      <c r="E25859" s="8"/>
      <c r="G25859" s="8"/>
      <c r="J25859" s="8"/>
    </row>
    <row r="25860">
      <c r="C25860" s="15"/>
      <c r="E25860" s="8"/>
      <c r="G25860" s="8"/>
      <c r="J25860" s="8"/>
    </row>
    <row r="25861">
      <c r="C25861" s="15"/>
      <c r="E25861" s="8"/>
      <c r="G25861" s="8"/>
      <c r="J25861" s="8"/>
    </row>
    <row r="25862">
      <c r="C25862" s="15"/>
      <c r="E25862" s="8"/>
      <c r="G25862" s="8"/>
      <c r="J25862" s="8"/>
    </row>
    <row r="25863">
      <c r="C25863" s="15"/>
      <c r="E25863" s="8"/>
      <c r="G25863" s="8"/>
      <c r="J25863" s="8"/>
    </row>
    <row r="25864">
      <c r="C25864" s="15"/>
      <c r="E25864" s="8"/>
      <c r="G25864" s="8"/>
      <c r="J25864" s="8"/>
    </row>
    <row r="25865">
      <c r="C25865" s="15"/>
      <c r="E25865" s="8"/>
      <c r="G25865" s="8"/>
      <c r="J25865" s="8"/>
    </row>
    <row r="25866">
      <c r="C25866" s="15"/>
      <c r="E25866" s="8"/>
      <c r="G25866" s="8"/>
      <c r="J25866" s="8"/>
    </row>
    <row r="25867">
      <c r="C25867" s="15"/>
      <c r="E25867" s="8"/>
      <c r="G25867" s="8"/>
      <c r="J25867" s="8"/>
    </row>
    <row r="25868">
      <c r="C25868" s="15"/>
      <c r="E25868" s="8"/>
      <c r="G25868" s="8"/>
      <c r="J25868" s="8"/>
    </row>
    <row r="25869">
      <c r="C25869" s="15"/>
      <c r="E25869" s="8"/>
      <c r="G25869" s="8"/>
      <c r="J25869" s="8"/>
    </row>
    <row r="25870">
      <c r="C25870" s="15"/>
      <c r="E25870" s="8"/>
      <c r="G25870" s="8"/>
      <c r="J25870" s="8"/>
    </row>
    <row r="25871">
      <c r="C25871" s="15"/>
      <c r="E25871" s="8"/>
      <c r="G25871" s="8"/>
      <c r="J25871" s="8"/>
    </row>
    <row r="25872">
      <c r="C25872" s="15"/>
      <c r="E25872" s="8"/>
      <c r="G25872" s="8"/>
      <c r="J25872" s="8"/>
    </row>
    <row r="25873">
      <c r="C25873" s="15"/>
      <c r="E25873" s="8"/>
      <c r="G25873" s="8"/>
      <c r="J25873" s="8"/>
    </row>
    <row r="25874">
      <c r="C25874" s="15"/>
      <c r="E25874" s="8"/>
      <c r="G25874" s="8"/>
      <c r="J25874" s="8"/>
    </row>
    <row r="25875">
      <c r="C25875" s="15"/>
      <c r="E25875" s="8"/>
      <c r="G25875" s="8"/>
      <c r="J25875" s="8"/>
    </row>
    <row r="25876">
      <c r="C25876" s="15"/>
      <c r="E25876" s="8"/>
      <c r="G25876" s="8"/>
      <c r="J25876" s="8"/>
    </row>
    <row r="25877">
      <c r="C25877" s="15"/>
      <c r="E25877" s="8"/>
      <c r="G25877" s="8"/>
      <c r="J25877" s="8"/>
    </row>
    <row r="25878">
      <c r="C25878" s="15"/>
      <c r="E25878" s="8"/>
      <c r="G25878" s="8"/>
      <c r="J25878" s="8"/>
    </row>
    <row r="25879">
      <c r="C25879" s="15"/>
      <c r="E25879" s="8"/>
      <c r="G25879" s="8"/>
      <c r="J25879" s="8"/>
    </row>
    <row r="25880">
      <c r="C25880" s="15"/>
      <c r="E25880" s="8"/>
      <c r="G25880" s="8"/>
      <c r="J25880" s="8"/>
    </row>
    <row r="25881">
      <c r="C25881" s="15"/>
      <c r="E25881" s="8"/>
      <c r="G25881" s="8"/>
      <c r="J25881" s="8"/>
    </row>
    <row r="25882">
      <c r="C25882" s="15"/>
      <c r="E25882" s="8"/>
      <c r="G25882" s="8"/>
      <c r="J25882" s="8"/>
    </row>
    <row r="25883">
      <c r="C25883" s="15"/>
      <c r="E25883" s="8"/>
      <c r="G25883" s="8"/>
      <c r="J25883" s="8"/>
    </row>
    <row r="25884">
      <c r="C25884" s="15"/>
      <c r="E25884" s="8"/>
      <c r="G25884" s="8"/>
      <c r="J25884" s="8"/>
    </row>
    <row r="25885">
      <c r="C25885" s="15"/>
      <c r="E25885" s="8"/>
      <c r="G25885" s="8"/>
      <c r="J25885" s="8"/>
    </row>
    <row r="25886">
      <c r="C25886" s="15"/>
      <c r="E25886" s="8"/>
      <c r="G25886" s="8"/>
      <c r="J25886" s="8"/>
    </row>
    <row r="25887">
      <c r="C25887" s="15"/>
      <c r="E25887" s="8"/>
      <c r="G25887" s="8"/>
      <c r="J25887" s="8"/>
    </row>
    <row r="25888">
      <c r="C25888" s="15"/>
      <c r="E25888" s="8"/>
      <c r="G25888" s="8"/>
      <c r="J25888" s="8"/>
    </row>
    <row r="25889">
      <c r="C25889" s="15"/>
      <c r="E25889" s="8"/>
      <c r="G25889" s="8"/>
      <c r="J25889" s="8"/>
    </row>
    <row r="25890">
      <c r="C25890" s="15"/>
      <c r="E25890" s="8"/>
      <c r="G25890" s="8"/>
      <c r="J25890" s="8"/>
    </row>
    <row r="25891">
      <c r="C25891" s="15"/>
      <c r="E25891" s="8"/>
      <c r="G25891" s="8"/>
      <c r="J25891" s="8"/>
    </row>
    <row r="25892">
      <c r="C25892" s="15"/>
      <c r="E25892" s="8"/>
      <c r="G25892" s="8"/>
      <c r="J25892" s="8"/>
    </row>
    <row r="25893">
      <c r="C25893" s="15"/>
      <c r="E25893" s="8"/>
      <c r="G25893" s="8"/>
      <c r="J25893" s="8"/>
    </row>
    <row r="25894">
      <c r="C25894" s="15"/>
      <c r="E25894" s="8"/>
      <c r="G25894" s="8"/>
      <c r="J25894" s="8"/>
    </row>
    <row r="25895">
      <c r="C25895" s="15"/>
      <c r="E25895" s="8"/>
      <c r="G25895" s="8"/>
      <c r="J25895" s="8"/>
    </row>
    <row r="25896">
      <c r="C25896" s="15"/>
      <c r="E25896" s="8"/>
      <c r="G25896" s="8"/>
      <c r="J25896" s="8"/>
    </row>
    <row r="25897">
      <c r="C25897" s="15"/>
      <c r="E25897" s="8"/>
      <c r="G25897" s="8"/>
      <c r="J25897" s="8"/>
    </row>
    <row r="25898">
      <c r="C25898" s="15"/>
      <c r="E25898" s="8"/>
      <c r="G25898" s="8"/>
      <c r="J25898" s="8"/>
    </row>
    <row r="25899">
      <c r="C25899" s="15"/>
      <c r="E25899" s="8"/>
      <c r="G25899" s="8"/>
      <c r="J25899" s="8"/>
    </row>
    <row r="25900">
      <c r="C25900" s="15"/>
      <c r="E25900" s="8"/>
      <c r="G25900" s="8"/>
      <c r="J25900" s="8"/>
    </row>
    <row r="25901">
      <c r="C25901" s="15"/>
      <c r="E25901" s="8"/>
      <c r="G25901" s="8"/>
      <c r="J25901" s="8"/>
    </row>
    <row r="25902">
      <c r="C25902" s="15"/>
      <c r="E25902" s="8"/>
      <c r="G25902" s="8"/>
      <c r="J25902" s="8"/>
    </row>
    <row r="25903">
      <c r="C25903" s="15"/>
      <c r="E25903" s="8"/>
      <c r="G25903" s="8"/>
      <c r="J25903" s="8"/>
    </row>
    <row r="25904">
      <c r="C25904" s="15"/>
      <c r="E25904" s="8"/>
      <c r="G25904" s="8"/>
      <c r="J25904" s="8"/>
    </row>
    <row r="25905">
      <c r="C25905" s="15"/>
      <c r="E25905" s="8"/>
      <c r="G25905" s="8"/>
      <c r="J25905" s="8"/>
    </row>
    <row r="25906">
      <c r="C25906" s="15"/>
      <c r="E25906" s="8"/>
      <c r="G25906" s="8"/>
      <c r="J25906" s="8"/>
    </row>
    <row r="25907">
      <c r="C25907" s="15"/>
      <c r="E25907" s="8"/>
      <c r="G25907" s="8"/>
      <c r="J25907" s="8"/>
    </row>
    <row r="25908">
      <c r="C25908" s="15"/>
      <c r="E25908" s="8"/>
      <c r="G25908" s="8"/>
      <c r="J25908" s="8"/>
    </row>
    <row r="25909">
      <c r="C25909" s="15"/>
      <c r="E25909" s="8"/>
      <c r="G25909" s="8"/>
      <c r="J25909" s="8"/>
    </row>
    <row r="25910">
      <c r="C25910" s="15"/>
      <c r="E25910" s="8"/>
      <c r="G25910" s="8"/>
      <c r="J25910" s="8"/>
    </row>
    <row r="25911">
      <c r="C25911" s="15"/>
      <c r="E25911" s="8"/>
      <c r="G25911" s="8"/>
      <c r="J25911" s="8"/>
    </row>
    <row r="25912">
      <c r="C25912" s="15"/>
      <c r="E25912" s="8"/>
      <c r="G25912" s="8"/>
      <c r="J25912" s="8"/>
    </row>
    <row r="25913">
      <c r="C25913" s="15"/>
      <c r="E25913" s="8"/>
      <c r="G25913" s="8"/>
      <c r="J25913" s="8"/>
    </row>
    <row r="25914">
      <c r="C25914" s="15"/>
      <c r="E25914" s="8"/>
      <c r="G25914" s="8"/>
      <c r="J25914" s="8"/>
    </row>
    <row r="25915">
      <c r="C25915" s="15"/>
      <c r="E25915" s="8"/>
      <c r="G25915" s="8"/>
      <c r="J25915" s="8"/>
    </row>
    <row r="25916">
      <c r="C25916" s="15"/>
      <c r="E25916" s="8"/>
      <c r="G25916" s="8"/>
      <c r="J25916" s="8"/>
    </row>
    <row r="25917">
      <c r="C25917" s="15"/>
      <c r="E25917" s="8"/>
      <c r="G25917" s="8"/>
      <c r="J25917" s="8"/>
    </row>
    <row r="25918">
      <c r="C25918" s="15"/>
      <c r="E25918" s="8"/>
      <c r="G25918" s="8"/>
      <c r="J25918" s="8"/>
    </row>
    <row r="25919">
      <c r="C25919" s="15"/>
      <c r="E25919" s="8"/>
      <c r="G25919" s="8"/>
      <c r="J25919" s="8"/>
    </row>
    <row r="25920">
      <c r="C25920" s="15"/>
      <c r="E25920" s="8"/>
      <c r="G25920" s="8"/>
      <c r="J25920" s="8"/>
    </row>
    <row r="25921">
      <c r="C25921" s="15"/>
      <c r="E25921" s="8"/>
      <c r="G25921" s="8"/>
      <c r="J25921" s="8"/>
    </row>
    <row r="25922">
      <c r="C25922" s="15"/>
      <c r="E25922" s="8"/>
      <c r="G25922" s="8"/>
      <c r="J25922" s="8"/>
    </row>
    <row r="25923">
      <c r="C25923" s="15"/>
      <c r="E25923" s="8"/>
      <c r="G25923" s="8"/>
      <c r="J25923" s="8"/>
    </row>
    <row r="25924">
      <c r="C25924" s="15"/>
      <c r="E25924" s="8"/>
      <c r="G25924" s="8"/>
      <c r="J25924" s="8"/>
    </row>
    <row r="25925">
      <c r="C25925" s="15"/>
      <c r="E25925" s="8"/>
      <c r="G25925" s="8"/>
      <c r="J25925" s="8"/>
    </row>
    <row r="25926">
      <c r="C25926" s="15"/>
      <c r="E25926" s="8"/>
      <c r="G25926" s="8"/>
      <c r="J25926" s="8"/>
    </row>
    <row r="25927">
      <c r="C25927" s="15"/>
      <c r="E25927" s="8"/>
      <c r="G25927" s="8"/>
      <c r="J25927" s="8"/>
    </row>
    <row r="25928">
      <c r="C25928" s="15"/>
      <c r="E25928" s="8"/>
      <c r="G25928" s="8"/>
      <c r="J25928" s="8"/>
    </row>
    <row r="25929">
      <c r="C25929" s="15"/>
      <c r="E25929" s="8"/>
      <c r="G25929" s="8"/>
      <c r="J25929" s="8"/>
    </row>
    <row r="25930">
      <c r="C25930" s="15"/>
      <c r="E25930" s="8"/>
      <c r="G25930" s="8"/>
      <c r="J25930" s="8"/>
    </row>
    <row r="25931">
      <c r="C25931" s="15"/>
      <c r="E25931" s="8"/>
      <c r="G25931" s="8"/>
      <c r="J25931" s="8"/>
    </row>
    <row r="25932">
      <c r="C25932" s="15"/>
      <c r="E25932" s="8"/>
      <c r="G25932" s="8"/>
      <c r="J25932" s="8"/>
    </row>
    <row r="25933">
      <c r="C25933" s="15"/>
      <c r="E25933" s="8"/>
      <c r="G25933" s="8"/>
      <c r="J25933" s="8"/>
    </row>
    <row r="25934">
      <c r="C25934" s="15"/>
      <c r="E25934" s="8"/>
      <c r="G25934" s="8"/>
      <c r="J25934" s="8"/>
    </row>
    <row r="25935">
      <c r="C25935" s="15"/>
      <c r="E25935" s="8"/>
      <c r="G25935" s="8"/>
      <c r="J25935" s="8"/>
    </row>
    <row r="25936">
      <c r="C25936" s="15"/>
      <c r="E25936" s="8"/>
      <c r="G25936" s="8"/>
      <c r="J25936" s="8"/>
    </row>
    <row r="25937">
      <c r="C25937" s="15"/>
      <c r="E25937" s="8"/>
      <c r="G25937" s="8"/>
      <c r="J25937" s="8"/>
    </row>
    <row r="25938">
      <c r="C25938" s="15"/>
      <c r="E25938" s="8"/>
      <c r="G25938" s="8"/>
      <c r="J25938" s="8"/>
    </row>
    <row r="25939">
      <c r="C25939" s="15"/>
      <c r="E25939" s="8"/>
      <c r="G25939" s="8"/>
      <c r="J25939" s="8"/>
    </row>
    <row r="25940">
      <c r="C25940" s="15"/>
      <c r="E25940" s="8"/>
      <c r="G25940" s="8"/>
      <c r="J25940" s="8"/>
    </row>
    <row r="25941">
      <c r="C25941" s="15"/>
      <c r="E25941" s="8"/>
      <c r="G25941" s="8"/>
      <c r="J25941" s="8"/>
    </row>
    <row r="25942">
      <c r="C25942" s="15"/>
      <c r="E25942" s="8"/>
      <c r="G25942" s="8"/>
      <c r="J25942" s="8"/>
    </row>
    <row r="25943">
      <c r="C25943" s="15"/>
      <c r="E25943" s="8"/>
      <c r="G25943" s="8"/>
      <c r="J25943" s="8"/>
    </row>
    <row r="25944">
      <c r="C25944" s="15"/>
      <c r="E25944" s="8"/>
      <c r="G25944" s="8"/>
      <c r="J25944" s="8"/>
    </row>
    <row r="25945">
      <c r="C25945" s="15"/>
      <c r="E25945" s="8"/>
      <c r="G25945" s="8"/>
      <c r="J25945" s="8"/>
    </row>
    <row r="25946">
      <c r="C25946" s="15"/>
      <c r="E25946" s="8"/>
      <c r="G25946" s="8"/>
      <c r="J25946" s="8"/>
    </row>
    <row r="25947">
      <c r="C25947" s="15"/>
      <c r="E25947" s="8"/>
      <c r="G25947" s="8"/>
      <c r="J25947" s="8"/>
    </row>
    <row r="25948">
      <c r="C25948" s="15"/>
      <c r="E25948" s="8"/>
      <c r="G25948" s="8"/>
      <c r="J25948" s="8"/>
    </row>
    <row r="25949">
      <c r="C25949" s="15"/>
      <c r="E25949" s="8"/>
      <c r="G25949" s="8"/>
      <c r="J25949" s="8"/>
    </row>
    <row r="25950">
      <c r="C25950" s="15"/>
      <c r="E25950" s="8"/>
      <c r="G25950" s="8"/>
      <c r="J25950" s="8"/>
    </row>
    <row r="25951">
      <c r="C25951" s="15"/>
      <c r="E25951" s="8"/>
      <c r="G25951" s="8"/>
      <c r="J25951" s="8"/>
    </row>
    <row r="25952">
      <c r="C25952" s="15"/>
      <c r="E25952" s="8"/>
      <c r="G25952" s="8"/>
      <c r="J25952" s="8"/>
    </row>
    <row r="25953">
      <c r="C25953" s="15"/>
      <c r="E25953" s="8"/>
      <c r="G25953" s="8"/>
      <c r="J25953" s="8"/>
    </row>
    <row r="25954">
      <c r="C25954" s="15"/>
      <c r="E25954" s="8"/>
      <c r="G25954" s="8"/>
      <c r="J25954" s="8"/>
    </row>
    <row r="25955">
      <c r="C25955" s="15"/>
      <c r="E25955" s="8"/>
      <c r="G25955" s="8"/>
      <c r="J25955" s="8"/>
    </row>
    <row r="25956">
      <c r="C25956" s="15"/>
      <c r="E25956" s="8"/>
      <c r="G25956" s="8"/>
      <c r="J25956" s="8"/>
    </row>
    <row r="25957">
      <c r="C25957" s="15"/>
      <c r="E25957" s="8"/>
      <c r="G25957" s="8"/>
      <c r="J25957" s="8"/>
    </row>
    <row r="25958">
      <c r="C25958" s="15"/>
      <c r="E25958" s="8"/>
      <c r="G25958" s="8"/>
      <c r="J25958" s="8"/>
    </row>
    <row r="25959">
      <c r="C25959" s="15"/>
      <c r="E25959" s="8"/>
      <c r="G25959" s="8"/>
      <c r="J25959" s="8"/>
    </row>
    <row r="25960">
      <c r="C25960" s="15"/>
      <c r="E25960" s="8"/>
      <c r="G25960" s="8"/>
      <c r="J25960" s="8"/>
    </row>
    <row r="25961">
      <c r="C25961" s="15"/>
      <c r="E25961" s="8"/>
      <c r="G25961" s="8"/>
      <c r="J25961" s="8"/>
    </row>
    <row r="25962">
      <c r="C25962" s="15"/>
      <c r="E25962" s="8"/>
      <c r="G25962" s="8"/>
      <c r="J25962" s="8"/>
    </row>
    <row r="25963">
      <c r="C25963" s="15"/>
      <c r="E25963" s="8"/>
      <c r="G25963" s="8"/>
      <c r="J25963" s="8"/>
    </row>
    <row r="25964">
      <c r="C25964" s="15"/>
      <c r="E25964" s="8"/>
      <c r="G25964" s="8"/>
      <c r="J25964" s="8"/>
    </row>
    <row r="25965">
      <c r="C25965" s="15"/>
      <c r="E25965" s="8"/>
      <c r="G25965" s="8"/>
      <c r="J25965" s="8"/>
    </row>
    <row r="25966">
      <c r="C25966" s="15"/>
      <c r="E25966" s="8"/>
      <c r="G25966" s="8"/>
      <c r="J25966" s="8"/>
    </row>
    <row r="25967">
      <c r="C25967" s="15"/>
      <c r="E25967" s="8"/>
      <c r="G25967" s="8"/>
      <c r="J25967" s="8"/>
    </row>
    <row r="25968">
      <c r="C25968" s="15"/>
      <c r="E25968" s="8"/>
      <c r="G25968" s="8"/>
      <c r="J25968" s="8"/>
    </row>
    <row r="25969">
      <c r="C25969" s="15"/>
      <c r="E25969" s="8"/>
      <c r="G25969" s="8"/>
      <c r="J25969" s="8"/>
    </row>
    <row r="25970">
      <c r="C25970" s="15"/>
      <c r="E25970" s="8"/>
      <c r="G25970" s="8"/>
      <c r="J25970" s="8"/>
    </row>
    <row r="25971">
      <c r="C25971" s="15"/>
      <c r="E25971" s="8"/>
      <c r="G25971" s="8"/>
      <c r="J25971" s="8"/>
    </row>
    <row r="25972">
      <c r="C25972" s="15"/>
      <c r="E25972" s="8"/>
      <c r="G25972" s="8"/>
      <c r="J25972" s="8"/>
    </row>
    <row r="25973">
      <c r="C25973" s="15"/>
      <c r="E25973" s="8"/>
      <c r="G25973" s="8"/>
      <c r="J25973" s="8"/>
    </row>
    <row r="25974">
      <c r="C25974" s="15"/>
      <c r="E25974" s="8"/>
      <c r="G25974" s="8"/>
      <c r="J25974" s="8"/>
    </row>
    <row r="25975">
      <c r="C25975" s="15"/>
      <c r="E25975" s="8"/>
      <c r="G25975" s="8"/>
      <c r="J25975" s="8"/>
    </row>
    <row r="25976">
      <c r="C25976" s="15"/>
      <c r="E25976" s="8"/>
      <c r="G25976" s="8"/>
      <c r="J25976" s="8"/>
    </row>
    <row r="25977">
      <c r="C25977" s="15"/>
      <c r="E25977" s="8"/>
      <c r="G25977" s="8"/>
      <c r="J25977" s="8"/>
    </row>
    <row r="25978">
      <c r="C25978" s="15"/>
      <c r="E25978" s="8"/>
      <c r="G25978" s="8"/>
      <c r="J25978" s="8"/>
    </row>
    <row r="25979">
      <c r="C25979" s="15"/>
      <c r="E25979" s="8"/>
      <c r="G25979" s="8"/>
      <c r="J25979" s="8"/>
    </row>
    <row r="25980">
      <c r="C25980" s="15"/>
      <c r="E25980" s="8"/>
      <c r="G25980" s="8"/>
      <c r="J25980" s="8"/>
    </row>
    <row r="25981">
      <c r="C25981" s="15"/>
      <c r="E25981" s="8"/>
      <c r="G25981" s="8"/>
      <c r="J25981" s="8"/>
    </row>
    <row r="25982">
      <c r="C25982" s="15"/>
      <c r="E25982" s="8"/>
      <c r="G25982" s="8"/>
      <c r="J25982" s="8"/>
    </row>
    <row r="25983">
      <c r="C25983" s="15"/>
      <c r="E25983" s="8"/>
      <c r="G25983" s="8"/>
      <c r="J25983" s="8"/>
    </row>
    <row r="25984">
      <c r="C25984" s="15"/>
      <c r="E25984" s="8"/>
      <c r="G25984" s="8"/>
      <c r="J25984" s="8"/>
    </row>
    <row r="25985">
      <c r="C25985" s="15"/>
      <c r="E25985" s="8"/>
      <c r="G25985" s="8"/>
      <c r="J25985" s="8"/>
    </row>
    <row r="25986">
      <c r="C25986" s="15"/>
      <c r="E25986" s="8"/>
      <c r="G25986" s="8"/>
      <c r="J25986" s="8"/>
    </row>
    <row r="25987">
      <c r="C25987" s="15"/>
      <c r="E25987" s="8"/>
      <c r="G25987" s="8"/>
      <c r="J25987" s="8"/>
    </row>
    <row r="25988">
      <c r="C25988" s="15"/>
      <c r="E25988" s="8"/>
      <c r="G25988" s="8"/>
      <c r="J25988" s="8"/>
    </row>
    <row r="25989">
      <c r="C25989" s="15"/>
      <c r="E25989" s="8"/>
      <c r="G25989" s="8"/>
      <c r="J25989" s="8"/>
    </row>
    <row r="25990">
      <c r="C25990" s="15"/>
      <c r="E25990" s="8"/>
      <c r="G25990" s="8"/>
      <c r="J25990" s="8"/>
    </row>
    <row r="25991">
      <c r="C25991" s="15"/>
      <c r="E25991" s="8"/>
      <c r="G25991" s="8"/>
      <c r="J25991" s="8"/>
    </row>
    <row r="25992">
      <c r="C25992" s="15"/>
      <c r="E25992" s="8"/>
      <c r="G25992" s="8"/>
      <c r="J25992" s="8"/>
    </row>
    <row r="25993">
      <c r="C25993" s="15"/>
      <c r="E25993" s="8"/>
      <c r="G25993" s="8"/>
      <c r="J25993" s="8"/>
    </row>
    <row r="25994">
      <c r="C25994" s="15"/>
      <c r="E25994" s="8"/>
      <c r="G25994" s="8"/>
      <c r="J25994" s="8"/>
    </row>
    <row r="25995">
      <c r="C25995" s="15"/>
      <c r="E25995" s="8"/>
      <c r="G25995" s="8"/>
      <c r="J25995" s="8"/>
    </row>
    <row r="25996">
      <c r="C25996" s="15"/>
      <c r="E25996" s="8"/>
      <c r="G25996" s="8"/>
      <c r="J25996" s="8"/>
    </row>
    <row r="25997">
      <c r="C25997" s="15"/>
      <c r="E25997" s="8"/>
      <c r="G25997" s="8"/>
      <c r="J25997" s="8"/>
    </row>
    <row r="25998">
      <c r="C25998" s="15"/>
      <c r="E25998" s="8"/>
      <c r="G25998" s="8"/>
      <c r="J25998" s="8"/>
    </row>
    <row r="25999">
      <c r="C25999" s="15"/>
      <c r="E25999" s="8"/>
      <c r="G25999" s="8"/>
      <c r="J25999" s="8"/>
    </row>
    <row r="26000">
      <c r="C26000" s="15"/>
      <c r="E26000" s="8"/>
      <c r="G26000" s="8"/>
      <c r="J26000" s="8"/>
    </row>
    <row r="26001">
      <c r="C26001" s="15"/>
      <c r="E26001" s="8"/>
      <c r="G26001" s="8"/>
      <c r="J26001" s="8"/>
    </row>
    <row r="26002">
      <c r="C26002" s="15"/>
      <c r="E26002" s="8"/>
      <c r="G26002" s="8"/>
      <c r="J26002" s="8"/>
    </row>
    <row r="26003">
      <c r="C26003" s="15"/>
      <c r="E26003" s="8"/>
      <c r="G26003" s="8"/>
      <c r="J26003" s="8"/>
    </row>
    <row r="26004">
      <c r="C26004" s="15"/>
      <c r="E26004" s="8"/>
      <c r="G26004" s="8"/>
      <c r="J26004" s="8"/>
    </row>
    <row r="26005">
      <c r="C26005" s="15"/>
      <c r="E26005" s="8"/>
      <c r="G26005" s="8"/>
      <c r="J26005" s="8"/>
    </row>
    <row r="26006">
      <c r="C26006" s="15"/>
      <c r="E26006" s="8"/>
      <c r="G26006" s="8"/>
      <c r="J26006" s="8"/>
    </row>
    <row r="26007">
      <c r="C26007" s="15"/>
      <c r="E26007" s="8"/>
      <c r="G26007" s="8"/>
      <c r="J26007" s="8"/>
    </row>
    <row r="26008">
      <c r="C26008" s="15"/>
      <c r="E26008" s="8"/>
      <c r="G26008" s="8"/>
      <c r="J26008" s="8"/>
    </row>
    <row r="26009">
      <c r="C26009" s="15"/>
      <c r="E26009" s="8"/>
      <c r="G26009" s="8"/>
      <c r="J26009" s="8"/>
    </row>
    <row r="26010">
      <c r="C26010" s="15"/>
      <c r="E26010" s="8"/>
      <c r="G26010" s="8"/>
      <c r="J26010" s="8"/>
    </row>
    <row r="26011">
      <c r="C26011" s="15"/>
      <c r="E26011" s="8"/>
      <c r="G26011" s="8"/>
      <c r="J26011" s="8"/>
    </row>
    <row r="26012">
      <c r="C26012" s="15"/>
      <c r="E26012" s="8"/>
      <c r="G26012" s="8"/>
      <c r="J26012" s="8"/>
    </row>
    <row r="26013">
      <c r="C26013" s="15"/>
      <c r="E26013" s="8"/>
      <c r="G26013" s="8"/>
      <c r="J26013" s="8"/>
    </row>
    <row r="26014">
      <c r="C26014" s="15"/>
      <c r="E26014" s="8"/>
      <c r="G26014" s="8"/>
      <c r="J26014" s="8"/>
    </row>
    <row r="26015">
      <c r="C26015" s="15"/>
      <c r="E26015" s="8"/>
      <c r="G26015" s="8"/>
      <c r="J26015" s="8"/>
    </row>
    <row r="26016">
      <c r="C26016" s="15"/>
      <c r="E26016" s="8"/>
      <c r="G26016" s="8"/>
      <c r="J26016" s="8"/>
    </row>
    <row r="26017">
      <c r="C26017" s="15"/>
      <c r="E26017" s="8"/>
      <c r="G26017" s="8"/>
      <c r="J26017" s="8"/>
    </row>
    <row r="26018">
      <c r="C26018" s="15"/>
      <c r="E26018" s="8"/>
      <c r="G26018" s="8"/>
      <c r="J26018" s="8"/>
    </row>
    <row r="26019">
      <c r="C26019" s="15"/>
      <c r="E26019" s="8"/>
      <c r="G26019" s="8"/>
      <c r="J26019" s="8"/>
    </row>
    <row r="26020">
      <c r="C26020" s="15"/>
      <c r="E26020" s="8"/>
      <c r="G26020" s="8"/>
      <c r="J26020" s="8"/>
    </row>
    <row r="26021">
      <c r="C26021" s="15"/>
      <c r="E26021" s="8"/>
      <c r="G26021" s="8"/>
      <c r="J26021" s="8"/>
    </row>
    <row r="26022">
      <c r="C26022" s="15"/>
      <c r="E26022" s="8"/>
      <c r="G26022" s="8"/>
      <c r="J26022" s="8"/>
    </row>
    <row r="26023">
      <c r="C26023" s="15"/>
      <c r="E26023" s="8"/>
      <c r="G26023" s="8"/>
      <c r="J26023" s="8"/>
    </row>
    <row r="26024">
      <c r="C26024" s="15"/>
      <c r="E26024" s="8"/>
      <c r="G26024" s="8"/>
      <c r="J26024" s="8"/>
    </row>
    <row r="26025">
      <c r="C26025" s="15"/>
      <c r="E26025" s="8"/>
      <c r="G26025" s="8"/>
      <c r="J26025" s="8"/>
    </row>
    <row r="26026">
      <c r="C26026" s="15"/>
      <c r="E26026" s="8"/>
      <c r="G26026" s="8"/>
      <c r="J26026" s="8"/>
    </row>
    <row r="26027">
      <c r="C26027" s="15"/>
      <c r="E26027" s="8"/>
      <c r="G26027" s="8"/>
      <c r="J26027" s="8"/>
    </row>
    <row r="26028">
      <c r="C26028" s="15"/>
      <c r="E26028" s="8"/>
      <c r="G26028" s="8"/>
      <c r="J26028" s="8"/>
    </row>
    <row r="26029">
      <c r="C26029" s="15"/>
      <c r="E26029" s="8"/>
      <c r="G26029" s="8"/>
      <c r="J26029" s="8"/>
    </row>
    <row r="26030">
      <c r="C26030" s="15"/>
      <c r="E26030" s="8"/>
      <c r="G26030" s="8"/>
      <c r="J26030" s="8"/>
    </row>
    <row r="26031">
      <c r="C26031" s="15"/>
      <c r="E26031" s="8"/>
      <c r="G26031" s="8"/>
      <c r="J26031" s="8"/>
    </row>
    <row r="26032">
      <c r="C26032" s="15"/>
      <c r="E26032" s="8"/>
      <c r="G26032" s="8"/>
      <c r="J26032" s="8"/>
    </row>
    <row r="26033">
      <c r="C26033" s="15"/>
      <c r="E26033" s="8"/>
      <c r="G26033" s="8"/>
      <c r="J26033" s="8"/>
    </row>
    <row r="26034">
      <c r="C26034" s="15"/>
      <c r="E26034" s="8"/>
      <c r="G26034" s="8"/>
      <c r="J26034" s="8"/>
    </row>
    <row r="26035">
      <c r="C26035" s="15"/>
      <c r="E26035" s="8"/>
      <c r="G26035" s="8"/>
      <c r="J26035" s="8"/>
    </row>
    <row r="26036">
      <c r="C26036" s="15"/>
      <c r="E26036" s="8"/>
      <c r="G26036" s="8"/>
      <c r="J26036" s="8"/>
    </row>
    <row r="26037">
      <c r="C26037" s="15"/>
      <c r="E26037" s="8"/>
      <c r="G26037" s="8"/>
      <c r="J26037" s="8"/>
    </row>
    <row r="26038">
      <c r="C26038" s="15"/>
      <c r="E26038" s="8"/>
      <c r="G26038" s="8"/>
      <c r="J26038" s="8"/>
    </row>
    <row r="26039">
      <c r="C26039" s="15"/>
      <c r="E26039" s="8"/>
      <c r="G26039" s="8"/>
      <c r="J26039" s="8"/>
    </row>
    <row r="26040">
      <c r="C26040" s="15"/>
      <c r="E26040" s="8"/>
      <c r="G26040" s="8"/>
      <c r="J26040" s="8"/>
    </row>
    <row r="26041">
      <c r="C26041" s="15"/>
      <c r="E26041" s="8"/>
      <c r="G26041" s="8"/>
      <c r="J26041" s="8"/>
    </row>
    <row r="26042">
      <c r="C26042" s="15"/>
      <c r="E26042" s="8"/>
      <c r="G26042" s="8"/>
      <c r="J26042" s="8"/>
    </row>
    <row r="26043">
      <c r="C26043" s="15"/>
      <c r="E26043" s="8"/>
      <c r="G26043" s="8"/>
      <c r="J26043" s="8"/>
    </row>
    <row r="26044">
      <c r="C26044" s="15"/>
      <c r="E26044" s="8"/>
      <c r="G26044" s="8"/>
      <c r="J26044" s="8"/>
    </row>
    <row r="26045">
      <c r="C26045" s="15"/>
      <c r="E26045" s="8"/>
      <c r="G26045" s="8"/>
      <c r="J26045" s="8"/>
    </row>
    <row r="26046">
      <c r="C26046" s="15"/>
      <c r="E26046" s="8"/>
      <c r="G26046" s="8"/>
      <c r="J26046" s="8"/>
    </row>
    <row r="26047">
      <c r="C26047" s="15"/>
      <c r="E26047" s="8"/>
      <c r="G26047" s="8"/>
      <c r="J26047" s="8"/>
    </row>
    <row r="26048">
      <c r="C26048" s="15"/>
      <c r="E26048" s="8"/>
      <c r="G26048" s="8"/>
      <c r="J26048" s="8"/>
    </row>
    <row r="26049">
      <c r="C26049" s="15"/>
      <c r="E26049" s="8"/>
      <c r="G26049" s="8"/>
      <c r="J26049" s="8"/>
    </row>
    <row r="26050">
      <c r="C26050" s="15"/>
      <c r="E26050" s="8"/>
      <c r="G26050" s="8"/>
      <c r="J26050" s="8"/>
    </row>
    <row r="26051">
      <c r="C26051" s="15"/>
      <c r="E26051" s="8"/>
      <c r="G26051" s="8"/>
      <c r="J26051" s="8"/>
    </row>
    <row r="26052">
      <c r="C26052" s="15"/>
      <c r="E26052" s="8"/>
      <c r="G26052" s="8"/>
      <c r="J26052" s="8"/>
    </row>
    <row r="26053">
      <c r="C26053" s="15"/>
      <c r="E26053" s="8"/>
      <c r="G26053" s="8"/>
      <c r="J26053" s="8"/>
    </row>
    <row r="26054">
      <c r="C26054" s="15"/>
      <c r="E26054" s="8"/>
      <c r="G26054" s="8"/>
      <c r="J26054" s="8"/>
    </row>
    <row r="26055">
      <c r="C26055" s="15"/>
      <c r="E26055" s="8"/>
      <c r="G26055" s="8"/>
      <c r="J26055" s="8"/>
    </row>
    <row r="26056">
      <c r="C26056" s="15"/>
      <c r="E26056" s="8"/>
      <c r="G26056" s="8"/>
      <c r="J26056" s="8"/>
    </row>
    <row r="26057">
      <c r="C26057" s="15"/>
      <c r="E26057" s="8"/>
      <c r="G26057" s="8"/>
      <c r="J26057" s="8"/>
    </row>
    <row r="26058">
      <c r="C26058" s="15"/>
      <c r="E26058" s="8"/>
      <c r="G26058" s="8"/>
      <c r="J26058" s="8"/>
    </row>
    <row r="26059">
      <c r="C26059" s="15"/>
      <c r="E26059" s="8"/>
      <c r="G26059" s="8"/>
      <c r="J26059" s="8"/>
    </row>
    <row r="26060">
      <c r="C26060" s="15"/>
      <c r="E26060" s="8"/>
      <c r="G26060" s="8"/>
      <c r="J26060" s="8"/>
    </row>
    <row r="26061">
      <c r="C26061" s="15"/>
      <c r="E26061" s="8"/>
      <c r="G26061" s="8"/>
      <c r="J26061" s="8"/>
    </row>
    <row r="26062">
      <c r="C26062" s="15"/>
      <c r="E26062" s="8"/>
      <c r="G26062" s="8"/>
      <c r="J26062" s="8"/>
    </row>
    <row r="26063">
      <c r="C26063" s="15"/>
      <c r="E26063" s="8"/>
      <c r="G26063" s="8"/>
      <c r="J26063" s="8"/>
    </row>
    <row r="26064">
      <c r="C26064" s="15"/>
      <c r="E26064" s="8"/>
      <c r="G26064" s="8"/>
      <c r="J26064" s="8"/>
    </row>
    <row r="26065">
      <c r="C26065" s="15"/>
      <c r="E26065" s="8"/>
      <c r="G26065" s="8"/>
      <c r="J26065" s="8"/>
    </row>
    <row r="26066">
      <c r="C26066" s="15"/>
      <c r="E26066" s="8"/>
      <c r="G26066" s="8"/>
      <c r="J26066" s="8"/>
    </row>
    <row r="26067">
      <c r="C26067" s="15"/>
      <c r="E26067" s="8"/>
      <c r="G26067" s="8"/>
      <c r="J26067" s="8"/>
    </row>
    <row r="26068">
      <c r="C26068" s="15"/>
      <c r="E26068" s="8"/>
      <c r="G26068" s="8"/>
      <c r="J26068" s="8"/>
    </row>
    <row r="26069">
      <c r="C26069" s="15"/>
      <c r="E26069" s="8"/>
      <c r="G26069" s="8"/>
      <c r="J26069" s="8"/>
    </row>
    <row r="26070">
      <c r="C26070" s="15"/>
      <c r="E26070" s="8"/>
      <c r="G26070" s="8"/>
      <c r="J26070" s="8"/>
    </row>
    <row r="26071">
      <c r="C26071" s="15"/>
      <c r="E26071" s="8"/>
      <c r="G26071" s="8"/>
      <c r="J26071" s="8"/>
    </row>
    <row r="26072">
      <c r="C26072" s="15"/>
      <c r="E26072" s="8"/>
      <c r="G26072" s="8"/>
      <c r="J26072" s="8"/>
    </row>
    <row r="26073">
      <c r="C26073" s="15"/>
      <c r="E26073" s="8"/>
      <c r="G26073" s="8"/>
      <c r="J26073" s="8"/>
    </row>
    <row r="26074">
      <c r="C26074" s="15"/>
      <c r="E26074" s="8"/>
      <c r="G26074" s="8"/>
      <c r="J26074" s="8"/>
    </row>
    <row r="26075">
      <c r="C26075" s="15"/>
      <c r="E26075" s="8"/>
      <c r="G26075" s="8"/>
      <c r="J26075" s="8"/>
    </row>
    <row r="26076">
      <c r="C26076" s="15"/>
      <c r="E26076" s="8"/>
      <c r="G26076" s="8"/>
      <c r="J26076" s="8"/>
    </row>
    <row r="26077">
      <c r="C26077" s="15"/>
      <c r="E26077" s="8"/>
      <c r="G26077" s="8"/>
      <c r="J26077" s="8"/>
    </row>
    <row r="26078">
      <c r="C26078" s="15"/>
      <c r="E26078" s="8"/>
      <c r="G26078" s="8"/>
      <c r="J26078" s="8"/>
    </row>
    <row r="26079">
      <c r="C26079" s="15"/>
      <c r="E26079" s="8"/>
      <c r="G26079" s="8"/>
      <c r="J26079" s="8"/>
    </row>
    <row r="26080">
      <c r="C26080" s="15"/>
      <c r="E26080" s="8"/>
      <c r="G26080" s="8"/>
      <c r="J26080" s="8"/>
    </row>
    <row r="26081">
      <c r="C26081" s="15"/>
      <c r="E26081" s="8"/>
      <c r="G26081" s="8"/>
      <c r="J26081" s="8"/>
    </row>
    <row r="26082">
      <c r="C26082" s="15"/>
      <c r="E26082" s="8"/>
      <c r="G26082" s="8"/>
      <c r="J26082" s="8"/>
    </row>
    <row r="26083">
      <c r="C26083" s="15"/>
      <c r="E26083" s="8"/>
      <c r="G26083" s="8"/>
      <c r="J26083" s="8"/>
    </row>
    <row r="26084">
      <c r="C26084" s="15"/>
      <c r="E26084" s="8"/>
      <c r="G26084" s="8"/>
      <c r="J26084" s="8"/>
    </row>
    <row r="26085">
      <c r="C26085" s="15"/>
      <c r="E26085" s="8"/>
      <c r="G26085" s="8"/>
      <c r="J26085" s="8"/>
    </row>
    <row r="26086">
      <c r="C26086" s="15"/>
      <c r="E26086" s="8"/>
      <c r="G26086" s="8"/>
      <c r="J26086" s="8"/>
    </row>
    <row r="26087">
      <c r="C26087" s="15"/>
      <c r="E26087" s="8"/>
      <c r="G26087" s="8"/>
      <c r="J26087" s="8"/>
    </row>
    <row r="26088">
      <c r="C26088" s="15"/>
      <c r="E26088" s="8"/>
      <c r="G26088" s="8"/>
      <c r="J26088" s="8"/>
    </row>
    <row r="26089">
      <c r="C26089" s="15"/>
      <c r="E26089" s="8"/>
      <c r="G26089" s="8"/>
      <c r="J26089" s="8"/>
    </row>
    <row r="26090">
      <c r="C26090" s="15"/>
      <c r="E26090" s="8"/>
      <c r="G26090" s="8"/>
      <c r="J26090" s="8"/>
    </row>
    <row r="26091">
      <c r="C26091" s="15"/>
      <c r="E26091" s="8"/>
      <c r="G26091" s="8"/>
      <c r="J26091" s="8"/>
    </row>
    <row r="26092">
      <c r="C26092" s="15"/>
      <c r="E26092" s="8"/>
      <c r="G26092" s="8"/>
      <c r="J26092" s="8"/>
    </row>
    <row r="26093">
      <c r="C26093" s="15"/>
      <c r="E26093" s="8"/>
      <c r="G26093" s="8"/>
      <c r="J26093" s="8"/>
    </row>
    <row r="26094">
      <c r="C26094" s="15"/>
      <c r="E26094" s="8"/>
      <c r="G26094" s="8"/>
      <c r="J26094" s="8"/>
    </row>
    <row r="26095">
      <c r="C26095" s="15"/>
      <c r="E26095" s="8"/>
      <c r="G26095" s="8"/>
      <c r="J26095" s="8"/>
    </row>
    <row r="26096">
      <c r="C26096" s="15"/>
      <c r="E26096" s="8"/>
      <c r="G26096" s="8"/>
      <c r="J26096" s="8"/>
    </row>
    <row r="26097">
      <c r="C26097" s="15"/>
      <c r="E26097" s="8"/>
      <c r="G26097" s="8"/>
      <c r="J26097" s="8"/>
    </row>
    <row r="26098">
      <c r="C26098" s="15"/>
      <c r="E26098" s="8"/>
      <c r="G26098" s="8"/>
      <c r="J26098" s="8"/>
    </row>
    <row r="26099">
      <c r="C26099" s="15"/>
      <c r="E26099" s="8"/>
      <c r="G26099" s="8"/>
      <c r="J26099" s="8"/>
    </row>
    <row r="26100">
      <c r="C26100" s="15"/>
      <c r="E26100" s="8"/>
      <c r="G26100" s="8"/>
      <c r="J26100" s="8"/>
    </row>
    <row r="26101">
      <c r="C26101" s="15"/>
      <c r="E26101" s="8"/>
      <c r="G26101" s="8"/>
      <c r="J26101" s="8"/>
    </row>
    <row r="26102">
      <c r="C26102" s="15"/>
      <c r="E26102" s="8"/>
      <c r="G26102" s="8"/>
      <c r="J26102" s="8"/>
    </row>
    <row r="26103">
      <c r="C26103" s="15"/>
      <c r="E26103" s="8"/>
      <c r="G26103" s="8"/>
      <c r="J26103" s="8"/>
    </row>
    <row r="26104">
      <c r="C26104" s="15"/>
      <c r="E26104" s="8"/>
      <c r="G26104" s="8"/>
      <c r="J26104" s="8"/>
    </row>
    <row r="26105">
      <c r="C26105" s="15"/>
      <c r="E26105" s="8"/>
      <c r="G26105" s="8"/>
      <c r="J26105" s="8"/>
    </row>
    <row r="26106">
      <c r="C26106" s="15"/>
      <c r="E26106" s="8"/>
      <c r="G26106" s="8"/>
      <c r="J26106" s="8"/>
    </row>
    <row r="26107">
      <c r="C26107" s="15"/>
      <c r="E26107" s="8"/>
      <c r="G26107" s="8"/>
      <c r="J26107" s="8"/>
    </row>
    <row r="26108">
      <c r="C26108" s="15"/>
      <c r="E26108" s="8"/>
      <c r="G26108" s="8"/>
      <c r="J26108" s="8"/>
    </row>
    <row r="26109">
      <c r="C26109" s="15"/>
      <c r="E26109" s="8"/>
      <c r="G26109" s="8"/>
      <c r="J26109" s="8"/>
    </row>
    <row r="26110">
      <c r="C26110" s="15"/>
      <c r="E26110" s="8"/>
      <c r="G26110" s="8"/>
      <c r="J26110" s="8"/>
    </row>
    <row r="26111">
      <c r="C26111" s="15"/>
      <c r="E26111" s="8"/>
      <c r="G26111" s="8"/>
      <c r="J26111" s="8"/>
    </row>
    <row r="26112">
      <c r="C26112" s="15"/>
      <c r="E26112" s="8"/>
      <c r="G26112" s="8"/>
      <c r="J26112" s="8"/>
    </row>
    <row r="26113">
      <c r="C26113" s="15"/>
      <c r="E26113" s="8"/>
      <c r="G26113" s="8"/>
      <c r="J26113" s="8"/>
    </row>
    <row r="26114">
      <c r="C26114" s="15"/>
      <c r="E26114" s="8"/>
      <c r="G26114" s="8"/>
      <c r="J26114" s="8"/>
    </row>
    <row r="26115">
      <c r="C26115" s="15"/>
      <c r="E26115" s="8"/>
      <c r="G26115" s="8"/>
      <c r="J26115" s="8"/>
    </row>
    <row r="26116">
      <c r="C26116" s="15"/>
      <c r="E26116" s="8"/>
      <c r="G26116" s="8"/>
      <c r="J26116" s="8"/>
    </row>
    <row r="26117">
      <c r="C26117" s="15"/>
      <c r="E26117" s="8"/>
      <c r="G26117" s="8"/>
      <c r="J26117" s="8"/>
    </row>
    <row r="26118">
      <c r="C26118" s="15"/>
      <c r="E26118" s="8"/>
      <c r="G26118" s="8"/>
      <c r="J26118" s="8"/>
    </row>
    <row r="26119">
      <c r="C26119" s="15"/>
      <c r="E26119" s="8"/>
      <c r="G26119" s="8"/>
      <c r="J26119" s="8"/>
    </row>
    <row r="26120">
      <c r="C26120" s="15"/>
      <c r="E26120" s="8"/>
      <c r="G26120" s="8"/>
      <c r="J26120" s="8"/>
    </row>
    <row r="26121">
      <c r="C26121" s="15"/>
      <c r="E26121" s="8"/>
      <c r="G26121" s="8"/>
      <c r="J26121" s="8"/>
    </row>
    <row r="26122">
      <c r="C26122" s="15"/>
      <c r="E26122" s="8"/>
      <c r="G26122" s="8"/>
      <c r="J26122" s="8"/>
    </row>
    <row r="26123">
      <c r="C26123" s="15"/>
      <c r="E26123" s="8"/>
      <c r="G26123" s="8"/>
      <c r="J26123" s="8"/>
    </row>
    <row r="26124">
      <c r="C26124" s="15"/>
      <c r="E26124" s="8"/>
      <c r="G26124" s="8"/>
      <c r="J26124" s="8"/>
    </row>
    <row r="26125">
      <c r="C26125" s="15"/>
      <c r="E26125" s="8"/>
      <c r="G26125" s="8"/>
      <c r="J26125" s="8"/>
    </row>
    <row r="26126">
      <c r="C26126" s="15"/>
      <c r="E26126" s="8"/>
      <c r="G26126" s="8"/>
      <c r="J26126" s="8"/>
    </row>
    <row r="26127">
      <c r="C26127" s="15"/>
      <c r="E26127" s="8"/>
      <c r="G26127" s="8"/>
      <c r="J26127" s="8"/>
    </row>
    <row r="26128">
      <c r="C26128" s="15"/>
      <c r="E26128" s="8"/>
      <c r="G26128" s="8"/>
      <c r="J26128" s="8"/>
    </row>
    <row r="26129">
      <c r="C26129" s="15"/>
      <c r="E26129" s="8"/>
      <c r="G26129" s="8"/>
      <c r="J26129" s="8"/>
    </row>
    <row r="26130">
      <c r="C26130" s="15"/>
      <c r="E26130" s="8"/>
      <c r="G26130" s="8"/>
      <c r="J26130" s="8"/>
    </row>
    <row r="26131">
      <c r="C26131" s="15"/>
      <c r="E26131" s="8"/>
      <c r="G26131" s="8"/>
      <c r="J26131" s="8"/>
    </row>
    <row r="26132">
      <c r="C26132" s="15"/>
      <c r="E26132" s="8"/>
      <c r="G26132" s="8"/>
      <c r="J26132" s="8"/>
    </row>
    <row r="26133">
      <c r="C26133" s="15"/>
      <c r="E26133" s="8"/>
      <c r="G26133" s="8"/>
      <c r="J26133" s="8"/>
    </row>
    <row r="26134">
      <c r="C26134" s="15"/>
      <c r="E26134" s="8"/>
      <c r="G26134" s="8"/>
      <c r="J26134" s="8"/>
    </row>
    <row r="26135">
      <c r="C26135" s="15"/>
      <c r="E26135" s="8"/>
      <c r="G26135" s="8"/>
      <c r="J26135" s="8"/>
    </row>
    <row r="26136">
      <c r="C26136" s="15"/>
      <c r="E26136" s="8"/>
      <c r="G26136" s="8"/>
      <c r="J26136" s="8"/>
    </row>
    <row r="26137">
      <c r="C26137" s="15"/>
      <c r="E26137" s="8"/>
      <c r="G26137" s="8"/>
      <c r="J26137" s="8"/>
    </row>
    <row r="26138">
      <c r="C26138" s="15"/>
      <c r="E26138" s="8"/>
      <c r="G26138" s="8"/>
      <c r="J26138" s="8"/>
    </row>
    <row r="26139">
      <c r="C26139" s="15"/>
      <c r="E26139" s="8"/>
      <c r="G26139" s="8"/>
      <c r="J26139" s="8"/>
    </row>
    <row r="26140">
      <c r="C26140" s="15"/>
      <c r="E26140" s="8"/>
      <c r="G26140" s="8"/>
      <c r="J26140" s="8"/>
    </row>
    <row r="26141">
      <c r="C26141" s="15"/>
      <c r="E26141" s="8"/>
      <c r="G26141" s="8"/>
      <c r="J26141" s="8"/>
    </row>
    <row r="26142">
      <c r="C26142" s="15"/>
      <c r="E26142" s="8"/>
      <c r="G26142" s="8"/>
      <c r="J26142" s="8"/>
    </row>
    <row r="26143">
      <c r="C26143" s="15"/>
      <c r="E26143" s="8"/>
      <c r="G26143" s="8"/>
      <c r="J26143" s="8"/>
    </row>
    <row r="26144">
      <c r="C26144" s="15"/>
      <c r="E26144" s="8"/>
      <c r="G26144" s="8"/>
      <c r="J26144" s="8"/>
    </row>
    <row r="26145">
      <c r="C26145" s="15"/>
      <c r="E26145" s="8"/>
      <c r="G26145" s="8"/>
      <c r="J26145" s="8"/>
    </row>
    <row r="26146">
      <c r="C26146" s="15"/>
      <c r="E26146" s="8"/>
      <c r="G26146" s="8"/>
      <c r="J26146" s="8"/>
    </row>
    <row r="26147">
      <c r="C26147" s="15"/>
      <c r="E26147" s="8"/>
      <c r="G26147" s="8"/>
      <c r="J26147" s="8"/>
    </row>
    <row r="26148">
      <c r="C26148" s="15"/>
      <c r="E26148" s="8"/>
      <c r="G26148" s="8"/>
      <c r="J26148" s="8"/>
    </row>
    <row r="26149">
      <c r="C26149" s="15"/>
      <c r="E26149" s="8"/>
      <c r="G26149" s="8"/>
      <c r="J26149" s="8"/>
    </row>
    <row r="26150">
      <c r="C26150" s="15"/>
      <c r="E26150" s="8"/>
      <c r="G26150" s="8"/>
      <c r="J26150" s="8"/>
    </row>
    <row r="26151">
      <c r="C26151" s="15"/>
      <c r="E26151" s="8"/>
      <c r="G26151" s="8"/>
      <c r="J26151" s="8"/>
    </row>
    <row r="26152">
      <c r="C26152" s="15"/>
      <c r="E26152" s="8"/>
      <c r="G26152" s="8"/>
      <c r="J26152" s="8"/>
    </row>
    <row r="26153">
      <c r="C26153" s="15"/>
      <c r="E26153" s="8"/>
      <c r="G26153" s="8"/>
      <c r="J26153" s="8"/>
    </row>
    <row r="26154">
      <c r="C26154" s="15"/>
      <c r="E26154" s="8"/>
      <c r="G26154" s="8"/>
      <c r="J26154" s="8"/>
    </row>
    <row r="26155">
      <c r="C26155" s="15"/>
      <c r="E26155" s="8"/>
      <c r="G26155" s="8"/>
      <c r="J26155" s="8"/>
    </row>
    <row r="26156">
      <c r="C26156" s="15"/>
      <c r="E26156" s="8"/>
      <c r="G26156" s="8"/>
      <c r="J26156" s="8"/>
    </row>
    <row r="26157">
      <c r="C26157" s="15"/>
      <c r="E26157" s="8"/>
      <c r="G26157" s="8"/>
      <c r="J26157" s="8"/>
    </row>
    <row r="26158">
      <c r="C26158" s="15"/>
      <c r="E26158" s="8"/>
      <c r="G26158" s="8"/>
      <c r="J26158" s="8"/>
    </row>
    <row r="26159">
      <c r="C26159" s="15"/>
      <c r="E26159" s="8"/>
      <c r="G26159" s="8"/>
      <c r="J26159" s="8"/>
    </row>
    <row r="26160">
      <c r="C26160" s="15"/>
      <c r="E26160" s="8"/>
      <c r="G26160" s="8"/>
      <c r="J26160" s="8"/>
    </row>
    <row r="26161">
      <c r="C26161" s="15"/>
      <c r="E26161" s="8"/>
      <c r="G26161" s="8"/>
      <c r="J26161" s="8"/>
    </row>
    <row r="26162">
      <c r="C26162" s="15"/>
      <c r="E26162" s="8"/>
      <c r="G26162" s="8"/>
      <c r="J26162" s="8"/>
    </row>
    <row r="26163">
      <c r="C26163" s="15"/>
      <c r="E26163" s="8"/>
      <c r="G26163" s="8"/>
      <c r="J26163" s="8"/>
    </row>
    <row r="26164">
      <c r="C26164" s="15"/>
      <c r="E26164" s="8"/>
      <c r="G26164" s="8"/>
      <c r="J26164" s="8"/>
    </row>
    <row r="26165">
      <c r="C26165" s="15"/>
      <c r="E26165" s="8"/>
      <c r="G26165" s="8"/>
      <c r="J26165" s="8"/>
    </row>
    <row r="26166">
      <c r="C26166" s="15"/>
      <c r="E26166" s="8"/>
      <c r="G26166" s="8"/>
      <c r="J26166" s="8"/>
    </row>
    <row r="26167">
      <c r="C26167" s="15"/>
      <c r="E26167" s="8"/>
      <c r="G26167" s="8"/>
      <c r="J26167" s="8"/>
    </row>
    <row r="26168">
      <c r="C26168" s="15"/>
      <c r="E26168" s="8"/>
      <c r="G26168" s="8"/>
      <c r="J26168" s="8"/>
    </row>
    <row r="26169">
      <c r="C26169" s="15"/>
      <c r="E26169" s="8"/>
      <c r="G26169" s="8"/>
      <c r="J26169" s="8"/>
    </row>
    <row r="26170">
      <c r="C26170" s="15"/>
      <c r="E26170" s="8"/>
      <c r="G26170" s="8"/>
      <c r="J26170" s="8"/>
    </row>
    <row r="26171">
      <c r="C26171" s="15"/>
      <c r="E26171" s="8"/>
      <c r="G26171" s="8"/>
      <c r="J26171" s="8"/>
    </row>
    <row r="26172">
      <c r="C26172" s="15"/>
      <c r="E26172" s="8"/>
      <c r="G26172" s="8"/>
      <c r="J26172" s="8"/>
    </row>
    <row r="26173">
      <c r="C26173" s="15"/>
      <c r="E26173" s="8"/>
      <c r="G26173" s="8"/>
      <c r="J26173" s="8"/>
    </row>
    <row r="26174">
      <c r="C26174" s="15"/>
      <c r="E26174" s="8"/>
      <c r="G26174" s="8"/>
      <c r="J26174" s="8"/>
    </row>
    <row r="26175">
      <c r="C26175" s="15"/>
      <c r="E26175" s="8"/>
      <c r="G26175" s="8"/>
      <c r="J26175" s="8"/>
    </row>
    <row r="26176">
      <c r="C26176" s="15"/>
      <c r="E26176" s="8"/>
      <c r="G26176" s="8"/>
      <c r="J26176" s="8"/>
    </row>
    <row r="26177">
      <c r="C26177" s="15"/>
      <c r="E26177" s="8"/>
      <c r="G26177" s="8"/>
      <c r="J26177" s="8"/>
    </row>
    <row r="26178">
      <c r="C26178" s="15"/>
      <c r="E26178" s="8"/>
      <c r="G26178" s="8"/>
      <c r="J26178" s="8"/>
    </row>
    <row r="26179">
      <c r="C26179" s="15"/>
      <c r="E26179" s="8"/>
      <c r="G26179" s="8"/>
      <c r="J26179" s="8"/>
    </row>
    <row r="26180">
      <c r="C26180" s="15"/>
      <c r="E26180" s="8"/>
      <c r="G26180" s="8"/>
      <c r="J26180" s="8"/>
    </row>
    <row r="26181">
      <c r="C26181" s="15"/>
      <c r="E26181" s="8"/>
      <c r="G26181" s="8"/>
      <c r="J26181" s="8"/>
    </row>
    <row r="26182">
      <c r="C26182" s="15"/>
      <c r="E26182" s="8"/>
      <c r="G26182" s="8"/>
      <c r="J26182" s="8"/>
    </row>
    <row r="26183">
      <c r="C26183" s="15"/>
      <c r="E26183" s="8"/>
      <c r="G26183" s="8"/>
      <c r="J26183" s="8"/>
    </row>
    <row r="26184">
      <c r="C26184" s="15"/>
      <c r="E26184" s="8"/>
      <c r="G26184" s="8"/>
      <c r="J26184" s="8"/>
    </row>
    <row r="26185">
      <c r="C26185" s="15"/>
      <c r="E26185" s="8"/>
      <c r="G26185" s="8"/>
      <c r="J26185" s="8"/>
    </row>
    <row r="26186">
      <c r="C26186" s="15"/>
      <c r="E26186" s="8"/>
      <c r="G26186" s="8"/>
      <c r="J26186" s="8"/>
    </row>
    <row r="26187">
      <c r="C26187" s="15"/>
      <c r="E26187" s="8"/>
      <c r="G26187" s="8"/>
      <c r="J26187" s="8"/>
    </row>
    <row r="26188">
      <c r="C26188" s="15"/>
      <c r="E26188" s="8"/>
      <c r="G26188" s="8"/>
      <c r="J26188" s="8"/>
    </row>
    <row r="26189">
      <c r="C26189" s="15"/>
      <c r="E26189" s="8"/>
      <c r="G26189" s="8"/>
      <c r="J26189" s="8"/>
    </row>
    <row r="26190">
      <c r="C26190" s="15"/>
      <c r="E26190" s="8"/>
      <c r="G26190" s="8"/>
      <c r="J26190" s="8"/>
    </row>
    <row r="26191">
      <c r="C26191" s="15"/>
      <c r="E26191" s="8"/>
      <c r="G26191" s="8"/>
      <c r="J26191" s="8"/>
    </row>
    <row r="26192">
      <c r="C26192" s="15"/>
      <c r="E26192" s="8"/>
      <c r="G26192" s="8"/>
      <c r="J26192" s="8"/>
    </row>
    <row r="26193">
      <c r="C26193" s="15"/>
      <c r="E26193" s="8"/>
      <c r="G26193" s="8"/>
      <c r="J26193" s="8"/>
    </row>
    <row r="26194">
      <c r="C26194" s="15"/>
      <c r="E26194" s="8"/>
      <c r="G26194" s="8"/>
      <c r="J26194" s="8"/>
    </row>
    <row r="26195">
      <c r="C26195" s="15"/>
      <c r="E26195" s="8"/>
      <c r="G26195" s="8"/>
      <c r="J26195" s="8"/>
    </row>
    <row r="26196">
      <c r="C26196" s="15"/>
      <c r="E26196" s="8"/>
      <c r="G26196" s="8"/>
      <c r="J26196" s="8"/>
    </row>
    <row r="26197">
      <c r="C26197" s="15"/>
      <c r="E26197" s="8"/>
      <c r="G26197" s="8"/>
      <c r="J26197" s="8"/>
    </row>
    <row r="26198">
      <c r="C26198" s="15"/>
      <c r="E26198" s="8"/>
      <c r="G26198" s="8"/>
      <c r="J26198" s="8"/>
    </row>
    <row r="26199">
      <c r="C26199" s="15"/>
      <c r="E26199" s="8"/>
      <c r="G26199" s="8"/>
      <c r="J26199" s="8"/>
    </row>
    <row r="26200">
      <c r="C26200" s="15"/>
      <c r="E26200" s="8"/>
      <c r="G26200" s="8"/>
      <c r="J26200" s="8"/>
    </row>
    <row r="26201">
      <c r="C26201" s="15"/>
      <c r="E26201" s="8"/>
      <c r="G26201" s="8"/>
      <c r="J26201" s="8"/>
    </row>
    <row r="26202">
      <c r="C26202" s="15"/>
      <c r="E26202" s="8"/>
      <c r="G26202" s="8"/>
      <c r="J26202" s="8"/>
    </row>
    <row r="26203">
      <c r="C26203" s="15"/>
      <c r="E26203" s="8"/>
      <c r="G26203" s="8"/>
      <c r="J26203" s="8"/>
    </row>
    <row r="26204">
      <c r="C26204" s="15"/>
      <c r="E26204" s="8"/>
      <c r="G26204" s="8"/>
      <c r="J26204" s="8"/>
    </row>
    <row r="26205">
      <c r="C26205" s="15"/>
      <c r="E26205" s="8"/>
      <c r="G26205" s="8"/>
      <c r="J26205" s="8"/>
    </row>
    <row r="26206">
      <c r="C26206" s="15"/>
      <c r="E26206" s="8"/>
      <c r="G26206" s="8"/>
      <c r="J26206" s="8"/>
    </row>
    <row r="26207">
      <c r="C26207" s="15"/>
      <c r="E26207" s="8"/>
      <c r="G26207" s="8"/>
      <c r="J26207" s="8"/>
    </row>
    <row r="26208">
      <c r="C26208" s="15"/>
      <c r="E26208" s="8"/>
      <c r="G26208" s="8"/>
      <c r="J26208" s="8"/>
    </row>
    <row r="26209">
      <c r="C26209" s="15"/>
      <c r="E26209" s="8"/>
      <c r="G26209" s="8"/>
      <c r="J26209" s="8"/>
    </row>
    <row r="26210">
      <c r="C26210" s="15"/>
      <c r="E26210" s="8"/>
      <c r="G26210" s="8"/>
      <c r="J26210" s="8"/>
    </row>
    <row r="26211">
      <c r="C26211" s="15"/>
      <c r="E26211" s="8"/>
      <c r="G26211" s="8"/>
      <c r="J26211" s="8"/>
    </row>
    <row r="26212">
      <c r="C26212" s="15"/>
      <c r="E26212" s="8"/>
      <c r="G26212" s="8"/>
      <c r="J26212" s="8"/>
    </row>
    <row r="26213">
      <c r="C26213" s="15"/>
      <c r="E26213" s="8"/>
      <c r="G26213" s="8"/>
      <c r="J26213" s="8"/>
    </row>
    <row r="26214">
      <c r="C26214" s="15"/>
      <c r="E26214" s="8"/>
      <c r="G26214" s="8"/>
      <c r="J26214" s="8"/>
    </row>
    <row r="26215">
      <c r="C26215" s="15"/>
      <c r="E26215" s="8"/>
      <c r="G26215" s="8"/>
      <c r="J26215" s="8"/>
    </row>
    <row r="26216">
      <c r="C26216" s="15"/>
      <c r="E26216" s="8"/>
      <c r="G26216" s="8"/>
      <c r="J26216" s="8"/>
    </row>
    <row r="26217">
      <c r="C26217" s="15"/>
      <c r="E26217" s="8"/>
      <c r="G26217" s="8"/>
      <c r="J26217" s="8"/>
    </row>
    <row r="26218">
      <c r="C26218" s="15"/>
      <c r="E26218" s="8"/>
      <c r="G26218" s="8"/>
      <c r="J26218" s="8"/>
    </row>
    <row r="26219">
      <c r="C26219" s="15"/>
      <c r="E26219" s="8"/>
      <c r="G26219" s="8"/>
      <c r="J26219" s="8"/>
    </row>
    <row r="26220">
      <c r="C26220" s="15"/>
      <c r="E26220" s="8"/>
      <c r="G26220" s="8"/>
      <c r="J26220" s="8"/>
    </row>
    <row r="26221">
      <c r="C26221" s="15"/>
      <c r="E26221" s="8"/>
      <c r="G26221" s="8"/>
      <c r="J26221" s="8"/>
    </row>
    <row r="26222">
      <c r="C26222" s="15"/>
      <c r="E26222" s="8"/>
      <c r="G26222" s="8"/>
      <c r="J26222" s="8"/>
    </row>
    <row r="26223">
      <c r="C26223" s="15"/>
      <c r="E26223" s="8"/>
      <c r="G26223" s="8"/>
      <c r="J26223" s="8"/>
    </row>
    <row r="26224">
      <c r="C26224" s="15"/>
      <c r="E26224" s="8"/>
      <c r="G26224" s="8"/>
      <c r="J26224" s="8"/>
    </row>
    <row r="26225">
      <c r="C26225" s="15"/>
      <c r="E26225" s="8"/>
      <c r="G26225" s="8"/>
      <c r="J26225" s="8"/>
    </row>
    <row r="26226">
      <c r="C26226" s="15"/>
      <c r="E26226" s="8"/>
      <c r="G26226" s="8"/>
      <c r="J26226" s="8"/>
    </row>
    <row r="26227">
      <c r="C26227" s="15"/>
      <c r="E26227" s="8"/>
      <c r="G26227" s="8"/>
      <c r="J26227" s="8"/>
    </row>
    <row r="26228">
      <c r="C26228" s="15"/>
      <c r="E26228" s="8"/>
      <c r="G26228" s="8"/>
      <c r="J26228" s="8"/>
    </row>
    <row r="26229">
      <c r="C26229" s="15"/>
      <c r="E26229" s="8"/>
      <c r="G26229" s="8"/>
      <c r="J26229" s="8"/>
    </row>
    <row r="26230">
      <c r="C26230" s="15"/>
      <c r="E26230" s="8"/>
      <c r="G26230" s="8"/>
      <c r="J26230" s="8"/>
    </row>
    <row r="26231">
      <c r="C26231" s="15"/>
      <c r="E26231" s="8"/>
      <c r="G26231" s="8"/>
      <c r="J26231" s="8"/>
    </row>
    <row r="26232">
      <c r="C26232" s="15"/>
      <c r="E26232" s="8"/>
      <c r="G26232" s="8"/>
      <c r="J26232" s="8"/>
    </row>
    <row r="26233">
      <c r="C26233" s="15"/>
      <c r="E26233" s="8"/>
      <c r="G26233" s="8"/>
      <c r="J26233" s="8"/>
    </row>
    <row r="26234">
      <c r="C26234" s="15"/>
      <c r="E26234" s="8"/>
      <c r="G26234" s="8"/>
      <c r="J26234" s="8"/>
    </row>
    <row r="26235">
      <c r="C26235" s="15"/>
      <c r="E26235" s="8"/>
      <c r="G26235" s="8"/>
      <c r="J26235" s="8"/>
    </row>
    <row r="26236">
      <c r="C26236" s="15"/>
      <c r="E26236" s="8"/>
      <c r="G26236" s="8"/>
      <c r="J26236" s="8"/>
    </row>
    <row r="26237">
      <c r="C26237" s="15"/>
      <c r="E26237" s="8"/>
      <c r="G26237" s="8"/>
      <c r="J26237" s="8"/>
    </row>
    <row r="26238">
      <c r="C26238" s="15"/>
      <c r="E26238" s="8"/>
      <c r="G26238" s="8"/>
      <c r="J26238" s="8"/>
    </row>
    <row r="26239">
      <c r="C26239" s="15"/>
      <c r="E26239" s="8"/>
      <c r="G26239" s="8"/>
      <c r="J26239" s="8"/>
    </row>
    <row r="26240">
      <c r="C26240" s="15"/>
      <c r="E26240" s="8"/>
      <c r="G26240" s="8"/>
      <c r="J26240" s="8"/>
    </row>
    <row r="26241">
      <c r="C26241" s="15"/>
      <c r="E26241" s="8"/>
      <c r="G26241" s="8"/>
      <c r="J26241" s="8"/>
    </row>
    <row r="26242">
      <c r="C26242" s="15"/>
      <c r="E26242" s="8"/>
      <c r="G26242" s="8"/>
      <c r="J26242" s="8"/>
    </row>
    <row r="26243">
      <c r="C26243" s="15"/>
      <c r="E26243" s="8"/>
      <c r="G26243" s="8"/>
      <c r="J26243" s="8"/>
    </row>
    <row r="26244">
      <c r="C26244" s="15"/>
      <c r="E26244" s="8"/>
      <c r="G26244" s="8"/>
      <c r="J26244" s="8"/>
    </row>
    <row r="26245">
      <c r="C26245" s="15"/>
      <c r="E26245" s="8"/>
      <c r="G26245" s="8"/>
      <c r="J26245" s="8"/>
    </row>
    <row r="26246">
      <c r="C26246" s="15"/>
      <c r="E26246" s="8"/>
      <c r="G26246" s="8"/>
      <c r="J26246" s="8"/>
    </row>
    <row r="26247">
      <c r="C26247" s="15"/>
      <c r="E26247" s="8"/>
      <c r="G26247" s="8"/>
      <c r="J26247" s="8"/>
    </row>
    <row r="26248">
      <c r="C26248" s="15"/>
      <c r="E26248" s="8"/>
      <c r="G26248" s="8"/>
      <c r="J26248" s="8"/>
    </row>
    <row r="26249">
      <c r="C26249" s="15"/>
      <c r="E26249" s="8"/>
      <c r="G26249" s="8"/>
      <c r="J26249" s="8"/>
    </row>
    <row r="26250">
      <c r="C26250" s="15"/>
      <c r="E26250" s="8"/>
      <c r="G26250" s="8"/>
      <c r="J26250" s="8"/>
    </row>
    <row r="26251">
      <c r="C26251" s="15"/>
      <c r="E26251" s="8"/>
      <c r="G26251" s="8"/>
      <c r="J26251" s="8"/>
    </row>
    <row r="26252">
      <c r="C26252" s="15"/>
      <c r="E26252" s="8"/>
      <c r="G26252" s="8"/>
      <c r="J26252" s="8"/>
    </row>
    <row r="26253">
      <c r="C26253" s="15"/>
      <c r="E26253" s="8"/>
      <c r="G26253" s="8"/>
      <c r="J26253" s="8"/>
    </row>
    <row r="26254">
      <c r="C26254" s="15"/>
      <c r="E26254" s="8"/>
      <c r="G26254" s="8"/>
      <c r="J26254" s="8"/>
    </row>
    <row r="26255">
      <c r="C26255" s="15"/>
      <c r="E26255" s="8"/>
      <c r="G26255" s="8"/>
      <c r="J26255" s="8"/>
    </row>
    <row r="26256">
      <c r="C26256" s="15"/>
      <c r="E26256" s="8"/>
      <c r="G26256" s="8"/>
      <c r="J26256" s="8"/>
    </row>
    <row r="26257">
      <c r="C26257" s="15"/>
      <c r="E26257" s="8"/>
      <c r="G26257" s="8"/>
      <c r="J26257" s="8"/>
    </row>
    <row r="26258">
      <c r="C26258" s="15"/>
      <c r="E26258" s="8"/>
      <c r="G26258" s="8"/>
      <c r="J26258" s="8"/>
    </row>
    <row r="26259">
      <c r="C26259" s="15"/>
      <c r="E26259" s="8"/>
      <c r="G26259" s="8"/>
      <c r="J26259" s="8"/>
    </row>
    <row r="26260">
      <c r="C26260" s="15"/>
      <c r="E26260" s="8"/>
      <c r="G26260" s="8"/>
      <c r="J26260" s="8"/>
    </row>
    <row r="26261">
      <c r="C26261" s="15"/>
      <c r="E26261" s="8"/>
      <c r="G26261" s="8"/>
      <c r="J26261" s="8"/>
    </row>
    <row r="26262">
      <c r="C26262" s="15"/>
      <c r="E26262" s="8"/>
      <c r="G26262" s="8"/>
      <c r="J26262" s="8"/>
    </row>
    <row r="26263">
      <c r="C26263" s="15"/>
      <c r="E26263" s="8"/>
      <c r="G26263" s="8"/>
      <c r="J26263" s="8"/>
    </row>
    <row r="26264">
      <c r="C26264" s="15"/>
      <c r="E26264" s="8"/>
      <c r="G26264" s="8"/>
      <c r="J26264" s="8"/>
    </row>
    <row r="26265">
      <c r="C26265" s="15"/>
      <c r="E26265" s="8"/>
      <c r="G26265" s="8"/>
      <c r="J26265" s="8"/>
    </row>
    <row r="26266">
      <c r="C26266" s="15"/>
      <c r="E26266" s="8"/>
      <c r="G26266" s="8"/>
      <c r="J26266" s="8"/>
    </row>
    <row r="26267">
      <c r="C26267" s="15"/>
      <c r="E26267" s="8"/>
      <c r="G26267" s="8"/>
      <c r="J26267" s="8"/>
    </row>
    <row r="26268">
      <c r="C26268" s="15"/>
      <c r="E26268" s="8"/>
      <c r="G26268" s="8"/>
      <c r="J26268" s="8"/>
    </row>
    <row r="26269">
      <c r="C26269" s="15"/>
      <c r="E26269" s="8"/>
      <c r="G26269" s="8"/>
      <c r="J26269" s="8"/>
    </row>
    <row r="26270">
      <c r="C26270" s="15"/>
      <c r="E26270" s="8"/>
      <c r="G26270" s="8"/>
      <c r="J26270" s="8"/>
    </row>
    <row r="26271">
      <c r="C26271" s="15"/>
      <c r="E26271" s="8"/>
      <c r="G26271" s="8"/>
      <c r="J26271" s="8"/>
    </row>
    <row r="26272">
      <c r="C26272" s="15"/>
      <c r="E26272" s="8"/>
      <c r="G26272" s="8"/>
      <c r="J26272" s="8"/>
    </row>
    <row r="26273">
      <c r="C26273" s="15"/>
      <c r="E26273" s="8"/>
      <c r="G26273" s="8"/>
      <c r="J26273" s="8"/>
    </row>
    <row r="26274">
      <c r="C26274" s="15"/>
      <c r="E26274" s="8"/>
      <c r="G26274" s="8"/>
      <c r="J26274" s="8"/>
    </row>
    <row r="26275">
      <c r="C26275" s="15"/>
      <c r="E26275" s="8"/>
      <c r="G26275" s="8"/>
      <c r="J26275" s="8"/>
    </row>
    <row r="26276">
      <c r="C26276" s="15"/>
      <c r="E26276" s="8"/>
      <c r="G26276" s="8"/>
      <c r="J26276" s="8"/>
    </row>
    <row r="26277">
      <c r="C26277" s="15"/>
      <c r="E26277" s="8"/>
      <c r="G26277" s="8"/>
      <c r="J26277" s="8"/>
    </row>
    <row r="26278">
      <c r="C26278" s="15"/>
      <c r="E26278" s="8"/>
      <c r="G26278" s="8"/>
      <c r="J26278" s="8"/>
    </row>
    <row r="26279">
      <c r="C26279" s="15"/>
      <c r="E26279" s="8"/>
      <c r="G26279" s="8"/>
      <c r="J26279" s="8"/>
    </row>
    <row r="26280">
      <c r="C26280" s="15"/>
      <c r="E26280" s="8"/>
      <c r="G26280" s="8"/>
      <c r="J26280" s="8"/>
    </row>
    <row r="26281">
      <c r="C26281" s="15"/>
      <c r="E26281" s="8"/>
      <c r="G26281" s="8"/>
      <c r="J26281" s="8"/>
    </row>
    <row r="26282">
      <c r="C26282" s="15"/>
      <c r="E26282" s="8"/>
      <c r="G26282" s="8"/>
      <c r="J26282" s="8"/>
    </row>
    <row r="26283">
      <c r="C26283" s="15"/>
      <c r="E26283" s="8"/>
      <c r="G26283" s="8"/>
      <c r="J26283" s="8"/>
    </row>
    <row r="26284">
      <c r="C26284" s="15"/>
      <c r="E26284" s="8"/>
      <c r="G26284" s="8"/>
      <c r="J26284" s="8"/>
    </row>
    <row r="26285">
      <c r="C26285" s="15"/>
      <c r="E26285" s="8"/>
      <c r="G26285" s="8"/>
      <c r="J26285" s="8"/>
    </row>
    <row r="26286">
      <c r="C26286" s="15"/>
      <c r="E26286" s="8"/>
      <c r="G26286" s="8"/>
      <c r="J26286" s="8"/>
    </row>
    <row r="26287">
      <c r="C26287" s="15"/>
      <c r="E26287" s="8"/>
      <c r="G26287" s="8"/>
      <c r="J26287" s="8"/>
    </row>
    <row r="26288">
      <c r="C26288" s="15"/>
      <c r="E26288" s="8"/>
      <c r="G26288" s="8"/>
      <c r="J26288" s="8"/>
    </row>
    <row r="26289">
      <c r="C26289" s="15"/>
      <c r="E26289" s="8"/>
      <c r="G26289" s="8"/>
      <c r="J26289" s="8"/>
    </row>
    <row r="26290">
      <c r="C26290" s="15"/>
      <c r="E26290" s="8"/>
      <c r="G26290" s="8"/>
      <c r="J26290" s="8"/>
    </row>
    <row r="26291">
      <c r="C26291" s="15"/>
      <c r="E26291" s="8"/>
      <c r="G26291" s="8"/>
      <c r="J26291" s="8"/>
    </row>
    <row r="26292">
      <c r="C26292" s="15"/>
      <c r="E26292" s="8"/>
      <c r="G26292" s="8"/>
      <c r="J26292" s="8"/>
    </row>
    <row r="26293">
      <c r="C26293" s="15"/>
      <c r="E26293" s="8"/>
      <c r="G26293" s="8"/>
      <c r="J26293" s="8"/>
    </row>
    <row r="26294">
      <c r="C26294" s="15"/>
      <c r="E26294" s="8"/>
      <c r="G26294" s="8"/>
      <c r="J26294" s="8"/>
    </row>
    <row r="26295">
      <c r="C26295" s="15"/>
      <c r="E26295" s="8"/>
      <c r="G26295" s="8"/>
      <c r="J26295" s="8"/>
    </row>
    <row r="26296">
      <c r="C26296" s="15"/>
      <c r="E26296" s="8"/>
      <c r="G26296" s="8"/>
      <c r="J26296" s="8"/>
    </row>
    <row r="26297">
      <c r="C26297" s="15"/>
      <c r="E26297" s="8"/>
      <c r="G26297" s="8"/>
      <c r="J26297" s="8"/>
    </row>
    <row r="26298">
      <c r="C26298" s="15"/>
      <c r="E26298" s="8"/>
      <c r="G26298" s="8"/>
      <c r="J26298" s="8"/>
    </row>
    <row r="26299">
      <c r="C26299" s="15"/>
      <c r="E26299" s="8"/>
      <c r="G26299" s="8"/>
      <c r="J26299" s="8"/>
    </row>
    <row r="26300">
      <c r="C26300" s="15"/>
      <c r="E26300" s="8"/>
      <c r="G26300" s="8"/>
      <c r="J26300" s="8"/>
    </row>
    <row r="26301">
      <c r="C26301" s="15"/>
      <c r="E26301" s="8"/>
      <c r="G26301" s="8"/>
      <c r="J26301" s="8"/>
    </row>
    <row r="26302">
      <c r="C26302" s="15"/>
      <c r="E26302" s="8"/>
      <c r="G26302" s="8"/>
      <c r="J26302" s="8"/>
    </row>
    <row r="26303">
      <c r="C26303" s="15"/>
      <c r="E26303" s="8"/>
      <c r="G26303" s="8"/>
      <c r="J26303" s="8"/>
    </row>
    <row r="26304">
      <c r="C26304" s="15"/>
      <c r="E26304" s="8"/>
      <c r="G26304" s="8"/>
      <c r="J26304" s="8"/>
    </row>
    <row r="26305">
      <c r="C26305" s="15"/>
      <c r="E26305" s="8"/>
      <c r="G26305" s="8"/>
      <c r="J26305" s="8"/>
    </row>
    <row r="26306">
      <c r="C26306" s="15"/>
      <c r="E26306" s="8"/>
      <c r="G26306" s="8"/>
      <c r="J26306" s="8"/>
    </row>
    <row r="26307">
      <c r="C26307" s="15"/>
      <c r="E26307" s="8"/>
      <c r="G26307" s="8"/>
      <c r="J26307" s="8"/>
    </row>
    <row r="26308">
      <c r="C26308" s="15"/>
      <c r="E26308" s="8"/>
      <c r="G26308" s="8"/>
      <c r="J26308" s="8"/>
    </row>
    <row r="26309">
      <c r="C26309" s="15"/>
      <c r="E26309" s="8"/>
      <c r="G26309" s="8"/>
      <c r="J26309" s="8"/>
    </row>
    <row r="26310">
      <c r="C26310" s="15"/>
      <c r="E26310" s="8"/>
      <c r="G26310" s="8"/>
      <c r="J26310" s="8"/>
    </row>
    <row r="26311">
      <c r="C26311" s="15"/>
      <c r="E26311" s="8"/>
      <c r="G26311" s="8"/>
      <c r="J26311" s="8"/>
    </row>
    <row r="26312">
      <c r="C26312" s="15"/>
      <c r="E26312" s="8"/>
      <c r="G26312" s="8"/>
      <c r="J26312" s="8"/>
    </row>
    <row r="26313">
      <c r="C26313" s="15"/>
      <c r="E26313" s="8"/>
      <c r="G26313" s="8"/>
      <c r="J26313" s="8"/>
    </row>
    <row r="26314">
      <c r="C26314" s="15"/>
      <c r="E26314" s="8"/>
      <c r="G26314" s="8"/>
      <c r="J26314" s="8"/>
    </row>
    <row r="26315">
      <c r="C26315" s="15"/>
      <c r="E26315" s="8"/>
      <c r="G26315" s="8"/>
      <c r="J26315" s="8"/>
    </row>
    <row r="26316">
      <c r="C26316" s="15"/>
      <c r="E26316" s="8"/>
      <c r="G26316" s="8"/>
      <c r="J26316" s="8"/>
    </row>
    <row r="26317">
      <c r="C26317" s="15"/>
      <c r="E26317" s="8"/>
      <c r="G26317" s="8"/>
      <c r="J26317" s="8"/>
    </row>
    <row r="26318">
      <c r="C26318" s="15"/>
      <c r="E26318" s="8"/>
      <c r="G26318" s="8"/>
      <c r="J26318" s="8"/>
    </row>
    <row r="26319">
      <c r="C26319" s="15"/>
      <c r="E26319" s="8"/>
      <c r="G26319" s="8"/>
      <c r="J26319" s="8"/>
    </row>
    <row r="26320">
      <c r="C26320" s="15"/>
      <c r="E26320" s="8"/>
      <c r="G26320" s="8"/>
      <c r="J26320" s="8"/>
    </row>
    <row r="26321">
      <c r="C26321" s="15"/>
      <c r="E26321" s="8"/>
      <c r="G26321" s="8"/>
      <c r="J26321" s="8"/>
    </row>
    <row r="26322">
      <c r="C26322" s="15"/>
      <c r="E26322" s="8"/>
      <c r="G26322" s="8"/>
      <c r="J26322" s="8"/>
    </row>
    <row r="26323">
      <c r="C26323" s="15"/>
      <c r="E26323" s="8"/>
      <c r="G26323" s="8"/>
      <c r="J26323" s="8"/>
    </row>
    <row r="26324">
      <c r="C26324" s="15"/>
      <c r="E26324" s="8"/>
      <c r="G26324" s="8"/>
      <c r="J26324" s="8"/>
    </row>
    <row r="26325">
      <c r="C26325" s="15"/>
      <c r="E26325" s="8"/>
      <c r="G26325" s="8"/>
      <c r="J26325" s="8"/>
    </row>
    <row r="26326">
      <c r="C26326" s="15"/>
      <c r="E26326" s="8"/>
      <c r="G26326" s="8"/>
      <c r="J26326" s="8"/>
    </row>
    <row r="26327">
      <c r="C26327" s="15"/>
      <c r="E26327" s="8"/>
      <c r="G26327" s="8"/>
      <c r="J26327" s="8"/>
    </row>
    <row r="26328">
      <c r="C26328" s="15"/>
      <c r="E26328" s="8"/>
      <c r="G26328" s="8"/>
      <c r="J26328" s="8"/>
    </row>
    <row r="26329">
      <c r="C26329" s="15"/>
      <c r="E26329" s="8"/>
      <c r="G26329" s="8"/>
      <c r="J26329" s="8"/>
    </row>
    <row r="26330">
      <c r="C26330" s="15"/>
      <c r="E26330" s="8"/>
      <c r="G26330" s="8"/>
      <c r="J26330" s="8"/>
    </row>
    <row r="26331">
      <c r="C26331" s="15"/>
      <c r="E26331" s="8"/>
      <c r="G26331" s="8"/>
      <c r="J26331" s="8"/>
    </row>
    <row r="26332">
      <c r="C26332" s="15"/>
      <c r="E26332" s="8"/>
      <c r="G26332" s="8"/>
      <c r="J26332" s="8"/>
    </row>
    <row r="26333">
      <c r="C26333" s="15"/>
      <c r="E26333" s="8"/>
      <c r="G26333" s="8"/>
      <c r="J26333" s="8"/>
    </row>
    <row r="26334">
      <c r="C26334" s="15"/>
      <c r="E26334" s="8"/>
      <c r="G26334" s="8"/>
      <c r="J26334" s="8"/>
    </row>
    <row r="26335">
      <c r="C26335" s="15"/>
      <c r="E26335" s="8"/>
      <c r="G26335" s="8"/>
      <c r="J26335" s="8"/>
    </row>
    <row r="26336">
      <c r="C26336" s="15"/>
      <c r="E26336" s="8"/>
      <c r="G26336" s="8"/>
      <c r="J26336" s="8"/>
    </row>
    <row r="26337">
      <c r="C26337" s="15"/>
      <c r="E26337" s="8"/>
      <c r="G26337" s="8"/>
      <c r="J26337" s="8"/>
    </row>
    <row r="26338">
      <c r="C26338" s="15"/>
      <c r="E26338" s="8"/>
      <c r="G26338" s="8"/>
      <c r="J26338" s="8"/>
    </row>
    <row r="26339">
      <c r="C26339" s="15"/>
      <c r="E26339" s="8"/>
      <c r="G26339" s="8"/>
      <c r="J26339" s="8"/>
    </row>
    <row r="26340">
      <c r="C26340" s="15"/>
      <c r="E26340" s="8"/>
      <c r="G26340" s="8"/>
      <c r="J26340" s="8"/>
    </row>
    <row r="26341">
      <c r="C26341" s="15"/>
      <c r="E26341" s="8"/>
      <c r="G26341" s="8"/>
      <c r="J26341" s="8"/>
    </row>
    <row r="26342">
      <c r="C26342" s="15"/>
      <c r="E26342" s="8"/>
      <c r="G26342" s="8"/>
      <c r="J26342" s="8"/>
    </row>
    <row r="26343">
      <c r="C26343" s="15"/>
      <c r="E26343" s="8"/>
      <c r="G26343" s="8"/>
      <c r="J26343" s="8"/>
    </row>
    <row r="26344">
      <c r="C26344" s="15"/>
      <c r="E26344" s="8"/>
      <c r="G26344" s="8"/>
      <c r="J26344" s="8"/>
    </row>
    <row r="26345">
      <c r="C26345" s="15"/>
      <c r="E26345" s="8"/>
      <c r="G26345" s="8"/>
      <c r="J26345" s="8"/>
    </row>
    <row r="26346">
      <c r="C26346" s="15"/>
      <c r="E26346" s="8"/>
      <c r="G26346" s="8"/>
      <c r="J26346" s="8"/>
    </row>
    <row r="26347">
      <c r="C26347" s="15"/>
      <c r="E26347" s="8"/>
      <c r="G26347" s="8"/>
      <c r="J26347" s="8"/>
    </row>
    <row r="26348">
      <c r="C26348" s="15"/>
      <c r="E26348" s="8"/>
      <c r="G26348" s="8"/>
      <c r="J26348" s="8"/>
    </row>
    <row r="26349">
      <c r="C26349" s="15"/>
      <c r="E26349" s="8"/>
      <c r="G26349" s="8"/>
      <c r="J26349" s="8"/>
    </row>
    <row r="26350">
      <c r="C26350" s="15"/>
      <c r="E26350" s="8"/>
      <c r="G26350" s="8"/>
      <c r="J26350" s="8"/>
    </row>
    <row r="26351">
      <c r="C26351" s="15"/>
      <c r="E26351" s="8"/>
      <c r="G26351" s="8"/>
      <c r="J26351" s="8"/>
    </row>
    <row r="26352">
      <c r="C26352" s="15"/>
      <c r="E26352" s="8"/>
      <c r="G26352" s="8"/>
      <c r="J26352" s="8"/>
    </row>
    <row r="26353">
      <c r="C26353" s="15"/>
      <c r="E26353" s="8"/>
      <c r="G26353" s="8"/>
      <c r="J26353" s="8"/>
    </row>
    <row r="26354">
      <c r="C26354" s="15"/>
      <c r="E26354" s="8"/>
      <c r="G26354" s="8"/>
      <c r="J26354" s="8"/>
    </row>
    <row r="26355">
      <c r="C26355" s="15"/>
      <c r="E26355" s="8"/>
      <c r="G26355" s="8"/>
      <c r="J26355" s="8"/>
    </row>
    <row r="26356">
      <c r="C26356" s="15"/>
      <c r="E26356" s="8"/>
      <c r="G26356" s="8"/>
      <c r="J26356" s="8"/>
    </row>
    <row r="26357">
      <c r="C26357" s="15"/>
      <c r="E26357" s="8"/>
      <c r="G26357" s="8"/>
      <c r="J26357" s="8"/>
    </row>
    <row r="26358">
      <c r="C26358" s="15"/>
      <c r="E26358" s="8"/>
      <c r="G26358" s="8"/>
      <c r="J26358" s="8"/>
    </row>
    <row r="26359">
      <c r="C26359" s="15"/>
      <c r="E26359" s="8"/>
      <c r="G26359" s="8"/>
      <c r="J26359" s="8"/>
    </row>
    <row r="26360">
      <c r="C26360" s="15"/>
      <c r="E26360" s="8"/>
      <c r="G26360" s="8"/>
      <c r="J26360" s="8"/>
    </row>
    <row r="26361">
      <c r="C26361" s="15"/>
      <c r="E26361" s="8"/>
      <c r="G26361" s="8"/>
      <c r="J26361" s="8"/>
    </row>
    <row r="26362">
      <c r="C26362" s="15"/>
      <c r="E26362" s="8"/>
      <c r="G26362" s="8"/>
      <c r="J26362" s="8"/>
    </row>
    <row r="26363">
      <c r="C26363" s="15"/>
      <c r="E26363" s="8"/>
      <c r="G26363" s="8"/>
      <c r="J26363" s="8"/>
    </row>
    <row r="26364">
      <c r="C26364" s="15"/>
      <c r="E26364" s="8"/>
      <c r="G26364" s="8"/>
      <c r="J26364" s="8"/>
    </row>
    <row r="26365">
      <c r="C26365" s="15"/>
      <c r="E26365" s="8"/>
      <c r="G26365" s="8"/>
      <c r="J26365" s="8"/>
    </row>
    <row r="26366">
      <c r="C26366" s="15"/>
      <c r="E26366" s="8"/>
      <c r="G26366" s="8"/>
      <c r="J26366" s="8"/>
    </row>
    <row r="26367">
      <c r="C26367" s="15"/>
      <c r="E26367" s="8"/>
      <c r="G26367" s="8"/>
      <c r="J26367" s="8"/>
    </row>
    <row r="26368">
      <c r="C26368" s="15"/>
      <c r="E26368" s="8"/>
      <c r="G26368" s="8"/>
      <c r="J26368" s="8"/>
    </row>
    <row r="26369">
      <c r="C26369" s="15"/>
      <c r="E26369" s="8"/>
      <c r="G26369" s="8"/>
      <c r="J26369" s="8"/>
    </row>
    <row r="26370">
      <c r="C26370" s="15"/>
      <c r="E26370" s="8"/>
      <c r="G26370" s="8"/>
      <c r="J26370" s="8"/>
    </row>
    <row r="26371">
      <c r="C26371" s="15"/>
      <c r="E26371" s="8"/>
      <c r="G26371" s="8"/>
      <c r="J26371" s="8"/>
    </row>
    <row r="26372">
      <c r="C26372" s="15"/>
      <c r="E26372" s="8"/>
      <c r="G26372" s="8"/>
      <c r="J26372" s="8"/>
    </row>
    <row r="26373">
      <c r="C26373" s="15"/>
      <c r="E26373" s="8"/>
      <c r="G26373" s="8"/>
      <c r="J26373" s="8"/>
    </row>
    <row r="26374">
      <c r="C26374" s="15"/>
      <c r="E26374" s="8"/>
      <c r="G26374" s="8"/>
      <c r="J26374" s="8"/>
    </row>
    <row r="26375">
      <c r="C26375" s="15"/>
      <c r="E26375" s="8"/>
      <c r="G26375" s="8"/>
      <c r="J26375" s="8"/>
    </row>
    <row r="26376">
      <c r="C26376" s="15"/>
      <c r="E26376" s="8"/>
      <c r="G26376" s="8"/>
      <c r="J26376" s="8"/>
    </row>
    <row r="26377">
      <c r="C26377" s="15"/>
      <c r="E26377" s="8"/>
      <c r="G26377" s="8"/>
      <c r="J26377" s="8"/>
    </row>
    <row r="26378">
      <c r="C26378" s="15"/>
      <c r="E26378" s="8"/>
      <c r="G26378" s="8"/>
      <c r="J26378" s="8"/>
    </row>
    <row r="26379">
      <c r="C26379" s="15"/>
      <c r="E26379" s="8"/>
      <c r="G26379" s="8"/>
      <c r="J26379" s="8"/>
    </row>
    <row r="26380">
      <c r="C26380" s="15"/>
      <c r="E26380" s="8"/>
      <c r="G26380" s="8"/>
      <c r="J26380" s="8"/>
    </row>
    <row r="26381">
      <c r="C26381" s="15"/>
      <c r="E26381" s="8"/>
      <c r="G26381" s="8"/>
      <c r="J26381" s="8"/>
    </row>
    <row r="26382">
      <c r="C26382" s="15"/>
      <c r="E26382" s="8"/>
      <c r="G26382" s="8"/>
      <c r="J26382" s="8"/>
    </row>
    <row r="26383">
      <c r="C26383" s="15"/>
      <c r="E26383" s="8"/>
      <c r="G26383" s="8"/>
      <c r="J26383" s="8"/>
    </row>
    <row r="26384">
      <c r="C26384" s="15"/>
      <c r="E26384" s="8"/>
      <c r="G26384" s="8"/>
      <c r="J26384" s="8"/>
    </row>
    <row r="26385">
      <c r="C26385" s="15"/>
      <c r="E26385" s="8"/>
      <c r="G26385" s="8"/>
      <c r="J26385" s="8"/>
    </row>
    <row r="26386">
      <c r="C26386" s="15"/>
      <c r="E26386" s="8"/>
      <c r="G26386" s="8"/>
      <c r="J26386" s="8"/>
    </row>
    <row r="26387">
      <c r="C26387" s="15"/>
      <c r="E26387" s="8"/>
      <c r="G26387" s="8"/>
      <c r="J26387" s="8"/>
    </row>
    <row r="26388">
      <c r="C26388" s="15"/>
      <c r="E26388" s="8"/>
      <c r="G26388" s="8"/>
      <c r="J26388" s="8"/>
    </row>
    <row r="26389">
      <c r="C26389" s="15"/>
      <c r="E26389" s="8"/>
      <c r="G26389" s="8"/>
      <c r="J26389" s="8"/>
    </row>
    <row r="26390">
      <c r="C26390" s="15"/>
      <c r="E26390" s="8"/>
      <c r="G26390" s="8"/>
      <c r="J26390" s="8"/>
    </row>
    <row r="26391">
      <c r="C26391" s="15"/>
      <c r="E26391" s="8"/>
      <c r="G26391" s="8"/>
      <c r="J26391" s="8"/>
    </row>
    <row r="26392">
      <c r="C26392" s="15"/>
      <c r="E26392" s="8"/>
      <c r="G26392" s="8"/>
      <c r="J26392" s="8"/>
    </row>
    <row r="26393">
      <c r="C26393" s="15"/>
      <c r="E26393" s="8"/>
      <c r="G26393" s="8"/>
      <c r="J26393" s="8"/>
    </row>
    <row r="26394">
      <c r="C26394" s="15"/>
      <c r="E26394" s="8"/>
      <c r="G26394" s="8"/>
      <c r="J26394" s="8"/>
    </row>
    <row r="26395">
      <c r="C26395" s="15"/>
      <c r="E26395" s="8"/>
      <c r="G26395" s="8"/>
      <c r="J26395" s="8"/>
    </row>
    <row r="26396">
      <c r="C26396" s="15"/>
      <c r="E26396" s="8"/>
      <c r="G26396" s="8"/>
      <c r="J26396" s="8"/>
    </row>
    <row r="26397">
      <c r="C26397" s="15"/>
      <c r="E26397" s="8"/>
      <c r="G26397" s="8"/>
      <c r="J26397" s="8"/>
    </row>
    <row r="26398">
      <c r="C26398" s="15"/>
      <c r="E26398" s="8"/>
      <c r="G26398" s="8"/>
      <c r="J26398" s="8"/>
    </row>
    <row r="26399">
      <c r="C26399" s="15"/>
      <c r="E26399" s="8"/>
      <c r="G26399" s="8"/>
      <c r="J26399" s="8"/>
    </row>
    <row r="26400">
      <c r="C26400" s="15"/>
      <c r="E26400" s="8"/>
      <c r="G26400" s="8"/>
      <c r="J26400" s="8"/>
    </row>
    <row r="26401">
      <c r="C26401" s="15"/>
      <c r="E26401" s="8"/>
      <c r="G26401" s="8"/>
      <c r="J26401" s="8"/>
    </row>
    <row r="26402">
      <c r="C26402" s="15"/>
      <c r="E26402" s="8"/>
      <c r="G26402" s="8"/>
      <c r="J26402" s="8"/>
    </row>
    <row r="26403">
      <c r="C26403" s="15"/>
      <c r="E26403" s="8"/>
      <c r="G26403" s="8"/>
      <c r="J26403" s="8"/>
    </row>
    <row r="26404">
      <c r="C26404" s="15"/>
      <c r="E26404" s="8"/>
      <c r="G26404" s="8"/>
      <c r="J26404" s="8"/>
    </row>
    <row r="26405">
      <c r="C26405" s="15"/>
      <c r="E26405" s="8"/>
      <c r="G26405" s="8"/>
      <c r="J26405" s="8"/>
    </row>
    <row r="26406">
      <c r="C26406" s="15"/>
      <c r="E26406" s="8"/>
      <c r="G26406" s="8"/>
      <c r="J26406" s="8"/>
    </row>
    <row r="26407">
      <c r="C26407" s="15"/>
      <c r="E26407" s="8"/>
      <c r="G26407" s="8"/>
      <c r="J26407" s="8"/>
    </row>
    <row r="26408">
      <c r="C26408" s="15"/>
      <c r="E26408" s="8"/>
      <c r="G26408" s="8"/>
      <c r="J26408" s="8"/>
    </row>
    <row r="26409">
      <c r="C26409" s="15"/>
      <c r="E26409" s="8"/>
      <c r="G26409" s="8"/>
      <c r="J26409" s="8"/>
    </row>
    <row r="26410">
      <c r="C26410" s="15"/>
      <c r="E26410" s="8"/>
      <c r="G26410" s="8"/>
      <c r="J26410" s="8"/>
    </row>
    <row r="26411">
      <c r="C26411" s="15"/>
      <c r="E26411" s="8"/>
      <c r="G26411" s="8"/>
      <c r="J26411" s="8"/>
    </row>
    <row r="26412">
      <c r="C26412" s="15"/>
      <c r="E26412" s="8"/>
      <c r="G26412" s="8"/>
      <c r="J26412" s="8"/>
    </row>
    <row r="26413">
      <c r="C26413" s="15"/>
      <c r="E26413" s="8"/>
      <c r="G26413" s="8"/>
      <c r="J26413" s="8"/>
    </row>
    <row r="26414">
      <c r="C26414" s="15"/>
      <c r="E26414" s="8"/>
      <c r="G26414" s="8"/>
      <c r="J26414" s="8"/>
    </row>
    <row r="26415">
      <c r="C26415" s="15"/>
      <c r="E26415" s="8"/>
      <c r="G26415" s="8"/>
      <c r="J26415" s="8"/>
    </row>
    <row r="26416">
      <c r="C26416" s="15"/>
      <c r="E26416" s="8"/>
      <c r="G26416" s="8"/>
      <c r="J26416" s="8"/>
    </row>
    <row r="26417">
      <c r="C26417" s="15"/>
      <c r="E26417" s="8"/>
      <c r="G26417" s="8"/>
      <c r="J26417" s="8"/>
    </row>
    <row r="26418">
      <c r="C26418" s="15"/>
      <c r="E26418" s="8"/>
      <c r="G26418" s="8"/>
      <c r="J26418" s="8"/>
    </row>
    <row r="26419">
      <c r="C26419" s="15"/>
      <c r="E26419" s="8"/>
      <c r="G26419" s="8"/>
      <c r="J26419" s="8"/>
    </row>
    <row r="26420">
      <c r="C26420" s="15"/>
      <c r="E26420" s="8"/>
      <c r="G26420" s="8"/>
      <c r="J26420" s="8"/>
    </row>
    <row r="26421">
      <c r="C26421" s="15"/>
      <c r="E26421" s="8"/>
      <c r="G26421" s="8"/>
      <c r="J26421" s="8"/>
    </row>
    <row r="26422">
      <c r="C26422" s="15"/>
      <c r="E26422" s="8"/>
      <c r="G26422" s="8"/>
      <c r="J26422" s="8"/>
    </row>
    <row r="26423">
      <c r="C26423" s="15"/>
      <c r="E26423" s="8"/>
      <c r="G26423" s="8"/>
      <c r="J26423" s="8"/>
    </row>
    <row r="26424">
      <c r="C26424" s="15"/>
      <c r="E26424" s="8"/>
      <c r="G26424" s="8"/>
      <c r="J26424" s="8"/>
    </row>
    <row r="26425">
      <c r="C26425" s="15"/>
      <c r="E26425" s="8"/>
      <c r="G26425" s="8"/>
      <c r="J26425" s="8"/>
    </row>
    <row r="26426">
      <c r="C26426" s="15"/>
      <c r="E26426" s="8"/>
      <c r="G26426" s="8"/>
      <c r="J26426" s="8"/>
    </row>
    <row r="26427">
      <c r="C26427" s="15"/>
      <c r="E26427" s="8"/>
      <c r="G26427" s="8"/>
      <c r="J26427" s="8"/>
    </row>
    <row r="26428">
      <c r="C26428" s="15"/>
      <c r="E26428" s="8"/>
      <c r="G26428" s="8"/>
      <c r="J26428" s="8"/>
    </row>
    <row r="26429">
      <c r="C26429" s="15"/>
      <c r="E26429" s="8"/>
      <c r="G26429" s="8"/>
      <c r="J26429" s="8"/>
    </row>
    <row r="26430">
      <c r="C26430" s="15"/>
      <c r="E26430" s="8"/>
      <c r="G26430" s="8"/>
      <c r="J26430" s="8"/>
    </row>
    <row r="26431">
      <c r="C26431" s="15"/>
      <c r="E26431" s="8"/>
      <c r="G26431" s="8"/>
      <c r="J26431" s="8"/>
    </row>
    <row r="26432">
      <c r="C26432" s="15"/>
      <c r="E26432" s="8"/>
      <c r="G26432" s="8"/>
      <c r="J26432" s="8"/>
    </row>
    <row r="26433">
      <c r="C26433" s="15"/>
      <c r="E26433" s="8"/>
      <c r="G26433" s="8"/>
      <c r="J26433" s="8"/>
    </row>
    <row r="26434">
      <c r="C26434" s="15"/>
      <c r="E26434" s="8"/>
      <c r="G26434" s="8"/>
      <c r="J26434" s="8"/>
    </row>
    <row r="26435">
      <c r="C26435" s="15"/>
      <c r="E26435" s="8"/>
      <c r="G26435" s="8"/>
      <c r="J26435" s="8"/>
    </row>
    <row r="26436">
      <c r="C26436" s="15"/>
      <c r="E26436" s="8"/>
      <c r="G26436" s="8"/>
      <c r="J26436" s="8"/>
    </row>
    <row r="26437">
      <c r="C26437" s="15"/>
      <c r="E26437" s="8"/>
      <c r="G26437" s="8"/>
      <c r="J26437" s="8"/>
    </row>
    <row r="26438">
      <c r="C26438" s="15"/>
      <c r="E26438" s="8"/>
      <c r="G26438" s="8"/>
      <c r="J26438" s="8"/>
    </row>
    <row r="26439">
      <c r="C26439" s="15"/>
      <c r="E26439" s="8"/>
      <c r="G26439" s="8"/>
      <c r="J26439" s="8"/>
    </row>
    <row r="26440">
      <c r="C26440" s="15"/>
      <c r="E26440" s="8"/>
      <c r="G26440" s="8"/>
      <c r="J26440" s="8"/>
    </row>
    <row r="26441">
      <c r="C26441" s="15"/>
      <c r="E26441" s="8"/>
      <c r="G26441" s="8"/>
      <c r="J26441" s="8"/>
    </row>
    <row r="26442">
      <c r="C26442" s="15"/>
      <c r="E26442" s="8"/>
      <c r="G26442" s="8"/>
      <c r="J26442" s="8"/>
    </row>
    <row r="26443">
      <c r="C26443" s="15"/>
      <c r="E26443" s="8"/>
      <c r="G26443" s="8"/>
      <c r="J26443" s="8"/>
    </row>
    <row r="26444">
      <c r="C26444" s="15"/>
      <c r="E26444" s="8"/>
      <c r="G26444" s="8"/>
      <c r="J26444" s="8"/>
    </row>
    <row r="26445">
      <c r="C26445" s="15"/>
      <c r="E26445" s="8"/>
      <c r="G26445" s="8"/>
      <c r="J26445" s="8"/>
    </row>
    <row r="26446">
      <c r="C26446" s="15"/>
      <c r="E26446" s="8"/>
      <c r="G26446" s="8"/>
      <c r="J26446" s="8"/>
    </row>
    <row r="26447">
      <c r="C26447" s="15"/>
      <c r="E26447" s="8"/>
      <c r="G26447" s="8"/>
      <c r="J26447" s="8"/>
    </row>
    <row r="26448">
      <c r="C26448" s="15"/>
      <c r="E26448" s="8"/>
      <c r="G26448" s="8"/>
      <c r="J26448" s="8"/>
    </row>
    <row r="26449">
      <c r="C26449" s="15"/>
      <c r="E26449" s="8"/>
      <c r="G26449" s="8"/>
      <c r="J26449" s="8"/>
    </row>
    <row r="26450">
      <c r="C26450" s="15"/>
      <c r="E26450" s="8"/>
      <c r="G26450" s="8"/>
      <c r="J26450" s="8"/>
    </row>
    <row r="26451">
      <c r="C26451" s="15"/>
      <c r="E26451" s="8"/>
      <c r="G26451" s="8"/>
      <c r="J26451" s="8"/>
    </row>
    <row r="26452">
      <c r="C26452" s="15"/>
      <c r="E26452" s="8"/>
      <c r="G26452" s="8"/>
      <c r="J26452" s="8"/>
    </row>
    <row r="26453">
      <c r="C26453" s="15"/>
      <c r="E26453" s="8"/>
      <c r="G26453" s="8"/>
      <c r="J26453" s="8"/>
    </row>
    <row r="26454">
      <c r="C26454" s="15"/>
      <c r="E26454" s="8"/>
      <c r="G26454" s="8"/>
      <c r="J26454" s="8"/>
    </row>
    <row r="26455">
      <c r="C26455" s="15"/>
      <c r="E26455" s="8"/>
      <c r="G26455" s="8"/>
      <c r="J26455" s="8"/>
    </row>
    <row r="26456">
      <c r="C26456" s="15"/>
      <c r="E26456" s="8"/>
      <c r="G26456" s="8"/>
      <c r="J26456" s="8"/>
    </row>
    <row r="26457">
      <c r="C26457" s="15"/>
      <c r="E26457" s="8"/>
      <c r="G26457" s="8"/>
      <c r="J26457" s="8"/>
    </row>
    <row r="26458">
      <c r="C26458" s="15"/>
      <c r="E26458" s="8"/>
      <c r="G26458" s="8"/>
      <c r="J26458" s="8"/>
    </row>
    <row r="26459">
      <c r="C26459" s="15"/>
      <c r="E26459" s="8"/>
      <c r="G26459" s="8"/>
      <c r="J26459" s="8"/>
    </row>
    <row r="26460">
      <c r="C26460" s="15"/>
      <c r="E26460" s="8"/>
      <c r="G26460" s="8"/>
      <c r="J26460" s="8"/>
    </row>
    <row r="26461">
      <c r="C26461" s="15"/>
      <c r="E26461" s="8"/>
      <c r="G26461" s="8"/>
      <c r="J26461" s="8"/>
    </row>
    <row r="26462">
      <c r="C26462" s="15"/>
      <c r="E26462" s="8"/>
      <c r="G26462" s="8"/>
      <c r="J26462" s="8"/>
    </row>
    <row r="26463">
      <c r="C26463" s="15"/>
      <c r="E26463" s="8"/>
      <c r="G26463" s="8"/>
      <c r="J26463" s="8"/>
    </row>
    <row r="26464">
      <c r="C26464" s="15"/>
      <c r="E26464" s="8"/>
      <c r="G26464" s="8"/>
      <c r="J26464" s="8"/>
    </row>
    <row r="26465">
      <c r="C26465" s="15"/>
      <c r="E26465" s="8"/>
      <c r="G26465" s="8"/>
      <c r="J26465" s="8"/>
    </row>
    <row r="26466">
      <c r="C26466" s="15"/>
      <c r="E26466" s="8"/>
      <c r="G26466" s="8"/>
      <c r="J26466" s="8"/>
    </row>
    <row r="26467">
      <c r="C26467" s="15"/>
      <c r="E26467" s="8"/>
      <c r="G26467" s="8"/>
      <c r="J26467" s="8"/>
    </row>
    <row r="26468">
      <c r="C26468" s="15"/>
      <c r="E26468" s="8"/>
      <c r="G26468" s="8"/>
      <c r="J26468" s="8"/>
    </row>
    <row r="26469">
      <c r="C26469" s="15"/>
      <c r="E26469" s="8"/>
      <c r="G26469" s="8"/>
      <c r="J26469" s="8"/>
    </row>
    <row r="26470">
      <c r="C26470" s="15"/>
      <c r="E26470" s="8"/>
      <c r="G26470" s="8"/>
      <c r="J26470" s="8"/>
    </row>
    <row r="26471">
      <c r="C26471" s="15"/>
      <c r="E26471" s="8"/>
      <c r="G26471" s="8"/>
      <c r="J26471" s="8"/>
    </row>
    <row r="26472">
      <c r="C26472" s="15"/>
      <c r="E26472" s="8"/>
      <c r="G26472" s="8"/>
      <c r="J26472" s="8"/>
    </row>
    <row r="26473">
      <c r="C26473" s="15"/>
      <c r="E26473" s="8"/>
      <c r="G26473" s="8"/>
      <c r="J26473" s="8"/>
    </row>
    <row r="26474">
      <c r="C26474" s="15"/>
      <c r="E26474" s="8"/>
      <c r="G26474" s="8"/>
      <c r="J26474" s="8"/>
    </row>
    <row r="26475">
      <c r="C26475" s="15"/>
      <c r="E26475" s="8"/>
      <c r="G26475" s="8"/>
      <c r="J26475" s="8"/>
    </row>
    <row r="26476">
      <c r="C26476" s="15"/>
      <c r="E26476" s="8"/>
      <c r="G26476" s="8"/>
      <c r="J26476" s="8"/>
    </row>
    <row r="26477">
      <c r="C26477" s="15"/>
      <c r="E26477" s="8"/>
      <c r="G26477" s="8"/>
      <c r="J26477" s="8"/>
    </row>
    <row r="26478">
      <c r="C26478" s="15"/>
      <c r="E26478" s="8"/>
      <c r="G26478" s="8"/>
      <c r="J26478" s="8"/>
    </row>
    <row r="26479">
      <c r="C26479" s="15"/>
      <c r="E26479" s="8"/>
      <c r="G26479" s="8"/>
      <c r="J26479" s="8"/>
    </row>
    <row r="26480">
      <c r="C26480" s="15"/>
      <c r="E26480" s="8"/>
      <c r="G26480" s="8"/>
      <c r="J26480" s="8"/>
    </row>
    <row r="26481">
      <c r="C26481" s="15"/>
      <c r="E26481" s="8"/>
      <c r="G26481" s="8"/>
      <c r="J26481" s="8"/>
    </row>
    <row r="26482">
      <c r="C26482" s="15"/>
      <c r="E26482" s="8"/>
      <c r="G26482" s="8"/>
      <c r="J26482" s="8"/>
    </row>
    <row r="26483">
      <c r="C26483" s="15"/>
      <c r="E26483" s="8"/>
      <c r="G26483" s="8"/>
      <c r="J26483" s="8"/>
    </row>
    <row r="26484">
      <c r="C26484" s="15"/>
      <c r="E26484" s="8"/>
      <c r="G26484" s="8"/>
      <c r="J26484" s="8"/>
    </row>
    <row r="26485">
      <c r="C26485" s="15"/>
      <c r="E26485" s="8"/>
      <c r="G26485" s="8"/>
      <c r="J26485" s="8"/>
    </row>
    <row r="26486">
      <c r="C26486" s="15"/>
      <c r="E26486" s="8"/>
      <c r="G26486" s="8"/>
      <c r="J26486" s="8"/>
    </row>
    <row r="26487">
      <c r="C26487" s="15"/>
      <c r="E26487" s="8"/>
      <c r="G26487" s="8"/>
      <c r="J26487" s="8"/>
    </row>
    <row r="26488">
      <c r="C26488" s="15"/>
      <c r="E26488" s="8"/>
      <c r="G26488" s="8"/>
      <c r="J26488" s="8"/>
    </row>
    <row r="26489">
      <c r="C26489" s="15"/>
      <c r="E26489" s="8"/>
      <c r="G26489" s="8"/>
      <c r="J26489" s="8"/>
    </row>
    <row r="26490">
      <c r="C26490" s="15"/>
      <c r="E26490" s="8"/>
      <c r="G26490" s="8"/>
      <c r="J26490" s="8"/>
    </row>
    <row r="26491">
      <c r="C26491" s="15"/>
      <c r="E26491" s="8"/>
      <c r="G26491" s="8"/>
      <c r="J26491" s="8"/>
    </row>
    <row r="26492">
      <c r="C26492" s="15"/>
      <c r="E26492" s="8"/>
      <c r="G26492" s="8"/>
      <c r="J26492" s="8"/>
    </row>
    <row r="26493">
      <c r="C26493" s="15"/>
      <c r="E26493" s="8"/>
      <c r="G26493" s="8"/>
      <c r="J26493" s="8"/>
    </row>
    <row r="26494">
      <c r="C26494" s="15"/>
      <c r="E26494" s="8"/>
      <c r="G26494" s="8"/>
      <c r="J26494" s="8"/>
    </row>
    <row r="26495">
      <c r="C26495" s="15"/>
      <c r="E26495" s="8"/>
      <c r="G26495" s="8"/>
      <c r="J26495" s="8"/>
    </row>
    <row r="26496">
      <c r="C26496" s="15"/>
      <c r="E26496" s="8"/>
      <c r="G26496" s="8"/>
      <c r="J26496" s="8"/>
    </row>
    <row r="26497">
      <c r="C26497" s="15"/>
      <c r="E26497" s="8"/>
      <c r="G26497" s="8"/>
      <c r="J26497" s="8"/>
    </row>
    <row r="26498">
      <c r="C26498" s="15"/>
      <c r="E26498" s="8"/>
      <c r="G26498" s="8"/>
      <c r="J26498" s="8"/>
    </row>
    <row r="26499">
      <c r="C26499" s="15"/>
      <c r="E26499" s="8"/>
      <c r="G26499" s="8"/>
      <c r="J26499" s="8"/>
    </row>
    <row r="26500">
      <c r="C26500" s="15"/>
      <c r="E26500" s="8"/>
      <c r="G26500" s="8"/>
      <c r="J26500" s="8"/>
    </row>
    <row r="26501">
      <c r="C26501" s="15"/>
      <c r="E26501" s="8"/>
      <c r="G26501" s="8"/>
      <c r="J26501" s="8"/>
    </row>
    <row r="26502">
      <c r="C26502" s="15"/>
      <c r="E26502" s="8"/>
      <c r="G26502" s="8"/>
      <c r="J26502" s="8"/>
    </row>
    <row r="26503">
      <c r="C26503" s="15"/>
      <c r="E26503" s="8"/>
      <c r="G26503" s="8"/>
      <c r="J26503" s="8"/>
    </row>
    <row r="26504">
      <c r="C26504" s="15"/>
      <c r="E26504" s="8"/>
      <c r="G26504" s="8"/>
      <c r="J26504" s="8"/>
    </row>
    <row r="26505">
      <c r="C26505" s="15"/>
      <c r="E26505" s="8"/>
      <c r="G26505" s="8"/>
      <c r="J26505" s="8"/>
    </row>
    <row r="26506">
      <c r="C26506" s="15"/>
      <c r="E26506" s="8"/>
      <c r="G26506" s="8"/>
      <c r="J26506" s="8"/>
    </row>
    <row r="26507">
      <c r="C26507" s="15"/>
      <c r="E26507" s="8"/>
      <c r="G26507" s="8"/>
      <c r="J26507" s="8"/>
    </row>
    <row r="26508">
      <c r="C26508" s="15"/>
      <c r="E26508" s="8"/>
      <c r="G26508" s="8"/>
      <c r="J26508" s="8"/>
    </row>
    <row r="26509">
      <c r="C26509" s="15"/>
      <c r="E26509" s="8"/>
      <c r="G26509" s="8"/>
      <c r="J26509" s="8"/>
    </row>
    <row r="26510">
      <c r="C26510" s="15"/>
      <c r="E26510" s="8"/>
      <c r="G26510" s="8"/>
      <c r="J26510" s="8"/>
    </row>
    <row r="26511">
      <c r="C26511" s="15"/>
      <c r="E26511" s="8"/>
      <c r="G26511" s="8"/>
      <c r="J26511" s="8"/>
    </row>
    <row r="26512">
      <c r="C26512" s="15"/>
      <c r="E26512" s="8"/>
      <c r="G26512" s="8"/>
      <c r="J26512" s="8"/>
    </row>
    <row r="26513">
      <c r="C26513" s="15"/>
      <c r="E26513" s="8"/>
      <c r="G26513" s="8"/>
      <c r="J26513" s="8"/>
    </row>
    <row r="26514">
      <c r="C26514" s="15"/>
      <c r="E26514" s="8"/>
      <c r="G26514" s="8"/>
      <c r="J26514" s="8"/>
    </row>
    <row r="26515">
      <c r="C26515" s="15"/>
      <c r="E26515" s="8"/>
      <c r="G26515" s="8"/>
      <c r="J26515" s="8"/>
    </row>
    <row r="26516">
      <c r="C26516" s="15"/>
      <c r="E26516" s="8"/>
      <c r="G26516" s="8"/>
      <c r="J26516" s="8"/>
    </row>
    <row r="26517">
      <c r="C26517" s="15"/>
      <c r="E26517" s="8"/>
      <c r="G26517" s="8"/>
      <c r="J26517" s="8"/>
    </row>
    <row r="26518">
      <c r="C26518" s="15"/>
      <c r="E26518" s="8"/>
      <c r="G26518" s="8"/>
      <c r="J26518" s="8"/>
    </row>
    <row r="26519">
      <c r="C26519" s="15"/>
      <c r="E26519" s="8"/>
      <c r="G26519" s="8"/>
      <c r="J26519" s="8"/>
    </row>
    <row r="26520">
      <c r="C26520" s="15"/>
      <c r="E26520" s="8"/>
      <c r="G26520" s="8"/>
      <c r="J26520" s="8"/>
    </row>
    <row r="26521">
      <c r="C26521" s="15"/>
      <c r="E26521" s="8"/>
      <c r="G26521" s="8"/>
      <c r="J26521" s="8"/>
    </row>
    <row r="26522">
      <c r="C26522" s="15"/>
      <c r="E26522" s="8"/>
      <c r="G26522" s="8"/>
      <c r="J26522" s="8"/>
    </row>
    <row r="26523">
      <c r="C26523" s="15"/>
      <c r="E26523" s="8"/>
      <c r="G26523" s="8"/>
      <c r="J26523" s="8"/>
    </row>
    <row r="26524">
      <c r="C26524" s="15"/>
      <c r="E26524" s="8"/>
      <c r="G26524" s="8"/>
      <c r="J26524" s="8"/>
    </row>
    <row r="26525">
      <c r="C26525" s="15"/>
      <c r="E26525" s="8"/>
      <c r="G26525" s="8"/>
      <c r="J26525" s="8"/>
    </row>
    <row r="26526">
      <c r="C26526" s="15"/>
      <c r="E26526" s="8"/>
      <c r="G26526" s="8"/>
      <c r="J26526" s="8"/>
    </row>
    <row r="26527">
      <c r="C26527" s="15"/>
      <c r="E26527" s="8"/>
      <c r="G26527" s="8"/>
      <c r="J26527" s="8"/>
    </row>
    <row r="26528">
      <c r="C26528" s="15"/>
      <c r="E26528" s="8"/>
      <c r="G26528" s="8"/>
      <c r="J26528" s="8"/>
    </row>
    <row r="26529">
      <c r="C26529" s="15"/>
      <c r="E26529" s="8"/>
      <c r="G26529" s="8"/>
      <c r="J26529" s="8"/>
    </row>
    <row r="26530">
      <c r="C26530" s="15"/>
      <c r="E26530" s="8"/>
      <c r="G26530" s="8"/>
      <c r="J26530" s="8"/>
    </row>
    <row r="26531">
      <c r="C26531" s="15"/>
      <c r="E26531" s="8"/>
      <c r="G26531" s="8"/>
      <c r="J26531" s="8"/>
    </row>
    <row r="26532">
      <c r="C26532" s="15"/>
      <c r="E26532" s="8"/>
      <c r="G26532" s="8"/>
      <c r="J26532" s="8"/>
    </row>
    <row r="26533">
      <c r="C26533" s="15"/>
      <c r="E26533" s="8"/>
      <c r="G26533" s="8"/>
      <c r="J26533" s="8"/>
    </row>
    <row r="26534">
      <c r="C26534" s="15"/>
      <c r="E26534" s="8"/>
      <c r="G26534" s="8"/>
      <c r="J26534" s="8"/>
    </row>
    <row r="26535">
      <c r="C26535" s="15"/>
      <c r="E26535" s="8"/>
      <c r="G26535" s="8"/>
      <c r="J26535" s="8"/>
    </row>
    <row r="26536">
      <c r="C26536" s="15"/>
      <c r="E26536" s="8"/>
      <c r="G26536" s="8"/>
      <c r="J26536" s="8"/>
    </row>
    <row r="26537">
      <c r="C26537" s="15"/>
      <c r="E26537" s="8"/>
      <c r="G26537" s="8"/>
      <c r="J26537" s="8"/>
    </row>
    <row r="26538">
      <c r="C26538" s="15"/>
      <c r="E26538" s="8"/>
      <c r="G26538" s="8"/>
      <c r="J26538" s="8"/>
    </row>
    <row r="26539">
      <c r="C26539" s="15"/>
      <c r="E26539" s="8"/>
      <c r="G26539" s="8"/>
      <c r="J26539" s="8"/>
    </row>
    <row r="26540">
      <c r="C26540" s="15"/>
      <c r="E26540" s="8"/>
      <c r="G26540" s="8"/>
      <c r="J26540" s="8"/>
    </row>
    <row r="26541">
      <c r="C26541" s="15"/>
      <c r="E26541" s="8"/>
      <c r="G26541" s="8"/>
      <c r="J26541" s="8"/>
    </row>
    <row r="26542">
      <c r="C26542" s="15"/>
      <c r="E26542" s="8"/>
      <c r="G26542" s="8"/>
      <c r="J26542" s="8"/>
    </row>
    <row r="26543">
      <c r="C26543" s="15"/>
      <c r="E26543" s="8"/>
      <c r="G26543" s="8"/>
      <c r="J26543" s="8"/>
    </row>
    <row r="26544">
      <c r="C26544" s="15"/>
      <c r="E26544" s="8"/>
      <c r="G26544" s="8"/>
      <c r="J26544" s="8"/>
    </row>
    <row r="26545">
      <c r="C26545" s="15"/>
      <c r="E26545" s="8"/>
      <c r="G26545" s="8"/>
      <c r="J26545" s="8"/>
    </row>
    <row r="26546">
      <c r="C26546" s="15"/>
      <c r="E26546" s="8"/>
      <c r="G26546" s="8"/>
      <c r="J26546" s="8"/>
    </row>
    <row r="26547">
      <c r="C26547" s="15"/>
      <c r="E26547" s="8"/>
      <c r="G26547" s="8"/>
      <c r="J26547" s="8"/>
    </row>
    <row r="26548">
      <c r="C26548" s="15"/>
      <c r="E26548" s="8"/>
      <c r="G26548" s="8"/>
      <c r="J26548" s="8"/>
    </row>
    <row r="26549">
      <c r="C26549" s="15"/>
      <c r="E26549" s="8"/>
      <c r="G26549" s="8"/>
      <c r="J26549" s="8"/>
    </row>
    <row r="26550">
      <c r="C26550" s="15"/>
      <c r="E26550" s="8"/>
      <c r="G26550" s="8"/>
      <c r="J26550" s="8"/>
    </row>
    <row r="26551">
      <c r="C26551" s="15"/>
      <c r="E26551" s="8"/>
      <c r="G26551" s="8"/>
      <c r="J26551" s="8"/>
    </row>
    <row r="26552">
      <c r="C26552" s="15"/>
      <c r="E26552" s="8"/>
      <c r="G26552" s="8"/>
      <c r="J26552" s="8"/>
    </row>
    <row r="26553">
      <c r="C26553" s="15"/>
      <c r="E26553" s="8"/>
      <c r="G26553" s="8"/>
      <c r="J26553" s="8"/>
    </row>
    <row r="26554">
      <c r="C26554" s="15"/>
      <c r="E26554" s="8"/>
      <c r="G26554" s="8"/>
      <c r="J26554" s="8"/>
    </row>
    <row r="26555">
      <c r="C26555" s="15"/>
      <c r="E26555" s="8"/>
      <c r="G26555" s="8"/>
      <c r="J26555" s="8"/>
    </row>
    <row r="26556">
      <c r="C26556" s="15"/>
      <c r="E26556" s="8"/>
      <c r="G26556" s="8"/>
      <c r="J26556" s="8"/>
    </row>
    <row r="26557">
      <c r="C26557" s="15"/>
      <c r="E26557" s="8"/>
      <c r="G26557" s="8"/>
      <c r="J26557" s="8"/>
    </row>
    <row r="26558">
      <c r="C26558" s="15"/>
      <c r="E26558" s="8"/>
      <c r="G26558" s="8"/>
      <c r="J26558" s="8"/>
    </row>
    <row r="26559">
      <c r="C26559" s="15"/>
      <c r="E26559" s="8"/>
      <c r="G26559" s="8"/>
      <c r="J26559" s="8"/>
    </row>
    <row r="26560">
      <c r="C26560" s="15"/>
      <c r="E26560" s="8"/>
      <c r="G26560" s="8"/>
      <c r="J26560" s="8"/>
    </row>
    <row r="26561">
      <c r="C26561" s="15"/>
      <c r="E26561" s="8"/>
      <c r="G26561" s="8"/>
      <c r="J26561" s="8"/>
    </row>
    <row r="26562">
      <c r="C26562" s="15"/>
      <c r="E26562" s="8"/>
      <c r="G26562" s="8"/>
      <c r="J26562" s="8"/>
    </row>
    <row r="26563">
      <c r="C26563" s="15"/>
      <c r="E26563" s="8"/>
      <c r="G26563" s="8"/>
      <c r="J26563" s="8"/>
    </row>
    <row r="26564">
      <c r="C26564" s="15"/>
      <c r="E26564" s="8"/>
      <c r="G26564" s="8"/>
      <c r="J26564" s="8"/>
    </row>
    <row r="26565">
      <c r="C26565" s="15"/>
      <c r="E26565" s="8"/>
      <c r="G26565" s="8"/>
      <c r="J26565" s="8"/>
    </row>
    <row r="26566">
      <c r="C26566" s="15"/>
      <c r="E26566" s="8"/>
      <c r="G26566" s="8"/>
      <c r="J26566" s="8"/>
    </row>
    <row r="26567">
      <c r="C26567" s="15"/>
      <c r="E26567" s="8"/>
      <c r="G26567" s="8"/>
      <c r="J26567" s="8"/>
    </row>
    <row r="26568">
      <c r="C26568" s="15"/>
      <c r="E26568" s="8"/>
      <c r="G26568" s="8"/>
      <c r="J26568" s="8"/>
    </row>
    <row r="26569">
      <c r="C26569" s="15"/>
      <c r="E26569" s="8"/>
      <c r="G26569" s="8"/>
      <c r="J26569" s="8"/>
    </row>
    <row r="26570">
      <c r="C26570" s="15"/>
      <c r="E26570" s="8"/>
      <c r="G26570" s="8"/>
      <c r="J26570" s="8"/>
    </row>
    <row r="26571">
      <c r="C26571" s="15"/>
      <c r="E26571" s="8"/>
      <c r="G26571" s="8"/>
      <c r="J26571" s="8"/>
    </row>
    <row r="26572">
      <c r="C26572" s="15"/>
      <c r="E26572" s="8"/>
      <c r="G26572" s="8"/>
      <c r="J26572" s="8"/>
    </row>
    <row r="26573">
      <c r="C26573" s="15"/>
      <c r="E26573" s="8"/>
      <c r="G26573" s="8"/>
      <c r="J26573" s="8"/>
    </row>
    <row r="26574">
      <c r="C26574" s="15"/>
      <c r="E26574" s="8"/>
      <c r="G26574" s="8"/>
      <c r="J26574" s="8"/>
    </row>
    <row r="26575">
      <c r="C26575" s="15"/>
      <c r="E26575" s="8"/>
      <c r="G26575" s="8"/>
      <c r="J26575" s="8"/>
    </row>
    <row r="26576">
      <c r="C26576" s="15"/>
      <c r="E26576" s="8"/>
      <c r="G26576" s="8"/>
      <c r="J26576" s="8"/>
    </row>
    <row r="26577">
      <c r="C26577" s="15"/>
      <c r="E26577" s="8"/>
      <c r="G26577" s="8"/>
      <c r="J26577" s="8"/>
    </row>
    <row r="26578">
      <c r="C26578" s="15"/>
      <c r="E26578" s="8"/>
      <c r="G26578" s="8"/>
      <c r="J26578" s="8"/>
    </row>
    <row r="26579">
      <c r="C26579" s="15"/>
      <c r="E26579" s="8"/>
      <c r="G26579" s="8"/>
      <c r="J26579" s="8"/>
    </row>
    <row r="26580">
      <c r="C26580" s="15"/>
      <c r="E26580" s="8"/>
      <c r="G26580" s="8"/>
      <c r="J26580" s="8"/>
    </row>
    <row r="26581">
      <c r="C26581" s="15"/>
      <c r="E26581" s="8"/>
      <c r="G26581" s="8"/>
      <c r="J26581" s="8"/>
    </row>
    <row r="26582">
      <c r="C26582" s="15"/>
      <c r="E26582" s="8"/>
      <c r="G26582" s="8"/>
      <c r="J26582" s="8"/>
    </row>
    <row r="26583">
      <c r="C26583" s="15"/>
      <c r="E26583" s="8"/>
      <c r="G26583" s="8"/>
      <c r="J26583" s="8"/>
    </row>
    <row r="26584">
      <c r="C26584" s="15"/>
      <c r="E26584" s="8"/>
      <c r="G26584" s="8"/>
      <c r="J26584" s="8"/>
    </row>
    <row r="26585">
      <c r="C26585" s="15"/>
      <c r="E26585" s="8"/>
      <c r="G26585" s="8"/>
      <c r="J26585" s="8"/>
    </row>
    <row r="26586">
      <c r="C26586" s="15"/>
      <c r="E26586" s="8"/>
      <c r="G26586" s="8"/>
      <c r="J26586" s="8"/>
    </row>
    <row r="26587">
      <c r="C26587" s="15"/>
      <c r="E26587" s="8"/>
      <c r="G26587" s="8"/>
      <c r="J26587" s="8"/>
    </row>
    <row r="26588">
      <c r="C26588" s="15"/>
      <c r="E26588" s="8"/>
      <c r="G26588" s="8"/>
      <c r="J26588" s="8"/>
    </row>
    <row r="26589">
      <c r="C26589" s="15"/>
      <c r="E26589" s="8"/>
      <c r="G26589" s="8"/>
      <c r="J26589" s="8"/>
    </row>
    <row r="26590">
      <c r="C26590" s="15"/>
      <c r="E26590" s="8"/>
      <c r="G26590" s="8"/>
      <c r="J26590" s="8"/>
    </row>
    <row r="26591">
      <c r="C26591" s="15"/>
      <c r="E26591" s="8"/>
      <c r="G26591" s="8"/>
      <c r="J26591" s="8"/>
    </row>
    <row r="26592">
      <c r="C26592" s="15"/>
      <c r="E26592" s="8"/>
      <c r="G26592" s="8"/>
      <c r="J26592" s="8"/>
    </row>
    <row r="26593">
      <c r="C26593" s="15"/>
      <c r="E26593" s="8"/>
      <c r="G26593" s="8"/>
      <c r="J26593" s="8"/>
    </row>
    <row r="26594">
      <c r="C26594" s="15"/>
      <c r="E26594" s="8"/>
      <c r="G26594" s="8"/>
      <c r="J26594" s="8"/>
    </row>
    <row r="26595">
      <c r="C26595" s="15"/>
      <c r="E26595" s="8"/>
      <c r="G26595" s="8"/>
      <c r="J26595" s="8"/>
    </row>
    <row r="26596">
      <c r="C26596" s="15"/>
      <c r="E26596" s="8"/>
      <c r="G26596" s="8"/>
      <c r="J26596" s="8"/>
    </row>
    <row r="26597">
      <c r="C26597" s="15"/>
      <c r="E26597" s="8"/>
      <c r="G26597" s="8"/>
      <c r="J26597" s="8"/>
    </row>
    <row r="26598">
      <c r="C26598" s="15"/>
      <c r="E26598" s="8"/>
      <c r="G26598" s="8"/>
      <c r="J26598" s="8"/>
    </row>
    <row r="26599">
      <c r="C26599" s="15"/>
      <c r="E26599" s="8"/>
      <c r="G26599" s="8"/>
      <c r="J26599" s="8"/>
    </row>
    <row r="26600">
      <c r="C26600" s="15"/>
      <c r="E26600" s="8"/>
      <c r="G26600" s="8"/>
      <c r="J26600" s="8"/>
    </row>
    <row r="26601">
      <c r="C26601" s="15"/>
      <c r="E26601" s="8"/>
      <c r="G26601" s="8"/>
      <c r="J26601" s="8"/>
    </row>
    <row r="26602">
      <c r="C26602" s="15"/>
      <c r="E26602" s="8"/>
      <c r="G26602" s="8"/>
      <c r="J26602" s="8"/>
    </row>
    <row r="26603">
      <c r="C26603" s="15"/>
      <c r="E26603" s="8"/>
      <c r="G26603" s="8"/>
      <c r="J26603" s="8"/>
    </row>
    <row r="26604">
      <c r="C26604" s="15"/>
      <c r="E26604" s="8"/>
      <c r="G26604" s="8"/>
      <c r="J26604" s="8"/>
    </row>
    <row r="26605">
      <c r="C26605" s="15"/>
      <c r="E26605" s="8"/>
      <c r="G26605" s="8"/>
      <c r="J26605" s="8"/>
    </row>
    <row r="26606">
      <c r="C26606" s="15"/>
      <c r="E26606" s="8"/>
      <c r="G26606" s="8"/>
      <c r="J26606" s="8"/>
    </row>
    <row r="26607">
      <c r="C26607" s="15"/>
      <c r="E26607" s="8"/>
      <c r="G26607" s="8"/>
      <c r="J26607" s="8"/>
    </row>
    <row r="26608">
      <c r="C26608" s="15"/>
      <c r="E26608" s="8"/>
      <c r="G26608" s="8"/>
      <c r="J26608" s="8"/>
    </row>
    <row r="26609">
      <c r="C26609" s="15"/>
      <c r="E26609" s="8"/>
      <c r="G26609" s="8"/>
      <c r="J26609" s="8"/>
    </row>
    <row r="26610">
      <c r="C26610" s="15"/>
      <c r="E26610" s="8"/>
      <c r="G26610" s="8"/>
      <c r="J26610" s="8"/>
    </row>
    <row r="26611">
      <c r="C26611" s="15"/>
      <c r="E26611" s="8"/>
      <c r="G26611" s="8"/>
      <c r="J26611" s="8"/>
    </row>
    <row r="26612">
      <c r="C26612" s="15"/>
      <c r="E26612" s="8"/>
      <c r="G26612" s="8"/>
      <c r="J26612" s="8"/>
    </row>
    <row r="26613">
      <c r="C26613" s="15"/>
      <c r="E26613" s="8"/>
      <c r="G26613" s="8"/>
      <c r="J26613" s="8"/>
    </row>
    <row r="26614">
      <c r="C26614" s="15"/>
      <c r="E26614" s="8"/>
      <c r="G26614" s="8"/>
      <c r="J26614" s="8"/>
    </row>
    <row r="26615">
      <c r="C26615" s="15"/>
      <c r="E26615" s="8"/>
      <c r="G26615" s="8"/>
      <c r="J26615" s="8"/>
    </row>
    <row r="26616">
      <c r="C26616" s="15"/>
      <c r="E26616" s="8"/>
      <c r="G26616" s="8"/>
      <c r="J26616" s="8"/>
    </row>
    <row r="26617">
      <c r="C26617" s="15"/>
      <c r="E26617" s="8"/>
      <c r="G26617" s="8"/>
      <c r="J26617" s="8"/>
    </row>
    <row r="26618">
      <c r="C26618" s="15"/>
      <c r="E26618" s="8"/>
      <c r="G26618" s="8"/>
      <c r="J26618" s="8"/>
    </row>
    <row r="26619">
      <c r="C26619" s="15"/>
      <c r="E26619" s="8"/>
      <c r="G26619" s="8"/>
      <c r="J26619" s="8"/>
    </row>
    <row r="26620">
      <c r="C26620" s="15"/>
      <c r="E26620" s="8"/>
      <c r="G26620" s="8"/>
      <c r="J26620" s="8"/>
    </row>
    <row r="26621">
      <c r="C26621" s="15"/>
      <c r="E26621" s="8"/>
      <c r="G26621" s="8"/>
      <c r="J26621" s="8"/>
    </row>
    <row r="26622">
      <c r="C26622" s="15"/>
      <c r="E26622" s="8"/>
      <c r="G26622" s="8"/>
      <c r="J26622" s="8"/>
    </row>
    <row r="26623">
      <c r="C26623" s="15"/>
      <c r="E26623" s="8"/>
      <c r="G26623" s="8"/>
      <c r="J26623" s="8"/>
    </row>
    <row r="26624">
      <c r="C26624" s="15"/>
      <c r="E26624" s="8"/>
      <c r="G26624" s="8"/>
      <c r="J26624" s="8"/>
    </row>
    <row r="26625">
      <c r="C26625" s="15"/>
      <c r="E26625" s="8"/>
      <c r="G26625" s="8"/>
      <c r="J26625" s="8"/>
    </row>
    <row r="26626">
      <c r="C26626" s="15"/>
      <c r="E26626" s="8"/>
      <c r="G26626" s="8"/>
      <c r="J26626" s="8"/>
    </row>
    <row r="26627">
      <c r="C26627" s="15"/>
      <c r="E26627" s="8"/>
      <c r="G26627" s="8"/>
      <c r="J26627" s="8"/>
    </row>
    <row r="26628">
      <c r="C26628" s="15"/>
      <c r="E26628" s="8"/>
      <c r="G26628" s="8"/>
      <c r="J26628" s="8"/>
    </row>
    <row r="26629">
      <c r="C26629" s="15"/>
      <c r="E26629" s="8"/>
      <c r="G26629" s="8"/>
      <c r="J26629" s="8"/>
    </row>
    <row r="26630">
      <c r="C26630" s="15"/>
      <c r="E26630" s="8"/>
      <c r="G26630" s="8"/>
      <c r="J26630" s="8"/>
    </row>
    <row r="26631">
      <c r="C26631" s="15"/>
      <c r="E26631" s="8"/>
      <c r="G26631" s="8"/>
      <c r="J26631" s="8"/>
    </row>
    <row r="26632">
      <c r="C26632" s="15"/>
      <c r="E26632" s="8"/>
      <c r="G26632" s="8"/>
      <c r="J26632" s="8"/>
    </row>
    <row r="26633">
      <c r="C26633" s="15"/>
      <c r="E26633" s="8"/>
      <c r="G26633" s="8"/>
      <c r="J26633" s="8"/>
    </row>
    <row r="26634">
      <c r="C26634" s="15"/>
      <c r="E26634" s="8"/>
      <c r="G26634" s="8"/>
      <c r="J26634" s="8"/>
    </row>
    <row r="26635">
      <c r="C26635" s="15"/>
      <c r="E26635" s="8"/>
      <c r="G26635" s="8"/>
      <c r="J26635" s="8"/>
    </row>
    <row r="26636">
      <c r="C26636" s="15"/>
      <c r="E26636" s="8"/>
      <c r="G26636" s="8"/>
      <c r="J26636" s="8"/>
    </row>
    <row r="26637">
      <c r="C26637" s="15"/>
      <c r="E26637" s="8"/>
      <c r="G26637" s="8"/>
      <c r="J26637" s="8"/>
    </row>
    <row r="26638">
      <c r="C26638" s="15"/>
      <c r="E26638" s="8"/>
      <c r="G26638" s="8"/>
      <c r="J26638" s="8"/>
    </row>
    <row r="26639">
      <c r="C26639" s="15"/>
      <c r="E26639" s="8"/>
      <c r="G26639" s="8"/>
      <c r="J26639" s="8"/>
    </row>
    <row r="26640">
      <c r="C26640" s="15"/>
      <c r="E26640" s="8"/>
      <c r="G26640" s="8"/>
      <c r="J26640" s="8"/>
    </row>
    <row r="26641">
      <c r="C26641" s="15"/>
      <c r="E26641" s="8"/>
      <c r="G26641" s="8"/>
      <c r="J26641" s="8"/>
    </row>
    <row r="26642">
      <c r="C26642" s="15"/>
      <c r="E26642" s="8"/>
      <c r="G26642" s="8"/>
      <c r="J26642" s="8"/>
    </row>
    <row r="26643">
      <c r="C26643" s="15"/>
      <c r="E26643" s="8"/>
      <c r="G26643" s="8"/>
      <c r="J26643" s="8"/>
    </row>
    <row r="26644">
      <c r="C26644" s="15"/>
      <c r="E26644" s="8"/>
      <c r="G26644" s="8"/>
      <c r="J26644" s="8"/>
    </row>
    <row r="26645">
      <c r="C26645" s="15"/>
      <c r="E26645" s="8"/>
      <c r="G26645" s="8"/>
      <c r="J26645" s="8"/>
    </row>
    <row r="26646">
      <c r="C26646" s="15"/>
      <c r="E26646" s="8"/>
      <c r="G26646" s="8"/>
      <c r="J26646" s="8"/>
    </row>
    <row r="26647">
      <c r="C26647" s="15"/>
      <c r="E26647" s="8"/>
      <c r="G26647" s="8"/>
      <c r="J26647" s="8"/>
    </row>
    <row r="26648">
      <c r="C26648" s="15"/>
      <c r="E26648" s="8"/>
      <c r="G26648" s="8"/>
      <c r="J26648" s="8"/>
    </row>
    <row r="26649">
      <c r="C26649" s="15"/>
      <c r="E26649" s="8"/>
      <c r="G26649" s="8"/>
      <c r="J26649" s="8"/>
    </row>
    <row r="26650">
      <c r="C26650" s="15"/>
      <c r="E26650" s="8"/>
      <c r="G26650" s="8"/>
      <c r="J26650" s="8"/>
    </row>
    <row r="26651">
      <c r="C26651" s="15"/>
      <c r="E26651" s="8"/>
      <c r="G26651" s="8"/>
      <c r="J26651" s="8"/>
    </row>
    <row r="26652">
      <c r="C26652" s="15"/>
      <c r="E26652" s="8"/>
      <c r="G26652" s="8"/>
      <c r="J26652" s="8"/>
    </row>
    <row r="26653">
      <c r="C26653" s="15"/>
      <c r="E26653" s="8"/>
      <c r="G26653" s="8"/>
      <c r="J26653" s="8"/>
    </row>
    <row r="26654">
      <c r="C26654" s="15"/>
      <c r="E26654" s="8"/>
      <c r="G26654" s="8"/>
      <c r="J26654" s="8"/>
    </row>
    <row r="26655">
      <c r="C26655" s="15"/>
      <c r="E26655" s="8"/>
      <c r="G26655" s="8"/>
      <c r="J26655" s="8"/>
    </row>
    <row r="26656">
      <c r="C26656" s="15"/>
      <c r="E26656" s="8"/>
      <c r="G26656" s="8"/>
      <c r="J26656" s="8"/>
    </row>
    <row r="26657">
      <c r="C26657" s="15"/>
      <c r="E26657" s="8"/>
      <c r="G26657" s="8"/>
      <c r="J26657" s="8"/>
    </row>
    <row r="26658">
      <c r="C26658" s="15"/>
      <c r="E26658" s="8"/>
      <c r="G26658" s="8"/>
      <c r="J26658" s="8"/>
    </row>
    <row r="26659">
      <c r="C26659" s="15"/>
      <c r="E26659" s="8"/>
      <c r="G26659" s="8"/>
      <c r="J26659" s="8"/>
    </row>
    <row r="26660">
      <c r="C26660" s="15"/>
      <c r="E26660" s="8"/>
      <c r="G26660" s="8"/>
      <c r="J26660" s="8"/>
    </row>
    <row r="26661">
      <c r="C26661" s="15"/>
      <c r="E26661" s="8"/>
      <c r="G26661" s="8"/>
      <c r="J26661" s="8"/>
    </row>
    <row r="26662">
      <c r="C26662" s="15"/>
      <c r="E26662" s="8"/>
      <c r="G26662" s="8"/>
      <c r="J26662" s="8"/>
    </row>
    <row r="26663">
      <c r="C26663" s="15"/>
      <c r="E26663" s="8"/>
      <c r="G26663" s="8"/>
      <c r="J26663" s="8"/>
    </row>
    <row r="26664">
      <c r="C26664" s="15"/>
      <c r="E26664" s="8"/>
      <c r="G26664" s="8"/>
      <c r="J26664" s="8"/>
    </row>
    <row r="26665">
      <c r="C26665" s="15"/>
      <c r="E26665" s="8"/>
      <c r="G26665" s="8"/>
      <c r="J26665" s="8"/>
    </row>
    <row r="26666">
      <c r="C26666" s="15"/>
      <c r="E26666" s="8"/>
      <c r="G26666" s="8"/>
      <c r="J26666" s="8"/>
    </row>
    <row r="26667">
      <c r="C26667" s="15"/>
      <c r="E26667" s="8"/>
      <c r="G26667" s="8"/>
      <c r="J26667" s="8"/>
    </row>
    <row r="26668">
      <c r="C26668" s="15"/>
      <c r="E26668" s="8"/>
      <c r="G26668" s="8"/>
      <c r="J26668" s="8"/>
    </row>
    <row r="26669">
      <c r="C26669" s="15"/>
      <c r="E26669" s="8"/>
      <c r="G26669" s="8"/>
      <c r="J26669" s="8"/>
    </row>
    <row r="26670">
      <c r="C26670" s="15"/>
      <c r="E26670" s="8"/>
      <c r="G26670" s="8"/>
      <c r="J26670" s="8"/>
    </row>
    <row r="26671">
      <c r="C26671" s="15"/>
      <c r="E26671" s="8"/>
      <c r="G26671" s="8"/>
      <c r="J26671" s="8"/>
    </row>
    <row r="26672">
      <c r="C26672" s="15"/>
      <c r="E26672" s="8"/>
      <c r="G26672" s="8"/>
      <c r="J26672" s="8"/>
    </row>
    <row r="26673">
      <c r="C26673" s="15"/>
      <c r="E26673" s="8"/>
      <c r="G26673" s="8"/>
      <c r="J26673" s="8"/>
    </row>
    <row r="26674">
      <c r="C26674" s="15"/>
      <c r="E26674" s="8"/>
      <c r="G26674" s="8"/>
      <c r="J26674" s="8"/>
    </row>
    <row r="26675">
      <c r="C26675" s="15"/>
      <c r="E26675" s="8"/>
      <c r="G26675" s="8"/>
      <c r="J26675" s="8"/>
    </row>
    <row r="26676">
      <c r="C26676" s="15"/>
      <c r="E26676" s="8"/>
      <c r="G26676" s="8"/>
      <c r="J26676" s="8"/>
    </row>
    <row r="26677">
      <c r="C26677" s="15"/>
      <c r="E26677" s="8"/>
      <c r="G26677" s="8"/>
      <c r="J26677" s="8"/>
    </row>
    <row r="26678">
      <c r="C26678" s="15"/>
      <c r="E26678" s="8"/>
      <c r="G26678" s="8"/>
      <c r="J26678" s="8"/>
    </row>
    <row r="26679">
      <c r="C26679" s="15"/>
      <c r="E26679" s="8"/>
      <c r="G26679" s="8"/>
      <c r="J26679" s="8"/>
    </row>
    <row r="26680">
      <c r="C26680" s="15"/>
      <c r="E26680" s="8"/>
      <c r="G26680" s="8"/>
      <c r="J26680" s="8"/>
    </row>
    <row r="26681">
      <c r="C26681" s="15"/>
      <c r="E26681" s="8"/>
      <c r="G26681" s="8"/>
      <c r="J26681" s="8"/>
    </row>
    <row r="26682">
      <c r="C26682" s="15"/>
      <c r="E26682" s="8"/>
      <c r="G26682" s="8"/>
      <c r="J26682" s="8"/>
    </row>
    <row r="26683">
      <c r="C26683" s="15"/>
      <c r="E26683" s="8"/>
      <c r="G26683" s="8"/>
      <c r="J26683" s="8"/>
    </row>
    <row r="26684">
      <c r="C26684" s="15"/>
      <c r="E26684" s="8"/>
      <c r="G26684" s="8"/>
      <c r="J26684" s="8"/>
    </row>
    <row r="26685">
      <c r="C26685" s="15"/>
      <c r="E26685" s="8"/>
      <c r="G26685" s="8"/>
      <c r="J26685" s="8"/>
    </row>
    <row r="26686">
      <c r="C26686" s="15"/>
      <c r="E26686" s="8"/>
      <c r="G26686" s="8"/>
      <c r="J26686" s="8"/>
    </row>
    <row r="26687">
      <c r="C26687" s="15"/>
      <c r="E26687" s="8"/>
      <c r="G26687" s="8"/>
      <c r="J26687" s="8"/>
    </row>
    <row r="26688">
      <c r="C26688" s="15"/>
      <c r="E26688" s="8"/>
      <c r="G26688" s="8"/>
      <c r="J26688" s="8"/>
    </row>
    <row r="26689">
      <c r="C26689" s="15"/>
      <c r="E26689" s="8"/>
      <c r="G26689" s="8"/>
      <c r="J26689" s="8"/>
    </row>
    <row r="26690">
      <c r="C26690" s="15"/>
      <c r="E26690" s="8"/>
      <c r="G26690" s="8"/>
      <c r="J26690" s="8"/>
    </row>
    <row r="26691">
      <c r="C26691" s="15"/>
      <c r="E26691" s="8"/>
      <c r="G26691" s="8"/>
      <c r="J26691" s="8"/>
    </row>
    <row r="26692">
      <c r="C26692" s="15"/>
      <c r="E26692" s="8"/>
      <c r="G26692" s="8"/>
      <c r="J26692" s="8"/>
    </row>
    <row r="26693">
      <c r="C26693" s="15"/>
      <c r="E26693" s="8"/>
      <c r="G26693" s="8"/>
      <c r="J26693" s="8"/>
    </row>
    <row r="26694">
      <c r="C26694" s="15"/>
      <c r="E26694" s="8"/>
      <c r="G26694" s="8"/>
      <c r="J26694" s="8"/>
    </row>
    <row r="26695">
      <c r="C26695" s="15"/>
      <c r="E26695" s="8"/>
      <c r="G26695" s="8"/>
      <c r="J26695" s="8"/>
    </row>
    <row r="26696">
      <c r="C26696" s="15"/>
      <c r="E26696" s="8"/>
      <c r="G26696" s="8"/>
      <c r="J26696" s="8"/>
    </row>
    <row r="26697">
      <c r="C26697" s="15"/>
      <c r="E26697" s="8"/>
      <c r="G26697" s="8"/>
      <c r="J26697" s="8"/>
    </row>
    <row r="26698">
      <c r="C26698" s="15"/>
      <c r="E26698" s="8"/>
      <c r="G26698" s="8"/>
      <c r="J26698" s="8"/>
    </row>
    <row r="26699">
      <c r="C26699" s="15"/>
      <c r="E26699" s="8"/>
      <c r="G26699" s="8"/>
      <c r="J26699" s="8"/>
    </row>
    <row r="26700">
      <c r="C26700" s="15"/>
      <c r="E26700" s="8"/>
      <c r="G26700" s="8"/>
      <c r="J26700" s="8"/>
    </row>
    <row r="26701">
      <c r="C26701" s="15"/>
      <c r="E26701" s="8"/>
      <c r="G26701" s="8"/>
      <c r="J26701" s="8"/>
    </row>
    <row r="26702">
      <c r="C26702" s="15"/>
      <c r="E26702" s="8"/>
      <c r="G26702" s="8"/>
      <c r="J26702" s="8"/>
    </row>
    <row r="26703">
      <c r="C26703" s="15"/>
      <c r="E26703" s="8"/>
      <c r="G26703" s="8"/>
      <c r="J26703" s="8"/>
    </row>
    <row r="26704">
      <c r="C26704" s="15"/>
      <c r="E26704" s="8"/>
      <c r="G26704" s="8"/>
      <c r="J26704" s="8"/>
    </row>
    <row r="26705">
      <c r="C26705" s="15"/>
      <c r="E26705" s="8"/>
      <c r="G26705" s="8"/>
      <c r="J26705" s="8"/>
    </row>
    <row r="26706">
      <c r="C26706" s="15"/>
      <c r="E26706" s="8"/>
      <c r="G26706" s="8"/>
      <c r="J26706" s="8"/>
    </row>
    <row r="26707">
      <c r="C26707" s="15"/>
      <c r="E26707" s="8"/>
      <c r="G26707" s="8"/>
      <c r="J26707" s="8"/>
    </row>
    <row r="26708">
      <c r="C26708" s="15"/>
      <c r="E26708" s="8"/>
      <c r="G26708" s="8"/>
      <c r="J26708" s="8"/>
    </row>
    <row r="26709">
      <c r="C26709" s="15"/>
      <c r="E26709" s="8"/>
      <c r="G26709" s="8"/>
      <c r="J26709" s="8"/>
    </row>
    <row r="26710">
      <c r="C26710" s="15"/>
      <c r="E26710" s="8"/>
      <c r="G26710" s="8"/>
      <c r="J26710" s="8"/>
    </row>
    <row r="26711">
      <c r="C26711" s="15"/>
      <c r="E26711" s="8"/>
      <c r="G26711" s="8"/>
      <c r="J26711" s="8"/>
    </row>
    <row r="26712">
      <c r="C26712" s="15"/>
      <c r="E26712" s="8"/>
      <c r="G26712" s="8"/>
      <c r="J26712" s="8"/>
    </row>
    <row r="26713">
      <c r="C26713" s="15"/>
      <c r="E26713" s="8"/>
      <c r="G26713" s="8"/>
      <c r="J26713" s="8"/>
    </row>
    <row r="26714">
      <c r="C26714" s="15"/>
      <c r="E26714" s="8"/>
      <c r="G26714" s="8"/>
      <c r="J26714" s="8"/>
    </row>
    <row r="26715">
      <c r="C26715" s="15"/>
      <c r="E26715" s="8"/>
      <c r="G26715" s="8"/>
      <c r="J26715" s="8"/>
    </row>
    <row r="26716">
      <c r="C26716" s="15"/>
      <c r="E26716" s="8"/>
      <c r="G26716" s="8"/>
      <c r="J26716" s="8"/>
    </row>
    <row r="26717">
      <c r="C26717" s="15"/>
      <c r="E26717" s="8"/>
      <c r="G26717" s="8"/>
      <c r="J26717" s="8"/>
    </row>
    <row r="26718">
      <c r="C26718" s="15"/>
      <c r="E26718" s="8"/>
      <c r="G26718" s="8"/>
      <c r="J26718" s="8"/>
    </row>
    <row r="26719">
      <c r="C26719" s="15"/>
      <c r="E26719" s="8"/>
      <c r="G26719" s="8"/>
      <c r="J26719" s="8"/>
    </row>
    <row r="26720">
      <c r="C26720" s="15"/>
      <c r="E26720" s="8"/>
      <c r="G26720" s="8"/>
      <c r="J26720" s="8"/>
    </row>
    <row r="26721">
      <c r="C26721" s="15"/>
      <c r="E26721" s="8"/>
      <c r="G26721" s="8"/>
      <c r="J26721" s="8"/>
    </row>
    <row r="26722">
      <c r="C26722" s="15"/>
      <c r="E26722" s="8"/>
      <c r="G26722" s="8"/>
      <c r="J26722" s="8"/>
    </row>
    <row r="26723">
      <c r="C26723" s="15"/>
      <c r="E26723" s="8"/>
      <c r="G26723" s="8"/>
      <c r="J26723" s="8"/>
    </row>
    <row r="26724">
      <c r="C26724" s="15"/>
      <c r="E26724" s="8"/>
      <c r="G26724" s="8"/>
      <c r="J26724" s="8"/>
    </row>
    <row r="26725">
      <c r="C26725" s="15"/>
      <c r="E26725" s="8"/>
      <c r="G26725" s="8"/>
      <c r="J26725" s="8"/>
    </row>
    <row r="26726">
      <c r="C26726" s="15"/>
      <c r="E26726" s="8"/>
      <c r="G26726" s="8"/>
      <c r="J26726" s="8"/>
    </row>
    <row r="26727">
      <c r="C26727" s="15"/>
      <c r="E26727" s="8"/>
      <c r="G26727" s="8"/>
      <c r="J26727" s="8"/>
    </row>
    <row r="26728">
      <c r="C26728" s="15"/>
      <c r="E26728" s="8"/>
      <c r="G26728" s="8"/>
      <c r="J26728" s="8"/>
    </row>
    <row r="26729">
      <c r="C26729" s="15"/>
      <c r="E26729" s="8"/>
      <c r="G26729" s="8"/>
      <c r="J26729" s="8"/>
    </row>
    <row r="26730">
      <c r="C26730" s="15"/>
      <c r="E26730" s="8"/>
      <c r="G26730" s="8"/>
      <c r="J26730" s="8"/>
    </row>
    <row r="26731">
      <c r="C26731" s="15"/>
      <c r="E26731" s="8"/>
      <c r="G26731" s="8"/>
      <c r="J26731" s="8"/>
    </row>
    <row r="26732">
      <c r="C26732" s="15"/>
      <c r="E26732" s="8"/>
      <c r="G26732" s="8"/>
      <c r="J26732" s="8"/>
    </row>
    <row r="26733">
      <c r="C26733" s="15"/>
      <c r="E26733" s="8"/>
      <c r="G26733" s="8"/>
      <c r="J26733" s="8"/>
    </row>
    <row r="26734">
      <c r="C26734" s="15"/>
      <c r="E26734" s="8"/>
      <c r="G26734" s="8"/>
      <c r="J26734" s="8"/>
    </row>
    <row r="26735">
      <c r="C26735" s="15"/>
      <c r="E26735" s="8"/>
      <c r="G26735" s="8"/>
      <c r="J26735" s="8"/>
    </row>
    <row r="26736">
      <c r="C26736" s="15"/>
      <c r="E26736" s="8"/>
      <c r="G26736" s="8"/>
      <c r="J26736" s="8"/>
    </row>
    <row r="26737">
      <c r="C26737" s="15"/>
      <c r="E26737" s="8"/>
      <c r="G26737" s="8"/>
      <c r="J26737" s="8"/>
    </row>
    <row r="26738">
      <c r="C26738" s="15"/>
      <c r="E26738" s="8"/>
      <c r="G26738" s="8"/>
      <c r="J26738" s="8"/>
    </row>
    <row r="26739">
      <c r="C26739" s="15"/>
      <c r="E26739" s="8"/>
      <c r="G26739" s="8"/>
      <c r="J26739" s="8"/>
    </row>
    <row r="26740">
      <c r="C26740" s="15"/>
      <c r="E26740" s="8"/>
      <c r="G26740" s="8"/>
      <c r="J26740" s="8"/>
    </row>
    <row r="26741">
      <c r="C26741" s="15"/>
      <c r="E26741" s="8"/>
      <c r="G26741" s="8"/>
      <c r="J26741" s="8"/>
    </row>
    <row r="26742">
      <c r="C26742" s="15"/>
      <c r="E26742" s="8"/>
      <c r="G26742" s="8"/>
      <c r="J26742" s="8"/>
    </row>
    <row r="26743">
      <c r="C26743" s="15"/>
      <c r="E26743" s="8"/>
      <c r="G26743" s="8"/>
      <c r="J26743" s="8"/>
    </row>
    <row r="26744">
      <c r="C26744" s="15"/>
      <c r="E26744" s="8"/>
      <c r="G26744" s="8"/>
      <c r="J26744" s="8"/>
    </row>
    <row r="26745">
      <c r="C26745" s="15"/>
      <c r="E26745" s="8"/>
      <c r="G26745" s="8"/>
      <c r="J26745" s="8"/>
    </row>
    <row r="26746">
      <c r="C26746" s="15"/>
      <c r="E26746" s="8"/>
      <c r="G26746" s="8"/>
      <c r="J26746" s="8"/>
    </row>
    <row r="26747">
      <c r="C26747" s="15"/>
      <c r="E26747" s="8"/>
      <c r="G26747" s="8"/>
      <c r="J26747" s="8"/>
    </row>
    <row r="26748">
      <c r="C26748" s="15"/>
      <c r="E26748" s="8"/>
      <c r="G26748" s="8"/>
      <c r="J26748" s="8"/>
    </row>
    <row r="26749">
      <c r="C26749" s="15"/>
      <c r="E26749" s="8"/>
      <c r="G26749" s="8"/>
      <c r="J26749" s="8"/>
    </row>
    <row r="26750">
      <c r="C26750" s="15"/>
      <c r="E26750" s="8"/>
      <c r="G26750" s="8"/>
      <c r="J26750" s="8"/>
    </row>
    <row r="26751">
      <c r="C26751" s="15"/>
      <c r="E26751" s="8"/>
      <c r="G26751" s="8"/>
      <c r="J26751" s="8"/>
    </row>
    <row r="26752">
      <c r="C26752" s="15"/>
      <c r="E26752" s="8"/>
      <c r="G26752" s="8"/>
      <c r="J26752" s="8"/>
    </row>
    <row r="26753">
      <c r="C26753" s="15"/>
      <c r="E26753" s="8"/>
      <c r="G26753" s="8"/>
      <c r="J26753" s="8"/>
    </row>
    <row r="26754">
      <c r="C26754" s="15"/>
      <c r="E26754" s="8"/>
      <c r="G26754" s="8"/>
      <c r="J26754" s="8"/>
    </row>
    <row r="26755">
      <c r="C26755" s="15"/>
      <c r="E26755" s="8"/>
      <c r="G26755" s="8"/>
      <c r="J26755" s="8"/>
    </row>
    <row r="26756">
      <c r="C26756" s="15"/>
      <c r="E26756" s="8"/>
      <c r="G26756" s="8"/>
      <c r="J26756" s="8"/>
    </row>
    <row r="26757">
      <c r="C26757" s="15"/>
      <c r="E26757" s="8"/>
      <c r="G26757" s="8"/>
      <c r="J26757" s="8"/>
    </row>
    <row r="26758">
      <c r="C26758" s="15"/>
      <c r="E26758" s="8"/>
      <c r="G26758" s="8"/>
      <c r="J26758" s="8"/>
    </row>
    <row r="26759">
      <c r="C26759" s="15"/>
      <c r="E26759" s="8"/>
      <c r="G26759" s="8"/>
      <c r="J26759" s="8"/>
    </row>
    <row r="26760">
      <c r="C26760" s="15"/>
      <c r="E26760" s="8"/>
      <c r="G26760" s="8"/>
      <c r="J26760" s="8"/>
    </row>
    <row r="26761">
      <c r="C26761" s="15"/>
      <c r="E26761" s="8"/>
      <c r="G26761" s="8"/>
      <c r="J26761" s="8"/>
    </row>
    <row r="26762">
      <c r="C26762" s="15"/>
      <c r="E26762" s="8"/>
      <c r="G26762" s="8"/>
      <c r="J26762" s="8"/>
    </row>
    <row r="26763">
      <c r="C26763" s="15"/>
      <c r="E26763" s="8"/>
      <c r="G26763" s="8"/>
      <c r="J26763" s="8"/>
    </row>
    <row r="26764">
      <c r="C26764" s="15"/>
      <c r="E26764" s="8"/>
      <c r="G26764" s="8"/>
      <c r="J26764" s="8"/>
    </row>
    <row r="26765">
      <c r="C26765" s="15"/>
      <c r="E26765" s="8"/>
      <c r="G26765" s="8"/>
      <c r="J26765" s="8"/>
    </row>
    <row r="26766">
      <c r="C26766" s="15"/>
      <c r="E26766" s="8"/>
      <c r="G26766" s="8"/>
      <c r="J26766" s="8"/>
    </row>
    <row r="26767">
      <c r="C26767" s="15"/>
      <c r="E26767" s="8"/>
      <c r="G26767" s="8"/>
      <c r="J26767" s="8"/>
    </row>
    <row r="26768">
      <c r="C26768" s="15"/>
      <c r="E26768" s="8"/>
      <c r="G26768" s="8"/>
      <c r="J26768" s="8"/>
    </row>
    <row r="26769">
      <c r="C26769" s="15"/>
      <c r="E26769" s="8"/>
      <c r="G26769" s="8"/>
      <c r="J26769" s="8"/>
    </row>
    <row r="26770">
      <c r="C26770" s="15"/>
      <c r="E26770" s="8"/>
      <c r="G26770" s="8"/>
      <c r="J26770" s="8"/>
    </row>
    <row r="26771">
      <c r="C26771" s="15"/>
      <c r="E26771" s="8"/>
      <c r="G26771" s="8"/>
      <c r="J26771" s="8"/>
    </row>
    <row r="26772">
      <c r="C26772" s="15"/>
      <c r="E26772" s="8"/>
      <c r="G26772" s="8"/>
      <c r="J26772" s="8"/>
    </row>
    <row r="26773">
      <c r="C26773" s="15"/>
      <c r="E26773" s="8"/>
      <c r="G26773" s="8"/>
      <c r="J26773" s="8"/>
    </row>
    <row r="26774">
      <c r="C26774" s="15"/>
      <c r="E26774" s="8"/>
      <c r="G26774" s="8"/>
      <c r="J26774" s="8"/>
    </row>
    <row r="26775">
      <c r="C26775" s="15"/>
      <c r="E26775" s="8"/>
      <c r="G26775" s="8"/>
      <c r="J26775" s="8"/>
    </row>
    <row r="26776">
      <c r="C26776" s="15"/>
      <c r="E26776" s="8"/>
      <c r="G26776" s="8"/>
      <c r="J26776" s="8"/>
    </row>
    <row r="26777">
      <c r="C26777" s="15"/>
      <c r="E26777" s="8"/>
      <c r="G26777" s="8"/>
      <c r="J26777" s="8"/>
    </row>
    <row r="26778">
      <c r="C26778" s="15"/>
      <c r="E26778" s="8"/>
      <c r="G26778" s="8"/>
      <c r="J26778" s="8"/>
    </row>
    <row r="26779">
      <c r="C26779" s="15"/>
      <c r="E26779" s="8"/>
      <c r="G26779" s="8"/>
      <c r="J26779" s="8"/>
    </row>
    <row r="26780">
      <c r="C26780" s="15"/>
      <c r="E26780" s="8"/>
      <c r="G26780" s="8"/>
      <c r="J26780" s="8"/>
    </row>
    <row r="26781">
      <c r="C26781" s="15"/>
      <c r="E26781" s="8"/>
      <c r="G26781" s="8"/>
      <c r="J26781" s="8"/>
    </row>
    <row r="26782">
      <c r="C26782" s="15"/>
      <c r="E26782" s="8"/>
      <c r="G26782" s="8"/>
      <c r="J26782" s="8"/>
    </row>
    <row r="26783">
      <c r="C26783" s="15"/>
      <c r="E26783" s="8"/>
      <c r="G26783" s="8"/>
      <c r="J26783" s="8"/>
    </row>
    <row r="26784">
      <c r="C26784" s="15"/>
      <c r="E26784" s="8"/>
      <c r="G26784" s="8"/>
      <c r="J26784" s="8"/>
    </row>
    <row r="26785">
      <c r="C26785" s="15"/>
      <c r="E26785" s="8"/>
      <c r="G26785" s="8"/>
      <c r="J26785" s="8"/>
    </row>
    <row r="26786">
      <c r="C26786" s="15"/>
      <c r="E26786" s="8"/>
      <c r="G26786" s="8"/>
      <c r="J26786" s="8"/>
    </row>
    <row r="26787">
      <c r="C26787" s="15"/>
      <c r="E26787" s="8"/>
      <c r="G26787" s="8"/>
      <c r="J26787" s="8"/>
    </row>
    <row r="26788">
      <c r="C26788" s="15"/>
      <c r="E26788" s="8"/>
      <c r="G26788" s="8"/>
      <c r="J26788" s="8"/>
    </row>
    <row r="26789">
      <c r="C26789" s="15"/>
      <c r="E26789" s="8"/>
      <c r="G26789" s="8"/>
      <c r="J26789" s="8"/>
    </row>
    <row r="26790">
      <c r="C26790" s="15"/>
      <c r="E26790" s="8"/>
      <c r="G26790" s="8"/>
      <c r="J26790" s="8"/>
    </row>
    <row r="26791">
      <c r="C26791" s="15"/>
      <c r="E26791" s="8"/>
      <c r="G26791" s="8"/>
      <c r="J26791" s="8"/>
    </row>
    <row r="26792">
      <c r="C26792" s="15"/>
      <c r="E26792" s="8"/>
      <c r="G26792" s="8"/>
      <c r="J26792" s="8"/>
    </row>
    <row r="26793">
      <c r="C26793" s="15"/>
      <c r="E26793" s="8"/>
      <c r="G26793" s="8"/>
      <c r="J26793" s="8"/>
    </row>
    <row r="26794">
      <c r="C26794" s="15"/>
      <c r="E26794" s="8"/>
      <c r="G26794" s="8"/>
      <c r="J26794" s="8"/>
    </row>
    <row r="26795">
      <c r="C26795" s="15"/>
      <c r="E26795" s="8"/>
      <c r="G26795" s="8"/>
      <c r="J26795" s="8"/>
    </row>
    <row r="26796">
      <c r="C26796" s="15"/>
      <c r="E26796" s="8"/>
      <c r="G26796" s="8"/>
      <c r="J26796" s="8"/>
    </row>
    <row r="26797">
      <c r="C26797" s="15"/>
      <c r="E26797" s="8"/>
      <c r="G26797" s="8"/>
      <c r="J26797" s="8"/>
    </row>
    <row r="26798">
      <c r="C26798" s="15"/>
      <c r="E26798" s="8"/>
      <c r="G26798" s="8"/>
      <c r="J26798" s="8"/>
    </row>
    <row r="26799">
      <c r="C26799" s="15"/>
      <c r="E26799" s="8"/>
      <c r="G26799" s="8"/>
      <c r="J26799" s="8"/>
    </row>
    <row r="26800">
      <c r="C26800" s="15"/>
      <c r="E26800" s="8"/>
      <c r="G26800" s="8"/>
      <c r="J26800" s="8"/>
    </row>
    <row r="26801">
      <c r="C26801" s="15"/>
      <c r="E26801" s="8"/>
      <c r="G26801" s="8"/>
      <c r="J26801" s="8"/>
    </row>
    <row r="26802">
      <c r="C26802" s="15"/>
      <c r="E26802" s="8"/>
      <c r="G26802" s="8"/>
      <c r="J26802" s="8"/>
    </row>
    <row r="26803">
      <c r="C26803" s="15"/>
      <c r="E26803" s="8"/>
      <c r="G26803" s="8"/>
      <c r="J26803" s="8"/>
    </row>
    <row r="26804">
      <c r="C26804" s="15"/>
      <c r="E26804" s="8"/>
      <c r="G26804" s="8"/>
      <c r="J26804" s="8"/>
    </row>
    <row r="26805">
      <c r="C26805" s="15"/>
      <c r="E26805" s="8"/>
      <c r="G26805" s="8"/>
      <c r="J26805" s="8"/>
    </row>
    <row r="26806">
      <c r="C26806" s="15"/>
      <c r="E26806" s="8"/>
      <c r="G26806" s="8"/>
      <c r="J26806" s="8"/>
    </row>
    <row r="26807">
      <c r="C26807" s="15"/>
      <c r="E26807" s="8"/>
      <c r="G26807" s="8"/>
      <c r="J26807" s="8"/>
    </row>
    <row r="26808">
      <c r="C26808" s="15"/>
      <c r="E26808" s="8"/>
      <c r="G26808" s="8"/>
      <c r="J26808" s="8"/>
    </row>
    <row r="26809">
      <c r="C26809" s="15"/>
      <c r="E26809" s="8"/>
      <c r="G26809" s="8"/>
      <c r="J26809" s="8"/>
    </row>
    <row r="26810">
      <c r="C26810" s="15"/>
      <c r="E26810" s="8"/>
      <c r="G26810" s="8"/>
      <c r="J26810" s="8"/>
    </row>
    <row r="26811">
      <c r="C26811" s="15"/>
      <c r="E26811" s="8"/>
      <c r="G26811" s="8"/>
      <c r="J26811" s="8"/>
    </row>
    <row r="26812">
      <c r="C26812" s="15"/>
      <c r="E26812" s="8"/>
      <c r="G26812" s="8"/>
      <c r="J26812" s="8"/>
    </row>
    <row r="26813">
      <c r="C26813" s="15"/>
      <c r="E26813" s="8"/>
      <c r="G26813" s="8"/>
      <c r="J26813" s="8"/>
    </row>
    <row r="26814">
      <c r="C26814" s="15"/>
      <c r="E26814" s="8"/>
      <c r="G26814" s="8"/>
      <c r="J26814" s="8"/>
    </row>
    <row r="26815">
      <c r="C26815" s="15"/>
      <c r="E26815" s="8"/>
      <c r="G26815" s="8"/>
      <c r="J26815" s="8"/>
    </row>
    <row r="26816">
      <c r="C26816" s="15"/>
      <c r="E26816" s="8"/>
      <c r="G26816" s="8"/>
      <c r="J26816" s="8"/>
    </row>
    <row r="26817">
      <c r="C26817" s="15"/>
      <c r="E26817" s="8"/>
      <c r="G26817" s="8"/>
      <c r="J26817" s="8"/>
    </row>
    <row r="26818">
      <c r="C26818" s="15"/>
      <c r="E26818" s="8"/>
      <c r="G26818" s="8"/>
      <c r="J26818" s="8"/>
    </row>
    <row r="26819">
      <c r="C26819" s="15"/>
      <c r="E26819" s="8"/>
      <c r="G26819" s="8"/>
      <c r="J26819" s="8"/>
    </row>
    <row r="26820">
      <c r="C26820" s="15"/>
      <c r="E26820" s="8"/>
      <c r="G26820" s="8"/>
      <c r="J26820" s="8"/>
    </row>
    <row r="26821">
      <c r="C26821" s="15"/>
      <c r="E26821" s="8"/>
      <c r="G26821" s="8"/>
      <c r="J26821" s="8"/>
    </row>
    <row r="26822">
      <c r="C26822" s="15"/>
      <c r="E26822" s="8"/>
      <c r="G26822" s="8"/>
      <c r="J26822" s="8"/>
    </row>
    <row r="26823">
      <c r="C26823" s="15"/>
      <c r="E26823" s="8"/>
      <c r="G26823" s="8"/>
      <c r="J26823" s="8"/>
    </row>
    <row r="26824">
      <c r="C26824" s="15"/>
      <c r="E26824" s="8"/>
      <c r="G26824" s="8"/>
      <c r="J26824" s="8"/>
    </row>
    <row r="26825">
      <c r="C26825" s="15"/>
      <c r="E26825" s="8"/>
      <c r="G26825" s="8"/>
      <c r="J26825" s="8"/>
    </row>
    <row r="26826">
      <c r="C26826" s="15"/>
      <c r="E26826" s="8"/>
      <c r="G26826" s="8"/>
      <c r="J26826" s="8"/>
    </row>
    <row r="26827">
      <c r="C26827" s="15"/>
      <c r="E26827" s="8"/>
      <c r="G26827" s="8"/>
      <c r="J26827" s="8"/>
    </row>
    <row r="26828">
      <c r="C26828" s="15"/>
      <c r="E26828" s="8"/>
      <c r="G26828" s="8"/>
      <c r="J26828" s="8"/>
    </row>
    <row r="26829">
      <c r="C26829" s="15"/>
      <c r="E26829" s="8"/>
      <c r="G26829" s="8"/>
      <c r="J26829" s="8"/>
    </row>
    <row r="26830">
      <c r="C26830" s="15"/>
      <c r="E26830" s="8"/>
      <c r="G26830" s="8"/>
      <c r="J26830" s="8"/>
    </row>
    <row r="26831">
      <c r="C26831" s="15"/>
      <c r="E26831" s="8"/>
      <c r="G26831" s="8"/>
      <c r="J26831" s="8"/>
    </row>
    <row r="26832">
      <c r="C26832" s="15"/>
      <c r="E26832" s="8"/>
      <c r="G26832" s="8"/>
      <c r="J26832" s="8"/>
    </row>
    <row r="26833">
      <c r="C26833" s="15"/>
      <c r="E26833" s="8"/>
      <c r="G26833" s="8"/>
      <c r="J26833" s="8"/>
    </row>
    <row r="26834">
      <c r="C26834" s="15"/>
      <c r="E26834" s="8"/>
      <c r="G26834" s="8"/>
      <c r="J26834" s="8"/>
    </row>
    <row r="26835">
      <c r="C26835" s="15"/>
      <c r="E26835" s="8"/>
      <c r="G26835" s="8"/>
      <c r="J26835" s="8"/>
    </row>
    <row r="26836">
      <c r="C26836" s="15"/>
      <c r="E26836" s="8"/>
      <c r="G26836" s="8"/>
      <c r="J26836" s="8"/>
    </row>
    <row r="26837">
      <c r="C26837" s="15"/>
      <c r="E26837" s="8"/>
      <c r="G26837" s="8"/>
      <c r="J26837" s="8"/>
    </row>
    <row r="26838">
      <c r="C26838" s="15"/>
      <c r="E26838" s="8"/>
      <c r="G26838" s="8"/>
      <c r="J26838" s="8"/>
    </row>
    <row r="26839">
      <c r="C26839" s="15"/>
      <c r="E26839" s="8"/>
      <c r="G26839" s="8"/>
      <c r="J26839" s="8"/>
    </row>
    <row r="26840">
      <c r="C26840" s="15"/>
      <c r="E26840" s="8"/>
      <c r="G26840" s="8"/>
      <c r="J26840" s="8"/>
    </row>
    <row r="26841">
      <c r="C26841" s="15"/>
      <c r="E26841" s="8"/>
      <c r="G26841" s="8"/>
      <c r="J26841" s="8"/>
    </row>
    <row r="26842">
      <c r="C26842" s="15"/>
      <c r="E26842" s="8"/>
      <c r="G26842" s="8"/>
      <c r="J26842" s="8"/>
    </row>
    <row r="26843">
      <c r="C26843" s="15"/>
      <c r="E26843" s="8"/>
      <c r="G26843" s="8"/>
      <c r="J26843" s="8"/>
    </row>
    <row r="26844">
      <c r="C26844" s="15"/>
      <c r="E26844" s="8"/>
      <c r="G26844" s="8"/>
      <c r="J26844" s="8"/>
    </row>
    <row r="26845">
      <c r="C26845" s="15"/>
      <c r="E26845" s="8"/>
      <c r="G26845" s="8"/>
      <c r="J26845" s="8"/>
    </row>
    <row r="26846">
      <c r="C26846" s="15"/>
      <c r="E26846" s="8"/>
      <c r="G26846" s="8"/>
      <c r="J26846" s="8"/>
    </row>
    <row r="26847">
      <c r="C26847" s="15"/>
      <c r="E26847" s="8"/>
      <c r="G26847" s="8"/>
      <c r="J26847" s="8"/>
    </row>
    <row r="26848">
      <c r="C26848" s="15"/>
      <c r="E26848" s="8"/>
      <c r="G26848" s="8"/>
      <c r="J26848" s="8"/>
    </row>
    <row r="26849">
      <c r="C26849" s="15"/>
      <c r="E26849" s="8"/>
      <c r="G26849" s="8"/>
      <c r="J26849" s="8"/>
    </row>
    <row r="26850">
      <c r="C26850" s="15"/>
      <c r="E26850" s="8"/>
      <c r="G26850" s="8"/>
      <c r="J26850" s="8"/>
    </row>
    <row r="26851">
      <c r="C26851" s="15"/>
      <c r="E26851" s="8"/>
      <c r="G26851" s="8"/>
      <c r="J26851" s="8"/>
    </row>
    <row r="26852">
      <c r="C26852" s="15"/>
      <c r="E26852" s="8"/>
      <c r="G26852" s="8"/>
      <c r="J26852" s="8"/>
    </row>
    <row r="26853">
      <c r="C26853" s="15"/>
      <c r="E26853" s="8"/>
      <c r="G26853" s="8"/>
      <c r="J26853" s="8"/>
    </row>
    <row r="26854">
      <c r="C26854" s="15"/>
      <c r="E26854" s="8"/>
      <c r="G26854" s="8"/>
      <c r="J26854" s="8"/>
    </row>
    <row r="26855">
      <c r="C26855" s="15"/>
      <c r="E26855" s="8"/>
      <c r="G26855" s="8"/>
      <c r="J26855" s="8"/>
    </row>
    <row r="26856">
      <c r="C26856" s="15"/>
      <c r="E26856" s="8"/>
      <c r="G26856" s="8"/>
      <c r="J26856" s="8"/>
    </row>
    <row r="26857">
      <c r="C26857" s="15"/>
      <c r="E26857" s="8"/>
      <c r="G26857" s="8"/>
      <c r="J26857" s="8"/>
    </row>
    <row r="26858">
      <c r="C26858" s="15"/>
      <c r="E26858" s="8"/>
      <c r="G26858" s="8"/>
      <c r="J26858" s="8"/>
    </row>
    <row r="26859">
      <c r="C26859" s="15"/>
      <c r="E26859" s="8"/>
      <c r="G26859" s="8"/>
      <c r="J26859" s="8"/>
    </row>
    <row r="26860">
      <c r="C26860" s="15"/>
      <c r="E26860" s="8"/>
      <c r="G26860" s="8"/>
      <c r="J26860" s="8"/>
    </row>
    <row r="26861">
      <c r="C26861" s="15"/>
      <c r="E26861" s="8"/>
      <c r="G26861" s="8"/>
      <c r="J26861" s="8"/>
    </row>
    <row r="26862">
      <c r="C26862" s="15"/>
      <c r="E26862" s="8"/>
      <c r="G26862" s="8"/>
      <c r="J26862" s="8"/>
    </row>
    <row r="26863">
      <c r="C26863" s="15"/>
      <c r="E26863" s="8"/>
      <c r="G26863" s="8"/>
      <c r="J26863" s="8"/>
    </row>
    <row r="26864">
      <c r="C26864" s="15"/>
      <c r="E26864" s="8"/>
      <c r="G26864" s="8"/>
      <c r="J26864" s="8"/>
    </row>
    <row r="26865">
      <c r="C26865" s="15"/>
      <c r="E26865" s="8"/>
      <c r="G26865" s="8"/>
      <c r="J26865" s="8"/>
    </row>
    <row r="26866">
      <c r="C26866" s="15"/>
      <c r="E26866" s="8"/>
      <c r="G26866" s="8"/>
      <c r="J26866" s="8"/>
    </row>
    <row r="26867">
      <c r="C26867" s="15"/>
      <c r="E26867" s="8"/>
      <c r="G26867" s="8"/>
      <c r="J26867" s="8"/>
    </row>
    <row r="26868">
      <c r="C26868" s="15"/>
      <c r="E26868" s="8"/>
      <c r="G26868" s="8"/>
      <c r="J26868" s="8"/>
    </row>
    <row r="26869">
      <c r="C26869" s="15"/>
      <c r="E26869" s="8"/>
      <c r="G26869" s="8"/>
      <c r="J26869" s="8"/>
    </row>
    <row r="26870">
      <c r="C26870" s="15"/>
      <c r="E26870" s="8"/>
      <c r="G26870" s="8"/>
      <c r="J26870" s="8"/>
    </row>
    <row r="26871">
      <c r="C26871" s="15"/>
      <c r="E26871" s="8"/>
      <c r="G26871" s="8"/>
      <c r="J26871" s="8"/>
    </row>
    <row r="26872">
      <c r="C26872" s="15"/>
      <c r="E26872" s="8"/>
      <c r="G26872" s="8"/>
      <c r="J26872" s="8"/>
    </row>
    <row r="26873">
      <c r="C26873" s="15"/>
      <c r="E26873" s="8"/>
      <c r="G26873" s="8"/>
      <c r="J26873" s="8"/>
    </row>
    <row r="26874">
      <c r="C26874" s="15"/>
      <c r="E26874" s="8"/>
      <c r="G26874" s="8"/>
      <c r="J26874" s="8"/>
    </row>
    <row r="26875">
      <c r="C26875" s="15"/>
      <c r="E26875" s="8"/>
      <c r="G26875" s="8"/>
      <c r="J26875" s="8"/>
    </row>
    <row r="26876">
      <c r="C26876" s="15"/>
      <c r="E26876" s="8"/>
      <c r="G26876" s="8"/>
      <c r="J26876" s="8"/>
    </row>
    <row r="26877">
      <c r="C26877" s="15"/>
      <c r="E26877" s="8"/>
      <c r="G26877" s="8"/>
      <c r="J26877" s="8"/>
    </row>
    <row r="26878">
      <c r="C26878" s="15"/>
      <c r="E26878" s="8"/>
      <c r="G26878" s="8"/>
      <c r="J26878" s="8"/>
    </row>
    <row r="26879">
      <c r="C26879" s="15"/>
      <c r="E26879" s="8"/>
      <c r="G26879" s="8"/>
      <c r="J26879" s="8"/>
    </row>
    <row r="26880">
      <c r="C26880" s="15"/>
      <c r="E26880" s="8"/>
      <c r="G26880" s="8"/>
      <c r="J26880" s="8"/>
    </row>
    <row r="26881">
      <c r="C26881" s="15"/>
      <c r="E26881" s="8"/>
      <c r="G26881" s="8"/>
      <c r="J26881" s="8"/>
    </row>
    <row r="26882">
      <c r="C26882" s="15"/>
      <c r="E26882" s="8"/>
      <c r="G26882" s="8"/>
      <c r="J26882" s="8"/>
    </row>
    <row r="26883">
      <c r="C26883" s="15"/>
      <c r="E26883" s="8"/>
      <c r="G26883" s="8"/>
      <c r="J26883" s="8"/>
    </row>
    <row r="26884">
      <c r="C26884" s="15"/>
      <c r="E26884" s="8"/>
      <c r="G26884" s="8"/>
      <c r="J26884" s="8"/>
    </row>
    <row r="26885">
      <c r="C26885" s="15"/>
      <c r="E26885" s="8"/>
      <c r="G26885" s="8"/>
      <c r="J26885" s="8"/>
    </row>
    <row r="26886">
      <c r="C26886" s="15"/>
      <c r="E26886" s="8"/>
      <c r="G26886" s="8"/>
      <c r="J26886" s="8"/>
    </row>
    <row r="26887">
      <c r="C26887" s="15"/>
      <c r="E26887" s="8"/>
      <c r="G26887" s="8"/>
      <c r="J26887" s="8"/>
    </row>
    <row r="26888">
      <c r="C26888" s="15"/>
      <c r="E26888" s="8"/>
      <c r="G26888" s="8"/>
      <c r="J26888" s="8"/>
    </row>
    <row r="26889">
      <c r="C26889" s="15"/>
      <c r="E26889" s="8"/>
      <c r="G26889" s="8"/>
      <c r="J26889" s="8"/>
    </row>
    <row r="26890">
      <c r="C26890" s="15"/>
      <c r="E26890" s="8"/>
      <c r="G26890" s="8"/>
      <c r="J26890" s="8"/>
    </row>
    <row r="26891">
      <c r="C26891" s="15"/>
      <c r="E26891" s="8"/>
      <c r="G26891" s="8"/>
      <c r="J26891" s="8"/>
    </row>
    <row r="26892">
      <c r="C26892" s="15"/>
      <c r="E26892" s="8"/>
      <c r="G26892" s="8"/>
      <c r="J26892" s="8"/>
    </row>
    <row r="26893">
      <c r="C26893" s="15"/>
      <c r="E26893" s="8"/>
      <c r="G26893" s="8"/>
      <c r="J26893" s="8"/>
    </row>
    <row r="26894">
      <c r="C26894" s="15"/>
      <c r="E26894" s="8"/>
      <c r="G26894" s="8"/>
      <c r="J26894" s="8"/>
    </row>
    <row r="26895">
      <c r="C26895" s="15"/>
      <c r="E26895" s="8"/>
      <c r="G26895" s="8"/>
      <c r="J26895" s="8"/>
    </row>
    <row r="26896">
      <c r="C26896" s="15"/>
      <c r="E26896" s="8"/>
      <c r="G26896" s="8"/>
      <c r="J26896" s="8"/>
    </row>
    <row r="26897">
      <c r="C26897" s="15"/>
      <c r="E26897" s="8"/>
      <c r="G26897" s="8"/>
      <c r="J26897" s="8"/>
    </row>
    <row r="26898">
      <c r="C26898" s="15"/>
      <c r="E26898" s="8"/>
      <c r="G26898" s="8"/>
      <c r="J26898" s="8"/>
    </row>
    <row r="26899">
      <c r="C26899" s="15"/>
      <c r="E26899" s="8"/>
      <c r="G26899" s="8"/>
      <c r="J26899" s="8"/>
    </row>
    <row r="26900">
      <c r="C26900" s="15"/>
      <c r="E26900" s="8"/>
      <c r="G26900" s="8"/>
      <c r="J26900" s="8"/>
    </row>
    <row r="26901">
      <c r="C26901" s="15"/>
      <c r="E26901" s="8"/>
      <c r="G26901" s="8"/>
      <c r="J26901" s="8"/>
    </row>
    <row r="26902">
      <c r="C26902" s="15"/>
      <c r="E26902" s="8"/>
      <c r="G26902" s="8"/>
      <c r="J26902" s="8"/>
    </row>
    <row r="26903">
      <c r="C26903" s="15"/>
      <c r="E26903" s="8"/>
      <c r="G26903" s="8"/>
      <c r="J26903" s="8"/>
    </row>
    <row r="26904">
      <c r="C26904" s="15"/>
      <c r="E26904" s="8"/>
      <c r="G26904" s="8"/>
      <c r="J26904" s="8"/>
    </row>
    <row r="26905">
      <c r="C26905" s="15"/>
      <c r="E26905" s="8"/>
      <c r="G26905" s="8"/>
      <c r="J26905" s="8"/>
    </row>
    <row r="26906">
      <c r="C26906" s="15"/>
      <c r="E26906" s="8"/>
      <c r="G26906" s="8"/>
      <c r="J26906" s="8"/>
    </row>
    <row r="26907">
      <c r="C26907" s="15"/>
      <c r="E26907" s="8"/>
      <c r="G26907" s="8"/>
      <c r="J26907" s="8"/>
    </row>
    <row r="26908">
      <c r="C26908" s="15"/>
      <c r="E26908" s="8"/>
      <c r="G26908" s="8"/>
      <c r="J26908" s="8"/>
    </row>
    <row r="26909">
      <c r="C26909" s="15"/>
      <c r="E26909" s="8"/>
      <c r="G26909" s="8"/>
      <c r="J26909" s="8"/>
    </row>
    <row r="26910">
      <c r="C26910" s="15"/>
      <c r="E26910" s="8"/>
      <c r="G26910" s="8"/>
      <c r="J26910" s="8"/>
    </row>
    <row r="26911">
      <c r="C26911" s="15"/>
      <c r="E26911" s="8"/>
      <c r="G26911" s="8"/>
      <c r="J26911" s="8"/>
    </row>
    <row r="26912">
      <c r="C26912" s="15"/>
      <c r="E26912" s="8"/>
      <c r="G26912" s="8"/>
      <c r="J26912" s="8"/>
    </row>
    <row r="26913">
      <c r="C26913" s="15"/>
      <c r="E26913" s="8"/>
      <c r="G26913" s="8"/>
      <c r="J26913" s="8"/>
    </row>
    <row r="26914">
      <c r="C26914" s="15"/>
      <c r="E26914" s="8"/>
      <c r="G26914" s="8"/>
      <c r="J26914" s="8"/>
    </row>
    <row r="26915">
      <c r="C26915" s="15"/>
      <c r="E26915" s="8"/>
      <c r="G26915" s="8"/>
      <c r="J26915" s="8"/>
    </row>
    <row r="26916">
      <c r="C26916" s="15"/>
      <c r="E26916" s="8"/>
      <c r="G26916" s="8"/>
      <c r="J26916" s="8"/>
    </row>
    <row r="26917">
      <c r="C26917" s="15"/>
      <c r="E26917" s="8"/>
      <c r="G26917" s="8"/>
      <c r="J26917" s="8"/>
    </row>
    <row r="26918">
      <c r="C26918" s="15"/>
      <c r="E26918" s="8"/>
      <c r="G26918" s="8"/>
      <c r="J26918" s="8"/>
    </row>
    <row r="26919">
      <c r="C26919" s="15"/>
      <c r="E26919" s="8"/>
      <c r="G26919" s="8"/>
      <c r="J26919" s="8"/>
    </row>
    <row r="26920">
      <c r="C26920" s="15"/>
      <c r="E26920" s="8"/>
      <c r="G26920" s="8"/>
      <c r="J26920" s="8"/>
    </row>
    <row r="26921">
      <c r="C26921" s="15"/>
      <c r="E26921" s="8"/>
      <c r="G26921" s="8"/>
      <c r="J26921" s="8"/>
    </row>
    <row r="26922">
      <c r="C26922" s="15"/>
      <c r="E26922" s="8"/>
      <c r="G26922" s="8"/>
      <c r="J26922" s="8"/>
    </row>
    <row r="26923">
      <c r="C26923" s="15"/>
      <c r="E26923" s="8"/>
      <c r="G26923" s="8"/>
      <c r="J26923" s="8"/>
    </row>
    <row r="26924">
      <c r="C26924" s="15"/>
      <c r="E26924" s="8"/>
      <c r="G26924" s="8"/>
      <c r="J26924" s="8"/>
    </row>
    <row r="26925">
      <c r="C26925" s="15"/>
      <c r="E26925" s="8"/>
      <c r="G26925" s="8"/>
      <c r="J26925" s="8"/>
    </row>
    <row r="26926">
      <c r="C26926" s="15"/>
      <c r="E26926" s="8"/>
      <c r="G26926" s="8"/>
      <c r="J26926" s="8"/>
    </row>
    <row r="26927">
      <c r="C26927" s="15"/>
      <c r="E26927" s="8"/>
      <c r="G26927" s="8"/>
      <c r="J26927" s="8"/>
    </row>
    <row r="26928">
      <c r="C26928" s="15"/>
      <c r="E26928" s="8"/>
      <c r="G26928" s="8"/>
      <c r="J26928" s="8"/>
    </row>
    <row r="26929">
      <c r="C26929" s="15"/>
      <c r="E26929" s="8"/>
      <c r="G26929" s="8"/>
      <c r="J26929" s="8"/>
    </row>
    <row r="26930">
      <c r="C26930" s="15"/>
      <c r="E26930" s="8"/>
      <c r="G26930" s="8"/>
      <c r="J26930" s="8"/>
    </row>
    <row r="26931">
      <c r="C26931" s="15"/>
      <c r="E26931" s="8"/>
      <c r="G26931" s="8"/>
      <c r="J26931" s="8"/>
    </row>
    <row r="26932">
      <c r="C26932" s="15"/>
      <c r="E26932" s="8"/>
      <c r="G26932" s="8"/>
      <c r="J26932" s="8"/>
    </row>
    <row r="26933">
      <c r="C26933" s="15"/>
      <c r="E26933" s="8"/>
      <c r="G26933" s="8"/>
      <c r="J26933" s="8"/>
    </row>
    <row r="26934">
      <c r="C26934" s="15"/>
      <c r="E26934" s="8"/>
      <c r="G26934" s="8"/>
      <c r="J26934" s="8"/>
    </row>
    <row r="26935">
      <c r="C26935" s="15"/>
      <c r="E26935" s="8"/>
      <c r="G26935" s="8"/>
      <c r="J26935" s="8"/>
    </row>
    <row r="26936">
      <c r="C26936" s="15"/>
      <c r="E26936" s="8"/>
      <c r="G26936" s="8"/>
      <c r="J26936" s="8"/>
    </row>
    <row r="26937">
      <c r="C26937" s="15"/>
      <c r="E26937" s="8"/>
      <c r="G26937" s="8"/>
      <c r="J26937" s="8"/>
    </row>
    <row r="26938">
      <c r="C26938" s="15"/>
      <c r="E26938" s="8"/>
      <c r="G26938" s="8"/>
      <c r="J26938" s="8"/>
    </row>
    <row r="26939">
      <c r="C26939" s="15"/>
      <c r="E26939" s="8"/>
      <c r="G26939" s="8"/>
      <c r="J26939" s="8"/>
    </row>
    <row r="26940">
      <c r="C26940" s="15"/>
      <c r="E26940" s="8"/>
      <c r="G26940" s="8"/>
      <c r="J26940" s="8"/>
    </row>
    <row r="26941">
      <c r="C26941" s="15"/>
      <c r="E26941" s="8"/>
      <c r="G26941" s="8"/>
      <c r="J26941" s="8"/>
    </row>
    <row r="26942">
      <c r="C26942" s="15"/>
      <c r="E26942" s="8"/>
      <c r="G26942" s="8"/>
      <c r="J26942" s="8"/>
    </row>
    <row r="26943">
      <c r="C26943" s="15"/>
      <c r="E26943" s="8"/>
      <c r="G26943" s="8"/>
      <c r="J26943" s="8"/>
    </row>
    <row r="26944">
      <c r="C26944" s="15"/>
      <c r="E26944" s="8"/>
      <c r="G26944" s="8"/>
      <c r="J26944" s="8"/>
    </row>
    <row r="26945">
      <c r="C26945" s="15"/>
      <c r="E26945" s="8"/>
      <c r="G26945" s="8"/>
      <c r="J26945" s="8"/>
    </row>
    <row r="26946">
      <c r="C26946" s="15"/>
      <c r="E26946" s="8"/>
      <c r="G26946" s="8"/>
      <c r="J26946" s="8"/>
    </row>
    <row r="26947">
      <c r="C26947" s="15"/>
      <c r="E26947" s="8"/>
      <c r="G26947" s="8"/>
      <c r="J26947" s="8"/>
    </row>
    <row r="26948">
      <c r="C26948" s="15"/>
      <c r="E26948" s="8"/>
      <c r="G26948" s="8"/>
      <c r="J26948" s="8"/>
    </row>
    <row r="26949">
      <c r="C26949" s="15"/>
      <c r="E26949" s="8"/>
      <c r="G26949" s="8"/>
      <c r="J26949" s="8"/>
    </row>
    <row r="26950">
      <c r="C26950" s="15"/>
      <c r="E26950" s="8"/>
      <c r="G26950" s="8"/>
      <c r="J26950" s="8"/>
    </row>
    <row r="26951">
      <c r="C26951" s="15"/>
      <c r="E26951" s="8"/>
      <c r="G26951" s="8"/>
      <c r="J26951" s="8"/>
    </row>
    <row r="26952">
      <c r="C26952" s="15"/>
      <c r="E26952" s="8"/>
      <c r="G26952" s="8"/>
      <c r="J26952" s="8"/>
    </row>
    <row r="26953">
      <c r="C26953" s="15"/>
      <c r="E26953" s="8"/>
      <c r="G26953" s="8"/>
      <c r="J26953" s="8"/>
    </row>
    <row r="26954">
      <c r="C26954" s="15"/>
      <c r="E26954" s="8"/>
      <c r="G26954" s="8"/>
      <c r="J26954" s="8"/>
    </row>
    <row r="26955">
      <c r="C26955" s="15"/>
      <c r="E26955" s="8"/>
      <c r="G26955" s="8"/>
      <c r="J26955" s="8"/>
    </row>
    <row r="26956">
      <c r="C26956" s="15"/>
      <c r="E26956" s="8"/>
      <c r="G26956" s="8"/>
      <c r="J26956" s="8"/>
    </row>
    <row r="26957">
      <c r="C26957" s="15"/>
      <c r="E26957" s="8"/>
      <c r="G26957" s="8"/>
      <c r="J26957" s="8"/>
    </row>
    <row r="26958">
      <c r="C26958" s="15"/>
      <c r="E26958" s="8"/>
      <c r="G26958" s="8"/>
      <c r="J26958" s="8"/>
    </row>
    <row r="26959">
      <c r="C26959" s="15"/>
      <c r="E26959" s="8"/>
      <c r="G26959" s="8"/>
      <c r="J26959" s="8"/>
    </row>
    <row r="26960">
      <c r="C26960" s="15"/>
      <c r="E26960" s="8"/>
      <c r="G26960" s="8"/>
      <c r="J26960" s="8"/>
    </row>
    <row r="26961">
      <c r="C26961" s="15"/>
      <c r="E26961" s="8"/>
      <c r="G26961" s="8"/>
      <c r="J26961" s="8"/>
    </row>
    <row r="26962">
      <c r="C26962" s="15"/>
      <c r="E26962" s="8"/>
      <c r="G26962" s="8"/>
      <c r="J26962" s="8"/>
    </row>
    <row r="26963">
      <c r="C26963" s="15"/>
      <c r="E26963" s="8"/>
      <c r="G26963" s="8"/>
      <c r="J26963" s="8"/>
    </row>
    <row r="26964">
      <c r="C26964" s="15"/>
      <c r="E26964" s="8"/>
      <c r="G26964" s="8"/>
      <c r="J26964" s="8"/>
    </row>
    <row r="26965">
      <c r="C26965" s="15"/>
      <c r="E26965" s="8"/>
      <c r="G26965" s="8"/>
      <c r="J26965" s="8"/>
    </row>
    <row r="26966">
      <c r="C26966" s="15"/>
      <c r="E26966" s="8"/>
      <c r="G26966" s="8"/>
      <c r="J26966" s="8"/>
    </row>
    <row r="26967">
      <c r="C26967" s="15"/>
      <c r="E26967" s="8"/>
      <c r="G26967" s="8"/>
      <c r="J26967" s="8"/>
    </row>
    <row r="26968">
      <c r="C26968" s="15"/>
      <c r="E26968" s="8"/>
      <c r="G26968" s="8"/>
      <c r="J26968" s="8"/>
    </row>
    <row r="26969">
      <c r="C26969" s="15"/>
      <c r="E26969" s="8"/>
      <c r="G26969" s="8"/>
      <c r="J26969" s="8"/>
    </row>
    <row r="26970">
      <c r="C26970" s="15"/>
      <c r="E26970" s="8"/>
      <c r="G26970" s="8"/>
      <c r="J26970" s="8"/>
    </row>
    <row r="26971">
      <c r="C26971" s="15"/>
      <c r="E26971" s="8"/>
      <c r="G26971" s="8"/>
      <c r="J26971" s="8"/>
    </row>
    <row r="26972">
      <c r="C26972" s="15"/>
      <c r="E26972" s="8"/>
      <c r="G26972" s="8"/>
      <c r="J26972" s="8"/>
    </row>
    <row r="26973">
      <c r="C26973" s="15"/>
      <c r="E26973" s="8"/>
      <c r="G26973" s="8"/>
      <c r="J26973" s="8"/>
    </row>
    <row r="26974">
      <c r="C26974" s="15"/>
      <c r="E26974" s="8"/>
      <c r="G26974" s="8"/>
      <c r="J26974" s="8"/>
    </row>
    <row r="26975">
      <c r="C26975" s="15"/>
      <c r="E26975" s="8"/>
      <c r="G26975" s="8"/>
      <c r="J26975" s="8"/>
    </row>
    <row r="26976">
      <c r="C26976" s="15"/>
      <c r="E26976" s="8"/>
      <c r="G26976" s="8"/>
      <c r="J26976" s="8"/>
    </row>
    <row r="26977">
      <c r="C26977" s="15"/>
      <c r="E26977" s="8"/>
      <c r="G26977" s="8"/>
      <c r="J26977" s="8"/>
    </row>
    <row r="26978">
      <c r="C26978" s="15"/>
      <c r="E26978" s="8"/>
      <c r="G26978" s="8"/>
      <c r="J26978" s="8"/>
    </row>
    <row r="26979">
      <c r="C26979" s="15"/>
      <c r="E26979" s="8"/>
      <c r="G26979" s="8"/>
      <c r="J26979" s="8"/>
    </row>
    <row r="26980">
      <c r="C26980" s="15"/>
      <c r="E26980" s="8"/>
      <c r="G26980" s="8"/>
      <c r="J26980" s="8"/>
    </row>
    <row r="26981">
      <c r="C26981" s="15"/>
      <c r="E26981" s="8"/>
      <c r="G26981" s="8"/>
      <c r="J26981" s="8"/>
    </row>
    <row r="26982">
      <c r="C26982" s="15"/>
      <c r="E26982" s="8"/>
      <c r="G26982" s="8"/>
      <c r="J26982" s="8"/>
    </row>
    <row r="26983">
      <c r="C26983" s="15"/>
      <c r="E26983" s="8"/>
      <c r="G26983" s="8"/>
      <c r="J26983" s="8"/>
    </row>
    <row r="26984">
      <c r="C26984" s="15"/>
      <c r="E26984" s="8"/>
      <c r="G26984" s="8"/>
      <c r="J26984" s="8"/>
    </row>
    <row r="26985">
      <c r="C26985" s="15"/>
      <c r="E26985" s="8"/>
      <c r="G26985" s="8"/>
      <c r="J26985" s="8"/>
    </row>
    <row r="26986">
      <c r="C26986" s="15"/>
      <c r="E26986" s="8"/>
      <c r="G26986" s="8"/>
      <c r="J26986" s="8"/>
    </row>
    <row r="26987">
      <c r="C26987" s="15"/>
      <c r="E26987" s="8"/>
      <c r="G26987" s="8"/>
      <c r="J26987" s="8"/>
    </row>
    <row r="26988">
      <c r="C26988" s="15"/>
      <c r="E26988" s="8"/>
      <c r="G26988" s="8"/>
      <c r="J26988" s="8"/>
    </row>
    <row r="26989">
      <c r="C26989" s="15"/>
      <c r="E26989" s="8"/>
      <c r="G26989" s="8"/>
      <c r="J26989" s="8"/>
    </row>
    <row r="26990">
      <c r="C26990" s="15"/>
      <c r="E26990" s="8"/>
      <c r="G26990" s="8"/>
      <c r="J26990" s="8"/>
    </row>
    <row r="26991">
      <c r="C26991" s="15"/>
      <c r="E26991" s="8"/>
      <c r="G26991" s="8"/>
      <c r="J26991" s="8"/>
    </row>
    <row r="26992">
      <c r="C26992" s="15"/>
      <c r="E26992" s="8"/>
      <c r="G26992" s="8"/>
      <c r="J26992" s="8"/>
    </row>
    <row r="26993">
      <c r="C26993" s="15"/>
      <c r="E26993" s="8"/>
      <c r="G26993" s="8"/>
      <c r="J26993" s="8"/>
    </row>
    <row r="26994">
      <c r="C26994" s="15"/>
      <c r="E26994" s="8"/>
      <c r="G26994" s="8"/>
      <c r="J26994" s="8"/>
    </row>
    <row r="26995">
      <c r="C26995" s="15"/>
      <c r="E26995" s="8"/>
      <c r="G26995" s="8"/>
      <c r="J26995" s="8"/>
    </row>
    <row r="26996">
      <c r="C26996" s="15"/>
      <c r="E26996" s="8"/>
      <c r="G26996" s="8"/>
      <c r="J26996" s="8"/>
    </row>
    <row r="26997">
      <c r="C26997" s="15"/>
      <c r="E26997" s="8"/>
      <c r="G26997" s="8"/>
      <c r="J26997" s="8"/>
    </row>
    <row r="26998">
      <c r="C26998" s="15"/>
      <c r="E26998" s="8"/>
      <c r="G26998" s="8"/>
      <c r="J26998" s="8"/>
    </row>
    <row r="26999">
      <c r="C26999" s="15"/>
      <c r="E26999" s="8"/>
      <c r="G26999" s="8"/>
      <c r="J26999" s="8"/>
    </row>
    <row r="27000">
      <c r="C27000" s="15"/>
      <c r="E27000" s="8"/>
      <c r="G27000" s="8"/>
      <c r="J27000" s="8"/>
    </row>
    <row r="27001">
      <c r="C27001" s="15"/>
      <c r="E27001" s="8"/>
      <c r="G27001" s="8"/>
      <c r="J27001" s="8"/>
    </row>
    <row r="27002">
      <c r="C27002" s="15"/>
      <c r="E27002" s="8"/>
      <c r="G27002" s="8"/>
      <c r="J27002" s="8"/>
    </row>
    <row r="27003">
      <c r="C27003" s="15"/>
      <c r="E27003" s="8"/>
      <c r="G27003" s="8"/>
      <c r="J27003" s="8"/>
    </row>
    <row r="27004">
      <c r="C27004" s="15"/>
      <c r="E27004" s="8"/>
      <c r="G27004" s="8"/>
      <c r="J27004" s="8"/>
    </row>
    <row r="27005">
      <c r="C27005" s="15"/>
      <c r="E27005" s="8"/>
      <c r="G27005" s="8"/>
      <c r="J27005" s="8"/>
    </row>
    <row r="27006">
      <c r="C27006" s="15"/>
      <c r="E27006" s="8"/>
      <c r="G27006" s="8"/>
      <c r="J27006" s="8"/>
    </row>
    <row r="27007">
      <c r="C27007" s="15"/>
      <c r="E27007" s="8"/>
      <c r="G27007" s="8"/>
      <c r="J27007" s="8"/>
    </row>
    <row r="27008">
      <c r="C27008" s="15"/>
      <c r="E27008" s="8"/>
      <c r="G27008" s="8"/>
      <c r="J27008" s="8"/>
    </row>
    <row r="27009">
      <c r="C27009" s="15"/>
      <c r="E27009" s="8"/>
      <c r="G27009" s="8"/>
      <c r="J27009" s="8"/>
    </row>
    <row r="27010">
      <c r="C27010" s="15"/>
      <c r="E27010" s="8"/>
      <c r="G27010" s="8"/>
      <c r="J27010" s="8"/>
    </row>
    <row r="27011">
      <c r="C27011" s="15"/>
      <c r="E27011" s="8"/>
      <c r="G27011" s="8"/>
      <c r="J27011" s="8"/>
    </row>
    <row r="27012">
      <c r="C27012" s="15"/>
      <c r="E27012" s="8"/>
      <c r="G27012" s="8"/>
      <c r="J27012" s="8"/>
    </row>
    <row r="27013">
      <c r="C27013" s="15"/>
      <c r="E27013" s="8"/>
      <c r="G27013" s="8"/>
      <c r="J27013" s="8"/>
    </row>
    <row r="27014">
      <c r="C27014" s="15"/>
      <c r="E27014" s="8"/>
      <c r="G27014" s="8"/>
      <c r="J27014" s="8"/>
    </row>
    <row r="27015">
      <c r="C27015" s="15"/>
      <c r="E27015" s="8"/>
      <c r="G27015" s="8"/>
      <c r="J27015" s="8"/>
    </row>
    <row r="27016">
      <c r="C27016" s="15"/>
      <c r="E27016" s="8"/>
      <c r="G27016" s="8"/>
      <c r="J27016" s="8"/>
    </row>
    <row r="27017">
      <c r="C27017" s="15"/>
      <c r="E27017" s="8"/>
      <c r="G27017" s="8"/>
      <c r="J27017" s="8"/>
    </row>
    <row r="27018">
      <c r="C27018" s="15"/>
      <c r="E27018" s="8"/>
      <c r="G27018" s="8"/>
      <c r="J27018" s="8"/>
    </row>
    <row r="27019">
      <c r="C27019" s="15"/>
      <c r="E27019" s="8"/>
      <c r="G27019" s="8"/>
      <c r="J27019" s="8"/>
    </row>
    <row r="27020">
      <c r="C27020" s="15"/>
      <c r="E27020" s="8"/>
      <c r="G27020" s="8"/>
      <c r="J27020" s="8"/>
    </row>
    <row r="27021">
      <c r="C27021" s="15"/>
      <c r="E27021" s="8"/>
      <c r="G27021" s="8"/>
      <c r="J27021" s="8"/>
    </row>
    <row r="27022">
      <c r="C27022" s="15"/>
      <c r="E27022" s="8"/>
      <c r="G27022" s="8"/>
      <c r="J27022" s="8"/>
    </row>
    <row r="27023">
      <c r="C27023" s="15"/>
      <c r="E27023" s="8"/>
      <c r="G27023" s="8"/>
      <c r="J27023" s="8"/>
    </row>
    <row r="27024">
      <c r="C27024" s="15"/>
      <c r="E27024" s="8"/>
      <c r="G27024" s="8"/>
      <c r="J27024" s="8"/>
    </row>
    <row r="27025">
      <c r="C27025" s="15"/>
      <c r="E27025" s="8"/>
      <c r="G27025" s="8"/>
      <c r="J27025" s="8"/>
    </row>
    <row r="27026">
      <c r="C27026" s="15"/>
      <c r="E27026" s="8"/>
      <c r="G27026" s="8"/>
      <c r="J27026" s="8"/>
    </row>
    <row r="27027">
      <c r="C27027" s="15"/>
      <c r="E27027" s="8"/>
      <c r="G27027" s="8"/>
      <c r="J27027" s="8"/>
    </row>
    <row r="27028">
      <c r="C27028" s="15"/>
      <c r="E27028" s="8"/>
      <c r="G27028" s="8"/>
      <c r="J27028" s="8"/>
    </row>
    <row r="27029">
      <c r="C27029" s="15"/>
      <c r="E27029" s="8"/>
      <c r="G27029" s="8"/>
      <c r="J27029" s="8"/>
    </row>
    <row r="27030">
      <c r="C27030" s="15"/>
      <c r="E27030" s="8"/>
      <c r="G27030" s="8"/>
      <c r="J27030" s="8"/>
    </row>
    <row r="27031">
      <c r="C27031" s="15"/>
      <c r="E27031" s="8"/>
      <c r="G27031" s="8"/>
      <c r="J27031" s="8"/>
    </row>
    <row r="27032">
      <c r="C27032" s="15"/>
      <c r="E27032" s="8"/>
      <c r="G27032" s="8"/>
      <c r="J27032" s="8"/>
    </row>
    <row r="27033">
      <c r="C27033" s="15"/>
      <c r="E27033" s="8"/>
      <c r="G27033" s="8"/>
      <c r="J27033" s="8"/>
    </row>
    <row r="27034">
      <c r="C27034" s="15"/>
      <c r="E27034" s="8"/>
      <c r="G27034" s="8"/>
      <c r="J27034" s="8"/>
    </row>
    <row r="27035">
      <c r="C27035" s="15"/>
      <c r="E27035" s="8"/>
      <c r="G27035" s="8"/>
      <c r="J27035" s="8"/>
    </row>
    <row r="27036">
      <c r="C27036" s="15"/>
      <c r="E27036" s="8"/>
      <c r="G27036" s="8"/>
      <c r="J27036" s="8"/>
    </row>
    <row r="27037">
      <c r="C27037" s="15"/>
      <c r="E27037" s="8"/>
      <c r="G27037" s="8"/>
      <c r="J27037" s="8"/>
    </row>
    <row r="27038">
      <c r="C27038" s="15"/>
      <c r="E27038" s="8"/>
      <c r="G27038" s="8"/>
      <c r="J27038" s="8"/>
    </row>
    <row r="27039">
      <c r="C27039" s="15"/>
      <c r="E27039" s="8"/>
      <c r="G27039" s="8"/>
      <c r="J27039" s="8"/>
    </row>
    <row r="27040">
      <c r="C27040" s="15"/>
      <c r="E27040" s="8"/>
      <c r="G27040" s="8"/>
      <c r="J27040" s="8"/>
    </row>
    <row r="27041">
      <c r="C27041" s="15"/>
      <c r="E27041" s="8"/>
      <c r="G27041" s="8"/>
      <c r="J27041" s="8"/>
    </row>
    <row r="27042">
      <c r="C27042" s="15"/>
      <c r="E27042" s="8"/>
      <c r="G27042" s="8"/>
      <c r="J27042" s="8"/>
    </row>
    <row r="27043">
      <c r="C27043" s="15"/>
      <c r="E27043" s="8"/>
      <c r="G27043" s="8"/>
      <c r="J27043" s="8"/>
    </row>
    <row r="27044">
      <c r="C27044" s="15"/>
      <c r="E27044" s="8"/>
      <c r="G27044" s="8"/>
      <c r="J27044" s="8"/>
    </row>
    <row r="27045">
      <c r="C27045" s="15"/>
      <c r="E27045" s="8"/>
      <c r="G27045" s="8"/>
      <c r="J27045" s="8"/>
    </row>
    <row r="27046">
      <c r="C27046" s="15"/>
      <c r="E27046" s="8"/>
      <c r="G27046" s="8"/>
      <c r="J27046" s="8"/>
    </row>
    <row r="27047">
      <c r="C27047" s="15"/>
      <c r="E27047" s="8"/>
      <c r="G27047" s="8"/>
      <c r="J27047" s="8"/>
    </row>
    <row r="27048">
      <c r="C27048" s="15"/>
      <c r="E27048" s="8"/>
      <c r="G27048" s="8"/>
      <c r="J27048" s="8"/>
    </row>
    <row r="27049">
      <c r="C27049" s="15"/>
      <c r="E27049" s="8"/>
      <c r="G27049" s="8"/>
      <c r="J27049" s="8"/>
    </row>
    <row r="27050">
      <c r="C27050" s="15"/>
      <c r="E27050" s="8"/>
      <c r="G27050" s="8"/>
      <c r="J27050" s="8"/>
    </row>
    <row r="27051">
      <c r="C27051" s="15"/>
      <c r="E27051" s="8"/>
      <c r="G27051" s="8"/>
      <c r="J27051" s="8"/>
    </row>
    <row r="27052">
      <c r="C27052" s="15"/>
      <c r="E27052" s="8"/>
      <c r="G27052" s="8"/>
      <c r="J27052" s="8"/>
    </row>
    <row r="27053">
      <c r="C27053" s="15"/>
      <c r="E27053" s="8"/>
      <c r="G27053" s="8"/>
      <c r="J27053" s="8"/>
    </row>
    <row r="27054">
      <c r="C27054" s="15"/>
      <c r="E27054" s="8"/>
      <c r="G27054" s="8"/>
      <c r="J27054" s="8"/>
    </row>
    <row r="27055">
      <c r="C27055" s="15"/>
      <c r="E27055" s="8"/>
      <c r="G27055" s="8"/>
      <c r="J27055" s="8"/>
    </row>
    <row r="27056">
      <c r="C27056" s="15"/>
      <c r="E27056" s="8"/>
      <c r="G27056" s="8"/>
      <c r="J27056" s="8"/>
    </row>
    <row r="27057">
      <c r="C27057" s="15"/>
      <c r="E27057" s="8"/>
      <c r="G27057" s="8"/>
      <c r="J27057" s="8"/>
    </row>
    <row r="27058">
      <c r="C27058" s="15"/>
      <c r="E27058" s="8"/>
      <c r="G27058" s="8"/>
      <c r="J27058" s="8"/>
    </row>
    <row r="27059">
      <c r="C27059" s="15"/>
      <c r="E27059" s="8"/>
      <c r="G27059" s="8"/>
      <c r="J27059" s="8"/>
    </row>
    <row r="27060">
      <c r="C27060" s="15"/>
      <c r="E27060" s="8"/>
      <c r="G27060" s="8"/>
      <c r="J27060" s="8"/>
    </row>
    <row r="27061">
      <c r="C27061" s="15"/>
      <c r="E27061" s="8"/>
      <c r="G27061" s="8"/>
      <c r="J27061" s="8"/>
    </row>
    <row r="27062">
      <c r="C27062" s="15"/>
      <c r="E27062" s="8"/>
      <c r="G27062" s="8"/>
      <c r="J27062" s="8"/>
    </row>
    <row r="27063">
      <c r="C27063" s="15"/>
      <c r="E27063" s="8"/>
      <c r="G27063" s="8"/>
      <c r="J27063" s="8"/>
    </row>
    <row r="27064">
      <c r="C27064" s="15"/>
      <c r="E27064" s="8"/>
      <c r="G27064" s="8"/>
      <c r="J27064" s="8"/>
    </row>
    <row r="27065">
      <c r="C27065" s="15"/>
      <c r="E27065" s="8"/>
      <c r="G27065" s="8"/>
      <c r="J27065" s="8"/>
    </row>
    <row r="27066">
      <c r="C27066" s="15"/>
      <c r="E27066" s="8"/>
      <c r="G27066" s="8"/>
      <c r="J27066" s="8"/>
    </row>
    <row r="27067">
      <c r="C27067" s="15"/>
      <c r="E27067" s="8"/>
      <c r="G27067" s="8"/>
      <c r="J27067" s="8"/>
    </row>
    <row r="27068">
      <c r="C27068" s="15"/>
      <c r="E27068" s="8"/>
      <c r="G27068" s="8"/>
      <c r="J27068" s="8"/>
    </row>
    <row r="27069">
      <c r="C27069" s="15"/>
      <c r="E27069" s="8"/>
      <c r="G27069" s="8"/>
      <c r="J27069" s="8"/>
    </row>
    <row r="27070">
      <c r="C27070" s="15"/>
      <c r="E27070" s="8"/>
      <c r="G27070" s="8"/>
      <c r="J27070" s="8"/>
    </row>
    <row r="27071">
      <c r="C27071" s="15"/>
      <c r="E27071" s="8"/>
      <c r="G27071" s="8"/>
      <c r="J27071" s="8"/>
    </row>
    <row r="27072">
      <c r="C27072" s="15"/>
      <c r="E27072" s="8"/>
      <c r="G27072" s="8"/>
      <c r="J27072" s="8"/>
    </row>
    <row r="27073">
      <c r="C27073" s="15"/>
      <c r="E27073" s="8"/>
      <c r="G27073" s="8"/>
      <c r="J27073" s="8"/>
    </row>
    <row r="27074">
      <c r="C27074" s="15"/>
      <c r="E27074" s="8"/>
      <c r="G27074" s="8"/>
      <c r="J27074" s="8"/>
    </row>
    <row r="27075">
      <c r="C27075" s="15"/>
      <c r="E27075" s="8"/>
      <c r="G27075" s="8"/>
      <c r="J27075" s="8"/>
    </row>
    <row r="27076">
      <c r="C27076" s="15"/>
      <c r="E27076" s="8"/>
      <c r="G27076" s="8"/>
      <c r="J27076" s="8"/>
    </row>
    <row r="27077">
      <c r="C27077" s="15"/>
      <c r="E27077" s="8"/>
      <c r="G27077" s="8"/>
      <c r="J27077" s="8"/>
    </row>
    <row r="27078">
      <c r="C27078" s="15"/>
      <c r="E27078" s="8"/>
      <c r="G27078" s="8"/>
      <c r="J27078" s="8"/>
    </row>
    <row r="27079">
      <c r="C27079" s="15"/>
      <c r="E27079" s="8"/>
      <c r="G27079" s="8"/>
      <c r="J27079" s="8"/>
    </row>
    <row r="27080">
      <c r="C27080" s="15"/>
      <c r="E27080" s="8"/>
      <c r="G27080" s="8"/>
      <c r="J27080" s="8"/>
    </row>
    <row r="27081">
      <c r="C27081" s="15"/>
      <c r="E27081" s="8"/>
      <c r="G27081" s="8"/>
      <c r="J27081" s="8"/>
    </row>
    <row r="27082">
      <c r="C27082" s="15"/>
      <c r="E27082" s="8"/>
      <c r="G27082" s="8"/>
      <c r="J27082" s="8"/>
    </row>
    <row r="27083">
      <c r="C27083" s="15"/>
      <c r="E27083" s="8"/>
      <c r="G27083" s="8"/>
      <c r="J27083" s="8"/>
    </row>
    <row r="27084">
      <c r="C27084" s="15"/>
      <c r="E27084" s="8"/>
      <c r="G27084" s="8"/>
      <c r="J27084" s="8"/>
    </row>
    <row r="27085">
      <c r="C27085" s="15"/>
      <c r="E27085" s="8"/>
      <c r="G27085" s="8"/>
      <c r="J27085" s="8"/>
    </row>
    <row r="27086">
      <c r="C27086" s="15"/>
      <c r="E27086" s="8"/>
      <c r="G27086" s="8"/>
      <c r="J27086" s="8"/>
    </row>
    <row r="27087">
      <c r="C27087" s="15"/>
      <c r="E27087" s="8"/>
      <c r="G27087" s="8"/>
      <c r="J27087" s="8"/>
    </row>
    <row r="27088">
      <c r="C27088" s="15"/>
      <c r="E27088" s="8"/>
      <c r="G27088" s="8"/>
      <c r="J27088" s="8"/>
    </row>
    <row r="27089">
      <c r="C27089" s="15"/>
      <c r="E27089" s="8"/>
      <c r="G27089" s="8"/>
      <c r="J27089" s="8"/>
    </row>
    <row r="27090">
      <c r="C27090" s="15"/>
      <c r="E27090" s="8"/>
      <c r="G27090" s="8"/>
      <c r="J27090" s="8"/>
    </row>
    <row r="27091">
      <c r="C27091" s="15"/>
      <c r="E27091" s="8"/>
      <c r="G27091" s="8"/>
      <c r="J27091" s="8"/>
    </row>
    <row r="27092">
      <c r="C27092" s="15"/>
      <c r="E27092" s="8"/>
      <c r="G27092" s="8"/>
      <c r="J27092" s="8"/>
    </row>
    <row r="27093">
      <c r="C27093" s="15"/>
      <c r="E27093" s="8"/>
      <c r="G27093" s="8"/>
      <c r="J27093" s="8"/>
    </row>
    <row r="27094">
      <c r="C27094" s="15"/>
      <c r="E27094" s="8"/>
      <c r="G27094" s="8"/>
      <c r="J27094" s="8"/>
    </row>
    <row r="27095">
      <c r="C27095" s="15"/>
      <c r="E27095" s="8"/>
      <c r="G27095" s="8"/>
      <c r="J27095" s="8"/>
    </row>
    <row r="27096">
      <c r="C27096" s="15"/>
      <c r="E27096" s="8"/>
      <c r="G27096" s="8"/>
      <c r="J27096" s="8"/>
    </row>
    <row r="27097">
      <c r="C27097" s="15"/>
      <c r="E27097" s="8"/>
      <c r="G27097" s="8"/>
      <c r="J27097" s="8"/>
    </row>
    <row r="27098">
      <c r="C27098" s="15"/>
      <c r="E27098" s="8"/>
      <c r="G27098" s="8"/>
      <c r="J27098" s="8"/>
    </row>
    <row r="27099">
      <c r="C27099" s="15"/>
      <c r="E27099" s="8"/>
      <c r="G27099" s="8"/>
      <c r="J27099" s="8"/>
    </row>
    <row r="27100">
      <c r="C27100" s="15"/>
      <c r="E27100" s="8"/>
      <c r="G27100" s="8"/>
      <c r="J27100" s="8"/>
    </row>
    <row r="27101">
      <c r="C27101" s="15"/>
      <c r="E27101" s="8"/>
      <c r="G27101" s="8"/>
      <c r="J27101" s="8"/>
    </row>
    <row r="27102">
      <c r="C27102" s="15"/>
      <c r="E27102" s="8"/>
      <c r="G27102" s="8"/>
      <c r="J27102" s="8"/>
    </row>
    <row r="27103">
      <c r="C27103" s="15"/>
      <c r="E27103" s="8"/>
      <c r="G27103" s="8"/>
      <c r="J27103" s="8"/>
    </row>
    <row r="27104">
      <c r="C27104" s="15"/>
      <c r="E27104" s="8"/>
      <c r="G27104" s="8"/>
      <c r="J27104" s="8"/>
    </row>
    <row r="27105">
      <c r="C27105" s="15"/>
      <c r="E27105" s="8"/>
      <c r="G27105" s="8"/>
      <c r="J27105" s="8"/>
    </row>
    <row r="27106">
      <c r="C27106" s="15"/>
      <c r="E27106" s="8"/>
      <c r="G27106" s="8"/>
      <c r="J27106" s="8"/>
    </row>
    <row r="27107">
      <c r="C27107" s="15"/>
      <c r="E27107" s="8"/>
      <c r="G27107" s="8"/>
      <c r="J27107" s="8"/>
    </row>
    <row r="27108">
      <c r="C27108" s="15"/>
      <c r="E27108" s="8"/>
      <c r="G27108" s="8"/>
      <c r="J27108" s="8"/>
    </row>
    <row r="27109">
      <c r="C27109" s="15"/>
      <c r="E27109" s="8"/>
      <c r="G27109" s="8"/>
      <c r="J27109" s="8"/>
    </row>
    <row r="27110">
      <c r="C27110" s="15"/>
      <c r="E27110" s="8"/>
      <c r="G27110" s="8"/>
      <c r="J27110" s="8"/>
    </row>
    <row r="27111">
      <c r="C27111" s="15"/>
      <c r="E27111" s="8"/>
      <c r="G27111" s="8"/>
      <c r="J27111" s="8"/>
    </row>
    <row r="27112">
      <c r="C27112" s="15"/>
      <c r="E27112" s="8"/>
      <c r="G27112" s="8"/>
      <c r="J27112" s="8"/>
    </row>
    <row r="27113">
      <c r="C27113" s="15"/>
      <c r="E27113" s="8"/>
      <c r="G27113" s="8"/>
      <c r="J27113" s="8"/>
    </row>
    <row r="27114">
      <c r="C27114" s="15"/>
      <c r="E27114" s="8"/>
      <c r="G27114" s="8"/>
      <c r="J27114" s="8"/>
    </row>
    <row r="27115">
      <c r="C27115" s="15"/>
      <c r="E27115" s="8"/>
      <c r="G27115" s="8"/>
      <c r="J27115" s="8"/>
    </row>
    <row r="27116">
      <c r="C27116" s="15"/>
      <c r="E27116" s="8"/>
      <c r="G27116" s="8"/>
      <c r="J27116" s="8"/>
    </row>
    <row r="27117">
      <c r="C27117" s="15"/>
      <c r="E27117" s="8"/>
      <c r="G27117" s="8"/>
      <c r="J27117" s="8"/>
    </row>
    <row r="27118">
      <c r="C27118" s="15"/>
      <c r="E27118" s="8"/>
      <c r="G27118" s="8"/>
      <c r="J27118" s="8"/>
    </row>
    <row r="27119">
      <c r="C27119" s="15"/>
      <c r="E27119" s="8"/>
      <c r="G27119" s="8"/>
      <c r="J27119" s="8"/>
    </row>
    <row r="27120">
      <c r="C27120" s="15"/>
      <c r="E27120" s="8"/>
      <c r="G27120" s="8"/>
      <c r="J27120" s="8"/>
    </row>
    <row r="27121">
      <c r="C27121" s="15"/>
      <c r="E27121" s="8"/>
      <c r="G27121" s="8"/>
      <c r="J27121" s="8"/>
    </row>
    <row r="27122">
      <c r="C27122" s="15"/>
      <c r="E27122" s="8"/>
      <c r="G27122" s="8"/>
      <c r="J27122" s="8"/>
    </row>
    <row r="27123">
      <c r="C27123" s="15"/>
      <c r="E27123" s="8"/>
      <c r="G27123" s="8"/>
      <c r="J27123" s="8"/>
    </row>
    <row r="27124">
      <c r="C27124" s="15"/>
      <c r="E27124" s="8"/>
      <c r="G27124" s="8"/>
      <c r="J27124" s="8"/>
    </row>
    <row r="27125">
      <c r="C27125" s="15"/>
      <c r="E27125" s="8"/>
      <c r="G27125" s="8"/>
      <c r="J27125" s="8"/>
    </row>
    <row r="27126">
      <c r="C27126" s="15"/>
      <c r="E27126" s="8"/>
      <c r="G27126" s="8"/>
      <c r="J27126" s="8"/>
    </row>
    <row r="27127">
      <c r="C27127" s="15"/>
      <c r="E27127" s="8"/>
      <c r="G27127" s="8"/>
      <c r="J27127" s="8"/>
    </row>
    <row r="27128">
      <c r="C27128" s="15"/>
      <c r="E27128" s="8"/>
      <c r="G27128" s="8"/>
      <c r="J27128" s="8"/>
    </row>
    <row r="27129">
      <c r="C27129" s="15"/>
      <c r="E27129" s="8"/>
      <c r="G27129" s="8"/>
      <c r="J27129" s="8"/>
    </row>
    <row r="27130">
      <c r="C27130" s="15"/>
      <c r="E27130" s="8"/>
      <c r="G27130" s="8"/>
      <c r="J27130" s="8"/>
    </row>
    <row r="27131">
      <c r="C27131" s="15"/>
      <c r="E27131" s="8"/>
      <c r="G27131" s="8"/>
      <c r="J27131" s="8"/>
    </row>
    <row r="27132">
      <c r="C27132" s="15"/>
      <c r="E27132" s="8"/>
      <c r="G27132" s="8"/>
      <c r="J27132" s="8"/>
    </row>
    <row r="27133">
      <c r="C27133" s="15"/>
      <c r="E27133" s="8"/>
      <c r="G27133" s="8"/>
      <c r="J27133" s="8"/>
    </row>
    <row r="27134">
      <c r="C27134" s="15"/>
      <c r="E27134" s="8"/>
      <c r="G27134" s="8"/>
      <c r="J27134" s="8"/>
    </row>
    <row r="27135">
      <c r="C27135" s="15"/>
      <c r="E27135" s="8"/>
      <c r="G27135" s="8"/>
      <c r="J27135" s="8"/>
    </row>
    <row r="27136">
      <c r="C27136" s="15"/>
      <c r="E27136" s="8"/>
      <c r="G27136" s="8"/>
      <c r="J27136" s="8"/>
    </row>
    <row r="27137">
      <c r="C27137" s="15"/>
      <c r="E27137" s="8"/>
      <c r="G27137" s="8"/>
      <c r="J27137" s="8"/>
    </row>
    <row r="27138">
      <c r="C27138" s="15"/>
      <c r="E27138" s="8"/>
      <c r="G27138" s="8"/>
      <c r="J27138" s="8"/>
    </row>
    <row r="27139">
      <c r="C27139" s="15"/>
      <c r="E27139" s="8"/>
      <c r="G27139" s="8"/>
      <c r="J27139" s="8"/>
    </row>
    <row r="27140">
      <c r="C27140" s="15"/>
      <c r="E27140" s="8"/>
      <c r="G27140" s="8"/>
      <c r="J27140" s="8"/>
    </row>
    <row r="27141">
      <c r="C27141" s="15"/>
      <c r="E27141" s="8"/>
      <c r="G27141" s="8"/>
      <c r="J27141" s="8"/>
    </row>
    <row r="27142">
      <c r="C27142" s="15"/>
      <c r="E27142" s="8"/>
      <c r="G27142" s="8"/>
      <c r="J27142" s="8"/>
    </row>
    <row r="27143">
      <c r="C27143" s="15"/>
      <c r="E27143" s="8"/>
      <c r="G27143" s="8"/>
      <c r="J27143" s="8"/>
    </row>
    <row r="27144">
      <c r="C27144" s="15"/>
      <c r="E27144" s="8"/>
      <c r="G27144" s="8"/>
      <c r="J27144" s="8"/>
    </row>
    <row r="27145">
      <c r="C27145" s="15"/>
      <c r="E27145" s="8"/>
      <c r="G27145" s="8"/>
      <c r="J27145" s="8"/>
    </row>
    <row r="27146">
      <c r="C27146" s="15"/>
      <c r="E27146" s="8"/>
      <c r="G27146" s="8"/>
      <c r="J27146" s="8"/>
    </row>
    <row r="27147">
      <c r="C27147" s="15"/>
      <c r="E27147" s="8"/>
      <c r="G27147" s="8"/>
      <c r="J27147" s="8"/>
    </row>
    <row r="27148">
      <c r="C27148" s="15"/>
      <c r="E27148" s="8"/>
      <c r="G27148" s="8"/>
      <c r="J27148" s="8"/>
    </row>
    <row r="27149">
      <c r="C27149" s="15"/>
      <c r="E27149" s="8"/>
      <c r="G27149" s="8"/>
      <c r="J27149" s="8"/>
    </row>
    <row r="27150">
      <c r="C27150" s="15"/>
      <c r="E27150" s="8"/>
      <c r="G27150" s="8"/>
      <c r="J27150" s="8"/>
    </row>
    <row r="27151">
      <c r="C27151" s="15"/>
      <c r="E27151" s="8"/>
      <c r="G27151" s="8"/>
      <c r="J27151" s="8"/>
    </row>
    <row r="27152">
      <c r="C27152" s="15"/>
      <c r="E27152" s="8"/>
      <c r="G27152" s="8"/>
      <c r="J27152" s="8"/>
    </row>
    <row r="27153">
      <c r="C27153" s="15"/>
      <c r="E27153" s="8"/>
      <c r="G27153" s="8"/>
      <c r="J27153" s="8"/>
    </row>
    <row r="27154">
      <c r="C27154" s="15"/>
      <c r="E27154" s="8"/>
      <c r="G27154" s="8"/>
      <c r="J27154" s="8"/>
    </row>
    <row r="27155">
      <c r="C27155" s="15"/>
      <c r="E27155" s="8"/>
      <c r="G27155" s="8"/>
      <c r="J27155" s="8"/>
    </row>
    <row r="27156">
      <c r="C27156" s="15"/>
      <c r="E27156" s="8"/>
      <c r="G27156" s="8"/>
      <c r="J27156" s="8"/>
    </row>
    <row r="27157">
      <c r="C27157" s="15"/>
      <c r="E27157" s="8"/>
      <c r="G27157" s="8"/>
      <c r="J27157" s="8"/>
    </row>
    <row r="27158">
      <c r="C27158" s="15"/>
      <c r="E27158" s="8"/>
      <c r="G27158" s="8"/>
      <c r="J27158" s="8"/>
    </row>
    <row r="27159">
      <c r="C27159" s="15"/>
      <c r="E27159" s="8"/>
      <c r="G27159" s="8"/>
      <c r="J27159" s="8"/>
    </row>
    <row r="27160">
      <c r="C27160" s="15"/>
      <c r="E27160" s="8"/>
      <c r="G27160" s="8"/>
      <c r="J27160" s="8"/>
    </row>
    <row r="27161">
      <c r="C27161" s="15"/>
      <c r="E27161" s="8"/>
      <c r="G27161" s="8"/>
      <c r="J27161" s="8"/>
    </row>
    <row r="27162">
      <c r="C27162" s="15"/>
      <c r="E27162" s="8"/>
      <c r="G27162" s="8"/>
      <c r="J27162" s="8"/>
    </row>
    <row r="27163">
      <c r="C27163" s="15"/>
      <c r="E27163" s="8"/>
      <c r="G27163" s="8"/>
      <c r="J27163" s="8"/>
    </row>
    <row r="27164">
      <c r="C27164" s="15"/>
      <c r="E27164" s="8"/>
      <c r="G27164" s="8"/>
      <c r="J27164" s="8"/>
    </row>
    <row r="27165">
      <c r="C27165" s="15"/>
      <c r="E27165" s="8"/>
      <c r="G27165" s="8"/>
      <c r="J27165" s="8"/>
    </row>
    <row r="27166">
      <c r="C27166" s="15"/>
      <c r="E27166" s="8"/>
      <c r="G27166" s="8"/>
      <c r="J27166" s="8"/>
    </row>
    <row r="27167">
      <c r="C27167" s="15"/>
      <c r="E27167" s="8"/>
      <c r="G27167" s="8"/>
      <c r="J27167" s="8"/>
    </row>
    <row r="27168">
      <c r="C27168" s="15"/>
      <c r="E27168" s="8"/>
      <c r="G27168" s="8"/>
      <c r="J27168" s="8"/>
    </row>
    <row r="27169">
      <c r="C27169" s="15"/>
      <c r="E27169" s="8"/>
      <c r="G27169" s="8"/>
      <c r="J27169" s="8"/>
    </row>
    <row r="27170">
      <c r="C27170" s="15"/>
      <c r="E27170" s="8"/>
      <c r="G27170" s="8"/>
      <c r="J27170" s="8"/>
    </row>
    <row r="27171">
      <c r="C27171" s="15"/>
      <c r="E27171" s="8"/>
      <c r="G27171" s="8"/>
      <c r="J27171" s="8"/>
    </row>
    <row r="27172">
      <c r="C27172" s="15"/>
      <c r="E27172" s="8"/>
      <c r="G27172" s="8"/>
      <c r="J27172" s="8"/>
    </row>
    <row r="27173">
      <c r="C27173" s="15"/>
      <c r="E27173" s="8"/>
      <c r="G27173" s="8"/>
      <c r="J27173" s="8"/>
    </row>
    <row r="27174">
      <c r="C27174" s="15"/>
      <c r="E27174" s="8"/>
      <c r="G27174" s="8"/>
      <c r="J27174" s="8"/>
    </row>
    <row r="27175">
      <c r="C27175" s="15"/>
      <c r="E27175" s="8"/>
      <c r="G27175" s="8"/>
      <c r="J27175" s="8"/>
    </row>
    <row r="27176">
      <c r="C27176" s="15"/>
      <c r="E27176" s="8"/>
      <c r="G27176" s="8"/>
      <c r="J27176" s="8"/>
    </row>
    <row r="27177">
      <c r="C27177" s="15"/>
      <c r="E27177" s="8"/>
      <c r="G27177" s="8"/>
      <c r="J27177" s="8"/>
    </row>
    <row r="27178">
      <c r="C27178" s="15"/>
      <c r="E27178" s="8"/>
      <c r="G27178" s="8"/>
      <c r="J27178" s="8"/>
    </row>
    <row r="27179">
      <c r="C27179" s="15"/>
      <c r="E27179" s="8"/>
      <c r="G27179" s="8"/>
      <c r="J27179" s="8"/>
    </row>
    <row r="27180">
      <c r="C27180" s="15"/>
      <c r="E27180" s="8"/>
      <c r="G27180" s="8"/>
      <c r="J27180" s="8"/>
    </row>
    <row r="27181">
      <c r="C27181" s="15"/>
      <c r="E27181" s="8"/>
      <c r="G27181" s="8"/>
      <c r="J27181" s="8"/>
    </row>
    <row r="27182">
      <c r="C27182" s="15"/>
      <c r="E27182" s="8"/>
      <c r="G27182" s="8"/>
      <c r="J27182" s="8"/>
    </row>
    <row r="27183">
      <c r="C27183" s="15"/>
      <c r="E27183" s="8"/>
      <c r="G27183" s="8"/>
      <c r="J27183" s="8"/>
    </row>
    <row r="27184">
      <c r="C27184" s="15"/>
      <c r="E27184" s="8"/>
      <c r="G27184" s="8"/>
      <c r="J27184" s="8"/>
    </row>
    <row r="27185">
      <c r="C27185" s="15"/>
      <c r="E27185" s="8"/>
      <c r="G27185" s="8"/>
      <c r="J27185" s="8"/>
    </row>
    <row r="27186">
      <c r="C27186" s="15"/>
      <c r="E27186" s="8"/>
      <c r="G27186" s="8"/>
      <c r="J27186" s="8"/>
    </row>
    <row r="27187">
      <c r="C27187" s="15"/>
      <c r="E27187" s="8"/>
      <c r="G27187" s="8"/>
      <c r="J27187" s="8"/>
    </row>
    <row r="27188">
      <c r="C27188" s="15"/>
      <c r="E27188" s="8"/>
      <c r="G27188" s="8"/>
      <c r="J27188" s="8"/>
    </row>
    <row r="27189">
      <c r="C27189" s="15"/>
      <c r="E27189" s="8"/>
      <c r="G27189" s="8"/>
      <c r="J27189" s="8"/>
    </row>
    <row r="27190">
      <c r="C27190" s="15"/>
      <c r="E27190" s="8"/>
      <c r="G27190" s="8"/>
      <c r="J27190" s="8"/>
    </row>
    <row r="27191">
      <c r="C27191" s="15"/>
      <c r="E27191" s="8"/>
      <c r="G27191" s="8"/>
      <c r="J27191" s="8"/>
    </row>
    <row r="27192">
      <c r="C27192" s="15"/>
      <c r="E27192" s="8"/>
      <c r="G27192" s="8"/>
      <c r="J27192" s="8"/>
    </row>
    <row r="27193">
      <c r="C27193" s="15"/>
      <c r="E27193" s="8"/>
      <c r="G27193" s="8"/>
      <c r="J27193" s="8"/>
    </row>
    <row r="27194">
      <c r="C27194" s="15"/>
      <c r="E27194" s="8"/>
      <c r="G27194" s="8"/>
      <c r="J27194" s="8"/>
    </row>
    <row r="27195">
      <c r="C27195" s="15"/>
      <c r="E27195" s="8"/>
      <c r="G27195" s="8"/>
      <c r="J27195" s="8"/>
    </row>
    <row r="27196">
      <c r="C27196" s="15"/>
      <c r="E27196" s="8"/>
      <c r="G27196" s="8"/>
      <c r="J27196" s="8"/>
    </row>
    <row r="27197">
      <c r="C27197" s="15"/>
      <c r="E27197" s="8"/>
      <c r="G27197" s="8"/>
      <c r="J27197" s="8"/>
    </row>
    <row r="27198">
      <c r="C27198" s="15"/>
      <c r="E27198" s="8"/>
      <c r="G27198" s="8"/>
      <c r="J27198" s="8"/>
    </row>
    <row r="27199">
      <c r="C27199" s="15"/>
      <c r="E27199" s="8"/>
      <c r="G27199" s="8"/>
      <c r="J27199" s="8"/>
    </row>
    <row r="27200">
      <c r="C27200" s="15"/>
      <c r="E27200" s="8"/>
      <c r="G27200" s="8"/>
      <c r="J27200" s="8"/>
    </row>
    <row r="27201">
      <c r="C27201" s="15"/>
      <c r="E27201" s="8"/>
      <c r="G27201" s="8"/>
      <c r="J27201" s="8"/>
    </row>
    <row r="27202">
      <c r="C27202" s="15"/>
      <c r="E27202" s="8"/>
      <c r="G27202" s="8"/>
      <c r="J27202" s="8"/>
    </row>
    <row r="27203">
      <c r="C27203" s="15"/>
      <c r="E27203" s="8"/>
      <c r="G27203" s="8"/>
      <c r="J27203" s="8"/>
    </row>
    <row r="27204">
      <c r="C27204" s="15"/>
      <c r="E27204" s="8"/>
      <c r="G27204" s="8"/>
      <c r="J27204" s="8"/>
    </row>
    <row r="27205">
      <c r="C27205" s="15"/>
      <c r="E27205" s="8"/>
      <c r="G27205" s="8"/>
      <c r="J27205" s="8"/>
    </row>
    <row r="27206">
      <c r="C27206" s="15"/>
      <c r="E27206" s="8"/>
      <c r="G27206" s="8"/>
      <c r="J27206" s="8"/>
    </row>
    <row r="27207">
      <c r="C27207" s="15"/>
      <c r="E27207" s="8"/>
      <c r="G27207" s="8"/>
      <c r="J27207" s="8"/>
    </row>
    <row r="27208">
      <c r="C27208" s="15"/>
      <c r="E27208" s="8"/>
      <c r="G27208" s="8"/>
      <c r="J27208" s="8"/>
    </row>
    <row r="27209">
      <c r="C27209" s="15"/>
      <c r="E27209" s="8"/>
      <c r="G27209" s="8"/>
      <c r="J27209" s="8"/>
    </row>
    <row r="27210">
      <c r="C27210" s="15"/>
      <c r="E27210" s="8"/>
      <c r="G27210" s="8"/>
      <c r="J27210" s="8"/>
    </row>
    <row r="27211">
      <c r="C27211" s="15"/>
      <c r="E27211" s="8"/>
      <c r="G27211" s="8"/>
      <c r="J27211" s="8"/>
    </row>
    <row r="27212">
      <c r="C27212" s="15"/>
      <c r="E27212" s="8"/>
      <c r="G27212" s="8"/>
      <c r="J27212" s="8"/>
    </row>
    <row r="27213">
      <c r="C27213" s="15"/>
      <c r="E27213" s="8"/>
      <c r="G27213" s="8"/>
      <c r="J27213" s="8"/>
    </row>
    <row r="27214">
      <c r="C27214" s="15"/>
      <c r="E27214" s="8"/>
      <c r="G27214" s="8"/>
      <c r="J27214" s="8"/>
    </row>
    <row r="27215">
      <c r="C27215" s="15"/>
      <c r="E27215" s="8"/>
      <c r="G27215" s="8"/>
      <c r="J27215" s="8"/>
    </row>
    <row r="27216">
      <c r="C27216" s="15"/>
      <c r="E27216" s="8"/>
      <c r="G27216" s="8"/>
      <c r="J27216" s="8"/>
    </row>
    <row r="27217">
      <c r="C27217" s="15"/>
      <c r="E27217" s="8"/>
      <c r="G27217" s="8"/>
      <c r="J27217" s="8"/>
    </row>
    <row r="27218">
      <c r="C27218" s="15"/>
      <c r="E27218" s="8"/>
      <c r="G27218" s="8"/>
      <c r="J27218" s="8"/>
    </row>
    <row r="27219">
      <c r="C27219" s="15"/>
      <c r="E27219" s="8"/>
      <c r="G27219" s="8"/>
      <c r="J27219" s="8"/>
    </row>
    <row r="27220">
      <c r="C27220" s="15"/>
      <c r="E27220" s="8"/>
      <c r="G27220" s="8"/>
      <c r="J27220" s="8"/>
    </row>
    <row r="27221">
      <c r="C27221" s="15"/>
      <c r="E27221" s="8"/>
      <c r="G27221" s="8"/>
      <c r="J27221" s="8"/>
    </row>
    <row r="27222">
      <c r="C27222" s="15"/>
      <c r="E27222" s="8"/>
      <c r="G27222" s="8"/>
      <c r="J27222" s="8"/>
    </row>
    <row r="27223">
      <c r="C27223" s="15"/>
      <c r="E27223" s="8"/>
      <c r="G27223" s="8"/>
      <c r="J27223" s="8"/>
    </row>
    <row r="27224">
      <c r="C27224" s="15"/>
      <c r="E27224" s="8"/>
      <c r="G27224" s="8"/>
      <c r="J27224" s="8"/>
    </row>
    <row r="27225">
      <c r="C27225" s="15"/>
      <c r="E27225" s="8"/>
      <c r="G27225" s="8"/>
      <c r="J27225" s="8"/>
    </row>
    <row r="27226">
      <c r="C27226" s="15"/>
      <c r="E27226" s="8"/>
      <c r="G27226" s="8"/>
      <c r="J27226" s="8"/>
    </row>
    <row r="27227">
      <c r="C27227" s="15"/>
      <c r="E27227" s="8"/>
      <c r="G27227" s="8"/>
      <c r="J27227" s="8"/>
    </row>
    <row r="27228">
      <c r="C27228" s="15"/>
      <c r="E27228" s="8"/>
      <c r="G27228" s="8"/>
      <c r="J27228" s="8"/>
    </row>
    <row r="27229">
      <c r="C27229" s="15"/>
      <c r="E27229" s="8"/>
      <c r="G27229" s="8"/>
      <c r="J27229" s="8"/>
    </row>
    <row r="27230">
      <c r="C27230" s="15"/>
      <c r="E27230" s="8"/>
      <c r="G27230" s="8"/>
      <c r="J27230" s="8"/>
    </row>
    <row r="27231">
      <c r="C27231" s="15"/>
      <c r="E27231" s="8"/>
      <c r="G27231" s="8"/>
      <c r="J27231" s="8"/>
    </row>
    <row r="27232">
      <c r="C27232" s="15"/>
      <c r="E27232" s="8"/>
      <c r="G27232" s="8"/>
      <c r="J27232" s="8"/>
    </row>
    <row r="27233">
      <c r="C27233" s="15"/>
      <c r="E27233" s="8"/>
      <c r="G27233" s="8"/>
      <c r="J27233" s="8"/>
    </row>
    <row r="27234">
      <c r="C27234" s="15"/>
      <c r="E27234" s="8"/>
      <c r="G27234" s="8"/>
      <c r="J27234" s="8"/>
    </row>
    <row r="27235">
      <c r="C27235" s="15"/>
      <c r="E27235" s="8"/>
      <c r="G27235" s="8"/>
      <c r="J27235" s="8"/>
    </row>
    <row r="27236">
      <c r="C27236" s="15"/>
      <c r="E27236" s="8"/>
      <c r="G27236" s="8"/>
      <c r="J27236" s="8"/>
    </row>
    <row r="27237">
      <c r="C27237" s="15"/>
      <c r="E27237" s="8"/>
      <c r="G27237" s="8"/>
      <c r="J27237" s="8"/>
    </row>
    <row r="27238">
      <c r="C27238" s="15"/>
      <c r="E27238" s="8"/>
      <c r="G27238" s="8"/>
      <c r="J27238" s="8"/>
    </row>
    <row r="27239">
      <c r="C27239" s="15"/>
      <c r="E27239" s="8"/>
      <c r="G27239" s="8"/>
      <c r="J27239" s="8"/>
    </row>
    <row r="27240">
      <c r="C27240" s="15"/>
      <c r="E27240" s="8"/>
      <c r="G27240" s="8"/>
      <c r="J27240" s="8"/>
    </row>
    <row r="27241">
      <c r="C27241" s="15"/>
      <c r="E27241" s="8"/>
      <c r="G27241" s="8"/>
      <c r="J27241" s="8"/>
    </row>
    <row r="27242">
      <c r="C27242" s="15"/>
      <c r="E27242" s="8"/>
      <c r="G27242" s="8"/>
      <c r="J27242" s="8"/>
    </row>
    <row r="27243">
      <c r="C27243" s="15"/>
      <c r="E27243" s="8"/>
      <c r="G27243" s="8"/>
      <c r="J27243" s="8"/>
    </row>
    <row r="27244">
      <c r="C27244" s="15"/>
      <c r="E27244" s="8"/>
      <c r="G27244" s="8"/>
      <c r="J27244" s="8"/>
    </row>
    <row r="27245">
      <c r="C27245" s="15"/>
      <c r="E27245" s="8"/>
      <c r="G27245" s="8"/>
      <c r="J27245" s="8"/>
    </row>
    <row r="27246">
      <c r="C27246" s="15"/>
      <c r="E27246" s="8"/>
      <c r="G27246" s="8"/>
      <c r="J27246" s="8"/>
    </row>
    <row r="27247">
      <c r="C27247" s="15"/>
      <c r="E27247" s="8"/>
      <c r="G27247" s="8"/>
      <c r="J27247" s="8"/>
    </row>
    <row r="27248">
      <c r="C27248" s="15"/>
      <c r="E27248" s="8"/>
      <c r="G27248" s="8"/>
      <c r="J27248" s="8"/>
    </row>
    <row r="27249">
      <c r="C27249" s="15"/>
      <c r="E27249" s="8"/>
      <c r="G27249" s="8"/>
      <c r="J27249" s="8"/>
    </row>
    <row r="27250">
      <c r="C27250" s="15"/>
      <c r="E27250" s="8"/>
      <c r="G27250" s="8"/>
      <c r="J27250" s="8"/>
    </row>
    <row r="27251">
      <c r="C27251" s="15"/>
      <c r="E27251" s="8"/>
      <c r="G27251" s="8"/>
      <c r="J27251" s="8"/>
    </row>
    <row r="27252">
      <c r="C27252" s="15"/>
      <c r="E27252" s="8"/>
      <c r="G27252" s="8"/>
      <c r="J27252" s="8"/>
    </row>
    <row r="27253">
      <c r="C27253" s="15"/>
      <c r="E27253" s="8"/>
      <c r="G27253" s="8"/>
      <c r="J27253" s="8"/>
    </row>
    <row r="27254">
      <c r="C27254" s="15"/>
      <c r="E27254" s="8"/>
      <c r="G27254" s="8"/>
      <c r="J27254" s="8"/>
    </row>
    <row r="27255">
      <c r="C27255" s="15"/>
      <c r="E27255" s="8"/>
      <c r="G27255" s="8"/>
      <c r="J27255" s="8"/>
    </row>
    <row r="27256">
      <c r="C27256" s="15"/>
      <c r="E27256" s="8"/>
      <c r="G27256" s="8"/>
      <c r="J27256" s="8"/>
    </row>
    <row r="27257">
      <c r="C27257" s="15"/>
      <c r="E27257" s="8"/>
      <c r="G27257" s="8"/>
      <c r="J27257" s="8"/>
    </row>
    <row r="27258">
      <c r="C27258" s="15"/>
      <c r="E27258" s="8"/>
      <c r="G27258" s="8"/>
      <c r="J27258" s="8"/>
    </row>
    <row r="27259">
      <c r="C27259" s="15"/>
      <c r="E27259" s="8"/>
      <c r="G27259" s="8"/>
      <c r="J27259" s="8"/>
    </row>
    <row r="27260">
      <c r="C27260" s="15"/>
      <c r="E27260" s="8"/>
      <c r="G27260" s="8"/>
      <c r="J27260" s="8"/>
    </row>
    <row r="27261">
      <c r="C27261" s="15"/>
      <c r="E27261" s="8"/>
      <c r="G27261" s="8"/>
      <c r="J27261" s="8"/>
    </row>
    <row r="27262">
      <c r="C27262" s="15"/>
      <c r="E27262" s="8"/>
      <c r="G27262" s="8"/>
      <c r="J27262" s="8"/>
    </row>
    <row r="27263">
      <c r="C27263" s="15"/>
      <c r="E27263" s="8"/>
      <c r="G27263" s="8"/>
      <c r="J27263" s="8"/>
    </row>
    <row r="27264">
      <c r="C27264" s="15"/>
      <c r="E27264" s="8"/>
      <c r="G27264" s="8"/>
      <c r="J27264" s="8"/>
    </row>
    <row r="27265">
      <c r="C27265" s="15"/>
      <c r="E27265" s="8"/>
      <c r="G27265" s="8"/>
      <c r="J27265" s="8"/>
    </row>
    <row r="27266">
      <c r="C27266" s="15"/>
      <c r="E27266" s="8"/>
      <c r="G27266" s="8"/>
      <c r="J27266" s="8"/>
    </row>
    <row r="27267">
      <c r="C27267" s="15"/>
      <c r="E27267" s="8"/>
      <c r="G27267" s="8"/>
      <c r="J27267" s="8"/>
    </row>
    <row r="27268">
      <c r="C27268" s="15"/>
      <c r="E27268" s="8"/>
      <c r="G27268" s="8"/>
      <c r="J27268" s="8"/>
    </row>
    <row r="27269">
      <c r="C27269" s="15"/>
      <c r="E27269" s="8"/>
      <c r="G27269" s="8"/>
      <c r="J27269" s="8"/>
    </row>
    <row r="27270">
      <c r="C27270" s="15"/>
      <c r="E27270" s="8"/>
      <c r="G27270" s="8"/>
      <c r="J27270" s="8"/>
    </row>
    <row r="27271">
      <c r="C27271" s="15"/>
      <c r="E27271" s="8"/>
      <c r="G27271" s="8"/>
      <c r="J27271" s="8"/>
    </row>
    <row r="27272">
      <c r="C27272" s="15"/>
      <c r="E27272" s="8"/>
      <c r="G27272" s="8"/>
      <c r="J27272" s="8"/>
    </row>
    <row r="27273">
      <c r="C27273" s="15"/>
      <c r="E27273" s="8"/>
      <c r="G27273" s="8"/>
      <c r="J27273" s="8"/>
    </row>
    <row r="27274">
      <c r="C27274" s="15"/>
      <c r="E27274" s="8"/>
      <c r="G27274" s="8"/>
      <c r="J27274" s="8"/>
    </row>
    <row r="27275">
      <c r="C27275" s="15"/>
      <c r="E27275" s="8"/>
      <c r="G27275" s="8"/>
      <c r="J27275" s="8"/>
    </row>
    <row r="27276">
      <c r="C27276" s="15"/>
      <c r="E27276" s="8"/>
      <c r="G27276" s="8"/>
      <c r="J27276" s="8"/>
    </row>
    <row r="27277">
      <c r="C27277" s="15"/>
      <c r="E27277" s="8"/>
      <c r="G27277" s="8"/>
      <c r="J27277" s="8"/>
    </row>
    <row r="27278">
      <c r="C27278" s="15"/>
      <c r="E27278" s="8"/>
      <c r="G27278" s="8"/>
      <c r="J27278" s="8"/>
    </row>
    <row r="27279">
      <c r="C27279" s="15"/>
      <c r="E27279" s="8"/>
      <c r="G27279" s="8"/>
      <c r="J27279" s="8"/>
    </row>
    <row r="27280">
      <c r="C27280" s="15"/>
      <c r="E27280" s="8"/>
      <c r="G27280" s="8"/>
      <c r="J27280" s="8"/>
    </row>
    <row r="27281">
      <c r="C27281" s="15"/>
      <c r="E27281" s="8"/>
      <c r="G27281" s="8"/>
      <c r="J27281" s="8"/>
    </row>
    <row r="27282">
      <c r="C27282" s="15"/>
      <c r="E27282" s="8"/>
      <c r="G27282" s="8"/>
      <c r="J27282" s="8"/>
    </row>
    <row r="27283">
      <c r="C27283" s="15"/>
      <c r="E27283" s="8"/>
      <c r="G27283" s="8"/>
      <c r="J27283" s="8"/>
    </row>
    <row r="27284">
      <c r="C27284" s="15"/>
      <c r="E27284" s="8"/>
      <c r="G27284" s="8"/>
      <c r="J27284" s="8"/>
    </row>
    <row r="27285">
      <c r="C27285" s="15"/>
      <c r="E27285" s="8"/>
      <c r="G27285" s="8"/>
      <c r="J27285" s="8"/>
    </row>
    <row r="27286">
      <c r="C27286" s="15"/>
      <c r="E27286" s="8"/>
      <c r="G27286" s="8"/>
      <c r="J27286" s="8"/>
    </row>
    <row r="27287">
      <c r="C27287" s="15"/>
      <c r="E27287" s="8"/>
      <c r="G27287" s="8"/>
      <c r="J27287" s="8"/>
    </row>
    <row r="27288">
      <c r="C27288" s="15"/>
      <c r="E27288" s="8"/>
      <c r="G27288" s="8"/>
      <c r="J27288" s="8"/>
    </row>
    <row r="27289">
      <c r="C27289" s="15"/>
      <c r="E27289" s="8"/>
      <c r="G27289" s="8"/>
      <c r="J27289" s="8"/>
    </row>
    <row r="27290">
      <c r="C27290" s="15"/>
      <c r="E27290" s="8"/>
      <c r="G27290" s="8"/>
      <c r="J27290" s="8"/>
    </row>
    <row r="27291">
      <c r="C27291" s="15"/>
      <c r="E27291" s="8"/>
      <c r="G27291" s="8"/>
      <c r="J27291" s="8"/>
    </row>
    <row r="27292">
      <c r="C27292" s="15"/>
      <c r="E27292" s="8"/>
      <c r="G27292" s="8"/>
      <c r="J27292" s="8"/>
    </row>
    <row r="27293">
      <c r="C27293" s="15"/>
      <c r="E27293" s="8"/>
      <c r="G27293" s="8"/>
      <c r="J27293" s="8"/>
    </row>
    <row r="27294">
      <c r="C27294" s="15"/>
      <c r="E27294" s="8"/>
      <c r="G27294" s="8"/>
      <c r="J27294" s="8"/>
    </row>
    <row r="27295">
      <c r="C27295" s="15"/>
      <c r="E27295" s="8"/>
      <c r="G27295" s="8"/>
      <c r="J27295" s="8"/>
    </row>
    <row r="27296">
      <c r="C27296" s="15"/>
      <c r="E27296" s="8"/>
      <c r="G27296" s="8"/>
      <c r="J27296" s="8"/>
    </row>
    <row r="27297">
      <c r="C27297" s="15"/>
      <c r="E27297" s="8"/>
      <c r="G27297" s="8"/>
      <c r="J27297" s="8"/>
    </row>
    <row r="27298">
      <c r="C27298" s="15"/>
      <c r="E27298" s="8"/>
      <c r="G27298" s="8"/>
      <c r="J27298" s="8"/>
    </row>
    <row r="27299">
      <c r="C27299" s="15"/>
      <c r="E27299" s="8"/>
      <c r="G27299" s="8"/>
      <c r="J27299" s="8"/>
    </row>
    <row r="27300">
      <c r="C27300" s="15"/>
      <c r="E27300" s="8"/>
      <c r="G27300" s="8"/>
      <c r="J27300" s="8"/>
    </row>
    <row r="27301">
      <c r="C27301" s="15"/>
      <c r="E27301" s="8"/>
      <c r="G27301" s="8"/>
      <c r="J27301" s="8"/>
    </row>
    <row r="27302">
      <c r="C27302" s="15"/>
      <c r="E27302" s="8"/>
      <c r="G27302" s="8"/>
      <c r="J27302" s="8"/>
    </row>
    <row r="27303">
      <c r="C27303" s="15"/>
      <c r="E27303" s="8"/>
      <c r="G27303" s="8"/>
      <c r="J27303" s="8"/>
    </row>
    <row r="27304">
      <c r="C27304" s="15"/>
      <c r="E27304" s="8"/>
      <c r="G27304" s="8"/>
      <c r="J27304" s="8"/>
    </row>
    <row r="27305">
      <c r="C27305" s="15"/>
      <c r="E27305" s="8"/>
      <c r="G27305" s="8"/>
      <c r="J27305" s="8"/>
    </row>
    <row r="27306">
      <c r="C27306" s="15"/>
      <c r="E27306" s="8"/>
      <c r="G27306" s="8"/>
      <c r="J27306" s="8"/>
    </row>
    <row r="27307">
      <c r="C27307" s="15"/>
      <c r="E27307" s="8"/>
      <c r="G27307" s="8"/>
      <c r="J27307" s="8"/>
    </row>
    <row r="27308">
      <c r="C27308" s="15"/>
      <c r="E27308" s="8"/>
      <c r="G27308" s="8"/>
      <c r="J27308" s="8"/>
    </row>
    <row r="27309">
      <c r="C27309" s="15"/>
      <c r="E27309" s="8"/>
      <c r="G27309" s="8"/>
      <c r="J27309" s="8"/>
    </row>
    <row r="27310">
      <c r="C27310" s="15"/>
      <c r="E27310" s="8"/>
      <c r="G27310" s="8"/>
      <c r="J27310" s="8"/>
    </row>
    <row r="27311">
      <c r="C27311" s="15"/>
      <c r="E27311" s="8"/>
      <c r="G27311" s="8"/>
      <c r="J27311" s="8"/>
    </row>
    <row r="27312">
      <c r="C27312" s="15"/>
      <c r="E27312" s="8"/>
      <c r="G27312" s="8"/>
      <c r="J27312" s="8"/>
    </row>
    <row r="27313">
      <c r="C27313" s="15"/>
      <c r="E27313" s="8"/>
      <c r="G27313" s="8"/>
      <c r="J27313" s="8"/>
    </row>
    <row r="27314">
      <c r="C27314" s="15"/>
      <c r="E27314" s="8"/>
      <c r="G27314" s="8"/>
      <c r="J27314" s="8"/>
    </row>
    <row r="27315">
      <c r="C27315" s="15"/>
      <c r="E27315" s="8"/>
      <c r="G27315" s="8"/>
      <c r="J27315" s="8"/>
    </row>
    <row r="27316">
      <c r="C27316" s="15"/>
      <c r="E27316" s="8"/>
      <c r="G27316" s="8"/>
      <c r="J27316" s="8"/>
    </row>
    <row r="27317">
      <c r="C27317" s="15"/>
      <c r="E27317" s="8"/>
      <c r="G27317" s="8"/>
      <c r="J27317" s="8"/>
    </row>
    <row r="27318">
      <c r="C27318" s="15"/>
      <c r="E27318" s="8"/>
      <c r="G27318" s="8"/>
      <c r="J27318" s="8"/>
    </row>
    <row r="27319">
      <c r="C27319" s="15"/>
      <c r="E27319" s="8"/>
      <c r="G27319" s="8"/>
      <c r="J27319" s="8"/>
    </row>
    <row r="27320">
      <c r="C27320" s="15"/>
      <c r="E27320" s="8"/>
      <c r="G27320" s="8"/>
      <c r="J27320" s="8"/>
    </row>
    <row r="27321">
      <c r="C27321" s="15"/>
      <c r="E27321" s="8"/>
      <c r="G27321" s="8"/>
      <c r="J27321" s="8"/>
    </row>
    <row r="27322">
      <c r="C27322" s="15"/>
      <c r="E27322" s="8"/>
      <c r="G27322" s="8"/>
      <c r="J27322" s="8"/>
    </row>
    <row r="27323">
      <c r="C27323" s="15"/>
      <c r="E27323" s="8"/>
      <c r="G27323" s="8"/>
      <c r="J27323" s="8"/>
    </row>
    <row r="27324">
      <c r="C27324" s="15"/>
      <c r="E27324" s="8"/>
      <c r="G27324" s="8"/>
      <c r="J27324" s="8"/>
    </row>
    <row r="27325">
      <c r="C27325" s="15"/>
      <c r="E27325" s="8"/>
      <c r="G27325" s="8"/>
      <c r="J27325" s="8"/>
    </row>
    <row r="27326">
      <c r="C27326" s="15"/>
      <c r="E27326" s="8"/>
      <c r="G27326" s="8"/>
      <c r="J27326" s="8"/>
    </row>
    <row r="27327">
      <c r="C27327" s="15"/>
      <c r="E27327" s="8"/>
      <c r="G27327" s="8"/>
      <c r="J27327" s="8"/>
    </row>
    <row r="27328">
      <c r="C27328" s="15"/>
      <c r="E27328" s="8"/>
      <c r="G27328" s="8"/>
      <c r="J27328" s="8"/>
    </row>
    <row r="27329">
      <c r="C27329" s="15"/>
      <c r="E27329" s="8"/>
      <c r="G27329" s="8"/>
      <c r="J27329" s="8"/>
    </row>
    <row r="27330">
      <c r="C27330" s="15"/>
      <c r="E27330" s="8"/>
      <c r="G27330" s="8"/>
      <c r="J27330" s="8"/>
    </row>
    <row r="27331">
      <c r="C27331" s="15"/>
      <c r="E27331" s="8"/>
      <c r="G27331" s="8"/>
      <c r="J27331" s="8"/>
    </row>
    <row r="27332">
      <c r="C27332" s="15"/>
      <c r="E27332" s="8"/>
      <c r="G27332" s="8"/>
      <c r="J27332" s="8"/>
    </row>
    <row r="27333">
      <c r="C27333" s="15"/>
      <c r="E27333" s="8"/>
      <c r="G27333" s="8"/>
      <c r="J27333" s="8"/>
    </row>
    <row r="27334">
      <c r="C27334" s="15"/>
      <c r="E27334" s="8"/>
      <c r="G27334" s="8"/>
      <c r="J27334" s="8"/>
    </row>
    <row r="27335">
      <c r="C27335" s="15"/>
      <c r="E27335" s="8"/>
      <c r="G27335" s="8"/>
      <c r="J27335" s="8"/>
    </row>
    <row r="27336">
      <c r="C27336" s="15"/>
      <c r="E27336" s="8"/>
      <c r="G27336" s="8"/>
      <c r="J27336" s="8"/>
    </row>
    <row r="27337">
      <c r="C27337" s="15"/>
      <c r="E27337" s="8"/>
      <c r="G27337" s="8"/>
      <c r="J27337" s="8"/>
    </row>
    <row r="27338">
      <c r="C27338" s="15"/>
      <c r="E27338" s="8"/>
      <c r="G27338" s="8"/>
      <c r="J27338" s="8"/>
    </row>
    <row r="27339">
      <c r="C27339" s="15"/>
      <c r="E27339" s="8"/>
      <c r="G27339" s="8"/>
      <c r="J27339" s="8"/>
    </row>
    <row r="27340">
      <c r="C27340" s="15"/>
      <c r="E27340" s="8"/>
      <c r="G27340" s="8"/>
      <c r="J27340" s="8"/>
    </row>
    <row r="27341">
      <c r="C27341" s="15"/>
      <c r="E27341" s="8"/>
      <c r="G27341" s="8"/>
      <c r="J27341" s="8"/>
    </row>
    <row r="27342">
      <c r="C27342" s="15"/>
      <c r="E27342" s="8"/>
      <c r="G27342" s="8"/>
      <c r="J27342" s="8"/>
    </row>
    <row r="27343">
      <c r="C27343" s="15"/>
      <c r="E27343" s="8"/>
      <c r="G27343" s="8"/>
      <c r="J27343" s="8"/>
    </row>
    <row r="27344">
      <c r="C27344" s="15"/>
      <c r="E27344" s="8"/>
      <c r="G27344" s="8"/>
      <c r="J27344" s="8"/>
    </row>
    <row r="27345">
      <c r="C27345" s="15"/>
      <c r="E27345" s="8"/>
      <c r="G27345" s="8"/>
      <c r="J27345" s="8"/>
    </row>
    <row r="27346">
      <c r="C27346" s="15"/>
      <c r="E27346" s="8"/>
      <c r="G27346" s="8"/>
      <c r="J27346" s="8"/>
    </row>
    <row r="27347">
      <c r="C27347" s="15"/>
      <c r="E27347" s="8"/>
      <c r="G27347" s="8"/>
      <c r="J27347" s="8"/>
    </row>
    <row r="27348">
      <c r="C27348" s="15"/>
      <c r="E27348" s="8"/>
      <c r="G27348" s="8"/>
      <c r="J27348" s="8"/>
    </row>
    <row r="27349">
      <c r="C27349" s="15"/>
      <c r="E27349" s="8"/>
      <c r="G27349" s="8"/>
      <c r="J27349" s="8"/>
    </row>
    <row r="27350">
      <c r="C27350" s="15"/>
      <c r="E27350" s="8"/>
      <c r="G27350" s="8"/>
      <c r="J27350" s="8"/>
    </row>
    <row r="27351">
      <c r="C27351" s="15"/>
      <c r="E27351" s="8"/>
      <c r="G27351" s="8"/>
      <c r="J27351" s="8"/>
    </row>
    <row r="27352">
      <c r="C27352" s="15"/>
      <c r="E27352" s="8"/>
      <c r="G27352" s="8"/>
      <c r="J27352" s="8"/>
    </row>
    <row r="27353">
      <c r="C27353" s="15"/>
      <c r="E27353" s="8"/>
      <c r="G27353" s="8"/>
      <c r="J27353" s="8"/>
    </row>
    <row r="27354">
      <c r="C27354" s="15"/>
      <c r="E27354" s="8"/>
      <c r="G27354" s="8"/>
      <c r="J27354" s="8"/>
    </row>
    <row r="27355">
      <c r="C27355" s="15"/>
      <c r="E27355" s="8"/>
      <c r="G27355" s="8"/>
      <c r="J27355" s="8"/>
    </row>
    <row r="27356">
      <c r="C27356" s="15"/>
      <c r="E27356" s="8"/>
      <c r="G27356" s="8"/>
      <c r="J27356" s="8"/>
    </row>
    <row r="27357">
      <c r="C27357" s="15"/>
      <c r="E27357" s="8"/>
      <c r="G27357" s="8"/>
      <c r="J27357" s="8"/>
    </row>
    <row r="27358">
      <c r="C27358" s="15"/>
      <c r="E27358" s="8"/>
      <c r="G27358" s="8"/>
      <c r="J27358" s="8"/>
    </row>
    <row r="27359">
      <c r="C27359" s="15"/>
      <c r="E27359" s="8"/>
      <c r="G27359" s="8"/>
      <c r="J27359" s="8"/>
    </row>
    <row r="27360">
      <c r="C27360" s="15"/>
      <c r="E27360" s="8"/>
      <c r="G27360" s="8"/>
      <c r="J27360" s="8"/>
    </row>
    <row r="27361">
      <c r="C27361" s="15"/>
      <c r="E27361" s="8"/>
      <c r="G27361" s="8"/>
      <c r="J27361" s="8"/>
    </row>
    <row r="27362">
      <c r="C27362" s="15"/>
      <c r="E27362" s="8"/>
      <c r="G27362" s="8"/>
      <c r="J27362" s="8"/>
    </row>
    <row r="27363">
      <c r="C27363" s="15"/>
      <c r="E27363" s="8"/>
      <c r="G27363" s="8"/>
      <c r="J27363" s="8"/>
    </row>
    <row r="27364">
      <c r="C27364" s="15"/>
      <c r="E27364" s="8"/>
      <c r="G27364" s="8"/>
      <c r="J27364" s="8"/>
    </row>
    <row r="27365">
      <c r="C27365" s="15"/>
      <c r="E27365" s="8"/>
      <c r="G27365" s="8"/>
      <c r="J27365" s="8"/>
    </row>
    <row r="27366">
      <c r="C27366" s="15"/>
      <c r="E27366" s="8"/>
      <c r="G27366" s="8"/>
      <c r="J27366" s="8"/>
    </row>
    <row r="27367">
      <c r="C27367" s="15"/>
      <c r="E27367" s="8"/>
      <c r="G27367" s="8"/>
      <c r="J27367" s="8"/>
    </row>
    <row r="27368">
      <c r="C27368" s="15"/>
      <c r="E27368" s="8"/>
      <c r="G27368" s="8"/>
      <c r="J27368" s="8"/>
    </row>
    <row r="27369">
      <c r="C27369" s="15"/>
      <c r="E27369" s="8"/>
      <c r="G27369" s="8"/>
      <c r="J27369" s="8"/>
    </row>
    <row r="27370">
      <c r="C27370" s="15"/>
      <c r="E27370" s="8"/>
      <c r="G27370" s="8"/>
      <c r="J27370" s="8"/>
    </row>
    <row r="27371">
      <c r="C27371" s="15"/>
      <c r="E27371" s="8"/>
      <c r="G27371" s="8"/>
      <c r="J27371" s="8"/>
    </row>
    <row r="27372">
      <c r="C27372" s="15"/>
      <c r="E27372" s="8"/>
      <c r="G27372" s="8"/>
      <c r="J27372" s="8"/>
    </row>
    <row r="27373">
      <c r="C27373" s="15"/>
      <c r="E27373" s="8"/>
      <c r="G27373" s="8"/>
      <c r="J27373" s="8"/>
    </row>
    <row r="27374">
      <c r="C27374" s="15"/>
      <c r="E27374" s="8"/>
      <c r="G27374" s="8"/>
      <c r="J27374" s="8"/>
    </row>
    <row r="27375">
      <c r="C27375" s="15"/>
      <c r="E27375" s="8"/>
      <c r="G27375" s="8"/>
      <c r="J27375" s="8"/>
    </row>
    <row r="27376">
      <c r="C27376" s="15"/>
      <c r="E27376" s="8"/>
      <c r="G27376" s="8"/>
      <c r="J27376" s="8"/>
    </row>
    <row r="27377">
      <c r="C27377" s="15"/>
      <c r="E27377" s="8"/>
      <c r="G27377" s="8"/>
      <c r="J27377" s="8"/>
    </row>
    <row r="27378">
      <c r="C27378" s="15"/>
      <c r="E27378" s="8"/>
      <c r="G27378" s="8"/>
      <c r="J27378" s="8"/>
    </row>
    <row r="27379">
      <c r="C27379" s="15"/>
      <c r="E27379" s="8"/>
      <c r="G27379" s="8"/>
      <c r="J27379" s="8"/>
    </row>
    <row r="27380">
      <c r="C27380" s="15"/>
      <c r="E27380" s="8"/>
      <c r="G27380" s="8"/>
      <c r="J27380" s="8"/>
    </row>
    <row r="27381">
      <c r="C27381" s="15"/>
      <c r="E27381" s="8"/>
      <c r="G27381" s="8"/>
      <c r="J27381" s="8"/>
    </row>
    <row r="27382">
      <c r="C27382" s="15"/>
      <c r="E27382" s="8"/>
      <c r="G27382" s="8"/>
      <c r="J27382" s="8"/>
    </row>
    <row r="27383">
      <c r="C27383" s="15"/>
      <c r="E27383" s="8"/>
      <c r="G27383" s="8"/>
      <c r="J27383" s="8"/>
    </row>
    <row r="27384">
      <c r="C27384" s="15"/>
      <c r="E27384" s="8"/>
      <c r="G27384" s="8"/>
      <c r="J27384" s="8"/>
    </row>
    <row r="27385">
      <c r="C27385" s="15"/>
      <c r="E27385" s="8"/>
      <c r="G27385" s="8"/>
      <c r="J27385" s="8"/>
    </row>
    <row r="27386">
      <c r="C27386" s="15"/>
      <c r="E27386" s="8"/>
      <c r="G27386" s="8"/>
      <c r="J27386" s="8"/>
    </row>
    <row r="27387">
      <c r="C27387" s="15"/>
      <c r="E27387" s="8"/>
      <c r="G27387" s="8"/>
      <c r="J27387" s="8"/>
    </row>
    <row r="27388">
      <c r="C27388" s="15"/>
      <c r="E27388" s="8"/>
      <c r="G27388" s="8"/>
      <c r="J27388" s="8"/>
    </row>
    <row r="27389">
      <c r="C27389" s="15"/>
      <c r="E27389" s="8"/>
      <c r="G27389" s="8"/>
      <c r="J27389" s="8"/>
    </row>
    <row r="27390">
      <c r="C27390" s="15"/>
      <c r="E27390" s="8"/>
      <c r="G27390" s="8"/>
      <c r="J27390" s="8"/>
    </row>
    <row r="27391">
      <c r="C27391" s="15"/>
      <c r="E27391" s="8"/>
      <c r="G27391" s="8"/>
      <c r="J27391" s="8"/>
    </row>
    <row r="27392">
      <c r="C27392" s="15"/>
      <c r="E27392" s="8"/>
      <c r="G27392" s="8"/>
      <c r="J27392" s="8"/>
    </row>
    <row r="27393">
      <c r="C27393" s="15"/>
      <c r="E27393" s="8"/>
      <c r="G27393" s="8"/>
      <c r="J27393" s="8"/>
    </row>
    <row r="27394">
      <c r="C27394" s="15"/>
      <c r="E27394" s="8"/>
      <c r="G27394" s="8"/>
      <c r="J27394" s="8"/>
    </row>
    <row r="27395">
      <c r="C27395" s="15"/>
      <c r="E27395" s="8"/>
      <c r="G27395" s="8"/>
      <c r="J27395" s="8"/>
    </row>
    <row r="27396">
      <c r="C27396" s="15"/>
      <c r="E27396" s="8"/>
      <c r="G27396" s="8"/>
      <c r="J27396" s="8"/>
    </row>
    <row r="27397">
      <c r="C27397" s="15"/>
      <c r="E27397" s="8"/>
      <c r="G27397" s="8"/>
      <c r="J27397" s="8"/>
    </row>
    <row r="27398">
      <c r="C27398" s="15"/>
      <c r="E27398" s="8"/>
      <c r="G27398" s="8"/>
      <c r="J27398" s="8"/>
    </row>
    <row r="27399">
      <c r="C27399" s="15"/>
      <c r="E27399" s="8"/>
      <c r="G27399" s="8"/>
      <c r="J27399" s="8"/>
    </row>
    <row r="27400">
      <c r="C27400" s="15"/>
      <c r="E27400" s="8"/>
      <c r="G27400" s="8"/>
      <c r="J27400" s="8"/>
    </row>
    <row r="27401">
      <c r="C27401" s="15"/>
      <c r="E27401" s="8"/>
      <c r="G27401" s="8"/>
      <c r="J27401" s="8"/>
    </row>
    <row r="27402">
      <c r="C27402" s="15"/>
      <c r="E27402" s="8"/>
      <c r="G27402" s="8"/>
      <c r="J27402" s="8"/>
    </row>
    <row r="27403">
      <c r="C27403" s="15"/>
      <c r="E27403" s="8"/>
      <c r="G27403" s="8"/>
      <c r="J27403" s="8"/>
    </row>
    <row r="27404">
      <c r="C27404" s="15"/>
      <c r="E27404" s="8"/>
      <c r="G27404" s="8"/>
      <c r="J27404" s="8"/>
    </row>
    <row r="27405">
      <c r="C27405" s="15"/>
      <c r="E27405" s="8"/>
      <c r="G27405" s="8"/>
      <c r="J27405" s="8"/>
    </row>
    <row r="27406">
      <c r="C27406" s="15"/>
      <c r="E27406" s="8"/>
      <c r="G27406" s="8"/>
      <c r="J27406" s="8"/>
    </row>
    <row r="27407">
      <c r="C27407" s="15"/>
      <c r="E27407" s="8"/>
      <c r="G27407" s="8"/>
      <c r="J27407" s="8"/>
    </row>
    <row r="27408">
      <c r="C27408" s="15"/>
      <c r="E27408" s="8"/>
      <c r="G27408" s="8"/>
      <c r="J27408" s="8"/>
    </row>
    <row r="27409">
      <c r="C27409" s="15"/>
      <c r="E27409" s="8"/>
      <c r="G27409" s="8"/>
      <c r="J27409" s="8"/>
    </row>
    <row r="27410">
      <c r="C27410" s="15"/>
      <c r="E27410" s="8"/>
      <c r="G27410" s="8"/>
      <c r="J27410" s="8"/>
    </row>
    <row r="27411">
      <c r="C27411" s="15"/>
      <c r="E27411" s="8"/>
      <c r="G27411" s="8"/>
      <c r="J27411" s="8"/>
    </row>
    <row r="27412">
      <c r="C27412" s="15"/>
      <c r="E27412" s="8"/>
      <c r="G27412" s="8"/>
      <c r="J27412" s="8"/>
    </row>
    <row r="27413">
      <c r="C27413" s="15"/>
      <c r="E27413" s="8"/>
      <c r="G27413" s="8"/>
      <c r="J27413" s="8"/>
    </row>
    <row r="27414">
      <c r="C27414" s="15"/>
      <c r="E27414" s="8"/>
      <c r="G27414" s="8"/>
      <c r="J27414" s="8"/>
    </row>
    <row r="27415">
      <c r="C27415" s="15"/>
      <c r="E27415" s="8"/>
      <c r="G27415" s="8"/>
      <c r="J27415" s="8"/>
    </row>
    <row r="27416">
      <c r="C27416" s="15"/>
      <c r="E27416" s="8"/>
      <c r="G27416" s="8"/>
      <c r="J27416" s="8"/>
    </row>
    <row r="27417">
      <c r="C27417" s="15"/>
      <c r="E27417" s="8"/>
      <c r="G27417" s="8"/>
      <c r="J27417" s="8"/>
    </row>
    <row r="27418">
      <c r="C27418" s="15"/>
      <c r="E27418" s="8"/>
      <c r="G27418" s="8"/>
      <c r="J27418" s="8"/>
    </row>
    <row r="27419">
      <c r="C27419" s="15"/>
      <c r="E27419" s="8"/>
      <c r="G27419" s="8"/>
      <c r="J27419" s="8"/>
    </row>
    <row r="27420">
      <c r="C27420" s="15"/>
      <c r="E27420" s="8"/>
      <c r="G27420" s="8"/>
      <c r="J27420" s="8"/>
    </row>
    <row r="27421">
      <c r="C27421" s="15"/>
      <c r="E27421" s="8"/>
      <c r="G27421" s="8"/>
      <c r="J27421" s="8"/>
    </row>
    <row r="27422">
      <c r="C27422" s="15"/>
      <c r="E27422" s="8"/>
      <c r="G27422" s="8"/>
      <c r="J27422" s="8"/>
    </row>
    <row r="27423">
      <c r="C27423" s="15"/>
      <c r="E27423" s="8"/>
      <c r="G27423" s="8"/>
      <c r="J27423" s="8"/>
    </row>
    <row r="27424">
      <c r="C27424" s="15"/>
      <c r="E27424" s="8"/>
      <c r="G27424" s="8"/>
      <c r="J27424" s="8"/>
    </row>
    <row r="27425">
      <c r="C27425" s="15"/>
      <c r="E27425" s="8"/>
      <c r="G27425" s="8"/>
      <c r="J27425" s="8"/>
    </row>
    <row r="27426">
      <c r="C27426" s="15"/>
      <c r="E27426" s="8"/>
      <c r="G27426" s="8"/>
      <c r="J27426" s="8"/>
    </row>
    <row r="27427">
      <c r="C27427" s="15"/>
      <c r="E27427" s="8"/>
      <c r="G27427" s="8"/>
      <c r="J27427" s="8"/>
    </row>
    <row r="27428">
      <c r="C27428" s="15"/>
      <c r="E27428" s="8"/>
      <c r="G27428" s="8"/>
      <c r="J27428" s="8"/>
    </row>
    <row r="27429">
      <c r="C27429" s="15"/>
      <c r="E27429" s="8"/>
      <c r="G27429" s="8"/>
      <c r="J27429" s="8"/>
    </row>
    <row r="27430">
      <c r="C27430" s="15"/>
      <c r="E27430" s="8"/>
      <c r="G27430" s="8"/>
      <c r="J27430" s="8"/>
    </row>
    <row r="27431">
      <c r="C27431" s="15"/>
      <c r="E27431" s="8"/>
      <c r="G27431" s="8"/>
      <c r="J27431" s="8"/>
    </row>
    <row r="27432">
      <c r="C27432" s="15"/>
      <c r="E27432" s="8"/>
      <c r="G27432" s="8"/>
      <c r="J27432" s="8"/>
    </row>
    <row r="27433">
      <c r="C27433" s="15"/>
      <c r="E27433" s="8"/>
      <c r="G27433" s="8"/>
      <c r="J27433" s="8"/>
    </row>
    <row r="27434">
      <c r="C27434" s="15"/>
      <c r="E27434" s="8"/>
      <c r="G27434" s="8"/>
      <c r="J27434" s="8"/>
    </row>
    <row r="27435">
      <c r="C27435" s="15"/>
      <c r="E27435" s="8"/>
      <c r="G27435" s="8"/>
      <c r="J27435" s="8"/>
    </row>
    <row r="27436">
      <c r="C27436" s="15"/>
      <c r="E27436" s="8"/>
      <c r="G27436" s="8"/>
      <c r="J27436" s="8"/>
    </row>
    <row r="27437">
      <c r="C27437" s="15"/>
      <c r="E27437" s="8"/>
      <c r="G27437" s="8"/>
      <c r="J27437" s="8"/>
    </row>
    <row r="27438">
      <c r="C27438" s="15"/>
      <c r="E27438" s="8"/>
      <c r="G27438" s="8"/>
      <c r="J27438" s="8"/>
    </row>
    <row r="27439">
      <c r="C27439" s="15"/>
      <c r="E27439" s="8"/>
      <c r="G27439" s="8"/>
      <c r="J27439" s="8"/>
    </row>
    <row r="27440">
      <c r="C27440" s="15"/>
      <c r="E27440" s="8"/>
      <c r="G27440" s="8"/>
      <c r="J27440" s="8"/>
    </row>
    <row r="27441">
      <c r="C27441" s="15"/>
      <c r="E27441" s="8"/>
      <c r="G27441" s="8"/>
      <c r="J27441" s="8"/>
    </row>
    <row r="27442">
      <c r="C27442" s="15"/>
      <c r="E27442" s="8"/>
      <c r="G27442" s="8"/>
      <c r="J27442" s="8"/>
    </row>
    <row r="27443">
      <c r="C27443" s="15"/>
      <c r="E27443" s="8"/>
      <c r="G27443" s="8"/>
      <c r="J27443" s="8"/>
    </row>
    <row r="27444">
      <c r="C27444" s="15"/>
      <c r="E27444" s="8"/>
      <c r="G27444" s="8"/>
      <c r="J27444" s="8"/>
    </row>
    <row r="27445">
      <c r="C27445" s="15"/>
      <c r="E27445" s="8"/>
      <c r="G27445" s="8"/>
      <c r="J27445" s="8"/>
    </row>
    <row r="27446">
      <c r="C27446" s="15"/>
      <c r="E27446" s="8"/>
      <c r="G27446" s="8"/>
      <c r="J27446" s="8"/>
    </row>
    <row r="27447">
      <c r="C27447" s="15"/>
      <c r="E27447" s="8"/>
      <c r="G27447" s="8"/>
      <c r="J27447" s="8"/>
    </row>
    <row r="27448">
      <c r="C27448" s="15"/>
      <c r="E27448" s="8"/>
      <c r="G27448" s="8"/>
      <c r="J27448" s="8"/>
    </row>
    <row r="27449">
      <c r="C27449" s="15"/>
      <c r="E27449" s="8"/>
      <c r="G27449" s="8"/>
      <c r="J27449" s="8"/>
    </row>
    <row r="27450">
      <c r="C27450" s="15"/>
      <c r="E27450" s="8"/>
      <c r="G27450" s="8"/>
      <c r="J27450" s="8"/>
    </row>
    <row r="27451">
      <c r="C27451" s="15"/>
      <c r="E27451" s="8"/>
      <c r="G27451" s="8"/>
      <c r="J27451" s="8"/>
    </row>
    <row r="27452">
      <c r="C27452" s="15"/>
      <c r="E27452" s="8"/>
      <c r="G27452" s="8"/>
      <c r="J27452" s="8"/>
    </row>
    <row r="27453">
      <c r="C27453" s="15"/>
      <c r="E27453" s="8"/>
      <c r="G27453" s="8"/>
      <c r="J27453" s="8"/>
    </row>
    <row r="27454">
      <c r="C27454" s="15"/>
      <c r="E27454" s="8"/>
      <c r="G27454" s="8"/>
      <c r="J27454" s="8"/>
    </row>
    <row r="27455">
      <c r="C27455" s="15"/>
      <c r="E27455" s="8"/>
      <c r="G27455" s="8"/>
      <c r="J27455" s="8"/>
    </row>
    <row r="27456">
      <c r="C27456" s="15"/>
      <c r="E27456" s="8"/>
      <c r="G27456" s="8"/>
      <c r="J27456" s="8"/>
    </row>
    <row r="27457">
      <c r="C27457" s="15"/>
      <c r="E27457" s="8"/>
      <c r="G27457" s="8"/>
      <c r="J27457" s="8"/>
    </row>
    <row r="27458">
      <c r="C27458" s="15"/>
      <c r="E27458" s="8"/>
      <c r="G27458" s="8"/>
      <c r="J27458" s="8"/>
    </row>
    <row r="27459">
      <c r="C27459" s="15"/>
      <c r="E27459" s="8"/>
      <c r="G27459" s="8"/>
      <c r="J27459" s="8"/>
    </row>
    <row r="27460">
      <c r="C27460" s="15"/>
      <c r="E27460" s="8"/>
      <c r="G27460" s="8"/>
      <c r="J27460" s="8"/>
    </row>
    <row r="27461">
      <c r="C27461" s="15"/>
      <c r="E27461" s="8"/>
      <c r="G27461" s="8"/>
      <c r="J27461" s="8"/>
    </row>
    <row r="27462">
      <c r="C27462" s="15"/>
      <c r="E27462" s="8"/>
      <c r="G27462" s="8"/>
      <c r="J27462" s="8"/>
    </row>
    <row r="27463">
      <c r="C27463" s="15"/>
      <c r="E27463" s="8"/>
      <c r="G27463" s="8"/>
      <c r="J27463" s="8"/>
    </row>
    <row r="27464">
      <c r="C27464" s="15"/>
      <c r="E27464" s="8"/>
      <c r="G27464" s="8"/>
      <c r="J27464" s="8"/>
    </row>
    <row r="27465">
      <c r="C27465" s="15"/>
      <c r="E27465" s="8"/>
      <c r="G27465" s="8"/>
      <c r="J27465" s="8"/>
    </row>
    <row r="27466">
      <c r="C27466" s="15"/>
      <c r="E27466" s="8"/>
      <c r="G27466" s="8"/>
      <c r="J27466" s="8"/>
    </row>
    <row r="27467">
      <c r="C27467" s="15"/>
      <c r="E27467" s="8"/>
      <c r="G27467" s="8"/>
      <c r="J27467" s="8"/>
    </row>
    <row r="27468">
      <c r="C27468" s="15"/>
      <c r="E27468" s="8"/>
      <c r="G27468" s="8"/>
      <c r="J27468" s="8"/>
    </row>
    <row r="27469">
      <c r="C27469" s="15"/>
      <c r="E27469" s="8"/>
      <c r="G27469" s="8"/>
      <c r="J27469" s="8"/>
    </row>
    <row r="27470">
      <c r="C27470" s="15"/>
      <c r="E27470" s="8"/>
      <c r="G27470" s="8"/>
      <c r="J27470" s="8"/>
    </row>
    <row r="27471">
      <c r="C27471" s="15"/>
      <c r="E27471" s="8"/>
      <c r="G27471" s="8"/>
      <c r="J27471" s="8"/>
    </row>
    <row r="27472">
      <c r="C27472" s="15"/>
      <c r="E27472" s="8"/>
      <c r="G27472" s="8"/>
      <c r="J27472" s="8"/>
    </row>
    <row r="27473">
      <c r="C27473" s="15"/>
      <c r="E27473" s="8"/>
      <c r="G27473" s="8"/>
      <c r="J27473" s="8"/>
    </row>
    <row r="27474">
      <c r="C27474" s="15"/>
      <c r="E27474" s="8"/>
      <c r="G27474" s="8"/>
      <c r="J27474" s="8"/>
    </row>
    <row r="27475">
      <c r="C27475" s="15"/>
      <c r="E27475" s="8"/>
      <c r="G27475" s="8"/>
      <c r="J27475" s="8"/>
    </row>
    <row r="27476">
      <c r="C27476" s="15"/>
      <c r="E27476" s="8"/>
      <c r="G27476" s="8"/>
      <c r="J27476" s="8"/>
    </row>
    <row r="27477">
      <c r="C27477" s="15"/>
      <c r="E27477" s="8"/>
      <c r="G27477" s="8"/>
      <c r="J27477" s="8"/>
    </row>
    <row r="27478">
      <c r="C27478" s="15"/>
      <c r="E27478" s="8"/>
      <c r="G27478" s="8"/>
      <c r="J27478" s="8"/>
    </row>
    <row r="27479">
      <c r="C27479" s="15"/>
      <c r="E27479" s="8"/>
      <c r="G27479" s="8"/>
      <c r="J27479" s="8"/>
    </row>
    <row r="27480">
      <c r="C27480" s="15"/>
      <c r="E27480" s="8"/>
      <c r="G27480" s="8"/>
      <c r="J27480" s="8"/>
    </row>
    <row r="27481">
      <c r="C27481" s="15"/>
      <c r="E27481" s="8"/>
      <c r="G27481" s="8"/>
      <c r="J27481" s="8"/>
    </row>
    <row r="27482">
      <c r="C27482" s="15"/>
      <c r="E27482" s="8"/>
      <c r="G27482" s="8"/>
      <c r="J27482" s="8"/>
    </row>
    <row r="27483">
      <c r="C27483" s="15"/>
      <c r="E27483" s="8"/>
      <c r="G27483" s="8"/>
      <c r="J27483" s="8"/>
    </row>
    <row r="27484">
      <c r="C27484" s="15"/>
      <c r="E27484" s="8"/>
      <c r="G27484" s="8"/>
      <c r="J27484" s="8"/>
    </row>
    <row r="27485">
      <c r="C27485" s="15"/>
      <c r="E27485" s="8"/>
      <c r="G27485" s="8"/>
      <c r="J27485" s="8"/>
    </row>
    <row r="27486">
      <c r="C27486" s="15"/>
      <c r="E27486" s="8"/>
      <c r="G27486" s="8"/>
      <c r="J27486" s="8"/>
    </row>
    <row r="27487">
      <c r="C27487" s="15"/>
      <c r="E27487" s="8"/>
      <c r="G27487" s="8"/>
      <c r="J27487" s="8"/>
    </row>
    <row r="27488">
      <c r="C27488" s="15"/>
      <c r="E27488" s="8"/>
      <c r="G27488" s="8"/>
      <c r="J27488" s="8"/>
    </row>
    <row r="27489">
      <c r="C27489" s="15"/>
      <c r="E27489" s="8"/>
      <c r="G27489" s="8"/>
      <c r="J27489" s="8"/>
    </row>
    <row r="27490">
      <c r="C27490" s="15"/>
      <c r="E27490" s="8"/>
      <c r="G27490" s="8"/>
      <c r="J27490" s="8"/>
    </row>
    <row r="27491">
      <c r="C27491" s="15"/>
      <c r="E27491" s="8"/>
      <c r="G27491" s="8"/>
      <c r="J27491" s="8"/>
    </row>
    <row r="27492">
      <c r="C27492" s="15"/>
      <c r="E27492" s="8"/>
      <c r="G27492" s="8"/>
      <c r="J27492" s="8"/>
    </row>
    <row r="27493">
      <c r="C27493" s="15"/>
      <c r="E27493" s="8"/>
      <c r="G27493" s="8"/>
      <c r="J27493" s="8"/>
    </row>
    <row r="27494">
      <c r="C27494" s="15"/>
      <c r="E27494" s="8"/>
      <c r="G27494" s="8"/>
      <c r="J27494" s="8"/>
    </row>
    <row r="27495">
      <c r="C27495" s="15"/>
      <c r="E27495" s="8"/>
      <c r="G27495" s="8"/>
      <c r="J27495" s="8"/>
    </row>
    <row r="27496">
      <c r="C27496" s="15"/>
      <c r="E27496" s="8"/>
      <c r="G27496" s="8"/>
      <c r="J27496" s="8"/>
    </row>
    <row r="27497">
      <c r="C27497" s="15"/>
      <c r="E27497" s="8"/>
      <c r="G27497" s="8"/>
      <c r="J27497" s="8"/>
    </row>
    <row r="27498">
      <c r="C27498" s="15"/>
      <c r="E27498" s="8"/>
      <c r="G27498" s="8"/>
      <c r="J27498" s="8"/>
    </row>
    <row r="27499">
      <c r="C27499" s="15"/>
      <c r="E27499" s="8"/>
      <c r="G27499" s="8"/>
      <c r="J27499" s="8"/>
    </row>
    <row r="27500">
      <c r="C27500" s="15"/>
      <c r="E27500" s="8"/>
      <c r="G27500" s="8"/>
      <c r="J27500" s="8"/>
    </row>
    <row r="27501">
      <c r="C27501" s="15"/>
      <c r="E27501" s="8"/>
      <c r="G27501" s="8"/>
      <c r="J27501" s="8"/>
    </row>
    <row r="27502">
      <c r="C27502" s="15"/>
      <c r="E27502" s="8"/>
      <c r="G27502" s="8"/>
      <c r="J27502" s="8"/>
    </row>
    <row r="27503">
      <c r="C27503" s="15"/>
      <c r="E27503" s="8"/>
      <c r="G27503" s="8"/>
      <c r="J27503" s="8"/>
    </row>
    <row r="27504">
      <c r="C27504" s="15"/>
      <c r="E27504" s="8"/>
      <c r="G27504" s="8"/>
      <c r="J27504" s="8"/>
    </row>
    <row r="27505">
      <c r="C27505" s="15"/>
      <c r="E27505" s="8"/>
      <c r="G27505" s="8"/>
      <c r="J27505" s="8"/>
    </row>
    <row r="27506">
      <c r="C27506" s="15"/>
      <c r="E27506" s="8"/>
      <c r="G27506" s="8"/>
      <c r="J27506" s="8"/>
    </row>
    <row r="27507">
      <c r="C27507" s="15"/>
      <c r="E27507" s="8"/>
      <c r="G27507" s="8"/>
      <c r="J27507" s="8"/>
    </row>
    <row r="27508">
      <c r="C27508" s="15"/>
      <c r="E27508" s="8"/>
      <c r="G27508" s="8"/>
      <c r="J27508" s="8"/>
    </row>
    <row r="27509">
      <c r="C27509" s="15"/>
      <c r="E27509" s="8"/>
      <c r="G27509" s="8"/>
      <c r="J27509" s="8"/>
    </row>
    <row r="27510">
      <c r="C27510" s="15"/>
      <c r="E27510" s="8"/>
      <c r="G27510" s="8"/>
      <c r="J27510" s="8"/>
    </row>
    <row r="27511">
      <c r="C27511" s="15"/>
      <c r="E27511" s="8"/>
      <c r="G27511" s="8"/>
      <c r="J27511" s="8"/>
    </row>
    <row r="27512">
      <c r="C27512" s="15"/>
      <c r="E27512" s="8"/>
      <c r="G27512" s="8"/>
      <c r="J27512" s="8"/>
    </row>
    <row r="27513">
      <c r="C27513" s="15"/>
      <c r="E27513" s="8"/>
      <c r="G27513" s="8"/>
      <c r="J27513" s="8"/>
    </row>
    <row r="27514">
      <c r="C27514" s="15"/>
      <c r="E27514" s="8"/>
      <c r="G27514" s="8"/>
      <c r="J27514" s="8"/>
    </row>
    <row r="27515">
      <c r="C27515" s="15"/>
      <c r="E27515" s="8"/>
      <c r="G27515" s="8"/>
      <c r="J27515" s="8"/>
    </row>
    <row r="27516">
      <c r="C27516" s="15"/>
      <c r="E27516" s="8"/>
      <c r="G27516" s="8"/>
      <c r="J27516" s="8"/>
    </row>
    <row r="27517">
      <c r="C27517" s="15"/>
      <c r="E27517" s="8"/>
      <c r="G27517" s="8"/>
      <c r="J27517" s="8"/>
    </row>
    <row r="27518">
      <c r="C27518" s="15"/>
      <c r="E27518" s="8"/>
      <c r="G27518" s="8"/>
      <c r="J27518" s="8"/>
    </row>
    <row r="27519">
      <c r="C27519" s="15"/>
      <c r="E27519" s="8"/>
      <c r="G27519" s="8"/>
      <c r="J27519" s="8"/>
    </row>
    <row r="27520">
      <c r="C27520" s="15"/>
      <c r="E27520" s="8"/>
      <c r="G27520" s="8"/>
      <c r="J27520" s="8"/>
    </row>
    <row r="27521">
      <c r="C27521" s="15"/>
      <c r="E27521" s="8"/>
      <c r="G27521" s="8"/>
      <c r="J27521" s="8"/>
    </row>
    <row r="27522">
      <c r="C27522" s="15"/>
      <c r="E27522" s="8"/>
      <c r="G27522" s="8"/>
      <c r="J27522" s="8"/>
    </row>
    <row r="27523">
      <c r="C27523" s="15"/>
      <c r="E27523" s="8"/>
      <c r="G27523" s="8"/>
      <c r="J27523" s="8"/>
    </row>
    <row r="27524">
      <c r="C27524" s="15"/>
      <c r="E27524" s="8"/>
      <c r="G27524" s="8"/>
      <c r="J27524" s="8"/>
    </row>
    <row r="27525">
      <c r="C27525" s="15"/>
      <c r="E27525" s="8"/>
      <c r="G27525" s="8"/>
      <c r="J27525" s="8"/>
    </row>
    <row r="27526">
      <c r="C27526" s="15"/>
      <c r="E27526" s="8"/>
      <c r="G27526" s="8"/>
      <c r="J27526" s="8"/>
    </row>
    <row r="27527">
      <c r="C27527" s="15"/>
      <c r="E27527" s="8"/>
      <c r="G27527" s="8"/>
      <c r="J27527" s="8"/>
    </row>
    <row r="27528">
      <c r="C27528" s="15"/>
      <c r="E27528" s="8"/>
      <c r="G27528" s="8"/>
      <c r="J27528" s="8"/>
    </row>
    <row r="27529">
      <c r="C27529" s="15"/>
      <c r="E27529" s="8"/>
      <c r="G27529" s="8"/>
      <c r="J27529" s="8"/>
    </row>
    <row r="27530">
      <c r="C27530" s="15"/>
      <c r="E27530" s="8"/>
      <c r="G27530" s="8"/>
      <c r="J27530" s="8"/>
    </row>
    <row r="27531">
      <c r="C27531" s="15"/>
      <c r="E27531" s="8"/>
      <c r="G27531" s="8"/>
      <c r="J27531" s="8"/>
    </row>
    <row r="27532">
      <c r="C27532" s="15"/>
      <c r="E27532" s="8"/>
      <c r="G27532" s="8"/>
      <c r="J27532" s="8"/>
    </row>
    <row r="27533">
      <c r="C27533" s="15"/>
      <c r="E27533" s="8"/>
      <c r="G27533" s="8"/>
      <c r="J27533" s="8"/>
    </row>
    <row r="27534">
      <c r="C27534" s="15"/>
      <c r="E27534" s="8"/>
      <c r="G27534" s="8"/>
      <c r="J27534" s="8"/>
    </row>
    <row r="27535">
      <c r="C27535" s="15"/>
      <c r="E27535" s="8"/>
      <c r="G27535" s="8"/>
      <c r="J27535" s="8"/>
    </row>
    <row r="27536">
      <c r="C27536" s="15"/>
      <c r="E27536" s="8"/>
      <c r="G27536" s="8"/>
      <c r="J27536" s="8"/>
    </row>
    <row r="27537">
      <c r="C27537" s="15"/>
      <c r="E27537" s="8"/>
      <c r="G27537" s="8"/>
      <c r="J27537" s="8"/>
    </row>
    <row r="27538">
      <c r="C27538" s="15"/>
      <c r="E27538" s="8"/>
      <c r="G27538" s="8"/>
      <c r="J27538" s="8"/>
    </row>
    <row r="27539">
      <c r="C27539" s="15"/>
      <c r="E27539" s="8"/>
      <c r="G27539" s="8"/>
      <c r="J27539" s="8"/>
    </row>
    <row r="27540">
      <c r="C27540" s="15"/>
      <c r="E27540" s="8"/>
      <c r="G27540" s="8"/>
      <c r="J27540" s="8"/>
    </row>
    <row r="27541">
      <c r="C27541" s="15"/>
      <c r="E27541" s="8"/>
      <c r="G27541" s="8"/>
      <c r="J27541" s="8"/>
    </row>
    <row r="27542">
      <c r="C27542" s="15"/>
      <c r="E27542" s="8"/>
      <c r="G27542" s="8"/>
      <c r="J27542" s="8"/>
    </row>
    <row r="27543">
      <c r="C27543" s="15"/>
      <c r="E27543" s="8"/>
      <c r="G27543" s="8"/>
      <c r="J27543" s="8"/>
    </row>
    <row r="27544">
      <c r="C27544" s="15"/>
      <c r="E27544" s="8"/>
      <c r="G27544" s="8"/>
      <c r="J27544" s="8"/>
    </row>
    <row r="27545">
      <c r="C27545" s="15"/>
      <c r="E27545" s="8"/>
      <c r="G27545" s="8"/>
      <c r="J27545" s="8"/>
    </row>
    <row r="27546">
      <c r="C27546" s="15"/>
      <c r="E27546" s="8"/>
      <c r="G27546" s="8"/>
      <c r="J27546" s="8"/>
    </row>
    <row r="27547">
      <c r="C27547" s="15"/>
      <c r="E27547" s="8"/>
      <c r="G27547" s="8"/>
      <c r="J27547" s="8"/>
    </row>
    <row r="27548">
      <c r="C27548" s="15"/>
      <c r="E27548" s="8"/>
      <c r="G27548" s="8"/>
      <c r="J27548" s="8"/>
    </row>
    <row r="27549">
      <c r="C27549" s="15"/>
      <c r="E27549" s="8"/>
      <c r="G27549" s="8"/>
      <c r="J27549" s="8"/>
    </row>
    <row r="27550">
      <c r="C27550" s="15"/>
      <c r="E27550" s="8"/>
      <c r="G27550" s="8"/>
      <c r="J27550" s="8"/>
    </row>
    <row r="27551">
      <c r="C27551" s="15"/>
      <c r="E27551" s="8"/>
      <c r="G27551" s="8"/>
      <c r="J27551" s="8"/>
    </row>
    <row r="27552">
      <c r="C27552" s="15"/>
      <c r="E27552" s="8"/>
      <c r="G27552" s="8"/>
      <c r="J27552" s="8"/>
    </row>
    <row r="27553">
      <c r="C27553" s="15"/>
      <c r="E27553" s="8"/>
      <c r="G27553" s="8"/>
      <c r="J27553" s="8"/>
    </row>
    <row r="27554">
      <c r="C27554" s="15"/>
      <c r="E27554" s="8"/>
      <c r="G27554" s="8"/>
      <c r="J27554" s="8"/>
    </row>
    <row r="27555">
      <c r="C27555" s="15"/>
      <c r="E27555" s="8"/>
      <c r="G27555" s="8"/>
      <c r="J27555" s="8"/>
    </row>
    <row r="27556">
      <c r="C27556" s="15"/>
      <c r="E27556" s="8"/>
      <c r="G27556" s="8"/>
      <c r="J27556" s="8"/>
    </row>
    <row r="27557">
      <c r="C27557" s="15"/>
      <c r="E27557" s="8"/>
      <c r="G27557" s="8"/>
      <c r="J27557" s="8"/>
    </row>
    <row r="27558">
      <c r="C27558" s="15"/>
      <c r="E27558" s="8"/>
      <c r="G27558" s="8"/>
      <c r="J27558" s="8"/>
    </row>
    <row r="27559">
      <c r="C27559" s="15"/>
      <c r="E27559" s="8"/>
      <c r="G27559" s="8"/>
      <c r="J27559" s="8"/>
    </row>
    <row r="27560">
      <c r="C27560" s="15"/>
      <c r="E27560" s="8"/>
      <c r="G27560" s="8"/>
      <c r="J27560" s="8"/>
    </row>
    <row r="27561">
      <c r="C27561" s="15"/>
      <c r="E27561" s="8"/>
      <c r="G27561" s="8"/>
      <c r="J27561" s="8"/>
    </row>
    <row r="27562">
      <c r="C27562" s="15"/>
      <c r="E27562" s="8"/>
      <c r="G27562" s="8"/>
      <c r="J27562" s="8"/>
    </row>
    <row r="27563">
      <c r="C27563" s="15"/>
      <c r="E27563" s="8"/>
      <c r="G27563" s="8"/>
      <c r="J27563" s="8"/>
    </row>
    <row r="27564">
      <c r="C27564" s="15"/>
      <c r="E27564" s="8"/>
      <c r="G27564" s="8"/>
      <c r="J27564" s="8"/>
    </row>
    <row r="27565">
      <c r="C27565" s="15"/>
      <c r="E27565" s="8"/>
      <c r="G27565" s="8"/>
      <c r="J27565" s="8"/>
    </row>
    <row r="27566">
      <c r="C27566" s="15"/>
      <c r="E27566" s="8"/>
      <c r="G27566" s="8"/>
      <c r="J27566" s="8"/>
    </row>
    <row r="27567">
      <c r="C27567" s="15"/>
      <c r="E27567" s="8"/>
      <c r="G27567" s="8"/>
      <c r="J27567" s="8"/>
    </row>
    <row r="27568">
      <c r="C27568" s="15"/>
      <c r="E27568" s="8"/>
      <c r="G27568" s="8"/>
      <c r="J27568" s="8"/>
    </row>
    <row r="27569">
      <c r="C27569" s="15"/>
      <c r="E27569" s="8"/>
      <c r="G27569" s="8"/>
      <c r="J27569" s="8"/>
    </row>
    <row r="27570">
      <c r="C27570" s="15"/>
      <c r="E27570" s="8"/>
      <c r="G27570" s="8"/>
      <c r="J27570" s="8"/>
    </row>
    <row r="27571">
      <c r="C27571" s="15"/>
      <c r="E27571" s="8"/>
      <c r="G27571" s="8"/>
      <c r="J27571" s="8"/>
    </row>
    <row r="27572">
      <c r="C27572" s="15"/>
      <c r="E27572" s="8"/>
      <c r="G27572" s="8"/>
      <c r="J27572" s="8"/>
    </row>
    <row r="27573">
      <c r="C27573" s="15"/>
      <c r="E27573" s="8"/>
      <c r="G27573" s="8"/>
      <c r="J27573" s="8"/>
    </row>
    <row r="27574">
      <c r="C27574" s="15"/>
      <c r="E27574" s="8"/>
      <c r="G27574" s="8"/>
      <c r="J27574" s="8"/>
    </row>
    <row r="27575">
      <c r="C27575" s="15"/>
      <c r="E27575" s="8"/>
      <c r="G27575" s="8"/>
      <c r="J27575" s="8"/>
    </row>
    <row r="27576">
      <c r="C27576" s="15"/>
      <c r="E27576" s="8"/>
      <c r="G27576" s="8"/>
      <c r="J27576" s="8"/>
    </row>
    <row r="27577">
      <c r="C27577" s="15"/>
      <c r="E27577" s="8"/>
      <c r="G27577" s="8"/>
      <c r="J27577" s="8"/>
    </row>
    <row r="27578">
      <c r="C27578" s="15"/>
      <c r="E27578" s="8"/>
      <c r="G27578" s="8"/>
      <c r="J27578" s="8"/>
    </row>
    <row r="27579">
      <c r="C27579" s="15"/>
      <c r="E27579" s="8"/>
      <c r="G27579" s="8"/>
      <c r="J27579" s="8"/>
    </row>
    <row r="27580">
      <c r="C27580" s="15"/>
      <c r="E27580" s="8"/>
      <c r="G27580" s="8"/>
      <c r="J27580" s="8"/>
    </row>
    <row r="27581">
      <c r="C27581" s="15"/>
      <c r="E27581" s="8"/>
      <c r="G27581" s="8"/>
      <c r="J27581" s="8"/>
    </row>
    <row r="27582">
      <c r="C27582" s="15"/>
      <c r="E27582" s="8"/>
      <c r="G27582" s="8"/>
      <c r="J27582" s="8"/>
    </row>
    <row r="27583">
      <c r="C27583" s="15"/>
      <c r="E27583" s="8"/>
      <c r="G27583" s="8"/>
      <c r="J27583" s="8"/>
    </row>
    <row r="27584">
      <c r="C27584" s="15"/>
      <c r="E27584" s="8"/>
      <c r="G27584" s="8"/>
      <c r="J27584" s="8"/>
    </row>
    <row r="27585">
      <c r="C27585" s="15"/>
      <c r="E27585" s="8"/>
      <c r="G27585" s="8"/>
      <c r="J27585" s="8"/>
    </row>
    <row r="27586">
      <c r="C27586" s="15"/>
      <c r="E27586" s="8"/>
      <c r="G27586" s="8"/>
      <c r="J27586" s="8"/>
    </row>
    <row r="27587">
      <c r="C27587" s="15"/>
      <c r="E27587" s="8"/>
      <c r="G27587" s="8"/>
      <c r="J27587" s="8"/>
    </row>
    <row r="27588">
      <c r="C27588" s="15"/>
      <c r="E27588" s="8"/>
      <c r="G27588" s="8"/>
      <c r="J27588" s="8"/>
    </row>
    <row r="27589">
      <c r="C27589" s="15"/>
      <c r="E27589" s="8"/>
      <c r="G27589" s="8"/>
      <c r="J27589" s="8"/>
    </row>
    <row r="27590">
      <c r="C27590" s="15"/>
      <c r="E27590" s="8"/>
      <c r="G27590" s="8"/>
      <c r="J27590" s="8"/>
    </row>
    <row r="27591">
      <c r="C27591" s="15"/>
      <c r="E27591" s="8"/>
      <c r="G27591" s="8"/>
      <c r="J27591" s="8"/>
    </row>
    <row r="27592">
      <c r="C27592" s="15"/>
      <c r="E27592" s="8"/>
      <c r="G27592" s="8"/>
      <c r="J27592" s="8"/>
    </row>
    <row r="27593">
      <c r="C27593" s="15"/>
      <c r="E27593" s="8"/>
      <c r="G27593" s="8"/>
      <c r="J27593" s="8"/>
    </row>
    <row r="27594">
      <c r="C27594" s="15"/>
      <c r="E27594" s="8"/>
      <c r="G27594" s="8"/>
      <c r="J27594" s="8"/>
    </row>
    <row r="27595">
      <c r="C27595" s="15"/>
      <c r="E27595" s="8"/>
      <c r="G27595" s="8"/>
      <c r="J27595" s="8"/>
    </row>
    <row r="27596">
      <c r="C27596" s="15"/>
      <c r="E27596" s="8"/>
      <c r="G27596" s="8"/>
      <c r="J27596" s="8"/>
    </row>
    <row r="27597">
      <c r="C27597" s="15"/>
      <c r="E27597" s="8"/>
      <c r="G27597" s="8"/>
      <c r="J27597" s="8"/>
    </row>
    <row r="27598">
      <c r="C27598" s="15"/>
      <c r="E27598" s="8"/>
      <c r="G27598" s="8"/>
      <c r="J27598" s="8"/>
    </row>
    <row r="27599">
      <c r="C27599" s="15"/>
      <c r="E27599" s="8"/>
      <c r="G27599" s="8"/>
      <c r="J27599" s="8"/>
    </row>
    <row r="27600">
      <c r="C27600" s="15"/>
      <c r="E27600" s="8"/>
      <c r="G27600" s="8"/>
      <c r="J27600" s="8"/>
    </row>
    <row r="27601">
      <c r="C27601" s="15"/>
      <c r="E27601" s="8"/>
      <c r="G27601" s="8"/>
      <c r="J27601" s="8"/>
    </row>
    <row r="27602">
      <c r="C27602" s="15"/>
      <c r="E27602" s="8"/>
      <c r="G27602" s="8"/>
      <c r="J27602" s="8"/>
    </row>
    <row r="27603">
      <c r="C27603" s="15"/>
      <c r="E27603" s="8"/>
      <c r="G27603" s="8"/>
      <c r="J27603" s="8"/>
    </row>
    <row r="27604">
      <c r="C27604" s="15"/>
      <c r="E27604" s="8"/>
      <c r="G27604" s="8"/>
      <c r="J27604" s="8"/>
    </row>
    <row r="27605">
      <c r="C27605" s="15"/>
      <c r="E27605" s="8"/>
      <c r="G27605" s="8"/>
      <c r="J27605" s="8"/>
    </row>
    <row r="27606">
      <c r="C27606" s="15"/>
      <c r="E27606" s="8"/>
      <c r="G27606" s="8"/>
      <c r="J27606" s="8"/>
    </row>
    <row r="27607">
      <c r="C27607" s="15"/>
      <c r="E27607" s="8"/>
      <c r="G27607" s="8"/>
      <c r="J27607" s="8"/>
    </row>
    <row r="27608">
      <c r="C27608" s="15"/>
      <c r="E27608" s="8"/>
      <c r="G27608" s="8"/>
      <c r="J27608" s="8"/>
    </row>
    <row r="27609">
      <c r="C27609" s="15"/>
      <c r="E27609" s="8"/>
      <c r="G27609" s="8"/>
      <c r="J27609" s="8"/>
    </row>
    <row r="27610">
      <c r="C27610" s="15"/>
      <c r="E27610" s="8"/>
      <c r="G27610" s="8"/>
      <c r="J27610" s="8"/>
    </row>
    <row r="27611">
      <c r="C27611" s="15"/>
      <c r="E27611" s="8"/>
      <c r="G27611" s="8"/>
      <c r="J27611" s="8"/>
    </row>
    <row r="27612">
      <c r="C27612" s="15"/>
      <c r="E27612" s="8"/>
      <c r="G27612" s="8"/>
      <c r="J27612" s="8"/>
    </row>
    <row r="27613">
      <c r="C27613" s="15"/>
      <c r="E27613" s="8"/>
      <c r="G27613" s="8"/>
      <c r="J27613" s="8"/>
    </row>
    <row r="27614">
      <c r="C27614" s="15"/>
      <c r="E27614" s="8"/>
      <c r="G27614" s="8"/>
      <c r="J27614" s="8"/>
    </row>
    <row r="27615">
      <c r="C27615" s="15"/>
      <c r="E27615" s="8"/>
      <c r="G27615" s="8"/>
      <c r="J27615" s="8"/>
    </row>
    <row r="27616">
      <c r="C27616" s="15"/>
      <c r="E27616" s="8"/>
      <c r="G27616" s="8"/>
      <c r="J27616" s="8"/>
    </row>
    <row r="27617">
      <c r="C27617" s="15"/>
      <c r="E27617" s="8"/>
      <c r="G27617" s="8"/>
      <c r="J27617" s="8"/>
    </row>
    <row r="27618">
      <c r="C27618" s="15"/>
      <c r="E27618" s="8"/>
      <c r="G27618" s="8"/>
      <c r="J27618" s="8"/>
    </row>
    <row r="27619">
      <c r="C27619" s="15"/>
      <c r="E27619" s="8"/>
      <c r="G27619" s="8"/>
      <c r="J27619" s="8"/>
    </row>
    <row r="27620">
      <c r="C27620" s="15"/>
      <c r="E27620" s="8"/>
      <c r="G27620" s="8"/>
      <c r="J27620" s="8"/>
    </row>
    <row r="27621">
      <c r="C27621" s="15"/>
      <c r="E27621" s="8"/>
      <c r="G27621" s="8"/>
      <c r="J27621" s="8"/>
    </row>
    <row r="27622">
      <c r="C27622" s="15"/>
      <c r="E27622" s="8"/>
      <c r="G27622" s="8"/>
      <c r="J27622" s="8"/>
    </row>
    <row r="27623">
      <c r="C27623" s="15"/>
      <c r="E27623" s="8"/>
      <c r="G27623" s="8"/>
      <c r="J27623" s="8"/>
    </row>
    <row r="27624">
      <c r="C27624" s="15"/>
      <c r="E27624" s="8"/>
      <c r="G27624" s="8"/>
      <c r="J27624" s="8"/>
    </row>
    <row r="27625">
      <c r="C27625" s="15"/>
      <c r="E27625" s="8"/>
      <c r="G27625" s="8"/>
      <c r="J27625" s="8"/>
    </row>
    <row r="27626">
      <c r="C27626" s="15"/>
      <c r="E27626" s="8"/>
      <c r="G27626" s="8"/>
      <c r="J27626" s="8"/>
    </row>
    <row r="27627">
      <c r="C27627" s="15"/>
      <c r="E27627" s="8"/>
      <c r="G27627" s="8"/>
      <c r="J27627" s="8"/>
    </row>
    <row r="27628">
      <c r="C27628" s="15"/>
      <c r="E27628" s="8"/>
      <c r="G27628" s="8"/>
      <c r="J27628" s="8"/>
    </row>
    <row r="27629">
      <c r="C27629" s="15"/>
      <c r="E27629" s="8"/>
      <c r="G27629" s="8"/>
      <c r="J27629" s="8"/>
    </row>
    <row r="27630">
      <c r="C27630" s="15"/>
      <c r="E27630" s="8"/>
      <c r="G27630" s="8"/>
      <c r="J27630" s="8"/>
    </row>
    <row r="27631">
      <c r="C27631" s="15"/>
      <c r="E27631" s="8"/>
      <c r="G27631" s="8"/>
      <c r="J27631" s="8"/>
    </row>
    <row r="27632">
      <c r="C27632" s="15"/>
      <c r="E27632" s="8"/>
      <c r="G27632" s="8"/>
      <c r="J27632" s="8"/>
    </row>
    <row r="27633">
      <c r="C27633" s="15"/>
      <c r="E27633" s="8"/>
      <c r="G27633" s="8"/>
      <c r="J27633" s="8"/>
    </row>
    <row r="27634">
      <c r="C27634" s="15"/>
      <c r="E27634" s="8"/>
      <c r="G27634" s="8"/>
      <c r="J27634" s="8"/>
    </row>
    <row r="27635">
      <c r="C27635" s="15"/>
      <c r="E27635" s="8"/>
      <c r="G27635" s="8"/>
      <c r="J27635" s="8"/>
    </row>
    <row r="27636">
      <c r="C27636" s="15"/>
      <c r="E27636" s="8"/>
      <c r="G27636" s="8"/>
      <c r="J27636" s="8"/>
    </row>
    <row r="27637">
      <c r="C27637" s="15"/>
      <c r="E27637" s="8"/>
      <c r="G27637" s="8"/>
      <c r="J27637" s="8"/>
    </row>
    <row r="27638">
      <c r="C27638" s="15"/>
      <c r="E27638" s="8"/>
      <c r="G27638" s="8"/>
      <c r="J27638" s="8"/>
    </row>
    <row r="27639">
      <c r="C27639" s="15"/>
      <c r="E27639" s="8"/>
      <c r="G27639" s="8"/>
      <c r="J27639" s="8"/>
    </row>
    <row r="27640">
      <c r="C27640" s="15"/>
      <c r="E27640" s="8"/>
      <c r="G27640" s="8"/>
      <c r="J27640" s="8"/>
    </row>
    <row r="27641">
      <c r="C27641" s="15"/>
      <c r="E27641" s="8"/>
      <c r="G27641" s="8"/>
      <c r="J27641" s="8"/>
    </row>
    <row r="27642">
      <c r="C27642" s="15"/>
      <c r="E27642" s="8"/>
      <c r="G27642" s="8"/>
      <c r="J27642" s="8"/>
    </row>
    <row r="27643">
      <c r="C27643" s="15"/>
      <c r="E27643" s="8"/>
      <c r="G27643" s="8"/>
      <c r="J27643" s="8"/>
    </row>
    <row r="27644">
      <c r="C27644" s="15"/>
      <c r="E27644" s="8"/>
      <c r="G27644" s="8"/>
      <c r="J27644" s="8"/>
    </row>
    <row r="27645">
      <c r="C27645" s="15"/>
      <c r="E27645" s="8"/>
      <c r="G27645" s="8"/>
      <c r="J27645" s="8"/>
    </row>
    <row r="27646">
      <c r="C27646" s="15"/>
      <c r="E27646" s="8"/>
      <c r="G27646" s="8"/>
      <c r="J27646" s="8"/>
    </row>
    <row r="27647">
      <c r="C27647" s="15"/>
      <c r="E27647" s="8"/>
      <c r="G27647" s="8"/>
      <c r="J27647" s="8"/>
    </row>
    <row r="27648">
      <c r="C27648" s="15"/>
      <c r="E27648" s="8"/>
      <c r="G27648" s="8"/>
      <c r="J27648" s="8"/>
    </row>
    <row r="27649">
      <c r="C27649" s="15"/>
      <c r="E27649" s="8"/>
      <c r="G27649" s="8"/>
      <c r="J27649" s="8"/>
    </row>
    <row r="27650">
      <c r="C27650" s="15"/>
      <c r="E27650" s="8"/>
      <c r="G27650" s="8"/>
      <c r="J27650" s="8"/>
    </row>
    <row r="27651">
      <c r="C27651" s="15"/>
      <c r="E27651" s="8"/>
      <c r="G27651" s="8"/>
      <c r="J27651" s="8"/>
    </row>
    <row r="27652">
      <c r="C27652" s="15"/>
      <c r="E27652" s="8"/>
      <c r="G27652" s="8"/>
      <c r="J27652" s="8"/>
    </row>
    <row r="27653">
      <c r="C27653" s="15"/>
      <c r="E27653" s="8"/>
      <c r="G27653" s="8"/>
      <c r="J27653" s="8"/>
    </row>
    <row r="27654">
      <c r="C27654" s="15"/>
      <c r="E27654" s="8"/>
      <c r="G27654" s="8"/>
      <c r="J27654" s="8"/>
    </row>
    <row r="27655">
      <c r="C27655" s="15"/>
      <c r="E27655" s="8"/>
      <c r="G27655" s="8"/>
      <c r="J27655" s="8"/>
    </row>
    <row r="27656">
      <c r="C27656" s="15"/>
      <c r="E27656" s="8"/>
      <c r="G27656" s="8"/>
      <c r="J27656" s="8"/>
    </row>
    <row r="27657">
      <c r="C27657" s="15"/>
      <c r="E27657" s="8"/>
      <c r="G27657" s="8"/>
      <c r="J27657" s="8"/>
    </row>
    <row r="27658">
      <c r="C27658" s="15"/>
      <c r="E27658" s="8"/>
      <c r="G27658" s="8"/>
      <c r="J27658" s="8"/>
    </row>
    <row r="27659">
      <c r="C27659" s="15"/>
      <c r="E27659" s="8"/>
      <c r="G27659" s="8"/>
      <c r="J27659" s="8"/>
    </row>
    <row r="27660">
      <c r="C27660" s="15"/>
      <c r="E27660" s="8"/>
      <c r="G27660" s="8"/>
      <c r="J27660" s="8"/>
    </row>
    <row r="27661">
      <c r="C27661" s="15"/>
      <c r="E27661" s="8"/>
      <c r="G27661" s="8"/>
      <c r="J27661" s="8"/>
    </row>
    <row r="27662">
      <c r="C27662" s="15"/>
      <c r="E27662" s="8"/>
      <c r="G27662" s="8"/>
      <c r="J27662" s="8"/>
    </row>
    <row r="27663">
      <c r="C27663" s="15"/>
      <c r="E27663" s="8"/>
      <c r="G27663" s="8"/>
      <c r="J27663" s="8"/>
    </row>
    <row r="27664">
      <c r="C27664" s="15"/>
      <c r="E27664" s="8"/>
      <c r="G27664" s="8"/>
      <c r="J27664" s="8"/>
    </row>
    <row r="27665">
      <c r="C27665" s="15"/>
      <c r="E27665" s="8"/>
      <c r="G27665" s="8"/>
      <c r="J27665" s="8"/>
    </row>
    <row r="27666">
      <c r="C27666" s="15"/>
      <c r="E27666" s="8"/>
      <c r="G27666" s="8"/>
      <c r="J27666" s="8"/>
    </row>
    <row r="27667">
      <c r="C27667" s="15"/>
      <c r="E27667" s="8"/>
      <c r="G27667" s="8"/>
      <c r="J27667" s="8"/>
    </row>
    <row r="27668">
      <c r="C27668" s="15"/>
      <c r="E27668" s="8"/>
      <c r="G27668" s="8"/>
      <c r="J27668" s="8"/>
    </row>
    <row r="27669">
      <c r="C27669" s="15"/>
      <c r="E27669" s="8"/>
      <c r="G27669" s="8"/>
      <c r="J27669" s="8"/>
    </row>
    <row r="27670">
      <c r="C27670" s="15"/>
      <c r="E27670" s="8"/>
      <c r="G27670" s="8"/>
      <c r="J27670" s="8"/>
    </row>
    <row r="27671">
      <c r="C27671" s="15"/>
      <c r="E27671" s="8"/>
      <c r="G27671" s="8"/>
      <c r="J27671" s="8"/>
    </row>
    <row r="27672">
      <c r="C27672" s="15"/>
      <c r="E27672" s="8"/>
      <c r="G27672" s="8"/>
      <c r="J27672" s="8"/>
    </row>
    <row r="27673">
      <c r="C27673" s="15"/>
      <c r="E27673" s="8"/>
      <c r="G27673" s="8"/>
      <c r="J27673" s="8"/>
    </row>
    <row r="27674">
      <c r="C27674" s="15"/>
      <c r="E27674" s="8"/>
      <c r="G27674" s="8"/>
      <c r="J27674" s="8"/>
    </row>
    <row r="27675">
      <c r="C27675" s="15"/>
      <c r="E27675" s="8"/>
      <c r="G27675" s="8"/>
      <c r="J27675" s="8"/>
    </row>
    <row r="27676">
      <c r="C27676" s="15"/>
      <c r="E27676" s="8"/>
      <c r="G27676" s="8"/>
      <c r="J27676" s="8"/>
    </row>
    <row r="27677">
      <c r="C27677" s="15"/>
      <c r="E27677" s="8"/>
      <c r="G27677" s="8"/>
      <c r="J27677" s="8"/>
    </row>
    <row r="27678">
      <c r="C27678" s="15"/>
      <c r="E27678" s="8"/>
      <c r="G27678" s="8"/>
      <c r="J27678" s="8"/>
    </row>
    <row r="27679">
      <c r="C27679" s="15"/>
      <c r="E27679" s="8"/>
      <c r="G27679" s="8"/>
      <c r="J27679" s="8"/>
    </row>
    <row r="27680">
      <c r="C27680" s="15"/>
      <c r="E27680" s="8"/>
      <c r="G27680" s="8"/>
      <c r="J27680" s="8"/>
    </row>
    <row r="27681">
      <c r="C27681" s="15"/>
      <c r="E27681" s="8"/>
      <c r="G27681" s="8"/>
      <c r="J27681" s="8"/>
    </row>
    <row r="27682">
      <c r="C27682" s="15"/>
      <c r="E27682" s="8"/>
      <c r="G27682" s="8"/>
      <c r="J27682" s="8"/>
    </row>
    <row r="27683">
      <c r="C27683" s="15"/>
      <c r="E27683" s="8"/>
      <c r="G27683" s="8"/>
      <c r="J27683" s="8"/>
    </row>
    <row r="27684">
      <c r="C27684" s="15"/>
      <c r="E27684" s="8"/>
      <c r="G27684" s="8"/>
      <c r="J27684" s="8"/>
    </row>
    <row r="27685">
      <c r="C27685" s="15"/>
      <c r="E27685" s="8"/>
      <c r="G27685" s="8"/>
      <c r="J27685" s="8"/>
    </row>
    <row r="27686">
      <c r="C27686" s="15"/>
      <c r="E27686" s="8"/>
      <c r="G27686" s="8"/>
      <c r="J27686" s="8"/>
    </row>
    <row r="27687">
      <c r="C27687" s="15"/>
      <c r="E27687" s="8"/>
      <c r="G27687" s="8"/>
      <c r="J27687" s="8"/>
    </row>
    <row r="27688">
      <c r="C27688" s="15"/>
      <c r="E27688" s="8"/>
      <c r="G27688" s="8"/>
      <c r="J27688" s="8"/>
    </row>
    <row r="27689">
      <c r="C27689" s="15"/>
      <c r="E27689" s="8"/>
      <c r="G27689" s="8"/>
      <c r="J27689" s="8"/>
    </row>
    <row r="27690">
      <c r="C27690" s="15"/>
      <c r="E27690" s="8"/>
      <c r="G27690" s="8"/>
      <c r="J27690" s="8"/>
    </row>
    <row r="27691">
      <c r="C27691" s="15"/>
      <c r="E27691" s="8"/>
      <c r="G27691" s="8"/>
      <c r="J27691" s="8"/>
    </row>
    <row r="27692">
      <c r="C27692" s="15"/>
      <c r="E27692" s="8"/>
      <c r="G27692" s="8"/>
      <c r="J27692" s="8"/>
    </row>
    <row r="27693">
      <c r="C27693" s="15"/>
      <c r="E27693" s="8"/>
      <c r="G27693" s="8"/>
      <c r="J27693" s="8"/>
    </row>
    <row r="27694">
      <c r="C27694" s="15"/>
      <c r="E27694" s="8"/>
      <c r="G27694" s="8"/>
      <c r="J27694" s="8"/>
    </row>
    <row r="27695">
      <c r="C27695" s="15"/>
      <c r="E27695" s="8"/>
      <c r="G27695" s="8"/>
      <c r="J27695" s="8"/>
    </row>
    <row r="27696">
      <c r="C27696" s="15"/>
      <c r="E27696" s="8"/>
      <c r="G27696" s="8"/>
      <c r="J27696" s="8"/>
    </row>
    <row r="27697">
      <c r="C27697" s="15"/>
      <c r="E27697" s="8"/>
      <c r="G27697" s="8"/>
      <c r="J27697" s="8"/>
    </row>
    <row r="27698">
      <c r="C27698" s="15"/>
      <c r="E27698" s="8"/>
      <c r="G27698" s="8"/>
      <c r="J27698" s="8"/>
    </row>
    <row r="27699">
      <c r="C27699" s="15"/>
      <c r="E27699" s="8"/>
      <c r="G27699" s="8"/>
      <c r="J27699" s="8"/>
    </row>
    <row r="27700">
      <c r="C27700" s="15"/>
      <c r="E27700" s="8"/>
      <c r="G27700" s="8"/>
      <c r="J27700" s="8"/>
    </row>
    <row r="27701">
      <c r="C27701" s="15"/>
      <c r="E27701" s="8"/>
      <c r="G27701" s="8"/>
      <c r="J27701" s="8"/>
    </row>
    <row r="27702">
      <c r="C27702" s="15"/>
      <c r="E27702" s="8"/>
      <c r="G27702" s="8"/>
      <c r="J27702" s="8"/>
    </row>
    <row r="27703">
      <c r="C27703" s="15"/>
      <c r="E27703" s="8"/>
      <c r="G27703" s="8"/>
      <c r="J27703" s="8"/>
    </row>
    <row r="27704">
      <c r="C27704" s="15"/>
      <c r="E27704" s="8"/>
      <c r="G27704" s="8"/>
      <c r="J27704" s="8"/>
    </row>
    <row r="27705">
      <c r="C27705" s="15"/>
      <c r="E27705" s="8"/>
      <c r="G27705" s="8"/>
      <c r="J27705" s="8"/>
    </row>
    <row r="27706">
      <c r="C27706" s="15"/>
      <c r="E27706" s="8"/>
      <c r="G27706" s="8"/>
      <c r="J27706" s="8"/>
    </row>
    <row r="27707">
      <c r="C27707" s="15"/>
      <c r="E27707" s="8"/>
      <c r="G27707" s="8"/>
      <c r="J27707" s="8"/>
    </row>
    <row r="27708">
      <c r="C27708" s="15"/>
      <c r="E27708" s="8"/>
      <c r="G27708" s="8"/>
      <c r="J27708" s="8"/>
    </row>
    <row r="27709">
      <c r="C27709" s="15"/>
      <c r="E27709" s="8"/>
      <c r="G27709" s="8"/>
      <c r="J27709" s="8"/>
    </row>
    <row r="27710">
      <c r="C27710" s="15"/>
      <c r="E27710" s="8"/>
      <c r="G27710" s="8"/>
      <c r="J27710" s="8"/>
    </row>
    <row r="27711">
      <c r="C27711" s="15"/>
      <c r="E27711" s="8"/>
      <c r="G27711" s="8"/>
      <c r="J27711" s="8"/>
    </row>
    <row r="27712">
      <c r="C27712" s="15"/>
      <c r="E27712" s="8"/>
      <c r="G27712" s="8"/>
      <c r="J27712" s="8"/>
    </row>
    <row r="27713">
      <c r="C27713" s="15"/>
      <c r="E27713" s="8"/>
      <c r="G27713" s="8"/>
      <c r="J27713" s="8"/>
    </row>
    <row r="27714">
      <c r="C27714" s="15"/>
      <c r="E27714" s="8"/>
      <c r="G27714" s="8"/>
      <c r="J27714" s="8"/>
    </row>
    <row r="27715">
      <c r="C27715" s="15"/>
      <c r="E27715" s="8"/>
      <c r="G27715" s="8"/>
      <c r="J27715" s="8"/>
    </row>
    <row r="27716">
      <c r="C27716" s="15"/>
      <c r="E27716" s="8"/>
      <c r="G27716" s="8"/>
      <c r="J27716" s="8"/>
    </row>
    <row r="27717">
      <c r="C27717" s="15"/>
      <c r="E27717" s="8"/>
      <c r="G27717" s="8"/>
      <c r="J27717" s="8"/>
    </row>
    <row r="27718">
      <c r="C27718" s="15"/>
      <c r="E27718" s="8"/>
      <c r="G27718" s="8"/>
      <c r="J27718" s="8"/>
    </row>
    <row r="27719">
      <c r="C27719" s="15"/>
      <c r="E27719" s="8"/>
      <c r="G27719" s="8"/>
      <c r="J27719" s="8"/>
    </row>
    <row r="27720">
      <c r="C27720" s="15"/>
      <c r="E27720" s="8"/>
      <c r="G27720" s="8"/>
      <c r="J27720" s="8"/>
    </row>
    <row r="27721">
      <c r="C27721" s="15"/>
      <c r="E27721" s="8"/>
      <c r="G27721" s="8"/>
      <c r="J27721" s="8"/>
    </row>
    <row r="27722">
      <c r="C27722" s="15"/>
      <c r="E27722" s="8"/>
      <c r="G27722" s="8"/>
      <c r="J27722" s="8"/>
    </row>
    <row r="27723">
      <c r="C27723" s="15"/>
      <c r="E27723" s="8"/>
      <c r="G27723" s="8"/>
      <c r="J27723" s="8"/>
    </row>
    <row r="27724">
      <c r="C27724" s="15"/>
      <c r="E27724" s="8"/>
      <c r="G27724" s="8"/>
      <c r="J27724" s="8"/>
    </row>
    <row r="27725">
      <c r="C27725" s="15"/>
      <c r="E27725" s="8"/>
      <c r="G27725" s="8"/>
      <c r="J27725" s="8"/>
    </row>
    <row r="27726">
      <c r="C27726" s="15"/>
      <c r="E27726" s="8"/>
      <c r="G27726" s="8"/>
      <c r="J27726" s="8"/>
    </row>
    <row r="27727">
      <c r="C27727" s="15"/>
      <c r="E27727" s="8"/>
      <c r="G27727" s="8"/>
      <c r="J27727" s="8"/>
    </row>
    <row r="27728">
      <c r="C27728" s="15"/>
      <c r="E27728" s="8"/>
      <c r="G27728" s="8"/>
      <c r="J27728" s="8"/>
    </row>
    <row r="27729">
      <c r="C27729" s="15"/>
      <c r="E27729" s="8"/>
      <c r="G27729" s="8"/>
      <c r="J27729" s="8"/>
    </row>
    <row r="27730">
      <c r="C27730" s="15"/>
      <c r="E27730" s="8"/>
      <c r="G27730" s="8"/>
      <c r="J27730" s="8"/>
    </row>
    <row r="27731">
      <c r="C27731" s="15"/>
      <c r="E27731" s="8"/>
      <c r="G27731" s="8"/>
      <c r="J27731" s="8"/>
    </row>
    <row r="27732">
      <c r="C27732" s="15"/>
      <c r="E27732" s="8"/>
      <c r="G27732" s="8"/>
      <c r="J27732" s="8"/>
    </row>
    <row r="27733">
      <c r="C27733" s="15"/>
      <c r="E27733" s="8"/>
      <c r="G27733" s="8"/>
      <c r="J27733" s="8"/>
    </row>
    <row r="27734">
      <c r="C27734" s="15"/>
      <c r="E27734" s="8"/>
      <c r="G27734" s="8"/>
      <c r="J27734" s="8"/>
    </row>
    <row r="27735">
      <c r="C27735" s="15"/>
      <c r="E27735" s="8"/>
      <c r="G27735" s="8"/>
      <c r="J27735" s="8"/>
    </row>
    <row r="27736">
      <c r="C27736" s="15"/>
      <c r="E27736" s="8"/>
      <c r="G27736" s="8"/>
      <c r="J27736" s="8"/>
    </row>
    <row r="27737">
      <c r="C27737" s="15"/>
      <c r="E27737" s="8"/>
      <c r="G27737" s="8"/>
      <c r="J27737" s="8"/>
    </row>
    <row r="27738">
      <c r="C27738" s="15"/>
      <c r="E27738" s="8"/>
      <c r="G27738" s="8"/>
      <c r="J27738" s="8"/>
    </row>
    <row r="27739">
      <c r="C27739" s="15"/>
      <c r="E27739" s="8"/>
      <c r="G27739" s="8"/>
      <c r="J27739" s="8"/>
    </row>
    <row r="27740">
      <c r="C27740" s="15"/>
      <c r="E27740" s="8"/>
      <c r="G27740" s="8"/>
      <c r="J27740" s="8"/>
    </row>
    <row r="27741">
      <c r="C27741" s="15"/>
      <c r="E27741" s="8"/>
      <c r="G27741" s="8"/>
      <c r="J27741" s="8"/>
    </row>
    <row r="27742">
      <c r="C27742" s="15"/>
      <c r="E27742" s="8"/>
      <c r="G27742" s="8"/>
      <c r="J27742" s="8"/>
    </row>
    <row r="27743">
      <c r="C27743" s="15"/>
      <c r="E27743" s="8"/>
      <c r="G27743" s="8"/>
      <c r="J27743" s="8"/>
    </row>
    <row r="27744">
      <c r="C27744" s="15"/>
      <c r="E27744" s="8"/>
      <c r="G27744" s="8"/>
      <c r="J27744" s="8"/>
    </row>
    <row r="27745">
      <c r="C27745" s="15"/>
      <c r="E27745" s="8"/>
      <c r="G27745" s="8"/>
      <c r="J27745" s="8"/>
    </row>
    <row r="27746">
      <c r="C27746" s="15"/>
      <c r="E27746" s="8"/>
      <c r="G27746" s="8"/>
      <c r="J27746" s="8"/>
    </row>
    <row r="27747">
      <c r="C27747" s="15"/>
      <c r="E27747" s="8"/>
      <c r="G27747" s="8"/>
      <c r="J27747" s="8"/>
    </row>
    <row r="27748">
      <c r="C27748" s="15"/>
      <c r="E27748" s="8"/>
      <c r="G27748" s="8"/>
      <c r="J27748" s="8"/>
    </row>
    <row r="27749">
      <c r="C27749" s="15"/>
      <c r="E27749" s="8"/>
      <c r="G27749" s="8"/>
      <c r="J27749" s="8"/>
    </row>
    <row r="27750">
      <c r="C27750" s="15"/>
      <c r="E27750" s="8"/>
      <c r="G27750" s="8"/>
      <c r="J27750" s="8"/>
    </row>
    <row r="27751">
      <c r="C27751" s="15"/>
      <c r="E27751" s="8"/>
      <c r="G27751" s="8"/>
      <c r="J27751" s="8"/>
    </row>
    <row r="27752">
      <c r="C27752" s="15"/>
      <c r="E27752" s="8"/>
      <c r="G27752" s="8"/>
      <c r="J27752" s="8"/>
    </row>
    <row r="27753">
      <c r="C27753" s="15"/>
      <c r="E27753" s="8"/>
      <c r="G27753" s="8"/>
      <c r="J27753" s="8"/>
    </row>
    <row r="27754">
      <c r="C27754" s="15"/>
      <c r="E27754" s="8"/>
      <c r="G27754" s="8"/>
      <c r="J27754" s="8"/>
    </row>
    <row r="27755">
      <c r="C27755" s="15"/>
      <c r="E27755" s="8"/>
      <c r="G27755" s="8"/>
      <c r="J27755" s="8"/>
    </row>
    <row r="27756">
      <c r="C27756" s="15"/>
      <c r="E27756" s="8"/>
      <c r="G27756" s="8"/>
      <c r="J27756" s="8"/>
    </row>
    <row r="27757">
      <c r="C27757" s="15"/>
      <c r="E27757" s="8"/>
      <c r="G27757" s="8"/>
      <c r="J27757" s="8"/>
    </row>
    <row r="27758">
      <c r="C27758" s="15"/>
      <c r="E27758" s="8"/>
      <c r="G27758" s="8"/>
      <c r="J27758" s="8"/>
    </row>
    <row r="27759">
      <c r="C27759" s="15"/>
      <c r="E27759" s="8"/>
      <c r="G27759" s="8"/>
      <c r="J27759" s="8"/>
    </row>
    <row r="27760">
      <c r="C27760" s="15"/>
      <c r="E27760" s="8"/>
      <c r="G27760" s="8"/>
      <c r="J27760" s="8"/>
    </row>
    <row r="27761">
      <c r="C27761" s="15"/>
      <c r="E27761" s="8"/>
      <c r="G27761" s="8"/>
      <c r="J27761" s="8"/>
    </row>
    <row r="27762">
      <c r="C27762" s="15"/>
      <c r="E27762" s="8"/>
      <c r="G27762" s="8"/>
      <c r="J27762" s="8"/>
    </row>
    <row r="27763">
      <c r="C27763" s="15"/>
      <c r="E27763" s="8"/>
      <c r="G27763" s="8"/>
      <c r="J27763" s="8"/>
    </row>
    <row r="27764">
      <c r="C27764" s="15"/>
      <c r="E27764" s="8"/>
      <c r="G27764" s="8"/>
      <c r="J27764" s="8"/>
    </row>
    <row r="27765">
      <c r="C27765" s="15"/>
      <c r="E27765" s="8"/>
      <c r="G27765" s="8"/>
      <c r="J27765" s="8"/>
    </row>
    <row r="27766">
      <c r="C27766" s="15"/>
      <c r="E27766" s="8"/>
      <c r="G27766" s="8"/>
      <c r="J27766" s="8"/>
    </row>
    <row r="27767">
      <c r="C27767" s="15"/>
      <c r="E27767" s="8"/>
      <c r="G27767" s="8"/>
      <c r="J27767" s="8"/>
    </row>
    <row r="27768">
      <c r="C27768" s="15"/>
      <c r="E27768" s="8"/>
      <c r="G27768" s="8"/>
      <c r="J27768" s="8"/>
    </row>
    <row r="27769">
      <c r="C27769" s="15"/>
      <c r="E27769" s="8"/>
      <c r="G27769" s="8"/>
      <c r="J27769" s="8"/>
    </row>
    <row r="27770">
      <c r="C27770" s="15"/>
      <c r="E27770" s="8"/>
      <c r="G27770" s="8"/>
      <c r="J27770" s="8"/>
    </row>
    <row r="27771">
      <c r="C27771" s="15"/>
      <c r="E27771" s="8"/>
      <c r="G27771" s="8"/>
      <c r="J27771" s="8"/>
    </row>
    <row r="27772">
      <c r="C27772" s="15"/>
      <c r="E27772" s="8"/>
      <c r="G27772" s="8"/>
      <c r="J27772" s="8"/>
    </row>
    <row r="27773">
      <c r="C27773" s="15"/>
      <c r="E27773" s="8"/>
      <c r="G27773" s="8"/>
      <c r="J27773" s="8"/>
    </row>
    <row r="27774">
      <c r="C27774" s="15"/>
      <c r="E27774" s="8"/>
      <c r="G27774" s="8"/>
      <c r="J27774" s="8"/>
    </row>
    <row r="27775">
      <c r="C27775" s="15"/>
      <c r="E27775" s="8"/>
      <c r="G27775" s="8"/>
      <c r="J27775" s="8"/>
    </row>
    <row r="27776">
      <c r="C27776" s="15"/>
      <c r="E27776" s="8"/>
      <c r="G27776" s="8"/>
      <c r="J27776" s="8"/>
    </row>
    <row r="27777">
      <c r="C27777" s="15"/>
      <c r="E27777" s="8"/>
      <c r="G27777" s="8"/>
      <c r="J27777" s="8"/>
    </row>
    <row r="27778">
      <c r="C27778" s="15"/>
      <c r="E27778" s="8"/>
      <c r="G27778" s="8"/>
      <c r="J27778" s="8"/>
    </row>
    <row r="27779">
      <c r="C27779" s="15"/>
      <c r="E27779" s="8"/>
      <c r="G27779" s="8"/>
      <c r="J27779" s="8"/>
    </row>
    <row r="27780">
      <c r="C27780" s="15"/>
      <c r="E27780" s="8"/>
      <c r="G27780" s="8"/>
      <c r="J27780" s="8"/>
    </row>
    <row r="27781">
      <c r="C27781" s="15"/>
      <c r="E27781" s="8"/>
      <c r="G27781" s="8"/>
      <c r="J27781" s="8"/>
    </row>
    <row r="27782">
      <c r="C27782" s="15"/>
      <c r="E27782" s="8"/>
      <c r="G27782" s="8"/>
      <c r="J27782" s="8"/>
    </row>
    <row r="27783">
      <c r="C27783" s="15"/>
      <c r="E27783" s="8"/>
      <c r="G27783" s="8"/>
      <c r="J27783" s="8"/>
    </row>
    <row r="27784">
      <c r="C27784" s="15"/>
      <c r="E27784" s="8"/>
      <c r="G27784" s="8"/>
      <c r="J27784" s="8"/>
    </row>
    <row r="27785">
      <c r="C27785" s="15"/>
      <c r="E27785" s="8"/>
      <c r="G27785" s="8"/>
      <c r="J27785" s="8"/>
    </row>
    <row r="27786">
      <c r="C27786" s="15"/>
      <c r="E27786" s="8"/>
      <c r="G27786" s="8"/>
      <c r="J27786" s="8"/>
    </row>
    <row r="27787">
      <c r="C27787" s="15"/>
      <c r="E27787" s="8"/>
      <c r="G27787" s="8"/>
      <c r="J27787" s="8"/>
    </row>
    <row r="27788">
      <c r="C27788" s="15"/>
      <c r="E27788" s="8"/>
      <c r="G27788" s="8"/>
      <c r="J27788" s="8"/>
    </row>
    <row r="27789">
      <c r="C27789" s="15"/>
      <c r="E27789" s="8"/>
      <c r="G27789" s="8"/>
      <c r="J27789" s="8"/>
    </row>
    <row r="27790">
      <c r="C27790" s="15"/>
      <c r="E27790" s="8"/>
      <c r="G27790" s="8"/>
      <c r="J27790" s="8"/>
    </row>
    <row r="27791">
      <c r="C27791" s="15"/>
      <c r="E27791" s="8"/>
      <c r="G27791" s="8"/>
      <c r="J27791" s="8"/>
    </row>
    <row r="27792">
      <c r="C27792" s="15"/>
      <c r="E27792" s="8"/>
      <c r="G27792" s="8"/>
      <c r="J27792" s="8"/>
    </row>
    <row r="27793">
      <c r="C27793" s="15"/>
      <c r="E27793" s="8"/>
      <c r="G27793" s="8"/>
      <c r="J27793" s="8"/>
    </row>
    <row r="27794">
      <c r="C27794" s="15"/>
      <c r="E27794" s="8"/>
      <c r="G27794" s="8"/>
      <c r="J27794" s="8"/>
    </row>
    <row r="27795">
      <c r="C27795" s="15"/>
      <c r="E27795" s="8"/>
      <c r="G27795" s="8"/>
      <c r="J27795" s="8"/>
    </row>
    <row r="27796">
      <c r="C27796" s="15"/>
      <c r="E27796" s="8"/>
      <c r="G27796" s="8"/>
      <c r="J27796" s="8"/>
    </row>
    <row r="27797">
      <c r="C27797" s="15"/>
      <c r="E27797" s="8"/>
      <c r="G27797" s="8"/>
      <c r="J27797" s="8"/>
    </row>
    <row r="27798">
      <c r="C27798" s="15"/>
      <c r="E27798" s="8"/>
      <c r="G27798" s="8"/>
      <c r="J27798" s="8"/>
    </row>
    <row r="27799">
      <c r="C27799" s="15"/>
      <c r="E27799" s="8"/>
      <c r="G27799" s="8"/>
      <c r="J27799" s="8"/>
    </row>
    <row r="27800">
      <c r="C27800" s="15"/>
      <c r="E27800" s="8"/>
      <c r="G27800" s="8"/>
      <c r="J27800" s="8"/>
    </row>
    <row r="27801">
      <c r="C27801" s="15"/>
      <c r="E27801" s="8"/>
      <c r="G27801" s="8"/>
      <c r="J27801" s="8"/>
    </row>
    <row r="27802">
      <c r="C27802" s="15"/>
      <c r="E27802" s="8"/>
      <c r="G27802" s="8"/>
      <c r="J27802" s="8"/>
    </row>
    <row r="27803">
      <c r="C27803" s="15"/>
      <c r="E27803" s="8"/>
      <c r="G27803" s="8"/>
      <c r="J27803" s="8"/>
    </row>
    <row r="27804">
      <c r="C27804" s="15"/>
      <c r="E27804" s="8"/>
      <c r="G27804" s="8"/>
      <c r="J27804" s="8"/>
    </row>
    <row r="27805">
      <c r="C27805" s="15"/>
      <c r="E27805" s="8"/>
      <c r="G27805" s="8"/>
      <c r="J27805" s="8"/>
    </row>
    <row r="27806">
      <c r="C27806" s="15"/>
      <c r="E27806" s="8"/>
      <c r="G27806" s="8"/>
      <c r="J27806" s="8"/>
    </row>
    <row r="27807">
      <c r="C27807" s="15"/>
      <c r="E27807" s="8"/>
      <c r="G27807" s="8"/>
      <c r="J27807" s="8"/>
    </row>
    <row r="27808">
      <c r="C27808" s="15"/>
      <c r="E27808" s="8"/>
      <c r="G27808" s="8"/>
      <c r="J27808" s="8"/>
    </row>
    <row r="27809">
      <c r="C27809" s="15"/>
      <c r="E27809" s="8"/>
      <c r="G27809" s="8"/>
      <c r="J27809" s="8"/>
    </row>
    <row r="27810">
      <c r="C27810" s="15"/>
      <c r="E27810" s="8"/>
      <c r="G27810" s="8"/>
      <c r="J27810" s="8"/>
    </row>
    <row r="27811">
      <c r="C27811" s="15"/>
      <c r="E27811" s="8"/>
      <c r="G27811" s="8"/>
      <c r="J27811" s="8"/>
    </row>
    <row r="27812">
      <c r="C27812" s="15"/>
      <c r="E27812" s="8"/>
      <c r="G27812" s="8"/>
      <c r="J27812" s="8"/>
    </row>
    <row r="27813">
      <c r="C27813" s="15"/>
      <c r="E27813" s="8"/>
      <c r="G27813" s="8"/>
      <c r="J27813" s="8"/>
    </row>
    <row r="27814">
      <c r="C27814" s="15"/>
      <c r="E27814" s="8"/>
      <c r="G27814" s="8"/>
      <c r="J27814" s="8"/>
    </row>
    <row r="27815">
      <c r="C27815" s="15"/>
      <c r="E27815" s="8"/>
      <c r="G27815" s="8"/>
      <c r="J27815" s="8"/>
    </row>
    <row r="27816">
      <c r="C27816" s="15"/>
      <c r="E27816" s="8"/>
      <c r="G27816" s="8"/>
      <c r="J27816" s="8"/>
    </row>
    <row r="27817">
      <c r="C27817" s="15"/>
      <c r="E27817" s="8"/>
      <c r="G27817" s="8"/>
      <c r="J27817" s="8"/>
    </row>
    <row r="27818">
      <c r="C27818" s="15"/>
      <c r="E27818" s="8"/>
      <c r="G27818" s="8"/>
      <c r="J27818" s="8"/>
    </row>
    <row r="27819">
      <c r="C27819" s="15"/>
      <c r="E27819" s="8"/>
      <c r="G27819" s="8"/>
      <c r="J27819" s="8"/>
    </row>
    <row r="27820">
      <c r="C27820" s="15"/>
      <c r="E27820" s="8"/>
      <c r="G27820" s="8"/>
      <c r="J27820" s="8"/>
    </row>
    <row r="27821">
      <c r="C27821" s="15"/>
      <c r="E27821" s="8"/>
      <c r="G27821" s="8"/>
      <c r="J27821" s="8"/>
    </row>
    <row r="27822">
      <c r="C27822" s="15"/>
      <c r="E27822" s="8"/>
      <c r="G27822" s="8"/>
      <c r="J27822" s="8"/>
    </row>
    <row r="27823">
      <c r="C27823" s="15"/>
      <c r="E27823" s="8"/>
      <c r="G27823" s="8"/>
      <c r="J27823" s="8"/>
    </row>
    <row r="27824">
      <c r="C27824" s="15"/>
      <c r="E27824" s="8"/>
      <c r="G27824" s="8"/>
      <c r="J27824" s="8"/>
    </row>
    <row r="27825">
      <c r="C27825" s="15"/>
      <c r="E27825" s="8"/>
      <c r="G27825" s="8"/>
      <c r="J27825" s="8"/>
    </row>
    <row r="27826">
      <c r="C27826" s="15"/>
      <c r="E27826" s="8"/>
      <c r="G27826" s="8"/>
      <c r="J27826" s="8"/>
    </row>
    <row r="27827">
      <c r="C27827" s="15"/>
      <c r="E27827" s="8"/>
      <c r="G27827" s="8"/>
      <c r="J27827" s="8"/>
    </row>
    <row r="27828">
      <c r="C27828" s="15"/>
      <c r="E27828" s="8"/>
      <c r="G27828" s="8"/>
      <c r="J27828" s="8"/>
    </row>
    <row r="27829">
      <c r="C27829" s="15"/>
      <c r="E27829" s="8"/>
      <c r="G27829" s="8"/>
      <c r="J27829" s="8"/>
    </row>
    <row r="27830">
      <c r="C27830" s="15"/>
      <c r="E27830" s="8"/>
      <c r="G27830" s="8"/>
      <c r="J27830" s="8"/>
    </row>
    <row r="27831">
      <c r="C27831" s="15"/>
      <c r="E27831" s="8"/>
      <c r="G27831" s="8"/>
      <c r="J27831" s="8"/>
    </row>
    <row r="27832">
      <c r="C27832" s="15"/>
      <c r="E27832" s="8"/>
      <c r="G27832" s="8"/>
      <c r="J27832" s="8"/>
    </row>
    <row r="27833">
      <c r="C27833" s="15"/>
      <c r="E27833" s="8"/>
      <c r="G27833" s="8"/>
      <c r="J27833" s="8"/>
    </row>
    <row r="27834">
      <c r="C27834" s="15"/>
      <c r="E27834" s="8"/>
      <c r="G27834" s="8"/>
      <c r="J27834" s="8"/>
    </row>
    <row r="27835">
      <c r="C27835" s="15"/>
      <c r="E27835" s="8"/>
      <c r="G27835" s="8"/>
      <c r="J27835" s="8"/>
    </row>
    <row r="27836">
      <c r="C27836" s="15"/>
      <c r="E27836" s="8"/>
      <c r="G27836" s="8"/>
      <c r="J27836" s="8"/>
    </row>
    <row r="27837">
      <c r="C27837" s="15"/>
      <c r="E27837" s="8"/>
      <c r="G27837" s="8"/>
      <c r="J27837" s="8"/>
    </row>
    <row r="27838">
      <c r="C27838" s="15"/>
      <c r="E27838" s="8"/>
      <c r="G27838" s="8"/>
      <c r="J27838" s="8"/>
    </row>
    <row r="27839">
      <c r="C27839" s="15"/>
      <c r="E27839" s="8"/>
      <c r="G27839" s="8"/>
      <c r="J27839" s="8"/>
    </row>
    <row r="27840">
      <c r="C27840" s="15"/>
      <c r="E27840" s="8"/>
      <c r="G27840" s="8"/>
      <c r="J27840" s="8"/>
    </row>
    <row r="27841">
      <c r="C27841" s="15"/>
      <c r="E27841" s="8"/>
      <c r="G27841" s="8"/>
      <c r="J27841" s="8"/>
    </row>
    <row r="27842">
      <c r="C27842" s="15"/>
      <c r="E27842" s="8"/>
      <c r="G27842" s="8"/>
      <c r="J27842" s="8"/>
    </row>
    <row r="27843">
      <c r="C27843" s="15"/>
      <c r="E27843" s="8"/>
      <c r="G27843" s="8"/>
      <c r="J27843" s="8"/>
    </row>
    <row r="27844">
      <c r="C27844" s="15"/>
      <c r="E27844" s="8"/>
      <c r="G27844" s="8"/>
      <c r="J27844" s="8"/>
    </row>
    <row r="27845">
      <c r="C27845" s="15"/>
      <c r="E27845" s="8"/>
      <c r="G27845" s="8"/>
      <c r="J27845" s="8"/>
    </row>
    <row r="27846">
      <c r="C27846" s="15"/>
      <c r="E27846" s="8"/>
      <c r="G27846" s="8"/>
      <c r="J27846" s="8"/>
    </row>
    <row r="27847">
      <c r="C27847" s="15"/>
      <c r="E27847" s="8"/>
      <c r="G27847" s="8"/>
      <c r="J27847" s="8"/>
    </row>
    <row r="27848">
      <c r="C27848" s="15"/>
      <c r="E27848" s="8"/>
      <c r="G27848" s="8"/>
      <c r="J27848" s="8"/>
    </row>
    <row r="27849">
      <c r="C27849" s="15"/>
      <c r="E27849" s="8"/>
      <c r="G27849" s="8"/>
      <c r="J27849" s="8"/>
    </row>
    <row r="27850">
      <c r="C27850" s="15"/>
      <c r="E27850" s="8"/>
      <c r="G27850" s="8"/>
      <c r="J27850" s="8"/>
    </row>
    <row r="27851">
      <c r="C27851" s="15"/>
      <c r="E27851" s="8"/>
      <c r="G27851" s="8"/>
      <c r="J27851" s="8"/>
    </row>
    <row r="27852">
      <c r="C27852" s="15"/>
      <c r="E27852" s="8"/>
      <c r="G27852" s="8"/>
      <c r="J27852" s="8"/>
    </row>
    <row r="27853">
      <c r="C27853" s="15"/>
      <c r="E27853" s="8"/>
      <c r="G27853" s="8"/>
      <c r="J27853" s="8"/>
    </row>
    <row r="27854">
      <c r="C27854" s="15"/>
      <c r="E27854" s="8"/>
      <c r="G27854" s="8"/>
      <c r="J27854" s="8"/>
    </row>
    <row r="27855">
      <c r="C27855" s="15"/>
      <c r="E27855" s="8"/>
      <c r="G27855" s="8"/>
      <c r="J27855" s="8"/>
    </row>
    <row r="27856">
      <c r="C27856" s="15"/>
      <c r="E27856" s="8"/>
      <c r="G27856" s="8"/>
      <c r="J27856" s="8"/>
    </row>
    <row r="27857">
      <c r="C27857" s="15"/>
      <c r="E27857" s="8"/>
      <c r="G27857" s="8"/>
      <c r="J27857" s="8"/>
    </row>
    <row r="27858">
      <c r="C27858" s="15"/>
      <c r="E27858" s="8"/>
      <c r="G27858" s="8"/>
      <c r="J27858" s="8"/>
    </row>
    <row r="27859">
      <c r="C27859" s="15"/>
      <c r="E27859" s="8"/>
      <c r="G27859" s="8"/>
      <c r="J27859" s="8"/>
    </row>
    <row r="27860">
      <c r="C27860" s="15"/>
      <c r="E27860" s="8"/>
      <c r="G27860" s="8"/>
      <c r="J27860" s="8"/>
    </row>
    <row r="27861">
      <c r="C27861" s="15"/>
      <c r="E27861" s="8"/>
      <c r="G27861" s="8"/>
      <c r="J27861" s="8"/>
    </row>
    <row r="27862">
      <c r="C27862" s="15"/>
      <c r="E27862" s="8"/>
      <c r="G27862" s="8"/>
      <c r="J27862" s="8"/>
    </row>
    <row r="27863">
      <c r="C27863" s="15"/>
      <c r="E27863" s="8"/>
      <c r="G27863" s="8"/>
      <c r="J27863" s="8"/>
    </row>
    <row r="27864">
      <c r="C27864" s="15"/>
      <c r="E27864" s="8"/>
      <c r="G27864" s="8"/>
      <c r="J27864" s="8"/>
    </row>
    <row r="27865">
      <c r="C27865" s="15"/>
      <c r="E27865" s="8"/>
      <c r="G27865" s="8"/>
      <c r="J27865" s="8"/>
    </row>
    <row r="27866">
      <c r="C27866" s="15"/>
      <c r="E27866" s="8"/>
      <c r="G27866" s="8"/>
      <c r="J27866" s="8"/>
    </row>
    <row r="27867">
      <c r="C27867" s="15"/>
      <c r="E27867" s="8"/>
      <c r="G27867" s="8"/>
      <c r="J27867" s="8"/>
    </row>
    <row r="27868">
      <c r="C27868" s="15"/>
      <c r="E27868" s="8"/>
      <c r="G27868" s="8"/>
      <c r="J27868" s="8"/>
    </row>
    <row r="27869">
      <c r="C27869" s="15"/>
      <c r="E27869" s="8"/>
      <c r="G27869" s="8"/>
      <c r="J27869" s="8"/>
    </row>
    <row r="27870">
      <c r="C27870" s="15"/>
      <c r="E27870" s="8"/>
      <c r="G27870" s="8"/>
      <c r="J27870" s="8"/>
    </row>
    <row r="27871">
      <c r="C27871" s="15"/>
      <c r="E27871" s="8"/>
      <c r="G27871" s="8"/>
      <c r="J27871" s="8"/>
    </row>
    <row r="27872">
      <c r="C27872" s="15"/>
      <c r="E27872" s="8"/>
      <c r="G27872" s="8"/>
      <c r="J27872" s="8"/>
    </row>
    <row r="27873">
      <c r="C27873" s="15"/>
      <c r="E27873" s="8"/>
      <c r="G27873" s="8"/>
      <c r="J27873" s="8"/>
    </row>
    <row r="27874">
      <c r="C27874" s="15"/>
      <c r="E27874" s="8"/>
      <c r="G27874" s="8"/>
      <c r="J27874" s="8"/>
    </row>
    <row r="27875">
      <c r="C27875" s="15"/>
      <c r="E27875" s="8"/>
      <c r="G27875" s="8"/>
      <c r="J27875" s="8"/>
    </row>
    <row r="27876">
      <c r="C27876" s="15"/>
      <c r="E27876" s="8"/>
      <c r="G27876" s="8"/>
      <c r="J27876" s="8"/>
    </row>
    <row r="27877">
      <c r="C27877" s="15"/>
      <c r="E27877" s="8"/>
      <c r="G27877" s="8"/>
      <c r="J27877" s="8"/>
    </row>
    <row r="27878">
      <c r="C27878" s="15"/>
      <c r="E27878" s="8"/>
      <c r="G27878" s="8"/>
      <c r="J27878" s="8"/>
    </row>
    <row r="27879">
      <c r="C27879" s="15"/>
      <c r="E27879" s="8"/>
      <c r="G27879" s="8"/>
      <c r="J27879" s="8"/>
    </row>
    <row r="27880">
      <c r="C27880" s="15"/>
      <c r="E27880" s="8"/>
      <c r="G27880" s="8"/>
      <c r="J27880" s="8"/>
    </row>
    <row r="27881">
      <c r="C27881" s="15"/>
      <c r="E27881" s="8"/>
      <c r="G27881" s="8"/>
      <c r="J27881" s="8"/>
    </row>
    <row r="27882">
      <c r="C27882" s="15"/>
      <c r="E27882" s="8"/>
      <c r="G27882" s="8"/>
      <c r="J27882" s="8"/>
    </row>
    <row r="27883">
      <c r="C27883" s="15"/>
      <c r="E27883" s="8"/>
      <c r="G27883" s="8"/>
      <c r="J27883" s="8"/>
    </row>
    <row r="27884">
      <c r="C27884" s="15"/>
      <c r="E27884" s="8"/>
      <c r="G27884" s="8"/>
      <c r="J27884" s="8"/>
    </row>
    <row r="27885">
      <c r="C27885" s="15"/>
      <c r="E27885" s="8"/>
      <c r="G27885" s="8"/>
      <c r="J27885" s="8"/>
    </row>
    <row r="27886">
      <c r="C27886" s="15"/>
      <c r="E27886" s="8"/>
      <c r="G27886" s="8"/>
      <c r="J27886" s="8"/>
    </row>
    <row r="27887">
      <c r="C27887" s="15"/>
      <c r="E27887" s="8"/>
      <c r="G27887" s="8"/>
      <c r="J27887" s="8"/>
    </row>
    <row r="27888">
      <c r="C27888" s="15"/>
      <c r="E27888" s="8"/>
      <c r="G27888" s="8"/>
      <c r="J27888" s="8"/>
    </row>
    <row r="27889">
      <c r="C27889" s="15"/>
      <c r="E27889" s="8"/>
      <c r="G27889" s="8"/>
      <c r="J27889" s="8"/>
    </row>
    <row r="27890">
      <c r="C27890" s="15"/>
      <c r="E27890" s="8"/>
      <c r="G27890" s="8"/>
      <c r="J27890" s="8"/>
    </row>
    <row r="27891">
      <c r="C27891" s="15"/>
      <c r="E27891" s="8"/>
      <c r="G27891" s="8"/>
      <c r="J27891" s="8"/>
    </row>
    <row r="27892">
      <c r="C27892" s="15"/>
      <c r="E27892" s="8"/>
      <c r="G27892" s="8"/>
      <c r="J27892" s="8"/>
    </row>
    <row r="27893">
      <c r="C27893" s="15"/>
      <c r="E27893" s="8"/>
      <c r="G27893" s="8"/>
      <c r="J27893" s="8"/>
    </row>
    <row r="27894">
      <c r="C27894" s="15"/>
      <c r="E27894" s="8"/>
      <c r="G27894" s="8"/>
      <c r="J27894" s="8"/>
    </row>
    <row r="27895">
      <c r="C27895" s="15"/>
      <c r="E27895" s="8"/>
      <c r="G27895" s="8"/>
      <c r="J27895" s="8"/>
    </row>
    <row r="27896">
      <c r="C27896" s="15"/>
      <c r="E27896" s="8"/>
      <c r="G27896" s="8"/>
      <c r="J27896" s="8"/>
    </row>
    <row r="27897">
      <c r="C27897" s="15"/>
      <c r="E27897" s="8"/>
      <c r="G27897" s="8"/>
      <c r="J27897" s="8"/>
    </row>
    <row r="27898">
      <c r="C27898" s="15"/>
      <c r="E27898" s="8"/>
      <c r="G27898" s="8"/>
      <c r="J27898" s="8"/>
    </row>
    <row r="27899">
      <c r="C27899" s="15"/>
      <c r="E27899" s="8"/>
      <c r="G27899" s="8"/>
      <c r="J27899" s="8"/>
    </row>
    <row r="27900">
      <c r="C27900" s="15"/>
      <c r="E27900" s="8"/>
      <c r="G27900" s="8"/>
      <c r="J27900" s="8"/>
    </row>
    <row r="27901">
      <c r="C27901" s="15"/>
      <c r="E27901" s="8"/>
      <c r="G27901" s="8"/>
      <c r="J27901" s="8"/>
    </row>
    <row r="27902">
      <c r="C27902" s="15"/>
      <c r="E27902" s="8"/>
      <c r="G27902" s="8"/>
      <c r="J27902" s="8"/>
    </row>
    <row r="27903">
      <c r="C27903" s="15"/>
      <c r="E27903" s="8"/>
      <c r="G27903" s="8"/>
      <c r="J27903" s="8"/>
    </row>
    <row r="27904">
      <c r="C27904" s="15"/>
      <c r="E27904" s="8"/>
      <c r="G27904" s="8"/>
      <c r="J27904" s="8"/>
    </row>
    <row r="27905">
      <c r="C27905" s="15"/>
      <c r="E27905" s="8"/>
      <c r="G27905" s="8"/>
      <c r="J27905" s="8"/>
    </row>
    <row r="27906">
      <c r="C27906" s="15"/>
      <c r="E27906" s="8"/>
      <c r="G27906" s="8"/>
      <c r="J27906" s="8"/>
    </row>
    <row r="27907">
      <c r="C27907" s="15"/>
      <c r="E27907" s="8"/>
      <c r="G27907" s="8"/>
      <c r="J27907" s="8"/>
    </row>
    <row r="27908">
      <c r="C27908" s="15"/>
      <c r="E27908" s="8"/>
      <c r="G27908" s="8"/>
      <c r="J27908" s="8"/>
    </row>
    <row r="27909">
      <c r="C27909" s="15"/>
      <c r="E27909" s="8"/>
      <c r="G27909" s="8"/>
      <c r="J27909" s="8"/>
    </row>
    <row r="27910">
      <c r="C27910" s="15"/>
      <c r="E27910" s="8"/>
      <c r="G27910" s="8"/>
      <c r="J27910" s="8"/>
    </row>
    <row r="27911">
      <c r="C27911" s="15"/>
      <c r="E27911" s="8"/>
      <c r="G27911" s="8"/>
      <c r="J27911" s="8"/>
    </row>
    <row r="27912">
      <c r="C27912" s="15"/>
      <c r="E27912" s="8"/>
      <c r="G27912" s="8"/>
      <c r="J27912" s="8"/>
    </row>
    <row r="27913">
      <c r="C27913" s="15"/>
      <c r="E27913" s="8"/>
      <c r="G27913" s="8"/>
      <c r="J27913" s="8"/>
    </row>
    <row r="27914">
      <c r="C27914" s="15"/>
      <c r="E27914" s="8"/>
      <c r="G27914" s="8"/>
      <c r="J27914" s="8"/>
    </row>
    <row r="27915">
      <c r="C27915" s="15"/>
      <c r="E27915" s="8"/>
      <c r="G27915" s="8"/>
      <c r="J27915" s="8"/>
    </row>
    <row r="27916">
      <c r="C27916" s="15"/>
      <c r="E27916" s="8"/>
      <c r="G27916" s="8"/>
      <c r="J27916" s="8"/>
    </row>
    <row r="27917">
      <c r="C27917" s="15"/>
      <c r="E27917" s="8"/>
      <c r="G27917" s="8"/>
      <c r="J27917" s="8"/>
    </row>
    <row r="27918">
      <c r="C27918" s="15"/>
      <c r="E27918" s="8"/>
      <c r="G27918" s="8"/>
      <c r="J27918" s="8"/>
    </row>
    <row r="27919">
      <c r="C27919" s="15"/>
      <c r="E27919" s="8"/>
      <c r="G27919" s="8"/>
      <c r="J27919" s="8"/>
    </row>
    <row r="27920">
      <c r="C27920" s="15"/>
      <c r="E27920" s="8"/>
      <c r="G27920" s="8"/>
      <c r="J27920" s="8"/>
    </row>
    <row r="27921">
      <c r="C27921" s="15"/>
      <c r="E27921" s="8"/>
      <c r="G27921" s="8"/>
      <c r="J27921" s="8"/>
    </row>
    <row r="27922">
      <c r="C27922" s="15"/>
      <c r="E27922" s="8"/>
      <c r="G27922" s="8"/>
      <c r="J27922" s="8"/>
    </row>
    <row r="27923">
      <c r="C27923" s="15"/>
      <c r="E27923" s="8"/>
      <c r="G27923" s="8"/>
      <c r="J27923" s="8"/>
    </row>
    <row r="27924">
      <c r="C27924" s="15"/>
      <c r="E27924" s="8"/>
      <c r="G27924" s="8"/>
      <c r="J27924" s="8"/>
    </row>
    <row r="27925">
      <c r="C27925" s="15"/>
      <c r="E27925" s="8"/>
      <c r="G27925" s="8"/>
      <c r="J27925" s="8"/>
    </row>
    <row r="27926">
      <c r="C27926" s="15"/>
      <c r="E27926" s="8"/>
      <c r="G27926" s="8"/>
      <c r="J27926" s="8"/>
    </row>
    <row r="27927">
      <c r="C27927" s="15"/>
      <c r="E27927" s="8"/>
      <c r="G27927" s="8"/>
      <c r="J27927" s="8"/>
    </row>
    <row r="27928">
      <c r="C27928" s="15"/>
      <c r="E27928" s="8"/>
      <c r="G27928" s="8"/>
      <c r="J27928" s="8"/>
    </row>
    <row r="27929">
      <c r="C27929" s="15"/>
      <c r="E27929" s="8"/>
      <c r="G27929" s="8"/>
      <c r="J27929" s="8"/>
    </row>
    <row r="27930">
      <c r="C27930" s="15"/>
      <c r="E27930" s="8"/>
      <c r="G27930" s="8"/>
      <c r="J27930" s="8"/>
    </row>
    <row r="27931">
      <c r="C27931" s="15"/>
      <c r="E27931" s="8"/>
      <c r="G27931" s="8"/>
      <c r="J27931" s="8"/>
    </row>
    <row r="27932">
      <c r="C27932" s="15"/>
      <c r="E27932" s="8"/>
      <c r="G27932" s="8"/>
      <c r="J27932" s="8"/>
    </row>
    <row r="27933">
      <c r="C27933" s="15"/>
      <c r="E27933" s="8"/>
      <c r="G27933" s="8"/>
      <c r="J27933" s="8"/>
    </row>
    <row r="27934">
      <c r="C27934" s="15"/>
      <c r="E27934" s="8"/>
      <c r="G27934" s="8"/>
      <c r="J27934" s="8"/>
    </row>
    <row r="27935">
      <c r="C27935" s="15"/>
      <c r="E27935" s="8"/>
      <c r="G27935" s="8"/>
      <c r="J27935" s="8"/>
    </row>
    <row r="27936">
      <c r="C27936" s="15"/>
      <c r="E27936" s="8"/>
      <c r="G27936" s="8"/>
      <c r="J27936" s="8"/>
    </row>
    <row r="27937">
      <c r="C27937" s="15"/>
      <c r="E27937" s="8"/>
      <c r="G27937" s="8"/>
      <c r="J27937" s="8"/>
    </row>
    <row r="27938">
      <c r="C27938" s="15"/>
      <c r="E27938" s="8"/>
      <c r="G27938" s="8"/>
      <c r="J27938" s="8"/>
    </row>
    <row r="27939">
      <c r="C27939" s="15"/>
      <c r="E27939" s="8"/>
      <c r="G27939" s="8"/>
      <c r="J27939" s="8"/>
    </row>
    <row r="27940">
      <c r="C27940" s="15"/>
      <c r="E27940" s="8"/>
      <c r="G27940" s="8"/>
      <c r="J27940" s="8"/>
    </row>
    <row r="27941">
      <c r="C27941" s="15"/>
      <c r="E27941" s="8"/>
      <c r="G27941" s="8"/>
      <c r="J27941" s="8"/>
    </row>
    <row r="27942">
      <c r="C27942" s="15"/>
      <c r="E27942" s="8"/>
      <c r="G27942" s="8"/>
      <c r="J27942" s="8"/>
    </row>
    <row r="27943">
      <c r="C27943" s="15"/>
      <c r="E27943" s="8"/>
      <c r="G27943" s="8"/>
      <c r="J27943" s="8"/>
    </row>
    <row r="27944">
      <c r="C27944" s="15"/>
      <c r="E27944" s="8"/>
      <c r="G27944" s="8"/>
      <c r="J27944" s="8"/>
    </row>
    <row r="27945">
      <c r="C27945" s="15"/>
      <c r="E27945" s="8"/>
      <c r="G27945" s="8"/>
      <c r="J27945" s="8"/>
    </row>
    <row r="27946">
      <c r="C27946" s="15"/>
      <c r="E27946" s="8"/>
      <c r="G27946" s="8"/>
      <c r="J27946" s="8"/>
    </row>
    <row r="27947">
      <c r="C27947" s="15"/>
      <c r="E27947" s="8"/>
      <c r="G27947" s="8"/>
      <c r="J27947" s="8"/>
    </row>
    <row r="27948">
      <c r="C27948" s="15"/>
      <c r="E27948" s="8"/>
      <c r="G27948" s="8"/>
      <c r="J27948" s="8"/>
    </row>
    <row r="27949">
      <c r="C27949" s="15"/>
      <c r="E27949" s="8"/>
      <c r="G27949" s="8"/>
      <c r="J27949" s="8"/>
    </row>
    <row r="27950">
      <c r="C27950" s="15"/>
      <c r="E27950" s="8"/>
      <c r="G27950" s="8"/>
      <c r="J27950" s="8"/>
    </row>
    <row r="27951">
      <c r="C27951" s="15"/>
      <c r="E27951" s="8"/>
      <c r="G27951" s="8"/>
      <c r="J27951" s="8"/>
    </row>
    <row r="27952">
      <c r="C27952" s="15"/>
      <c r="E27952" s="8"/>
      <c r="G27952" s="8"/>
      <c r="J27952" s="8"/>
    </row>
    <row r="27953">
      <c r="C27953" s="15"/>
      <c r="E27953" s="8"/>
      <c r="G27953" s="8"/>
      <c r="J27953" s="8"/>
    </row>
    <row r="27954">
      <c r="C27954" s="15"/>
      <c r="E27954" s="8"/>
      <c r="G27954" s="8"/>
      <c r="J27954" s="8"/>
    </row>
    <row r="27955">
      <c r="C27955" s="15"/>
      <c r="E27955" s="8"/>
      <c r="G27955" s="8"/>
      <c r="J27955" s="8"/>
    </row>
    <row r="27956">
      <c r="C27956" s="15"/>
      <c r="E27956" s="8"/>
      <c r="G27956" s="8"/>
      <c r="J27956" s="8"/>
    </row>
    <row r="27957">
      <c r="C27957" s="15"/>
      <c r="E27957" s="8"/>
      <c r="G27957" s="8"/>
      <c r="J27957" s="8"/>
    </row>
    <row r="27958">
      <c r="C27958" s="15"/>
      <c r="E27958" s="8"/>
      <c r="G27958" s="8"/>
      <c r="J27958" s="8"/>
    </row>
    <row r="27959">
      <c r="C27959" s="15"/>
      <c r="E27959" s="8"/>
      <c r="G27959" s="8"/>
      <c r="J27959" s="8"/>
    </row>
    <row r="27960">
      <c r="C27960" s="15"/>
      <c r="E27960" s="8"/>
      <c r="G27960" s="8"/>
      <c r="J27960" s="8"/>
    </row>
    <row r="27961">
      <c r="C27961" s="15"/>
      <c r="E27961" s="8"/>
      <c r="G27961" s="8"/>
      <c r="J27961" s="8"/>
    </row>
    <row r="27962">
      <c r="C27962" s="15"/>
      <c r="E27962" s="8"/>
      <c r="G27962" s="8"/>
      <c r="J27962" s="8"/>
    </row>
    <row r="27963">
      <c r="C27963" s="15"/>
      <c r="E27963" s="8"/>
      <c r="G27963" s="8"/>
      <c r="J27963" s="8"/>
    </row>
    <row r="27964">
      <c r="C27964" s="15"/>
      <c r="E27964" s="8"/>
      <c r="G27964" s="8"/>
      <c r="J27964" s="8"/>
    </row>
    <row r="27965">
      <c r="C27965" s="15"/>
      <c r="E27965" s="8"/>
      <c r="G27965" s="8"/>
      <c r="J27965" s="8"/>
    </row>
    <row r="27966">
      <c r="C27966" s="15"/>
      <c r="E27966" s="8"/>
      <c r="G27966" s="8"/>
      <c r="J27966" s="8"/>
    </row>
    <row r="27967">
      <c r="C27967" s="15"/>
      <c r="E27967" s="8"/>
      <c r="G27967" s="8"/>
      <c r="J27967" s="8"/>
    </row>
    <row r="27968">
      <c r="C27968" s="15"/>
      <c r="E27968" s="8"/>
      <c r="G27968" s="8"/>
      <c r="J27968" s="8"/>
    </row>
    <row r="27969">
      <c r="C27969" s="15"/>
      <c r="E27969" s="8"/>
      <c r="G27969" s="8"/>
      <c r="J27969" s="8"/>
    </row>
    <row r="27970">
      <c r="C27970" s="15"/>
      <c r="E27970" s="8"/>
      <c r="G27970" s="8"/>
      <c r="J27970" s="8"/>
    </row>
    <row r="27971">
      <c r="C27971" s="15"/>
      <c r="E27971" s="8"/>
      <c r="G27971" s="8"/>
      <c r="J27971" s="8"/>
    </row>
    <row r="27972">
      <c r="C27972" s="15"/>
      <c r="E27972" s="8"/>
      <c r="G27972" s="8"/>
      <c r="J27972" s="8"/>
    </row>
    <row r="27973">
      <c r="C27973" s="15"/>
      <c r="E27973" s="8"/>
      <c r="G27973" s="8"/>
      <c r="J27973" s="8"/>
    </row>
    <row r="27974">
      <c r="C27974" s="15"/>
      <c r="E27974" s="8"/>
      <c r="G27974" s="8"/>
      <c r="J27974" s="8"/>
    </row>
    <row r="27975">
      <c r="C27975" s="15"/>
      <c r="E27975" s="8"/>
      <c r="G27975" s="8"/>
      <c r="J27975" s="8"/>
    </row>
    <row r="27976">
      <c r="C27976" s="15"/>
      <c r="E27976" s="8"/>
      <c r="G27976" s="8"/>
      <c r="J27976" s="8"/>
    </row>
    <row r="27977">
      <c r="C27977" s="15"/>
      <c r="E27977" s="8"/>
      <c r="G27977" s="8"/>
      <c r="J27977" s="8"/>
    </row>
    <row r="27978">
      <c r="C27978" s="15"/>
      <c r="E27978" s="8"/>
      <c r="G27978" s="8"/>
      <c r="J27978" s="8"/>
    </row>
    <row r="27979">
      <c r="C27979" s="15"/>
      <c r="E27979" s="8"/>
      <c r="G27979" s="8"/>
      <c r="J27979" s="8"/>
    </row>
    <row r="27980">
      <c r="C27980" s="15"/>
      <c r="E27980" s="8"/>
      <c r="G27980" s="8"/>
      <c r="J27980" s="8"/>
    </row>
    <row r="27981">
      <c r="C27981" s="15"/>
      <c r="E27981" s="8"/>
      <c r="G27981" s="8"/>
      <c r="J27981" s="8"/>
    </row>
    <row r="27982">
      <c r="C27982" s="15"/>
      <c r="E27982" s="8"/>
      <c r="G27982" s="8"/>
      <c r="J27982" s="8"/>
    </row>
    <row r="27983">
      <c r="C27983" s="15"/>
      <c r="E27983" s="8"/>
      <c r="G27983" s="8"/>
      <c r="J27983" s="8"/>
    </row>
    <row r="27984">
      <c r="C27984" s="15"/>
      <c r="E27984" s="8"/>
      <c r="G27984" s="8"/>
      <c r="J27984" s="8"/>
    </row>
    <row r="27985">
      <c r="C27985" s="15"/>
      <c r="E27985" s="8"/>
      <c r="G27985" s="8"/>
      <c r="J27985" s="8"/>
    </row>
    <row r="27986">
      <c r="C27986" s="15"/>
      <c r="E27986" s="8"/>
      <c r="G27986" s="8"/>
      <c r="J27986" s="8"/>
    </row>
    <row r="27987">
      <c r="C27987" s="15"/>
      <c r="E27987" s="8"/>
      <c r="G27987" s="8"/>
      <c r="J27987" s="8"/>
    </row>
    <row r="27988">
      <c r="C27988" s="15"/>
      <c r="E27988" s="8"/>
      <c r="G27988" s="8"/>
      <c r="J27988" s="8"/>
    </row>
    <row r="27989">
      <c r="C27989" s="15"/>
      <c r="E27989" s="8"/>
      <c r="G27989" s="8"/>
      <c r="J27989" s="8"/>
    </row>
    <row r="27990">
      <c r="C27990" s="15"/>
      <c r="E27990" s="8"/>
      <c r="G27990" s="8"/>
      <c r="J27990" s="8"/>
    </row>
    <row r="27991">
      <c r="C27991" s="15"/>
      <c r="E27991" s="8"/>
      <c r="G27991" s="8"/>
      <c r="J27991" s="8"/>
    </row>
    <row r="27992">
      <c r="C27992" s="15"/>
      <c r="E27992" s="8"/>
      <c r="G27992" s="8"/>
      <c r="J27992" s="8"/>
    </row>
    <row r="27993">
      <c r="C27993" s="15"/>
      <c r="E27993" s="8"/>
      <c r="G27993" s="8"/>
      <c r="J27993" s="8"/>
    </row>
    <row r="27994">
      <c r="C27994" s="15"/>
      <c r="E27994" s="8"/>
      <c r="G27994" s="8"/>
      <c r="J27994" s="8"/>
    </row>
    <row r="27995">
      <c r="C27995" s="15"/>
      <c r="E27995" s="8"/>
      <c r="G27995" s="8"/>
      <c r="J27995" s="8"/>
    </row>
    <row r="27996">
      <c r="C27996" s="15"/>
      <c r="E27996" s="8"/>
      <c r="G27996" s="8"/>
      <c r="J27996" s="8"/>
    </row>
    <row r="27997">
      <c r="C27997" s="15"/>
      <c r="E27997" s="8"/>
      <c r="G27997" s="8"/>
      <c r="J27997" s="8"/>
    </row>
    <row r="27998">
      <c r="C27998" s="15"/>
      <c r="E27998" s="8"/>
      <c r="G27998" s="8"/>
      <c r="J27998" s="8"/>
    </row>
    <row r="27999">
      <c r="C27999" s="15"/>
      <c r="E27999" s="8"/>
      <c r="G27999" s="8"/>
      <c r="J27999" s="8"/>
    </row>
    <row r="28000">
      <c r="C28000" s="15"/>
      <c r="E28000" s="8"/>
      <c r="G28000" s="8"/>
      <c r="J28000" s="8"/>
    </row>
    <row r="28001">
      <c r="C28001" s="15"/>
      <c r="E28001" s="8"/>
      <c r="G28001" s="8"/>
      <c r="J28001" s="8"/>
    </row>
    <row r="28002">
      <c r="C28002" s="15"/>
      <c r="E28002" s="8"/>
      <c r="G28002" s="8"/>
      <c r="J28002" s="8"/>
    </row>
    <row r="28003">
      <c r="C28003" s="15"/>
      <c r="E28003" s="8"/>
      <c r="G28003" s="8"/>
      <c r="J28003" s="8"/>
    </row>
    <row r="28004">
      <c r="C28004" s="15"/>
      <c r="E28004" s="8"/>
      <c r="G28004" s="8"/>
      <c r="J28004" s="8"/>
    </row>
    <row r="28005">
      <c r="C28005" s="15"/>
      <c r="E28005" s="8"/>
      <c r="G28005" s="8"/>
      <c r="J28005" s="8"/>
    </row>
    <row r="28006">
      <c r="C28006" s="15"/>
      <c r="E28006" s="8"/>
      <c r="G28006" s="8"/>
      <c r="J28006" s="8"/>
    </row>
    <row r="28007">
      <c r="C28007" s="15"/>
      <c r="E28007" s="8"/>
      <c r="G28007" s="8"/>
      <c r="J28007" s="8"/>
    </row>
    <row r="28008">
      <c r="C28008" s="15"/>
      <c r="E28008" s="8"/>
      <c r="G28008" s="8"/>
      <c r="J28008" s="8"/>
    </row>
    <row r="28009">
      <c r="C28009" s="15"/>
      <c r="E28009" s="8"/>
      <c r="G28009" s="8"/>
      <c r="J28009" s="8"/>
    </row>
    <row r="28010">
      <c r="C28010" s="15"/>
      <c r="E28010" s="8"/>
      <c r="G28010" s="8"/>
      <c r="J28010" s="8"/>
    </row>
    <row r="28011">
      <c r="C28011" s="15"/>
      <c r="E28011" s="8"/>
      <c r="G28011" s="8"/>
      <c r="J28011" s="8"/>
    </row>
    <row r="28012">
      <c r="C28012" s="15"/>
      <c r="E28012" s="8"/>
      <c r="G28012" s="8"/>
      <c r="J28012" s="8"/>
    </row>
    <row r="28013">
      <c r="C28013" s="15"/>
      <c r="E28013" s="8"/>
      <c r="G28013" s="8"/>
      <c r="J28013" s="8"/>
    </row>
    <row r="28014">
      <c r="C28014" s="15"/>
      <c r="E28014" s="8"/>
      <c r="G28014" s="8"/>
      <c r="J28014" s="8"/>
    </row>
    <row r="28015">
      <c r="C28015" s="15"/>
      <c r="E28015" s="8"/>
      <c r="G28015" s="8"/>
      <c r="J28015" s="8"/>
    </row>
    <row r="28016">
      <c r="C28016" s="15"/>
      <c r="E28016" s="8"/>
      <c r="G28016" s="8"/>
      <c r="J28016" s="8"/>
    </row>
    <row r="28017">
      <c r="C28017" s="15"/>
      <c r="E28017" s="8"/>
      <c r="G28017" s="8"/>
      <c r="J28017" s="8"/>
    </row>
    <row r="28018">
      <c r="C28018" s="15"/>
      <c r="E28018" s="8"/>
      <c r="G28018" s="8"/>
      <c r="J28018" s="8"/>
    </row>
    <row r="28019">
      <c r="C28019" s="15"/>
      <c r="E28019" s="8"/>
      <c r="G28019" s="8"/>
      <c r="J28019" s="8"/>
    </row>
    <row r="28020">
      <c r="C28020" s="15"/>
      <c r="E28020" s="8"/>
      <c r="G28020" s="8"/>
      <c r="J28020" s="8"/>
    </row>
    <row r="28021">
      <c r="C28021" s="15"/>
      <c r="E28021" s="8"/>
      <c r="G28021" s="8"/>
      <c r="J28021" s="8"/>
    </row>
    <row r="28022">
      <c r="C28022" s="15"/>
      <c r="E28022" s="8"/>
      <c r="G28022" s="8"/>
      <c r="J28022" s="8"/>
    </row>
    <row r="28023">
      <c r="C28023" s="15"/>
      <c r="E28023" s="8"/>
      <c r="G28023" s="8"/>
      <c r="J28023" s="8"/>
    </row>
    <row r="28024">
      <c r="C28024" s="15"/>
      <c r="E28024" s="8"/>
      <c r="G28024" s="8"/>
      <c r="J28024" s="8"/>
    </row>
    <row r="28025">
      <c r="C28025" s="15"/>
      <c r="E28025" s="8"/>
      <c r="G28025" s="8"/>
      <c r="J28025" s="8"/>
    </row>
    <row r="28026">
      <c r="C28026" s="15"/>
      <c r="E28026" s="8"/>
      <c r="G28026" s="8"/>
      <c r="J28026" s="8"/>
    </row>
    <row r="28027">
      <c r="C28027" s="15"/>
      <c r="E28027" s="8"/>
      <c r="G28027" s="8"/>
      <c r="J28027" s="8"/>
    </row>
    <row r="28028">
      <c r="C28028" s="15"/>
      <c r="E28028" s="8"/>
      <c r="G28028" s="8"/>
      <c r="J28028" s="8"/>
    </row>
    <row r="28029">
      <c r="C28029" s="15"/>
      <c r="E28029" s="8"/>
      <c r="G28029" s="8"/>
      <c r="J28029" s="8"/>
    </row>
    <row r="28030">
      <c r="C28030" s="15"/>
      <c r="E28030" s="8"/>
      <c r="G28030" s="8"/>
      <c r="J28030" s="8"/>
    </row>
    <row r="28031">
      <c r="C28031" s="15"/>
      <c r="E28031" s="8"/>
      <c r="G28031" s="8"/>
      <c r="J28031" s="8"/>
    </row>
    <row r="28032">
      <c r="C28032" s="15"/>
      <c r="E28032" s="8"/>
      <c r="G28032" s="8"/>
      <c r="J28032" s="8"/>
    </row>
    <row r="28033">
      <c r="C28033" s="15"/>
      <c r="E28033" s="8"/>
      <c r="G28033" s="8"/>
      <c r="J28033" s="8"/>
    </row>
    <row r="28034">
      <c r="C28034" s="15"/>
      <c r="E28034" s="8"/>
      <c r="G28034" s="8"/>
      <c r="J28034" s="8"/>
    </row>
    <row r="28035">
      <c r="C28035" s="15"/>
      <c r="E28035" s="8"/>
      <c r="G28035" s="8"/>
      <c r="J28035" s="8"/>
    </row>
    <row r="28036">
      <c r="C28036" s="15"/>
      <c r="E28036" s="8"/>
      <c r="G28036" s="8"/>
      <c r="J28036" s="8"/>
    </row>
    <row r="28037">
      <c r="C28037" s="15"/>
      <c r="E28037" s="8"/>
      <c r="G28037" s="8"/>
      <c r="J28037" s="8"/>
    </row>
    <row r="28038">
      <c r="C28038" s="15"/>
      <c r="E28038" s="8"/>
      <c r="G28038" s="8"/>
      <c r="J28038" s="8"/>
    </row>
    <row r="28039">
      <c r="C28039" s="15"/>
      <c r="E28039" s="8"/>
      <c r="G28039" s="8"/>
      <c r="J28039" s="8"/>
    </row>
    <row r="28040">
      <c r="C28040" s="15"/>
      <c r="E28040" s="8"/>
      <c r="G28040" s="8"/>
      <c r="J28040" s="8"/>
    </row>
    <row r="28041">
      <c r="C28041" s="15"/>
      <c r="E28041" s="8"/>
      <c r="G28041" s="8"/>
      <c r="J28041" s="8"/>
    </row>
    <row r="28042">
      <c r="C28042" s="15"/>
      <c r="E28042" s="8"/>
      <c r="G28042" s="8"/>
      <c r="J28042" s="8"/>
    </row>
    <row r="28043">
      <c r="C28043" s="15"/>
      <c r="E28043" s="8"/>
      <c r="G28043" s="8"/>
      <c r="J28043" s="8"/>
    </row>
    <row r="28044">
      <c r="C28044" s="15"/>
      <c r="E28044" s="8"/>
      <c r="G28044" s="8"/>
      <c r="J28044" s="8"/>
    </row>
    <row r="28045">
      <c r="C28045" s="15"/>
      <c r="E28045" s="8"/>
      <c r="G28045" s="8"/>
      <c r="J28045" s="8"/>
    </row>
    <row r="28046">
      <c r="C28046" s="15"/>
      <c r="E28046" s="8"/>
      <c r="G28046" s="8"/>
      <c r="J28046" s="8"/>
    </row>
    <row r="28047">
      <c r="C28047" s="15"/>
      <c r="E28047" s="8"/>
      <c r="G28047" s="8"/>
      <c r="J28047" s="8"/>
    </row>
    <row r="28048">
      <c r="C28048" s="15"/>
      <c r="E28048" s="8"/>
      <c r="G28048" s="8"/>
      <c r="J28048" s="8"/>
    </row>
    <row r="28049">
      <c r="C28049" s="15"/>
      <c r="E28049" s="8"/>
      <c r="G28049" s="8"/>
      <c r="J28049" s="8"/>
    </row>
    <row r="28050">
      <c r="C28050" s="15"/>
      <c r="E28050" s="8"/>
      <c r="G28050" s="8"/>
      <c r="J28050" s="8"/>
    </row>
    <row r="28051">
      <c r="C28051" s="15"/>
      <c r="E28051" s="8"/>
      <c r="G28051" s="8"/>
      <c r="J28051" s="8"/>
    </row>
    <row r="28052">
      <c r="C28052" s="15"/>
      <c r="E28052" s="8"/>
      <c r="G28052" s="8"/>
      <c r="J28052" s="8"/>
    </row>
    <row r="28053">
      <c r="C28053" s="15"/>
      <c r="E28053" s="8"/>
      <c r="G28053" s="8"/>
      <c r="J28053" s="8"/>
    </row>
    <row r="28054">
      <c r="C28054" s="15"/>
      <c r="E28054" s="8"/>
      <c r="G28054" s="8"/>
      <c r="J28054" s="8"/>
    </row>
    <row r="28055">
      <c r="C28055" s="15"/>
      <c r="E28055" s="8"/>
      <c r="G28055" s="8"/>
      <c r="J28055" s="8"/>
    </row>
    <row r="28056">
      <c r="C28056" s="15"/>
      <c r="E28056" s="8"/>
      <c r="G28056" s="8"/>
      <c r="J28056" s="8"/>
    </row>
    <row r="28057">
      <c r="C28057" s="15"/>
      <c r="E28057" s="8"/>
      <c r="G28057" s="8"/>
      <c r="J28057" s="8"/>
    </row>
    <row r="28058">
      <c r="C28058" s="15"/>
      <c r="E28058" s="8"/>
      <c r="G28058" s="8"/>
      <c r="J28058" s="8"/>
    </row>
    <row r="28059">
      <c r="C28059" s="15"/>
      <c r="E28059" s="8"/>
      <c r="G28059" s="8"/>
      <c r="J28059" s="8"/>
    </row>
    <row r="28060">
      <c r="C28060" s="15"/>
      <c r="E28060" s="8"/>
      <c r="G28060" s="8"/>
      <c r="J28060" s="8"/>
    </row>
    <row r="28061">
      <c r="C28061" s="15"/>
      <c r="E28061" s="8"/>
      <c r="G28061" s="8"/>
      <c r="J28061" s="8"/>
    </row>
    <row r="28062">
      <c r="C28062" s="15"/>
      <c r="E28062" s="8"/>
      <c r="G28062" s="8"/>
      <c r="J28062" s="8"/>
    </row>
    <row r="28063">
      <c r="C28063" s="15"/>
      <c r="E28063" s="8"/>
      <c r="G28063" s="8"/>
      <c r="J28063" s="8"/>
    </row>
    <row r="28064">
      <c r="C28064" s="15"/>
      <c r="E28064" s="8"/>
      <c r="G28064" s="8"/>
      <c r="J28064" s="8"/>
    </row>
    <row r="28065">
      <c r="C28065" s="15"/>
      <c r="E28065" s="8"/>
      <c r="G28065" s="8"/>
      <c r="J28065" s="8"/>
    </row>
    <row r="28066">
      <c r="C28066" s="15"/>
      <c r="E28066" s="8"/>
      <c r="G28066" s="8"/>
      <c r="J28066" s="8"/>
    </row>
    <row r="28067">
      <c r="C28067" s="15"/>
      <c r="E28067" s="8"/>
      <c r="G28067" s="8"/>
      <c r="J28067" s="8"/>
    </row>
    <row r="28068">
      <c r="C28068" s="15"/>
      <c r="E28068" s="8"/>
      <c r="G28068" s="8"/>
      <c r="J28068" s="8"/>
    </row>
    <row r="28069">
      <c r="C28069" s="15"/>
      <c r="E28069" s="8"/>
      <c r="G28069" s="8"/>
      <c r="J28069" s="8"/>
    </row>
    <row r="28070">
      <c r="C28070" s="15"/>
      <c r="E28070" s="8"/>
      <c r="G28070" s="8"/>
      <c r="J28070" s="8"/>
    </row>
    <row r="28071">
      <c r="C28071" s="15"/>
      <c r="E28071" s="8"/>
      <c r="G28071" s="8"/>
      <c r="J28071" s="8"/>
    </row>
    <row r="28072">
      <c r="C28072" s="15"/>
      <c r="E28072" s="8"/>
      <c r="G28072" s="8"/>
      <c r="J28072" s="8"/>
    </row>
    <row r="28073">
      <c r="C28073" s="15"/>
      <c r="E28073" s="8"/>
      <c r="G28073" s="8"/>
      <c r="J28073" s="8"/>
    </row>
    <row r="28074">
      <c r="C28074" s="15"/>
      <c r="E28074" s="8"/>
      <c r="G28074" s="8"/>
      <c r="J28074" s="8"/>
    </row>
    <row r="28075">
      <c r="C28075" s="15"/>
      <c r="E28075" s="8"/>
      <c r="G28075" s="8"/>
      <c r="J28075" s="8"/>
    </row>
    <row r="28076">
      <c r="C28076" s="15"/>
      <c r="E28076" s="8"/>
      <c r="G28076" s="8"/>
      <c r="J28076" s="8"/>
    </row>
    <row r="28077">
      <c r="C28077" s="15"/>
      <c r="E28077" s="8"/>
      <c r="G28077" s="8"/>
      <c r="J28077" s="8"/>
    </row>
    <row r="28078">
      <c r="C28078" s="15"/>
      <c r="E28078" s="8"/>
      <c r="G28078" s="8"/>
      <c r="J28078" s="8"/>
    </row>
    <row r="28079">
      <c r="C28079" s="15"/>
      <c r="E28079" s="8"/>
      <c r="G28079" s="8"/>
      <c r="J28079" s="8"/>
    </row>
    <row r="28080">
      <c r="C28080" s="15"/>
      <c r="E28080" s="8"/>
      <c r="G28080" s="8"/>
      <c r="J28080" s="8"/>
    </row>
    <row r="28081">
      <c r="C28081" s="15"/>
      <c r="E28081" s="8"/>
      <c r="G28081" s="8"/>
      <c r="J28081" s="8"/>
    </row>
    <row r="28082">
      <c r="C28082" s="15"/>
      <c r="E28082" s="8"/>
      <c r="G28082" s="8"/>
      <c r="J28082" s="8"/>
    </row>
    <row r="28083">
      <c r="C28083" s="15"/>
      <c r="E28083" s="8"/>
      <c r="G28083" s="8"/>
      <c r="J28083" s="8"/>
    </row>
    <row r="28084">
      <c r="C28084" s="15"/>
      <c r="E28084" s="8"/>
      <c r="G28084" s="8"/>
      <c r="J28084" s="8"/>
    </row>
    <row r="28085">
      <c r="C28085" s="15"/>
      <c r="E28085" s="8"/>
      <c r="G28085" s="8"/>
      <c r="J28085" s="8"/>
    </row>
    <row r="28086">
      <c r="C28086" s="15"/>
      <c r="E28086" s="8"/>
      <c r="G28086" s="8"/>
      <c r="J28086" s="8"/>
    </row>
    <row r="28087">
      <c r="C28087" s="15"/>
      <c r="E28087" s="8"/>
      <c r="G28087" s="8"/>
      <c r="J28087" s="8"/>
    </row>
    <row r="28088">
      <c r="C28088" s="15"/>
      <c r="E28088" s="8"/>
      <c r="G28088" s="8"/>
      <c r="J28088" s="8"/>
    </row>
    <row r="28089">
      <c r="C28089" s="15"/>
      <c r="E28089" s="8"/>
      <c r="G28089" s="8"/>
      <c r="J28089" s="8"/>
    </row>
    <row r="28090">
      <c r="C28090" s="15"/>
      <c r="E28090" s="8"/>
      <c r="G28090" s="8"/>
      <c r="J28090" s="8"/>
    </row>
    <row r="28091">
      <c r="C28091" s="15"/>
      <c r="E28091" s="8"/>
      <c r="G28091" s="8"/>
      <c r="J28091" s="8"/>
    </row>
    <row r="28092">
      <c r="C28092" s="15"/>
      <c r="E28092" s="8"/>
      <c r="G28092" s="8"/>
      <c r="J28092" s="8"/>
    </row>
    <row r="28093">
      <c r="C28093" s="15"/>
      <c r="E28093" s="8"/>
      <c r="G28093" s="8"/>
      <c r="J28093" s="8"/>
    </row>
    <row r="28094">
      <c r="C28094" s="15"/>
      <c r="E28094" s="8"/>
      <c r="G28094" s="8"/>
      <c r="J28094" s="8"/>
    </row>
    <row r="28095">
      <c r="C28095" s="15"/>
      <c r="E28095" s="8"/>
      <c r="G28095" s="8"/>
      <c r="J28095" s="8"/>
    </row>
    <row r="28096">
      <c r="C28096" s="15"/>
      <c r="E28096" s="8"/>
      <c r="G28096" s="8"/>
      <c r="J28096" s="8"/>
    </row>
    <row r="28097">
      <c r="C28097" s="15"/>
      <c r="E28097" s="8"/>
      <c r="G28097" s="8"/>
      <c r="J28097" s="8"/>
    </row>
    <row r="28098">
      <c r="C28098" s="15"/>
      <c r="E28098" s="8"/>
      <c r="G28098" s="8"/>
      <c r="J28098" s="8"/>
    </row>
    <row r="28099">
      <c r="C28099" s="15"/>
      <c r="E28099" s="8"/>
      <c r="G28099" s="8"/>
      <c r="J28099" s="8"/>
    </row>
    <row r="28100">
      <c r="C28100" s="15"/>
      <c r="E28100" s="8"/>
      <c r="G28100" s="8"/>
      <c r="J28100" s="8"/>
    </row>
    <row r="28101">
      <c r="C28101" s="15"/>
      <c r="E28101" s="8"/>
      <c r="G28101" s="8"/>
      <c r="J28101" s="8"/>
    </row>
    <row r="28102">
      <c r="C28102" s="15"/>
      <c r="E28102" s="8"/>
      <c r="G28102" s="8"/>
      <c r="J28102" s="8"/>
    </row>
    <row r="28103">
      <c r="C28103" s="15"/>
      <c r="E28103" s="8"/>
      <c r="G28103" s="8"/>
      <c r="J28103" s="8"/>
    </row>
    <row r="28104">
      <c r="C28104" s="15"/>
      <c r="E28104" s="8"/>
      <c r="G28104" s="8"/>
      <c r="J28104" s="8"/>
    </row>
    <row r="28105">
      <c r="C28105" s="15"/>
      <c r="E28105" s="8"/>
      <c r="G28105" s="8"/>
      <c r="J28105" s="8"/>
    </row>
    <row r="28106">
      <c r="C28106" s="15"/>
      <c r="E28106" s="8"/>
      <c r="G28106" s="8"/>
      <c r="J28106" s="8"/>
    </row>
    <row r="28107">
      <c r="C28107" s="15"/>
      <c r="E28107" s="8"/>
      <c r="G28107" s="8"/>
      <c r="J28107" s="8"/>
    </row>
    <row r="28108">
      <c r="C28108" s="15"/>
      <c r="E28108" s="8"/>
      <c r="G28108" s="8"/>
      <c r="J28108" s="8"/>
    </row>
    <row r="28109">
      <c r="C28109" s="15"/>
      <c r="E28109" s="8"/>
      <c r="G28109" s="8"/>
      <c r="J28109" s="8"/>
    </row>
    <row r="28110">
      <c r="C28110" s="15"/>
      <c r="E28110" s="8"/>
      <c r="G28110" s="8"/>
      <c r="J28110" s="8"/>
    </row>
    <row r="28111">
      <c r="C28111" s="15"/>
      <c r="E28111" s="8"/>
      <c r="G28111" s="8"/>
      <c r="J28111" s="8"/>
    </row>
    <row r="28112">
      <c r="C28112" s="15"/>
      <c r="E28112" s="8"/>
      <c r="G28112" s="8"/>
      <c r="J28112" s="8"/>
    </row>
    <row r="28113">
      <c r="C28113" s="15"/>
      <c r="E28113" s="8"/>
      <c r="G28113" s="8"/>
      <c r="J28113" s="8"/>
    </row>
    <row r="28114">
      <c r="C28114" s="15"/>
      <c r="E28114" s="8"/>
      <c r="G28114" s="8"/>
      <c r="J28114" s="8"/>
    </row>
    <row r="28115">
      <c r="C28115" s="15"/>
      <c r="E28115" s="8"/>
      <c r="G28115" s="8"/>
      <c r="J28115" s="8"/>
    </row>
    <row r="28116">
      <c r="C28116" s="15"/>
      <c r="E28116" s="8"/>
      <c r="G28116" s="8"/>
      <c r="J28116" s="8"/>
    </row>
    <row r="28117">
      <c r="C28117" s="15"/>
      <c r="E28117" s="8"/>
      <c r="G28117" s="8"/>
      <c r="J28117" s="8"/>
    </row>
    <row r="28118">
      <c r="C28118" s="15"/>
      <c r="E28118" s="8"/>
      <c r="G28118" s="8"/>
      <c r="J28118" s="8"/>
    </row>
    <row r="28119">
      <c r="C28119" s="15"/>
      <c r="E28119" s="8"/>
      <c r="G28119" s="8"/>
      <c r="J28119" s="8"/>
    </row>
    <row r="28120">
      <c r="C28120" s="15"/>
      <c r="E28120" s="8"/>
      <c r="G28120" s="8"/>
      <c r="J28120" s="8"/>
    </row>
    <row r="28121">
      <c r="C28121" s="15"/>
      <c r="E28121" s="8"/>
      <c r="G28121" s="8"/>
      <c r="J28121" s="8"/>
    </row>
    <row r="28122">
      <c r="C28122" s="15"/>
      <c r="E28122" s="8"/>
      <c r="G28122" s="8"/>
      <c r="J28122" s="8"/>
    </row>
    <row r="28123">
      <c r="C28123" s="15"/>
      <c r="E28123" s="8"/>
      <c r="G28123" s="8"/>
      <c r="J28123" s="8"/>
    </row>
    <row r="28124">
      <c r="C28124" s="15"/>
      <c r="E28124" s="8"/>
      <c r="G28124" s="8"/>
      <c r="J28124" s="8"/>
    </row>
    <row r="28125">
      <c r="C28125" s="15"/>
      <c r="E28125" s="8"/>
      <c r="G28125" s="8"/>
      <c r="J28125" s="8"/>
    </row>
    <row r="28126">
      <c r="C28126" s="15"/>
      <c r="E28126" s="8"/>
      <c r="G28126" s="8"/>
      <c r="J28126" s="8"/>
    </row>
    <row r="28127">
      <c r="C28127" s="15"/>
      <c r="E28127" s="8"/>
      <c r="G28127" s="8"/>
      <c r="J28127" s="8"/>
    </row>
    <row r="28128">
      <c r="C28128" s="15"/>
      <c r="E28128" s="8"/>
      <c r="G28128" s="8"/>
      <c r="J28128" s="8"/>
    </row>
    <row r="28129">
      <c r="C28129" s="15"/>
      <c r="E28129" s="8"/>
      <c r="G28129" s="8"/>
      <c r="J28129" s="8"/>
    </row>
    <row r="28130">
      <c r="C28130" s="15"/>
      <c r="E28130" s="8"/>
      <c r="G28130" s="8"/>
      <c r="J28130" s="8"/>
    </row>
    <row r="28131">
      <c r="C28131" s="15"/>
      <c r="E28131" s="8"/>
      <c r="G28131" s="8"/>
      <c r="J28131" s="8"/>
    </row>
    <row r="28132">
      <c r="C28132" s="15"/>
      <c r="E28132" s="8"/>
      <c r="G28132" s="8"/>
      <c r="J28132" s="8"/>
    </row>
    <row r="28133">
      <c r="C28133" s="15"/>
      <c r="E28133" s="8"/>
      <c r="G28133" s="8"/>
      <c r="J28133" s="8"/>
    </row>
    <row r="28134">
      <c r="C28134" s="15"/>
      <c r="E28134" s="8"/>
      <c r="G28134" s="8"/>
      <c r="J28134" s="8"/>
    </row>
    <row r="28135">
      <c r="C28135" s="15"/>
      <c r="E28135" s="8"/>
      <c r="G28135" s="8"/>
      <c r="J28135" s="8"/>
    </row>
    <row r="28136">
      <c r="C28136" s="15"/>
      <c r="E28136" s="8"/>
      <c r="G28136" s="8"/>
      <c r="J28136" s="8"/>
    </row>
    <row r="28137">
      <c r="C28137" s="15"/>
      <c r="E28137" s="8"/>
      <c r="G28137" s="8"/>
      <c r="J28137" s="8"/>
    </row>
    <row r="28138">
      <c r="C28138" s="15"/>
      <c r="E28138" s="8"/>
      <c r="G28138" s="8"/>
      <c r="J28138" s="8"/>
    </row>
    <row r="28139">
      <c r="C28139" s="15"/>
      <c r="E28139" s="8"/>
      <c r="G28139" s="8"/>
      <c r="J28139" s="8"/>
    </row>
    <row r="28140">
      <c r="C28140" s="15"/>
      <c r="E28140" s="8"/>
      <c r="G28140" s="8"/>
      <c r="J28140" s="8"/>
    </row>
    <row r="28141">
      <c r="C28141" s="15"/>
      <c r="E28141" s="8"/>
      <c r="G28141" s="8"/>
      <c r="J28141" s="8"/>
    </row>
    <row r="28142">
      <c r="C28142" s="15"/>
      <c r="E28142" s="8"/>
      <c r="G28142" s="8"/>
      <c r="J28142" s="8"/>
    </row>
    <row r="28143">
      <c r="C28143" s="15"/>
      <c r="E28143" s="8"/>
      <c r="G28143" s="8"/>
      <c r="J28143" s="8"/>
    </row>
    <row r="28144">
      <c r="C28144" s="15"/>
      <c r="E28144" s="8"/>
      <c r="G28144" s="8"/>
      <c r="J28144" s="8"/>
    </row>
    <row r="28145">
      <c r="C28145" s="15"/>
      <c r="E28145" s="8"/>
      <c r="G28145" s="8"/>
      <c r="J28145" s="8"/>
    </row>
    <row r="28146">
      <c r="C28146" s="15"/>
      <c r="E28146" s="8"/>
      <c r="G28146" s="8"/>
      <c r="J28146" s="8"/>
    </row>
    <row r="28147">
      <c r="C28147" s="15"/>
      <c r="E28147" s="8"/>
      <c r="G28147" s="8"/>
      <c r="J28147" s="8"/>
    </row>
    <row r="28148">
      <c r="C28148" s="15"/>
      <c r="E28148" s="8"/>
      <c r="G28148" s="8"/>
      <c r="J28148" s="8"/>
    </row>
    <row r="28149">
      <c r="C28149" s="15"/>
      <c r="E28149" s="8"/>
      <c r="G28149" s="8"/>
      <c r="J28149" s="8"/>
    </row>
    <row r="28150">
      <c r="C28150" s="15"/>
      <c r="E28150" s="8"/>
      <c r="G28150" s="8"/>
      <c r="J28150" s="8"/>
    </row>
    <row r="28151">
      <c r="C28151" s="15"/>
      <c r="E28151" s="8"/>
      <c r="G28151" s="8"/>
      <c r="J28151" s="8"/>
    </row>
    <row r="28152">
      <c r="C28152" s="15"/>
      <c r="E28152" s="8"/>
      <c r="G28152" s="8"/>
      <c r="J28152" s="8"/>
    </row>
    <row r="28153">
      <c r="C28153" s="15"/>
      <c r="E28153" s="8"/>
      <c r="G28153" s="8"/>
      <c r="J28153" s="8"/>
    </row>
    <row r="28154">
      <c r="C28154" s="15"/>
      <c r="E28154" s="8"/>
      <c r="G28154" s="8"/>
      <c r="J28154" s="8"/>
    </row>
    <row r="28155">
      <c r="C28155" s="15"/>
      <c r="E28155" s="8"/>
      <c r="G28155" s="8"/>
      <c r="J28155" s="8"/>
    </row>
    <row r="28156">
      <c r="C28156" s="15"/>
      <c r="E28156" s="8"/>
      <c r="G28156" s="8"/>
      <c r="J28156" s="8"/>
    </row>
    <row r="28157">
      <c r="C28157" s="15"/>
      <c r="E28157" s="8"/>
      <c r="G28157" s="8"/>
      <c r="J28157" s="8"/>
    </row>
    <row r="28158">
      <c r="C28158" s="15"/>
      <c r="E28158" s="8"/>
      <c r="G28158" s="8"/>
      <c r="J28158" s="8"/>
    </row>
    <row r="28159">
      <c r="C28159" s="15"/>
      <c r="E28159" s="8"/>
      <c r="G28159" s="8"/>
      <c r="J28159" s="8"/>
    </row>
    <row r="28160">
      <c r="C28160" s="15"/>
      <c r="E28160" s="8"/>
      <c r="G28160" s="8"/>
      <c r="J28160" s="8"/>
    </row>
    <row r="28161">
      <c r="C28161" s="15"/>
      <c r="E28161" s="8"/>
      <c r="G28161" s="8"/>
      <c r="J28161" s="8"/>
    </row>
    <row r="28162">
      <c r="C28162" s="15"/>
      <c r="E28162" s="8"/>
      <c r="G28162" s="8"/>
      <c r="J28162" s="8"/>
    </row>
    <row r="28163">
      <c r="C28163" s="15"/>
      <c r="E28163" s="8"/>
      <c r="G28163" s="8"/>
      <c r="J28163" s="8"/>
    </row>
    <row r="28164">
      <c r="C28164" s="15"/>
      <c r="E28164" s="8"/>
      <c r="G28164" s="8"/>
      <c r="J28164" s="8"/>
    </row>
    <row r="28165">
      <c r="C28165" s="15"/>
      <c r="E28165" s="8"/>
      <c r="G28165" s="8"/>
      <c r="J28165" s="8"/>
    </row>
    <row r="28166">
      <c r="C28166" s="15"/>
      <c r="E28166" s="8"/>
      <c r="G28166" s="8"/>
      <c r="J28166" s="8"/>
    </row>
    <row r="28167">
      <c r="C28167" s="15"/>
      <c r="E28167" s="8"/>
      <c r="G28167" s="8"/>
      <c r="J28167" s="8"/>
    </row>
    <row r="28168">
      <c r="C28168" s="15"/>
      <c r="E28168" s="8"/>
      <c r="G28168" s="8"/>
      <c r="J28168" s="8"/>
    </row>
    <row r="28169">
      <c r="C28169" s="15"/>
      <c r="E28169" s="8"/>
      <c r="G28169" s="8"/>
      <c r="J28169" s="8"/>
    </row>
    <row r="28170">
      <c r="C28170" s="15"/>
      <c r="E28170" s="8"/>
      <c r="G28170" s="8"/>
      <c r="J28170" s="8"/>
    </row>
    <row r="28171">
      <c r="C28171" s="15"/>
      <c r="E28171" s="8"/>
      <c r="G28171" s="8"/>
      <c r="J28171" s="8"/>
    </row>
    <row r="28172">
      <c r="C28172" s="15"/>
      <c r="E28172" s="8"/>
      <c r="G28172" s="8"/>
      <c r="J28172" s="8"/>
    </row>
    <row r="28173">
      <c r="C28173" s="15"/>
      <c r="E28173" s="8"/>
      <c r="G28173" s="8"/>
      <c r="J28173" s="8"/>
    </row>
    <row r="28174">
      <c r="C28174" s="15"/>
      <c r="E28174" s="8"/>
      <c r="G28174" s="8"/>
      <c r="J28174" s="8"/>
    </row>
    <row r="28175">
      <c r="C28175" s="15"/>
      <c r="E28175" s="8"/>
      <c r="G28175" s="8"/>
      <c r="J28175" s="8"/>
    </row>
    <row r="28176">
      <c r="C28176" s="15"/>
      <c r="E28176" s="8"/>
      <c r="G28176" s="8"/>
      <c r="J28176" s="8"/>
    </row>
    <row r="28177">
      <c r="C28177" s="15"/>
      <c r="E28177" s="8"/>
      <c r="G28177" s="8"/>
      <c r="J28177" s="8"/>
    </row>
    <row r="28178">
      <c r="C28178" s="15"/>
      <c r="E28178" s="8"/>
      <c r="G28178" s="8"/>
      <c r="J28178" s="8"/>
    </row>
    <row r="28179">
      <c r="C28179" s="15"/>
      <c r="E28179" s="8"/>
      <c r="G28179" s="8"/>
      <c r="J28179" s="8"/>
    </row>
    <row r="28180">
      <c r="C28180" s="15"/>
      <c r="E28180" s="8"/>
      <c r="G28180" s="8"/>
      <c r="J28180" s="8"/>
    </row>
    <row r="28181">
      <c r="C28181" s="15"/>
      <c r="E28181" s="8"/>
      <c r="G28181" s="8"/>
      <c r="J28181" s="8"/>
    </row>
    <row r="28182">
      <c r="C28182" s="15"/>
      <c r="E28182" s="8"/>
      <c r="G28182" s="8"/>
      <c r="J28182" s="8"/>
    </row>
    <row r="28183">
      <c r="C28183" s="15"/>
      <c r="E28183" s="8"/>
      <c r="G28183" s="8"/>
      <c r="J28183" s="8"/>
    </row>
    <row r="28184">
      <c r="C28184" s="15"/>
      <c r="E28184" s="8"/>
      <c r="G28184" s="8"/>
      <c r="J28184" s="8"/>
    </row>
    <row r="28185">
      <c r="C28185" s="15"/>
      <c r="E28185" s="8"/>
      <c r="G28185" s="8"/>
      <c r="J28185" s="8"/>
    </row>
    <row r="28186">
      <c r="C28186" s="15"/>
      <c r="E28186" s="8"/>
      <c r="G28186" s="8"/>
      <c r="J28186" s="8"/>
    </row>
    <row r="28187">
      <c r="C28187" s="15"/>
      <c r="E28187" s="8"/>
      <c r="G28187" s="8"/>
      <c r="J28187" s="8"/>
    </row>
    <row r="28188">
      <c r="C28188" s="15"/>
      <c r="E28188" s="8"/>
      <c r="G28188" s="8"/>
      <c r="J28188" s="8"/>
    </row>
    <row r="28189">
      <c r="C28189" s="15"/>
      <c r="E28189" s="8"/>
      <c r="G28189" s="8"/>
      <c r="J28189" s="8"/>
    </row>
    <row r="28190">
      <c r="C28190" s="15"/>
      <c r="E28190" s="8"/>
      <c r="G28190" s="8"/>
      <c r="J28190" s="8"/>
    </row>
    <row r="28191">
      <c r="C28191" s="15"/>
      <c r="E28191" s="8"/>
      <c r="G28191" s="8"/>
      <c r="J28191" s="8"/>
    </row>
    <row r="28192">
      <c r="C28192" s="15"/>
      <c r="E28192" s="8"/>
      <c r="G28192" s="8"/>
      <c r="J28192" s="8"/>
    </row>
    <row r="28193">
      <c r="C28193" s="15"/>
      <c r="E28193" s="8"/>
      <c r="G28193" s="8"/>
      <c r="J28193" s="8"/>
    </row>
    <row r="28194">
      <c r="C28194" s="15"/>
      <c r="E28194" s="8"/>
      <c r="G28194" s="8"/>
      <c r="J28194" s="8"/>
    </row>
    <row r="28195">
      <c r="C28195" s="15"/>
      <c r="E28195" s="8"/>
      <c r="G28195" s="8"/>
      <c r="J28195" s="8"/>
    </row>
    <row r="28196">
      <c r="C28196" s="15"/>
      <c r="E28196" s="8"/>
      <c r="G28196" s="8"/>
      <c r="J28196" s="8"/>
    </row>
    <row r="28197">
      <c r="C28197" s="15"/>
      <c r="E28197" s="8"/>
      <c r="G28197" s="8"/>
      <c r="J28197" s="8"/>
    </row>
    <row r="28198">
      <c r="C28198" s="15"/>
      <c r="E28198" s="8"/>
      <c r="G28198" s="8"/>
      <c r="J28198" s="8"/>
    </row>
    <row r="28199">
      <c r="C28199" s="15"/>
      <c r="E28199" s="8"/>
      <c r="G28199" s="8"/>
      <c r="J28199" s="8"/>
    </row>
    <row r="28200">
      <c r="C28200" s="15"/>
      <c r="E28200" s="8"/>
      <c r="G28200" s="8"/>
      <c r="J28200" s="8"/>
    </row>
    <row r="28201">
      <c r="C28201" s="15"/>
      <c r="E28201" s="8"/>
      <c r="G28201" s="8"/>
      <c r="J28201" s="8"/>
    </row>
    <row r="28202">
      <c r="C28202" s="15"/>
      <c r="E28202" s="8"/>
      <c r="G28202" s="8"/>
      <c r="J28202" s="8"/>
    </row>
    <row r="28203">
      <c r="C28203" s="15"/>
      <c r="E28203" s="8"/>
      <c r="G28203" s="8"/>
      <c r="J28203" s="8"/>
    </row>
    <row r="28204">
      <c r="C28204" s="15"/>
      <c r="E28204" s="8"/>
      <c r="G28204" s="8"/>
      <c r="J28204" s="8"/>
    </row>
    <row r="28205">
      <c r="C28205" s="15"/>
      <c r="E28205" s="8"/>
      <c r="G28205" s="8"/>
      <c r="J28205" s="8"/>
    </row>
    <row r="28206">
      <c r="C28206" s="15"/>
      <c r="E28206" s="8"/>
      <c r="G28206" s="8"/>
      <c r="J28206" s="8"/>
    </row>
    <row r="28207">
      <c r="C28207" s="15"/>
      <c r="E28207" s="8"/>
      <c r="G28207" s="8"/>
      <c r="J28207" s="8"/>
    </row>
    <row r="28208">
      <c r="C28208" s="15"/>
      <c r="E28208" s="8"/>
      <c r="G28208" s="8"/>
      <c r="J28208" s="8"/>
    </row>
    <row r="28209">
      <c r="C28209" s="15"/>
      <c r="E28209" s="8"/>
      <c r="G28209" s="8"/>
      <c r="J28209" s="8"/>
    </row>
    <row r="28210">
      <c r="C28210" s="15"/>
      <c r="E28210" s="8"/>
      <c r="G28210" s="8"/>
      <c r="J28210" s="8"/>
    </row>
    <row r="28211">
      <c r="C28211" s="15"/>
      <c r="E28211" s="8"/>
      <c r="G28211" s="8"/>
      <c r="J28211" s="8"/>
    </row>
    <row r="28212">
      <c r="C28212" s="15"/>
      <c r="E28212" s="8"/>
      <c r="G28212" s="8"/>
      <c r="J28212" s="8"/>
    </row>
    <row r="28213">
      <c r="C28213" s="15"/>
      <c r="E28213" s="8"/>
      <c r="G28213" s="8"/>
      <c r="J28213" s="8"/>
    </row>
    <row r="28214">
      <c r="C28214" s="15"/>
      <c r="E28214" s="8"/>
      <c r="G28214" s="8"/>
      <c r="J28214" s="8"/>
    </row>
    <row r="28215">
      <c r="C28215" s="15"/>
      <c r="E28215" s="8"/>
      <c r="G28215" s="8"/>
      <c r="J28215" s="8"/>
    </row>
    <row r="28216">
      <c r="C28216" s="15"/>
      <c r="E28216" s="8"/>
      <c r="G28216" s="8"/>
      <c r="J28216" s="8"/>
    </row>
    <row r="28217">
      <c r="C28217" s="15"/>
      <c r="E28217" s="8"/>
      <c r="G28217" s="8"/>
      <c r="J28217" s="8"/>
    </row>
    <row r="28218">
      <c r="C28218" s="15"/>
      <c r="E28218" s="8"/>
      <c r="G28218" s="8"/>
      <c r="J28218" s="8"/>
    </row>
    <row r="28219">
      <c r="C28219" s="15"/>
      <c r="E28219" s="8"/>
      <c r="G28219" s="8"/>
      <c r="J28219" s="8"/>
    </row>
    <row r="28220">
      <c r="C28220" s="15"/>
      <c r="E28220" s="8"/>
      <c r="G28220" s="8"/>
      <c r="J28220" s="8"/>
    </row>
    <row r="28221">
      <c r="C28221" s="15"/>
      <c r="E28221" s="8"/>
      <c r="G28221" s="8"/>
      <c r="J28221" s="8"/>
    </row>
    <row r="28222">
      <c r="C28222" s="15"/>
      <c r="E28222" s="8"/>
      <c r="G28222" s="8"/>
      <c r="J28222" s="8"/>
    </row>
    <row r="28223">
      <c r="C28223" s="15"/>
      <c r="E28223" s="8"/>
      <c r="G28223" s="8"/>
      <c r="J28223" s="8"/>
    </row>
    <row r="28224">
      <c r="C28224" s="15"/>
      <c r="E28224" s="8"/>
      <c r="G28224" s="8"/>
      <c r="J28224" s="8"/>
    </row>
    <row r="28225">
      <c r="C28225" s="15"/>
      <c r="E28225" s="8"/>
      <c r="G28225" s="8"/>
      <c r="J28225" s="8"/>
    </row>
    <row r="28226">
      <c r="C28226" s="15"/>
      <c r="E28226" s="8"/>
      <c r="G28226" s="8"/>
      <c r="J28226" s="8"/>
    </row>
    <row r="28227">
      <c r="C28227" s="15"/>
      <c r="E28227" s="8"/>
      <c r="G28227" s="8"/>
      <c r="J28227" s="8"/>
    </row>
    <row r="28228">
      <c r="C28228" s="15"/>
      <c r="E28228" s="8"/>
      <c r="G28228" s="8"/>
      <c r="J28228" s="8"/>
    </row>
    <row r="28229">
      <c r="C28229" s="15"/>
      <c r="E28229" s="8"/>
      <c r="G28229" s="8"/>
      <c r="J28229" s="8"/>
    </row>
    <row r="28230">
      <c r="C28230" s="15"/>
      <c r="E28230" s="8"/>
      <c r="G28230" s="8"/>
      <c r="J28230" s="8"/>
    </row>
    <row r="28231">
      <c r="C28231" s="15"/>
      <c r="E28231" s="8"/>
      <c r="G28231" s="8"/>
      <c r="J28231" s="8"/>
    </row>
    <row r="28232">
      <c r="C28232" s="15"/>
      <c r="E28232" s="8"/>
      <c r="G28232" s="8"/>
      <c r="J28232" s="8"/>
    </row>
    <row r="28233">
      <c r="C28233" s="15"/>
      <c r="E28233" s="8"/>
      <c r="G28233" s="8"/>
      <c r="J28233" s="8"/>
    </row>
    <row r="28234">
      <c r="C28234" s="15"/>
      <c r="E28234" s="8"/>
      <c r="G28234" s="8"/>
      <c r="J28234" s="8"/>
    </row>
    <row r="28235">
      <c r="C28235" s="15"/>
      <c r="E28235" s="8"/>
      <c r="G28235" s="8"/>
      <c r="J28235" s="8"/>
    </row>
    <row r="28236">
      <c r="C28236" s="15"/>
      <c r="E28236" s="8"/>
      <c r="G28236" s="8"/>
      <c r="J28236" s="8"/>
    </row>
    <row r="28237">
      <c r="C28237" s="15"/>
      <c r="E28237" s="8"/>
      <c r="G28237" s="8"/>
      <c r="J28237" s="8"/>
    </row>
    <row r="28238">
      <c r="C28238" s="15"/>
      <c r="E28238" s="8"/>
      <c r="G28238" s="8"/>
      <c r="J28238" s="8"/>
    </row>
    <row r="28239">
      <c r="C28239" s="15"/>
      <c r="E28239" s="8"/>
      <c r="G28239" s="8"/>
      <c r="J28239" s="8"/>
    </row>
    <row r="28240">
      <c r="C28240" s="15"/>
      <c r="E28240" s="8"/>
      <c r="G28240" s="8"/>
      <c r="J28240" s="8"/>
    </row>
    <row r="28241">
      <c r="C28241" s="15"/>
      <c r="E28241" s="8"/>
      <c r="G28241" s="8"/>
      <c r="J28241" s="8"/>
    </row>
    <row r="28242">
      <c r="C28242" s="15"/>
      <c r="E28242" s="8"/>
      <c r="G28242" s="8"/>
      <c r="J28242" s="8"/>
    </row>
    <row r="28243">
      <c r="C28243" s="15"/>
      <c r="E28243" s="8"/>
      <c r="G28243" s="8"/>
      <c r="J28243" s="8"/>
    </row>
    <row r="28244">
      <c r="C28244" s="15"/>
      <c r="E28244" s="8"/>
      <c r="G28244" s="8"/>
      <c r="J28244" s="8"/>
    </row>
    <row r="28245">
      <c r="C28245" s="15"/>
      <c r="E28245" s="8"/>
      <c r="G28245" s="8"/>
      <c r="J28245" s="8"/>
    </row>
    <row r="28246">
      <c r="C28246" s="15"/>
      <c r="E28246" s="8"/>
      <c r="G28246" s="8"/>
      <c r="J28246" s="8"/>
    </row>
    <row r="28247">
      <c r="C28247" s="15"/>
      <c r="E28247" s="8"/>
      <c r="G28247" s="8"/>
      <c r="J28247" s="8"/>
    </row>
    <row r="28248">
      <c r="C28248" s="15"/>
      <c r="E28248" s="8"/>
      <c r="G28248" s="8"/>
      <c r="J28248" s="8"/>
    </row>
    <row r="28249">
      <c r="C28249" s="15"/>
      <c r="E28249" s="8"/>
      <c r="G28249" s="8"/>
      <c r="J28249" s="8"/>
    </row>
    <row r="28250">
      <c r="C28250" s="15"/>
      <c r="E28250" s="8"/>
      <c r="G28250" s="8"/>
      <c r="J28250" s="8"/>
    </row>
    <row r="28251">
      <c r="C28251" s="15"/>
      <c r="E28251" s="8"/>
      <c r="G28251" s="8"/>
      <c r="J28251" s="8"/>
    </row>
    <row r="28252">
      <c r="C28252" s="15"/>
      <c r="E28252" s="8"/>
      <c r="G28252" s="8"/>
      <c r="J28252" s="8"/>
    </row>
    <row r="28253">
      <c r="C28253" s="15"/>
      <c r="E28253" s="8"/>
      <c r="G28253" s="8"/>
      <c r="J28253" s="8"/>
    </row>
    <row r="28254">
      <c r="C28254" s="15"/>
      <c r="E28254" s="8"/>
      <c r="G28254" s="8"/>
      <c r="J28254" s="8"/>
    </row>
    <row r="28255">
      <c r="C28255" s="15"/>
      <c r="E28255" s="8"/>
      <c r="G28255" s="8"/>
      <c r="J28255" s="8"/>
    </row>
    <row r="28256">
      <c r="C28256" s="15"/>
      <c r="E28256" s="8"/>
      <c r="G28256" s="8"/>
      <c r="J28256" s="8"/>
    </row>
    <row r="28257">
      <c r="C28257" s="15"/>
      <c r="E28257" s="8"/>
      <c r="G28257" s="8"/>
      <c r="J28257" s="8"/>
    </row>
    <row r="28258">
      <c r="C28258" s="15"/>
      <c r="E28258" s="8"/>
      <c r="G28258" s="8"/>
      <c r="J28258" s="8"/>
    </row>
    <row r="28259">
      <c r="C28259" s="15"/>
      <c r="E28259" s="8"/>
      <c r="G28259" s="8"/>
      <c r="J28259" s="8"/>
    </row>
    <row r="28260">
      <c r="C28260" s="15"/>
      <c r="E28260" s="8"/>
      <c r="G28260" s="8"/>
      <c r="J28260" s="8"/>
    </row>
    <row r="28261">
      <c r="C28261" s="15"/>
      <c r="E28261" s="8"/>
      <c r="G28261" s="8"/>
      <c r="J28261" s="8"/>
    </row>
    <row r="28262">
      <c r="C28262" s="15"/>
      <c r="E28262" s="8"/>
      <c r="G28262" s="8"/>
      <c r="J28262" s="8"/>
    </row>
    <row r="28263">
      <c r="C28263" s="15"/>
      <c r="E28263" s="8"/>
      <c r="G28263" s="8"/>
      <c r="J28263" s="8"/>
    </row>
    <row r="28264">
      <c r="C28264" s="15"/>
      <c r="E28264" s="8"/>
      <c r="G28264" s="8"/>
      <c r="J28264" s="8"/>
    </row>
    <row r="28265">
      <c r="C28265" s="15"/>
      <c r="E28265" s="8"/>
      <c r="G28265" s="8"/>
      <c r="J28265" s="8"/>
    </row>
    <row r="28266">
      <c r="C28266" s="15"/>
      <c r="E28266" s="8"/>
      <c r="G28266" s="8"/>
      <c r="J28266" s="8"/>
    </row>
    <row r="28267">
      <c r="C28267" s="15"/>
      <c r="E28267" s="8"/>
      <c r="G28267" s="8"/>
      <c r="J28267" s="8"/>
    </row>
    <row r="28268">
      <c r="C28268" s="15"/>
      <c r="E28268" s="8"/>
      <c r="G28268" s="8"/>
      <c r="J28268" s="8"/>
    </row>
    <row r="28269">
      <c r="C28269" s="15"/>
      <c r="E28269" s="8"/>
      <c r="G28269" s="8"/>
      <c r="J28269" s="8"/>
    </row>
    <row r="28270">
      <c r="C28270" s="15"/>
      <c r="E28270" s="8"/>
      <c r="G28270" s="8"/>
      <c r="J28270" s="8"/>
    </row>
    <row r="28271">
      <c r="C28271" s="15"/>
      <c r="E28271" s="8"/>
      <c r="G28271" s="8"/>
      <c r="J28271" s="8"/>
    </row>
    <row r="28272">
      <c r="C28272" s="15"/>
      <c r="E28272" s="8"/>
      <c r="G28272" s="8"/>
      <c r="J28272" s="8"/>
    </row>
    <row r="28273">
      <c r="C28273" s="15"/>
      <c r="E28273" s="8"/>
      <c r="G28273" s="8"/>
      <c r="J28273" s="8"/>
    </row>
    <row r="28274">
      <c r="C28274" s="15"/>
      <c r="E28274" s="8"/>
      <c r="G28274" s="8"/>
      <c r="J28274" s="8"/>
    </row>
    <row r="28275">
      <c r="C28275" s="15"/>
      <c r="E28275" s="8"/>
      <c r="G28275" s="8"/>
      <c r="J28275" s="8"/>
    </row>
    <row r="28276">
      <c r="C28276" s="15"/>
      <c r="E28276" s="8"/>
      <c r="G28276" s="8"/>
      <c r="J28276" s="8"/>
    </row>
    <row r="28277">
      <c r="C28277" s="15"/>
      <c r="E28277" s="8"/>
      <c r="G28277" s="8"/>
      <c r="J28277" s="8"/>
    </row>
    <row r="28278">
      <c r="C28278" s="15"/>
      <c r="E28278" s="8"/>
      <c r="G28278" s="8"/>
      <c r="J28278" s="8"/>
    </row>
    <row r="28279">
      <c r="C28279" s="15"/>
      <c r="E28279" s="8"/>
      <c r="G28279" s="8"/>
      <c r="J28279" s="8"/>
    </row>
    <row r="28280">
      <c r="C28280" s="15"/>
      <c r="E28280" s="8"/>
      <c r="G28280" s="8"/>
      <c r="J28280" s="8"/>
    </row>
    <row r="28281">
      <c r="C28281" s="15"/>
      <c r="E28281" s="8"/>
      <c r="G28281" s="8"/>
      <c r="J28281" s="8"/>
    </row>
    <row r="28282">
      <c r="C28282" s="15"/>
      <c r="E28282" s="8"/>
      <c r="G28282" s="8"/>
      <c r="J28282" s="8"/>
    </row>
    <row r="28283">
      <c r="C28283" s="15"/>
      <c r="E28283" s="8"/>
      <c r="G28283" s="8"/>
      <c r="J28283" s="8"/>
    </row>
    <row r="28284">
      <c r="C28284" s="15"/>
      <c r="E28284" s="8"/>
      <c r="G28284" s="8"/>
      <c r="J28284" s="8"/>
    </row>
    <row r="28285">
      <c r="C28285" s="15"/>
      <c r="E28285" s="8"/>
      <c r="G28285" s="8"/>
      <c r="J28285" s="8"/>
    </row>
    <row r="28286">
      <c r="C28286" s="15"/>
      <c r="E28286" s="8"/>
      <c r="G28286" s="8"/>
      <c r="J28286" s="8"/>
    </row>
    <row r="28287">
      <c r="C28287" s="15"/>
      <c r="E28287" s="8"/>
      <c r="G28287" s="8"/>
      <c r="J28287" s="8"/>
    </row>
    <row r="28288">
      <c r="C28288" s="15"/>
      <c r="E28288" s="8"/>
      <c r="G28288" s="8"/>
      <c r="J28288" s="8"/>
    </row>
    <row r="28289">
      <c r="C28289" s="15"/>
      <c r="E28289" s="8"/>
      <c r="G28289" s="8"/>
      <c r="J28289" s="8"/>
    </row>
    <row r="28290">
      <c r="C28290" s="15"/>
      <c r="E28290" s="8"/>
      <c r="G28290" s="8"/>
      <c r="J28290" s="8"/>
    </row>
    <row r="28291">
      <c r="C28291" s="15"/>
      <c r="E28291" s="8"/>
      <c r="G28291" s="8"/>
      <c r="J28291" s="8"/>
    </row>
    <row r="28292">
      <c r="C28292" s="15"/>
      <c r="E28292" s="8"/>
      <c r="G28292" s="8"/>
      <c r="J28292" s="8"/>
    </row>
    <row r="28293">
      <c r="C28293" s="15"/>
      <c r="E28293" s="8"/>
      <c r="G28293" s="8"/>
      <c r="J28293" s="8"/>
    </row>
    <row r="28294">
      <c r="C28294" s="15"/>
      <c r="E28294" s="8"/>
      <c r="G28294" s="8"/>
      <c r="J28294" s="8"/>
    </row>
    <row r="28295">
      <c r="C28295" s="15"/>
      <c r="E28295" s="8"/>
      <c r="G28295" s="8"/>
      <c r="J28295" s="8"/>
    </row>
    <row r="28296">
      <c r="C28296" s="15"/>
      <c r="E28296" s="8"/>
      <c r="G28296" s="8"/>
      <c r="J28296" s="8"/>
    </row>
    <row r="28297">
      <c r="C28297" s="15"/>
      <c r="E28297" s="8"/>
      <c r="G28297" s="8"/>
      <c r="J28297" s="8"/>
    </row>
    <row r="28298">
      <c r="C28298" s="15"/>
      <c r="E28298" s="8"/>
      <c r="G28298" s="8"/>
      <c r="J28298" s="8"/>
    </row>
    <row r="28299">
      <c r="C28299" s="15"/>
      <c r="E28299" s="8"/>
      <c r="G28299" s="8"/>
      <c r="J28299" s="8"/>
    </row>
    <row r="28300">
      <c r="C28300" s="15"/>
      <c r="E28300" s="8"/>
      <c r="G28300" s="8"/>
      <c r="J28300" s="8"/>
    </row>
    <row r="28301">
      <c r="C28301" s="15"/>
      <c r="E28301" s="8"/>
      <c r="G28301" s="8"/>
      <c r="J28301" s="8"/>
    </row>
    <row r="28302">
      <c r="C28302" s="15"/>
      <c r="E28302" s="8"/>
      <c r="G28302" s="8"/>
      <c r="J28302" s="8"/>
    </row>
    <row r="28303">
      <c r="C28303" s="15"/>
      <c r="E28303" s="8"/>
      <c r="G28303" s="8"/>
      <c r="J28303" s="8"/>
    </row>
    <row r="28304">
      <c r="C28304" s="15"/>
      <c r="E28304" s="8"/>
      <c r="G28304" s="8"/>
      <c r="J28304" s="8"/>
    </row>
    <row r="28305">
      <c r="C28305" s="15"/>
      <c r="E28305" s="8"/>
      <c r="G28305" s="8"/>
      <c r="J28305" s="8"/>
    </row>
    <row r="28306">
      <c r="C28306" s="15"/>
      <c r="E28306" s="8"/>
      <c r="G28306" s="8"/>
      <c r="J28306" s="8"/>
    </row>
    <row r="28307">
      <c r="C28307" s="15"/>
      <c r="E28307" s="8"/>
      <c r="G28307" s="8"/>
      <c r="J28307" s="8"/>
    </row>
    <row r="28308">
      <c r="C28308" s="15"/>
      <c r="E28308" s="8"/>
      <c r="G28308" s="8"/>
      <c r="J28308" s="8"/>
    </row>
    <row r="28309">
      <c r="C28309" s="15"/>
      <c r="E28309" s="8"/>
      <c r="G28309" s="8"/>
      <c r="J28309" s="8"/>
    </row>
    <row r="28310">
      <c r="C28310" s="15"/>
      <c r="E28310" s="8"/>
      <c r="G28310" s="8"/>
      <c r="J28310" s="8"/>
    </row>
    <row r="28311">
      <c r="C28311" s="15"/>
      <c r="E28311" s="8"/>
      <c r="G28311" s="8"/>
      <c r="J28311" s="8"/>
    </row>
    <row r="28312">
      <c r="C28312" s="15"/>
      <c r="E28312" s="8"/>
      <c r="G28312" s="8"/>
      <c r="J28312" s="8"/>
    </row>
    <row r="28313">
      <c r="C28313" s="15"/>
      <c r="E28313" s="8"/>
      <c r="G28313" s="8"/>
      <c r="J28313" s="8"/>
    </row>
    <row r="28314">
      <c r="C28314" s="15"/>
      <c r="E28314" s="8"/>
      <c r="G28314" s="8"/>
      <c r="J28314" s="8"/>
    </row>
    <row r="28315">
      <c r="C28315" s="15"/>
      <c r="E28315" s="8"/>
      <c r="G28315" s="8"/>
      <c r="J28315" s="8"/>
    </row>
    <row r="28316">
      <c r="C28316" s="15"/>
      <c r="E28316" s="8"/>
      <c r="G28316" s="8"/>
      <c r="J28316" s="8"/>
    </row>
    <row r="28317">
      <c r="C28317" s="15"/>
      <c r="E28317" s="8"/>
      <c r="G28317" s="8"/>
      <c r="J28317" s="8"/>
    </row>
    <row r="28318">
      <c r="C28318" s="15"/>
      <c r="E28318" s="8"/>
      <c r="G28318" s="8"/>
      <c r="J28318" s="8"/>
    </row>
    <row r="28319">
      <c r="C28319" s="15"/>
      <c r="E28319" s="8"/>
      <c r="G28319" s="8"/>
      <c r="J28319" s="8"/>
    </row>
    <row r="28320">
      <c r="C28320" s="15"/>
      <c r="E28320" s="8"/>
      <c r="G28320" s="8"/>
      <c r="J28320" s="8"/>
    </row>
    <row r="28321">
      <c r="C28321" s="15"/>
      <c r="E28321" s="8"/>
      <c r="G28321" s="8"/>
      <c r="J28321" s="8"/>
    </row>
    <row r="28322">
      <c r="C28322" s="15"/>
      <c r="E28322" s="8"/>
      <c r="G28322" s="8"/>
      <c r="J28322" s="8"/>
    </row>
    <row r="28323">
      <c r="C28323" s="15"/>
      <c r="E28323" s="8"/>
      <c r="G28323" s="8"/>
      <c r="J28323" s="8"/>
    </row>
    <row r="28324">
      <c r="C28324" s="15"/>
      <c r="E28324" s="8"/>
      <c r="G28324" s="8"/>
      <c r="J28324" s="8"/>
    </row>
    <row r="28325">
      <c r="C28325" s="15"/>
      <c r="E28325" s="8"/>
      <c r="G28325" s="8"/>
      <c r="J28325" s="8"/>
    </row>
    <row r="28326">
      <c r="C28326" s="15"/>
      <c r="E28326" s="8"/>
      <c r="G28326" s="8"/>
      <c r="J28326" s="8"/>
    </row>
    <row r="28327">
      <c r="C28327" s="15"/>
      <c r="E28327" s="8"/>
      <c r="G28327" s="8"/>
      <c r="J28327" s="8"/>
    </row>
    <row r="28328">
      <c r="C28328" s="15"/>
      <c r="E28328" s="8"/>
      <c r="G28328" s="8"/>
      <c r="J28328" s="8"/>
    </row>
    <row r="28329">
      <c r="C28329" s="15"/>
      <c r="E28329" s="8"/>
      <c r="G28329" s="8"/>
      <c r="J28329" s="8"/>
    </row>
    <row r="28330">
      <c r="C28330" s="15"/>
      <c r="E28330" s="8"/>
      <c r="G28330" s="8"/>
      <c r="J28330" s="8"/>
    </row>
    <row r="28331">
      <c r="C28331" s="15"/>
      <c r="E28331" s="8"/>
      <c r="G28331" s="8"/>
      <c r="J28331" s="8"/>
    </row>
    <row r="28332">
      <c r="C28332" s="15"/>
      <c r="E28332" s="8"/>
      <c r="G28332" s="8"/>
      <c r="J28332" s="8"/>
    </row>
    <row r="28333">
      <c r="C28333" s="15"/>
      <c r="E28333" s="8"/>
      <c r="G28333" s="8"/>
      <c r="J28333" s="8"/>
    </row>
    <row r="28334">
      <c r="C28334" s="15"/>
      <c r="E28334" s="8"/>
      <c r="G28334" s="8"/>
      <c r="J28334" s="8"/>
    </row>
    <row r="28335">
      <c r="C28335" s="15"/>
      <c r="E28335" s="8"/>
      <c r="G28335" s="8"/>
      <c r="J28335" s="8"/>
    </row>
    <row r="28336">
      <c r="C28336" s="15"/>
      <c r="E28336" s="8"/>
      <c r="G28336" s="8"/>
      <c r="J28336" s="8"/>
    </row>
    <row r="28337">
      <c r="C28337" s="15"/>
      <c r="E28337" s="8"/>
      <c r="G28337" s="8"/>
      <c r="J28337" s="8"/>
    </row>
    <row r="28338">
      <c r="C28338" s="15"/>
      <c r="E28338" s="8"/>
      <c r="G28338" s="8"/>
      <c r="J28338" s="8"/>
    </row>
    <row r="28339">
      <c r="C28339" s="15"/>
      <c r="E28339" s="8"/>
      <c r="G28339" s="8"/>
      <c r="J28339" s="8"/>
    </row>
    <row r="28340">
      <c r="C28340" s="15"/>
      <c r="E28340" s="8"/>
      <c r="G28340" s="8"/>
      <c r="J28340" s="8"/>
    </row>
    <row r="28341">
      <c r="C28341" s="15"/>
      <c r="E28341" s="8"/>
      <c r="G28341" s="8"/>
      <c r="J28341" s="8"/>
    </row>
    <row r="28342">
      <c r="C28342" s="15"/>
      <c r="E28342" s="8"/>
      <c r="G28342" s="8"/>
      <c r="J28342" s="8"/>
    </row>
    <row r="28343">
      <c r="C28343" s="15"/>
      <c r="E28343" s="8"/>
      <c r="G28343" s="8"/>
      <c r="J28343" s="8"/>
    </row>
    <row r="28344">
      <c r="C28344" s="15"/>
      <c r="E28344" s="8"/>
      <c r="G28344" s="8"/>
      <c r="J28344" s="8"/>
    </row>
    <row r="28345">
      <c r="C28345" s="15"/>
      <c r="E28345" s="8"/>
      <c r="G28345" s="8"/>
      <c r="J28345" s="8"/>
    </row>
    <row r="28346">
      <c r="C28346" s="15"/>
      <c r="E28346" s="8"/>
      <c r="G28346" s="8"/>
      <c r="J28346" s="8"/>
    </row>
    <row r="28347">
      <c r="C28347" s="15"/>
      <c r="E28347" s="8"/>
      <c r="G28347" s="8"/>
      <c r="J28347" s="8"/>
    </row>
    <row r="28348">
      <c r="C28348" s="15"/>
      <c r="E28348" s="8"/>
      <c r="G28348" s="8"/>
      <c r="J28348" s="8"/>
    </row>
    <row r="28349">
      <c r="C28349" s="15"/>
      <c r="E28349" s="8"/>
      <c r="G28349" s="8"/>
      <c r="J28349" s="8"/>
    </row>
    <row r="28350">
      <c r="C28350" s="15"/>
      <c r="E28350" s="8"/>
      <c r="G28350" s="8"/>
      <c r="J28350" s="8"/>
    </row>
    <row r="28351">
      <c r="C28351" s="15"/>
      <c r="E28351" s="8"/>
      <c r="G28351" s="8"/>
      <c r="J28351" s="8"/>
    </row>
    <row r="28352">
      <c r="C28352" s="15"/>
      <c r="E28352" s="8"/>
      <c r="G28352" s="8"/>
      <c r="J28352" s="8"/>
    </row>
    <row r="28353">
      <c r="C28353" s="15"/>
      <c r="E28353" s="8"/>
      <c r="G28353" s="8"/>
      <c r="J28353" s="8"/>
    </row>
    <row r="28354">
      <c r="C28354" s="15"/>
      <c r="E28354" s="8"/>
      <c r="G28354" s="8"/>
      <c r="J28354" s="8"/>
    </row>
    <row r="28355">
      <c r="C28355" s="15"/>
      <c r="E28355" s="8"/>
      <c r="G28355" s="8"/>
      <c r="J28355" s="8"/>
    </row>
    <row r="28356">
      <c r="C28356" s="15"/>
      <c r="E28356" s="8"/>
      <c r="G28356" s="8"/>
      <c r="J28356" s="8"/>
    </row>
    <row r="28357">
      <c r="C28357" s="15"/>
      <c r="E28357" s="8"/>
      <c r="G28357" s="8"/>
      <c r="J28357" s="8"/>
    </row>
    <row r="28358">
      <c r="C28358" s="15"/>
      <c r="E28358" s="8"/>
      <c r="G28358" s="8"/>
      <c r="J28358" s="8"/>
    </row>
    <row r="28359">
      <c r="C28359" s="15"/>
      <c r="E28359" s="8"/>
      <c r="G28359" s="8"/>
      <c r="J28359" s="8"/>
    </row>
    <row r="28360">
      <c r="C28360" s="15"/>
      <c r="E28360" s="8"/>
      <c r="G28360" s="8"/>
      <c r="J28360" s="8"/>
    </row>
    <row r="28361">
      <c r="C28361" s="15"/>
      <c r="E28361" s="8"/>
      <c r="G28361" s="8"/>
      <c r="J28361" s="8"/>
    </row>
    <row r="28362">
      <c r="C28362" s="15"/>
      <c r="E28362" s="8"/>
      <c r="G28362" s="8"/>
      <c r="J28362" s="8"/>
    </row>
    <row r="28363">
      <c r="C28363" s="15"/>
      <c r="E28363" s="8"/>
      <c r="G28363" s="8"/>
      <c r="J28363" s="8"/>
    </row>
    <row r="28364">
      <c r="C28364" s="15"/>
      <c r="E28364" s="8"/>
      <c r="G28364" s="8"/>
      <c r="J28364" s="8"/>
    </row>
    <row r="28365">
      <c r="C28365" s="15"/>
      <c r="E28365" s="8"/>
      <c r="G28365" s="8"/>
      <c r="J28365" s="8"/>
    </row>
    <row r="28366">
      <c r="C28366" s="15"/>
      <c r="E28366" s="8"/>
      <c r="G28366" s="8"/>
      <c r="J28366" s="8"/>
    </row>
    <row r="28367">
      <c r="C28367" s="15"/>
      <c r="E28367" s="8"/>
      <c r="G28367" s="8"/>
      <c r="J28367" s="8"/>
    </row>
    <row r="28368">
      <c r="C28368" s="15"/>
      <c r="E28368" s="8"/>
      <c r="G28368" s="8"/>
      <c r="J28368" s="8"/>
    </row>
    <row r="28369">
      <c r="C28369" s="15"/>
      <c r="E28369" s="8"/>
      <c r="G28369" s="8"/>
      <c r="J28369" s="8"/>
    </row>
    <row r="28370">
      <c r="C28370" s="15"/>
      <c r="E28370" s="8"/>
      <c r="G28370" s="8"/>
      <c r="J28370" s="8"/>
    </row>
    <row r="28371">
      <c r="C28371" s="15"/>
      <c r="E28371" s="8"/>
      <c r="G28371" s="8"/>
      <c r="J28371" s="8"/>
    </row>
    <row r="28372">
      <c r="C28372" s="15"/>
      <c r="E28372" s="8"/>
      <c r="G28372" s="8"/>
      <c r="J28372" s="8"/>
    </row>
    <row r="28373">
      <c r="C28373" s="15"/>
      <c r="E28373" s="8"/>
      <c r="G28373" s="8"/>
      <c r="J28373" s="8"/>
    </row>
    <row r="28374">
      <c r="C28374" s="15"/>
      <c r="E28374" s="8"/>
      <c r="G28374" s="8"/>
      <c r="J28374" s="8"/>
    </row>
    <row r="28375">
      <c r="C28375" s="15"/>
      <c r="E28375" s="8"/>
      <c r="G28375" s="8"/>
      <c r="J28375" s="8"/>
    </row>
    <row r="28376">
      <c r="C28376" s="15"/>
      <c r="E28376" s="8"/>
      <c r="G28376" s="8"/>
      <c r="J28376" s="8"/>
    </row>
    <row r="28377">
      <c r="C28377" s="15"/>
      <c r="E28377" s="8"/>
      <c r="G28377" s="8"/>
      <c r="J28377" s="8"/>
    </row>
    <row r="28378">
      <c r="C28378" s="15"/>
      <c r="E28378" s="8"/>
      <c r="G28378" s="8"/>
      <c r="J28378" s="8"/>
    </row>
    <row r="28379">
      <c r="C28379" s="15"/>
      <c r="E28379" s="8"/>
      <c r="G28379" s="8"/>
      <c r="J28379" s="8"/>
    </row>
    <row r="28380">
      <c r="C28380" s="15"/>
      <c r="E28380" s="8"/>
      <c r="G28380" s="8"/>
      <c r="J28380" s="8"/>
    </row>
    <row r="28381">
      <c r="C28381" s="15"/>
      <c r="E28381" s="8"/>
      <c r="G28381" s="8"/>
      <c r="J28381" s="8"/>
    </row>
    <row r="28382">
      <c r="C28382" s="15"/>
      <c r="E28382" s="8"/>
      <c r="G28382" s="8"/>
      <c r="J28382" s="8"/>
    </row>
    <row r="28383">
      <c r="C28383" s="15"/>
      <c r="E28383" s="8"/>
      <c r="G28383" s="8"/>
      <c r="J28383" s="8"/>
    </row>
    <row r="28384">
      <c r="C28384" s="15"/>
      <c r="E28384" s="8"/>
      <c r="G28384" s="8"/>
      <c r="J28384" s="8"/>
    </row>
    <row r="28385">
      <c r="C28385" s="15"/>
      <c r="E28385" s="8"/>
      <c r="G28385" s="8"/>
      <c r="J28385" s="8"/>
    </row>
    <row r="28386">
      <c r="C28386" s="15"/>
      <c r="E28386" s="8"/>
      <c r="G28386" s="8"/>
      <c r="J28386" s="8"/>
    </row>
    <row r="28387">
      <c r="C28387" s="15"/>
      <c r="E28387" s="8"/>
      <c r="G28387" s="8"/>
      <c r="J28387" s="8"/>
    </row>
    <row r="28388">
      <c r="C28388" s="15"/>
      <c r="E28388" s="8"/>
      <c r="G28388" s="8"/>
      <c r="J28388" s="8"/>
    </row>
    <row r="28389">
      <c r="C28389" s="15"/>
      <c r="E28389" s="8"/>
      <c r="G28389" s="8"/>
      <c r="J28389" s="8"/>
    </row>
    <row r="28390">
      <c r="C28390" s="15"/>
      <c r="E28390" s="8"/>
      <c r="G28390" s="8"/>
      <c r="J28390" s="8"/>
    </row>
    <row r="28391">
      <c r="C28391" s="15"/>
      <c r="E28391" s="8"/>
      <c r="G28391" s="8"/>
      <c r="J28391" s="8"/>
    </row>
    <row r="28392">
      <c r="C28392" s="15"/>
      <c r="E28392" s="8"/>
      <c r="G28392" s="8"/>
      <c r="J28392" s="8"/>
    </row>
    <row r="28393">
      <c r="C28393" s="15"/>
      <c r="E28393" s="8"/>
      <c r="G28393" s="8"/>
      <c r="J28393" s="8"/>
    </row>
    <row r="28394">
      <c r="C28394" s="15"/>
      <c r="E28394" s="8"/>
      <c r="G28394" s="8"/>
      <c r="J28394" s="8"/>
    </row>
    <row r="28395">
      <c r="C28395" s="15"/>
      <c r="E28395" s="8"/>
      <c r="G28395" s="8"/>
      <c r="J28395" s="8"/>
    </row>
    <row r="28396">
      <c r="C28396" s="15"/>
      <c r="E28396" s="8"/>
      <c r="G28396" s="8"/>
      <c r="J28396" s="8"/>
    </row>
    <row r="28397">
      <c r="C28397" s="15"/>
      <c r="E28397" s="8"/>
      <c r="G28397" s="8"/>
      <c r="J28397" s="8"/>
    </row>
    <row r="28398">
      <c r="C28398" s="15"/>
      <c r="E28398" s="8"/>
      <c r="G28398" s="8"/>
      <c r="J28398" s="8"/>
    </row>
    <row r="28399">
      <c r="C28399" s="15"/>
      <c r="E28399" s="8"/>
      <c r="G28399" s="8"/>
      <c r="J28399" s="8"/>
    </row>
    <row r="28400">
      <c r="C28400" s="15"/>
      <c r="E28400" s="8"/>
      <c r="G28400" s="8"/>
      <c r="J28400" s="8"/>
    </row>
    <row r="28401">
      <c r="C28401" s="15"/>
      <c r="E28401" s="8"/>
      <c r="G28401" s="8"/>
      <c r="J28401" s="8"/>
    </row>
    <row r="28402">
      <c r="C28402" s="15"/>
      <c r="E28402" s="8"/>
      <c r="G28402" s="8"/>
      <c r="J28402" s="8"/>
    </row>
    <row r="28403">
      <c r="C28403" s="15"/>
      <c r="E28403" s="8"/>
      <c r="G28403" s="8"/>
      <c r="J28403" s="8"/>
    </row>
    <row r="28404">
      <c r="C28404" s="15"/>
      <c r="E28404" s="8"/>
      <c r="G28404" s="8"/>
      <c r="J28404" s="8"/>
    </row>
    <row r="28405">
      <c r="C28405" s="15"/>
      <c r="E28405" s="8"/>
      <c r="G28405" s="8"/>
      <c r="J28405" s="8"/>
    </row>
    <row r="28406">
      <c r="C28406" s="15"/>
      <c r="E28406" s="8"/>
      <c r="G28406" s="8"/>
      <c r="J28406" s="8"/>
    </row>
    <row r="28407">
      <c r="C28407" s="15"/>
      <c r="E28407" s="8"/>
      <c r="G28407" s="8"/>
      <c r="J28407" s="8"/>
    </row>
    <row r="28408">
      <c r="C28408" s="15"/>
      <c r="E28408" s="8"/>
      <c r="G28408" s="8"/>
      <c r="J28408" s="8"/>
    </row>
    <row r="28409">
      <c r="C28409" s="15"/>
      <c r="E28409" s="8"/>
      <c r="G28409" s="8"/>
      <c r="J28409" s="8"/>
    </row>
    <row r="28410">
      <c r="C28410" s="15"/>
      <c r="E28410" s="8"/>
      <c r="G28410" s="8"/>
      <c r="J28410" s="8"/>
    </row>
    <row r="28411">
      <c r="C28411" s="15"/>
      <c r="E28411" s="8"/>
      <c r="G28411" s="8"/>
      <c r="J28411" s="8"/>
    </row>
    <row r="28412">
      <c r="C28412" s="15"/>
      <c r="E28412" s="8"/>
      <c r="G28412" s="8"/>
      <c r="J28412" s="8"/>
    </row>
    <row r="28413">
      <c r="C28413" s="15"/>
      <c r="E28413" s="8"/>
      <c r="G28413" s="8"/>
      <c r="J28413" s="8"/>
    </row>
    <row r="28414">
      <c r="C28414" s="15"/>
      <c r="E28414" s="8"/>
      <c r="G28414" s="8"/>
      <c r="J28414" s="8"/>
    </row>
    <row r="28415">
      <c r="C28415" s="15"/>
      <c r="E28415" s="8"/>
      <c r="G28415" s="8"/>
      <c r="J28415" s="8"/>
    </row>
    <row r="28416">
      <c r="C28416" s="15"/>
      <c r="E28416" s="8"/>
      <c r="G28416" s="8"/>
      <c r="J28416" s="8"/>
    </row>
    <row r="28417">
      <c r="C28417" s="15"/>
      <c r="E28417" s="8"/>
      <c r="G28417" s="8"/>
      <c r="J28417" s="8"/>
    </row>
    <row r="28418">
      <c r="C28418" s="15"/>
      <c r="E28418" s="8"/>
      <c r="G28418" s="8"/>
      <c r="J28418" s="8"/>
    </row>
    <row r="28419">
      <c r="C28419" s="15"/>
      <c r="E28419" s="8"/>
      <c r="G28419" s="8"/>
      <c r="J28419" s="8"/>
    </row>
    <row r="28420">
      <c r="C28420" s="15"/>
      <c r="E28420" s="8"/>
      <c r="G28420" s="8"/>
      <c r="J28420" s="8"/>
    </row>
    <row r="28421">
      <c r="C28421" s="15"/>
      <c r="E28421" s="8"/>
      <c r="G28421" s="8"/>
      <c r="J28421" s="8"/>
    </row>
    <row r="28422">
      <c r="C28422" s="15"/>
      <c r="E28422" s="8"/>
      <c r="G28422" s="8"/>
      <c r="J28422" s="8"/>
    </row>
    <row r="28423">
      <c r="C28423" s="15"/>
      <c r="E28423" s="8"/>
      <c r="G28423" s="8"/>
      <c r="J28423" s="8"/>
    </row>
    <row r="28424">
      <c r="C28424" s="15"/>
      <c r="E28424" s="8"/>
      <c r="G28424" s="8"/>
      <c r="J28424" s="8"/>
    </row>
    <row r="28425">
      <c r="C28425" s="15"/>
      <c r="E28425" s="8"/>
      <c r="G28425" s="8"/>
      <c r="J28425" s="8"/>
    </row>
    <row r="28426">
      <c r="C28426" s="15"/>
      <c r="E28426" s="8"/>
      <c r="G28426" s="8"/>
      <c r="J28426" s="8"/>
    </row>
    <row r="28427">
      <c r="C28427" s="15"/>
      <c r="E28427" s="8"/>
      <c r="G28427" s="8"/>
      <c r="J28427" s="8"/>
    </row>
    <row r="28428">
      <c r="C28428" s="15"/>
      <c r="E28428" s="8"/>
      <c r="G28428" s="8"/>
      <c r="J28428" s="8"/>
    </row>
    <row r="28429">
      <c r="C28429" s="15"/>
      <c r="E28429" s="8"/>
      <c r="G28429" s="8"/>
      <c r="J28429" s="8"/>
    </row>
    <row r="28430">
      <c r="C28430" s="15"/>
      <c r="E28430" s="8"/>
      <c r="G28430" s="8"/>
      <c r="J28430" s="8"/>
    </row>
    <row r="28431">
      <c r="C28431" s="15"/>
      <c r="E28431" s="8"/>
      <c r="G28431" s="8"/>
      <c r="J28431" s="8"/>
    </row>
    <row r="28432">
      <c r="C28432" s="15"/>
      <c r="E28432" s="8"/>
      <c r="G28432" s="8"/>
      <c r="J28432" s="8"/>
    </row>
    <row r="28433">
      <c r="C28433" s="15"/>
      <c r="E28433" s="8"/>
      <c r="G28433" s="8"/>
      <c r="J28433" s="8"/>
    </row>
    <row r="28434">
      <c r="C28434" s="15"/>
      <c r="E28434" s="8"/>
      <c r="G28434" s="8"/>
      <c r="J28434" s="8"/>
    </row>
    <row r="28435">
      <c r="C28435" s="15"/>
      <c r="E28435" s="8"/>
      <c r="G28435" s="8"/>
      <c r="J28435" s="8"/>
    </row>
    <row r="28436">
      <c r="C28436" s="15"/>
      <c r="E28436" s="8"/>
      <c r="G28436" s="8"/>
      <c r="J28436" s="8"/>
    </row>
    <row r="28437">
      <c r="C28437" s="15"/>
      <c r="E28437" s="8"/>
      <c r="G28437" s="8"/>
      <c r="J28437" s="8"/>
    </row>
    <row r="28438">
      <c r="C28438" s="15"/>
      <c r="E28438" s="8"/>
      <c r="G28438" s="8"/>
      <c r="J28438" s="8"/>
    </row>
    <row r="28439">
      <c r="C28439" s="15"/>
      <c r="E28439" s="8"/>
      <c r="G28439" s="8"/>
      <c r="J28439" s="8"/>
    </row>
    <row r="28440">
      <c r="C28440" s="15"/>
      <c r="E28440" s="8"/>
      <c r="G28440" s="8"/>
      <c r="J28440" s="8"/>
    </row>
    <row r="28441">
      <c r="C28441" s="15"/>
      <c r="E28441" s="8"/>
      <c r="G28441" s="8"/>
      <c r="J28441" s="8"/>
    </row>
    <row r="28442">
      <c r="C28442" s="15"/>
      <c r="E28442" s="8"/>
      <c r="G28442" s="8"/>
      <c r="J28442" s="8"/>
    </row>
    <row r="28443">
      <c r="C28443" s="15"/>
      <c r="E28443" s="8"/>
      <c r="G28443" s="8"/>
      <c r="J28443" s="8"/>
    </row>
    <row r="28444">
      <c r="C28444" s="15"/>
      <c r="E28444" s="8"/>
      <c r="G28444" s="8"/>
      <c r="J28444" s="8"/>
    </row>
    <row r="28445">
      <c r="C28445" s="15"/>
      <c r="E28445" s="8"/>
      <c r="G28445" s="8"/>
      <c r="J28445" s="8"/>
    </row>
    <row r="28446">
      <c r="C28446" s="15"/>
      <c r="E28446" s="8"/>
      <c r="G28446" s="8"/>
      <c r="J28446" s="8"/>
    </row>
    <row r="28447">
      <c r="C28447" s="15"/>
      <c r="E28447" s="8"/>
      <c r="G28447" s="8"/>
      <c r="J28447" s="8"/>
    </row>
    <row r="28448">
      <c r="C28448" s="15"/>
      <c r="E28448" s="8"/>
      <c r="G28448" s="8"/>
      <c r="J28448" s="8"/>
    </row>
    <row r="28449">
      <c r="C28449" s="15"/>
      <c r="E28449" s="8"/>
      <c r="G28449" s="8"/>
      <c r="J28449" s="8"/>
    </row>
    <row r="28450">
      <c r="C28450" s="15"/>
      <c r="E28450" s="8"/>
      <c r="G28450" s="8"/>
      <c r="J28450" s="8"/>
    </row>
    <row r="28451">
      <c r="C28451" s="15"/>
      <c r="E28451" s="8"/>
      <c r="G28451" s="8"/>
      <c r="J28451" s="8"/>
    </row>
    <row r="28452">
      <c r="C28452" s="15"/>
      <c r="E28452" s="8"/>
      <c r="G28452" s="8"/>
      <c r="J28452" s="8"/>
    </row>
    <row r="28453">
      <c r="C28453" s="15"/>
      <c r="E28453" s="8"/>
      <c r="G28453" s="8"/>
      <c r="J28453" s="8"/>
    </row>
    <row r="28454">
      <c r="C28454" s="15"/>
      <c r="E28454" s="8"/>
      <c r="G28454" s="8"/>
      <c r="J28454" s="8"/>
    </row>
    <row r="28455">
      <c r="C28455" s="15"/>
      <c r="E28455" s="8"/>
      <c r="G28455" s="8"/>
      <c r="J28455" s="8"/>
    </row>
    <row r="28456">
      <c r="C28456" s="15"/>
      <c r="E28456" s="8"/>
      <c r="G28456" s="8"/>
      <c r="J28456" s="8"/>
    </row>
    <row r="28457">
      <c r="C28457" s="15"/>
      <c r="E28457" s="8"/>
      <c r="G28457" s="8"/>
      <c r="J28457" s="8"/>
    </row>
    <row r="28458">
      <c r="C28458" s="15"/>
      <c r="E28458" s="8"/>
      <c r="G28458" s="8"/>
      <c r="J28458" s="8"/>
    </row>
    <row r="28459">
      <c r="C28459" s="15"/>
      <c r="E28459" s="8"/>
      <c r="G28459" s="8"/>
      <c r="J28459" s="8"/>
    </row>
    <row r="28460">
      <c r="C28460" s="15"/>
      <c r="E28460" s="8"/>
      <c r="G28460" s="8"/>
      <c r="J28460" s="8"/>
    </row>
    <row r="28461">
      <c r="C28461" s="15"/>
      <c r="E28461" s="8"/>
      <c r="G28461" s="8"/>
      <c r="J28461" s="8"/>
    </row>
    <row r="28462">
      <c r="C28462" s="15"/>
      <c r="E28462" s="8"/>
      <c r="G28462" s="8"/>
      <c r="J28462" s="8"/>
    </row>
    <row r="28463">
      <c r="C28463" s="15"/>
      <c r="E28463" s="8"/>
      <c r="G28463" s="8"/>
      <c r="J28463" s="8"/>
    </row>
    <row r="28464">
      <c r="C28464" s="15"/>
      <c r="E28464" s="8"/>
      <c r="G28464" s="8"/>
      <c r="J28464" s="8"/>
    </row>
    <row r="28465">
      <c r="C28465" s="15"/>
      <c r="E28465" s="8"/>
      <c r="G28465" s="8"/>
      <c r="J28465" s="8"/>
    </row>
    <row r="28466">
      <c r="C28466" s="15"/>
      <c r="E28466" s="8"/>
      <c r="G28466" s="8"/>
      <c r="J28466" s="8"/>
    </row>
    <row r="28467">
      <c r="C28467" s="15"/>
      <c r="E28467" s="8"/>
      <c r="G28467" s="8"/>
      <c r="J28467" s="8"/>
    </row>
    <row r="28468">
      <c r="C28468" s="15"/>
      <c r="E28468" s="8"/>
      <c r="G28468" s="8"/>
      <c r="J28468" s="8"/>
    </row>
    <row r="28469">
      <c r="C28469" s="15"/>
      <c r="E28469" s="8"/>
      <c r="G28469" s="8"/>
      <c r="J28469" s="8"/>
    </row>
    <row r="28470">
      <c r="C28470" s="15"/>
      <c r="E28470" s="8"/>
      <c r="G28470" s="8"/>
      <c r="J28470" s="8"/>
    </row>
    <row r="28471">
      <c r="C28471" s="15"/>
      <c r="E28471" s="8"/>
      <c r="G28471" s="8"/>
      <c r="J28471" s="8"/>
    </row>
    <row r="28472">
      <c r="C28472" s="15"/>
      <c r="E28472" s="8"/>
      <c r="G28472" s="8"/>
      <c r="J28472" s="8"/>
    </row>
    <row r="28473">
      <c r="C28473" s="15"/>
      <c r="E28473" s="8"/>
      <c r="G28473" s="8"/>
      <c r="J28473" s="8"/>
    </row>
    <row r="28474">
      <c r="C28474" s="15"/>
      <c r="E28474" s="8"/>
      <c r="G28474" s="8"/>
      <c r="J28474" s="8"/>
    </row>
    <row r="28475">
      <c r="C28475" s="15"/>
      <c r="E28475" s="8"/>
      <c r="G28475" s="8"/>
      <c r="J28475" s="8"/>
    </row>
    <row r="28476">
      <c r="C28476" s="15"/>
      <c r="E28476" s="8"/>
      <c r="G28476" s="8"/>
      <c r="J28476" s="8"/>
    </row>
    <row r="28477">
      <c r="C28477" s="15"/>
      <c r="E28477" s="8"/>
      <c r="G28477" s="8"/>
      <c r="J28477" s="8"/>
    </row>
    <row r="28478">
      <c r="C28478" s="15"/>
      <c r="E28478" s="8"/>
      <c r="G28478" s="8"/>
      <c r="J28478" s="8"/>
    </row>
    <row r="28479">
      <c r="C28479" s="15"/>
      <c r="E28479" s="8"/>
      <c r="G28479" s="8"/>
      <c r="J28479" s="8"/>
    </row>
    <row r="28480">
      <c r="C28480" s="15"/>
      <c r="E28480" s="8"/>
      <c r="G28480" s="8"/>
      <c r="J28480" s="8"/>
    </row>
    <row r="28481">
      <c r="C28481" s="15"/>
      <c r="E28481" s="8"/>
      <c r="G28481" s="8"/>
      <c r="J28481" s="8"/>
    </row>
    <row r="28482">
      <c r="C28482" s="15"/>
      <c r="E28482" s="8"/>
      <c r="G28482" s="8"/>
      <c r="J28482" s="8"/>
    </row>
    <row r="28483">
      <c r="C28483" s="15"/>
      <c r="E28483" s="8"/>
      <c r="G28483" s="8"/>
      <c r="J28483" s="8"/>
    </row>
    <row r="28484">
      <c r="C28484" s="15"/>
      <c r="E28484" s="8"/>
      <c r="G28484" s="8"/>
      <c r="J28484" s="8"/>
    </row>
    <row r="28485">
      <c r="C28485" s="15"/>
      <c r="E28485" s="8"/>
      <c r="G28485" s="8"/>
      <c r="J28485" s="8"/>
    </row>
    <row r="28486">
      <c r="C28486" s="15"/>
      <c r="E28486" s="8"/>
      <c r="G28486" s="8"/>
      <c r="J28486" s="8"/>
    </row>
    <row r="28487">
      <c r="C28487" s="15"/>
      <c r="E28487" s="8"/>
      <c r="G28487" s="8"/>
      <c r="J28487" s="8"/>
    </row>
    <row r="28488">
      <c r="C28488" s="15"/>
      <c r="E28488" s="8"/>
      <c r="G28488" s="8"/>
      <c r="J28488" s="8"/>
    </row>
    <row r="28489">
      <c r="C28489" s="15"/>
      <c r="E28489" s="8"/>
      <c r="G28489" s="8"/>
      <c r="J28489" s="8"/>
    </row>
    <row r="28490">
      <c r="C28490" s="15"/>
      <c r="E28490" s="8"/>
      <c r="G28490" s="8"/>
      <c r="J28490" s="8"/>
    </row>
    <row r="28491">
      <c r="C28491" s="15"/>
      <c r="E28491" s="8"/>
      <c r="G28491" s="8"/>
      <c r="J28491" s="8"/>
    </row>
    <row r="28492">
      <c r="C28492" s="15"/>
      <c r="E28492" s="8"/>
      <c r="G28492" s="8"/>
      <c r="J28492" s="8"/>
    </row>
    <row r="28493">
      <c r="C28493" s="15"/>
      <c r="E28493" s="8"/>
      <c r="G28493" s="8"/>
      <c r="J28493" s="8"/>
    </row>
    <row r="28494">
      <c r="C28494" s="15"/>
      <c r="E28494" s="8"/>
      <c r="G28494" s="8"/>
      <c r="J28494" s="8"/>
    </row>
    <row r="28495">
      <c r="C28495" s="15"/>
      <c r="E28495" s="8"/>
      <c r="G28495" s="8"/>
      <c r="J28495" s="8"/>
    </row>
    <row r="28496">
      <c r="C28496" s="15"/>
      <c r="E28496" s="8"/>
      <c r="G28496" s="8"/>
      <c r="J28496" s="8"/>
    </row>
    <row r="28497">
      <c r="C28497" s="15"/>
      <c r="E28497" s="8"/>
      <c r="G28497" s="8"/>
      <c r="J28497" s="8"/>
    </row>
    <row r="28498">
      <c r="C28498" s="15"/>
      <c r="E28498" s="8"/>
      <c r="G28498" s="8"/>
      <c r="J28498" s="8"/>
    </row>
    <row r="28499">
      <c r="C28499" s="15"/>
      <c r="E28499" s="8"/>
      <c r="G28499" s="8"/>
      <c r="J28499" s="8"/>
    </row>
    <row r="28500">
      <c r="C28500" s="15"/>
      <c r="E28500" s="8"/>
      <c r="G28500" s="8"/>
      <c r="J28500" s="8"/>
    </row>
    <row r="28501">
      <c r="C28501" s="15"/>
      <c r="E28501" s="8"/>
      <c r="G28501" s="8"/>
      <c r="J28501" s="8"/>
    </row>
    <row r="28502">
      <c r="C28502" s="15"/>
      <c r="E28502" s="8"/>
      <c r="G28502" s="8"/>
      <c r="J28502" s="8"/>
    </row>
    <row r="28503">
      <c r="C28503" s="15"/>
      <c r="E28503" s="8"/>
      <c r="G28503" s="8"/>
      <c r="J28503" s="8"/>
    </row>
    <row r="28504">
      <c r="C28504" s="15"/>
      <c r="E28504" s="8"/>
      <c r="G28504" s="8"/>
      <c r="J28504" s="8"/>
    </row>
    <row r="28505">
      <c r="C28505" s="15"/>
      <c r="E28505" s="8"/>
      <c r="G28505" s="8"/>
      <c r="J28505" s="8"/>
    </row>
    <row r="28506">
      <c r="C28506" s="15"/>
      <c r="E28506" s="8"/>
      <c r="G28506" s="8"/>
      <c r="J28506" s="8"/>
    </row>
    <row r="28507">
      <c r="C28507" s="15"/>
      <c r="E28507" s="8"/>
      <c r="G28507" s="8"/>
      <c r="J28507" s="8"/>
    </row>
    <row r="28508">
      <c r="C28508" s="15"/>
      <c r="E28508" s="8"/>
      <c r="G28508" s="8"/>
      <c r="J28508" s="8"/>
    </row>
    <row r="28509">
      <c r="C28509" s="15"/>
      <c r="E28509" s="8"/>
      <c r="G28509" s="8"/>
      <c r="J28509" s="8"/>
    </row>
    <row r="28510">
      <c r="C28510" s="15"/>
      <c r="E28510" s="8"/>
      <c r="G28510" s="8"/>
      <c r="J28510" s="8"/>
    </row>
    <row r="28511">
      <c r="C28511" s="15"/>
      <c r="E28511" s="8"/>
      <c r="G28511" s="8"/>
      <c r="J28511" s="8"/>
    </row>
    <row r="28512">
      <c r="C28512" s="15"/>
      <c r="E28512" s="8"/>
      <c r="G28512" s="8"/>
      <c r="J28512" s="8"/>
    </row>
    <row r="28513">
      <c r="C28513" s="15"/>
      <c r="E28513" s="8"/>
      <c r="G28513" s="8"/>
      <c r="J28513" s="8"/>
    </row>
    <row r="28514">
      <c r="C28514" s="15"/>
      <c r="E28514" s="8"/>
      <c r="G28514" s="8"/>
      <c r="J28514" s="8"/>
    </row>
    <row r="28515">
      <c r="C28515" s="15"/>
      <c r="E28515" s="8"/>
      <c r="G28515" s="8"/>
      <c r="J28515" s="8"/>
    </row>
    <row r="28516">
      <c r="C28516" s="15"/>
      <c r="E28516" s="8"/>
      <c r="G28516" s="8"/>
      <c r="J28516" s="8"/>
    </row>
    <row r="28517">
      <c r="C28517" s="15"/>
      <c r="E28517" s="8"/>
      <c r="G28517" s="8"/>
      <c r="J28517" s="8"/>
    </row>
    <row r="28518">
      <c r="C28518" s="15"/>
      <c r="E28518" s="8"/>
      <c r="G28518" s="8"/>
      <c r="J28518" s="8"/>
    </row>
    <row r="28519">
      <c r="C28519" s="15"/>
      <c r="E28519" s="8"/>
      <c r="G28519" s="8"/>
      <c r="J28519" s="8"/>
    </row>
    <row r="28520">
      <c r="C28520" s="15"/>
      <c r="E28520" s="8"/>
      <c r="G28520" s="8"/>
      <c r="J28520" s="8"/>
    </row>
    <row r="28521">
      <c r="C28521" s="15"/>
      <c r="E28521" s="8"/>
      <c r="G28521" s="8"/>
      <c r="J28521" s="8"/>
    </row>
    <row r="28522">
      <c r="C28522" s="15"/>
      <c r="E28522" s="8"/>
      <c r="G28522" s="8"/>
      <c r="J28522" s="8"/>
    </row>
    <row r="28523">
      <c r="C28523" s="15"/>
      <c r="E28523" s="8"/>
      <c r="G28523" s="8"/>
      <c r="J28523" s="8"/>
    </row>
    <row r="28524">
      <c r="C28524" s="15"/>
      <c r="E28524" s="8"/>
      <c r="G28524" s="8"/>
      <c r="J28524" s="8"/>
    </row>
    <row r="28525">
      <c r="C28525" s="15"/>
      <c r="E28525" s="8"/>
      <c r="G28525" s="8"/>
      <c r="J28525" s="8"/>
    </row>
    <row r="28526">
      <c r="C28526" s="15"/>
      <c r="E28526" s="8"/>
      <c r="G28526" s="8"/>
      <c r="J28526" s="8"/>
    </row>
    <row r="28527">
      <c r="C28527" s="15"/>
      <c r="E28527" s="8"/>
      <c r="G28527" s="8"/>
      <c r="J28527" s="8"/>
    </row>
    <row r="28528">
      <c r="C28528" s="15"/>
      <c r="E28528" s="8"/>
      <c r="G28528" s="8"/>
      <c r="J28528" s="8"/>
    </row>
    <row r="28529">
      <c r="C28529" s="15"/>
      <c r="E28529" s="8"/>
      <c r="G28529" s="8"/>
      <c r="J28529" s="8"/>
    </row>
    <row r="28530">
      <c r="C28530" s="15"/>
      <c r="E28530" s="8"/>
      <c r="G28530" s="8"/>
      <c r="J28530" s="8"/>
    </row>
    <row r="28531">
      <c r="C28531" s="15"/>
      <c r="E28531" s="8"/>
      <c r="G28531" s="8"/>
      <c r="J28531" s="8"/>
    </row>
    <row r="28532">
      <c r="C28532" s="15"/>
      <c r="E28532" s="8"/>
      <c r="G28532" s="8"/>
      <c r="J28532" s="8"/>
    </row>
    <row r="28533">
      <c r="C28533" s="15"/>
      <c r="E28533" s="8"/>
      <c r="G28533" s="8"/>
      <c r="J28533" s="8"/>
    </row>
    <row r="28534">
      <c r="C28534" s="15"/>
      <c r="E28534" s="8"/>
      <c r="G28534" s="8"/>
      <c r="J28534" s="8"/>
    </row>
    <row r="28535">
      <c r="C28535" s="15"/>
      <c r="E28535" s="8"/>
      <c r="G28535" s="8"/>
      <c r="J28535" s="8"/>
    </row>
    <row r="28536">
      <c r="C28536" s="15"/>
      <c r="E28536" s="8"/>
      <c r="G28536" s="8"/>
      <c r="J28536" s="8"/>
    </row>
    <row r="28537">
      <c r="C28537" s="15"/>
      <c r="E28537" s="8"/>
      <c r="G28537" s="8"/>
      <c r="J28537" s="8"/>
    </row>
    <row r="28538">
      <c r="C28538" s="15"/>
      <c r="E28538" s="8"/>
      <c r="G28538" s="8"/>
      <c r="J28538" s="8"/>
    </row>
    <row r="28539">
      <c r="C28539" s="15"/>
      <c r="E28539" s="8"/>
      <c r="G28539" s="8"/>
      <c r="J28539" s="8"/>
    </row>
    <row r="28540">
      <c r="C28540" s="15"/>
      <c r="E28540" s="8"/>
      <c r="G28540" s="8"/>
      <c r="J28540" s="8"/>
    </row>
    <row r="28541">
      <c r="C28541" s="15"/>
      <c r="E28541" s="8"/>
      <c r="G28541" s="8"/>
      <c r="J28541" s="8"/>
    </row>
    <row r="28542">
      <c r="C28542" s="15"/>
      <c r="E28542" s="8"/>
      <c r="G28542" s="8"/>
      <c r="J28542" s="8"/>
    </row>
    <row r="28543">
      <c r="C28543" s="15"/>
      <c r="E28543" s="8"/>
      <c r="G28543" s="8"/>
      <c r="J28543" s="8"/>
    </row>
    <row r="28544">
      <c r="C28544" s="15"/>
      <c r="E28544" s="8"/>
      <c r="G28544" s="8"/>
      <c r="J28544" s="8"/>
    </row>
    <row r="28545">
      <c r="C28545" s="15"/>
      <c r="E28545" s="8"/>
      <c r="G28545" s="8"/>
      <c r="J28545" s="8"/>
    </row>
    <row r="28546">
      <c r="C28546" s="15"/>
      <c r="E28546" s="8"/>
      <c r="G28546" s="8"/>
      <c r="J28546" s="8"/>
    </row>
    <row r="28547">
      <c r="C28547" s="15"/>
      <c r="E28547" s="8"/>
      <c r="G28547" s="8"/>
      <c r="J28547" s="8"/>
    </row>
    <row r="28548">
      <c r="C28548" s="15"/>
      <c r="E28548" s="8"/>
      <c r="G28548" s="8"/>
      <c r="J28548" s="8"/>
    </row>
    <row r="28549">
      <c r="C28549" s="15"/>
      <c r="E28549" s="8"/>
      <c r="G28549" s="8"/>
      <c r="J28549" s="8"/>
    </row>
    <row r="28550">
      <c r="C28550" s="15"/>
      <c r="E28550" s="8"/>
      <c r="G28550" s="8"/>
      <c r="J28550" s="8"/>
    </row>
    <row r="28551">
      <c r="C28551" s="15"/>
      <c r="E28551" s="8"/>
      <c r="G28551" s="8"/>
      <c r="J28551" s="8"/>
    </row>
    <row r="28552">
      <c r="C28552" s="15"/>
      <c r="E28552" s="8"/>
      <c r="G28552" s="8"/>
      <c r="J28552" s="8"/>
    </row>
    <row r="28553">
      <c r="C28553" s="15"/>
      <c r="E28553" s="8"/>
      <c r="G28553" s="8"/>
      <c r="J28553" s="8"/>
    </row>
    <row r="28554">
      <c r="C28554" s="15"/>
      <c r="E28554" s="8"/>
      <c r="G28554" s="8"/>
      <c r="J28554" s="8"/>
    </row>
    <row r="28555">
      <c r="C28555" s="15"/>
      <c r="E28555" s="8"/>
      <c r="G28555" s="8"/>
      <c r="J28555" s="8"/>
    </row>
    <row r="28556">
      <c r="C28556" s="15"/>
      <c r="E28556" s="8"/>
      <c r="G28556" s="8"/>
      <c r="J28556" s="8"/>
    </row>
    <row r="28557">
      <c r="C28557" s="15"/>
      <c r="E28557" s="8"/>
      <c r="G28557" s="8"/>
      <c r="J28557" s="8"/>
    </row>
    <row r="28558">
      <c r="C28558" s="15"/>
      <c r="E28558" s="8"/>
      <c r="G28558" s="8"/>
      <c r="J28558" s="8"/>
    </row>
    <row r="28559">
      <c r="C28559" s="15"/>
      <c r="E28559" s="8"/>
      <c r="G28559" s="8"/>
      <c r="J28559" s="8"/>
    </row>
    <row r="28560">
      <c r="C28560" s="15"/>
      <c r="E28560" s="8"/>
      <c r="G28560" s="8"/>
      <c r="J28560" s="8"/>
    </row>
    <row r="28561">
      <c r="C28561" s="15"/>
      <c r="E28561" s="8"/>
      <c r="G28561" s="8"/>
      <c r="J28561" s="8"/>
    </row>
    <row r="28562">
      <c r="C28562" s="15"/>
      <c r="E28562" s="8"/>
      <c r="G28562" s="8"/>
      <c r="J28562" s="8"/>
    </row>
    <row r="28563">
      <c r="C28563" s="15"/>
      <c r="E28563" s="8"/>
      <c r="G28563" s="8"/>
      <c r="J28563" s="8"/>
    </row>
    <row r="28564">
      <c r="C28564" s="15"/>
      <c r="E28564" s="8"/>
      <c r="G28564" s="8"/>
      <c r="J28564" s="8"/>
    </row>
    <row r="28565">
      <c r="C28565" s="15"/>
      <c r="E28565" s="8"/>
      <c r="G28565" s="8"/>
      <c r="J28565" s="8"/>
    </row>
    <row r="28566">
      <c r="C28566" s="15"/>
      <c r="E28566" s="8"/>
      <c r="G28566" s="8"/>
      <c r="J28566" s="8"/>
    </row>
    <row r="28567">
      <c r="C28567" s="15"/>
      <c r="E28567" s="8"/>
      <c r="G28567" s="8"/>
      <c r="J28567" s="8"/>
    </row>
    <row r="28568">
      <c r="C28568" s="15"/>
      <c r="E28568" s="8"/>
      <c r="G28568" s="8"/>
      <c r="J28568" s="8"/>
    </row>
    <row r="28569">
      <c r="C28569" s="15"/>
      <c r="E28569" s="8"/>
      <c r="G28569" s="8"/>
      <c r="J28569" s="8"/>
    </row>
    <row r="28570">
      <c r="C28570" s="15"/>
      <c r="E28570" s="8"/>
      <c r="G28570" s="8"/>
      <c r="J28570" s="8"/>
    </row>
    <row r="28571">
      <c r="C28571" s="15"/>
      <c r="E28571" s="8"/>
      <c r="G28571" s="8"/>
      <c r="J28571" s="8"/>
    </row>
    <row r="28572">
      <c r="C28572" s="15"/>
      <c r="E28572" s="8"/>
      <c r="G28572" s="8"/>
      <c r="J28572" s="8"/>
    </row>
    <row r="28573">
      <c r="C28573" s="15"/>
      <c r="E28573" s="8"/>
      <c r="G28573" s="8"/>
      <c r="J28573" s="8"/>
    </row>
    <row r="28574">
      <c r="C28574" s="15"/>
      <c r="E28574" s="8"/>
      <c r="G28574" s="8"/>
      <c r="J28574" s="8"/>
    </row>
    <row r="28575">
      <c r="C28575" s="15"/>
      <c r="E28575" s="8"/>
      <c r="G28575" s="8"/>
      <c r="J28575" s="8"/>
    </row>
    <row r="28576">
      <c r="C28576" s="15"/>
      <c r="E28576" s="8"/>
      <c r="G28576" s="8"/>
      <c r="J28576" s="8"/>
    </row>
    <row r="28577">
      <c r="C28577" s="15"/>
      <c r="E28577" s="8"/>
      <c r="G28577" s="8"/>
      <c r="J28577" s="8"/>
    </row>
    <row r="28578">
      <c r="C28578" s="15"/>
      <c r="E28578" s="8"/>
      <c r="G28578" s="8"/>
      <c r="J28578" s="8"/>
    </row>
    <row r="28579">
      <c r="C28579" s="15"/>
      <c r="E28579" s="8"/>
      <c r="G28579" s="8"/>
      <c r="J28579" s="8"/>
    </row>
    <row r="28580">
      <c r="C28580" s="15"/>
      <c r="E28580" s="8"/>
      <c r="G28580" s="8"/>
      <c r="J28580" s="8"/>
    </row>
    <row r="28581">
      <c r="C28581" s="15"/>
      <c r="E28581" s="8"/>
      <c r="G28581" s="8"/>
      <c r="J28581" s="8"/>
    </row>
    <row r="28582">
      <c r="C28582" s="15"/>
      <c r="E28582" s="8"/>
      <c r="G28582" s="8"/>
      <c r="J28582" s="8"/>
    </row>
    <row r="28583">
      <c r="C28583" s="15"/>
      <c r="E28583" s="8"/>
      <c r="G28583" s="8"/>
      <c r="J28583" s="8"/>
    </row>
    <row r="28584">
      <c r="C28584" s="15"/>
      <c r="E28584" s="8"/>
      <c r="G28584" s="8"/>
      <c r="J28584" s="8"/>
    </row>
    <row r="28585">
      <c r="C28585" s="15"/>
      <c r="E28585" s="8"/>
      <c r="G28585" s="8"/>
      <c r="J28585" s="8"/>
    </row>
    <row r="28586">
      <c r="C28586" s="15"/>
      <c r="E28586" s="8"/>
      <c r="G28586" s="8"/>
      <c r="J28586" s="8"/>
    </row>
    <row r="28587">
      <c r="C28587" s="15"/>
      <c r="E28587" s="8"/>
      <c r="G28587" s="8"/>
      <c r="J28587" s="8"/>
    </row>
    <row r="28588">
      <c r="C28588" s="15"/>
      <c r="E28588" s="8"/>
      <c r="G28588" s="8"/>
      <c r="J28588" s="8"/>
    </row>
    <row r="28589">
      <c r="C28589" s="15"/>
      <c r="E28589" s="8"/>
      <c r="G28589" s="8"/>
      <c r="J28589" s="8"/>
    </row>
    <row r="28590">
      <c r="C28590" s="15"/>
      <c r="E28590" s="8"/>
      <c r="G28590" s="8"/>
      <c r="J28590" s="8"/>
    </row>
    <row r="28591">
      <c r="C28591" s="15"/>
      <c r="E28591" s="8"/>
      <c r="G28591" s="8"/>
      <c r="J28591" s="8"/>
    </row>
    <row r="28592">
      <c r="C28592" s="15"/>
      <c r="E28592" s="8"/>
      <c r="G28592" s="8"/>
      <c r="J28592" s="8"/>
    </row>
    <row r="28593">
      <c r="C28593" s="15"/>
      <c r="E28593" s="8"/>
      <c r="G28593" s="8"/>
      <c r="J28593" s="8"/>
    </row>
    <row r="28594">
      <c r="C28594" s="15"/>
      <c r="E28594" s="8"/>
      <c r="G28594" s="8"/>
      <c r="J28594" s="8"/>
    </row>
    <row r="28595">
      <c r="C28595" s="15"/>
      <c r="E28595" s="8"/>
      <c r="G28595" s="8"/>
      <c r="J28595" s="8"/>
    </row>
    <row r="28596">
      <c r="C28596" s="15"/>
      <c r="E28596" s="8"/>
      <c r="G28596" s="8"/>
      <c r="J28596" s="8"/>
    </row>
    <row r="28597">
      <c r="C28597" s="15"/>
      <c r="E28597" s="8"/>
      <c r="G28597" s="8"/>
      <c r="J28597" s="8"/>
    </row>
    <row r="28598">
      <c r="C28598" s="15"/>
      <c r="E28598" s="8"/>
      <c r="G28598" s="8"/>
      <c r="J28598" s="8"/>
    </row>
    <row r="28599">
      <c r="C28599" s="15"/>
      <c r="E28599" s="8"/>
      <c r="G28599" s="8"/>
      <c r="J28599" s="8"/>
    </row>
    <row r="28600">
      <c r="C28600" s="15"/>
      <c r="E28600" s="8"/>
      <c r="G28600" s="8"/>
      <c r="J28600" s="8"/>
    </row>
    <row r="28601">
      <c r="C28601" s="15"/>
      <c r="E28601" s="8"/>
      <c r="G28601" s="8"/>
      <c r="J28601" s="8"/>
    </row>
    <row r="28602">
      <c r="C28602" s="15"/>
      <c r="E28602" s="8"/>
      <c r="G28602" s="8"/>
      <c r="J28602" s="8"/>
    </row>
    <row r="28603">
      <c r="C28603" s="15"/>
      <c r="E28603" s="8"/>
      <c r="G28603" s="8"/>
      <c r="J28603" s="8"/>
    </row>
    <row r="28604">
      <c r="C28604" s="15"/>
      <c r="E28604" s="8"/>
      <c r="G28604" s="8"/>
      <c r="J28604" s="8"/>
    </row>
    <row r="28605">
      <c r="C28605" s="15"/>
      <c r="E28605" s="8"/>
      <c r="G28605" s="8"/>
      <c r="J28605" s="8"/>
    </row>
    <row r="28606">
      <c r="C28606" s="15"/>
      <c r="E28606" s="8"/>
      <c r="G28606" s="8"/>
      <c r="J28606" s="8"/>
    </row>
    <row r="28607">
      <c r="C28607" s="15"/>
      <c r="E28607" s="8"/>
      <c r="G28607" s="8"/>
      <c r="J28607" s="8"/>
    </row>
    <row r="28608">
      <c r="C28608" s="15"/>
      <c r="E28608" s="8"/>
      <c r="G28608" s="8"/>
      <c r="J28608" s="8"/>
    </row>
    <row r="28609">
      <c r="C28609" s="15"/>
      <c r="E28609" s="8"/>
      <c r="G28609" s="8"/>
      <c r="J28609" s="8"/>
    </row>
    <row r="28610">
      <c r="C28610" s="15"/>
      <c r="E28610" s="8"/>
      <c r="G28610" s="8"/>
      <c r="J28610" s="8"/>
    </row>
    <row r="28611">
      <c r="C28611" s="15"/>
      <c r="E28611" s="8"/>
      <c r="G28611" s="8"/>
      <c r="J28611" s="8"/>
    </row>
    <row r="28612">
      <c r="C28612" s="15"/>
      <c r="E28612" s="8"/>
      <c r="G28612" s="8"/>
      <c r="J28612" s="8"/>
    </row>
    <row r="28613">
      <c r="C28613" s="15"/>
      <c r="E28613" s="8"/>
      <c r="G28613" s="8"/>
      <c r="J28613" s="8"/>
    </row>
    <row r="28614">
      <c r="C28614" s="15"/>
      <c r="E28614" s="8"/>
      <c r="G28614" s="8"/>
      <c r="J28614" s="8"/>
    </row>
    <row r="28615">
      <c r="C28615" s="15"/>
      <c r="E28615" s="8"/>
      <c r="G28615" s="8"/>
      <c r="J28615" s="8"/>
    </row>
    <row r="28616">
      <c r="C28616" s="15"/>
      <c r="E28616" s="8"/>
      <c r="G28616" s="8"/>
      <c r="J28616" s="8"/>
    </row>
    <row r="28617">
      <c r="C28617" s="15"/>
      <c r="E28617" s="8"/>
      <c r="G28617" s="8"/>
      <c r="J28617" s="8"/>
    </row>
    <row r="28618">
      <c r="C28618" s="15"/>
      <c r="E28618" s="8"/>
      <c r="G28618" s="8"/>
      <c r="J28618" s="8"/>
    </row>
    <row r="28619">
      <c r="C28619" s="15"/>
      <c r="E28619" s="8"/>
      <c r="G28619" s="8"/>
      <c r="J28619" s="8"/>
    </row>
    <row r="28620">
      <c r="C28620" s="15"/>
      <c r="E28620" s="8"/>
      <c r="G28620" s="8"/>
      <c r="J28620" s="8"/>
    </row>
    <row r="28621">
      <c r="C28621" s="15"/>
      <c r="E28621" s="8"/>
      <c r="G28621" s="8"/>
      <c r="J28621" s="8"/>
    </row>
    <row r="28622">
      <c r="C28622" s="15"/>
      <c r="E28622" s="8"/>
      <c r="G28622" s="8"/>
      <c r="J28622" s="8"/>
    </row>
    <row r="28623">
      <c r="C28623" s="15"/>
      <c r="E28623" s="8"/>
      <c r="G28623" s="8"/>
      <c r="J28623" s="8"/>
    </row>
    <row r="28624">
      <c r="C28624" s="15"/>
      <c r="E28624" s="8"/>
      <c r="G28624" s="8"/>
      <c r="J28624" s="8"/>
    </row>
    <row r="28625">
      <c r="C28625" s="15"/>
      <c r="E28625" s="8"/>
      <c r="G28625" s="8"/>
      <c r="J28625" s="8"/>
    </row>
    <row r="28626">
      <c r="C28626" s="15"/>
      <c r="E28626" s="8"/>
      <c r="G28626" s="8"/>
      <c r="J28626" s="8"/>
    </row>
    <row r="28627">
      <c r="C28627" s="15"/>
      <c r="E28627" s="8"/>
      <c r="G28627" s="8"/>
      <c r="J28627" s="8"/>
    </row>
    <row r="28628">
      <c r="C28628" s="15"/>
      <c r="E28628" s="8"/>
      <c r="G28628" s="8"/>
      <c r="J28628" s="8"/>
    </row>
    <row r="28629">
      <c r="C28629" s="15"/>
      <c r="E28629" s="8"/>
      <c r="G28629" s="8"/>
      <c r="J28629" s="8"/>
    </row>
    <row r="28630">
      <c r="C28630" s="15"/>
      <c r="E28630" s="8"/>
      <c r="G28630" s="8"/>
      <c r="J28630" s="8"/>
    </row>
    <row r="28631">
      <c r="C28631" s="15"/>
      <c r="E28631" s="8"/>
      <c r="G28631" s="8"/>
      <c r="J28631" s="8"/>
    </row>
    <row r="28632">
      <c r="C28632" s="15"/>
      <c r="E28632" s="8"/>
      <c r="G28632" s="8"/>
      <c r="J28632" s="8"/>
    </row>
    <row r="28633">
      <c r="C28633" s="15"/>
      <c r="E28633" s="8"/>
      <c r="G28633" s="8"/>
      <c r="J28633" s="8"/>
    </row>
    <row r="28634">
      <c r="C28634" s="15"/>
      <c r="E28634" s="8"/>
      <c r="G28634" s="8"/>
      <c r="J28634" s="8"/>
    </row>
    <row r="28635">
      <c r="C28635" s="15"/>
      <c r="E28635" s="8"/>
      <c r="G28635" s="8"/>
      <c r="J28635" s="8"/>
    </row>
    <row r="28636">
      <c r="C28636" s="15"/>
      <c r="E28636" s="8"/>
      <c r="G28636" s="8"/>
      <c r="J28636" s="8"/>
    </row>
    <row r="28637">
      <c r="C28637" s="15"/>
      <c r="E28637" s="8"/>
      <c r="G28637" s="8"/>
      <c r="J28637" s="8"/>
    </row>
    <row r="28638">
      <c r="C28638" s="15"/>
      <c r="E28638" s="8"/>
      <c r="G28638" s="8"/>
      <c r="J28638" s="8"/>
    </row>
    <row r="28639">
      <c r="C28639" s="15"/>
      <c r="E28639" s="8"/>
      <c r="G28639" s="8"/>
      <c r="J28639" s="8"/>
    </row>
    <row r="28640">
      <c r="C28640" s="15"/>
      <c r="E28640" s="8"/>
      <c r="G28640" s="8"/>
      <c r="J28640" s="8"/>
    </row>
    <row r="28641">
      <c r="C28641" s="15"/>
      <c r="E28641" s="8"/>
      <c r="G28641" s="8"/>
      <c r="J28641" s="8"/>
    </row>
    <row r="28642">
      <c r="C28642" s="15"/>
      <c r="E28642" s="8"/>
      <c r="G28642" s="8"/>
      <c r="J28642" s="8"/>
    </row>
    <row r="28643">
      <c r="C28643" s="15"/>
      <c r="E28643" s="8"/>
      <c r="G28643" s="8"/>
      <c r="J28643" s="8"/>
    </row>
    <row r="28644">
      <c r="C28644" s="15"/>
      <c r="E28644" s="8"/>
      <c r="G28644" s="8"/>
      <c r="J28644" s="8"/>
    </row>
    <row r="28645">
      <c r="C28645" s="15"/>
      <c r="E28645" s="8"/>
      <c r="G28645" s="8"/>
      <c r="J28645" s="8"/>
    </row>
    <row r="28646">
      <c r="C28646" s="15"/>
      <c r="E28646" s="8"/>
      <c r="G28646" s="8"/>
      <c r="J28646" s="8"/>
    </row>
    <row r="28647">
      <c r="C28647" s="15"/>
      <c r="E28647" s="8"/>
      <c r="G28647" s="8"/>
      <c r="J28647" s="8"/>
    </row>
    <row r="28648">
      <c r="C28648" s="15"/>
      <c r="E28648" s="8"/>
      <c r="G28648" s="8"/>
      <c r="J28648" s="8"/>
    </row>
    <row r="28649">
      <c r="C28649" s="15"/>
      <c r="E28649" s="8"/>
      <c r="G28649" s="8"/>
      <c r="J28649" s="8"/>
    </row>
    <row r="28650">
      <c r="C28650" s="15"/>
      <c r="E28650" s="8"/>
      <c r="G28650" s="8"/>
      <c r="J28650" s="8"/>
    </row>
    <row r="28651">
      <c r="C28651" s="15"/>
      <c r="E28651" s="8"/>
      <c r="G28651" s="8"/>
      <c r="J28651" s="8"/>
    </row>
    <row r="28652">
      <c r="C28652" s="15"/>
      <c r="E28652" s="8"/>
      <c r="G28652" s="8"/>
      <c r="J28652" s="8"/>
    </row>
    <row r="28653">
      <c r="C28653" s="15"/>
      <c r="E28653" s="8"/>
      <c r="G28653" s="8"/>
      <c r="J28653" s="8"/>
    </row>
    <row r="28654">
      <c r="C28654" s="15"/>
      <c r="E28654" s="8"/>
      <c r="G28654" s="8"/>
      <c r="J28654" s="8"/>
    </row>
    <row r="28655">
      <c r="C28655" s="15"/>
      <c r="E28655" s="8"/>
      <c r="G28655" s="8"/>
      <c r="J28655" s="8"/>
    </row>
    <row r="28656">
      <c r="C28656" s="15"/>
      <c r="E28656" s="8"/>
      <c r="G28656" s="8"/>
      <c r="J28656" s="8"/>
    </row>
    <row r="28657">
      <c r="C28657" s="15"/>
      <c r="E28657" s="8"/>
      <c r="G28657" s="8"/>
      <c r="J28657" s="8"/>
    </row>
    <row r="28658">
      <c r="C28658" s="15"/>
      <c r="E28658" s="8"/>
      <c r="G28658" s="8"/>
      <c r="J28658" s="8"/>
    </row>
    <row r="28659">
      <c r="C28659" s="15"/>
      <c r="E28659" s="8"/>
      <c r="G28659" s="8"/>
      <c r="J28659" s="8"/>
    </row>
    <row r="28660">
      <c r="C28660" s="15"/>
      <c r="E28660" s="8"/>
      <c r="G28660" s="8"/>
      <c r="J28660" s="8"/>
    </row>
    <row r="28661">
      <c r="C28661" s="15"/>
      <c r="E28661" s="8"/>
      <c r="G28661" s="8"/>
      <c r="J28661" s="8"/>
    </row>
    <row r="28662">
      <c r="C28662" s="15"/>
      <c r="E28662" s="8"/>
      <c r="G28662" s="8"/>
      <c r="J28662" s="8"/>
    </row>
    <row r="28663">
      <c r="C28663" s="15"/>
      <c r="E28663" s="8"/>
      <c r="G28663" s="8"/>
      <c r="J28663" s="8"/>
    </row>
    <row r="28664">
      <c r="C28664" s="15"/>
      <c r="E28664" s="8"/>
      <c r="G28664" s="8"/>
      <c r="J28664" s="8"/>
    </row>
    <row r="28665">
      <c r="C28665" s="15"/>
      <c r="E28665" s="8"/>
      <c r="G28665" s="8"/>
      <c r="J28665" s="8"/>
    </row>
    <row r="28666">
      <c r="C28666" s="15"/>
      <c r="E28666" s="8"/>
      <c r="G28666" s="8"/>
      <c r="J28666" s="8"/>
    </row>
    <row r="28667">
      <c r="C28667" s="15"/>
      <c r="E28667" s="8"/>
      <c r="G28667" s="8"/>
      <c r="J28667" s="8"/>
    </row>
    <row r="28668">
      <c r="C28668" s="15"/>
      <c r="E28668" s="8"/>
      <c r="G28668" s="8"/>
      <c r="J28668" s="8"/>
    </row>
    <row r="28669">
      <c r="C28669" s="15"/>
      <c r="E28669" s="8"/>
      <c r="G28669" s="8"/>
      <c r="J28669" s="8"/>
    </row>
    <row r="28670">
      <c r="C28670" s="15"/>
      <c r="E28670" s="8"/>
      <c r="G28670" s="8"/>
      <c r="J28670" s="8"/>
    </row>
    <row r="28671">
      <c r="C28671" s="15"/>
      <c r="E28671" s="8"/>
      <c r="G28671" s="8"/>
      <c r="J28671" s="8"/>
    </row>
    <row r="28672">
      <c r="C28672" s="15"/>
      <c r="E28672" s="8"/>
      <c r="G28672" s="8"/>
      <c r="J28672" s="8"/>
    </row>
    <row r="28673">
      <c r="C28673" s="15"/>
      <c r="E28673" s="8"/>
      <c r="G28673" s="8"/>
      <c r="J28673" s="8"/>
    </row>
    <row r="28674">
      <c r="C28674" s="15"/>
      <c r="E28674" s="8"/>
      <c r="G28674" s="8"/>
      <c r="J28674" s="8"/>
    </row>
    <row r="28675">
      <c r="C28675" s="15"/>
      <c r="E28675" s="8"/>
      <c r="G28675" s="8"/>
      <c r="J28675" s="8"/>
    </row>
    <row r="28676">
      <c r="C28676" s="15"/>
      <c r="E28676" s="8"/>
      <c r="G28676" s="8"/>
      <c r="J28676" s="8"/>
    </row>
    <row r="28677">
      <c r="C28677" s="15"/>
      <c r="E28677" s="8"/>
      <c r="G28677" s="8"/>
      <c r="J28677" s="8"/>
    </row>
    <row r="28678">
      <c r="C28678" s="15"/>
      <c r="E28678" s="8"/>
      <c r="G28678" s="8"/>
      <c r="J28678" s="8"/>
    </row>
    <row r="28679">
      <c r="C28679" s="15"/>
      <c r="E28679" s="8"/>
      <c r="G28679" s="8"/>
      <c r="J28679" s="8"/>
    </row>
    <row r="28680">
      <c r="C28680" s="15"/>
      <c r="E28680" s="8"/>
      <c r="G28680" s="8"/>
      <c r="J28680" s="8"/>
    </row>
    <row r="28681">
      <c r="C28681" s="15"/>
      <c r="E28681" s="8"/>
      <c r="G28681" s="8"/>
      <c r="J28681" s="8"/>
    </row>
    <row r="28682">
      <c r="C28682" s="15"/>
      <c r="E28682" s="8"/>
      <c r="G28682" s="8"/>
      <c r="J28682" s="8"/>
    </row>
    <row r="28683">
      <c r="C28683" s="15"/>
      <c r="E28683" s="8"/>
      <c r="G28683" s="8"/>
      <c r="J28683" s="8"/>
    </row>
    <row r="28684">
      <c r="C28684" s="15"/>
      <c r="E28684" s="8"/>
      <c r="G28684" s="8"/>
      <c r="J28684" s="8"/>
    </row>
    <row r="28685">
      <c r="C28685" s="15"/>
      <c r="E28685" s="8"/>
      <c r="G28685" s="8"/>
      <c r="J28685" s="8"/>
    </row>
    <row r="28686">
      <c r="C28686" s="15"/>
      <c r="E28686" s="8"/>
      <c r="G28686" s="8"/>
      <c r="J28686" s="8"/>
    </row>
    <row r="28687">
      <c r="C28687" s="15"/>
      <c r="E28687" s="8"/>
      <c r="G28687" s="8"/>
      <c r="J28687" s="8"/>
    </row>
    <row r="28688">
      <c r="C28688" s="15"/>
      <c r="E28688" s="8"/>
      <c r="G28688" s="8"/>
      <c r="J28688" s="8"/>
    </row>
    <row r="28689">
      <c r="C28689" s="15"/>
      <c r="E28689" s="8"/>
      <c r="G28689" s="8"/>
      <c r="J28689" s="8"/>
    </row>
    <row r="28690">
      <c r="C28690" s="15"/>
      <c r="E28690" s="8"/>
      <c r="G28690" s="8"/>
      <c r="J28690" s="8"/>
    </row>
    <row r="28691">
      <c r="C28691" s="15"/>
      <c r="E28691" s="8"/>
      <c r="G28691" s="8"/>
      <c r="J28691" s="8"/>
    </row>
    <row r="28692">
      <c r="C28692" s="15"/>
      <c r="E28692" s="8"/>
      <c r="G28692" s="8"/>
      <c r="J28692" s="8"/>
    </row>
    <row r="28693">
      <c r="C28693" s="15"/>
      <c r="E28693" s="8"/>
      <c r="G28693" s="8"/>
      <c r="J28693" s="8"/>
    </row>
    <row r="28694">
      <c r="C28694" s="15"/>
      <c r="E28694" s="8"/>
      <c r="G28694" s="8"/>
      <c r="J28694" s="8"/>
    </row>
    <row r="28695">
      <c r="C28695" s="15"/>
      <c r="E28695" s="8"/>
      <c r="G28695" s="8"/>
      <c r="J28695" s="8"/>
    </row>
    <row r="28696">
      <c r="C28696" s="15"/>
      <c r="E28696" s="8"/>
      <c r="G28696" s="8"/>
      <c r="J28696" s="8"/>
    </row>
    <row r="28697">
      <c r="C28697" s="15"/>
      <c r="E28697" s="8"/>
      <c r="G28697" s="8"/>
      <c r="J28697" s="8"/>
    </row>
    <row r="28698">
      <c r="C28698" s="15"/>
      <c r="E28698" s="8"/>
      <c r="G28698" s="8"/>
      <c r="J28698" s="8"/>
    </row>
    <row r="28699">
      <c r="C28699" s="15"/>
      <c r="E28699" s="8"/>
      <c r="G28699" s="8"/>
      <c r="J28699" s="8"/>
    </row>
    <row r="28700">
      <c r="C28700" s="15"/>
      <c r="E28700" s="8"/>
      <c r="G28700" s="8"/>
      <c r="J28700" s="8"/>
    </row>
    <row r="28701">
      <c r="C28701" s="15"/>
      <c r="E28701" s="8"/>
      <c r="G28701" s="8"/>
      <c r="J28701" s="8"/>
    </row>
    <row r="28702">
      <c r="C28702" s="15"/>
      <c r="E28702" s="8"/>
      <c r="G28702" s="8"/>
      <c r="J28702" s="8"/>
    </row>
    <row r="28703">
      <c r="C28703" s="15"/>
      <c r="E28703" s="8"/>
      <c r="G28703" s="8"/>
      <c r="J28703" s="8"/>
    </row>
    <row r="28704">
      <c r="C28704" s="15"/>
      <c r="E28704" s="8"/>
      <c r="G28704" s="8"/>
      <c r="J28704" s="8"/>
    </row>
    <row r="28705">
      <c r="C28705" s="15"/>
      <c r="E28705" s="8"/>
      <c r="G28705" s="8"/>
      <c r="J28705" s="8"/>
    </row>
    <row r="28706">
      <c r="C28706" s="15"/>
      <c r="E28706" s="8"/>
      <c r="G28706" s="8"/>
      <c r="J28706" s="8"/>
    </row>
    <row r="28707">
      <c r="C28707" s="15"/>
      <c r="E28707" s="8"/>
      <c r="G28707" s="8"/>
      <c r="J28707" s="8"/>
    </row>
    <row r="28708">
      <c r="C28708" s="15"/>
      <c r="E28708" s="8"/>
      <c r="G28708" s="8"/>
      <c r="J28708" s="8"/>
    </row>
    <row r="28709">
      <c r="C28709" s="15"/>
      <c r="E28709" s="8"/>
      <c r="G28709" s="8"/>
      <c r="J28709" s="8"/>
    </row>
    <row r="28710">
      <c r="C28710" s="15"/>
      <c r="E28710" s="8"/>
      <c r="G28710" s="8"/>
      <c r="J28710" s="8"/>
    </row>
    <row r="28711">
      <c r="C28711" s="15"/>
      <c r="E28711" s="8"/>
      <c r="G28711" s="8"/>
      <c r="J28711" s="8"/>
    </row>
    <row r="28712">
      <c r="C28712" s="15"/>
      <c r="E28712" s="8"/>
      <c r="G28712" s="8"/>
      <c r="J28712" s="8"/>
    </row>
    <row r="28713">
      <c r="C28713" s="15"/>
      <c r="E28713" s="8"/>
      <c r="G28713" s="8"/>
      <c r="J28713" s="8"/>
    </row>
    <row r="28714">
      <c r="C28714" s="15"/>
      <c r="E28714" s="8"/>
      <c r="G28714" s="8"/>
      <c r="J28714" s="8"/>
    </row>
    <row r="28715">
      <c r="C28715" s="15"/>
      <c r="E28715" s="8"/>
      <c r="G28715" s="8"/>
      <c r="J28715" s="8"/>
    </row>
    <row r="28716">
      <c r="C28716" s="15"/>
      <c r="E28716" s="8"/>
      <c r="G28716" s="8"/>
      <c r="J28716" s="8"/>
    </row>
    <row r="28717">
      <c r="C28717" s="15"/>
      <c r="E28717" s="8"/>
      <c r="G28717" s="8"/>
      <c r="J28717" s="8"/>
    </row>
    <row r="28718">
      <c r="C28718" s="15"/>
      <c r="E28718" s="8"/>
      <c r="G28718" s="8"/>
      <c r="J28718" s="8"/>
    </row>
    <row r="28719">
      <c r="C28719" s="15"/>
      <c r="E28719" s="8"/>
      <c r="G28719" s="8"/>
      <c r="J28719" s="8"/>
    </row>
    <row r="28720">
      <c r="C28720" s="15"/>
      <c r="E28720" s="8"/>
      <c r="G28720" s="8"/>
      <c r="J28720" s="8"/>
    </row>
    <row r="28721">
      <c r="C28721" s="15"/>
      <c r="E28721" s="8"/>
      <c r="G28721" s="8"/>
      <c r="J28721" s="8"/>
    </row>
    <row r="28722">
      <c r="C28722" s="15"/>
      <c r="E28722" s="8"/>
      <c r="G28722" s="8"/>
      <c r="J28722" s="8"/>
    </row>
    <row r="28723">
      <c r="C28723" s="15"/>
      <c r="E28723" s="8"/>
      <c r="G28723" s="8"/>
      <c r="J28723" s="8"/>
    </row>
    <row r="28724">
      <c r="C28724" s="15"/>
      <c r="E28724" s="8"/>
      <c r="G28724" s="8"/>
      <c r="J28724" s="8"/>
    </row>
    <row r="28725">
      <c r="C28725" s="15"/>
      <c r="E28725" s="8"/>
      <c r="G28725" s="8"/>
      <c r="J28725" s="8"/>
    </row>
    <row r="28726">
      <c r="C28726" s="15"/>
      <c r="E28726" s="8"/>
      <c r="G28726" s="8"/>
      <c r="J28726" s="8"/>
    </row>
    <row r="28727">
      <c r="C28727" s="15"/>
      <c r="E28727" s="8"/>
      <c r="G28727" s="8"/>
      <c r="J28727" s="8"/>
    </row>
    <row r="28728">
      <c r="C28728" s="15"/>
      <c r="E28728" s="8"/>
      <c r="G28728" s="8"/>
      <c r="J28728" s="8"/>
    </row>
    <row r="28729">
      <c r="C28729" s="15"/>
      <c r="E28729" s="8"/>
      <c r="G28729" s="8"/>
      <c r="J28729" s="8"/>
    </row>
    <row r="28730">
      <c r="C28730" s="15"/>
      <c r="E28730" s="8"/>
      <c r="G28730" s="8"/>
      <c r="J28730" s="8"/>
    </row>
    <row r="28731">
      <c r="C28731" s="15"/>
      <c r="E28731" s="8"/>
      <c r="G28731" s="8"/>
      <c r="J28731" s="8"/>
    </row>
    <row r="28732">
      <c r="C28732" s="15"/>
      <c r="E28732" s="8"/>
      <c r="G28732" s="8"/>
      <c r="J28732" s="8"/>
    </row>
    <row r="28733">
      <c r="C28733" s="15"/>
      <c r="E28733" s="8"/>
      <c r="G28733" s="8"/>
      <c r="J28733" s="8"/>
    </row>
    <row r="28734">
      <c r="C28734" s="15"/>
      <c r="E28734" s="8"/>
      <c r="G28734" s="8"/>
      <c r="J28734" s="8"/>
    </row>
    <row r="28735">
      <c r="C28735" s="15"/>
      <c r="E28735" s="8"/>
      <c r="G28735" s="8"/>
      <c r="J28735" s="8"/>
    </row>
    <row r="28736">
      <c r="C28736" s="15"/>
      <c r="E28736" s="8"/>
      <c r="G28736" s="8"/>
      <c r="J28736" s="8"/>
    </row>
    <row r="28737">
      <c r="C28737" s="15"/>
      <c r="E28737" s="8"/>
      <c r="G28737" s="8"/>
      <c r="J28737" s="8"/>
    </row>
    <row r="28738">
      <c r="C28738" s="15"/>
      <c r="E28738" s="8"/>
      <c r="G28738" s="8"/>
      <c r="J28738" s="8"/>
    </row>
    <row r="28739">
      <c r="C28739" s="15"/>
      <c r="E28739" s="8"/>
      <c r="G28739" s="8"/>
      <c r="J28739" s="8"/>
    </row>
    <row r="28740">
      <c r="C28740" s="15"/>
      <c r="E28740" s="8"/>
      <c r="G28740" s="8"/>
      <c r="J28740" s="8"/>
    </row>
    <row r="28741">
      <c r="C28741" s="15"/>
      <c r="E28741" s="8"/>
      <c r="G28741" s="8"/>
      <c r="J28741" s="8"/>
    </row>
    <row r="28742">
      <c r="C28742" s="15"/>
      <c r="E28742" s="8"/>
      <c r="G28742" s="8"/>
      <c r="J28742" s="8"/>
    </row>
    <row r="28743">
      <c r="C28743" s="15"/>
      <c r="E28743" s="8"/>
      <c r="G28743" s="8"/>
      <c r="J28743" s="8"/>
    </row>
    <row r="28744">
      <c r="C28744" s="15"/>
      <c r="E28744" s="8"/>
      <c r="G28744" s="8"/>
      <c r="J28744" s="8"/>
    </row>
    <row r="28745">
      <c r="C28745" s="15"/>
      <c r="E28745" s="8"/>
      <c r="G28745" s="8"/>
      <c r="J28745" s="8"/>
    </row>
    <row r="28746">
      <c r="C28746" s="15"/>
      <c r="E28746" s="8"/>
      <c r="G28746" s="8"/>
      <c r="J28746" s="8"/>
    </row>
    <row r="28747">
      <c r="C28747" s="15"/>
      <c r="E28747" s="8"/>
      <c r="G28747" s="8"/>
      <c r="J28747" s="8"/>
    </row>
    <row r="28748">
      <c r="C28748" s="15"/>
      <c r="E28748" s="8"/>
      <c r="G28748" s="8"/>
      <c r="J28748" s="8"/>
    </row>
    <row r="28749">
      <c r="C28749" s="15"/>
      <c r="E28749" s="8"/>
      <c r="G28749" s="8"/>
      <c r="J28749" s="8"/>
    </row>
    <row r="28750">
      <c r="C28750" s="15"/>
      <c r="E28750" s="8"/>
      <c r="G28750" s="8"/>
      <c r="J28750" s="8"/>
    </row>
    <row r="28751">
      <c r="C28751" s="15"/>
      <c r="E28751" s="8"/>
      <c r="G28751" s="8"/>
      <c r="J28751" s="8"/>
    </row>
    <row r="28752">
      <c r="C28752" s="15"/>
      <c r="E28752" s="8"/>
      <c r="G28752" s="8"/>
      <c r="J28752" s="8"/>
    </row>
    <row r="28753">
      <c r="C28753" s="15"/>
      <c r="E28753" s="8"/>
      <c r="G28753" s="8"/>
      <c r="J28753" s="8"/>
    </row>
    <row r="28754">
      <c r="C28754" s="15"/>
      <c r="E28754" s="8"/>
      <c r="G28754" s="8"/>
      <c r="J28754" s="8"/>
    </row>
    <row r="28755">
      <c r="C28755" s="15"/>
      <c r="E28755" s="8"/>
      <c r="G28755" s="8"/>
      <c r="J28755" s="8"/>
    </row>
    <row r="28756">
      <c r="C28756" s="15"/>
      <c r="E28756" s="8"/>
      <c r="G28756" s="8"/>
      <c r="J28756" s="8"/>
    </row>
    <row r="28757">
      <c r="C28757" s="15"/>
      <c r="E28757" s="8"/>
      <c r="G28757" s="8"/>
      <c r="J28757" s="8"/>
    </row>
    <row r="28758">
      <c r="C28758" s="15"/>
      <c r="E28758" s="8"/>
      <c r="G28758" s="8"/>
      <c r="J28758" s="8"/>
    </row>
    <row r="28759">
      <c r="C28759" s="15"/>
      <c r="E28759" s="8"/>
      <c r="G28759" s="8"/>
      <c r="J28759" s="8"/>
    </row>
    <row r="28760">
      <c r="C28760" s="15"/>
      <c r="E28760" s="8"/>
      <c r="G28760" s="8"/>
      <c r="J28760" s="8"/>
    </row>
    <row r="28761">
      <c r="C28761" s="15"/>
      <c r="E28761" s="8"/>
      <c r="G28761" s="8"/>
      <c r="J28761" s="8"/>
    </row>
    <row r="28762">
      <c r="C28762" s="15"/>
      <c r="E28762" s="8"/>
      <c r="G28762" s="8"/>
      <c r="J28762" s="8"/>
    </row>
    <row r="28763">
      <c r="C28763" s="15"/>
      <c r="E28763" s="8"/>
      <c r="G28763" s="8"/>
      <c r="J28763" s="8"/>
    </row>
    <row r="28764">
      <c r="C28764" s="15"/>
      <c r="E28764" s="8"/>
      <c r="G28764" s="8"/>
      <c r="J28764" s="8"/>
    </row>
    <row r="28765">
      <c r="C28765" s="15"/>
      <c r="E28765" s="8"/>
      <c r="G28765" s="8"/>
      <c r="J28765" s="8"/>
    </row>
    <row r="28766">
      <c r="C28766" s="15"/>
      <c r="E28766" s="8"/>
      <c r="G28766" s="8"/>
      <c r="J28766" s="8"/>
    </row>
    <row r="28767">
      <c r="C28767" s="15"/>
      <c r="E28767" s="8"/>
      <c r="G28767" s="8"/>
      <c r="J28767" s="8"/>
    </row>
    <row r="28768">
      <c r="C28768" s="15"/>
      <c r="E28768" s="8"/>
      <c r="G28768" s="8"/>
      <c r="J28768" s="8"/>
    </row>
    <row r="28769">
      <c r="C28769" s="15"/>
      <c r="E28769" s="8"/>
      <c r="G28769" s="8"/>
      <c r="J28769" s="8"/>
    </row>
    <row r="28770">
      <c r="C28770" s="15"/>
      <c r="E28770" s="8"/>
      <c r="G28770" s="8"/>
      <c r="J28770" s="8"/>
    </row>
    <row r="28771">
      <c r="C28771" s="15"/>
      <c r="E28771" s="8"/>
      <c r="G28771" s="8"/>
      <c r="J28771" s="8"/>
    </row>
    <row r="28772">
      <c r="C28772" s="15"/>
      <c r="E28772" s="8"/>
      <c r="G28772" s="8"/>
      <c r="J28772" s="8"/>
    </row>
    <row r="28773">
      <c r="C28773" s="15"/>
      <c r="E28773" s="8"/>
      <c r="G28773" s="8"/>
      <c r="J28773" s="8"/>
    </row>
    <row r="28774">
      <c r="C28774" s="15"/>
      <c r="E28774" s="8"/>
      <c r="G28774" s="8"/>
      <c r="J28774" s="8"/>
    </row>
    <row r="28775">
      <c r="C28775" s="15"/>
      <c r="E28775" s="8"/>
      <c r="G28775" s="8"/>
      <c r="J28775" s="8"/>
    </row>
    <row r="28776">
      <c r="C28776" s="15"/>
      <c r="E28776" s="8"/>
      <c r="G28776" s="8"/>
      <c r="J28776" s="8"/>
    </row>
    <row r="28777">
      <c r="C28777" s="15"/>
      <c r="E28777" s="8"/>
      <c r="G28777" s="8"/>
      <c r="J28777" s="8"/>
    </row>
    <row r="28778">
      <c r="C28778" s="15"/>
      <c r="E28778" s="8"/>
      <c r="G28778" s="8"/>
      <c r="J28778" s="8"/>
    </row>
    <row r="28779">
      <c r="C28779" s="15"/>
      <c r="E28779" s="8"/>
      <c r="G28779" s="8"/>
      <c r="J28779" s="8"/>
    </row>
    <row r="28780">
      <c r="C28780" s="15"/>
      <c r="E28780" s="8"/>
      <c r="G28780" s="8"/>
      <c r="J28780" s="8"/>
    </row>
    <row r="28781">
      <c r="C28781" s="15"/>
      <c r="E28781" s="8"/>
      <c r="G28781" s="8"/>
      <c r="J28781" s="8"/>
    </row>
    <row r="28782">
      <c r="C28782" s="15"/>
      <c r="E28782" s="8"/>
      <c r="G28782" s="8"/>
      <c r="J28782" s="8"/>
    </row>
    <row r="28783">
      <c r="C28783" s="15"/>
      <c r="E28783" s="8"/>
      <c r="G28783" s="8"/>
      <c r="J28783" s="8"/>
    </row>
    <row r="28784">
      <c r="C28784" s="15"/>
      <c r="E28784" s="8"/>
      <c r="G28784" s="8"/>
      <c r="J28784" s="8"/>
    </row>
    <row r="28785">
      <c r="C28785" s="15"/>
      <c r="E28785" s="8"/>
      <c r="G28785" s="8"/>
      <c r="J28785" s="8"/>
    </row>
    <row r="28786">
      <c r="C28786" s="15"/>
      <c r="E28786" s="8"/>
      <c r="G28786" s="8"/>
      <c r="J28786" s="8"/>
    </row>
    <row r="28787">
      <c r="C28787" s="15"/>
      <c r="E28787" s="8"/>
      <c r="G28787" s="8"/>
      <c r="J28787" s="8"/>
    </row>
    <row r="28788">
      <c r="C28788" s="15"/>
      <c r="E28788" s="8"/>
      <c r="G28788" s="8"/>
      <c r="J28788" s="8"/>
    </row>
    <row r="28789">
      <c r="C28789" s="15"/>
      <c r="E28789" s="8"/>
      <c r="G28789" s="8"/>
      <c r="J28789" s="8"/>
    </row>
    <row r="28790">
      <c r="C28790" s="15"/>
      <c r="E28790" s="8"/>
      <c r="G28790" s="8"/>
      <c r="J28790" s="8"/>
    </row>
    <row r="28791">
      <c r="C28791" s="15"/>
      <c r="E28791" s="8"/>
      <c r="G28791" s="8"/>
      <c r="J28791" s="8"/>
    </row>
    <row r="28792">
      <c r="C28792" s="15"/>
      <c r="E28792" s="8"/>
      <c r="G28792" s="8"/>
      <c r="J28792" s="8"/>
    </row>
    <row r="28793">
      <c r="C28793" s="15"/>
      <c r="E28793" s="8"/>
      <c r="G28793" s="8"/>
      <c r="J28793" s="8"/>
    </row>
    <row r="28794">
      <c r="C28794" s="15"/>
      <c r="E28794" s="8"/>
      <c r="G28794" s="8"/>
      <c r="J28794" s="8"/>
    </row>
    <row r="28795">
      <c r="C28795" s="15"/>
      <c r="E28795" s="8"/>
      <c r="G28795" s="8"/>
      <c r="J28795" s="8"/>
    </row>
    <row r="28796">
      <c r="C28796" s="15"/>
      <c r="E28796" s="8"/>
      <c r="G28796" s="8"/>
      <c r="J28796" s="8"/>
    </row>
    <row r="28797">
      <c r="C28797" s="15"/>
      <c r="E28797" s="8"/>
      <c r="G28797" s="8"/>
      <c r="J28797" s="8"/>
    </row>
    <row r="28798">
      <c r="C28798" s="15"/>
      <c r="E28798" s="8"/>
      <c r="G28798" s="8"/>
      <c r="J28798" s="8"/>
    </row>
    <row r="28799">
      <c r="C28799" s="15"/>
      <c r="E28799" s="8"/>
      <c r="G28799" s="8"/>
      <c r="J28799" s="8"/>
    </row>
    <row r="28800">
      <c r="C28800" s="15"/>
      <c r="E28800" s="8"/>
      <c r="G28800" s="8"/>
      <c r="J28800" s="8"/>
    </row>
    <row r="28801">
      <c r="C28801" s="15"/>
      <c r="E28801" s="8"/>
      <c r="G28801" s="8"/>
      <c r="J28801" s="8"/>
    </row>
    <row r="28802">
      <c r="C28802" s="15"/>
      <c r="E28802" s="8"/>
      <c r="G28802" s="8"/>
      <c r="J28802" s="8"/>
    </row>
    <row r="28803">
      <c r="C28803" s="15"/>
      <c r="E28803" s="8"/>
      <c r="G28803" s="8"/>
      <c r="J28803" s="8"/>
    </row>
    <row r="28804">
      <c r="C28804" s="15"/>
      <c r="E28804" s="8"/>
      <c r="G28804" s="8"/>
      <c r="J28804" s="8"/>
    </row>
    <row r="28805">
      <c r="C28805" s="15"/>
      <c r="E28805" s="8"/>
      <c r="G28805" s="8"/>
      <c r="J28805" s="8"/>
    </row>
    <row r="28806">
      <c r="C28806" s="15"/>
      <c r="E28806" s="8"/>
      <c r="G28806" s="8"/>
      <c r="J28806" s="8"/>
    </row>
    <row r="28807">
      <c r="C28807" s="15"/>
      <c r="E28807" s="8"/>
      <c r="G28807" s="8"/>
      <c r="J28807" s="8"/>
    </row>
    <row r="28808">
      <c r="C28808" s="15"/>
      <c r="E28808" s="8"/>
      <c r="G28808" s="8"/>
      <c r="J28808" s="8"/>
    </row>
    <row r="28809">
      <c r="C28809" s="15"/>
      <c r="E28809" s="8"/>
      <c r="G28809" s="8"/>
      <c r="J28809" s="8"/>
    </row>
    <row r="28810">
      <c r="C28810" s="15"/>
      <c r="E28810" s="8"/>
      <c r="G28810" s="8"/>
      <c r="J28810" s="8"/>
    </row>
    <row r="28811">
      <c r="C28811" s="15"/>
      <c r="E28811" s="8"/>
      <c r="G28811" s="8"/>
      <c r="J28811" s="8"/>
    </row>
    <row r="28812">
      <c r="C28812" s="15"/>
      <c r="E28812" s="8"/>
      <c r="G28812" s="8"/>
      <c r="J28812" s="8"/>
    </row>
    <row r="28813">
      <c r="C28813" s="15"/>
      <c r="E28813" s="8"/>
      <c r="G28813" s="8"/>
      <c r="J28813" s="8"/>
    </row>
    <row r="28814">
      <c r="C28814" s="15"/>
      <c r="E28814" s="8"/>
      <c r="G28814" s="8"/>
      <c r="J28814" s="8"/>
    </row>
    <row r="28815">
      <c r="C28815" s="15"/>
      <c r="E28815" s="8"/>
      <c r="G28815" s="8"/>
      <c r="J28815" s="8"/>
    </row>
    <row r="28816">
      <c r="C28816" s="15"/>
      <c r="E28816" s="8"/>
      <c r="G28816" s="8"/>
      <c r="J28816" s="8"/>
    </row>
    <row r="28817">
      <c r="C28817" s="15"/>
      <c r="E28817" s="8"/>
      <c r="G28817" s="8"/>
      <c r="J28817" s="8"/>
    </row>
    <row r="28818">
      <c r="C28818" s="15"/>
      <c r="E28818" s="8"/>
      <c r="G28818" s="8"/>
      <c r="J28818" s="8"/>
    </row>
    <row r="28819">
      <c r="C28819" s="15"/>
      <c r="E28819" s="8"/>
      <c r="G28819" s="8"/>
      <c r="J28819" s="8"/>
    </row>
    <row r="28820">
      <c r="C28820" s="15"/>
      <c r="E28820" s="8"/>
      <c r="G28820" s="8"/>
      <c r="J28820" s="8"/>
    </row>
    <row r="28821">
      <c r="C28821" s="15"/>
      <c r="E28821" s="8"/>
      <c r="G28821" s="8"/>
      <c r="J28821" s="8"/>
    </row>
    <row r="28822">
      <c r="C28822" s="15"/>
      <c r="E28822" s="8"/>
      <c r="G28822" s="8"/>
      <c r="J28822" s="8"/>
    </row>
    <row r="28823">
      <c r="C28823" s="15"/>
      <c r="E28823" s="8"/>
      <c r="G28823" s="8"/>
      <c r="J28823" s="8"/>
    </row>
    <row r="28824">
      <c r="C28824" s="15"/>
      <c r="E28824" s="8"/>
      <c r="G28824" s="8"/>
      <c r="J28824" s="8"/>
    </row>
    <row r="28825">
      <c r="C28825" s="15"/>
      <c r="E28825" s="8"/>
      <c r="G28825" s="8"/>
      <c r="J28825" s="8"/>
    </row>
    <row r="28826">
      <c r="C28826" s="15"/>
      <c r="E28826" s="8"/>
      <c r="G28826" s="8"/>
      <c r="J28826" s="8"/>
    </row>
    <row r="28827">
      <c r="C28827" s="15"/>
      <c r="E28827" s="8"/>
      <c r="G28827" s="8"/>
      <c r="J28827" s="8"/>
    </row>
    <row r="28828">
      <c r="C28828" s="15"/>
      <c r="E28828" s="8"/>
      <c r="G28828" s="8"/>
      <c r="J28828" s="8"/>
    </row>
    <row r="28829">
      <c r="C28829" s="15"/>
      <c r="E28829" s="8"/>
      <c r="G28829" s="8"/>
      <c r="J28829" s="8"/>
    </row>
    <row r="28830">
      <c r="C28830" s="15"/>
      <c r="E28830" s="8"/>
      <c r="G28830" s="8"/>
      <c r="J28830" s="8"/>
    </row>
    <row r="28831">
      <c r="C28831" s="15"/>
      <c r="E28831" s="8"/>
      <c r="G28831" s="8"/>
      <c r="J28831" s="8"/>
    </row>
    <row r="28832">
      <c r="C28832" s="15"/>
      <c r="E28832" s="8"/>
      <c r="G28832" s="8"/>
      <c r="J28832" s="8"/>
    </row>
    <row r="28833">
      <c r="C28833" s="15"/>
      <c r="E28833" s="8"/>
      <c r="G28833" s="8"/>
      <c r="J28833" s="8"/>
    </row>
    <row r="28834">
      <c r="C28834" s="15"/>
      <c r="E28834" s="8"/>
      <c r="G28834" s="8"/>
      <c r="J28834" s="8"/>
    </row>
    <row r="28835">
      <c r="C28835" s="15"/>
      <c r="E28835" s="8"/>
      <c r="G28835" s="8"/>
      <c r="J28835" s="8"/>
    </row>
    <row r="28836">
      <c r="C28836" s="15"/>
      <c r="E28836" s="8"/>
      <c r="G28836" s="8"/>
      <c r="J28836" s="8"/>
    </row>
    <row r="28837">
      <c r="C28837" s="15"/>
      <c r="E28837" s="8"/>
      <c r="G28837" s="8"/>
      <c r="J28837" s="8"/>
    </row>
    <row r="28838">
      <c r="C28838" s="15"/>
      <c r="E28838" s="8"/>
      <c r="G28838" s="8"/>
      <c r="J28838" s="8"/>
    </row>
    <row r="28839">
      <c r="C28839" s="15"/>
      <c r="E28839" s="8"/>
      <c r="G28839" s="8"/>
      <c r="J28839" s="8"/>
    </row>
    <row r="28840">
      <c r="C28840" s="15"/>
      <c r="E28840" s="8"/>
      <c r="G28840" s="8"/>
      <c r="J28840" s="8"/>
    </row>
    <row r="28841">
      <c r="C28841" s="15"/>
      <c r="E28841" s="8"/>
      <c r="G28841" s="8"/>
      <c r="J28841" s="8"/>
    </row>
    <row r="28842">
      <c r="C28842" s="15"/>
      <c r="E28842" s="8"/>
      <c r="G28842" s="8"/>
      <c r="J28842" s="8"/>
    </row>
    <row r="28843">
      <c r="C28843" s="15"/>
      <c r="E28843" s="8"/>
      <c r="G28843" s="8"/>
      <c r="J28843" s="8"/>
    </row>
    <row r="28844">
      <c r="C28844" s="15"/>
      <c r="E28844" s="8"/>
      <c r="G28844" s="8"/>
      <c r="J28844" s="8"/>
    </row>
    <row r="28845">
      <c r="C28845" s="15"/>
      <c r="E28845" s="8"/>
      <c r="G28845" s="8"/>
      <c r="J28845" s="8"/>
    </row>
    <row r="28846">
      <c r="C28846" s="15"/>
      <c r="E28846" s="8"/>
      <c r="G28846" s="8"/>
      <c r="J28846" s="8"/>
    </row>
    <row r="28847">
      <c r="C28847" s="15"/>
      <c r="E28847" s="8"/>
      <c r="G28847" s="8"/>
      <c r="J28847" s="8"/>
    </row>
    <row r="28848">
      <c r="C28848" s="15"/>
      <c r="E28848" s="8"/>
      <c r="G28848" s="8"/>
      <c r="J28848" s="8"/>
    </row>
    <row r="28849">
      <c r="C28849" s="15"/>
      <c r="E28849" s="8"/>
      <c r="G28849" s="8"/>
      <c r="J28849" s="8"/>
    </row>
    <row r="28850">
      <c r="C28850" s="15"/>
      <c r="E28850" s="8"/>
      <c r="G28850" s="8"/>
      <c r="J28850" s="8"/>
    </row>
    <row r="28851">
      <c r="C28851" s="15"/>
      <c r="E28851" s="8"/>
      <c r="G28851" s="8"/>
      <c r="J28851" s="8"/>
    </row>
    <row r="28852">
      <c r="C28852" s="15"/>
      <c r="E28852" s="8"/>
      <c r="G28852" s="8"/>
      <c r="J28852" s="8"/>
    </row>
    <row r="28853">
      <c r="C28853" s="15"/>
      <c r="E28853" s="8"/>
      <c r="G28853" s="8"/>
      <c r="J28853" s="8"/>
    </row>
    <row r="28854">
      <c r="C28854" s="15"/>
      <c r="E28854" s="8"/>
      <c r="G28854" s="8"/>
      <c r="J28854" s="8"/>
    </row>
    <row r="28855">
      <c r="C28855" s="15"/>
      <c r="E28855" s="8"/>
      <c r="G28855" s="8"/>
      <c r="J28855" s="8"/>
    </row>
    <row r="28856">
      <c r="C28856" s="15"/>
      <c r="E28856" s="8"/>
      <c r="G28856" s="8"/>
      <c r="J28856" s="8"/>
    </row>
    <row r="28857">
      <c r="C28857" s="15"/>
      <c r="E28857" s="8"/>
      <c r="G28857" s="8"/>
      <c r="J28857" s="8"/>
    </row>
    <row r="28858">
      <c r="C28858" s="15"/>
      <c r="E28858" s="8"/>
      <c r="G28858" s="8"/>
      <c r="J28858" s="8"/>
    </row>
    <row r="28859">
      <c r="C28859" s="15"/>
      <c r="E28859" s="8"/>
      <c r="G28859" s="8"/>
      <c r="J28859" s="8"/>
    </row>
    <row r="28860">
      <c r="C28860" s="15"/>
      <c r="E28860" s="8"/>
      <c r="G28860" s="8"/>
      <c r="J28860" s="8"/>
    </row>
    <row r="28861">
      <c r="C28861" s="15"/>
      <c r="E28861" s="8"/>
      <c r="G28861" s="8"/>
      <c r="J28861" s="8"/>
    </row>
    <row r="28862">
      <c r="C28862" s="15"/>
      <c r="E28862" s="8"/>
      <c r="G28862" s="8"/>
      <c r="J28862" s="8"/>
    </row>
    <row r="28863">
      <c r="C28863" s="15"/>
      <c r="E28863" s="8"/>
      <c r="G28863" s="8"/>
      <c r="J28863" s="8"/>
    </row>
    <row r="28864">
      <c r="C28864" s="15"/>
      <c r="E28864" s="8"/>
      <c r="G28864" s="8"/>
      <c r="J28864" s="8"/>
    </row>
    <row r="28865">
      <c r="C28865" s="15"/>
      <c r="E28865" s="8"/>
      <c r="G28865" s="8"/>
      <c r="J28865" s="8"/>
    </row>
    <row r="28866">
      <c r="C28866" s="15"/>
      <c r="E28866" s="8"/>
      <c r="G28866" s="8"/>
      <c r="J28866" s="8"/>
    </row>
    <row r="28867">
      <c r="C28867" s="15"/>
      <c r="E28867" s="8"/>
      <c r="G28867" s="8"/>
      <c r="J28867" s="8"/>
    </row>
    <row r="28868">
      <c r="C28868" s="15"/>
      <c r="E28868" s="8"/>
      <c r="G28868" s="8"/>
      <c r="J28868" s="8"/>
    </row>
    <row r="28869">
      <c r="C28869" s="15"/>
      <c r="E28869" s="8"/>
      <c r="G28869" s="8"/>
      <c r="J28869" s="8"/>
    </row>
    <row r="28870">
      <c r="C28870" s="15"/>
      <c r="E28870" s="8"/>
      <c r="G28870" s="8"/>
      <c r="J28870" s="8"/>
    </row>
    <row r="28871">
      <c r="C28871" s="15"/>
      <c r="E28871" s="8"/>
      <c r="G28871" s="8"/>
      <c r="J28871" s="8"/>
    </row>
    <row r="28872">
      <c r="C28872" s="15"/>
      <c r="E28872" s="8"/>
      <c r="G28872" s="8"/>
      <c r="J28872" s="8"/>
    </row>
    <row r="28873">
      <c r="C28873" s="15"/>
      <c r="E28873" s="8"/>
      <c r="G28873" s="8"/>
      <c r="J28873" s="8"/>
    </row>
    <row r="28874">
      <c r="C28874" s="15"/>
      <c r="E28874" s="8"/>
      <c r="G28874" s="8"/>
      <c r="J28874" s="8"/>
    </row>
    <row r="28875">
      <c r="C28875" s="15"/>
      <c r="E28875" s="8"/>
      <c r="G28875" s="8"/>
      <c r="J28875" s="8"/>
    </row>
    <row r="28876">
      <c r="C28876" s="15"/>
      <c r="E28876" s="8"/>
      <c r="G28876" s="8"/>
      <c r="J28876" s="8"/>
    </row>
    <row r="28877">
      <c r="C28877" s="15"/>
      <c r="E28877" s="8"/>
      <c r="G28877" s="8"/>
      <c r="J28877" s="8"/>
    </row>
    <row r="28878">
      <c r="C28878" s="15"/>
      <c r="E28878" s="8"/>
      <c r="G28878" s="8"/>
      <c r="J28878" s="8"/>
    </row>
    <row r="28879">
      <c r="C28879" s="15"/>
      <c r="E28879" s="8"/>
      <c r="G28879" s="8"/>
      <c r="J28879" s="8"/>
    </row>
    <row r="28880">
      <c r="C28880" s="15"/>
      <c r="E28880" s="8"/>
      <c r="G28880" s="8"/>
      <c r="J28880" s="8"/>
    </row>
    <row r="28881">
      <c r="C28881" s="15"/>
      <c r="E28881" s="8"/>
      <c r="G28881" s="8"/>
      <c r="J28881" s="8"/>
    </row>
    <row r="28882">
      <c r="C28882" s="15"/>
      <c r="E28882" s="8"/>
      <c r="G28882" s="8"/>
      <c r="J28882" s="8"/>
    </row>
    <row r="28883">
      <c r="C28883" s="15"/>
      <c r="E28883" s="8"/>
      <c r="G28883" s="8"/>
      <c r="J28883" s="8"/>
    </row>
    <row r="28884">
      <c r="C28884" s="15"/>
      <c r="E28884" s="8"/>
      <c r="G28884" s="8"/>
      <c r="J28884" s="8"/>
    </row>
    <row r="28885">
      <c r="C28885" s="15"/>
      <c r="E28885" s="8"/>
      <c r="G28885" s="8"/>
      <c r="J28885" s="8"/>
    </row>
    <row r="28886">
      <c r="C28886" s="15"/>
      <c r="E28886" s="8"/>
      <c r="G28886" s="8"/>
      <c r="J28886" s="8"/>
    </row>
    <row r="28887">
      <c r="C28887" s="15"/>
      <c r="E28887" s="8"/>
      <c r="G28887" s="8"/>
      <c r="J28887" s="8"/>
    </row>
    <row r="28888">
      <c r="C28888" s="15"/>
      <c r="E28888" s="8"/>
      <c r="G28888" s="8"/>
      <c r="J28888" s="8"/>
    </row>
    <row r="28889">
      <c r="C28889" s="15"/>
      <c r="E28889" s="8"/>
      <c r="G28889" s="8"/>
      <c r="J28889" s="8"/>
    </row>
    <row r="28890">
      <c r="C28890" s="15"/>
      <c r="E28890" s="8"/>
      <c r="G28890" s="8"/>
      <c r="J28890" s="8"/>
    </row>
    <row r="28891">
      <c r="C28891" s="15"/>
      <c r="E28891" s="8"/>
      <c r="G28891" s="8"/>
      <c r="J28891" s="8"/>
    </row>
    <row r="28892">
      <c r="C28892" s="15"/>
      <c r="E28892" s="8"/>
      <c r="G28892" s="8"/>
      <c r="J28892" s="8"/>
    </row>
    <row r="28893">
      <c r="C28893" s="15"/>
      <c r="E28893" s="8"/>
      <c r="G28893" s="8"/>
      <c r="J28893" s="8"/>
    </row>
    <row r="28894">
      <c r="C28894" s="15"/>
      <c r="E28894" s="8"/>
      <c r="G28894" s="8"/>
      <c r="J28894" s="8"/>
    </row>
    <row r="28895">
      <c r="C28895" s="15"/>
      <c r="E28895" s="8"/>
      <c r="G28895" s="8"/>
      <c r="J28895" s="8"/>
    </row>
    <row r="28896">
      <c r="C28896" s="15"/>
      <c r="E28896" s="8"/>
      <c r="G28896" s="8"/>
      <c r="J28896" s="8"/>
    </row>
    <row r="28897">
      <c r="C28897" s="15"/>
      <c r="E28897" s="8"/>
      <c r="G28897" s="8"/>
      <c r="J28897" s="8"/>
    </row>
    <row r="28898">
      <c r="C28898" s="15"/>
      <c r="E28898" s="8"/>
      <c r="G28898" s="8"/>
      <c r="J28898" s="8"/>
    </row>
    <row r="28899">
      <c r="C28899" s="15"/>
      <c r="E28899" s="8"/>
      <c r="G28899" s="8"/>
      <c r="J28899" s="8"/>
    </row>
    <row r="28900">
      <c r="C28900" s="15"/>
      <c r="E28900" s="8"/>
      <c r="G28900" s="8"/>
      <c r="J28900" s="8"/>
    </row>
    <row r="28901">
      <c r="C28901" s="15"/>
      <c r="E28901" s="8"/>
      <c r="G28901" s="8"/>
      <c r="J28901" s="8"/>
    </row>
    <row r="28902">
      <c r="C28902" s="15"/>
      <c r="E28902" s="8"/>
      <c r="G28902" s="8"/>
      <c r="J28902" s="8"/>
    </row>
    <row r="28903">
      <c r="C28903" s="15"/>
      <c r="E28903" s="8"/>
      <c r="G28903" s="8"/>
      <c r="J28903" s="8"/>
    </row>
    <row r="28904">
      <c r="C28904" s="15"/>
      <c r="E28904" s="8"/>
      <c r="G28904" s="8"/>
      <c r="J28904" s="8"/>
    </row>
    <row r="28905">
      <c r="C28905" s="15"/>
      <c r="E28905" s="8"/>
      <c r="G28905" s="8"/>
      <c r="J28905" s="8"/>
    </row>
    <row r="28906">
      <c r="C28906" s="15"/>
      <c r="E28906" s="8"/>
      <c r="G28906" s="8"/>
      <c r="J28906" s="8"/>
    </row>
    <row r="28907">
      <c r="C28907" s="15"/>
      <c r="E28907" s="8"/>
      <c r="G28907" s="8"/>
      <c r="J28907" s="8"/>
    </row>
    <row r="28908">
      <c r="C28908" s="15"/>
      <c r="E28908" s="8"/>
      <c r="G28908" s="8"/>
      <c r="J28908" s="8"/>
    </row>
    <row r="28909">
      <c r="C28909" s="15"/>
      <c r="E28909" s="8"/>
      <c r="G28909" s="8"/>
      <c r="J28909" s="8"/>
    </row>
    <row r="28910">
      <c r="C28910" s="15"/>
      <c r="E28910" s="8"/>
      <c r="G28910" s="8"/>
      <c r="J28910" s="8"/>
    </row>
    <row r="28911">
      <c r="C28911" s="15"/>
      <c r="E28911" s="8"/>
      <c r="G28911" s="8"/>
      <c r="J28911" s="8"/>
    </row>
    <row r="28912">
      <c r="C28912" s="15"/>
      <c r="E28912" s="8"/>
      <c r="G28912" s="8"/>
      <c r="J28912" s="8"/>
    </row>
    <row r="28913">
      <c r="C28913" s="15"/>
      <c r="E28913" s="8"/>
      <c r="G28913" s="8"/>
      <c r="J28913" s="8"/>
    </row>
    <row r="28914">
      <c r="C28914" s="15"/>
      <c r="E28914" s="8"/>
      <c r="G28914" s="8"/>
      <c r="J28914" s="8"/>
    </row>
    <row r="28915">
      <c r="C28915" s="15"/>
      <c r="E28915" s="8"/>
      <c r="G28915" s="8"/>
      <c r="J28915" s="8"/>
    </row>
    <row r="28916">
      <c r="C28916" s="15"/>
      <c r="E28916" s="8"/>
      <c r="G28916" s="8"/>
      <c r="J28916" s="8"/>
    </row>
    <row r="28917">
      <c r="C28917" s="15"/>
      <c r="E28917" s="8"/>
      <c r="G28917" s="8"/>
      <c r="J28917" s="8"/>
    </row>
    <row r="28918">
      <c r="C28918" s="15"/>
      <c r="E28918" s="8"/>
      <c r="G28918" s="8"/>
      <c r="J28918" s="8"/>
    </row>
    <row r="28919">
      <c r="C28919" s="15"/>
      <c r="E28919" s="8"/>
      <c r="G28919" s="8"/>
      <c r="J28919" s="8"/>
    </row>
    <row r="28920">
      <c r="C28920" s="15"/>
      <c r="E28920" s="8"/>
      <c r="G28920" s="8"/>
      <c r="J28920" s="8"/>
    </row>
    <row r="28921">
      <c r="C28921" s="15"/>
      <c r="E28921" s="8"/>
      <c r="G28921" s="8"/>
      <c r="J28921" s="8"/>
    </row>
    <row r="28922">
      <c r="C28922" s="15"/>
      <c r="E28922" s="8"/>
      <c r="G28922" s="8"/>
      <c r="J28922" s="8"/>
    </row>
    <row r="28923">
      <c r="C28923" s="15"/>
      <c r="E28923" s="8"/>
      <c r="G28923" s="8"/>
      <c r="J28923" s="8"/>
    </row>
    <row r="28924">
      <c r="C28924" s="15"/>
      <c r="E28924" s="8"/>
      <c r="G28924" s="8"/>
      <c r="J28924" s="8"/>
    </row>
    <row r="28925">
      <c r="C28925" s="15"/>
      <c r="E28925" s="8"/>
      <c r="G28925" s="8"/>
      <c r="J28925" s="8"/>
    </row>
    <row r="28926">
      <c r="C28926" s="15"/>
      <c r="E28926" s="8"/>
      <c r="G28926" s="8"/>
      <c r="J28926" s="8"/>
    </row>
    <row r="28927">
      <c r="C28927" s="15"/>
      <c r="E28927" s="8"/>
      <c r="G28927" s="8"/>
      <c r="J28927" s="8"/>
    </row>
    <row r="28928">
      <c r="C28928" s="15"/>
      <c r="E28928" s="8"/>
      <c r="G28928" s="8"/>
      <c r="J28928" s="8"/>
    </row>
    <row r="28929">
      <c r="C28929" s="15"/>
      <c r="E28929" s="8"/>
      <c r="G28929" s="8"/>
      <c r="J28929" s="8"/>
    </row>
    <row r="28930">
      <c r="C28930" s="15"/>
      <c r="E28930" s="8"/>
      <c r="G28930" s="8"/>
      <c r="J28930" s="8"/>
    </row>
    <row r="28931">
      <c r="C28931" s="15"/>
      <c r="E28931" s="8"/>
      <c r="G28931" s="8"/>
      <c r="J28931" s="8"/>
    </row>
    <row r="28932">
      <c r="C28932" s="15"/>
      <c r="E28932" s="8"/>
      <c r="G28932" s="8"/>
      <c r="J28932" s="8"/>
    </row>
    <row r="28933">
      <c r="C28933" s="15"/>
      <c r="E28933" s="8"/>
      <c r="G28933" s="8"/>
      <c r="J28933" s="8"/>
    </row>
    <row r="28934">
      <c r="C28934" s="15"/>
      <c r="E28934" s="8"/>
      <c r="G28934" s="8"/>
      <c r="J28934" s="8"/>
    </row>
    <row r="28935">
      <c r="C28935" s="15"/>
      <c r="E28935" s="8"/>
      <c r="G28935" s="8"/>
      <c r="J28935" s="8"/>
    </row>
    <row r="28936">
      <c r="C28936" s="15"/>
      <c r="E28936" s="8"/>
      <c r="G28936" s="8"/>
      <c r="J28936" s="8"/>
    </row>
    <row r="28937">
      <c r="C28937" s="15"/>
      <c r="E28937" s="8"/>
      <c r="G28937" s="8"/>
      <c r="J28937" s="8"/>
    </row>
    <row r="28938">
      <c r="C28938" s="15"/>
      <c r="E28938" s="8"/>
      <c r="G28938" s="8"/>
      <c r="J28938" s="8"/>
    </row>
    <row r="28939">
      <c r="C28939" s="15"/>
      <c r="E28939" s="8"/>
      <c r="G28939" s="8"/>
      <c r="J28939" s="8"/>
    </row>
    <row r="28940">
      <c r="C28940" s="15"/>
      <c r="E28940" s="8"/>
      <c r="G28940" s="8"/>
      <c r="J28940" s="8"/>
    </row>
    <row r="28941">
      <c r="C28941" s="15"/>
      <c r="E28941" s="8"/>
      <c r="G28941" s="8"/>
      <c r="J28941" s="8"/>
    </row>
    <row r="28942">
      <c r="C28942" s="15"/>
      <c r="E28942" s="8"/>
      <c r="G28942" s="8"/>
      <c r="J28942" s="8"/>
    </row>
    <row r="28943">
      <c r="C28943" s="15"/>
      <c r="E28943" s="8"/>
      <c r="G28943" s="8"/>
      <c r="J28943" s="8"/>
    </row>
    <row r="28944">
      <c r="C28944" s="15"/>
      <c r="E28944" s="8"/>
      <c r="G28944" s="8"/>
      <c r="J28944" s="8"/>
    </row>
    <row r="28945">
      <c r="C28945" s="15"/>
      <c r="E28945" s="8"/>
      <c r="G28945" s="8"/>
      <c r="J28945" s="8"/>
    </row>
    <row r="28946">
      <c r="C28946" s="15"/>
      <c r="E28946" s="8"/>
      <c r="G28946" s="8"/>
      <c r="J28946" s="8"/>
    </row>
    <row r="28947">
      <c r="C28947" s="15"/>
      <c r="E28947" s="8"/>
      <c r="G28947" s="8"/>
      <c r="J28947" s="8"/>
    </row>
    <row r="28948">
      <c r="C28948" s="15"/>
      <c r="E28948" s="8"/>
      <c r="G28948" s="8"/>
      <c r="J28948" s="8"/>
    </row>
    <row r="28949">
      <c r="C28949" s="15"/>
      <c r="E28949" s="8"/>
      <c r="G28949" s="8"/>
      <c r="J28949" s="8"/>
    </row>
    <row r="28950">
      <c r="C28950" s="15"/>
      <c r="E28950" s="8"/>
      <c r="G28950" s="8"/>
      <c r="J28950" s="8"/>
    </row>
    <row r="28951">
      <c r="C28951" s="15"/>
      <c r="E28951" s="8"/>
      <c r="G28951" s="8"/>
      <c r="J28951" s="8"/>
    </row>
    <row r="28952">
      <c r="C28952" s="15"/>
      <c r="E28952" s="8"/>
      <c r="G28952" s="8"/>
      <c r="J28952" s="8"/>
    </row>
    <row r="28953">
      <c r="C28953" s="15"/>
      <c r="E28953" s="8"/>
      <c r="G28953" s="8"/>
      <c r="J28953" s="8"/>
    </row>
    <row r="28954">
      <c r="C28954" s="15"/>
      <c r="E28954" s="8"/>
      <c r="G28954" s="8"/>
      <c r="J28954" s="8"/>
    </row>
    <row r="28955">
      <c r="C28955" s="15"/>
      <c r="E28955" s="8"/>
      <c r="G28955" s="8"/>
      <c r="J28955" s="8"/>
    </row>
    <row r="28956">
      <c r="C28956" s="15"/>
      <c r="E28956" s="8"/>
      <c r="G28956" s="8"/>
      <c r="J28956" s="8"/>
    </row>
    <row r="28957">
      <c r="C28957" s="15"/>
      <c r="E28957" s="8"/>
      <c r="G28957" s="8"/>
      <c r="J28957" s="8"/>
    </row>
    <row r="28958">
      <c r="C28958" s="15"/>
      <c r="E28958" s="8"/>
      <c r="G28958" s="8"/>
      <c r="J28958" s="8"/>
    </row>
    <row r="28959">
      <c r="C28959" s="15"/>
      <c r="E28959" s="8"/>
      <c r="G28959" s="8"/>
      <c r="J28959" s="8"/>
    </row>
    <row r="28960">
      <c r="C28960" s="15"/>
      <c r="E28960" s="8"/>
      <c r="G28960" s="8"/>
      <c r="J28960" s="8"/>
    </row>
    <row r="28961">
      <c r="C28961" s="15"/>
      <c r="E28961" s="8"/>
      <c r="G28961" s="8"/>
      <c r="J28961" s="8"/>
    </row>
    <row r="28962">
      <c r="C28962" s="15"/>
      <c r="E28962" s="8"/>
      <c r="G28962" s="8"/>
      <c r="J28962" s="8"/>
    </row>
    <row r="28963">
      <c r="C28963" s="15"/>
      <c r="E28963" s="8"/>
      <c r="G28963" s="8"/>
      <c r="J28963" s="8"/>
    </row>
    <row r="28964">
      <c r="C28964" s="15"/>
      <c r="E28964" s="8"/>
      <c r="G28964" s="8"/>
      <c r="J28964" s="8"/>
    </row>
    <row r="28965">
      <c r="C28965" s="15"/>
      <c r="E28965" s="8"/>
      <c r="G28965" s="8"/>
      <c r="J28965" s="8"/>
    </row>
    <row r="28966">
      <c r="C28966" s="15"/>
      <c r="E28966" s="8"/>
      <c r="G28966" s="8"/>
      <c r="J28966" s="8"/>
    </row>
    <row r="28967">
      <c r="C28967" s="15"/>
      <c r="E28967" s="8"/>
      <c r="G28967" s="8"/>
      <c r="J28967" s="8"/>
    </row>
    <row r="28968">
      <c r="C28968" s="15"/>
      <c r="E28968" s="8"/>
      <c r="G28968" s="8"/>
      <c r="J28968" s="8"/>
    </row>
    <row r="28969">
      <c r="C28969" s="15"/>
      <c r="E28969" s="8"/>
      <c r="G28969" s="8"/>
      <c r="J28969" s="8"/>
    </row>
    <row r="28970">
      <c r="C28970" s="15"/>
      <c r="E28970" s="8"/>
      <c r="G28970" s="8"/>
      <c r="J28970" s="8"/>
    </row>
    <row r="28971">
      <c r="C28971" s="15"/>
      <c r="E28971" s="8"/>
      <c r="G28971" s="8"/>
      <c r="J28971" s="8"/>
    </row>
    <row r="28972">
      <c r="C28972" s="15"/>
      <c r="E28972" s="8"/>
      <c r="G28972" s="8"/>
      <c r="J28972" s="8"/>
    </row>
    <row r="28973">
      <c r="C28973" s="15"/>
      <c r="E28973" s="8"/>
      <c r="G28973" s="8"/>
      <c r="J28973" s="8"/>
    </row>
    <row r="28974">
      <c r="C28974" s="15"/>
      <c r="E28974" s="8"/>
      <c r="G28974" s="8"/>
      <c r="J28974" s="8"/>
    </row>
    <row r="28975">
      <c r="C28975" s="15"/>
      <c r="E28975" s="8"/>
      <c r="G28975" s="8"/>
      <c r="J28975" s="8"/>
    </row>
    <row r="28976">
      <c r="C28976" s="15"/>
      <c r="E28976" s="8"/>
      <c r="G28976" s="8"/>
      <c r="J28976" s="8"/>
    </row>
    <row r="28977">
      <c r="C28977" s="15"/>
      <c r="E28977" s="8"/>
      <c r="G28977" s="8"/>
      <c r="J28977" s="8"/>
    </row>
    <row r="28978">
      <c r="C28978" s="15"/>
      <c r="E28978" s="8"/>
      <c r="G28978" s="8"/>
      <c r="J28978" s="8"/>
    </row>
    <row r="28979">
      <c r="C28979" s="15"/>
      <c r="E28979" s="8"/>
      <c r="G28979" s="8"/>
      <c r="J28979" s="8"/>
    </row>
    <row r="28980">
      <c r="C28980" s="15"/>
      <c r="E28980" s="8"/>
      <c r="G28980" s="8"/>
      <c r="J28980" s="8"/>
    </row>
    <row r="28981">
      <c r="C28981" s="15"/>
      <c r="E28981" s="8"/>
      <c r="G28981" s="8"/>
      <c r="J28981" s="8"/>
    </row>
    <row r="28982">
      <c r="C28982" s="15"/>
      <c r="E28982" s="8"/>
      <c r="G28982" s="8"/>
      <c r="J28982" s="8"/>
    </row>
    <row r="28983">
      <c r="C28983" s="15"/>
      <c r="E28983" s="8"/>
      <c r="G28983" s="8"/>
      <c r="J28983" s="8"/>
    </row>
    <row r="28984">
      <c r="C28984" s="15"/>
      <c r="E28984" s="8"/>
      <c r="G28984" s="8"/>
      <c r="J28984" s="8"/>
    </row>
    <row r="28985">
      <c r="C28985" s="15"/>
      <c r="E28985" s="8"/>
      <c r="G28985" s="8"/>
      <c r="J28985" s="8"/>
    </row>
    <row r="28986">
      <c r="C28986" s="15"/>
      <c r="E28986" s="8"/>
      <c r="G28986" s="8"/>
      <c r="J28986" s="8"/>
    </row>
    <row r="28987">
      <c r="C28987" s="15"/>
      <c r="E28987" s="8"/>
      <c r="G28987" s="8"/>
      <c r="J28987" s="8"/>
    </row>
    <row r="28988">
      <c r="C28988" s="15"/>
      <c r="E28988" s="8"/>
      <c r="G28988" s="8"/>
      <c r="J28988" s="8"/>
    </row>
    <row r="28989">
      <c r="C28989" s="15"/>
      <c r="E28989" s="8"/>
      <c r="G28989" s="8"/>
      <c r="J28989" s="8"/>
    </row>
    <row r="28990">
      <c r="C28990" s="15"/>
      <c r="E28990" s="8"/>
      <c r="G28990" s="8"/>
      <c r="J28990" s="8"/>
    </row>
    <row r="28991">
      <c r="C28991" s="15"/>
      <c r="E28991" s="8"/>
      <c r="G28991" s="8"/>
      <c r="J28991" s="8"/>
    </row>
    <row r="28992">
      <c r="C28992" s="15"/>
      <c r="E28992" s="8"/>
      <c r="G28992" s="8"/>
      <c r="J28992" s="8"/>
    </row>
    <row r="28993">
      <c r="C28993" s="15"/>
      <c r="E28993" s="8"/>
      <c r="G28993" s="8"/>
      <c r="J28993" s="8"/>
    </row>
    <row r="28994">
      <c r="C28994" s="15"/>
      <c r="E28994" s="8"/>
      <c r="G28994" s="8"/>
      <c r="J28994" s="8"/>
    </row>
    <row r="28995">
      <c r="C28995" s="15"/>
      <c r="E28995" s="8"/>
      <c r="G28995" s="8"/>
      <c r="J28995" s="8"/>
    </row>
    <row r="28996">
      <c r="C28996" s="15"/>
      <c r="E28996" s="8"/>
      <c r="G28996" s="8"/>
      <c r="J28996" s="8"/>
    </row>
    <row r="28997">
      <c r="C28997" s="15"/>
      <c r="E28997" s="8"/>
      <c r="G28997" s="8"/>
      <c r="J28997" s="8"/>
    </row>
    <row r="28998">
      <c r="C28998" s="15"/>
      <c r="E28998" s="8"/>
      <c r="G28998" s="8"/>
      <c r="J28998" s="8"/>
    </row>
    <row r="28999">
      <c r="C28999" s="15"/>
      <c r="E28999" s="8"/>
      <c r="G28999" s="8"/>
      <c r="J28999" s="8"/>
    </row>
    <row r="29000">
      <c r="C29000" s="15"/>
      <c r="E29000" s="8"/>
      <c r="G29000" s="8"/>
      <c r="J29000" s="8"/>
    </row>
    <row r="29001">
      <c r="C29001" s="15"/>
      <c r="E29001" s="8"/>
      <c r="G29001" s="8"/>
      <c r="J29001" s="8"/>
    </row>
    <row r="29002">
      <c r="C29002" s="15"/>
      <c r="E29002" s="8"/>
      <c r="G29002" s="8"/>
      <c r="J29002" s="8"/>
    </row>
    <row r="29003">
      <c r="C29003" s="15"/>
      <c r="E29003" s="8"/>
      <c r="G29003" s="8"/>
      <c r="J29003" s="8"/>
    </row>
    <row r="29004">
      <c r="C29004" s="15"/>
      <c r="E29004" s="8"/>
      <c r="G29004" s="8"/>
      <c r="J29004" s="8"/>
    </row>
    <row r="29005">
      <c r="C29005" s="15"/>
      <c r="E29005" s="8"/>
      <c r="G29005" s="8"/>
      <c r="J29005" s="8"/>
    </row>
    <row r="29006">
      <c r="C29006" s="15"/>
      <c r="E29006" s="8"/>
      <c r="G29006" s="8"/>
      <c r="J29006" s="8"/>
    </row>
    <row r="29007">
      <c r="C29007" s="15"/>
      <c r="E29007" s="8"/>
      <c r="G29007" s="8"/>
      <c r="J29007" s="8"/>
    </row>
    <row r="29008">
      <c r="C29008" s="15"/>
      <c r="E29008" s="8"/>
      <c r="G29008" s="8"/>
      <c r="J29008" s="8"/>
    </row>
    <row r="29009">
      <c r="C29009" s="15"/>
      <c r="E29009" s="8"/>
      <c r="G29009" s="8"/>
      <c r="J29009" s="8"/>
    </row>
    <row r="29010">
      <c r="C29010" s="15"/>
      <c r="E29010" s="8"/>
      <c r="G29010" s="8"/>
      <c r="J29010" s="8"/>
    </row>
    <row r="29011">
      <c r="C29011" s="15"/>
      <c r="E29011" s="8"/>
      <c r="G29011" s="8"/>
      <c r="J29011" s="8"/>
    </row>
    <row r="29012">
      <c r="C29012" s="15"/>
      <c r="E29012" s="8"/>
      <c r="G29012" s="8"/>
      <c r="J29012" s="8"/>
    </row>
    <row r="29013">
      <c r="C29013" s="15"/>
      <c r="E29013" s="8"/>
      <c r="G29013" s="8"/>
      <c r="J29013" s="8"/>
    </row>
    <row r="29014">
      <c r="C29014" s="15"/>
      <c r="E29014" s="8"/>
      <c r="G29014" s="8"/>
      <c r="J29014" s="8"/>
    </row>
    <row r="29015">
      <c r="C29015" s="15"/>
      <c r="E29015" s="8"/>
      <c r="G29015" s="8"/>
      <c r="J29015" s="8"/>
    </row>
    <row r="29016">
      <c r="C29016" s="15"/>
      <c r="E29016" s="8"/>
      <c r="G29016" s="8"/>
      <c r="J29016" s="8"/>
    </row>
    <row r="29017">
      <c r="C29017" s="15"/>
      <c r="E29017" s="8"/>
      <c r="G29017" s="8"/>
      <c r="J29017" s="8"/>
    </row>
    <row r="29018">
      <c r="C29018" s="15"/>
      <c r="E29018" s="8"/>
      <c r="G29018" s="8"/>
      <c r="J29018" s="8"/>
    </row>
    <row r="29019">
      <c r="C29019" s="15"/>
      <c r="E29019" s="8"/>
      <c r="G29019" s="8"/>
      <c r="J29019" s="8"/>
    </row>
    <row r="29020">
      <c r="C29020" s="15"/>
      <c r="E29020" s="8"/>
      <c r="G29020" s="8"/>
      <c r="J29020" s="8"/>
    </row>
    <row r="29021">
      <c r="C29021" s="15"/>
      <c r="E29021" s="8"/>
      <c r="G29021" s="8"/>
      <c r="J29021" s="8"/>
    </row>
    <row r="29022">
      <c r="C29022" s="15"/>
      <c r="E29022" s="8"/>
      <c r="G29022" s="8"/>
      <c r="J29022" s="8"/>
    </row>
    <row r="29023">
      <c r="C29023" s="15"/>
      <c r="E29023" s="8"/>
      <c r="G29023" s="8"/>
      <c r="J29023" s="8"/>
    </row>
    <row r="29024">
      <c r="C29024" s="15"/>
      <c r="E29024" s="8"/>
      <c r="G29024" s="8"/>
      <c r="J29024" s="8"/>
    </row>
    <row r="29025">
      <c r="C29025" s="15"/>
      <c r="E29025" s="8"/>
      <c r="G29025" s="8"/>
      <c r="J29025" s="8"/>
    </row>
    <row r="29026">
      <c r="C29026" s="15"/>
      <c r="E29026" s="8"/>
      <c r="G29026" s="8"/>
      <c r="J29026" s="8"/>
    </row>
    <row r="29027">
      <c r="C29027" s="15"/>
      <c r="E29027" s="8"/>
      <c r="G29027" s="8"/>
      <c r="J29027" s="8"/>
    </row>
    <row r="29028">
      <c r="C29028" s="15"/>
      <c r="E29028" s="8"/>
      <c r="G29028" s="8"/>
      <c r="J29028" s="8"/>
    </row>
    <row r="29029">
      <c r="C29029" s="15"/>
      <c r="E29029" s="8"/>
      <c r="G29029" s="8"/>
      <c r="J29029" s="8"/>
    </row>
    <row r="29030">
      <c r="C29030" s="15"/>
      <c r="E29030" s="8"/>
      <c r="G29030" s="8"/>
      <c r="J29030" s="8"/>
    </row>
    <row r="29031">
      <c r="C29031" s="15"/>
      <c r="E29031" s="8"/>
      <c r="G29031" s="8"/>
      <c r="J29031" s="8"/>
    </row>
    <row r="29032">
      <c r="C29032" s="15"/>
      <c r="E29032" s="8"/>
      <c r="G29032" s="8"/>
      <c r="J29032" s="8"/>
    </row>
    <row r="29033">
      <c r="C29033" s="15"/>
      <c r="E29033" s="8"/>
      <c r="G29033" s="8"/>
      <c r="J29033" s="8"/>
    </row>
    <row r="29034">
      <c r="C29034" s="15"/>
      <c r="E29034" s="8"/>
      <c r="G29034" s="8"/>
      <c r="J29034" s="8"/>
    </row>
    <row r="29035">
      <c r="C29035" s="15"/>
      <c r="E29035" s="8"/>
      <c r="G29035" s="8"/>
      <c r="J29035" s="8"/>
    </row>
    <row r="29036">
      <c r="C29036" s="15"/>
      <c r="E29036" s="8"/>
      <c r="G29036" s="8"/>
      <c r="J29036" s="8"/>
    </row>
    <row r="29037">
      <c r="C29037" s="15"/>
      <c r="E29037" s="8"/>
      <c r="G29037" s="8"/>
      <c r="J29037" s="8"/>
    </row>
    <row r="29038">
      <c r="C29038" s="15"/>
      <c r="E29038" s="8"/>
      <c r="G29038" s="8"/>
      <c r="J29038" s="8"/>
    </row>
    <row r="29039">
      <c r="C29039" s="15"/>
      <c r="E29039" s="8"/>
      <c r="G29039" s="8"/>
      <c r="J29039" s="8"/>
    </row>
    <row r="29040">
      <c r="C29040" s="15"/>
      <c r="E29040" s="8"/>
      <c r="G29040" s="8"/>
      <c r="J29040" s="8"/>
    </row>
    <row r="29041">
      <c r="C29041" s="15"/>
      <c r="E29041" s="8"/>
      <c r="G29041" s="8"/>
      <c r="J29041" s="8"/>
    </row>
    <row r="29042">
      <c r="C29042" s="15"/>
      <c r="E29042" s="8"/>
      <c r="G29042" s="8"/>
      <c r="J29042" s="8"/>
    </row>
    <row r="29043">
      <c r="C29043" s="15"/>
      <c r="E29043" s="8"/>
      <c r="G29043" s="8"/>
      <c r="J29043" s="8"/>
    </row>
    <row r="29044">
      <c r="C29044" s="15"/>
      <c r="E29044" s="8"/>
      <c r="G29044" s="8"/>
      <c r="J29044" s="8"/>
    </row>
    <row r="29045">
      <c r="C29045" s="15"/>
      <c r="E29045" s="8"/>
      <c r="G29045" s="8"/>
      <c r="J29045" s="8"/>
    </row>
    <row r="29046">
      <c r="C29046" s="15"/>
      <c r="E29046" s="8"/>
      <c r="G29046" s="8"/>
      <c r="J29046" s="8"/>
    </row>
    <row r="29047">
      <c r="C29047" s="15"/>
      <c r="E29047" s="8"/>
      <c r="G29047" s="8"/>
      <c r="J29047" s="8"/>
    </row>
    <row r="29048">
      <c r="C29048" s="15"/>
      <c r="E29048" s="8"/>
      <c r="G29048" s="8"/>
      <c r="J29048" s="8"/>
    </row>
    <row r="29049">
      <c r="C29049" s="15"/>
      <c r="E29049" s="8"/>
      <c r="G29049" s="8"/>
      <c r="J29049" s="8"/>
    </row>
    <row r="29050">
      <c r="C29050" s="15"/>
      <c r="E29050" s="8"/>
      <c r="G29050" s="8"/>
      <c r="J29050" s="8"/>
    </row>
    <row r="29051">
      <c r="C29051" s="15"/>
      <c r="E29051" s="8"/>
      <c r="G29051" s="8"/>
      <c r="J29051" s="8"/>
    </row>
    <row r="29052">
      <c r="C29052" s="15"/>
      <c r="E29052" s="8"/>
      <c r="G29052" s="8"/>
      <c r="J29052" s="8"/>
    </row>
    <row r="29053">
      <c r="C29053" s="15"/>
      <c r="E29053" s="8"/>
      <c r="G29053" s="8"/>
      <c r="J29053" s="8"/>
    </row>
    <row r="29054">
      <c r="C29054" s="15"/>
      <c r="E29054" s="8"/>
      <c r="G29054" s="8"/>
      <c r="J29054" s="8"/>
    </row>
    <row r="29055">
      <c r="C29055" s="15"/>
      <c r="E29055" s="8"/>
      <c r="G29055" s="8"/>
      <c r="J29055" s="8"/>
    </row>
    <row r="29056">
      <c r="C29056" s="15"/>
      <c r="E29056" s="8"/>
      <c r="G29056" s="8"/>
      <c r="J29056" s="8"/>
    </row>
    <row r="29057">
      <c r="C29057" s="15"/>
      <c r="E29057" s="8"/>
      <c r="G29057" s="8"/>
      <c r="J29057" s="8"/>
    </row>
    <row r="29058">
      <c r="C29058" s="15"/>
      <c r="E29058" s="8"/>
      <c r="G29058" s="8"/>
      <c r="J29058" s="8"/>
    </row>
    <row r="29059">
      <c r="C29059" s="15"/>
      <c r="E29059" s="8"/>
      <c r="G29059" s="8"/>
      <c r="J29059" s="8"/>
    </row>
    <row r="29060">
      <c r="C29060" s="15"/>
      <c r="E29060" s="8"/>
      <c r="G29060" s="8"/>
      <c r="J29060" s="8"/>
    </row>
    <row r="29061">
      <c r="C29061" s="15"/>
      <c r="E29061" s="8"/>
      <c r="G29061" s="8"/>
      <c r="J29061" s="8"/>
    </row>
    <row r="29062">
      <c r="C29062" s="15"/>
      <c r="E29062" s="8"/>
      <c r="G29062" s="8"/>
      <c r="J29062" s="8"/>
    </row>
    <row r="29063">
      <c r="C29063" s="15"/>
      <c r="E29063" s="8"/>
      <c r="G29063" s="8"/>
      <c r="J29063" s="8"/>
    </row>
    <row r="29064">
      <c r="C29064" s="15"/>
      <c r="E29064" s="8"/>
      <c r="G29064" s="8"/>
      <c r="J29064" s="8"/>
    </row>
    <row r="29065">
      <c r="C29065" s="15"/>
      <c r="E29065" s="8"/>
      <c r="G29065" s="8"/>
      <c r="J29065" s="8"/>
    </row>
    <row r="29066">
      <c r="C29066" s="15"/>
      <c r="E29066" s="8"/>
      <c r="G29066" s="8"/>
      <c r="J29066" s="8"/>
    </row>
    <row r="29067">
      <c r="C29067" s="15"/>
      <c r="E29067" s="8"/>
      <c r="G29067" s="8"/>
      <c r="J29067" s="8"/>
    </row>
    <row r="29068">
      <c r="C29068" s="15"/>
      <c r="E29068" s="8"/>
      <c r="G29068" s="8"/>
      <c r="J29068" s="8"/>
    </row>
    <row r="29069">
      <c r="C29069" s="15"/>
      <c r="E29069" s="8"/>
      <c r="G29069" s="8"/>
      <c r="J29069" s="8"/>
    </row>
    <row r="29070">
      <c r="C29070" s="15"/>
      <c r="E29070" s="8"/>
      <c r="G29070" s="8"/>
      <c r="J29070" s="8"/>
    </row>
    <row r="29071">
      <c r="C29071" s="15"/>
      <c r="E29071" s="8"/>
      <c r="G29071" s="8"/>
      <c r="J29071" s="8"/>
    </row>
    <row r="29072">
      <c r="C29072" s="15"/>
      <c r="E29072" s="8"/>
      <c r="G29072" s="8"/>
      <c r="J29072" s="8"/>
    </row>
    <row r="29073">
      <c r="C29073" s="15"/>
      <c r="E29073" s="8"/>
      <c r="G29073" s="8"/>
      <c r="J29073" s="8"/>
    </row>
    <row r="29074">
      <c r="C29074" s="15"/>
      <c r="E29074" s="8"/>
      <c r="G29074" s="8"/>
      <c r="J29074" s="8"/>
    </row>
    <row r="29075">
      <c r="C29075" s="15"/>
      <c r="E29075" s="8"/>
      <c r="G29075" s="8"/>
      <c r="J29075" s="8"/>
    </row>
    <row r="29076">
      <c r="C29076" s="15"/>
      <c r="E29076" s="8"/>
      <c r="G29076" s="8"/>
      <c r="J29076" s="8"/>
    </row>
    <row r="29077">
      <c r="C29077" s="15"/>
      <c r="E29077" s="8"/>
      <c r="G29077" s="8"/>
      <c r="J29077" s="8"/>
    </row>
    <row r="29078">
      <c r="C29078" s="15"/>
      <c r="E29078" s="8"/>
      <c r="G29078" s="8"/>
      <c r="J29078" s="8"/>
    </row>
    <row r="29079">
      <c r="C29079" s="15"/>
      <c r="E29079" s="8"/>
      <c r="G29079" s="8"/>
      <c r="J29079" s="8"/>
    </row>
    <row r="29080">
      <c r="C29080" s="15"/>
      <c r="E29080" s="8"/>
      <c r="G29080" s="8"/>
      <c r="J29080" s="8"/>
    </row>
    <row r="29081">
      <c r="C29081" s="15"/>
      <c r="E29081" s="8"/>
      <c r="G29081" s="8"/>
      <c r="J29081" s="8"/>
    </row>
    <row r="29082">
      <c r="C29082" s="15"/>
      <c r="E29082" s="8"/>
      <c r="G29082" s="8"/>
      <c r="J29082" s="8"/>
    </row>
    <row r="29083">
      <c r="C29083" s="15"/>
      <c r="E29083" s="8"/>
      <c r="G29083" s="8"/>
      <c r="J29083" s="8"/>
    </row>
    <row r="29084">
      <c r="C29084" s="15"/>
      <c r="E29084" s="8"/>
      <c r="G29084" s="8"/>
      <c r="J29084" s="8"/>
    </row>
    <row r="29085">
      <c r="C29085" s="15"/>
      <c r="E29085" s="8"/>
      <c r="G29085" s="8"/>
      <c r="J29085" s="8"/>
    </row>
    <row r="29086">
      <c r="C29086" s="15"/>
      <c r="E29086" s="8"/>
      <c r="G29086" s="8"/>
      <c r="J29086" s="8"/>
    </row>
    <row r="29087">
      <c r="C29087" s="15"/>
      <c r="E29087" s="8"/>
      <c r="G29087" s="8"/>
      <c r="J29087" s="8"/>
    </row>
    <row r="29088">
      <c r="C29088" s="15"/>
      <c r="E29088" s="8"/>
      <c r="G29088" s="8"/>
      <c r="J29088" s="8"/>
    </row>
    <row r="29089">
      <c r="C29089" s="15"/>
      <c r="E29089" s="8"/>
      <c r="G29089" s="8"/>
      <c r="J29089" s="8"/>
    </row>
    <row r="29090">
      <c r="C29090" s="15"/>
      <c r="E29090" s="8"/>
      <c r="G29090" s="8"/>
      <c r="J29090" s="8"/>
    </row>
    <row r="29091">
      <c r="C29091" s="15"/>
      <c r="E29091" s="8"/>
      <c r="G29091" s="8"/>
      <c r="J29091" s="8"/>
    </row>
    <row r="29092">
      <c r="C29092" s="15"/>
      <c r="E29092" s="8"/>
      <c r="G29092" s="8"/>
      <c r="J29092" s="8"/>
    </row>
    <row r="29093">
      <c r="C29093" s="15"/>
      <c r="E29093" s="8"/>
      <c r="G29093" s="8"/>
      <c r="J29093" s="8"/>
    </row>
    <row r="29094">
      <c r="C29094" s="15"/>
      <c r="E29094" s="8"/>
      <c r="G29094" s="8"/>
      <c r="J29094" s="8"/>
    </row>
    <row r="29095">
      <c r="C29095" s="15"/>
      <c r="E29095" s="8"/>
      <c r="G29095" s="8"/>
      <c r="J29095" s="8"/>
    </row>
    <row r="29096">
      <c r="C29096" s="15"/>
      <c r="E29096" s="8"/>
      <c r="G29096" s="8"/>
      <c r="J29096" s="8"/>
    </row>
    <row r="29097">
      <c r="C29097" s="15"/>
      <c r="E29097" s="8"/>
      <c r="G29097" s="8"/>
      <c r="J29097" s="8"/>
    </row>
    <row r="29098">
      <c r="C29098" s="15"/>
      <c r="E29098" s="8"/>
      <c r="G29098" s="8"/>
      <c r="J29098" s="8"/>
    </row>
    <row r="29099">
      <c r="C29099" s="15"/>
      <c r="E29099" s="8"/>
      <c r="G29099" s="8"/>
      <c r="J29099" s="8"/>
    </row>
    <row r="29100">
      <c r="C29100" s="15"/>
      <c r="E29100" s="8"/>
      <c r="G29100" s="8"/>
      <c r="J29100" s="8"/>
    </row>
    <row r="29101">
      <c r="C29101" s="15"/>
      <c r="E29101" s="8"/>
      <c r="G29101" s="8"/>
      <c r="J29101" s="8"/>
    </row>
    <row r="29102">
      <c r="C29102" s="15"/>
      <c r="E29102" s="8"/>
      <c r="G29102" s="8"/>
      <c r="J29102" s="8"/>
    </row>
    <row r="29103">
      <c r="C29103" s="15"/>
      <c r="E29103" s="8"/>
      <c r="G29103" s="8"/>
      <c r="J29103" s="8"/>
    </row>
    <row r="29104">
      <c r="C29104" s="15"/>
      <c r="E29104" s="8"/>
      <c r="G29104" s="8"/>
      <c r="J29104" s="8"/>
    </row>
    <row r="29105">
      <c r="C29105" s="15"/>
      <c r="E29105" s="8"/>
      <c r="G29105" s="8"/>
      <c r="J29105" s="8"/>
    </row>
    <row r="29106">
      <c r="C29106" s="15"/>
      <c r="E29106" s="8"/>
      <c r="G29106" s="8"/>
      <c r="J29106" s="8"/>
    </row>
    <row r="29107">
      <c r="C29107" s="15"/>
      <c r="E29107" s="8"/>
      <c r="G29107" s="8"/>
      <c r="J29107" s="8"/>
    </row>
    <row r="29108">
      <c r="C29108" s="15"/>
      <c r="E29108" s="8"/>
      <c r="G29108" s="8"/>
      <c r="J29108" s="8"/>
    </row>
    <row r="29109">
      <c r="C29109" s="15"/>
      <c r="E29109" s="8"/>
      <c r="G29109" s="8"/>
      <c r="J29109" s="8"/>
    </row>
    <row r="29110">
      <c r="C29110" s="15"/>
      <c r="E29110" s="8"/>
      <c r="G29110" s="8"/>
      <c r="J29110" s="8"/>
    </row>
    <row r="29111">
      <c r="C29111" s="15"/>
      <c r="E29111" s="8"/>
      <c r="G29111" s="8"/>
      <c r="J29111" s="8"/>
    </row>
    <row r="29112">
      <c r="C29112" s="15"/>
      <c r="E29112" s="8"/>
      <c r="G29112" s="8"/>
      <c r="J29112" s="8"/>
    </row>
    <row r="29113">
      <c r="C29113" s="15"/>
      <c r="E29113" s="8"/>
      <c r="G29113" s="8"/>
      <c r="J29113" s="8"/>
    </row>
    <row r="29114">
      <c r="C29114" s="15"/>
      <c r="E29114" s="8"/>
      <c r="G29114" s="8"/>
      <c r="J29114" s="8"/>
    </row>
    <row r="29115">
      <c r="C29115" s="15"/>
      <c r="E29115" s="8"/>
      <c r="G29115" s="8"/>
      <c r="J29115" s="8"/>
    </row>
    <row r="29116">
      <c r="C29116" s="15"/>
      <c r="E29116" s="8"/>
      <c r="G29116" s="8"/>
      <c r="J29116" s="8"/>
    </row>
    <row r="29117">
      <c r="C29117" s="15"/>
      <c r="E29117" s="8"/>
      <c r="G29117" s="8"/>
      <c r="J29117" s="8"/>
    </row>
    <row r="29118">
      <c r="C29118" s="15"/>
      <c r="E29118" s="8"/>
      <c r="G29118" s="8"/>
      <c r="J29118" s="8"/>
    </row>
    <row r="29119">
      <c r="C29119" s="15"/>
      <c r="E29119" s="8"/>
      <c r="G29119" s="8"/>
      <c r="J29119" s="8"/>
    </row>
    <row r="29120">
      <c r="C29120" s="15"/>
      <c r="E29120" s="8"/>
      <c r="G29120" s="8"/>
      <c r="J29120" s="8"/>
    </row>
    <row r="29121">
      <c r="C29121" s="15"/>
      <c r="E29121" s="8"/>
      <c r="G29121" s="8"/>
      <c r="J29121" s="8"/>
    </row>
    <row r="29122">
      <c r="C29122" s="15"/>
      <c r="E29122" s="8"/>
      <c r="G29122" s="8"/>
      <c r="J29122" s="8"/>
    </row>
    <row r="29123">
      <c r="C29123" s="15"/>
      <c r="E29123" s="8"/>
      <c r="G29123" s="8"/>
      <c r="J29123" s="8"/>
    </row>
    <row r="29124">
      <c r="C29124" s="15"/>
      <c r="E29124" s="8"/>
      <c r="G29124" s="8"/>
      <c r="J29124" s="8"/>
    </row>
    <row r="29125">
      <c r="C29125" s="15"/>
      <c r="E29125" s="8"/>
      <c r="G29125" s="8"/>
      <c r="J29125" s="8"/>
    </row>
    <row r="29126">
      <c r="C29126" s="15"/>
      <c r="E29126" s="8"/>
      <c r="G29126" s="8"/>
      <c r="J29126" s="8"/>
    </row>
    <row r="29127">
      <c r="C29127" s="15"/>
      <c r="E29127" s="8"/>
      <c r="G29127" s="8"/>
      <c r="J29127" s="8"/>
    </row>
    <row r="29128">
      <c r="C29128" s="15"/>
      <c r="E29128" s="8"/>
      <c r="G29128" s="8"/>
      <c r="J29128" s="8"/>
    </row>
    <row r="29129">
      <c r="C29129" s="15"/>
      <c r="E29129" s="8"/>
      <c r="G29129" s="8"/>
      <c r="J29129" s="8"/>
    </row>
    <row r="29130">
      <c r="C29130" s="15"/>
      <c r="E29130" s="8"/>
      <c r="G29130" s="8"/>
      <c r="J29130" s="8"/>
    </row>
    <row r="29131">
      <c r="C29131" s="15"/>
      <c r="E29131" s="8"/>
      <c r="G29131" s="8"/>
      <c r="J29131" s="8"/>
    </row>
    <row r="29132">
      <c r="C29132" s="15"/>
      <c r="E29132" s="8"/>
      <c r="G29132" s="8"/>
      <c r="J29132" s="8"/>
    </row>
    <row r="29133">
      <c r="C29133" s="15"/>
      <c r="E29133" s="8"/>
      <c r="G29133" s="8"/>
      <c r="J29133" s="8"/>
    </row>
    <row r="29134">
      <c r="C29134" s="15"/>
      <c r="E29134" s="8"/>
      <c r="G29134" s="8"/>
      <c r="J29134" s="8"/>
    </row>
    <row r="29135">
      <c r="C29135" s="15"/>
      <c r="E29135" s="8"/>
      <c r="G29135" s="8"/>
      <c r="J29135" s="8"/>
    </row>
    <row r="29136">
      <c r="C29136" s="15"/>
      <c r="E29136" s="8"/>
      <c r="G29136" s="8"/>
      <c r="J29136" s="8"/>
    </row>
    <row r="29137">
      <c r="C29137" s="15"/>
      <c r="E29137" s="8"/>
      <c r="G29137" s="8"/>
      <c r="J29137" s="8"/>
    </row>
    <row r="29138">
      <c r="C29138" s="15"/>
      <c r="E29138" s="8"/>
      <c r="G29138" s="8"/>
      <c r="J29138" s="8"/>
    </row>
    <row r="29139">
      <c r="C29139" s="15"/>
      <c r="E29139" s="8"/>
      <c r="G29139" s="8"/>
      <c r="J29139" s="8"/>
    </row>
    <row r="29140">
      <c r="C29140" s="15"/>
      <c r="E29140" s="8"/>
      <c r="G29140" s="8"/>
      <c r="J29140" s="8"/>
    </row>
    <row r="29141">
      <c r="C29141" s="15"/>
      <c r="E29141" s="8"/>
      <c r="G29141" s="8"/>
      <c r="J29141" s="8"/>
    </row>
    <row r="29142">
      <c r="C29142" s="15"/>
      <c r="E29142" s="8"/>
      <c r="G29142" s="8"/>
      <c r="J29142" s="8"/>
    </row>
    <row r="29143">
      <c r="C29143" s="15"/>
      <c r="E29143" s="8"/>
      <c r="G29143" s="8"/>
      <c r="J29143" s="8"/>
    </row>
    <row r="29144">
      <c r="C29144" s="15"/>
      <c r="E29144" s="8"/>
      <c r="G29144" s="8"/>
      <c r="J29144" s="8"/>
    </row>
    <row r="29145">
      <c r="C29145" s="15"/>
      <c r="E29145" s="8"/>
      <c r="G29145" s="8"/>
      <c r="J29145" s="8"/>
    </row>
    <row r="29146">
      <c r="C29146" s="15"/>
      <c r="E29146" s="8"/>
      <c r="G29146" s="8"/>
      <c r="J29146" s="8"/>
    </row>
    <row r="29147">
      <c r="C29147" s="15"/>
      <c r="E29147" s="8"/>
      <c r="G29147" s="8"/>
      <c r="J29147" s="8"/>
    </row>
    <row r="29148">
      <c r="C29148" s="15"/>
      <c r="E29148" s="8"/>
      <c r="G29148" s="8"/>
      <c r="J29148" s="8"/>
    </row>
    <row r="29149">
      <c r="C29149" s="15"/>
      <c r="E29149" s="8"/>
      <c r="G29149" s="8"/>
      <c r="J29149" s="8"/>
    </row>
    <row r="29150">
      <c r="C29150" s="15"/>
      <c r="E29150" s="8"/>
      <c r="G29150" s="8"/>
      <c r="J29150" s="8"/>
    </row>
    <row r="29151">
      <c r="C29151" s="15"/>
      <c r="E29151" s="8"/>
      <c r="G29151" s="8"/>
      <c r="J29151" s="8"/>
    </row>
    <row r="29152">
      <c r="C29152" s="15"/>
      <c r="E29152" s="8"/>
      <c r="G29152" s="8"/>
      <c r="J29152" s="8"/>
    </row>
    <row r="29153">
      <c r="C29153" s="15"/>
      <c r="E29153" s="8"/>
      <c r="G29153" s="8"/>
      <c r="J29153" s="8"/>
    </row>
    <row r="29154">
      <c r="C29154" s="15"/>
      <c r="E29154" s="8"/>
      <c r="G29154" s="8"/>
      <c r="J29154" s="8"/>
    </row>
    <row r="29155">
      <c r="C29155" s="15"/>
      <c r="E29155" s="8"/>
      <c r="G29155" s="8"/>
      <c r="J29155" s="8"/>
    </row>
    <row r="29156">
      <c r="C29156" s="15"/>
      <c r="E29156" s="8"/>
      <c r="G29156" s="8"/>
      <c r="J29156" s="8"/>
    </row>
    <row r="29157">
      <c r="C29157" s="15"/>
      <c r="E29157" s="8"/>
      <c r="G29157" s="8"/>
      <c r="J29157" s="8"/>
    </row>
    <row r="29158">
      <c r="C29158" s="15"/>
      <c r="E29158" s="8"/>
      <c r="G29158" s="8"/>
      <c r="J29158" s="8"/>
    </row>
    <row r="29159">
      <c r="C29159" s="15"/>
      <c r="E29159" s="8"/>
      <c r="G29159" s="8"/>
      <c r="J29159" s="8"/>
    </row>
    <row r="29160">
      <c r="C29160" s="15"/>
      <c r="E29160" s="8"/>
      <c r="G29160" s="8"/>
      <c r="J29160" s="8"/>
    </row>
    <row r="29161">
      <c r="C29161" s="15"/>
      <c r="E29161" s="8"/>
      <c r="G29161" s="8"/>
      <c r="J29161" s="8"/>
    </row>
    <row r="29162">
      <c r="C29162" s="15"/>
      <c r="E29162" s="8"/>
      <c r="G29162" s="8"/>
      <c r="J29162" s="8"/>
    </row>
    <row r="29163">
      <c r="C29163" s="15"/>
      <c r="E29163" s="8"/>
      <c r="G29163" s="8"/>
      <c r="J29163" s="8"/>
    </row>
    <row r="29164">
      <c r="C29164" s="15"/>
      <c r="E29164" s="8"/>
      <c r="G29164" s="8"/>
      <c r="J29164" s="8"/>
    </row>
    <row r="29165">
      <c r="C29165" s="15"/>
      <c r="E29165" s="8"/>
      <c r="G29165" s="8"/>
      <c r="J29165" s="8"/>
    </row>
    <row r="29166">
      <c r="C29166" s="15"/>
      <c r="E29166" s="8"/>
      <c r="G29166" s="8"/>
      <c r="J29166" s="8"/>
    </row>
    <row r="29167">
      <c r="C29167" s="15"/>
      <c r="E29167" s="8"/>
      <c r="G29167" s="8"/>
      <c r="J29167" s="8"/>
    </row>
    <row r="29168">
      <c r="C29168" s="15"/>
      <c r="E29168" s="8"/>
      <c r="G29168" s="8"/>
      <c r="J29168" s="8"/>
    </row>
    <row r="29169">
      <c r="C29169" s="15"/>
      <c r="E29169" s="8"/>
      <c r="G29169" s="8"/>
      <c r="J29169" s="8"/>
    </row>
    <row r="29170">
      <c r="C29170" s="15"/>
      <c r="E29170" s="8"/>
      <c r="G29170" s="8"/>
      <c r="J29170" s="8"/>
    </row>
    <row r="29171">
      <c r="C29171" s="15"/>
      <c r="E29171" s="8"/>
      <c r="G29171" s="8"/>
      <c r="J29171" s="8"/>
    </row>
    <row r="29172">
      <c r="C29172" s="15"/>
      <c r="E29172" s="8"/>
      <c r="G29172" s="8"/>
      <c r="J29172" s="8"/>
    </row>
    <row r="29173">
      <c r="C29173" s="15"/>
      <c r="E29173" s="8"/>
      <c r="G29173" s="8"/>
      <c r="J29173" s="8"/>
    </row>
    <row r="29174">
      <c r="C29174" s="15"/>
      <c r="E29174" s="8"/>
      <c r="G29174" s="8"/>
      <c r="J29174" s="8"/>
    </row>
    <row r="29175">
      <c r="C29175" s="15"/>
      <c r="E29175" s="8"/>
      <c r="G29175" s="8"/>
      <c r="J29175" s="8"/>
    </row>
    <row r="29176">
      <c r="C29176" s="15"/>
      <c r="E29176" s="8"/>
      <c r="G29176" s="8"/>
      <c r="J29176" s="8"/>
    </row>
    <row r="29177">
      <c r="C29177" s="15"/>
      <c r="E29177" s="8"/>
      <c r="G29177" s="8"/>
      <c r="J29177" s="8"/>
    </row>
    <row r="29178">
      <c r="C29178" s="15"/>
      <c r="E29178" s="8"/>
      <c r="G29178" s="8"/>
      <c r="J29178" s="8"/>
    </row>
    <row r="29179">
      <c r="C29179" s="15"/>
      <c r="E29179" s="8"/>
      <c r="G29179" s="8"/>
      <c r="J29179" s="8"/>
    </row>
    <row r="29180">
      <c r="C29180" s="15"/>
      <c r="E29180" s="8"/>
      <c r="G29180" s="8"/>
      <c r="J29180" s="8"/>
    </row>
    <row r="29181">
      <c r="C29181" s="15"/>
      <c r="E29181" s="8"/>
      <c r="G29181" s="8"/>
      <c r="J29181" s="8"/>
    </row>
    <row r="29182">
      <c r="C29182" s="15"/>
      <c r="E29182" s="8"/>
      <c r="G29182" s="8"/>
      <c r="J29182" s="8"/>
    </row>
    <row r="29183">
      <c r="C29183" s="15"/>
      <c r="E29183" s="8"/>
      <c r="G29183" s="8"/>
      <c r="J29183" s="8"/>
    </row>
    <row r="29184">
      <c r="C29184" s="15"/>
      <c r="E29184" s="8"/>
      <c r="G29184" s="8"/>
      <c r="J29184" s="8"/>
    </row>
    <row r="29185">
      <c r="C29185" s="15"/>
      <c r="E29185" s="8"/>
      <c r="G29185" s="8"/>
      <c r="J29185" s="8"/>
    </row>
    <row r="29186">
      <c r="C29186" s="15"/>
      <c r="E29186" s="8"/>
      <c r="G29186" s="8"/>
      <c r="J29186" s="8"/>
    </row>
    <row r="29187">
      <c r="C29187" s="15"/>
      <c r="E29187" s="8"/>
      <c r="G29187" s="8"/>
      <c r="J29187" s="8"/>
    </row>
    <row r="29188">
      <c r="C29188" s="15"/>
      <c r="E29188" s="8"/>
      <c r="G29188" s="8"/>
      <c r="J29188" s="8"/>
    </row>
    <row r="29189">
      <c r="C29189" s="15"/>
      <c r="E29189" s="8"/>
      <c r="G29189" s="8"/>
      <c r="J29189" s="8"/>
    </row>
    <row r="29190">
      <c r="C29190" s="15"/>
      <c r="E29190" s="8"/>
      <c r="G29190" s="8"/>
      <c r="J29190" s="8"/>
    </row>
    <row r="29191">
      <c r="C29191" s="15"/>
      <c r="E29191" s="8"/>
      <c r="G29191" s="8"/>
      <c r="J29191" s="8"/>
    </row>
    <row r="29192">
      <c r="C29192" s="15"/>
      <c r="E29192" s="8"/>
      <c r="G29192" s="8"/>
      <c r="J29192" s="8"/>
    </row>
    <row r="29193">
      <c r="C29193" s="15"/>
      <c r="E29193" s="8"/>
      <c r="G29193" s="8"/>
      <c r="J29193" s="8"/>
    </row>
    <row r="29194">
      <c r="C29194" s="15"/>
      <c r="E29194" s="8"/>
      <c r="G29194" s="8"/>
      <c r="J29194" s="8"/>
    </row>
    <row r="29195">
      <c r="C29195" s="15"/>
      <c r="E29195" s="8"/>
      <c r="G29195" s="8"/>
      <c r="J29195" s="8"/>
    </row>
    <row r="29196">
      <c r="C29196" s="15"/>
      <c r="E29196" s="8"/>
      <c r="G29196" s="8"/>
      <c r="J29196" s="8"/>
    </row>
    <row r="29197">
      <c r="C29197" s="15"/>
      <c r="E29197" s="8"/>
      <c r="G29197" s="8"/>
      <c r="J29197" s="8"/>
    </row>
    <row r="29198">
      <c r="C29198" s="15"/>
      <c r="E29198" s="8"/>
      <c r="G29198" s="8"/>
      <c r="J29198" s="8"/>
    </row>
    <row r="29199">
      <c r="C29199" s="15"/>
      <c r="E29199" s="8"/>
      <c r="G29199" s="8"/>
      <c r="J29199" s="8"/>
    </row>
    <row r="29200">
      <c r="C29200" s="15"/>
      <c r="E29200" s="8"/>
      <c r="G29200" s="8"/>
      <c r="J29200" s="8"/>
    </row>
    <row r="29201">
      <c r="C29201" s="15"/>
      <c r="E29201" s="8"/>
      <c r="G29201" s="8"/>
      <c r="J29201" s="8"/>
    </row>
    <row r="29202">
      <c r="C29202" s="15"/>
      <c r="E29202" s="8"/>
      <c r="G29202" s="8"/>
      <c r="J29202" s="8"/>
    </row>
    <row r="29203">
      <c r="C29203" s="15"/>
      <c r="E29203" s="8"/>
      <c r="G29203" s="8"/>
      <c r="J29203" s="8"/>
    </row>
    <row r="29204">
      <c r="C29204" s="15"/>
      <c r="E29204" s="8"/>
      <c r="G29204" s="8"/>
      <c r="J29204" s="8"/>
    </row>
    <row r="29205">
      <c r="C29205" s="15"/>
      <c r="E29205" s="8"/>
      <c r="G29205" s="8"/>
      <c r="J29205" s="8"/>
    </row>
    <row r="29206">
      <c r="C29206" s="15"/>
      <c r="E29206" s="8"/>
      <c r="G29206" s="8"/>
      <c r="J29206" s="8"/>
    </row>
    <row r="29207">
      <c r="C29207" s="15"/>
      <c r="E29207" s="8"/>
      <c r="G29207" s="8"/>
      <c r="J29207" s="8"/>
    </row>
    <row r="29208">
      <c r="C29208" s="15"/>
      <c r="E29208" s="8"/>
      <c r="G29208" s="8"/>
      <c r="J29208" s="8"/>
    </row>
    <row r="29209">
      <c r="C29209" s="15"/>
      <c r="E29209" s="8"/>
      <c r="G29209" s="8"/>
      <c r="J29209" s="8"/>
    </row>
    <row r="29210">
      <c r="C29210" s="15"/>
      <c r="E29210" s="8"/>
      <c r="G29210" s="8"/>
      <c r="J29210" s="8"/>
    </row>
    <row r="29211">
      <c r="C29211" s="15"/>
      <c r="E29211" s="8"/>
      <c r="G29211" s="8"/>
      <c r="J29211" s="8"/>
    </row>
    <row r="29212">
      <c r="C29212" s="15"/>
      <c r="E29212" s="8"/>
      <c r="G29212" s="8"/>
      <c r="J29212" s="8"/>
    </row>
    <row r="29213">
      <c r="C29213" s="15"/>
      <c r="E29213" s="8"/>
      <c r="G29213" s="8"/>
      <c r="J29213" s="8"/>
    </row>
    <row r="29214">
      <c r="C29214" s="15"/>
      <c r="E29214" s="8"/>
      <c r="G29214" s="8"/>
      <c r="J29214" s="8"/>
    </row>
    <row r="29215">
      <c r="C29215" s="15"/>
      <c r="E29215" s="8"/>
      <c r="G29215" s="8"/>
      <c r="J29215" s="8"/>
    </row>
    <row r="29216">
      <c r="C29216" s="15"/>
      <c r="E29216" s="8"/>
      <c r="G29216" s="8"/>
      <c r="J29216" s="8"/>
    </row>
    <row r="29217">
      <c r="C29217" s="15"/>
      <c r="E29217" s="8"/>
      <c r="G29217" s="8"/>
      <c r="J29217" s="8"/>
    </row>
    <row r="29218">
      <c r="C29218" s="15"/>
      <c r="E29218" s="8"/>
      <c r="G29218" s="8"/>
      <c r="J29218" s="8"/>
    </row>
    <row r="29219">
      <c r="C29219" s="15"/>
      <c r="E29219" s="8"/>
      <c r="G29219" s="8"/>
      <c r="J29219" s="8"/>
    </row>
    <row r="29220">
      <c r="C29220" s="15"/>
      <c r="E29220" s="8"/>
      <c r="G29220" s="8"/>
      <c r="J29220" s="8"/>
    </row>
    <row r="29221">
      <c r="C29221" s="15"/>
      <c r="E29221" s="8"/>
      <c r="G29221" s="8"/>
      <c r="J29221" s="8"/>
    </row>
    <row r="29222">
      <c r="C29222" s="15"/>
      <c r="E29222" s="8"/>
      <c r="G29222" s="8"/>
      <c r="J29222" s="8"/>
    </row>
    <row r="29223">
      <c r="C29223" s="15"/>
      <c r="E29223" s="8"/>
      <c r="G29223" s="8"/>
      <c r="J29223" s="8"/>
    </row>
    <row r="29224">
      <c r="C29224" s="15"/>
      <c r="E29224" s="8"/>
      <c r="G29224" s="8"/>
      <c r="J29224" s="8"/>
    </row>
    <row r="29225">
      <c r="C29225" s="15"/>
      <c r="E29225" s="8"/>
      <c r="G29225" s="8"/>
      <c r="J29225" s="8"/>
    </row>
    <row r="29226">
      <c r="C29226" s="15"/>
      <c r="E29226" s="8"/>
      <c r="G29226" s="8"/>
      <c r="J29226" s="8"/>
    </row>
    <row r="29227">
      <c r="C29227" s="15"/>
      <c r="E29227" s="8"/>
      <c r="G29227" s="8"/>
      <c r="J29227" s="8"/>
    </row>
    <row r="29228">
      <c r="C29228" s="15"/>
      <c r="E29228" s="8"/>
      <c r="G29228" s="8"/>
      <c r="J29228" s="8"/>
    </row>
    <row r="29229">
      <c r="C29229" s="15"/>
      <c r="E29229" s="8"/>
      <c r="G29229" s="8"/>
      <c r="J29229" s="8"/>
    </row>
    <row r="29230">
      <c r="C29230" s="15"/>
      <c r="E29230" s="8"/>
      <c r="G29230" s="8"/>
      <c r="J29230" s="8"/>
    </row>
    <row r="29231">
      <c r="C29231" s="15"/>
      <c r="E29231" s="8"/>
      <c r="G29231" s="8"/>
      <c r="J29231" s="8"/>
    </row>
    <row r="29232">
      <c r="C29232" s="15"/>
      <c r="E29232" s="8"/>
      <c r="G29232" s="8"/>
      <c r="J29232" s="8"/>
    </row>
    <row r="29233">
      <c r="C29233" s="15"/>
      <c r="E29233" s="8"/>
      <c r="G29233" s="8"/>
      <c r="J29233" s="8"/>
    </row>
    <row r="29234">
      <c r="C29234" s="15"/>
      <c r="E29234" s="8"/>
      <c r="G29234" s="8"/>
      <c r="J29234" s="8"/>
    </row>
    <row r="29235">
      <c r="C29235" s="15"/>
      <c r="E29235" s="8"/>
      <c r="G29235" s="8"/>
      <c r="J29235" s="8"/>
    </row>
    <row r="29236">
      <c r="C29236" s="15"/>
      <c r="E29236" s="8"/>
      <c r="G29236" s="8"/>
      <c r="J29236" s="8"/>
    </row>
    <row r="29237">
      <c r="C29237" s="15"/>
      <c r="E29237" s="8"/>
      <c r="G29237" s="8"/>
      <c r="J29237" s="8"/>
    </row>
    <row r="29238">
      <c r="C29238" s="15"/>
      <c r="E29238" s="8"/>
      <c r="G29238" s="8"/>
      <c r="J29238" s="8"/>
    </row>
    <row r="29239">
      <c r="C29239" s="15"/>
      <c r="E29239" s="8"/>
      <c r="G29239" s="8"/>
      <c r="J29239" s="8"/>
    </row>
    <row r="29240">
      <c r="C29240" s="15"/>
      <c r="E29240" s="8"/>
      <c r="G29240" s="8"/>
      <c r="J29240" s="8"/>
    </row>
    <row r="29241">
      <c r="C29241" s="15"/>
      <c r="E29241" s="8"/>
      <c r="G29241" s="8"/>
      <c r="J29241" s="8"/>
    </row>
    <row r="29242">
      <c r="C29242" s="15"/>
      <c r="E29242" s="8"/>
      <c r="G29242" s="8"/>
      <c r="J29242" s="8"/>
    </row>
    <row r="29243">
      <c r="C29243" s="15"/>
      <c r="E29243" s="8"/>
      <c r="G29243" s="8"/>
      <c r="J29243" s="8"/>
    </row>
    <row r="29244">
      <c r="C29244" s="15"/>
      <c r="E29244" s="8"/>
      <c r="G29244" s="8"/>
      <c r="J29244" s="8"/>
    </row>
    <row r="29245">
      <c r="C29245" s="15"/>
      <c r="E29245" s="8"/>
      <c r="G29245" s="8"/>
      <c r="J29245" s="8"/>
    </row>
    <row r="29246">
      <c r="C29246" s="15"/>
      <c r="E29246" s="8"/>
      <c r="G29246" s="8"/>
      <c r="J29246" s="8"/>
    </row>
    <row r="29247">
      <c r="C29247" s="15"/>
      <c r="E29247" s="8"/>
      <c r="G29247" s="8"/>
      <c r="J29247" s="8"/>
    </row>
    <row r="29248">
      <c r="C29248" s="15"/>
      <c r="E29248" s="8"/>
      <c r="G29248" s="8"/>
      <c r="J29248" s="8"/>
    </row>
    <row r="29249">
      <c r="C29249" s="15"/>
      <c r="E29249" s="8"/>
      <c r="G29249" s="8"/>
      <c r="J29249" s="8"/>
    </row>
    <row r="29250">
      <c r="C29250" s="15"/>
      <c r="E29250" s="8"/>
      <c r="G29250" s="8"/>
      <c r="J29250" s="8"/>
    </row>
    <row r="29251">
      <c r="C29251" s="15"/>
      <c r="E29251" s="8"/>
      <c r="G29251" s="8"/>
      <c r="J29251" s="8"/>
    </row>
    <row r="29252">
      <c r="C29252" s="15"/>
      <c r="E29252" s="8"/>
      <c r="G29252" s="8"/>
      <c r="J29252" s="8"/>
    </row>
    <row r="29253">
      <c r="C29253" s="15"/>
      <c r="E29253" s="8"/>
      <c r="G29253" s="8"/>
      <c r="J29253" s="8"/>
    </row>
    <row r="29254">
      <c r="C29254" s="15"/>
      <c r="E29254" s="8"/>
      <c r="G29254" s="8"/>
      <c r="J29254" s="8"/>
    </row>
    <row r="29255">
      <c r="C29255" s="15"/>
      <c r="E29255" s="8"/>
      <c r="G29255" s="8"/>
      <c r="J29255" s="8"/>
    </row>
    <row r="29256">
      <c r="C29256" s="15"/>
      <c r="E29256" s="8"/>
      <c r="G29256" s="8"/>
      <c r="J29256" s="8"/>
    </row>
    <row r="29257">
      <c r="C29257" s="15"/>
      <c r="E29257" s="8"/>
      <c r="G29257" s="8"/>
      <c r="J29257" s="8"/>
    </row>
    <row r="29258">
      <c r="C29258" s="15"/>
      <c r="E29258" s="8"/>
      <c r="G29258" s="8"/>
      <c r="J29258" s="8"/>
    </row>
    <row r="29259">
      <c r="C29259" s="15"/>
      <c r="E29259" s="8"/>
      <c r="G29259" s="8"/>
      <c r="J29259" s="8"/>
    </row>
    <row r="29260">
      <c r="C29260" s="15"/>
      <c r="E29260" s="8"/>
      <c r="G29260" s="8"/>
      <c r="J29260" s="8"/>
    </row>
    <row r="29261">
      <c r="C29261" s="15"/>
      <c r="E29261" s="8"/>
      <c r="G29261" s="8"/>
      <c r="J29261" s="8"/>
    </row>
    <row r="29262">
      <c r="C29262" s="15"/>
      <c r="E29262" s="8"/>
      <c r="G29262" s="8"/>
      <c r="J29262" s="8"/>
    </row>
    <row r="29263">
      <c r="C29263" s="15"/>
      <c r="E29263" s="8"/>
      <c r="G29263" s="8"/>
      <c r="J29263" s="8"/>
    </row>
    <row r="29264">
      <c r="C29264" s="15"/>
      <c r="E29264" s="8"/>
      <c r="G29264" s="8"/>
      <c r="J29264" s="8"/>
    </row>
    <row r="29265">
      <c r="C29265" s="15"/>
      <c r="E29265" s="8"/>
      <c r="G29265" s="8"/>
      <c r="J29265" s="8"/>
    </row>
    <row r="29266">
      <c r="C29266" s="15"/>
      <c r="E29266" s="8"/>
      <c r="G29266" s="8"/>
      <c r="J29266" s="8"/>
    </row>
    <row r="29267">
      <c r="C29267" s="15"/>
      <c r="E29267" s="8"/>
      <c r="G29267" s="8"/>
      <c r="J29267" s="8"/>
    </row>
    <row r="29268">
      <c r="C29268" s="15"/>
      <c r="E29268" s="8"/>
      <c r="G29268" s="8"/>
      <c r="J29268" s="8"/>
    </row>
    <row r="29269">
      <c r="C29269" s="15"/>
      <c r="E29269" s="8"/>
      <c r="G29269" s="8"/>
      <c r="J29269" s="8"/>
    </row>
    <row r="29270">
      <c r="C29270" s="15"/>
      <c r="E29270" s="8"/>
      <c r="G29270" s="8"/>
      <c r="J29270" s="8"/>
    </row>
    <row r="29271">
      <c r="C29271" s="15"/>
      <c r="E29271" s="8"/>
      <c r="G29271" s="8"/>
      <c r="J29271" s="8"/>
    </row>
    <row r="29272">
      <c r="C29272" s="15"/>
      <c r="E29272" s="8"/>
      <c r="G29272" s="8"/>
      <c r="J29272" s="8"/>
    </row>
    <row r="29273">
      <c r="C29273" s="15"/>
      <c r="E29273" s="8"/>
      <c r="G29273" s="8"/>
      <c r="J29273" s="8"/>
    </row>
    <row r="29274">
      <c r="C29274" s="15"/>
      <c r="E29274" s="8"/>
      <c r="G29274" s="8"/>
      <c r="J29274" s="8"/>
    </row>
    <row r="29275">
      <c r="C29275" s="15"/>
      <c r="E29275" s="8"/>
      <c r="G29275" s="8"/>
      <c r="J29275" s="8"/>
    </row>
    <row r="29276">
      <c r="C29276" s="15"/>
      <c r="E29276" s="8"/>
      <c r="G29276" s="8"/>
      <c r="J29276" s="8"/>
    </row>
    <row r="29277">
      <c r="C29277" s="15"/>
      <c r="E29277" s="8"/>
      <c r="G29277" s="8"/>
      <c r="J29277" s="8"/>
    </row>
    <row r="29278">
      <c r="C29278" s="15"/>
      <c r="E29278" s="8"/>
      <c r="G29278" s="8"/>
      <c r="J29278" s="8"/>
    </row>
    <row r="29279">
      <c r="C29279" s="15"/>
      <c r="E29279" s="8"/>
      <c r="G29279" s="8"/>
      <c r="J29279" s="8"/>
    </row>
    <row r="29280">
      <c r="C29280" s="15"/>
      <c r="E29280" s="8"/>
      <c r="G29280" s="8"/>
      <c r="J29280" s="8"/>
    </row>
    <row r="29281">
      <c r="C29281" s="15"/>
      <c r="E29281" s="8"/>
      <c r="G29281" s="8"/>
      <c r="J29281" s="8"/>
    </row>
    <row r="29282">
      <c r="C29282" s="15"/>
      <c r="E29282" s="8"/>
      <c r="G29282" s="8"/>
      <c r="J29282" s="8"/>
    </row>
    <row r="29283">
      <c r="C29283" s="15"/>
      <c r="E29283" s="8"/>
      <c r="G29283" s="8"/>
      <c r="J29283" s="8"/>
    </row>
    <row r="29284">
      <c r="C29284" s="15"/>
      <c r="E29284" s="8"/>
      <c r="G29284" s="8"/>
      <c r="J29284" s="8"/>
    </row>
    <row r="29285">
      <c r="C29285" s="15"/>
      <c r="E29285" s="8"/>
      <c r="G29285" s="8"/>
      <c r="J29285" s="8"/>
    </row>
    <row r="29286">
      <c r="C29286" s="15"/>
      <c r="E29286" s="8"/>
      <c r="G29286" s="8"/>
      <c r="J29286" s="8"/>
    </row>
    <row r="29287">
      <c r="C29287" s="15"/>
      <c r="E29287" s="8"/>
      <c r="G29287" s="8"/>
      <c r="J29287" s="8"/>
    </row>
    <row r="29288">
      <c r="C29288" s="15"/>
      <c r="E29288" s="8"/>
      <c r="G29288" s="8"/>
      <c r="J29288" s="8"/>
    </row>
    <row r="29289">
      <c r="C29289" s="15"/>
      <c r="E29289" s="8"/>
      <c r="G29289" s="8"/>
      <c r="J29289" s="8"/>
    </row>
    <row r="29290">
      <c r="C29290" s="15"/>
      <c r="E29290" s="8"/>
      <c r="G29290" s="8"/>
      <c r="J29290" s="8"/>
    </row>
    <row r="29291">
      <c r="C29291" s="15"/>
      <c r="E29291" s="8"/>
      <c r="G29291" s="8"/>
      <c r="J29291" s="8"/>
    </row>
    <row r="29292">
      <c r="C29292" s="15"/>
      <c r="E29292" s="8"/>
      <c r="G29292" s="8"/>
      <c r="J29292" s="8"/>
    </row>
    <row r="29293">
      <c r="C29293" s="15"/>
      <c r="E29293" s="8"/>
      <c r="G29293" s="8"/>
      <c r="J29293" s="8"/>
    </row>
    <row r="29294">
      <c r="C29294" s="15"/>
      <c r="E29294" s="8"/>
      <c r="G29294" s="8"/>
      <c r="J29294" s="8"/>
    </row>
    <row r="29295">
      <c r="C29295" s="15"/>
      <c r="E29295" s="8"/>
      <c r="G29295" s="8"/>
      <c r="J29295" s="8"/>
    </row>
    <row r="29296">
      <c r="C29296" s="15"/>
      <c r="E29296" s="8"/>
      <c r="G29296" s="8"/>
      <c r="J29296" s="8"/>
    </row>
    <row r="29297">
      <c r="C29297" s="15"/>
      <c r="E29297" s="8"/>
      <c r="G29297" s="8"/>
      <c r="J29297" s="8"/>
    </row>
    <row r="29298">
      <c r="C29298" s="15"/>
      <c r="E29298" s="8"/>
      <c r="G29298" s="8"/>
      <c r="J29298" s="8"/>
    </row>
    <row r="29299">
      <c r="C29299" s="15"/>
      <c r="E29299" s="8"/>
      <c r="G29299" s="8"/>
      <c r="J29299" s="8"/>
    </row>
    <row r="29300">
      <c r="C29300" s="15"/>
      <c r="E29300" s="8"/>
      <c r="G29300" s="8"/>
      <c r="J29300" s="8"/>
    </row>
    <row r="29301">
      <c r="C29301" s="15"/>
      <c r="E29301" s="8"/>
      <c r="G29301" s="8"/>
      <c r="J29301" s="8"/>
    </row>
    <row r="29302">
      <c r="C29302" s="15"/>
      <c r="E29302" s="8"/>
      <c r="G29302" s="8"/>
      <c r="J29302" s="8"/>
    </row>
    <row r="29303">
      <c r="C29303" s="15"/>
      <c r="E29303" s="8"/>
      <c r="G29303" s="8"/>
      <c r="J29303" s="8"/>
    </row>
    <row r="29304">
      <c r="C29304" s="15"/>
      <c r="E29304" s="8"/>
      <c r="G29304" s="8"/>
      <c r="J29304" s="8"/>
    </row>
    <row r="29305">
      <c r="C29305" s="15"/>
      <c r="E29305" s="8"/>
      <c r="G29305" s="8"/>
      <c r="J29305" s="8"/>
    </row>
    <row r="29306">
      <c r="C29306" s="15"/>
      <c r="E29306" s="8"/>
      <c r="G29306" s="8"/>
      <c r="J29306" s="8"/>
    </row>
    <row r="29307">
      <c r="C29307" s="15"/>
      <c r="E29307" s="8"/>
      <c r="G29307" s="8"/>
      <c r="J29307" s="8"/>
    </row>
    <row r="29308">
      <c r="C29308" s="15"/>
      <c r="E29308" s="8"/>
      <c r="G29308" s="8"/>
      <c r="J29308" s="8"/>
    </row>
    <row r="29309">
      <c r="C29309" s="15"/>
      <c r="E29309" s="8"/>
      <c r="G29309" s="8"/>
      <c r="J29309" s="8"/>
    </row>
    <row r="29310">
      <c r="C29310" s="15"/>
      <c r="E29310" s="8"/>
      <c r="G29310" s="8"/>
      <c r="J29310" s="8"/>
    </row>
    <row r="29311">
      <c r="C29311" s="15"/>
      <c r="E29311" s="8"/>
      <c r="G29311" s="8"/>
      <c r="J29311" s="8"/>
    </row>
    <row r="29312">
      <c r="C29312" s="15"/>
      <c r="E29312" s="8"/>
      <c r="G29312" s="8"/>
      <c r="J29312" s="8"/>
    </row>
    <row r="29313">
      <c r="C29313" s="15"/>
      <c r="E29313" s="8"/>
      <c r="G29313" s="8"/>
      <c r="J29313" s="8"/>
    </row>
    <row r="29314">
      <c r="C29314" s="15"/>
      <c r="E29314" s="8"/>
      <c r="G29314" s="8"/>
      <c r="J29314" s="8"/>
    </row>
    <row r="29315">
      <c r="C29315" s="15"/>
      <c r="E29315" s="8"/>
      <c r="G29315" s="8"/>
      <c r="J29315" s="8"/>
    </row>
    <row r="29316">
      <c r="C29316" s="15"/>
      <c r="E29316" s="8"/>
      <c r="G29316" s="8"/>
      <c r="J29316" s="8"/>
    </row>
    <row r="29317">
      <c r="C29317" s="15"/>
      <c r="E29317" s="8"/>
      <c r="G29317" s="8"/>
      <c r="J29317" s="8"/>
    </row>
    <row r="29318">
      <c r="C29318" s="15"/>
      <c r="E29318" s="8"/>
      <c r="G29318" s="8"/>
      <c r="J29318" s="8"/>
    </row>
    <row r="29319">
      <c r="C29319" s="15"/>
      <c r="E29319" s="8"/>
      <c r="G29319" s="8"/>
      <c r="J29319" s="8"/>
    </row>
    <row r="29320">
      <c r="C29320" s="15"/>
      <c r="E29320" s="8"/>
      <c r="G29320" s="8"/>
      <c r="J29320" s="8"/>
    </row>
    <row r="29321">
      <c r="C29321" s="15"/>
      <c r="E29321" s="8"/>
      <c r="G29321" s="8"/>
      <c r="J29321" s="8"/>
    </row>
    <row r="29322">
      <c r="C29322" s="15"/>
      <c r="E29322" s="8"/>
      <c r="G29322" s="8"/>
      <c r="J29322" s="8"/>
    </row>
    <row r="29323">
      <c r="C29323" s="15"/>
      <c r="E29323" s="8"/>
      <c r="G29323" s="8"/>
      <c r="J29323" s="8"/>
    </row>
    <row r="29324">
      <c r="C29324" s="15"/>
      <c r="E29324" s="8"/>
      <c r="G29324" s="8"/>
      <c r="J29324" s="8"/>
    </row>
    <row r="29325">
      <c r="C29325" s="15"/>
      <c r="E29325" s="8"/>
      <c r="G29325" s="8"/>
      <c r="J29325" s="8"/>
    </row>
    <row r="29326">
      <c r="C29326" s="15"/>
      <c r="E29326" s="8"/>
      <c r="G29326" s="8"/>
      <c r="J29326" s="8"/>
    </row>
    <row r="29327">
      <c r="C29327" s="15"/>
      <c r="E29327" s="8"/>
      <c r="G29327" s="8"/>
      <c r="J29327" s="8"/>
    </row>
    <row r="29328">
      <c r="C29328" s="15"/>
      <c r="E29328" s="8"/>
      <c r="G29328" s="8"/>
      <c r="J29328" s="8"/>
    </row>
    <row r="29329">
      <c r="C29329" s="15"/>
      <c r="E29329" s="8"/>
      <c r="G29329" s="8"/>
      <c r="J29329" s="8"/>
    </row>
    <row r="29330">
      <c r="C29330" s="15"/>
      <c r="E29330" s="8"/>
      <c r="G29330" s="8"/>
      <c r="J29330" s="8"/>
    </row>
    <row r="29331">
      <c r="C29331" s="15"/>
      <c r="E29331" s="8"/>
      <c r="G29331" s="8"/>
      <c r="J29331" s="8"/>
    </row>
    <row r="29332">
      <c r="C29332" s="15"/>
      <c r="E29332" s="8"/>
      <c r="G29332" s="8"/>
      <c r="J29332" s="8"/>
    </row>
    <row r="29333">
      <c r="C29333" s="15"/>
      <c r="E29333" s="8"/>
      <c r="G29333" s="8"/>
      <c r="J29333" s="8"/>
    </row>
    <row r="29334">
      <c r="C29334" s="15"/>
      <c r="E29334" s="8"/>
      <c r="G29334" s="8"/>
      <c r="J29334" s="8"/>
    </row>
    <row r="29335">
      <c r="C29335" s="15"/>
      <c r="E29335" s="8"/>
      <c r="G29335" s="8"/>
      <c r="J29335" s="8"/>
    </row>
    <row r="29336">
      <c r="C29336" s="15"/>
      <c r="E29336" s="8"/>
      <c r="G29336" s="8"/>
      <c r="J29336" s="8"/>
    </row>
    <row r="29337">
      <c r="C29337" s="15"/>
      <c r="E29337" s="8"/>
      <c r="G29337" s="8"/>
      <c r="J29337" s="8"/>
    </row>
    <row r="29338">
      <c r="C29338" s="15"/>
      <c r="E29338" s="8"/>
      <c r="G29338" s="8"/>
      <c r="J29338" s="8"/>
    </row>
    <row r="29339">
      <c r="C29339" s="15"/>
      <c r="E29339" s="8"/>
      <c r="G29339" s="8"/>
      <c r="J29339" s="8"/>
    </row>
    <row r="29340">
      <c r="C29340" s="15"/>
      <c r="E29340" s="8"/>
      <c r="G29340" s="8"/>
      <c r="J29340" s="8"/>
    </row>
    <row r="29341">
      <c r="C29341" s="15"/>
      <c r="E29341" s="8"/>
      <c r="G29341" s="8"/>
      <c r="J29341" s="8"/>
    </row>
    <row r="29342">
      <c r="C29342" s="15"/>
      <c r="E29342" s="8"/>
      <c r="G29342" s="8"/>
      <c r="J29342" s="8"/>
    </row>
    <row r="29343">
      <c r="C29343" s="15"/>
      <c r="E29343" s="8"/>
      <c r="G29343" s="8"/>
      <c r="J29343" s="8"/>
    </row>
    <row r="29344">
      <c r="C29344" s="15"/>
      <c r="E29344" s="8"/>
      <c r="G29344" s="8"/>
      <c r="J29344" s="8"/>
    </row>
    <row r="29345">
      <c r="C29345" s="15"/>
      <c r="E29345" s="8"/>
      <c r="G29345" s="8"/>
      <c r="J29345" s="8"/>
    </row>
    <row r="29346">
      <c r="C29346" s="15"/>
      <c r="E29346" s="8"/>
      <c r="G29346" s="8"/>
      <c r="J29346" s="8"/>
    </row>
    <row r="29347">
      <c r="C29347" s="15"/>
      <c r="E29347" s="8"/>
      <c r="G29347" s="8"/>
      <c r="J29347" s="8"/>
    </row>
    <row r="29348">
      <c r="C29348" s="15"/>
      <c r="E29348" s="8"/>
      <c r="G29348" s="8"/>
      <c r="J29348" s="8"/>
    </row>
    <row r="29349">
      <c r="C29349" s="15"/>
      <c r="E29349" s="8"/>
      <c r="G29349" s="8"/>
      <c r="J29349" s="8"/>
    </row>
    <row r="29350">
      <c r="C29350" s="15"/>
      <c r="E29350" s="8"/>
      <c r="G29350" s="8"/>
      <c r="J29350" s="8"/>
    </row>
    <row r="29351">
      <c r="C29351" s="15"/>
      <c r="E29351" s="8"/>
      <c r="G29351" s="8"/>
      <c r="J29351" s="8"/>
    </row>
    <row r="29352">
      <c r="C29352" s="15"/>
      <c r="E29352" s="8"/>
      <c r="G29352" s="8"/>
      <c r="J29352" s="8"/>
    </row>
    <row r="29353">
      <c r="C29353" s="15"/>
      <c r="E29353" s="8"/>
      <c r="G29353" s="8"/>
      <c r="J29353" s="8"/>
    </row>
    <row r="29354">
      <c r="C29354" s="15"/>
      <c r="E29354" s="8"/>
      <c r="G29354" s="8"/>
      <c r="J29354" s="8"/>
    </row>
    <row r="29355">
      <c r="C29355" s="15"/>
      <c r="E29355" s="8"/>
      <c r="G29355" s="8"/>
      <c r="J29355" s="8"/>
    </row>
    <row r="29356">
      <c r="C29356" s="15"/>
      <c r="E29356" s="8"/>
      <c r="G29356" s="8"/>
      <c r="J29356" s="8"/>
    </row>
    <row r="29357">
      <c r="C29357" s="15"/>
      <c r="E29357" s="8"/>
      <c r="G29357" s="8"/>
      <c r="J29357" s="8"/>
    </row>
    <row r="29358">
      <c r="C29358" s="15"/>
      <c r="E29358" s="8"/>
      <c r="G29358" s="8"/>
      <c r="J29358" s="8"/>
    </row>
    <row r="29359">
      <c r="C29359" s="15"/>
      <c r="E29359" s="8"/>
      <c r="G29359" s="8"/>
      <c r="J29359" s="8"/>
    </row>
    <row r="29360">
      <c r="C29360" s="15"/>
      <c r="E29360" s="8"/>
      <c r="G29360" s="8"/>
      <c r="J29360" s="8"/>
    </row>
    <row r="29361">
      <c r="C29361" s="15"/>
      <c r="E29361" s="8"/>
      <c r="G29361" s="8"/>
      <c r="J29361" s="8"/>
    </row>
    <row r="29362">
      <c r="C29362" s="15"/>
      <c r="E29362" s="8"/>
      <c r="G29362" s="8"/>
      <c r="J29362" s="8"/>
    </row>
    <row r="29363">
      <c r="C29363" s="15"/>
      <c r="E29363" s="8"/>
      <c r="G29363" s="8"/>
      <c r="J29363" s="8"/>
    </row>
    <row r="29364">
      <c r="C29364" s="15"/>
      <c r="E29364" s="8"/>
      <c r="G29364" s="8"/>
      <c r="J29364" s="8"/>
    </row>
    <row r="29365">
      <c r="C29365" s="15"/>
      <c r="E29365" s="8"/>
      <c r="G29365" s="8"/>
      <c r="J29365" s="8"/>
    </row>
    <row r="29366">
      <c r="C29366" s="15"/>
      <c r="E29366" s="8"/>
      <c r="G29366" s="8"/>
      <c r="J29366" s="8"/>
    </row>
    <row r="29367">
      <c r="C29367" s="15"/>
      <c r="E29367" s="8"/>
      <c r="G29367" s="8"/>
      <c r="J29367" s="8"/>
    </row>
    <row r="29368">
      <c r="C29368" s="15"/>
      <c r="E29368" s="8"/>
      <c r="G29368" s="8"/>
      <c r="J29368" s="8"/>
    </row>
    <row r="29369">
      <c r="C29369" s="15"/>
      <c r="E29369" s="8"/>
      <c r="G29369" s="8"/>
      <c r="J29369" s="8"/>
    </row>
    <row r="29370">
      <c r="C29370" s="15"/>
      <c r="E29370" s="8"/>
      <c r="G29370" s="8"/>
      <c r="J29370" s="8"/>
    </row>
    <row r="29371">
      <c r="C29371" s="15"/>
      <c r="E29371" s="8"/>
      <c r="G29371" s="8"/>
      <c r="J29371" s="8"/>
    </row>
    <row r="29372">
      <c r="C29372" s="15"/>
      <c r="E29372" s="8"/>
      <c r="G29372" s="8"/>
      <c r="J29372" s="8"/>
    </row>
    <row r="29373">
      <c r="C29373" s="15"/>
      <c r="E29373" s="8"/>
      <c r="G29373" s="8"/>
      <c r="J29373" s="8"/>
    </row>
    <row r="29374">
      <c r="C29374" s="15"/>
      <c r="E29374" s="8"/>
      <c r="G29374" s="8"/>
      <c r="J29374" s="8"/>
    </row>
    <row r="29375">
      <c r="C29375" s="15"/>
      <c r="E29375" s="8"/>
      <c r="G29375" s="8"/>
      <c r="J29375" s="8"/>
    </row>
    <row r="29376">
      <c r="C29376" s="15"/>
      <c r="E29376" s="8"/>
      <c r="G29376" s="8"/>
      <c r="J29376" s="8"/>
    </row>
    <row r="29377">
      <c r="C29377" s="15"/>
      <c r="E29377" s="8"/>
      <c r="G29377" s="8"/>
      <c r="J29377" s="8"/>
    </row>
    <row r="29378">
      <c r="C29378" s="15"/>
      <c r="E29378" s="8"/>
      <c r="G29378" s="8"/>
      <c r="J29378" s="8"/>
    </row>
    <row r="29379">
      <c r="C29379" s="15"/>
      <c r="E29379" s="8"/>
      <c r="G29379" s="8"/>
      <c r="J29379" s="8"/>
    </row>
    <row r="29380">
      <c r="C29380" s="15"/>
      <c r="E29380" s="8"/>
      <c r="G29380" s="8"/>
      <c r="J29380" s="8"/>
    </row>
    <row r="29381">
      <c r="C29381" s="15"/>
      <c r="E29381" s="8"/>
      <c r="G29381" s="8"/>
      <c r="J29381" s="8"/>
    </row>
    <row r="29382">
      <c r="C29382" s="15"/>
      <c r="E29382" s="8"/>
      <c r="G29382" s="8"/>
      <c r="J29382" s="8"/>
    </row>
    <row r="29383">
      <c r="C29383" s="15"/>
      <c r="E29383" s="8"/>
      <c r="G29383" s="8"/>
      <c r="J29383" s="8"/>
    </row>
    <row r="29384">
      <c r="C29384" s="15"/>
      <c r="E29384" s="8"/>
      <c r="G29384" s="8"/>
      <c r="J29384" s="8"/>
    </row>
    <row r="29385">
      <c r="C29385" s="15"/>
      <c r="E29385" s="8"/>
      <c r="G29385" s="8"/>
      <c r="J29385" s="8"/>
    </row>
    <row r="29386">
      <c r="C29386" s="15"/>
      <c r="E29386" s="8"/>
      <c r="G29386" s="8"/>
      <c r="J29386" s="8"/>
    </row>
    <row r="29387">
      <c r="C29387" s="15"/>
      <c r="E29387" s="8"/>
      <c r="G29387" s="8"/>
      <c r="J29387" s="8"/>
    </row>
    <row r="29388">
      <c r="C29388" s="15"/>
      <c r="E29388" s="8"/>
      <c r="G29388" s="8"/>
      <c r="J29388" s="8"/>
    </row>
    <row r="29389">
      <c r="C29389" s="15"/>
      <c r="E29389" s="8"/>
      <c r="G29389" s="8"/>
      <c r="J29389" s="8"/>
    </row>
    <row r="29390">
      <c r="C29390" s="15"/>
      <c r="E29390" s="8"/>
      <c r="G29390" s="8"/>
      <c r="J29390" s="8"/>
    </row>
    <row r="29391">
      <c r="C29391" s="15"/>
      <c r="E29391" s="8"/>
      <c r="G29391" s="8"/>
      <c r="J29391" s="8"/>
    </row>
    <row r="29392">
      <c r="C29392" s="15"/>
      <c r="E29392" s="8"/>
      <c r="G29392" s="8"/>
      <c r="J29392" s="8"/>
    </row>
    <row r="29393">
      <c r="C29393" s="15"/>
      <c r="E29393" s="8"/>
      <c r="G29393" s="8"/>
      <c r="J29393" s="8"/>
    </row>
    <row r="29394">
      <c r="C29394" s="15"/>
      <c r="E29394" s="8"/>
      <c r="G29394" s="8"/>
      <c r="J29394" s="8"/>
    </row>
    <row r="29395">
      <c r="C29395" s="15"/>
      <c r="E29395" s="8"/>
      <c r="G29395" s="8"/>
      <c r="J29395" s="8"/>
    </row>
    <row r="29396">
      <c r="C29396" s="15"/>
      <c r="E29396" s="8"/>
      <c r="G29396" s="8"/>
      <c r="J29396" s="8"/>
    </row>
    <row r="29397">
      <c r="C29397" s="15"/>
      <c r="E29397" s="8"/>
      <c r="G29397" s="8"/>
      <c r="J29397" s="8"/>
    </row>
    <row r="29398">
      <c r="C29398" s="15"/>
      <c r="E29398" s="8"/>
      <c r="G29398" s="8"/>
      <c r="J29398" s="8"/>
    </row>
    <row r="29399">
      <c r="C29399" s="15"/>
      <c r="E29399" s="8"/>
      <c r="G29399" s="8"/>
      <c r="J29399" s="8"/>
    </row>
    <row r="29400">
      <c r="C29400" s="15"/>
      <c r="E29400" s="8"/>
      <c r="G29400" s="8"/>
      <c r="J29400" s="8"/>
    </row>
    <row r="29401">
      <c r="C29401" s="15"/>
      <c r="E29401" s="8"/>
      <c r="G29401" s="8"/>
      <c r="J29401" s="8"/>
    </row>
    <row r="29402">
      <c r="C29402" s="15"/>
      <c r="E29402" s="8"/>
      <c r="G29402" s="8"/>
      <c r="J29402" s="8"/>
    </row>
    <row r="29403">
      <c r="C29403" s="15"/>
      <c r="E29403" s="8"/>
      <c r="G29403" s="8"/>
      <c r="J29403" s="8"/>
    </row>
    <row r="29404">
      <c r="C29404" s="15"/>
      <c r="E29404" s="8"/>
      <c r="G29404" s="8"/>
      <c r="J29404" s="8"/>
    </row>
    <row r="29405">
      <c r="C29405" s="15"/>
      <c r="E29405" s="8"/>
      <c r="G29405" s="8"/>
      <c r="J29405" s="8"/>
    </row>
    <row r="29406">
      <c r="C29406" s="15"/>
      <c r="E29406" s="8"/>
      <c r="G29406" s="8"/>
      <c r="J29406" s="8"/>
    </row>
    <row r="29407">
      <c r="C29407" s="15"/>
      <c r="E29407" s="8"/>
      <c r="G29407" s="8"/>
      <c r="J29407" s="8"/>
    </row>
    <row r="29408">
      <c r="C29408" s="15"/>
      <c r="E29408" s="8"/>
      <c r="G29408" s="8"/>
      <c r="J29408" s="8"/>
    </row>
    <row r="29409">
      <c r="C29409" s="15"/>
      <c r="E29409" s="8"/>
      <c r="G29409" s="8"/>
      <c r="J29409" s="8"/>
    </row>
    <row r="29410">
      <c r="C29410" s="15"/>
      <c r="E29410" s="8"/>
      <c r="G29410" s="8"/>
      <c r="J29410" s="8"/>
    </row>
    <row r="29411">
      <c r="C29411" s="15"/>
      <c r="E29411" s="8"/>
      <c r="G29411" s="8"/>
      <c r="J29411" s="8"/>
    </row>
    <row r="29412">
      <c r="C29412" s="15"/>
      <c r="E29412" s="8"/>
      <c r="G29412" s="8"/>
      <c r="J29412" s="8"/>
    </row>
    <row r="29413">
      <c r="C29413" s="15"/>
      <c r="E29413" s="8"/>
      <c r="G29413" s="8"/>
      <c r="J29413" s="8"/>
    </row>
    <row r="29414">
      <c r="C29414" s="15"/>
      <c r="E29414" s="8"/>
      <c r="G29414" s="8"/>
      <c r="J29414" s="8"/>
    </row>
    <row r="29415">
      <c r="C29415" s="15"/>
      <c r="E29415" s="8"/>
      <c r="G29415" s="8"/>
      <c r="J29415" s="8"/>
    </row>
    <row r="29416">
      <c r="C29416" s="15"/>
      <c r="E29416" s="8"/>
      <c r="G29416" s="8"/>
      <c r="J29416" s="8"/>
    </row>
    <row r="29417">
      <c r="C29417" s="15"/>
      <c r="E29417" s="8"/>
      <c r="G29417" s="8"/>
      <c r="J29417" s="8"/>
    </row>
    <row r="29418">
      <c r="C29418" s="15"/>
      <c r="E29418" s="8"/>
      <c r="G29418" s="8"/>
      <c r="J29418" s="8"/>
    </row>
    <row r="29419">
      <c r="C29419" s="15"/>
      <c r="E29419" s="8"/>
      <c r="G29419" s="8"/>
      <c r="J29419" s="8"/>
    </row>
    <row r="29420">
      <c r="C29420" s="15"/>
      <c r="E29420" s="8"/>
      <c r="G29420" s="8"/>
      <c r="J29420" s="8"/>
    </row>
    <row r="29421">
      <c r="C29421" s="15"/>
      <c r="E29421" s="8"/>
      <c r="G29421" s="8"/>
      <c r="J29421" s="8"/>
    </row>
    <row r="29422">
      <c r="C29422" s="15"/>
      <c r="E29422" s="8"/>
      <c r="G29422" s="8"/>
      <c r="J29422" s="8"/>
    </row>
    <row r="29423">
      <c r="C29423" s="15"/>
      <c r="E29423" s="8"/>
      <c r="G29423" s="8"/>
      <c r="J29423" s="8"/>
    </row>
    <row r="29424">
      <c r="C29424" s="15"/>
      <c r="E29424" s="8"/>
      <c r="G29424" s="8"/>
      <c r="J29424" s="8"/>
    </row>
    <row r="29425">
      <c r="C29425" s="15"/>
      <c r="E29425" s="8"/>
      <c r="G29425" s="8"/>
      <c r="J29425" s="8"/>
    </row>
    <row r="29426">
      <c r="C29426" s="15"/>
      <c r="E29426" s="8"/>
      <c r="G29426" s="8"/>
      <c r="J29426" s="8"/>
    </row>
    <row r="29427">
      <c r="C29427" s="15"/>
      <c r="E29427" s="8"/>
      <c r="G29427" s="8"/>
      <c r="J29427" s="8"/>
    </row>
    <row r="29428">
      <c r="C29428" s="15"/>
      <c r="E29428" s="8"/>
      <c r="G29428" s="8"/>
      <c r="J29428" s="8"/>
    </row>
    <row r="29429">
      <c r="C29429" s="15"/>
      <c r="E29429" s="8"/>
      <c r="G29429" s="8"/>
      <c r="J29429" s="8"/>
    </row>
    <row r="29430">
      <c r="C29430" s="15"/>
      <c r="E29430" s="8"/>
      <c r="G29430" s="8"/>
      <c r="J29430" s="8"/>
    </row>
    <row r="29431">
      <c r="C29431" s="15"/>
      <c r="E29431" s="8"/>
      <c r="G29431" s="8"/>
      <c r="J29431" s="8"/>
    </row>
    <row r="29432">
      <c r="C29432" s="15"/>
      <c r="E29432" s="8"/>
      <c r="G29432" s="8"/>
      <c r="J29432" s="8"/>
    </row>
    <row r="29433">
      <c r="C29433" s="15"/>
      <c r="E29433" s="8"/>
      <c r="G29433" s="8"/>
      <c r="J29433" s="8"/>
    </row>
    <row r="29434">
      <c r="C29434" s="15"/>
      <c r="E29434" s="8"/>
      <c r="G29434" s="8"/>
      <c r="J29434" s="8"/>
    </row>
    <row r="29435">
      <c r="C29435" s="15"/>
      <c r="E29435" s="8"/>
      <c r="G29435" s="8"/>
      <c r="J29435" s="8"/>
    </row>
    <row r="29436">
      <c r="C29436" s="15"/>
      <c r="E29436" s="8"/>
      <c r="G29436" s="8"/>
      <c r="J29436" s="8"/>
    </row>
    <row r="29437">
      <c r="C29437" s="15"/>
      <c r="E29437" s="8"/>
      <c r="G29437" s="8"/>
      <c r="J29437" s="8"/>
    </row>
    <row r="29438">
      <c r="C29438" s="15"/>
      <c r="E29438" s="8"/>
      <c r="G29438" s="8"/>
      <c r="J29438" s="8"/>
    </row>
    <row r="29439">
      <c r="C29439" s="15"/>
      <c r="E29439" s="8"/>
      <c r="G29439" s="8"/>
      <c r="J29439" s="8"/>
    </row>
    <row r="29440">
      <c r="C29440" s="15"/>
      <c r="E29440" s="8"/>
      <c r="G29440" s="8"/>
      <c r="J29440" s="8"/>
    </row>
    <row r="29441">
      <c r="C29441" s="15"/>
      <c r="E29441" s="8"/>
      <c r="G29441" s="8"/>
      <c r="J29441" s="8"/>
    </row>
    <row r="29442">
      <c r="C29442" s="15"/>
      <c r="E29442" s="8"/>
      <c r="G29442" s="8"/>
      <c r="J29442" s="8"/>
    </row>
    <row r="29443">
      <c r="C29443" s="15"/>
      <c r="E29443" s="8"/>
      <c r="G29443" s="8"/>
      <c r="J29443" s="8"/>
    </row>
    <row r="29444">
      <c r="C29444" s="15"/>
      <c r="E29444" s="8"/>
      <c r="G29444" s="8"/>
      <c r="J29444" s="8"/>
    </row>
    <row r="29445">
      <c r="C29445" s="15"/>
      <c r="E29445" s="8"/>
      <c r="G29445" s="8"/>
      <c r="J29445" s="8"/>
    </row>
    <row r="29446">
      <c r="C29446" s="15"/>
      <c r="E29446" s="8"/>
      <c r="G29446" s="8"/>
      <c r="J29446" s="8"/>
    </row>
    <row r="29447">
      <c r="C29447" s="15"/>
      <c r="E29447" s="8"/>
      <c r="G29447" s="8"/>
      <c r="J29447" s="8"/>
    </row>
    <row r="29448">
      <c r="C29448" s="15"/>
      <c r="E29448" s="8"/>
      <c r="G29448" s="8"/>
      <c r="J29448" s="8"/>
    </row>
    <row r="29449">
      <c r="C29449" s="15"/>
      <c r="E29449" s="8"/>
      <c r="G29449" s="8"/>
      <c r="J29449" s="8"/>
    </row>
    <row r="29450">
      <c r="C29450" s="15"/>
      <c r="E29450" s="8"/>
      <c r="G29450" s="8"/>
      <c r="J29450" s="8"/>
    </row>
    <row r="29451">
      <c r="C29451" s="15"/>
      <c r="E29451" s="8"/>
      <c r="G29451" s="8"/>
      <c r="J29451" s="8"/>
    </row>
    <row r="29452">
      <c r="C29452" s="15"/>
      <c r="E29452" s="8"/>
      <c r="G29452" s="8"/>
      <c r="J29452" s="8"/>
    </row>
    <row r="29453">
      <c r="C29453" s="15"/>
      <c r="E29453" s="8"/>
      <c r="G29453" s="8"/>
      <c r="J29453" s="8"/>
    </row>
    <row r="29454">
      <c r="C29454" s="15"/>
      <c r="E29454" s="8"/>
      <c r="G29454" s="8"/>
      <c r="J29454" s="8"/>
    </row>
    <row r="29455">
      <c r="C29455" s="15"/>
      <c r="E29455" s="8"/>
      <c r="G29455" s="8"/>
      <c r="J29455" s="8"/>
    </row>
    <row r="29456">
      <c r="C29456" s="15"/>
      <c r="E29456" s="8"/>
      <c r="G29456" s="8"/>
      <c r="J29456" s="8"/>
    </row>
    <row r="29457">
      <c r="C29457" s="15"/>
      <c r="E29457" s="8"/>
      <c r="G29457" s="8"/>
      <c r="J29457" s="8"/>
    </row>
    <row r="29458">
      <c r="C29458" s="15"/>
      <c r="E29458" s="8"/>
      <c r="G29458" s="8"/>
      <c r="J29458" s="8"/>
    </row>
    <row r="29459">
      <c r="C29459" s="15"/>
      <c r="E29459" s="8"/>
      <c r="G29459" s="8"/>
      <c r="J29459" s="8"/>
    </row>
    <row r="29460">
      <c r="C29460" s="15"/>
      <c r="E29460" s="8"/>
      <c r="G29460" s="8"/>
      <c r="J29460" s="8"/>
    </row>
    <row r="29461">
      <c r="C29461" s="15"/>
      <c r="E29461" s="8"/>
      <c r="G29461" s="8"/>
      <c r="J29461" s="8"/>
    </row>
    <row r="29462">
      <c r="C29462" s="15"/>
      <c r="E29462" s="8"/>
      <c r="G29462" s="8"/>
      <c r="J29462" s="8"/>
    </row>
    <row r="29463">
      <c r="C29463" s="15"/>
      <c r="E29463" s="8"/>
      <c r="G29463" s="8"/>
      <c r="J29463" s="8"/>
    </row>
    <row r="29464">
      <c r="C29464" s="15"/>
      <c r="E29464" s="8"/>
      <c r="G29464" s="8"/>
      <c r="J29464" s="8"/>
    </row>
    <row r="29465">
      <c r="C29465" s="15"/>
      <c r="E29465" s="8"/>
      <c r="G29465" s="8"/>
      <c r="J29465" s="8"/>
    </row>
    <row r="29466">
      <c r="C29466" s="15"/>
      <c r="E29466" s="8"/>
      <c r="G29466" s="8"/>
      <c r="J29466" s="8"/>
    </row>
    <row r="29467">
      <c r="C29467" s="15"/>
      <c r="E29467" s="8"/>
      <c r="G29467" s="8"/>
      <c r="J29467" s="8"/>
    </row>
    <row r="29468">
      <c r="C29468" s="15"/>
      <c r="E29468" s="8"/>
      <c r="G29468" s="8"/>
      <c r="J29468" s="8"/>
    </row>
    <row r="29469">
      <c r="C29469" s="15"/>
      <c r="E29469" s="8"/>
      <c r="G29469" s="8"/>
      <c r="J29469" s="8"/>
    </row>
    <row r="29470">
      <c r="C29470" s="15"/>
      <c r="E29470" s="8"/>
      <c r="G29470" s="8"/>
      <c r="J29470" s="8"/>
    </row>
    <row r="29471">
      <c r="C29471" s="15"/>
      <c r="E29471" s="8"/>
      <c r="G29471" s="8"/>
      <c r="J29471" s="8"/>
    </row>
    <row r="29472">
      <c r="C29472" s="15"/>
      <c r="E29472" s="8"/>
      <c r="G29472" s="8"/>
      <c r="J29472" s="8"/>
    </row>
    <row r="29473">
      <c r="C29473" s="15"/>
      <c r="E29473" s="8"/>
      <c r="G29473" s="8"/>
      <c r="J29473" s="8"/>
    </row>
    <row r="29474">
      <c r="C29474" s="15"/>
      <c r="E29474" s="8"/>
      <c r="G29474" s="8"/>
      <c r="J29474" s="8"/>
    </row>
    <row r="29475">
      <c r="C29475" s="15"/>
      <c r="E29475" s="8"/>
      <c r="G29475" s="8"/>
      <c r="J29475" s="8"/>
    </row>
    <row r="29476">
      <c r="C29476" s="15"/>
      <c r="E29476" s="8"/>
      <c r="G29476" s="8"/>
      <c r="J29476" s="8"/>
    </row>
    <row r="29477">
      <c r="C29477" s="15"/>
      <c r="E29477" s="8"/>
      <c r="G29477" s="8"/>
      <c r="J29477" s="8"/>
    </row>
    <row r="29478">
      <c r="C29478" s="15"/>
      <c r="E29478" s="8"/>
      <c r="G29478" s="8"/>
      <c r="J29478" s="8"/>
    </row>
    <row r="29479">
      <c r="C29479" s="15"/>
      <c r="E29479" s="8"/>
      <c r="G29479" s="8"/>
      <c r="J29479" s="8"/>
    </row>
    <row r="29480">
      <c r="C29480" s="15"/>
      <c r="E29480" s="8"/>
      <c r="G29480" s="8"/>
      <c r="J29480" s="8"/>
    </row>
    <row r="29481">
      <c r="C29481" s="15"/>
      <c r="E29481" s="8"/>
      <c r="G29481" s="8"/>
      <c r="J29481" s="8"/>
    </row>
    <row r="29482">
      <c r="C29482" s="15"/>
      <c r="E29482" s="8"/>
      <c r="G29482" s="8"/>
      <c r="J29482" s="8"/>
    </row>
    <row r="29483">
      <c r="C29483" s="15"/>
      <c r="E29483" s="8"/>
      <c r="G29483" s="8"/>
      <c r="J29483" s="8"/>
    </row>
    <row r="29484">
      <c r="C29484" s="15"/>
      <c r="E29484" s="8"/>
      <c r="G29484" s="8"/>
      <c r="J29484" s="8"/>
    </row>
    <row r="29485">
      <c r="C29485" s="15"/>
      <c r="E29485" s="8"/>
      <c r="G29485" s="8"/>
      <c r="J29485" s="8"/>
    </row>
    <row r="29486">
      <c r="C29486" s="15"/>
      <c r="E29486" s="8"/>
      <c r="G29486" s="8"/>
      <c r="J29486" s="8"/>
    </row>
    <row r="29487">
      <c r="C29487" s="15"/>
      <c r="E29487" s="8"/>
      <c r="G29487" s="8"/>
      <c r="J29487" s="8"/>
    </row>
    <row r="29488">
      <c r="C29488" s="15"/>
      <c r="E29488" s="8"/>
      <c r="G29488" s="8"/>
      <c r="J29488" s="8"/>
    </row>
    <row r="29489">
      <c r="C29489" s="15"/>
      <c r="E29489" s="8"/>
      <c r="G29489" s="8"/>
      <c r="J29489" s="8"/>
    </row>
    <row r="29490">
      <c r="C29490" s="15"/>
      <c r="E29490" s="8"/>
      <c r="G29490" s="8"/>
      <c r="J29490" s="8"/>
    </row>
    <row r="29491">
      <c r="C29491" s="15"/>
      <c r="E29491" s="8"/>
      <c r="G29491" s="8"/>
      <c r="J29491" s="8"/>
    </row>
    <row r="29492">
      <c r="C29492" s="15"/>
      <c r="E29492" s="8"/>
      <c r="G29492" s="8"/>
      <c r="J29492" s="8"/>
    </row>
    <row r="29493">
      <c r="C29493" s="15"/>
      <c r="E29493" s="8"/>
      <c r="G29493" s="8"/>
      <c r="J29493" s="8"/>
    </row>
    <row r="29494">
      <c r="C29494" s="15"/>
      <c r="E29494" s="8"/>
      <c r="G29494" s="8"/>
      <c r="J29494" s="8"/>
    </row>
    <row r="29495">
      <c r="C29495" s="15"/>
      <c r="E29495" s="8"/>
      <c r="G29495" s="8"/>
      <c r="J29495" s="8"/>
    </row>
    <row r="29496">
      <c r="C29496" s="15"/>
      <c r="E29496" s="8"/>
      <c r="G29496" s="8"/>
      <c r="J29496" s="8"/>
    </row>
    <row r="29497">
      <c r="C29497" s="15"/>
      <c r="E29497" s="8"/>
      <c r="G29497" s="8"/>
      <c r="J29497" s="8"/>
    </row>
    <row r="29498">
      <c r="C29498" s="15"/>
      <c r="E29498" s="8"/>
      <c r="G29498" s="8"/>
      <c r="J29498" s="8"/>
    </row>
    <row r="29499">
      <c r="C29499" s="15"/>
      <c r="E29499" s="8"/>
      <c r="G29499" s="8"/>
      <c r="J29499" s="8"/>
    </row>
    <row r="29500">
      <c r="C29500" s="15"/>
      <c r="E29500" s="8"/>
      <c r="G29500" s="8"/>
      <c r="J29500" s="8"/>
    </row>
    <row r="29501">
      <c r="C29501" s="15"/>
      <c r="E29501" s="8"/>
      <c r="G29501" s="8"/>
      <c r="J29501" s="8"/>
    </row>
    <row r="29502">
      <c r="C29502" s="15"/>
      <c r="E29502" s="8"/>
      <c r="G29502" s="8"/>
      <c r="J29502" s="8"/>
    </row>
    <row r="29503">
      <c r="C29503" s="15"/>
      <c r="E29503" s="8"/>
      <c r="G29503" s="8"/>
      <c r="J29503" s="8"/>
    </row>
    <row r="29504">
      <c r="C29504" s="15"/>
      <c r="E29504" s="8"/>
      <c r="G29504" s="8"/>
      <c r="J29504" s="8"/>
    </row>
    <row r="29505">
      <c r="C29505" s="15"/>
      <c r="E29505" s="8"/>
      <c r="G29505" s="8"/>
      <c r="J29505" s="8"/>
    </row>
    <row r="29506">
      <c r="C29506" s="15"/>
      <c r="E29506" s="8"/>
      <c r="G29506" s="8"/>
      <c r="J29506" s="8"/>
    </row>
    <row r="29507">
      <c r="C29507" s="15"/>
      <c r="E29507" s="8"/>
      <c r="G29507" s="8"/>
      <c r="J29507" s="8"/>
    </row>
    <row r="29508">
      <c r="C29508" s="15"/>
      <c r="E29508" s="8"/>
      <c r="G29508" s="8"/>
      <c r="J29508" s="8"/>
    </row>
    <row r="29509">
      <c r="C29509" s="15"/>
      <c r="E29509" s="8"/>
      <c r="G29509" s="8"/>
      <c r="J29509" s="8"/>
    </row>
    <row r="29510">
      <c r="C29510" s="15"/>
      <c r="E29510" s="8"/>
      <c r="G29510" s="8"/>
      <c r="J29510" s="8"/>
    </row>
    <row r="29511">
      <c r="C29511" s="15"/>
      <c r="E29511" s="8"/>
      <c r="G29511" s="8"/>
      <c r="J29511" s="8"/>
    </row>
    <row r="29512">
      <c r="C29512" s="15"/>
      <c r="E29512" s="8"/>
      <c r="G29512" s="8"/>
      <c r="J29512" s="8"/>
    </row>
    <row r="29513">
      <c r="C29513" s="15"/>
      <c r="E29513" s="8"/>
      <c r="G29513" s="8"/>
      <c r="J29513" s="8"/>
    </row>
    <row r="29514">
      <c r="C29514" s="15"/>
      <c r="E29514" s="8"/>
      <c r="G29514" s="8"/>
      <c r="J29514" s="8"/>
    </row>
    <row r="29515">
      <c r="C29515" s="15"/>
      <c r="E29515" s="8"/>
      <c r="G29515" s="8"/>
      <c r="J29515" s="8"/>
    </row>
    <row r="29516">
      <c r="C29516" s="15"/>
      <c r="E29516" s="8"/>
      <c r="G29516" s="8"/>
      <c r="J29516" s="8"/>
    </row>
    <row r="29517">
      <c r="C29517" s="15"/>
      <c r="E29517" s="8"/>
      <c r="G29517" s="8"/>
      <c r="J29517" s="8"/>
    </row>
    <row r="29518">
      <c r="C29518" s="15"/>
      <c r="E29518" s="8"/>
      <c r="G29518" s="8"/>
      <c r="J29518" s="8"/>
    </row>
    <row r="29519">
      <c r="C29519" s="15"/>
      <c r="E29519" s="8"/>
      <c r="G29519" s="8"/>
      <c r="J29519" s="8"/>
    </row>
    <row r="29520">
      <c r="C29520" s="15"/>
      <c r="E29520" s="8"/>
      <c r="G29520" s="8"/>
      <c r="J29520" s="8"/>
    </row>
    <row r="29521">
      <c r="C29521" s="15"/>
      <c r="E29521" s="8"/>
      <c r="G29521" s="8"/>
      <c r="J29521" s="8"/>
    </row>
    <row r="29522">
      <c r="C29522" s="15"/>
      <c r="E29522" s="8"/>
      <c r="G29522" s="8"/>
      <c r="J29522" s="8"/>
    </row>
    <row r="29523">
      <c r="C29523" s="15"/>
      <c r="E29523" s="8"/>
      <c r="G29523" s="8"/>
      <c r="J29523" s="8"/>
    </row>
    <row r="29524">
      <c r="C29524" s="15"/>
      <c r="E29524" s="8"/>
      <c r="G29524" s="8"/>
      <c r="J29524" s="8"/>
    </row>
    <row r="29525">
      <c r="C29525" s="15"/>
      <c r="E29525" s="8"/>
      <c r="G29525" s="8"/>
      <c r="J29525" s="8"/>
    </row>
    <row r="29526">
      <c r="C29526" s="15"/>
      <c r="E29526" s="8"/>
      <c r="G29526" s="8"/>
      <c r="J29526" s="8"/>
    </row>
    <row r="29527">
      <c r="C29527" s="15"/>
      <c r="E29527" s="8"/>
      <c r="G29527" s="8"/>
      <c r="J29527" s="8"/>
    </row>
    <row r="29528">
      <c r="C29528" s="15"/>
      <c r="E29528" s="8"/>
      <c r="G29528" s="8"/>
      <c r="J29528" s="8"/>
    </row>
    <row r="29529">
      <c r="C29529" s="15"/>
      <c r="E29529" s="8"/>
      <c r="G29529" s="8"/>
      <c r="J29529" s="8"/>
    </row>
    <row r="29530">
      <c r="C29530" s="15"/>
      <c r="E29530" s="8"/>
      <c r="G29530" s="8"/>
      <c r="J29530" s="8"/>
    </row>
    <row r="29531">
      <c r="C29531" s="15"/>
      <c r="E29531" s="8"/>
      <c r="G29531" s="8"/>
      <c r="J29531" s="8"/>
    </row>
    <row r="29532">
      <c r="C29532" s="15"/>
      <c r="E29532" s="8"/>
      <c r="G29532" s="8"/>
      <c r="J29532" s="8"/>
    </row>
    <row r="29533">
      <c r="C29533" s="15"/>
      <c r="E29533" s="8"/>
      <c r="G29533" s="8"/>
      <c r="J29533" s="8"/>
    </row>
    <row r="29534">
      <c r="C29534" s="15"/>
      <c r="E29534" s="8"/>
      <c r="G29534" s="8"/>
      <c r="J29534" s="8"/>
    </row>
    <row r="29535">
      <c r="C29535" s="15"/>
      <c r="E29535" s="8"/>
      <c r="G29535" s="8"/>
      <c r="J29535" s="8"/>
    </row>
    <row r="29536">
      <c r="C29536" s="15"/>
      <c r="E29536" s="8"/>
      <c r="G29536" s="8"/>
      <c r="J29536" s="8"/>
    </row>
    <row r="29537">
      <c r="C29537" s="15"/>
      <c r="E29537" s="8"/>
      <c r="G29537" s="8"/>
      <c r="J29537" s="8"/>
    </row>
    <row r="29538">
      <c r="C29538" s="15"/>
      <c r="E29538" s="8"/>
      <c r="G29538" s="8"/>
      <c r="J29538" s="8"/>
    </row>
    <row r="29539">
      <c r="C29539" s="15"/>
      <c r="E29539" s="8"/>
      <c r="G29539" s="8"/>
      <c r="J29539" s="8"/>
    </row>
    <row r="29540">
      <c r="C29540" s="15"/>
      <c r="E29540" s="8"/>
      <c r="G29540" s="8"/>
      <c r="J29540" s="8"/>
    </row>
    <row r="29541">
      <c r="C29541" s="15"/>
      <c r="E29541" s="8"/>
      <c r="G29541" s="8"/>
      <c r="J29541" s="8"/>
    </row>
    <row r="29542">
      <c r="C29542" s="15"/>
      <c r="E29542" s="8"/>
      <c r="G29542" s="8"/>
      <c r="J29542" s="8"/>
    </row>
    <row r="29543">
      <c r="C29543" s="15"/>
      <c r="E29543" s="8"/>
      <c r="G29543" s="8"/>
      <c r="J29543" s="8"/>
    </row>
    <row r="29544">
      <c r="C29544" s="15"/>
      <c r="E29544" s="8"/>
      <c r="G29544" s="8"/>
      <c r="J29544" s="8"/>
    </row>
    <row r="29545">
      <c r="C29545" s="15"/>
      <c r="E29545" s="8"/>
      <c r="G29545" s="8"/>
      <c r="J29545" s="8"/>
    </row>
    <row r="29546">
      <c r="C29546" s="15"/>
      <c r="E29546" s="8"/>
      <c r="G29546" s="8"/>
      <c r="J29546" s="8"/>
    </row>
    <row r="29547">
      <c r="C29547" s="15"/>
      <c r="E29547" s="8"/>
      <c r="G29547" s="8"/>
      <c r="J29547" s="8"/>
    </row>
    <row r="29548">
      <c r="C29548" s="15"/>
      <c r="E29548" s="8"/>
      <c r="G29548" s="8"/>
      <c r="J29548" s="8"/>
    </row>
    <row r="29549">
      <c r="C29549" s="15"/>
      <c r="E29549" s="8"/>
      <c r="G29549" s="8"/>
      <c r="J29549" s="8"/>
    </row>
    <row r="29550">
      <c r="C29550" s="15"/>
      <c r="E29550" s="8"/>
      <c r="G29550" s="8"/>
      <c r="J29550" s="8"/>
    </row>
    <row r="29551">
      <c r="C29551" s="15"/>
      <c r="E29551" s="8"/>
      <c r="G29551" s="8"/>
      <c r="J29551" s="8"/>
    </row>
    <row r="29552">
      <c r="C29552" s="15"/>
      <c r="E29552" s="8"/>
      <c r="G29552" s="8"/>
      <c r="J29552" s="8"/>
    </row>
    <row r="29553">
      <c r="C29553" s="15"/>
      <c r="E29553" s="8"/>
      <c r="G29553" s="8"/>
      <c r="J29553" s="8"/>
    </row>
    <row r="29554">
      <c r="C29554" s="15"/>
      <c r="E29554" s="8"/>
      <c r="G29554" s="8"/>
      <c r="J29554" s="8"/>
    </row>
    <row r="29555">
      <c r="C29555" s="15"/>
      <c r="E29555" s="8"/>
      <c r="G29555" s="8"/>
      <c r="J29555" s="8"/>
    </row>
    <row r="29556">
      <c r="C29556" s="15"/>
      <c r="E29556" s="8"/>
      <c r="G29556" s="8"/>
      <c r="J29556" s="8"/>
    </row>
    <row r="29557">
      <c r="C29557" s="15"/>
      <c r="E29557" s="8"/>
      <c r="G29557" s="8"/>
      <c r="J29557" s="8"/>
    </row>
    <row r="29558">
      <c r="C29558" s="15"/>
      <c r="E29558" s="8"/>
      <c r="G29558" s="8"/>
      <c r="J29558" s="8"/>
    </row>
    <row r="29559">
      <c r="C29559" s="15"/>
      <c r="E29559" s="8"/>
      <c r="G29559" s="8"/>
      <c r="J29559" s="8"/>
    </row>
    <row r="29560">
      <c r="C29560" s="15"/>
      <c r="E29560" s="8"/>
      <c r="G29560" s="8"/>
      <c r="J29560" s="8"/>
    </row>
    <row r="29561">
      <c r="C29561" s="15"/>
      <c r="E29561" s="8"/>
      <c r="G29561" s="8"/>
      <c r="J29561" s="8"/>
    </row>
    <row r="29562">
      <c r="C29562" s="15"/>
      <c r="E29562" s="8"/>
      <c r="G29562" s="8"/>
      <c r="J29562" s="8"/>
    </row>
    <row r="29563">
      <c r="C29563" s="15"/>
      <c r="E29563" s="8"/>
      <c r="G29563" s="8"/>
      <c r="J29563" s="8"/>
    </row>
    <row r="29564">
      <c r="C29564" s="15"/>
      <c r="E29564" s="8"/>
      <c r="G29564" s="8"/>
      <c r="J29564" s="8"/>
    </row>
    <row r="29565">
      <c r="C29565" s="15"/>
      <c r="E29565" s="8"/>
      <c r="G29565" s="8"/>
      <c r="J29565" s="8"/>
    </row>
    <row r="29566">
      <c r="C29566" s="15"/>
      <c r="E29566" s="8"/>
      <c r="G29566" s="8"/>
      <c r="J29566" s="8"/>
    </row>
    <row r="29567">
      <c r="C29567" s="15"/>
      <c r="E29567" s="8"/>
      <c r="G29567" s="8"/>
      <c r="J29567" s="8"/>
    </row>
    <row r="29568">
      <c r="C29568" s="15"/>
      <c r="E29568" s="8"/>
      <c r="G29568" s="8"/>
      <c r="J29568" s="8"/>
    </row>
    <row r="29569">
      <c r="C29569" s="15"/>
      <c r="E29569" s="8"/>
      <c r="G29569" s="8"/>
      <c r="J29569" s="8"/>
    </row>
    <row r="29570">
      <c r="C29570" s="15"/>
      <c r="E29570" s="8"/>
      <c r="G29570" s="8"/>
      <c r="J29570" s="8"/>
    </row>
    <row r="29571">
      <c r="C29571" s="15"/>
      <c r="E29571" s="8"/>
      <c r="G29571" s="8"/>
      <c r="J29571" s="8"/>
    </row>
    <row r="29572">
      <c r="C29572" s="15"/>
      <c r="E29572" s="8"/>
      <c r="G29572" s="8"/>
      <c r="J29572" s="8"/>
    </row>
    <row r="29573">
      <c r="C29573" s="15"/>
      <c r="E29573" s="8"/>
      <c r="G29573" s="8"/>
      <c r="J29573" s="8"/>
    </row>
    <row r="29574">
      <c r="C29574" s="15"/>
      <c r="E29574" s="8"/>
      <c r="G29574" s="8"/>
      <c r="J29574" s="8"/>
    </row>
    <row r="29575">
      <c r="C29575" s="15"/>
      <c r="E29575" s="8"/>
      <c r="G29575" s="8"/>
      <c r="J29575" s="8"/>
    </row>
    <row r="29576">
      <c r="C29576" s="15"/>
      <c r="E29576" s="8"/>
      <c r="G29576" s="8"/>
      <c r="J29576" s="8"/>
    </row>
    <row r="29577">
      <c r="C29577" s="15"/>
      <c r="E29577" s="8"/>
      <c r="G29577" s="8"/>
      <c r="J29577" s="8"/>
    </row>
    <row r="29578">
      <c r="C29578" s="15"/>
      <c r="E29578" s="8"/>
      <c r="G29578" s="8"/>
      <c r="J29578" s="8"/>
    </row>
    <row r="29579">
      <c r="C29579" s="15"/>
      <c r="E29579" s="8"/>
      <c r="G29579" s="8"/>
      <c r="J29579" s="8"/>
    </row>
    <row r="29580">
      <c r="C29580" s="15"/>
      <c r="E29580" s="8"/>
      <c r="G29580" s="8"/>
      <c r="J29580" s="8"/>
    </row>
    <row r="29581">
      <c r="C29581" s="15"/>
      <c r="E29581" s="8"/>
      <c r="G29581" s="8"/>
      <c r="J29581" s="8"/>
    </row>
    <row r="29582">
      <c r="C29582" s="15"/>
      <c r="E29582" s="8"/>
      <c r="G29582" s="8"/>
      <c r="J29582" s="8"/>
    </row>
    <row r="29583">
      <c r="C29583" s="15"/>
      <c r="E29583" s="8"/>
      <c r="G29583" s="8"/>
      <c r="J29583" s="8"/>
    </row>
    <row r="29584">
      <c r="C29584" s="15"/>
      <c r="E29584" s="8"/>
      <c r="G29584" s="8"/>
      <c r="J29584" s="8"/>
    </row>
    <row r="29585">
      <c r="C29585" s="15"/>
      <c r="E29585" s="8"/>
      <c r="G29585" s="8"/>
      <c r="J29585" s="8"/>
    </row>
    <row r="29586">
      <c r="C29586" s="15"/>
      <c r="E29586" s="8"/>
      <c r="G29586" s="8"/>
      <c r="J29586" s="8"/>
    </row>
    <row r="29587">
      <c r="C29587" s="15"/>
      <c r="E29587" s="8"/>
      <c r="G29587" s="8"/>
      <c r="J29587" s="8"/>
    </row>
    <row r="29588">
      <c r="C29588" s="15"/>
      <c r="E29588" s="8"/>
      <c r="G29588" s="8"/>
      <c r="J29588" s="8"/>
    </row>
    <row r="29589">
      <c r="C29589" s="15"/>
      <c r="E29589" s="8"/>
      <c r="G29589" s="8"/>
      <c r="J29589" s="8"/>
    </row>
    <row r="29590">
      <c r="C29590" s="15"/>
      <c r="E29590" s="8"/>
      <c r="G29590" s="8"/>
      <c r="J29590" s="8"/>
    </row>
    <row r="29591">
      <c r="C29591" s="15"/>
      <c r="E29591" s="8"/>
      <c r="G29591" s="8"/>
      <c r="J29591" s="8"/>
    </row>
    <row r="29592">
      <c r="C29592" s="15"/>
      <c r="E29592" s="8"/>
      <c r="G29592" s="8"/>
      <c r="J29592" s="8"/>
    </row>
    <row r="29593">
      <c r="C29593" s="15"/>
      <c r="E29593" s="8"/>
      <c r="G29593" s="8"/>
      <c r="J29593" s="8"/>
    </row>
    <row r="29594">
      <c r="C29594" s="15"/>
      <c r="E29594" s="8"/>
      <c r="G29594" s="8"/>
      <c r="J29594" s="8"/>
    </row>
    <row r="29595">
      <c r="C29595" s="15"/>
      <c r="E29595" s="8"/>
      <c r="G29595" s="8"/>
      <c r="J29595" s="8"/>
    </row>
    <row r="29596">
      <c r="C29596" s="15"/>
      <c r="E29596" s="8"/>
      <c r="G29596" s="8"/>
      <c r="J29596" s="8"/>
    </row>
    <row r="29597">
      <c r="C29597" s="15"/>
      <c r="E29597" s="8"/>
      <c r="G29597" s="8"/>
      <c r="J29597" s="8"/>
    </row>
    <row r="29598">
      <c r="C29598" s="15"/>
      <c r="E29598" s="8"/>
      <c r="G29598" s="8"/>
      <c r="J29598" s="8"/>
    </row>
    <row r="29599">
      <c r="C29599" s="15"/>
      <c r="E29599" s="8"/>
      <c r="G29599" s="8"/>
      <c r="J29599" s="8"/>
    </row>
    <row r="29600">
      <c r="C29600" s="15"/>
      <c r="E29600" s="8"/>
      <c r="G29600" s="8"/>
      <c r="J29600" s="8"/>
    </row>
    <row r="29601">
      <c r="C29601" s="15"/>
      <c r="E29601" s="8"/>
      <c r="G29601" s="8"/>
      <c r="J29601" s="8"/>
    </row>
    <row r="29602">
      <c r="C29602" s="15"/>
      <c r="E29602" s="8"/>
      <c r="G29602" s="8"/>
      <c r="J29602" s="8"/>
    </row>
    <row r="29603">
      <c r="C29603" s="15"/>
      <c r="E29603" s="8"/>
      <c r="G29603" s="8"/>
      <c r="J29603" s="8"/>
    </row>
    <row r="29604">
      <c r="C29604" s="15"/>
      <c r="E29604" s="8"/>
      <c r="G29604" s="8"/>
      <c r="J29604" s="8"/>
    </row>
    <row r="29605">
      <c r="C29605" s="15"/>
      <c r="E29605" s="8"/>
      <c r="G29605" s="8"/>
      <c r="J29605" s="8"/>
    </row>
    <row r="29606">
      <c r="C29606" s="15"/>
      <c r="E29606" s="8"/>
      <c r="G29606" s="8"/>
      <c r="J29606" s="8"/>
    </row>
    <row r="29607">
      <c r="C29607" s="15"/>
      <c r="E29607" s="8"/>
      <c r="G29607" s="8"/>
      <c r="J29607" s="8"/>
    </row>
    <row r="29608">
      <c r="C29608" s="15"/>
      <c r="E29608" s="8"/>
      <c r="G29608" s="8"/>
      <c r="J29608" s="8"/>
    </row>
    <row r="29609">
      <c r="C29609" s="15"/>
      <c r="E29609" s="8"/>
      <c r="G29609" s="8"/>
      <c r="J29609" s="8"/>
    </row>
    <row r="29610">
      <c r="C29610" s="15"/>
      <c r="E29610" s="8"/>
      <c r="G29610" s="8"/>
      <c r="J29610" s="8"/>
    </row>
    <row r="29611">
      <c r="C29611" s="15"/>
      <c r="E29611" s="8"/>
      <c r="G29611" s="8"/>
      <c r="J29611" s="8"/>
    </row>
    <row r="29612">
      <c r="C29612" s="15"/>
      <c r="E29612" s="8"/>
      <c r="G29612" s="8"/>
      <c r="J29612" s="8"/>
    </row>
    <row r="29613">
      <c r="C29613" s="15"/>
      <c r="E29613" s="8"/>
      <c r="G29613" s="8"/>
      <c r="J29613" s="8"/>
    </row>
    <row r="29614">
      <c r="C29614" s="15"/>
      <c r="E29614" s="8"/>
      <c r="G29614" s="8"/>
      <c r="J29614" s="8"/>
    </row>
    <row r="29615">
      <c r="C29615" s="15"/>
      <c r="E29615" s="8"/>
      <c r="G29615" s="8"/>
      <c r="J29615" s="8"/>
    </row>
    <row r="29616">
      <c r="C29616" s="15"/>
      <c r="E29616" s="8"/>
      <c r="G29616" s="8"/>
      <c r="J29616" s="8"/>
    </row>
    <row r="29617">
      <c r="C29617" s="15"/>
      <c r="E29617" s="8"/>
      <c r="G29617" s="8"/>
      <c r="J29617" s="8"/>
    </row>
    <row r="29618">
      <c r="C29618" s="15"/>
      <c r="E29618" s="8"/>
      <c r="G29618" s="8"/>
      <c r="J29618" s="8"/>
    </row>
    <row r="29619">
      <c r="C29619" s="15"/>
      <c r="E29619" s="8"/>
      <c r="G29619" s="8"/>
      <c r="J29619" s="8"/>
    </row>
    <row r="29620">
      <c r="C29620" s="15"/>
      <c r="E29620" s="8"/>
      <c r="G29620" s="8"/>
      <c r="J29620" s="8"/>
    </row>
    <row r="29621">
      <c r="C29621" s="15"/>
      <c r="E29621" s="8"/>
      <c r="G29621" s="8"/>
      <c r="J29621" s="8"/>
    </row>
    <row r="29622">
      <c r="C29622" s="15"/>
      <c r="E29622" s="8"/>
      <c r="G29622" s="8"/>
      <c r="J29622" s="8"/>
    </row>
    <row r="29623">
      <c r="C29623" s="15"/>
      <c r="E29623" s="8"/>
      <c r="G29623" s="8"/>
      <c r="J29623" s="8"/>
    </row>
    <row r="29624">
      <c r="C29624" s="15"/>
      <c r="E29624" s="8"/>
      <c r="G29624" s="8"/>
      <c r="J29624" s="8"/>
    </row>
    <row r="29625">
      <c r="C29625" s="15"/>
      <c r="E29625" s="8"/>
      <c r="G29625" s="8"/>
      <c r="J29625" s="8"/>
    </row>
    <row r="29626">
      <c r="C29626" s="15"/>
      <c r="E29626" s="8"/>
      <c r="G29626" s="8"/>
      <c r="J29626" s="8"/>
    </row>
    <row r="29627">
      <c r="C29627" s="15"/>
      <c r="E29627" s="8"/>
      <c r="G29627" s="8"/>
      <c r="J29627" s="8"/>
    </row>
    <row r="29628">
      <c r="C29628" s="15"/>
      <c r="E29628" s="8"/>
      <c r="G29628" s="8"/>
      <c r="J29628" s="8"/>
    </row>
    <row r="29629">
      <c r="C29629" s="15"/>
      <c r="E29629" s="8"/>
      <c r="G29629" s="8"/>
      <c r="J29629" s="8"/>
    </row>
    <row r="29630">
      <c r="C29630" s="15"/>
      <c r="E29630" s="8"/>
      <c r="G29630" s="8"/>
      <c r="J29630" s="8"/>
    </row>
    <row r="29631">
      <c r="C29631" s="15"/>
      <c r="E29631" s="8"/>
      <c r="G29631" s="8"/>
      <c r="J29631" s="8"/>
    </row>
    <row r="29632">
      <c r="C29632" s="15"/>
      <c r="E29632" s="8"/>
      <c r="G29632" s="8"/>
      <c r="J29632" s="8"/>
    </row>
    <row r="29633">
      <c r="C29633" s="15"/>
      <c r="E29633" s="8"/>
      <c r="G29633" s="8"/>
      <c r="J29633" s="8"/>
    </row>
    <row r="29634">
      <c r="C29634" s="15"/>
      <c r="E29634" s="8"/>
      <c r="G29634" s="8"/>
      <c r="J29634" s="8"/>
    </row>
    <row r="29635">
      <c r="C29635" s="15"/>
      <c r="E29635" s="8"/>
      <c r="G29635" s="8"/>
      <c r="J29635" s="8"/>
    </row>
    <row r="29636">
      <c r="C29636" s="15"/>
      <c r="E29636" s="8"/>
      <c r="G29636" s="8"/>
      <c r="J29636" s="8"/>
    </row>
    <row r="29637">
      <c r="C29637" s="15"/>
      <c r="E29637" s="8"/>
      <c r="G29637" s="8"/>
      <c r="J29637" s="8"/>
    </row>
    <row r="29638">
      <c r="C29638" s="15"/>
      <c r="E29638" s="8"/>
      <c r="G29638" s="8"/>
      <c r="J29638" s="8"/>
    </row>
    <row r="29639">
      <c r="C29639" s="15"/>
      <c r="E29639" s="8"/>
      <c r="G29639" s="8"/>
      <c r="J29639" s="8"/>
    </row>
    <row r="29640">
      <c r="C29640" s="15"/>
      <c r="E29640" s="8"/>
      <c r="G29640" s="8"/>
      <c r="J29640" s="8"/>
    </row>
    <row r="29641">
      <c r="C29641" s="15"/>
      <c r="E29641" s="8"/>
      <c r="G29641" s="8"/>
      <c r="J29641" s="8"/>
    </row>
    <row r="29642">
      <c r="C29642" s="15"/>
      <c r="E29642" s="8"/>
      <c r="G29642" s="8"/>
      <c r="J29642" s="8"/>
    </row>
    <row r="29643">
      <c r="C29643" s="15"/>
      <c r="E29643" s="8"/>
      <c r="G29643" s="8"/>
      <c r="J29643" s="8"/>
    </row>
    <row r="29644">
      <c r="C29644" s="15"/>
      <c r="E29644" s="8"/>
      <c r="G29644" s="8"/>
      <c r="J29644" s="8"/>
    </row>
    <row r="29645">
      <c r="C29645" s="15"/>
      <c r="E29645" s="8"/>
      <c r="G29645" s="8"/>
      <c r="J29645" s="8"/>
    </row>
    <row r="29646">
      <c r="C29646" s="15"/>
      <c r="E29646" s="8"/>
      <c r="G29646" s="8"/>
      <c r="J29646" s="8"/>
    </row>
    <row r="29647">
      <c r="C29647" s="15"/>
      <c r="E29647" s="8"/>
      <c r="G29647" s="8"/>
      <c r="J29647" s="8"/>
    </row>
    <row r="29648">
      <c r="C29648" s="15"/>
      <c r="E29648" s="8"/>
      <c r="G29648" s="8"/>
      <c r="J29648" s="8"/>
    </row>
    <row r="29649">
      <c r="C29649" s="15"/>
      <c r="E29649" s="8"/>
      <c r="G29649" s="8"/>
      <c r="J29649" s="8"/>
    </row>
    <row r="29650">
      <c r="C29650" s="15"/>
      <c r="E29650" s="8"/>
      <c r="G29650" s="8"/>
      <c r="J29650" s="8"/>
    </row>
    <row r="29651">
      <c r="C29651" s="15"/>
      <c r="E29651" s="8"/>
      <c r="G29651" s="8"/>
      <c r="J29651" s="8"/>
    </row>
    <row r="29652">
      <c r="C29652" s="15"/>
      <c r="E29652" s="8"/>
      <c r="G29652" s="8"/>
      <c r="J29652" s="8"/>
    </row>
    <row r="29653">
      <c r="C29653" s="15"/>
      <c r="E29653" s="8"/>
      <c r="G29653" s="8"/>
      <c r="J29653" s="8"/>
    </row>
    <row r="29654">
      <c r="C29654" s="15"/>
      <c r="E29654" s="8"/>
      <c r="G29654" s="8"/>
      <c r="J29654" s="8"/>
    </row>
    <row r="29655">
      <c r="C29655" s="15"/>
      <c r="E29655" s="8"/>
      <c r="G29655" s="8"/>
      <c r="J29655" s="8"/>
    </row>
    <row r="29656">
      <c r="C29656" s="15"/>
      <c r="E29656" s="8"/>
      <c r="G29656" s="8"/>
      <c r="J29656" s="8"/>
    </row>
    <row r="29657">
      <c r="C29657" s="15"/>
      <c r="E29657" s="8"/>
      <c r="G29657" s="8"/>
      <c r="J29657" s="8"/>
    </row>
    <row r="29658">
      <c r="C29658" s="15"/>
      <c r="E29658" s="8"/>
      <c r="G29658" s="8"/>
      <c r="J29658" s="8"/>
    </row>
    <row r="29659">
      <c r="C29659" s="15"/>
      <c r="E29659" s="8"/>
      <c r="G29659" s="8"/>
      <c r="J29659" s="8"/>
    </row>
    <row r="29660">
      <c r="C29660" s="15"/>
      <c r="E29660" s="8"/>
      <c r="G29660" s="8"/>
      <c r="J29660" s="8"/>
    </row>
    <row r="29661">
      <c r="C29661" s="15"/>
      <c r="E29661" s="8"/>
      <c r="G29661" s="8"/>
      <c r="J29661" s="8"/>
    </row>
    <row r="29662">
      <c r="C29662" s="15"/>
      <c r="E29662" s="8"/>
      <c r="G29662" s="8"/>
      <c r="J29662" s="8"/>
    </row>
    <row r="29663">
      <c r="C29663" s="15"/>
      <c r="E29663" s="8"/>
      <c r="G29663" s="8"/>
      <c r="J29663" s="8"/>
    </row>
    <row r="29664">
      <c r="C29664" s="15"/>
      <c r="E29664" s="8"/>
      <c r="G29664" s="8"/>
      <c r="J29664" s="8"/>
    </row>
    <row r="29665">
      <c r="C29665" s="15"/>
      <c r="E29665" s="8"/>
      <c r="G29665" s="8"/>
      <c r="J29665" s="8"/>
    </row>
    <row r="29666">
      <c r="C29666" s="15"/>
      <c r="E29666" s="8"/>
      <c r="G29666" s="8"/>
      <c r="J29666" s="8"/>
    </row>
    <row r="29667">
      <c r="C29667" s="15"/>
      <c r="E29667" s="8"/>
      <c r="G29667" s="8"/>
      <c r="J29667" s="8"/>
    </row>
    <row r="29668">
      <c r="C29668" s="15"/>
      <c r="E29668" s="8"/>
      <c r="G29668" s="8"/>
      <c r="J29668" s="8"/>
    </row>
    <row r="29669">
      <c r="C29669" s="15"/>
      <c r="E29669" s="8"/>
      <c r="G29669" s="8"/>
      <c r="J29669" s="8"/>
    </row>
    <row r="29670">
      <c r="C29670" s="15"/>
      <c r="E29670" s="8"/>
      <c r="G29670" s="8"/>
      <c r="J29670" s="8"/>
    </row>
    <row r="29671">
      <c r="C29671" s="15"/>
      <c r="E29671" s="8"/>
      <c r="G29671" s="8"/>
      <c r="J29671" s="8"/>
    </row>
    <row r="29672">
      <c r="C29672" s="15"/>
      <c r="E29672" s="8"/>
      <c r="G29672" s="8"/>
      <c r="J29672" s="8"/>
    </row>
    <row r="29673">
      <c r="C29673" s="15"/>
      <c r="E29673" s="8"/>
      <c r="G29673" s="8"/>
      <c r="J29673" s="8"/>
    </row>
    <row r="29674">
      <c r="C29674" s="15"/>
      <c r="E29674" s="8"/>
      <c r="G29674" s="8"/>
      <c r="J29674" s="8"/>
    </row>
    <row r="29675">
      <c r="C29675" s="15"/>
      <c r="E29675" s="8"/>
      <c r="G29675" s="8"/>
      <c r="J29675" s="8"/>
    </row>
    <row r="29676">
      <c r="C29676" s="15"/>
      <c r="E29676" s="8"/>
      <c r="G29676" s="8"/>
      <c r="J29676" s="8"/>
    </row>
    <row r="29677">
      <c r="C29677" s="15"/>
      <c r="E29677" s="8"/>
      <c r="G29677" s="8"/>
      <c r="J29677" s="8"/>
    </row>
    <row r="29678">
      <c r="C29678" s="15"/>
      <c r="E29678" s="8"/>
      <c r="G29678" s="8"/>
      <c r="J29678" s="8"/>
    </row>
    <row r="29679">
      <c r="C29679" s="15"/>
      <c r="E29679" s="8"/>
      <c r="G29679" s="8"/>
      <c r="J29679" s="8"/>
    </row>
    <row r="29680">
      <c r="C29680" s="15"/>
      <c r="E29680" s="8"/>
      <c r="G29680" s="8"/>
      <c r="J29680" s="8"/>
    </row>
    <row r="29681">
      <c r="C29681" s="15"/>
      <c r="E29681" s="8"/>
      <c r="G29681" s="8"/>
      <c r="J29681" s="8"/>
    </row>
    <row r="29682">
      <c r="C29682" s="15"/>
      <c r="E29682" s="8"/>
      <c r="G29682" s="8"/>
      <c r="J29682" s="8"/>
    </row>
    <row r="29683">
      <c r="C29683" s="15"/>
      <c r="E29683" s="8"/>
      <c r="G29683" s="8"/>
      <c r="J29683" s="8"/>
    </row>
    <row r="29684">
      <c r="C29684" s="15"/>
      <c r="E29684" s="8"/>
      <c r="G29684" s="8"/>
      <c r="J29684" s="8"/>
    </row>
    <row r="29685">
      <c r="C29685" s="15"/>
      <c r="E29685" s="8"/>
      <c r="G29685" s="8"/>
      <c r="J29685" s="8"/>
    </row>
    <row r="29686">
      <c r="C29686" s="15"/>
      <c r="E29686" s="8"/>
      <c r="G29686" s="8"/>
      <c r="J29686" s="8"/>
    </row>
    <row r="29687">
      <c r="C29687" s="15"/>
      <c r="E29687" s="8"/>
      <c r="G29687" s="8"/>
      <c r="J29687" s="8"/>
    </row>
    <row r="29688">
      <c r="C29688" s="15"/>
      <c r="E29688" s="8"/>
      <c r="G29688" s="8"/>
      <c r="J29688" s="8"/>
    </row>
    <row r="29689">
      <c r="C29689" s="15"/>
      <c r="E29689" s="8"/>
      <c r="G29689" s="8"/>
      <c r="J29689" s="8"/>
    </row>
    <row r="29690">
      <c r="C29690" s="15"/>
      <c r="E29690" s="8"/>
      <c r="G29690" s="8"/>
      <c r="J29690" s="8"/>
    </row>
    <row r="29691">
      <c r="C29691" s="15"/>
      <c r="E29691" s="8"/>
      <c r="G29691" s="8"/>
      <c r="J29691" s="8"/>
    </row>
    <row r="29692">
      <c r="C29692" s="15"/>
      <c r="E29692" s="8"/>
      <c r="G29692" s="8"/>
      <c r="J29692" s="8"/>
    </row>
    <row r="29693">
      <c r="C29693" s="15"/>
      <c r="E29693" s="8"/>
      <c r="G29693" s="8"/>
      <c r="J29693" s="8"/>
    </row>
    <row r="29694">
      <c r="C29694" s="15"/>
      <c r="E29694" s="8"/>
      <c r="G29694" s="8"/>
      <c r="J29694" s="8"/>
    </row>
    <row r="29695">
      <c r="C29695" s="15"/>
      <c r="E29695" s="8"/>
      <c r="G29695" s="8"/>
      <c r="J29695" s="8"/>
    </row>
    <row r="29696">
      <c r="C29696" s="15"/>
      <c r="E29696" s="8"/>
      <c r="G29696" s="8"/>
      <c r="J29696" s="8"/>
    </row>
    <row r="29697">
      <c r="C29697" s="15"/>
      <c r="E29697" s="8"/>
      <c r="G29697" s="8"/>
      <c r="J29697" s="8"/>
    </row>
    <row r="29698">
      <c r="C29698" s="15"/>
      <c r="E29698" s="8"/>
      <c r="G29698" s="8"/>
      <c r="J29698" s="8"/>
    </row>
    <row r="29699">
      <c r="C29699" s="15"/>
      <c r="E29699" s="8"/>
      <c r="G29699" s="8"/>
      <c r="J29699" s="8"/>
    </row>
    <row r="29700">
      <c r="C29700" s="15"/>
      <c r="E29700" s="8"/>
      <c r="G29700" s="8"/>
      <c r="J29700" s="8"/>
    </row>
    <row r="29701">
      <c r="C29701" s="15"/>
      <c r="E29701" s="8"/>
      <c r="G29701" s="8"/>
      <c r="J29701" s="8"/>
    </row>
    <row r="29702">
      <c r="C29702" s="15"/>
      <c r="E29702" s="8"/>
      <c r="G29702" s="8"/>
      <c r="J29702" s="8"/>
    </row>
    <row r="29703">
      <c r="C29703" s="15"/>
      <c r="E29703" s="8"/>
      <c r="G29703" s="8"/>
      <c r="J29703" s="8"/>
    </row>
    <row r="29704">
      <c r="C29704" s="15"/>
      <c r="E29704" s="8"/>
      <c r="G29704" s="8"/>
      <c r="J29704" s="8"/>
    </row>
    <row r="29705">
      <c r="C29705" s="15"/>
      <c r="E29705" s="8"/>
      <c r="G29705" s="8"/>
      <c r="J29705" s="8"/>
    </row>
    <row r="29706">
      <c r="C29706" s="15"/>
      <c r="E29706" s="8"/>
      <c r="G29706" s="8"/>
      <c r="J29706" s="8"/>
    </row>
    <row r="29707">
      <c r="C29707" s="15"/>
      <c r="E29707" s="8"/>
      <c r="G29707" s="8"/>
      <c r="J29707" s="8"/>
    </row>
    <row r="29708">
      <c r="C29708" s="15"/>
      <c r="E29708" s="8"/>
      <c r="G29708" s="8"/>
      <c r="J29708" s="8"/>
    </row>
    <row r="29709">
      <c r="C29709" s="15"/>
      <c r="E29709" s="8"/>
      <c r="G29709" s="8"/>
      <c r="J29709" s="8"/>
    </row>
    <row r="29710">
      <c r="C29710" s="15"/>
      <c r="E29710" s="8"/>
      <c r="G29710" s="8"/>
      <c r="J29710" s="8"/>
    </row>
    <row r="29711">
      <c r="C29711" s="15"/>
      <c r="E29711" s="8"/>
      <c r="G29711" s="8"/>
      <c r="J29711" s="8"/>
    </row>
    <row r="29712">
      <c r="C29712" s="15"/>
      <c r="E29712" s="8"/>
      <c r="G29712" s="8"/>
      <c r="J29712" s="8"/>
    </row>
    <row r="29713">
      <c r="C29713" s="15"/>
      <c r="E29713" s="8"/>
      <c r="G29713" s="8"/>
      <c r="J29713" s="8"/>
    </row>
    <row r="29714">
      <c r="C29714" s="15"/>
      <c r="E29714" s="8"/>
      <c r="G29714" s="8"/>
      <c r="J29714" s="8"/>
    </row>
    <row r="29715">
      <c r="C29715" s="15"/>
      <c r="E29715" s="8"/>
      <c r="G29715" s="8"/>
      <c r="J29715" s="8"/>
    </row>
    <row r="29716">
      <c r="C29716" s="15"/>
      <c r="E29716" s="8"/>
      <c r="G29716" s="8"/>
      <c r="J29716" s="8"/>
    </row>
    <row r="29717">
      <c r="C29717" s="15"/>
      <c r="E29717" s="8"/>
      <c r="G29717" s="8"/>
      <c r="J29717" s="8"/>
    </row>
    <row r="29718">
      <c r="C29718" s="15"/>
      <c r="E29718" s="8"/>
      <c r="G29718" s="8"/>
      <c r="J29718" s="8"/>
    </row>
    <row r="29719">
      <c r="C29719" s="15"/>
      <c r="E29719" s="8"/>
      <c r="G29719" s="8"/>
      <c r="J29719" s="8"/>
    </row>
    <row r="29720">
      <c r="C29720" s="15"/>
      <c r="E29720" s="8"/>
      <c r="G29720" s="8"/>
      <c r="J29720" s="8"/>
    </row>
    <row r="29721">
      <c r="C29721" s="15"/>
      <c r="E29721" s="8"/>
      <c r="G29721" s="8"/>
      <c r="J29721" s="8"/>
    </row>
    <row r="29722">
      <c r="C29722" s="15"/>
      <c r="E29722" s="8"/>
      <c r="G29722" s="8"/>
      <c r="J29722" s="8"/>
    </row>
    <row r="29723">
      <c r="C29723" s="15"/>
      <c r="E29723" s="8"/>
      <c r="G29723" s="8"/>
      <c r="J29723" s="8"/>
    </row>
    <row r="29724">
      <c r="C29724" s="15"/>
      <c r="E29724" s="8"/>
      <c r="G29724" s="8"/>
      <c r="J29724" s="8"/>
    </row>
    <row r="29725">
      <c r="C29725" s="15"/>
      <c r="E29725" s="8"/>
      <c r="G29725" s="8"/>
      <c r="J29725" s="8"/>
    </row>
    <row r="29726">
      <c r="C29726" s="15"/>
      <c r="E29726" s="8"/>
      <c r="G29726" s="8"/>
      <c r="J29726" s="8"/>
    </row>
    <row r="29727">
      <c r="C29727" s="15"/>
      <c r="E29727" s="8"/>
      <c r="G29727" s="8"/>
      <c r="J29727" s="8"/>
    </row>
    <row r="29728">
      <c r="C29728" s="15"/>
      <c r="E29728" s="8"/>
      <c r="G29728" s="8"/>
      <c r="J29728" s="8"/>
    </row>
    <row r="29729">
      <c r="C29729" s="15"/>
      <c r="E29729" s="8"/>
      <c r="G29729" s="8"/>
      <c r="J29729" s="8"/>
    </row>
    <row r="29730">
      <c r="C29730" s="15"/>
      <c r="E29730" s="8"/>
      <c r="G29730" s="8"/>
      <c r="J29730" s="8"/>
    </row>
    <row r="29731">
      <c r="C29731" s="15"/>
      <c r="E29731" s="8"/>
      <c r="G29731" s="8"/>
      <c r="J29731" s="8"/>
    </row>
    <row r="29732">
      <c r="C29732" s="15"/>
      <c r="E29732" s="8"/>
      <c r="G29732" s="8"/>
      <c r="J29732" s="8"/>
    </row>
    <row r="29733">
      <c r="C29733" s="15"/>
      <c r="E29733" s="8"/>
      <c r="G29733" s="8"/>
      <c r="J29733" s="8"/>
    </row>
    <row r="29734">
      <c r="C29734" s="15"/>
      <c r="E29734" s="8"/>
      <c r="G29734" s="8"/>
      <c r="J29734" s="8"/>
    </row>
    <row r="29735">
      <c r="C29735" s="15"/>
      <c r="E29735" s="8"/>
      <c r="G29735" s="8"/>
      <c r="J29735" s="8"/>
    </row>
    <row r="29736">
      <c r="C29736" s="15"/>
      <c r="E29736" s="8"/>
      <c r="G29736" s="8"/>
      <c r="J29736" s="8"/>
    </row>
    <row r="29737">
      <c r="C29737" s="15"/>
      <c r="E29737" s="8"/>
      <c r="G29737" s="8"/>
      <c r="J29737" s="8"/>
    </row>
    <row r="29738">
      <c r="C29738" s="15"/>
      <c r="E29738" s="8"/>
      <c r="G29738" s="8"/>
      <c r="J29738" s="8"/>
    </row>
    <row r="29739">
      <c r="C29739" s="15"/>
      <c r="E29739" s="8"/>
      <c r="G29739" s="8"/>
      <c r="J29739" s="8"/>
    </row>
    <row r="29740">
      <c r="C29740" s="15"/>
      <c r="E29740" s="8"/>
      <c r="G29740" s="8"/>
      <c r="J29740" s="8"/>
    </row>
    <row r="29741">
      <c r="C29741" s="15"/>
      <c r="E29741" s="8"/>
      <c r="G29741" s="8"/>
      <c r="J29741" s="8"/>
    </row>
    <row r="29742">
      <c r="C29742" s="15"/>
      <c r="E29742" s="8"/>
      <c r="G29742" s="8"/>
      <c r="J29742" s="8"/>
    </row>
    <row r="29743">
      <c r="C29743" s="15"/>
      <c r="E29743" s="8"/>
      <c r="G29743" s="8"/>
      <c r="J29743" s="8"/>
    </row>
    <row r="29744">
      <c r="C29744" s="15"/>
      <c r="E29744" s="8"/>
      <c r="G29744" s="8"/>
      <c r="J29744" s="8"/>
    </row>
    <row r="29745">
      <c r="C29745" s="15"/>
      <c r="E29745" s="8"/>
      <c r="G29745" s="8"/>
      <c r="J29745" s="8"/>
    </row>
    <row r="29746">
      <c r="C29746" s="15"/>
      <c r="E29746" s="8"/>
      <c r="G29746" s="8"/>
      <c r="J29746" s="8"/>
    </row>
    <row r="29747">
      <c r="C29747" s="15"/>
      <c r="E29747" s="8"/>
      <c r="G29747" s="8"/>
      <c r="J29747" s="8"/>
    </row>
    <row r="29748">
      <c r="C29748" s="15"/>
      <c r="E29748" s="8"/>
      <c r="G29748" s="8"/>
      <c r="J29748" s="8"/>
    </row>
    <row r="29749">
      <c r="C29749" s="15"/>
      <c r="E29749" s="8"/>
      <c r="G29749" s="8"/>
      <c r="J29749" s="8"/>
    </row>
    <row r="29750">
      <c r="C29750" s="15"/>
      <c r="E29750" s="8"/>
      <c r="G29750" s="8"/>
      <c r="J29750" s="8"/>
    </row>
    <row r="29751">
      <c r="C29751" s="15"/>
      <c r="E29751" s="8"/>
      <c r="G29751" s="8"/>
      <c r="J29751" s="8"/>
    </row>
    <row r="29752">
      <c r="C29752" s="15"/>
      <c r="E29752" s="8"/>
      <c r="G29752" s="8"/>
      <c r="J29752" s="8"/>
    </row>
    <row r="29753">
      <c r="C29753" s="15"/>
      <c r="E29753" s="8"/>
      <c r="G29753" s="8"/>
      <c r="J29753" s="8"/>
    </row>
    <row r="29754">
      <c r="C29754" s="15"/>
      <c r="E29754" s="8"/>
      <c r="G29754" s="8"/>
      <c r="J29754" s="8"/>
    </row>
    <row r="29755">
      <c r="C29755" s="15"/>
      <c r="E29755" s="8"/>
      <c r="G29755" s="8"/>
      <c r="J29755" s="8"/>
    </row>
    <row r="29756">
      <c r="C29756" s="15"/>
      <c r="E29756" s="8"/>
      <c r="G29756" s="8"/>
      <c r="J29756" s="8"/>
    </row>
    <row r="29757">
      <c r="C29757" s="15"/>
      <c r="E29757" s="8"/>
      <c r="G29757" s="8"/>
      <c r="J29757" s="8"/>
    </row>
    <row r="29758">
      <c r="C29758" s="15"/>
      <c r="E29758" s="8"/>
      <c r="G29758" s="8"/>
      <c r="J29758" s="8"/>
    </row>
    <row r="29759">
      <c r="C29759" s="15"/>
      <c r="E29759" s="8"/>
      <c r="G29759" s="8"/>
      <c r="J29759" s="8"/>
    </row>
    <row r="29760">
      <c r="C29760" s="15"/>
      <c r="E29760" s="8"/>
      <c r="G29760" s="8"/>
      <c r="J29760" s="8"/>
    </row>
    <row r="29761">
      <c r="C29761" s="15"/>
      <c r="E29761" s="8"/>
      <c r="G29761" s="8"/>
      <c r="J29761" s="8"/>
    </row>
    <row r="29762">
      <c r="C29762" s="15"/>
      <c r="E29762" s="8"/>
      <c r="G29762" s="8"/>
      <c r="J29762" s="8"/>
    </row>
    <row r="29763">
      <c r="C29763" s="15"/>
      <c r="E29763" s="8"/>
      <c r="G29763" s="8"/>
      <c r="J29763" s="8"/>
    </row>
    <row r="29764">
      <c r="C29764" s="15"/>
      <c r="E29764" s="8"/>
      <c r="G29764" s="8"/>
      <c r="J29764" s="8"/>
    </row>
    <row r="29765">
      <c r="C29765" s="15"/>
      <c r="E29765" s="8"/>
      <c r="G29765" s="8"/>
      <c r="J29765" s="8"/>
    </row>
    <row r="29766">
      <c r="C29766" s="15"/>
      <c r="E29766" s="8"/>
      <c r="G29766" s="8"/>
      <c r="J29766" s="8"/>
    </row>
    <row r="29767">
      <c r="C29767" s="15"/>
      <c r="E29767" s="8"/>
      <c r="G29767" s="8"/>
      <c r="J29767" s="8"/>
    </row>
    <row r="29768">
      <c r="C29768" s="15"/>
      <c r="E29768" s="8"/>
      <c r="G29768" s="8"/>
      <c r="J29768" s="8"/>
    </row>
    <row r="29769">
      <c r="C29769" s="15"/>
      <c r="E29769" s="8"/>
      <c r="G29769" s="8"/>
      <c r="J29769" s="8"/>
    </row>
    <row r="29770">
      <c r="C29770" s="15"/>
      <c r="E29770" s="8"/>
      <c r="G29770" s="8"/>
      <c r="J29770" s="8"/>
    </row>
    <row r="29771">
      <c r="C29771" s="15"/>
      <c r="E29771" s="8"/>
      <c r="G29771" s="8"/>
      <c r="J29771" s="8"/>
    </row>
    <row r="29772">
      <c r="C29772" s="15"/>
      <c r="E29772" s="8"/>
      <c r="G29772" s="8"/>
      <c r="J29772" s="8"/>
    </row>
    <row r="29773">
      <c r="C29773" s="15"/>
      <c r="E29773" s="8"/>
      <c r="G29773" s="8"/>
      <c r="J29773" s="8"/>
    </row>
    <row r="29774">
      <c r="C29774" s="15"/>
      <c r="E29774" s="8"/>
      <c r="G29774" s="8"/>
      <c r="J29774" s="8"/>
    </row>
    <row r="29775">
      <c r="C29775" s="15"/>
      <c r="E29775" s="8"/>
      <c r="G29775" s="8"/>
      <c r="J29775" s="8"/>
    </row>
    <row r="29776">
      <c r="C29776" s="15"/>
      <c r="E29776" s="8"/>
      <c r="G29776" s="8"/>
      <c r="J29776" s="8"/>
    </row>
    <row r="29777">
      <c r="C29777" s="15"/>
      <c r="E29777" s="8"/>
      <c r="G29777" s="8"/>
      <c r="J29777" s="8"/>
    </row>
    <row r="29778">
      <c r="C29778" s="15"/>
      <c r="E29778" s="8"/>
      <c r="G29778" s="8"/>
      <c r="J29778" s="8"/>
    </row>
    <row r="29779">
      <c r="C29779" s="15"/>
      <c r="E29779" s="8"/>
      <c r="G29779" s="8"/>
      <c r="J29779" s="8"/>
    </row>
    <row r="29780">
      <c r="C29780" s="15"/>
      <c r="E29780" s="8"/>
      <c r="G29780" s="8"/>
      <c r="J29780" s="8"/>
    </row>
    <row r="29781">
      <c r="C29781" s="15"/>
      <c r="E29781" s="8"/>
      <c r="G29781" s="8"/>
      <c r="J29781" s="8"/>
    </row>
    <row r="29782">
      <c r="C29782" s="15"/>
      <c r="E29782" s="8"/>
      <c r="G29782" s="8"/>
      <c r="J29782" s="8"/>
    </row>
    <row r="29783">
      <c r="C29783" s="15"/>
      <c r="E29783" s="8"/>
      <c r="G29783" s="8"/>
      <c r="J29783" s="8"/>
    </row>
    <row r="29784">
      <c r="C29784" s="15"/>
      <c r="E29784" s="8"/>
      <c r="G29784" s="8"/>
      <c r="J29784" s="8"/>
    </row>
    <row r="29785">
      <c r="C29785" s="15"/>
      <c r="E29785" s="8"/>
      <c r="G29785" s="8"/>
      <c r="J29785" s="8"/>
    </row>
    <row r="29786">
      <c r="C29786" s="15"/>
      <c r="E29786" s="8"/>
      <c r="G29786" s="8"/>
      <c r="J29786" s="8"/>
    </row>
    <row r="29787">
      <c r="C29787" s="15"/>
      <c r="E29787" s="8"/>
      <c r="G29787" s="8"/>
      <c r="J29787" s="8"/>
    </row>
    <row r="29788">
      <c r="C29788" s="15"/>
      <c r="E29788" s="8"/>
      <c r="G29788" s="8"/>
      <c r="J29788" s="8"/>
    </row>
    <row r="29789">
      <c r="C29789" s="15"/>
      <c r="E29789" s="8"/>
      <c r="G29789" s="8"/>
      <c r="J29789" s="8"/>
    </row>
    <row r="29790">
      <c r="C29790" s="15"/>
      <c r="E29790" s="8"/>
      <c r="G29790" s="8"/>
      <c r="J29790" s="8"/>
    </row>
    <row r="29791">
      <c r="C29791" s="15"/>
      <c r="E29791" s="8"/>
      <c r="G29791" s="8"/>
      <c r="J29791" s="8"/>
    </row>
    <row r="29792">
      <c r="C29792" s="15"/>
      <c r="E29792" s="8"/>
      <c r="G29792" s="8"/>
      <c r="J29792" s="8"/>
    </row>
    <row r="29793">
      <c r="C29793" s="15"/>
      <c r="E29793" s="8"/>
      <c r="G29793" s="8"/>
      <c r="J29793" s="8"/>
    </row>
    <row r="29794">
      <c r="C29794" s="15"/>
      <c r="E29794" s="8"/>
      <c r="G29794" s="8"/>
      <c r="J29794" s="8"/>
    </row>
    <row r="29795">
      <c r="C29795" s="15"/>
      <c r="E29795" s="8"/>
      <c r="G29795" s="8"/>
      <c r="J29795" s="8"/>
    </row>
    <row r="29796">
      <c r="C29796" s="15"/>
      <c r="E29796" s="8"/>
      <c r="G29796" s="8"/>
      <c r="J29796" s="8"/>
    </row>
    <row r="29797">
      <c r="C29797" s="15"/>
      <c r="E29797" s="8"/>
      <c r="G29797" s="8"/>
      <c r="J29797" s="8"/>
    </row>
    <row r="29798">
      <c r="C29798" s="15"/>
      <c r="E29798" s="8"/>
      <c r="G29798" s="8"/>
      <c r="J29798" s="8"/>
    </row>
    <row r="29799">
      <c r="C29799" s="15"/>
      <c r="E29799" s="8"/>
      <c r="G29799" s="8"/>
      <c r="J29799" s="8"/>
    </row>
    <row r="29800">
      <c r="C29800" s="15"/>
      <c r="E29800" s="8"/>
      <c r="G29800" s="8"/>
      <c r="J29800" s="8"/>
    </row>
    <row r="29801">
      <c r="C29801" s="15"/>
      <c r="E29801" s="8"/>
      <c r="G29801" s="8"/>
      <c r="J29801" s="8"/>
    </row>
    <row r="29802">
      <c r="C29802" s="15"/>
      <c r="E29802" s="8"/>
      <c r="G29802" s="8"/>
      <c r="J29802" s="8"/>
    </row>
    <row r="29803">
      <c r="C29803" s="15"/>
      <c r="E29803" s="8"/>
      <c r="G29803" s="8"/>
      <c r="J29803" s="8"/>
    </row>
    <row r="29804">
      <c r="C29804" s="15"/>
      <c r="E29804" s="8"/>
      <c r="G29804" s="8"/>
      <c r="J29804" s="8"/>
    </row>
    <row r="29805">
      <c r="C29805" s="15"/>
      <c r="E29805" s="8"/>
      <c r="G29805" s="8"/>
      <c r="J29805" s="8"/>
    </row>
    <row r="29806">
      <c r="C29806" s="15"/>
      <c r="E29806" s="8"/>
      <c r="G29806" s="8"/>
      <c r="J29806" s="8"/>
    </row>
    <row r="29807">
      <c r="C29807" s="15"/>
      <c r="E29807" s="8"/>
      <c r="G29807" s="8"/>
      <c r="J29807" s="8"/>
    </row>
    <row r="29808">
      <c r="C29808" s="15"/>
      <c r="E29808" s="8"/>
      <c r="G29808" s="8"/>
      <c r="J29808" s="8"/>
    </row>
    <row r="29809">
      <c r="C29809" s="15"/>
      <c r="E29809" s="8"/>
      <c r="G29809" s="8"/>
      <c r="J29809" s="8"/>
    </row>
    <row r="29810">
      <c r="C29810" s="15"/>
      <c r="E29810" s="8"/>
      <c r="G29810" s="8"/>
      <c r="J29810" s="8"/>
    </row>
    <row r="29811">
      <c r="C29811" s="15"/>
      <c r="E29811" s="8"/>
      <c r="G29811" s="8"/>
      <c r="J29811" s="8"/>
    </row>
    <row r="29812">
      <c r="C29812" s="15"/>
      <c r="E29812" s="8"/>
      <c r="G29812" s="8"/>
      <c r="J29812" s="8"/>
    </row>
    <row r="29813">
      <c r="C29813" s="15"/>
      <c r="E29813" s="8"/>
      <c r="G29813" s="8"/>
      <c r="J29813" s="8"/>
    </row>
    <row r="29814">
      <c r="C29814" s="15"/>
      <c r="E29814" s="8"/>
      <c r="G29814" s="8"/>
      <c r="J29814" s="8"/>
    </row>
    <row r="29815">
      <c r="C29815" s="15"/>
      <c r="E29815" s="8"/>
      <c r="G29815" s="8"/>
      <c r="J29815" s="8"/>
    </row>
    <row r="29816">
      <c r="C29816" s="15"/>
      <c r="E29816" s="8"/>
      <c r="G29816" s="8"/>
      <c r="J29816" s="8"/>
    </row>
    <row r="29817">
      <c r="C29817" s="15"/>
      <c r="E29817" s="8"/>
      <c r="G29817" s="8"/>
      <c r="J29817" s="8"/>
    </row>
    <row r="29818">
      <c r="C29818" s="15"/>
      <c r="E29818" s="8"/>
      <c r="G29818" s="8"/>
      <c r="J29818" s="8"/>
    </row>
    <row r="29819">
      <c r="C29819" s="15"/>
      <c r="E29819" s="8"/>
      <c r="G29819" s="8"/>
      <c r="J29819" s="8"/>
    </row>
    <row r="29820">
      <c r="C29820" s="15"/>
      <c r="E29820" s="8"/>
      <c r="G29820" s="8"/>
      <c r="J29820" s="8"/>
    </row>
    <row r="29821">
      <c r="C29821" s="15"/>
      <c r="E29821" s="8"/>
      <c r="G29821" s="8"/>
      <c r="J29821" s="8"/>
    </row>
    <row r="29822">
      <c r="C29822" s="15"/>
      <c r="E29822" s="8"/>
      <c r="G29822" s="8"/>
      <c r="J29822" s="8"/>
    </row>
    <row r="29823">
      <c r="C29823" s="15"/>
      <c r="E29823" s="8"/>
      <c r="G29823" s="8"/>
      <c r="J29823" s="8"/>
    </row>
    <row r="29824">
      <c r="C29824" s="15"/>
      <c r="E29824" s="8"/>
      <c r="G29824" s="8"/>
      <c r="J29824" s="8"/>
    </row>
    <row r="29825">
      <c r="C29825" s="15"/>
      <c r="E29825" s="8"/>
      <c r="G29825" s="8"/>
      <c r="J29825" s="8"/>
    </row>
    <row r="29826">
      <c r="C29826" s="15"/>
      <c r="E29826" s="8"/>
      <c r="G29826" s="8"/>
      <c r="J29826" s="8"/>
    </row>
    <row r="29827">
      <c r="C29827" s="15"/>
      <c r="E29827" s="8"/>
      <c r="G29827" s="8"/>
      <c r="J29827" s="8"/>
    </row>
    <row r="29828">
      <c r="C29828" s="15"/>
      <c r="E29828" s="8"/>
      <c r="G29828" s="8"/>
      <c r="J29828" s="8"/>
    </row>
    <row r="29829">
      <c r="C29829" s="15"/>
      <c r="E29829" s="8"/>
      <c r="G29829" s="8"/>
      <c r="J29829" s="8"/>
    </row>
    <row r="29830">
      <c r="C29830" s="15"/>
      <c r="E29830" s="8"/>
      <c r="G29830" s="8"/>
      <c r="J29830" s="8"/>
    </row>
    <row r="29831">
      <c r="C29831" s="15"/>
      <c r="E29831" s="8"/>
      <c r="G29831" s="8"/>
      <c r="J29831" s="8"/>
    </row>
    <row r="29832">
      <c r="C29832" s="15"/>
      <c r="E29832" s="8"/>
      <c r="G29832" s="8"/>
      <c r="J29832" s="8"/>
    </row>
    <row r="29833">
      <c r="C29833" s="15"/>
      <c r="E29833" s="8"/>
      <c r="G29833" s="8"/>
      <c r="J29833" s="8"/>
    </row>
    <row r="29834">
      <c r="C29834" s="15"/>
      <c r="E29834" s="8"/>
      <c r="G29834" s="8"/>
      <c r="J29834" s="8"/>
    </row>
    <row r="29835">
      <c r="C29835" s="15"/>
      <c r="E29835" s="8"/>
      <c r="G29835" s="8"/>
      <c r="J29835" s="8"/>
    </row>
    <row r="29836">
      <c r="C29836" s="15"/>
      <c r="E29836" s="8"/>
      <c r="G29836" s="8"/>
      <c r="J29836" s="8"/>
    </row>
    <row r="29837">
      <c r="C29837" s="15"/>
      <c r="E29837" s="8"/>
      <c r="G29837" s="8"/>
      <c r="J29837" s="8"/>
    </row>
    <row r="29838">
      <c r="C29838" s="15"/>
      <c r="E29838" s="8"/>
      <c r="G29838" s="8"/>
      <c r="J29838" s="8"/>
    </row>
    <row r="29839">
      <c r="C29839" s="15"/>
      <c r="E29839" s="8"/>
      <c r="G29839" s="8"/>
      <c r="J29839" s="8"/>
    </row>
    <row r="29840">
      <c r="C29840" s="15"/>
      <c r="E29840" s="8"/>
      <c r="G29840" s="8"/>
      <c r="J29840" s="8"/>
    </row>
    <row r="29841">
      <c r="C29841" s="15"/>
      <c r="E29841" s="8"/>
      <c r="G29841" s="8"/>
      <c r="J29841" s="8"/>
    </row>
    <row r="29842">
      <c r="C29842" s="15"/>
      <c r="E29842" s="8"/>
      <c r="G29842" s="8"/>
      <c r="J29842" s="8"/>
    </row>
    <row r="29843">
      <c r="C29843" s="15"/>
      <c r="E29843" s="8"/>
      <c r="G29843" s="8"/>
      <c r="J29843" s="8"/>
    </row>
    <row r="29844">
      <c r="C29844" s="15"/>
      <c r="E29844" s="8"/>
      <c r="G29844" s="8"/>
      <c r="J29844" s="8"/>
    </row>
    <row r="29845">
      <c r="C29845" s="15"/>
      <c r="E29845" s="8"/>
      <c r="G29845" s="8"/>
      <c r="J29845" s="8"/>
    </row>
    <row r="29846">
      <c r="C29846" s="15"/>
      <c r="E29846" s="8"/>
      <c r="G29846" s="8"/>
      <c r="J29846" s="8"/>
    </row>
    <row r="29847">
      <c r="C29847" s="15"/>
      <c r="E29847" s="8"/>
      <c r="G29847" s="8"/>
      <c r="J29847" s="8"/>
    </row>
    <row r="29848">
      <c r="C29848" s="15"/>
      <c r="E29848" s="8"/>
      <c r="G29848" s="8"/>
      <c r="J29848" s="8"/>
    </row>
    <row r="29849">
      <c r="C29849" s="15"/>
      <c r="E29849" s="8"/>
      <c r="G29849" s="8"/>
      <c r="J29849" s="8"/>
    </row>
    <row r="29850">
      <c r="C29850" s="15"/>
      <c r="E29850" s="8"/>
      <c r="G29850" s="8"/>
      <c r="J29850" s="8"/>
    </row>
    <row r="29851">
      <c r="C29851" s="15"/>
      <c r="E29851" s="8"/>
      <c r="G29851" s="8"/>
      <c r="J29851" s="8"/>
    </row>
    <row r="29852">
      <c r="C29852" s="15"/>
      <c r="E29852" s="8"/>
      <c r="G29852" s="8"/>
      <c r="J29852" s="8"/>
    </row>
    <row r="29853">
      <c r="C29853" s="15"/>
      <c r="E29853" s="8"/>
      <c r="G29853" s="8"/>
      <c r="J29853" s="8"/>
    </row>
    <row r="29854">
      <c r="C29854" s="15"/>
      <c r="E29854" s="8"/>
      <c r="G29854" s="8"/>
      <c r="J29854" s="8"/>
    </row>
    <row r="29855">
      <c r="C29855" s="15"/>
      <c r="E29855" s="8"/>
      <c r="G29855" s="8"/>
      <c r="J29855" s="8"/>
    </row>
    <row r="29856">
      <c r="C29856" s="15"/>
      <c r="E29856" s="8"/>
      <c r="G29856" s="8"/>
      <c r="J29856" s="8"/>
    </row>
    <row r="29857">
      <c r="C29857" s="15"/>
      <c r="E29857" s="8"/>
      <c r="G29857" s="8"/>
      <c r="J29857" s="8"/>
    </row>
    <row r="29858">
      <c r="C29858" s="15"/>
      <c r="E29858" s="8"/>
      <c r="G29858" s="8"/>
      <c r="J29858" s="8"/>
    </row>
    <row r="29859">
      <c r="C29859" s="15"/>
      <c r="E29859" s="8"/>
      <c r="G29859" s="8"/>
      <c r="J29859" s="8"/>
    </row>
    <row r="29860">
      <c r="C29860" s="15"/>
      <c r="E29860" s="8"/>
      <c r="G29860" s="8"/>
      <c r="J29860" s="8"/>
    </row>
    <row r="29861">
      <c r="C29861" s="15"/>
      <c r="E29861" s="8"/>
      <c r="G29861" s="8"/>
      <c r="J29861" s="8"/>
    </row>
    <row r="29862">
      <c r="C29862" s="15"/>
      <c r="E29862" s="8"/>
      <c r="G29862" s="8"/>
      <c r="J29862" s="8"/>
    </row>
    <row r="29863">
      <c r="C29863" s="15"/>
      <c r="E29863" s="8"/>
      <c r="G29863" s="8"/>
      <c r="J29863" s="8"/>
    </row>
    <row r="29864">
      <c r="C29864" s="15"/>
      <c r="E29864" s="8"/>
      <c r="G29864" s="8"/>
      <c r="J29864" s="8"/>
    </row>
    <row r="29865">
      <c r="C29865" s="15"/>
      <c r="E29865" s="8"/>
      <c r="G29865" s="8"/>
      <c r="J29865" s="8"/>
    </row>
    <row r="29866">
      <c r="C29866" s="15"/>
      <c r="E29866" s="8"/>
      <c r="G29866" s="8"/>
      <c r="J29866" s="8"/>
    </row>
    <row r="29867">
      <c r="C29867" s="15"/>
      <c r="E29867" s="8"/>
      <c r="G29867" s="8"/>
      <c r="J29867" s="8"/>
    </row>
    <row r="29868">
      <c r="C29868" s="15"/>
      <c r="E29868" s="8"/>
      <c r="G29868" s="8"/>
      <c r="J29868" s="8"/>
    </row>
    <row r="29869">
      <c r="C29869" s="15"/>
      <c r="E29869" s="8"/>
      <c r="G29869" s="8"/>
      <c r="J29869" s="8"/>
    </row>
    <row r="29870">
      <c r="C29870" s="15"/>
      <c r="E29870" s="8"/>
      <c r="G29870" s="8"/>
      <c r="J29870" s="8"/>
    </row>
    <row r="29871">
      <c r="C29871" s="15"/>
      <c r="E29871" s="8"/>
      <c r="G29871" s="8"/>
      <c r="J29871" s="8"/>
    </row>
    <row r="29872">
      <c r="C29872" s="15"/>
      <c r="E29872" s="8"/>
      <c r="G29872" s="8"/>
      <c r="J29872" s="8"/>
    </row>
    <row r="29873">
      <c r="C29873" s="15"/>
      <c r="E29873" s="8"/>
      <c r="G29873" s="8"/>
      <c r="J29873" s="8"/>
    </row>
    <row r="29874">
      <c r="C29874" s="15"/>
      <c r="E29874" s="8"/>
      <c r="G29874" s="8"/>
      <c r="J29874" s="8"/>
    </row>
    <row r="29875">
      <c r="C29875" s="15"/>
      <c r="E29875" s="8"/>
      <c r="G29875" s="8"/>
      <c r="J29875" s="8"/>
    </row>
    <row r="29876">
      <c r="C29876" s="15"/>
      <c r="E29876" s="8"/>
      <c r="G29876" s="8"/>
      <c r="J29876" s="8"/>
    </row>
    <row r="29877">
      <c r="C29877" s="15"/>
      <c r="E29877" s="8"/>
      <c r="G29877" s="8"/>
      <c r="J29877" s="8"/>
    </row>
    <row r="29878">
      <c r="C29878" s="15"/>
      <c r="E29878" s="8"/>
      <c r="G29878" s="8"/>
      <c r="J29878" s="8"/>
    </row>
    <row r="29879">
      <c r="C29879" s="15"/>
      <c r="E29879" s="8"/>
      <c r="G29879" s="8"/>
      <c r="J29879" s="8"/>
    </row>
    <row r="29880">
      <c r="C29880" s="15"/>
      <c r="E29880" s="8"/>
      <c r="G29880" s="8"/>
      <c r="J29880" s="8"/>
    </row>
    <row r="29881">
      <c r="C29881" s="15"/>
      <c r="E29881" s="8"/>
      <c r="G29881" s="8"/>
      <c r="J29881" s="8"/>
    </row>
    <row r="29882">
      <c r="C29882" s="15"/>
      <c r="E29882" s="8"/>
      <c r="G29882" s="8"/>
      <c r="J29882" s="8"/>
    </row>
    <row r="29883">
      <c r="C29883" s="15"/>
      <c r="E29883" s="8"/>
      <c r="G29883" s="8"/>
      <c r="J29883" s="8"/>
    </row>
    <row r="29884">
      <c r="C29884" s="15"/>
      <c r="E29884" s="8"/>
      <c r="G29884" s="8"/>
      <c r="J29884" s="8"/>
    </row>
    <row r="29885">
      <c r="C29885" s="15"/>
      <c r="E29885" s="8"/>
      <c r="G29885" s="8"/>
      <c r="J29885" s="8"/>
    </row>
    <row r="29886">
      <c r="C29886" s="15"/>
      <c r="E29886" s="8"/>
      <c r="G29886" s="8"/>
      <c r="J29886" s="8"/>
    </row>
    <row r="29887">
      <c r="C29887" s="15"/>
      <c r="E29887" s="8"/>
      <c r="G29887" s="8"/>
      <c r="J29887" s="8"/>
    </row>
    <row r="29888">
      <c r="C29888" s="15"/>
      <c r="E29888" s="8"/>
      <c r="G29888" s="8"/>
      <c r="J29888" s="8"/>
    </row>
    <row r="29889">
      <c r="C29889" s="15"/>
      <c r="E29889" s="8"/>
      <c r="G29889" s="8"/>
      <c r="J29889" s="8"/>
    </row>
    <row r="29890">
      <c r="C29890" s="15"/>
      <c r="E29890" s="8"/>
      <c r="G29890" s="8"/>
      <c r="J29890" s="8"/>
    </row>
    <row r="29891">
      <c r="C29891" s="15"/>
      <c r="E29891" s="8"/>
      <c r="G29891" s="8"/>
      <c r="J29891" s="8"/>
    </row>
    <row r="29892">
      <c r="C29892" s="15"/>
      <c r="E29892" s="8"/>
      <c r="G29892" s="8"/>
      <c r="J29892" s="8"/>
    </row>
    <row r="29893">
      <c r="C29893" s="15"/>
      <c r="E29893" s="8"/>
      <c r="G29893" s="8"/>
      <c r="J29893" s="8"/>
    </row>
    <row r="29894">
      <c r="C29894" s="15"/>
      <c r="E29894" s="8"/>
      <c r="G29894" s="8"/>
      <c r="J29894" s="8"/>
    </row>
    <row r="29895">
      <c r="C29895" s="15"/>
      <c r="E29895" s="8"/>
      <c r="G29895" s="8"/>
      <c r="J29895" s="8"/>
    </row>
    <row r="29896">
      <c r="C29896" s="15"/>
      <c r="E29896" s="8"/>
      <c r="G29896" s="8"/>
      <c r="J29896" s="8"/>
    </row>
    <row r="29897">
      <c r="C29897" s="15"/>
      <c r="E29897" s="8"/>
      <c r="G29897" s="8"/>
      <c r="J29897" s="8"/>
    </row>
    <row r="29898">
      <c r="C29898" s="15"/>
      <c r="E29898" s="8"/>
      <c r="G29898" s="8"/>
      <c r="J29898" s="8"/>
    </row>
    <row r="29899">
      <c r="C29899" s="15"/>
      <c r="E29899" s="8"/>
      <c r="G29899" s="8"/>
      <c r="J29899" s="8"/>
    </row>
    <row r="29900">
      <c r="C29900" s="15"/>
      <c r="E29900" s="8"/>
      <c r="G29900" s="8"/>
      <c r="J29900" s="8"/>
    </row>
    <row r="29901">
      <c r="C29901" s="15"/>
      <c r="E29901" s="8"/>
      <c r="G29901" s="8"/>
      <c r="J29901" s="8"/>
    </row>
    <row r="29902">
      <c r="C29902" s="15"/>
      <c r="E29902" s="8"/>
      <c r="G29902" s="8"/>
      <c r="J29902" s="8"/>
    </row>
    <row r="29903">
      <c r="C29903" s="15"/>
      <c r="E29903" s="8"/>
      <c r="G29903" s="8"/>
      <c r="J29903" s="8"/>
    </row>
    <row r="29904">
      <c r="C29904" s="15"/>
      <c r="E29904" s="8"/>
      <c r="G29904" s="8"/>
      <c r="J29904" s="8"/>
    </row>
    <row r="29905">
      <c r="C29905" s="15"/>
      <c r="E29905" s="8"/>
      <c r="G29905" s="8"/>
      <c r="J29905" s="8"/>
    </row>
    <row r="29906">
      <c r="C29906" s="15"/>
      <c r="E29906" s="8"/>
      <c r="G29906" s="8"/>
      <c r="J29906" s="8"/>
    </row>
    <row r="29907">
      <c r="C29907" s="15"/>
      <c r="E29907" s="8"/>
      <c r="G29907" s="8"/>
      <c r="J29907" s="8"/>
    </row>
    <row r="29908">
      <c r="C29908" s="15"/>
      <c r="E29908" s="8"/>
      <c r="G29908" s="8"/>
      <c r="J29908" s="8"/>
    </row>
    <row r="29909">
      <c r="C29909" s="15"/>
      <c r="E29909" s="8"/>
      <c r="G29909" s="8"/>
      <c r="J29909" s="8"/>
    </row>
    <row r="29910">
      <c r="C29910" s="15"/>
      <c r="E29910" s="8"/>
      <c r="G29910" s="8"/>
      <c r="J29910" s="8"/>
    </row>
    <row r="29911">
      <c r="C29911" s="15"/>
      <c r="E29911" s="8"/>
      <c r="G29911" s="8"/>
      <c r="J29911" s="8"/>
    </row>
    <row r="29912">
      <c r="C29912" s="15"/>
      <c r="E29912" s="8"/>
      <c r="G29912" s="8"/>
      <c r="J29912" s="8"/>
    </row>
    <row r="29913">
      <c r="C29913" s="15"/>
      <c r="E29913" s="8"/>
      <c r="G29913" s="8"/>
      <c r="J29913" s="8"/>
    </row>
    <row r="29914">
      <c r="C29914" s="15"/>
      <c r="E29914" s="8"/>
      <c r="G29914" s="8"/>
      <c r="J29914" s="8"/>
    </row>
    <row r="29915">
      <c r="C29915" s="15"/>
      <c r="E29915" s="8"/>
      <c r="G29915" s="8"/>
      <c r="J29915" s="8"/>
    </row>
    <row r="29916">
      <c r="C29916" s="15"/>
      <c r="E29916" s="8"/>
      <c r="G29916" s="8"/>
      <c r="J29916" s="8"/>
    </row>
    <row r="29917">
      <c r="C29917" s="15"/>
      <c r="E29917" s="8"/>
      <c r="G29917" s="8"/>
      <c r="J29917" s="8"/>
    </row>
    <row r="29918">
      <c r="C29918" s="15"/>
      <c r="E29918" s="8"/>
      <c r="G29918" s="8"/>
      <c r="J29918" s="8"/>
    </row>
    <row r="29919">
      <c r="C29919" s="15"/>
      <c r="E29919" s="8"/>
      <c r="G29919" s="8"/>
      <c r="J29919" s="8"/>
    </row>
    <row r="29920">
      <c r="C29920" s="15"/>
      <c r="E29920" s="8"/>
      <c r="G29920" s="8"/>
      <c r="J29920" s="8"/>
    </row>
    <row r="29921">
      <c r="C29921" s="15"/>
      <c r="E29921" s="8"/>
      <c r="G29921" s="8"/>
      <c r="J29921" s="8"/>
    </row>
    <row r="29922">
      <c r="C29922" s="15"/>
      <c r="E29922" s="8"/>
      <c r="G29922" s="8"/>
      <c r="J29922" s="8"/>
    </row>
    <row r="29923">
      <c r="C29923" s="15"/>
      <c r="E29923" s="8"/>
      <c r="G29923" s="8"/>
      <c r="J29923" s="8"/>
    </row>
    <row r="29924">
      <c r="C29924" s="15"/>
      <c r="E29924" s="8"/>
      <c r="G29924" s="8"/>
      <c r="J29924" s="8"/>
    </row>
    <row r="29925">
      <c r="C29925" s="15"/>
      <c r="E29925" s="8"/>
      <c r="G29925" s="8"/>
      <c r="J29925" s="8"/>
    </row>
    <row r="29926">
      <c r="C29926" s="15"/>
      <c r="E29926" s="8"/>
      <c r="G29926" s="8"/>
      <c r="J29926" s="8"/>
    </row>
    <row r="29927">
      <c r="C29927" s="15"/>
      <c r="E29927" s="8"/>
      <c r="G29927" s="8"/>
      <c r="J29927" s="8"/>
    </row>
    <row r="29928">
      <c r="C29928" s="15"/>
      <c r="E29928" s="8"/>
      <c r="G29928" s="8"/>
      <c r="J29928" s="8"/>
    </row>
    <row r="29929">
      <c r="C29929" s="15"/>
      <c r="E29929" s="8"/>
      <c r="G29929" s="8"/>
      <c r="J29929" s="8"/>
    </row>
    <row r="29930">
      <c r="C29930" s="15"/>
      <c r="E29930" s="8"/>
      <c r="G29930" s="8"/>
      <c r="J29930" s="8"/>
    </row>
    <row r="29931">
      <c r="C29931" s="15"/>
      <c r="E29931" s="8"/>
      <c r="G29931" s="8"/>
      <c r="J29931" s="8"/>
    </row>
    <row r="29932">
      <c r="C29932" s="15"/>
      <c r="E29932" s="8"/>
      <c r="G29932" s="8"/>
      <c r="J29932" s="8"/>
    </row>
    <row r="29933">
      <c r="C29933" s="15"/>
      <c r="E29933" s="8"/>
      <c r="G29933" s="8"/>
      <c r="J29933" s="8"/>
    </row>
    <row r="29934">
      <c r="C29934" s="15"/>
      <c r="E29934" s="8"/>
      <c r="G29934" s="8"/>
      <c r="J29934" s="8"/>
    </row>
    <row r="29935">
      <c r="C29935" s="15"/>
      <c r="E29935" s="8"/>
      <c r="G29935" s="8"/>
      <c r="J29935" s="8"/>
    </row>
    <row r="29936">
      <c r="C29936" s="15"/>
      <c r="E29936" s="8"/>
      <c r="G29936" s="8"/>
      <c r="J29936" s="8"/>
    </row>
    <row r="29937">
      <c r="C29937" s="15"/>
      <c r="E29937" s="8"/>
      <c r="G29937" s="8"/>
      <c r="J29937" s="8"/>
    </row>
    <row r="29938">
      <c r="C29938" s="15"/>
      <c r="E29938" s="8"/>
      <c r="G29938" s="8"/>
      <c r="J29938" s="8"/>
    </row>
    <row r="29939">
      <c r="C29939" s="15"/>
      <c r="E29939" s="8"/>
      <c r="G29939" s="8"/>
      <c r="J29939" s="8"/>
    </row>
    <row r="29940">
      <c r="C29940" s="15"/>
      <c r="E29940" s="8"/>
      <c r="G29940" s="8"/>
      <c r="J29940" s="8"/>
    </row>
    <row r="29941">
      <c r="C29941" s="15"/>
      <c r="E29941" s="8"/>
      <c r="G29941" s="8"/>
      <c r="J29941" s="8"/>
    </row>
    <row r="29942">
      <c r="C29942" s="15"/>
      <c r="E29942" s="8"/>
      <c r="G29942" s="8"/>
      <c r="J29942" s="8"/>
    </row>
    <row r="29943">
      <c r="C29943" s="15"/>
      <c r="E29943" s="8"/>
      <c r="G29943" s="8"/>
      <c r="J29943" s="8"/>
    </row>
    <row r="29944">
      <c r="C29944" s="15"/>
      <c r="E29944" s="8"/>
      <c r="G29944" s="8"/>
      <c r="J29944" s="8"/>
    </row>
    <row r="29945">
      <c r="C29945" s="15"/>
      <c r="E29945" s="8"/>
      <c r="G29945" s="8"/>
      <c r="J29945" s="8"/>
    </row>
    <row r="29946">
      <c r="C29946" s="15"/>
      <c r="E29946" s="8"/>
      <c r="G29946" s="8"/>
      <c r="J29946" s="8"/>
    </row>
    <row r="29947">
      <c r="C29947" s="15"/>
      <c r="E29947" s="8"/>
      <c r="G29947" s="8"/>
      <c r="J29947" s="8"/>
    </row>
    <row r="29948">
      <c r="C29948" s="15"/>
      <c r="E29948" s="8"/>
      <c r="G29948" s="8"/>
      <c r="J29948" s="8"/>
    </row>
    <row r="29949">
      <c r="C29949" s="15"/>
      <c r="E29949" s="8"/>
      <c r="G29949" s="8"/>
      <c r="J29949" s="8"/>
    </row>
    <row r="29950">
      <c r="C29950" s="15"/>
      <c r="E29950" s="8"/>
      <c r="G29950" s="8"/>
      <c r="J29950" s="8"/>
    </row>
    <row r="29951">
      <c r="C29951" s="15"/>
      <c r="E29951" s="8"/>
      <c r="G29951" s="8"/>
      <c r="J29951" s="8"/>
    </row>
    <row r="29952">
      <c r="C29952" s="15"/>
      <c r="E29952" s="8"/>
      <c r="G29952" s="8"/>
      <c r="J29952" s="8"/>
    </row>
    <row r="29953">
      <c r="C29953" s="15"/>
      <c r="E29953" s="8"/>
      <c r="G29953" s="8"/>
      <c r="J29953" s="8"/>
    </row>
    <row r="29954">
      <c r="C29954" s="15"/>
      <c r="E29954" s="8"/>
      <c r="G29954" s="8"/>
      <c r="J29954" s="8"/>
    </row>
    <row r="29955">
      <c r="C29955" s="15"/>
      <c r="E29955" s="8"/>
      <c r="G29955" s="8"/>
      <c r="J29955" s="8"/>
    </row>
    <row r="29956">
      <c r="C29956" s="15"/>
      <c r="E29956" s="8"/>
      <c r="G29956" s="8"/>
      <c r="J29956" s="8"/>
    </row>
    <row r="29957">
      <c r="C29957" s="15"/>
      <c r="E29957" s="8"/>
      <c r="G29957" s="8"/>
      <c r="J29957" s="8"/>
    </row>
    <row r="29958">
      <c r="C29958" s="15"/>
      <c r="E29958" s="8"/>
      <c r="G29958" s="8"/>
      <c r="J29958" s="8"/>
    </row>
    <row r="29959">
      <c r="C29959" s="15"/>
      <c r="E29959" s="8"/>
      <c r="G29959" s="8"/>
      <c r="J29959" s="8"/>
    </row>
    <row r="29960">
      <c r="C29960" s="15"/>
      <c r="E29960" s="8"/>
      <c r="G29960" s="8"/>
      <c r="J29960" s="8"/>
    </row>
    <row r="29961">
      <c r="C29961" s="15"/>
      <c r="E29961" s="8"/>
      <c r="G29961" s="8"/>
      <c r="J29961" s="8"/>
    </row>
    <row r="29962">
      <c r="C29962" s="15"/>
      <c r="E29962" s="8"/>
      <c r="G29962" s="8"/>
      <c r="J29962" s="8"/>
    </row>
    <row r="29963">
      <c r="C29963" s="15"/>
      <c r="E29963" s="8"/>
      <c r="G29963" s="8"/>
      <c r="J29963" s="8"/>
    </row>
    <row r="29964">
      <c r="C29964" s="15"/>
      <c r="E29964" s="8"/>
      <c r="G29964" s="8"/>
      <c r="J29964" s="8"/>
    </row>
    <row r="29965">
      <c r="C29965" s="15"/>
      <c r="E29965" s="8"/>
      <c r="G29965" s="8"/>
      <c r="J29965" s="8"/>
    </row>
    <row r="29966">
      <c r="C29966" s="15"/>
      <c r="E29966" s="8"/>
      <c r="G29966" s="8"/>
      <c r="J29966" s="8"/>
    </row>
    <row r="29967">
      <c r="C29967" s="15"/>
      <c r="E29967" s="8"/>
      <c r="G29967" s="8"/>
      <c r="J29967" s="8"/>
    </row>
    <row r="29968">
      <c r="C29968" s="15"/>
      <c r="E29968" s="8"/>
      <c r="G29968" s="8"/>
      <c r="J29968" s="8"/>
    </row>
    <row r="29969">
      <c r="C29969" s="15"/>
      <c r="E29969" s="8"/>
      <c r="G29969" s="8"/>
      <c r="J29969" s="8"/>
    </row>
    <row r="29970">
      <c r="C29970" s="15"/>
      <c r="E29970" s="8"/>
      <c r="G29970" s="8"/>
      <c r="J29970" s="8"/>
    </row>
    <row r="29971">
      <c r="C29971" s="15"/>
      <c r="E29971" s="8"/>
      <c r="G29971" s="8"/>
      <c r="J29971" s="8"/>
    </row>
    <row r="29972">
      <c r="C29972" s="15"/>
      <c r="E29972" s="8"/>
      <c r="G29972" s="8"/>
      <c r="J29972" s="8"/>
    </row>
    <row r="29973">
      <c r="C29973" s="15"/>
      <c r="E29973" s="8"/>
      <c r="G29973" s="8"/>
      <c r="J29973" s="8"/>
    </row>
    <row r="29974">
      <c r="C29974" s="15"/>
      <c r="E29974" s="8"/>
      <c r="G29974" s="8"/>
      <c r="J29974" s="8"/>
    </row>
    <row r="29975">
      <c r="C29975" s="15"/>
      <c r="E29975" s="8"/>
      <c r="G29975" s="8"/>
      <c r="J29975" s="8"/>
    </row>
    <row r="29976">
      <c r="C29976" s="15"/>
      <c r="E29976" s="8"/>
      <c r="G29976" s="8"/>
      <c r="J29976" s="8"/>
    </row>
    <row r="29977">
      <c r="C29977" s="15"/>
      <c r="E29977" s="8"/>
      <c r="G29977" s="8"/>
      <c r="J29977" s="8"/>
    </row>
    <row r="29978">
      <c r="C29978" s="15"/>
      <c r="E29978" s="8"/>
      <c r="G29978" s="8"/>
      <c r="J29978" s="8"/>
    </row>
    <row r="29979">
      <c r="C29979" s="15"/>
      <c r="E29979" s="8"/>
      <c r="G29979" s="8"/>
      <c r="J29979" s="8"/>
    </row>
    <row r="29980">
      <c r="C29980" s="15"/>
      <c r="E29980" s="8"/>
      <c r="G29980" s="8"/>
      <c r="J29980" s="8"/>
    </row>
    <row r="29981">
      <c r="C29981" s="15"/>
      <c r="E29981" s="8"/>
      <c r="G29981" s="8"/>
      <c r="J29981" s="8"/>
    </row>
    <row r="29982">
      <c r="C29982" s="15"/>
      <c r="E29982" s="8"/>
      <c r="G29982" s="8"/>
      <c r="J29982" s="8"/>
    </row>
    <row r="29983">
      <c r="C29983" s="15"/>
      <c r="E29983" s="8"/>
      <c r="G29983" s="8"/>
      <c r="J29983" s="8"/>
    </row>
    <row r="29984">
      <c r="C29984" s="15"/>
      <c r="E29984" s="8"/>
      <c r="G29984" s="8"/>
      <c r="J29984" s="8"/>
    </row>
    <row r="29985">
      <c r="C29985" s="15"/>
      <c r="E29985" s="8"/>
      <c r="G29985" s="8"/>
      <c r="J29985" s="8"/>
    </row>
    <row r="29986">
      <c r="C29986" s="15"/>
      <c r="E29986" s="8"/>
      <c r="G29986" s="8"/>
      <c r="J29986" s="8"/>
    </row>
    <row r="29987">
      <c r="C29987" s="15"/>
      <c r="E29987" s="8"/>
      <c r="G29987" s="8"/>
      <c r="J29987" s="8"/>
    </row>
    <row r="29988">
      <c r="C29988" s="15"/>
      <c r="E29988" s="8"/>
      <c r="G29988" s="8"/>
      <c r="J29988" s="8"/>
    </row>
    <row r="29989">
      <c r="C29989" s="15"/>
      <c r="E29989" s="8"/>
      <c r="G29989" s="8"/>
      <c r="J29989" s="8"/>
    </row>
    <row r="29990">
      <c r="C29990" s="15"/>
      <c r="E29990" s="8"/>
      <c r="G29990" s="8"/>
      <c r="J29990" s="8"/>
    </row>
    <row r="29991">
      <c r="C29991" s="15"/>
      <c r="E29991" s="8"/>
      <c r="G29991" s="8"/>
      <c r="J29991" s="8"/>
    </row>
    <row r="29992">
      <c r="C29992" s="15"/>
      <c r="E29992" s="8"/>
      <c r="G29992" s="8"/>
      <c r="J29992" s="8"/>
    </row>
    <row r="29993">
      <c r="C29993" s="15"/>
      <c r="E29993" s="8"/>
      <c r="G29993" s="8"/>
      <c r="J29993" s="8"/>
    </row>
    <row r="29994">
      <c r="C29994" s="15"/>
      <c r="E29994" s="8"/>
      <c r="G29994" s="8"/>
      <c r="J29994" s="8"/>
    </row>
    <row r="29995">
      <c r="C29995" s="15"/>
      <c r="E29995" s="8"/>
      <c r="G29995" s="8"/>
      <c r="J29995" s="8"/>
    </row>
    <row r="29996">
      <c r="C29996" s="15"/>
      <c r="E29996" s="8"/>
      <c r="G29996" s="8"/>
      <c r="J29996" s="8"/>
    </row>
    <row r="29997">
      <c r="C29997" s="15"/>
      <c r="E29997" s="8"/>
      <c r="G29997" s="8"/>
      <c r="J29997" s="8"/>
    </row>
    <row r="29998">
      <c r="C29998" s="15"/>
      <c r="E29998" s="8"/>
      <c r="G29998" s="8"/>
      <c r="J29998" s="8"/>
    </row>
    <row r="29999">
      <c r="C29999" s="15"/>
      <c r="E29999" s="8"/>
      <c r="G29999" s="8"/>
      <c r="J29999" s="8"/>
    </row>
    <row r="30000">
      <c r="C30000" s="15"/>
      <c r="E30000" s="8"/>
      <c r="G30000" s="8"/>
      <c r="J30000" s="8"/>
    </row>
    <row r="30001">
      <c r="C30001" s="15"/>
      <c r="E30001" s="8"/>
      <c r="G30001" s="8"/>
      <c r="J30001" s="8"/>
    </row>
    <row r="30002">
      <c r="C30002" s="15"/>
      <c r="E30002" s="8"/>
      <c r="G30002" s="8"/>
      <c r="J30002" s="8"/>
    </row>
    <row r="30003">
      <c r="C30003" s="15"/>
      <c r="E30003" s="8"/>
      <c r="G30003" s="8"/>
      <c r="J30003" s="8"/>
    </row>
    <row r="30004">
      <c r="C30004" s="15"/>
      <c r="E30004" s="8"/>
      <c r="G30004" s="8"/>
      <c r="J30004" s="8"/>
    </row>
    <row r="30005">
      <c r="C30005" s="15"/>
      <c r="E30005" s="8"/>
      <c r="G30005" s="8"/>
      <c r="J30005" s="8"/>
    </row>
    <row r="30006">
      <c r="C30006" s="15"/>
      <c r="E30006" s="8"/>
      <c r="G30006" s="8"/>
      <c r="J30006" s="8"/>
    </row>
    <row r="30007">
      <c r="C30007" s="15"/>
      <c r="E30007" s="8"/>
      <c r="G30007" s="8"/>
      <c r="J30007" s="8"/>
    </row>
    <row r="30008">
      <c r="C30008" s="15"/>
      <c r="E30008" s="8"/>
      <c r="G30008" s="8"/>
      <c r="J30008" s="8"/>
    </row>
    <row r="30009">
      <c r="C30009" s="15"/>
      <c r="E30009" s="8"/>
      <c r="G30009" s="8"/>
      <c r="J30009" s="8"/>
    </row>
    <row r="30010">
      <c r="C30010" s="15"/>
      <c r="E30010" s="8"/>
      <c r="G30010" s="8"/>
      <c r="J30010" s="8"/>
    </row>
    <row r="30011">
      <c r="C30011" s="15"/>
      <c r="E30011" s="8"/>
      <c r="G30011" s="8"/>
      <c r="J30011" s="8"/>
    </row>
    <row r="30012">
      <c r="C30012" s="15"/>
      <c r="E30012" s="8"/>
      <c r="G30012" s="8"/>
      <c r="J30012" s="8"/>
    </row>
    <row r="30013">
      <c r="C30013" s="15"/>
      <c r="E30013" s="8"/>
      <c r="G30013" s="8"/>
      <c r="J30013" s="8"/>
    </row>
    <row r="30014">
      <c r="C30014" s="15"/>
      <c r="E30014" s="8"/>
      <c r="G30014" s="8"/>
      <c r="J30014" s="8"/>
    </row>
    <row r="30015">
      <c r="C30015" s="15"/>
      <c r="E30015" s="8"/>
      <c r="G30015" s="8"/>
      <c r="J30015" s="8"/>
    </row>
    <row r="30016">
      <c r="C30016" s="15"/>
      <c r="E30016" s="8"/>
      <c r="G30016" s="8"/>
      <c r="J30016" s="8"/>
    </row>
    <row r="30017">
      <c r="C30017" s="15"/>
      <c r="E30017" s="8"/>
      <c r="G30017" s="8"/>
      <c r="J30017" s="8"/>
    </row>
    <row r="30018">
      <c r="C30018" s="15"/>
      <c r="E30018" s="8"/>
      <c r="G30018" s="8"/>
      <c r="J30018" s="8"/>
    </row>
    <row r="30019">
      <c r="C30019" s="15"/>
      <c r="E30019" s="8"/>
      <c r="G30019" s="8"/>
      <c r="J30019" s="8"/>
    </row>
    <row r="30020">
      <c r="C30020" s="15"/>
      <c r="E30020" s="8"/>
      <c r="G30020" s="8"/>
      <c r="J30020" s="8"/>
    </row>
    <row r="30021">
      <c r="C30021" s="15"/>
      <c r="E30021" s="8"/>
      <c r="G30021" s="8"/>
      <c r="J30021" s="8"/>
    </row>
    <row r="30022">
      <c r="C30022" s="15"/>
      <c r="E30022" s="8"/>
      <c r="G30022" s="8"/>
      <c r="J30022" s="8"/>
    </row>
    <row r="30023">
      <c r="C30023" s="15"/>
      <c r="E30023" s="8"/>
      <c r="G30023" s="8"/>
      <c r="J30023" s="8"/>
    </row>
    <row r="30024">
      <c r="C30024" s="15"/>
      <c r="E30024" s="8"/>
      <c r="G30024" s="8"/>
      <c r="J30024" s="8"/>
    </row>
    <row r="30025">
      <c r="C30025" s="15"/>
      <c r="E30025" s="8"/>
      <c r="G30025" s="8"/>
      <c r="J30025" s="8"/>
    </row>
    <row r="30026">
      <c r="C30026" s="15"/>
      <c r="E30026" s="8"/>
      <c r="G30026" s="8"/>
      <c r="J30026" s="8"/>
    </row>
    <row r="30027">
      <c r="C30027" s="15"/>
      <c r="E30027" s="8"/>
      <c r="G30027" s="8"/>
      <c r="J30027" s="8"/>
    </row>
    <row r="30028">
      <c r="C30028" s="15"/>
      <c r="E30028" s="8"/>
      <c r="G30028" s="8"/>
      <c r="J30028" s="8"/>
    </row>
    <row r="30029">
      <c r="C30029" s="15"/>
      <c r="E30029" s="8"/>
      <c r="G30029" s="8"/>
      <c r="J30029" s="8"/>
    </row>
    <row r="30030">
      <c r="C30030" s="15"/>
      <c r="E30030" s="8"/>
      <c r="G30030" s="8"/>
      <c r="J30030" s="8"/>
    </row>
    <row r="30031">
      <c r="C30031" s="15"/>
      <c r="E30031" s="8"/>
      <c r="G30031" s="8"/>
      <c r="J30031" s="8"/>
    </row>
    <row r="30032">
      <c r="C30032" s="15"/>
      <c r="E30032" s="8"/>
      <c r="G30032" s="8"/>
      <c r="J30032" s="8"/>
    </row>
    <row r="30033">
      <c r="C30033" s="15"/>
      <c r="E30033" s="8"/>
      <c r="G30033" s="8"/>
      <c r="J30033" s="8"/>
    </row>
    <row r="30034">
      <c r="C30034" s="15"/>
      <c r="E30034" s="8"/>
      <c r="G30034" s="8"/>
      <c r="J30034" s="8"/>
    </row>
    <row r="30035">
      <c r="C30035" s="15"/>
      <c r="E30035" s="8"/>
      <c r="G30035" s="8"/>
      <c r="J30035" s="8"/>
    </row>
    <row r="30036">
      <c r="C30036" s="15"/>
      <c r="E30036" s="8"/>
      <c r="G30036" s="8"/>
      <c r="J30036" s="8"/>
    </row>
    <row r="30037">
      <c r="C30037" s="15"/>
      <c r="E30037" s="8"/>
      <c r="G30037" s="8"/>
      <c r="J30037" s="8"/>
    </row>
    <row r="30038">
      <c r="C30038" s="15"/>
      <c r="E30038" s="8"/>
      <c r="G30038" s="8"/>
      <c r="J30038" s="8"/>
    </row>
    <row r="30039">
      <c r="C30039" s="15"/>
      <c r="E30039" s="8"/>
      <c r="G30039" s="8"/>
      <c r="J30039" s="8"/>
    </row>
    <row r="30040">
      <c r="C30040" s="15"/>
      <c r="E30040" s="8"/>
      <c r="G30040" s="8"/>
      <c r="J30040" s="8"/>
    </row>
    <row r="30041">
      <c r="C30041" s="15"/>
      <c r="E30041" s="8"/>
      <c r="G30041" s="8"/>
      <c r="J30041" s="8"/>
    </row>
    <row r="30042">
      <c r="C30042" s="15"/>
      <c r="E30042" s="8"/>
      <c r="G30042" s="8"/>
      <c r="J30042" s="8"/>
    </row>
    <row r="30043">
      <c r="C30043" s="15"/>
      <c r="E30043" s="8"/>
      <c r="G30043" s="8"/>
      <c r="J30043" s="8"/>
    </row>
    <row r="30044">
      <c r="C30044" s="15"/>
      <c r="E30044" s="8"/>
      <c r="G30044" s="8"/>
      <c r="J30044" s="8"/>
    </row>
    <row r="30045">
      <c r="C30045" s="15"/>
      <c r="E30045" s="8"/>
      <c r="G30045" s="8"/>
      <c r="J30045" s="8"/>
    </row>
    <row r="30046">
      <c r="C30046" s="15"/>
      <c r="E30046" s="8"/>
      <c r="G30046" s="8"/>
      <c r="J30046" s="8"/>
    </row>
    <row r="30047">
      <c r="C30047" s="15"/>
      <c r="E30047" s="8"/>
      <c r="G30047" s="8"/>
      <c r="J30047" s="8"/>
    </row>
    <row r="30048">
      <c r="C30048" s="15"/>
      <c r="E30048" s="8"/>
      <c r="G30048" s="8"/>
      <c r="J30048" s="8"/>
    </row>
    <row r="30049">
      <c r="C30049" s="15"/>
      <c r="E30049" s="8"/>
      <c r="G30049" s="8"/>
      <c r="J30049" s="8"/>
    </row>
    <row r="30050">
      <c r="C30050" s="15"/>
      <c r="E30050" s="8"/>
      <c r="G30050" s="8"/>
      <c r="J30050" s="8"/>
    </row>
    <row r="30051">
      <c r="C30051" s="15"/>
      <c r="E30051" s="8"/>
      <c r="G30051" s="8"/>
      <c r="J30051" s="8"/>
    </row>
    <row r="30052">
      <c r="C30052" s="15"/>
      <c r="E30052" s="8"/>
      <c r="G30052" s="8"/>
      <c r="J30052" s="8"/>
    </row>
    <row r="30053">
      <c r="C30053" s="15"/>
      <c r="E30053" s="8"/>
      <c r="G30053" s="8"/>
      <c r="J30053" s="8"/>
    </row>
    <row r="30054">
      <c r="C30054" s="15"/>
      <c r="E30054" s="8"/>
      <c r="G30054" s="8"/>
      <c r="J30054" s="8"/>
    </row>
    <row r="30055">
      <c r="C30055" s="15"/>
      <c r="E30055" s="8"/>
      <c r="G30055" s="8"/>
      <c r="J30055" s="8"/>
    </row>
    <row r="30056">
      <c r="C30056" s="15"/>
      <c r="E30056" s="8"/>
      <c r="G30056" s="8"/>
      <c r="J30056" s="8"/>
    </row>
    <row r="30057">
      <c r="C30057" s="15"/>
      <c r="E30057" s="8"/>
      <c r="G30057" s="8"/>
      <c r="J30057" s="8"/>
    </row>
    <row r="30058">
      <c r="C30058" s="15"/>
      <c r="E30058" s="8"/>
      <c r="G30058" s="8"/>
      <c r="J30058" s="8"/>
    </row>
    <row r="30059">
      <c r="C30059" s="15"/>
      <c r="E30059" s="8"/>
      <c r="G30059" s="8"/>
      <c r="J30059" s="8"/>
    </row>
    <row r="30060">
      <c r="C30060" s="15"/>
      <c r="E30060" s="8"/>
      <c r="G30060" s="8"/>
      <c r="J30060" s="8"/>
    </row>
    <row r="30061">
      <c r="C30061" s="15"/>
      <c r="E30061" s="8"/>
      <c r="G30061" s="8"/>
      <c r="J30061" s="8"/>
    </row>
    <row r="30062">
      <c r="C30062" s="15"/>
      <c r="E30062" s="8"/>
      <c r="G30062" s="8"/>
      <c r="J30062" s="8"/>
    </row>
    <row r="30063">
      <c r="C30063" s="15"/>
      <c r="E30063" s="8"/>
      <c r="G30063" s="8"/>
      <c r="J30063" s="8"/>
    </row>
    <row r="30064">
      <c r="C30064" s="15"/>
      <c r="E30064" s="8"/>
      <c r="G30064" s="8"/>
      <c r="J30064" s="8"/>
    </row>
    <row r="30065">
      <c r="C30065" s="15"/>
      <c r="E30065" s="8"/>
      <c r="G30065" s="8"/>
      <c r="J30065" s="8"/>
    </row>
    <row r="30066">
      <c r="C30066" s="15"/>
      <c r="E30066" s="8"/>
      <c r="G30066" s="8"/>
      <c r="J30066" s="8"/>
    </row>
    <row r="30067">
      <c r="C30067" s="15"/>
      <c r="E30067" s="8"/>
      <c r="G30067" s="8"/>
      <c r="J30067" s="8"/>
    </row>
    <row r="30068">
      <c r="C30068" s="15"/>
      <c r="E30068" s="8"/>
      <c r="G30068" s="8"/>
      <c r="J30068" s="8"/>
    </row>
    <row r="30069">
      <c r="C30069" s="15"/>
      <c r="E30069" s="8"/>
      <c r="G30069" s="8"/>
      <c r="J30069" s="8"/>
    </row>
    <row r="30070">
      <c r="C30070" s="15"/>
      <c r="E30070" s="8"/>
      <c r="G30070" s="8"/>
      <c r="J30070" s="8"/>
    </row>
    <row r="30071">
      <c r="C30071" s="15"/>
      <c r="E30071" s="8"/>
      <c r="G30071" s="8"/>
      <c r="J30071" s="8"/>
    </row>
    <row r="30072">
      <c r="C30072" s="15"/>
      <c r="E30072" s="8"/>
      <c r="G30072" s="8"/>
      <c r="J30072" s="8"/>
    </row>
    <row r="30073">
      <c r="C30073" s="15"/>
      <c r="E30073" s="8"/>
      <c r="G30073" s="8"/>
      <c r="J30073" s="8"/>
    </row>
    <row r="30074">
      <c r="C30074" s="15"/>
      <c r="E30074" s="8"/>
      <c r="G30074" s="8"/>
      <c r="J30074" s="8"/>
    </row>
    <row r="30075">
      <c r="C30075" s="15"/>
      <c r="E30075" s="8"/>
      <c r="G30075" s="8"/>
      <c r="J30075" s="8"/>
    </row>
    <row r="30076">
      <c r="C30076" s="15"/>
      <c r="E30076" s="8"/>
      <c r="G30076" s="8"/>
      <c r="J30076" s="8"/>
    </row>
    <row r="30077">
      <c r="C30077" s="15"/>
      <c r="E30077" s="8"/>
      <c r="G30077" s="8"/>
      <c r="J30077" s="8"/>
    </row>
    <row r="30078">
      <c r="C30078" s="15"/>
      <c r="E30078" s="8"/>
      <c r="G30078" s="8"/>
      <c r="J30078" s="8"/>
    </row>
    <row r="30079">
      <c r="C30079" s="15"/>
      <c r="E30079" s="8"/>
      <c r="G30079" s="8"/>
      <c r="J30079" s="8"/>
    </row>
    <row r="30080">
      <c r="C30080" s="15"/>
      <c r="E30080" s="8"/>
      <c r="G30080" s="8"/>
      <c r="J30080" s="8"/>
    </row>
    <row r="30081">
      <c r="C30081" s="15"/>
      <c r="E30081" s="8"/>
      <c r="G30081" s="8"/>
      <c r="J30081" s="8"/>
    </row>
    <row r="30082">
      <c r="C30082" s="15"/>
      <c r="E30082" s="8"/>
      <c r="G30082" s="8"/>
      <c r="J30082" s="8"/>
    </row>
    <row r="30083">
      <c r="C30083" s="15"/>
      <c r="E30083" s="8"/>
      <c r="G30083" s="8"/>
      <c r="J30083" s="8"/>
    </row>
    <row r="30084">
      <c r="C30084" s="15"/>
      <c r="E30084" s="8"/>
      <c r="G30084" s="8"/>
      <c r="J30084" s="8"/>
    </row>
    <row r="30085">
      <c r="C30085" s="15"/>
      <c r="E30085" s="8"/>
      <c r="G30085" s="8"/>
      <c r="J30085" s="8"/>
    </row>
    <row r="30086">
      <c r="C30086" s="15"/>
      <c r="E30086" s="8"/>
      <c r="G30086" s="8"/>
      <c r="J30086" s="8"/>
    </row>
    <row r="30087">
      <c r="C30087" s="15"/>
      <c r="E30087" s="8"/>
      <c r="G30087" s="8"/>
      <c r="J30087" s="8"/>
    </row>
    <row r="30088">
      <c r="C30088" s="15"/>
      <c r="E30088" s="8"/>
      <c r="G30088" s="8"/>
      <c r="J30088" s="8"/>
    </row>
    <row r="30089">
      <c r="C30089" s="15"/>
      <c r="E30089" s="8"/>
      <c r="G30089" s="8"/>
      <c r="J30089" s="8"/>
    </row>
    <row r="30090">
      <c r="C30090" s="15"/>
      <c r="E30090" s="8"/>
      <c r="G30090" s="8"/>
      <c r="J30090" s="8"/>
    </row>
    <row r="30091">
      <c r="C30091" s="15"/>
      <c r="E30091" s="8"/>
      <c r="G30091" s="8"/>
      <c r="J30091" s="8"/>
    </row>
    <row r="30092">
      <c r="C30092" s="15"/>
      <c r="E30092" s="8"/>
      <c r="G30092" s="8"/>
      <c r="J30092" s="8"/>
    </row>
    <row r="30093">
      <c r="C30093" s="15"/>
      <c r="E30093" s="8"/>
      <c r="G30093" s="8"/>
      <c r="J30093" s="8"/>
    </row>
    <row r="30094">
      <c r="C30094" s="15"/>
      <c r="E30094" s="8"/>
      <c r="G30094" s="8"/>
      <c r="J30094" s="8"/>
    </row>
    <row r="30095">
      <c r="C30095" s="15"/>
      <c r="E30095" s="8"/>
      <c r="G30095" s="8"/>
      <c r="J30095" s="8"/>
    </row>
    <row r="30096">
      <c r="C30096" s="15"/>
      <c r="E30096" s="8"/>
      <c r="G30096" s="8"/>
      <c r="J30096" s="8"/>
    </row>
    <row r="30097">
      <c r="C30097" s="15"/>
      <c r="E30097" s="8"/>
      <c r="G30097" s="8"/>
      <c r="J30097" s="8"/>
    </row>
    <row r="30098">
      <c r="C30098" s="15"/>
      <c r="E30098" s="8"/>
      <c r="G30098" s="8"/>
      <c r="J30098" s="8"/>
    </row>
    <row r="30099">
      <c r="C30099" s="15"/>
      <c r="E30099" s="8"/>
      <c r="G30099" s="8"/>
      <c r="J30099" s="8"/>
    </row>
    <row r="30100">
      <c r="C30100" s="15"/>
      <c r="E30100" s="8"/>
      <c r="G30100" s="8"/>
      <c r="J30100" s="8"/>
    </row>
    <row r="30101">
      <c r="C30101" s="15"/>
      <c r="E30101" s="8"/>
      <c r="G30101" s="8"/>
      <c r="J30101" s="8"/>
    </row>
    <row r="30102">
      <c r="C30102" s="15"/>
      <c r="E30102" s="8"/>
      <c r="G30102" s="8"/>
      <c r="J30102" s="8"/>
    </row>
    <row r="30103">
      <c r="C30103" s="15"/>
      <c r="E30103" s="8"/>
      <c r="G30103" s="8"/>
      <c r="J30103" s="8"/>
    </row>
    <row r="30104">
      <c r="C30104" s="15"/>
      <c r="E30104" s="8"/>
      <c r="G30104" s="8"/>
      <c r="J30104" s="8"/>
    </row>
    <row r="30105">
      <c r="C30105" s="15"/>
      <c r="E30105" s="8"/>
      <c r="G30105" s="8"/>
      <c r="J30105" s="8"/>
    </row>
    <row r="30106">
      <c r="C30106" s="15"/>
      <c r="E30106" s="8"/>
      <c r="G30106" s="8"/>
      <c r="J30106" s="8"/>
    </row>
    <row r="30107">
      <c r="C30107" s="15"/>
      <c r="E30107" s="8"/>
      <c r="G30107" s="8"/>
      <c r="J30107" s="8"/>
    </row>
    <row r="30108">
      <c r="C30108" s="15"/>
      <c r="E30108" s="8"/>
      <c r="G30108" s="8"/>
      <c r="J30108" s="8"/>
    </row>
    <row r="30109">
      <c r="C30109" s="15"/>
      <c r="E30109" s="8"/>
      <c r="G30109" s="8"/>
      <c r="J30109" s="8"/>
    </row>
    <row r="30110">
      <c r="C30110" s="15"/>
      <c r="E30110" s="8"/>
      <c r="G30110" s="8"/>
      <c r="J30110" s="8"/>
    </row>
    <row r="30111">
      <c r="C30111" s="15"/>
      <c r="E30111" s="8"/>
      <c r="G30111" s="8"/>
      <c r="J30111" s="8"/>
    </row>
    <row r="30112">
      <c r="C30112" s="15"/>
      <c r="E30112" s="8"/>
      <c r="G30112" s="8"/>
      <c r="J30112" s="8"/>
    </row>
    <row r="30113">
      <c r="C30113" s="15"/>
      <c r="E30113" s="8"/>
      <c r="G30113" s="8"/>
      <c r="J30113" s="8"/>
    </row>
    <row r="30114">
      <c r="C30114" s="15"/>
      <c r="E30114" s="8"/>
      <c r="G30114" s="8"/>
      <c r="J30114" s="8"/>
    </row>
    <row r="30115">
      <c r="C30115" s="15"/>
      <c r="E30115" s="8"/>
      <c r="G30115" s="8"/>
      <c r="J30115" s="8"/>
    </row>
    <row r="30116">
      <c r="C30116" s="15"/>
      <c r="E30116" s="8"/>
      <c r="G30116" s="8"/>
      <c r="J30116" s="8"/>
    </row>
    <row r="30117">
      <c r="C30117" s="15"/>
      <c r="E30117" s="8"/>
      <c r="G30117" s="8"/>
      <c r="J30117" s="8"/>
    </row>
    <row r="30118">
      <c r="C30118" s="15"/>
      <c r="E30118" s="8"/>
      <c r="G30118" s="8"/>
      <c r="J30118" s="8"/>
    </row>
    <row r="30119">
      <c r="C30119" s="15"/>
      <c r="E30119" s="8"/>
      <c r="G30119" s="8"/>
      <c r="J30119" s="8"/>
    </row>
    <row r="30120">
      <c r="C30120" s="15"/>
      <c r="E30120" s="8"/>
      <c r="G30120" s="8"/>
      <c r="J30120" s="8"/>
    </row>
    <row r="30121">
      <c r="C30121" s="15"/>
      <c r="E30121" s="8"/>
      <c r="G30121" s="8"/>
      <c r="J30121" s="8"/>
    </row>
    <row r="30122">
      <c r="C30122" s="15"/>
      <c r="E30122" s="8"/>
      <c r="G30122" s="8"/>
      <c r="J30122" s="8"/>
    </row>
    <row r="30123">
      <c r="C30123" s="15"/>
      <c r="E30123" s="8"/>
      <c r="G30123" s="8"/>
      <c r="J30123" s="8"/>
    </row>
    <row r="30124">
      <c r="C30124" s="15"/>
      <c r="E30124" s="8"/>
      <c r="G30124" s="8"/>
      <c r="J30124" s="8"/>
    </row>
    <row r="30125">
      <c r="C30125" s="15"/>
      <c r="E30125" s="8"/>
      <c r="G30125" s="8"/>
      <c r="J30125" s="8"/>
    </row>
    <row r="30126">
      <c r="C30126" s="15"/>
      <c r="E30126" s="8"/>
      <c r="G30126" s="8"/>
      <c r="J30126" s="8"/>
    </row>
    <row r="30127">
      <c r="C30127" s="15"/>
      <c r="E30127" s="8"/>
      <c r="G30127" s="8"/>
      <c r="J30127" s="8"/>
    </row>
    <row r="30128">
      <c r="C30128" s="15"/>
      <c r="E30128" s="8"/>
      <c r="G30128" s="8"/>
      <c r="J30128" s="8"/>
    </row>
    <row r="30129">
      <c r="C30129" s="15"/>
      <c r="E30129" s="8"/>
      <c r="G30129" s="8"/>
      <c r="J30129" s="8"/>
    </row>
    <row r="30130">
      <c r="C30130" s="15"/>
      <c r="E30130" s="8"/>
      <c r="G30130" s="8"/>
      <c r="J30130" s="8"/>
    </row>
    <row r="30131">
      <c r="C30131" s="15"/>
      <c r="E30131" s="8"/>
      <c r="G30131" s="8"/>
      <c r="J30131" s="8"/>
    </row>
    <row r="30132">
      <c r="C30132" s="15"/>
      <c r="E30132" s="8"/>
      <c r="G30132" s="8"/>
      <c r="J30132" s="8"/>
    </row>
    <row r="30133">
      <c r="C30133" s="15"/>
      <c r="E30133" s="8"/>
      <c r="G30133" s="8"/>
      <c r="J30133" s="8"/>
    </row>
    <row r="30134">
      <c r="C30134" s="15"/>
      <c r="E30134" s="8"/>
      <c r="G30134" s="8"/>
      <c r="J30134" s="8"/>
    </row>
    <row r="30135">
      <c r="C30135" s="15"/>
      <c r="E30135" s="8"/>
      <c r="G30135" s="8"/>
      <c r="J30135" s="8"/>
    </row>
    <row r="30136">
      <c r="C30136" s="15"/>
      <c r="E30136" s="8"/>
      <c r="G30136" s="8"/>
      <c r="J30136" s="8"/>
    </row>
    <row r="30137">
      <c r="C30137" s="15"/>
      <c r="E30137" s="8"/>
      <c r="G30137" s="8"/>
      <c r="J30137" s="8"/>
    </row>
    <row r="30138">
      <c r="C30138" s="15"/>
      <c r="E30138" s="8"/>
      <c r="G30138" s="8"/>
      <c r="J30138" s="8"/>
    </row>
    <row r="30139">
      <c r="C30139" s="15"/>
      <c r="E30139" s="8"/>
      <c r="G30139" s="8"/>
      <c r="J30139" s="8"/>
    </row>
    <row r="30140">
      <c r="C30140" s="15"/>
      <c r="E30140" s="8"/>
      <c r="G30140" s="8"/>
      <c r="J30140" s="8"/>
    </row>
    <row r="30141">
      <c r="C30141" s="15"/>
      <c r="E30141" s="8"/>
      <c r="G30141" s="8"/>
      <c r="J30141" s="8"/>
    </row>
    <row r="30142">
      <c r="C30142" s="15"/>
      <c r="E30142" s="8"/>
      <c r="G30142" s="8"/>
      <c r="J30142" s="8"/>
    </row>
    <row r="30143">
      <c r="C30143" s="15"/>
      <c r="E30143" s="8"/>
      <c r="G30143" s="8"/>
      <c r="J30143" s="8"/>
    </row>
    <row r="30144">
      <c r="C30144" s="15"/>
      <c r="E30144" s="8"/>
      <c r="G30144" s="8"/>
      <c r="J30144" s="8"/>
    </row>
    <row r="30145">
      <c r="C30145" s="15"/>
      <c r="E30145" s="8"/>
      <c r="G30145" s="8"/>
      <c r="J30145" s="8"/>
    </row>
    <row r="30146">
      <c r="C30146" s="15"/>
      <c r="E30146" s="8"/>
      <c r="G30146" s="8"/>
      <c r="J30146" s="8"/>
    </row>
    <row r="30147">
      <c r="C30147" s="15"/>
      <c r="E30147" s="8"/>
      <c r="G30147" s="8"/>
      <c r="J30147" s="8"/>
    </row>
    <row r="30148">
      <c r="C30148" s="15"/>
      <c r="E30148" s="8"/>
      <c r="G30148" s="8"/>
      <c r="J30148" s="8"/>
    </row>
    <row r="30149">
      <c r="C30149" s="15"/>
      <c r="E30149" s="8"/>
      <c r="G30149" s="8"/>
      <c r="J30149" s="8"/>
    </row>
    <row r="30150">
      <c r="C30150" s="15"/>
      <c r="E30150" s="8"/>
      <c r="G30150" s="8"/>
      <c r="J30150" s="8"/>
    </row>
    <row r="30151">
      <c r="C30151" s="15"/>
      <c r="E30151" s="8"/>
      <c r="G30151" s="8"/>
      <c r="J30151" s="8"/>
    </row>
    <row r="30152">
      <c r="C30152" s="15"/>
      <c r="E30152" s="8"/>
      <c r="G30152" s="8"/>
      <c r="J30152" s="8"/>
    </row>
    <row r="30153">
      <c r="C30153" s="15"/>
      <c r="E30153" s="8"/>
      <c r="G30153" s="8"/>
      <c r="J30153" s="8"/>
    </row>
    <row r="30154">
      <c r="C30154" s="15"/>
      <c r="E30154" s="8"/>
      <c r="G30154" s="8"/>
      <c r="J30154" s="8"/>
    </row>
    <row r="30155">
      <c r="C30155" s="15"/>
      <c r="E30155" s="8"/>
      <c r="G30155" s="8"/>
      <c r="J30155" s="8"/>
    </row>
    <row r="30156">
      <c r="C30156" s="15"/>
      <c r="E30156" s="8"/>
      <c r="G30156" s="8"/>
      <c r="J30156" s="8"/>
    </row>
    <row r="30157">
      <c r="C30157" s="15"/>
      <c r="E30157" s="8"/>
      <c r="G30157" s="8"/>
      <c r="J30157" s="8"/>
    </row>
    <row r="30158">
      <c r="C30158" s="15"/>
      <c r="E30158" s="8"/>
      <c r="G30158" s="8"/>
      <c r="J30158" s="8"/>
    </row>
    <row r="30159">
      <c r="C30159" s="15"/>
      <c r="E30159" s="8"/>
      <c r="G30159" s="8"/>
      <c r="J30159" s="8"/>
    </row>
    <row r="30160">
      <c r="C30160" s="15"/>
      <c r="E30160" s="8"/>
      <c r="G30160" s="8"/>
      <c r="J30160" s="8"/>
    </row>
    <row r="30161">
      <c r="C30161" s="15"/>
      <c r="E30161" s="8"/>
      <c r="G30161" s="8"/>
      <c r="J30161" s="8"/>
    </row>
    <row r="30162">
      <c r="C30162" s="15"/>
      <c r="E30162" s="8"/>
      <c r="G30162" s="8"/>
      <c r="J30162" s="8"/>
    </row>
    <row r="30163">
      <c r="C30163" s="15"/>
      <c r="E30163" s="8"/>
      <c r="G30163" s="8"/>
      <c r="J30163" s="8"/>
    </row>
    <row r="30164">
      <c r="C30164" s="15"/>
      <c r="E30164" s="8"/>
      <c r="G30164" s="8"/>
      <c r="J30164" s="8"/>
    </row>
    <row r="30165">
      <c r="C30165" s="15"/>
      <c r="E30165" s="8"/>
      <c r="G30165" s="8"/>
      <c r="J30165" s="8"/>
    </row>
    <row r="30166">
      <c r="C30166" s="15"/>
      <c r="E30166" s="8"/>
      <c r="G30166" s="8"/>
      <c r="J30166" s="8"/>
    </row>
    <row r="30167">
      <c r="C30167" s="15"/>
      <c r="E30167" s="8"/>
      <c r="G30167" s="8"/>
      <c r="J30167" s="8"/>
    </row>
    <row r="30168">
      <c r="C30168" s="15"/>
      <c r="E30168" s="8"/>
      <c r="G30168" s="8"/>
      <c r="J30168" s="8"/>
    </row>
    <row r="30169">
      <c r="C30169" s="15"/>
      <c r="E30169" s="8"/>
      <c r="G30169" s="8"/>
      <c r="J30169" s="8"/>
    </row>
    <row r="30170">
      <c r="C30170" s="15"/>
      <c r="E30170" s="8"/>
      <c r="G30170" s="8"/>
      <c r="J30170" s="8"/>
    </row>
    <row r="30171">
      <c r="C30171" s="15"/>
      <c r="E30171" s="8"/>
      <c r="G30171" s="8"/>
      <c r="J30171" s="8"/>
    </row>
    <row r="30172">
      <c r="C30172" s="15"/>
      <c r="E30172" s="8"/>
      <c r="G30172" s="8"/>
      <c r="J30172" s="8"/>
    </row>
    <row r="30173">
      <c r="C30173" s="15"/>
      <c r="E30173" s="8"/>
      <c r="G30173" s="8"/>
      <c r="J30173" s="8"/>
    </row>
    <row r="30174">
      <c r="C30174" s="15"/>
      <c r="E30174" s="8"/>
      <c r="G30174" s="8"/>
      <c r="J30174" s="8"/>
    </row>
    <row r="30175">
      <c r="C30175" s="15"/>
      <c r="E30175" s="8"/>
      <c r="G30175" s="8"/>
      <c r="J30175" s="8"/>
    </row>
    <row r="30176">
      <c r="C30176" s="15"/>
      <c r="E30176" s="8"/>
      <c r="G30176" s="8"/>
      <c r="J30176" s="8"/>
    </row>
    <row r="30177">
      <c r="C30177" s="15"/>
      <c r="E30177" s="8"/>
      <c r="G30177" s="8"/>
      <c r="J30177" s="8"/>
    </row>
    <row r="30178">
      <c r="C30178" s="15"/>
      <c r="E30178" s="8"/>
      <c r="G30178" s="8"/>
      <c r="J30178" s="8"/>
    </row>
    <row r="30179">
      <c r="C30179" s="15"/>
      <c r="E30179" s="8"/>
      <c r="G30179" s="8"/>
      <c r="J30179" s="8"/>
    </row>
    <row r="30180">
      <c r="C30180" s="15"/>
      <c r="E30180" s="8"/>
      <c r="G30180" s="8"/>
      <c r="J30180" s="8"/>
    </row>
    <row r="30181">
      <c r="C30181" s="15"/>
      <c r="E30181" s="8"/>
      <c r="G30181" s="8"/>
      <c r="J30181" s="8"/>
    </row>
    <row r="30182">
      <c r="C30182" s="15"/>
      <c r="E30182" s="8"/>
      <c r="G30182" s="8"/>
      <c r="J30182" s="8"/>
    </row>
    <row r="30183">
      <c r="C30183" s="15"/>
      <c r="E30183" s="8"/>
      <c r="G30183" s="8"/>
      <c r="J30183" s="8"/>
    </row>
    <row r="30184">
      <c r="C30184" s="15"/>
      <c r="E30184" s="8"/>
      <c r="G30184" s="8"/>
      <c r="J30184" s="8"/>
    </row>
    <row r="30185">
      <c r="C30185" s="15"/>
      <c r="E30185" s="8"/>
      <c r="G30185" s="8"/>
      <c r="J30185" s="8"/>
    </row>
    <row r="30186">
      <c r="C30186" s="15"/>
      <c r="E30186" s="8"/>
      <c r="G30186" s="8"/>
      <c r="J30186" s="8"/>
    </row>
    <row r="30187">
      <c r="C30187" s="15"/>
      <c r="E30187" s="8"/>
      <c r="G30187" s="8"/>
      <c r="J30187" s="8"/>
    </row>
    <row r="30188">
      <c r="C30188" s="15"/>
      <c r="E30188" s="8"/>
      <c r="G30188" s="8"/>
      <c r="J30188" s="8"/>
    </row>
    <row r="30189">
      <c r="C30189" s="15"/>
      <c r="E30189" s="8"/>
      <c r="G30189" s="8"/>
      <c r="J30189" s="8"/>
    </row>
    <row r="30190">
      <c r="C30190" s="15"/>
      <c r="E30190" s="8"/>
      <c r="G30190" s="8"/>
      <c r="J30190" s="8"/>
    </row>
    <row r="30191">
      <c r="C30191" s="15"/>
      <c r="E30191" s="8"/>
      <c r="G30191" s="8"/>
      <c r="J30191" s="8"/>
    </row>
    <row r="30192">
      <c r="C30192" s="15"/>
      <c r="E30192" s="8"/>
      <c r="G30192" s="8"/>
      <c r="J30192" s="8"/>
    </row>
    <row r="30193">
      <c r="C30193" s="15"/>
      <c r="E30193" s="8"/>
      <c r="G30193" s="8"/>
      <c r="J30193" s="8"/>
    </row>
    <row r="30194">
      <c r="C30194" s="15"/>
      <c r="E30194" s="8"/>
      <c r="G30194" s="8"/>
      <c r="J30194" s="8"/>
    </row>
    <row r="30195">
      <c r="C30195" s="15"/>
      <c r="E30195" s="8"/>
      <c r="G30195" s="8"/>
      <c r="J30195" s="8"/>
    </row>
    <row r="30196">
      <c r="C30196" s="15"/>
      <c r="E30196" s="8"/>
      <c r="G30196" s="8"/>
      <c r="J30196" s="8"/>
    </row>
    <row r="30197">
      <c r="C30197" s="15"/>
      <c r="E30197" s="8"/>
      <c r="G30197" s="8"/>
      <c r="J30197" s="8"/>
    </row>
    <row r="30198">
      <c r="C30198" s="15"/>
      <c r="E30198" s="8"/>
      <c r="G30198" s="8"/>
      <c r="J30198" s="8"/>
    </row>
    <row r="30199">
      <c r="C30199" s="15"/>
      <c r="E30199" s="8"/>
      <c r="G30199" s="8"/>
      <c r="J30199" s="8"/>
    </row>
    <row r="30200">
      <c r="C30200" s="15"/>
      <c r="E30200" s="8"/>
      <c r="G30200" s="8"/>
      <c r="J30200" s="8"/>
    </row>
    <row r="30201">
      <c r="C30201" s="15"/>
      <c r="E30201" s="8"/>
      <c r="G30201" s="8"/>
      <c r="J30201" s="8"/>
    </row>
    <row r="30202">
      <c r="C30202" s="15"/>
      <c r="E30202" s="8"/>
      <c r="G30202" s="8"/>
      <c r="J30202" s="8"/>
    </row>
    <row r="30203">
      <c r="C30203" s="15"/>
      <c r="E30203" s="8"/>
      <c r="G30203" s="8"/>
      <c r="J30203" s="8"/>
    </row>
    <row r="30204">
      <c r="C30204" s="15"/>
      <c r="E30204" s="8"/>
      <c r="G30204" s="8"/>
      <c r="J30204" s="8"/>
    </row>
    <row r="30205">
      <c r="C30205" s="15"/>
      <c r="E30205" s="8"/>
      <c r="G30205" s="8"/>
      <c r="J30205" s="8"/>
    </row>
    <row r="30206">
      <c r="C30206" s="15"/>
      <c r="E30206" s="8"/>
      <c r="G30206" s="8"/>
      <c r="J30206" s="8"/>
    </row>
    <row r="30207">
      <c r="C30207" s="15"/>
      <c r="E30207" s="8"/>
      <c r="G30207" s="8"/>
      <c r="J30207" s="8"/>
    </row>
    <row r="30208">
      <c r="C30208" s="15"/>
      <c r="E30208" s="8"/>
      <c r="G30208" s="8"/>
      <c r="J30208" s="8"/>
    </row>
    <row r="30209">
      <c r="C30209" s="15"/>
      <c r="E30209" s="8"/>
      <c r="G30209" s="8"/>
      <c r="J30209" s="8"/>
    </row>
    <row r="30210">
      <c r="C30210" s="15"/>
      <c r="E30210" s="8"/>
      <c r="G30210" s="8"/>
      <c r="J30210" s="8"/>
    </row>
    <row r="30211">
      <c r="C30211" s="15"/>
      <c r="E30211" s="8"/>
      <c r="G30211" s="8"/>
      <c r="J30211" s="8"/>
    </row>
    <row r="30212">
      <c r="C30212" s="15"/>
      <c r="E30212" s="8"/>
      <c r="G30212" s="8"/>
      <c r="J30212" s="8"/>
    </row>
    <row r="30213">
      <c r="C30213" s="15"/>
      <c r="E30213" s="8"/>
      <c r="G30213" s="8"/>
      <c r="J30213" s="8"/>
    </row>
    <row r="30214">
      <c r="C30214" s="15"/>
      <c r="E30214" s="8"/>
      <c r="G30214" s="8"/>
      <c r="J30214" s="8"/>
    </row>
    <row r="30215">
      <c r="C30215" s="15"/>
      <c r="E30215" s="8"/>
      <c r="G30215" s="8"/>
      <c r="J30215" s="8"/>
    </row>
    <row r="30216">
      <c r="C30216" s="15"/>
      <c r="E30216" s="8"/>
      <c r="G30216" s="8"/>
      <c r="J30216" s="8"/>
    </row>
    <row r="30217">
      <c r="C30217" s="15"/>
      <c r="E30217" s="8"/>
      <c r="G30217" s="8"/>
      <c r="J30217" s="8"/>
    </row>
    <row r="30218">
      <c r="C30218" s="15"/>
      <c r="E30218" s="8"/>
      <c r="G30218" s="8"/>
      <c r="J30218" s="8"/>
    </row>
    <row r="30219">
      <c r="C30219" s="15"/>
      <c r="E30219" s="8"/>
      <c r="G30219" s="8"/>
      <c r="J30219" s="8"/>
    </row>
    <row r="30220">
      <c r="C30220" s="15"/>
      <c r="E30220" s="8"/>
      <c r="G30220" s="8"/>
      <c r="J30220" s="8"/>
    </row>
    <row r="30221">
      <c r="C30221" s="15"/>
      <c r="E30221" s="8"/>
      <c r="G30221" s="8"/>
      <c r="J30221" s="8"/>
    </row>
    <row r="30222">
      <c r="C30222" s="15"/>
      <c r="E30222" s="8"/>
      <c r="G30222" s="8"/>
      <c r="J30222" s="8"/>
    </row>
    <row r="30223">
      <c r="C30223" s="15"/>
      <c r="E30223" s="8"/>
      <c r="G30223" s="8"/>
      <c r="J30223" s="8"/>
    </row>
    <row r="30224">
      <c r="C30224" s="15"/>
      <c r="E30224" s="8"/>
      <c r="G30224" s="8"/>
      <c r="J30224" s="8"/>
    </row>
    <row r="30225">
      <c r="C30225" s="15"/>
      <c r="E30225" s="8"/>
      <c r="G30225" s="8"/>
      <c r="J30225" s="8"/>
    </row>
    <row r="30226">
      <c r="C30226" s="15"/>
      <c r="E30226" s="8"/>
      <c r="G30226" s="8"/>
      <c r="J30226" s="8"/>
    </row>
    <row r="30227">
      <c r="C30227" s="15"/>
      <c r="E30227" s="8"/>
      <c r="G30227" s="8"/>
      <c r="J30227" s="8"/>
    </row>
    <row r="30228">
      <c r="C30228" s="15"/>
      <c r="E30228" s="8"/>
      <c r="G30228" s="8"/>
      <c r="J30228" s="8"/>
    </row>
    <row r="30229">
      <c r="C30229" s="15"/>
      <c r="E30229" s="8"/>
      <c r="G30229" s="8"/>
      <c r="J30229" s="8"/>
    </row>
    <row r="30230">
      <c r="C30230" s="15"/>
      <c r="E30230" s="8"/>
      <c r="G30230" s="8"/>
      <c r="J30230" s="8"/>
    </row>
    <row r="30231">
      <c r="C30231" s="15"/>
      <c r="E30231" s="8"/>
      <c r="G30231" s="8"/>
      <c r="J30231" s="8"/>
    </row>
    <row r="30232">
      <c r="C30232" s="15"/>
      <c r="E30232" s="8"/>
      <c r="G30232" s="8"/>
      <c r="J30232" s="8"/>
    </row>
    <row r="30233">
      <c r="C30233" s="15"/>
      <c r="E30233" s="8"/>
      <c r="G30233" s="8"/>
      <c r="J30233" s="8"/>
    </row>
    <row r="30234">
      <c r="C30234" s="15"/>
      <c r="E30234" s="8"/>
      <c r="G30234" s="8"/>
      <c r="J30234" s="8"/>
    </row>
    <row r="30235">
      <c r="C30235" s="15"/>
      <c r="E30235" s="8"/>
      <c r="G30235" s="8"/>
      <c r="J30235" s="8"/>
    </row>
    <row r="30236">
      <c r="C30236" s="15"/>
      <c r="E30236" s="8"/>
      <c r="G30236" s="8"/>
      <c r="J30236" s="8"/>
    </row>
    <row r="30237">
      <c r="C30237" s="15"/>
      <c r="E30237" s="8"/>
      <c r="G30237" s="8"/>
      <c r="J30237" s="8"/>
    </row>
    <row r="30238">
      <c r="C30238" s="15"/>
      <c r="E30238" s="8"/>
      <c r="G30238" s="8"/>
      <c r="J30238" s="8"/>
    </row>
    <row r="30239">
      <c r="C30239" s="15"/>
      <c r="E30239" s="8"/>
      <c r="G30239" s="8"/>
      <c r="J30239" s="8"/>
    </row>
    <row r="30240">
      <c r="C30240" s="15"/>
      <c r="E30240" s="8"/>
      <c r="G30240" s="8"/>
      <c r="J30240" s="8"/>
    </row>
    <row r="30241">
      <c r="C30241" s="15"/>
      <c r="E30241" s="8"/>
      <c r="G30241" s="8"/>
      <c r="J30241" s="8"/>
    </row>
    <row r="30242">
      <c r="C30242" s="15"/>
      <c r="E30242" s="8"/>
      <c r="G30242" s="8"/>
      <c r="J30242" s="8"/>
    </row>
    <row r="30243">
      <c r="C30243" s="15"/>
      <c r="E30243" s="8"/>
      <c r="G30243" s="8"/>
      <c r="J30243" s="8"/>
    </row>
    <row r="30244">
      <c r="C30244" s="15"/>
      <c r="E30244" s="8"/>
      <c r="G30244" s="8"/>
      <c r="J30244" s="8"/>
    </row>
    <row r="30245">
      <c r="C30245" s="15"/>
      <c r="E30245" s="8"/>
      <c r="G30245" s="8"/>
      <c r="J30245" s="8"/>
    </row>
    <row r="30246">
      <c r="C30246" s="15"/>
      <c r="E30246" s="8"/>
      <c r="G30246" s="8"/>
      <c r="J30246" s="8"/>
    </row>
    <row r="30247">
      <c r="C30247" s="15"/>
      <c r="E30247" s="8"/>
      <c r="G30247" s="8"/>
      <c r="J30247" s="8"/>
    </row>
    <row r="30248">
      <c r="C30248" s="15"/>
      <c r="E30248" s="8"/>
      <c r="G30248" s="8"/>
      <c r="J30248" s="8"/>
    </row>
    <row r="30249">
      <c r="C30249" s="15"/>
      <c r="E30249" s="8"/>
      <c r="G30249" s="8"/>
      <c r="J30249" s="8"/>
    </row>
    <row r="30250">
      <c r="C30250" s="15"/>
      <c r="E30250" s="8"/>
      <c r="G30250" s="8"/>
      <c r="J30250" s="8"/>
    </row>
    <row r="30251">
      <c r="C30251" s="15"/>
      <c r="E30251" s="8"/>
      <c r="G30251" s="8"/>
      <c r="J30251" s="8"/>
    </row>
    <row r="30252">
      <c r="C30252" s="15"/>
      <c r="E30252" s="8"/>
      <c r="G30252" s="8"/>
      <c r="J30252" s="8"/>
    </row>
    <row r="30253">
      <c r="C30253" s="15"/>
      <c r="E30253" s="8"/>
      <c r="G30253" s="8"/>
      <c r="J30253" s="8"/>
    </row>
    <row r="30254">
      <c r="C30254" s="15"/>
      <c r="E30254" s="8"/>
      <c r="G30254" s="8"/>
      <c r="J30254" s="8"/>
    </row>
    <row r="30255">
      <c r="C30255" s="15"/>
      <c r="E30255" s="8"/>
      <c r="G30255" s="8"/>
      <c r="J30255" s="8"/>
    </row>
    <row r="30256">
      <c r="C30256" s="15"/>
      <c r="E30256" s="8"/>
      <c r="G30256" s="8"/>
      <c r="J30256" s="8"/>
    </row>
    <row r="30257">
      <c r="C30257" s="15"/>
      <c r="E30257" s="8"/>
      <c r="G30257" s="8"/>
      <c r="J30257" s="8"/>
    </row>
    <row r="30258">
      <c r="C30258" s="15"/>
      <c r="E30258" s="8"/>
      <c r="G30258" s="8"/>
      <c r="J30258" s="8"/>
    </row>
    <row r="30259">
      <c r="C30259" s="15"/>
      <c r="E30259" s="8"/>
      <c r="G30259" s="8"/>
      <c r="J30259" s="8"/>
    </row>
    <row r="30260">
      <c r="C30260" s="15"/>
      <c r="E30260" s="8"/>
      <c r="G30260" s="8"/>
      <c r="J30260" s="8"/>
    </row>
    <row r="30261">
      <c r="C30261" s="15"/>
      <c r="E30261" s="8"/>
      <c r="G30261" s="8"/>
      <c r="J30261" s="8"/>
    </row>
    <row r="30262">
      <c r="C30262" s="15"/>
      <c r="E30262" s="8"/>
      <c r="G30262" s="8"/>
      <c r="J30262" s="8"/>
    </row>
    <row r="30263">
      <c r="C30263" s="15"/>
      <c r="E30263" s="8"/>
      <c r="G30263" s="8"/>
      <c r="J30263" s="8"/>
    </row>
    <row r="30264">
      <c r="C30264" s="15"/>
      <c r="E30264" s="8"/>
      <c r="G30264" s="8"/>
      <c r="J30264" s="8"/>
    </row>
    <row r="30265">
      <c r="C30265" s="15"/>
      <c r="E30265" s="8"/>
      <c r="G30265" s="8"/>
      <c r="J30265" s="8"/>
    </row>
    <row r="30266">
      <c r="C30266" s="15"/>
      <c r="E30266" s="8"/>
      <c r="G30266" s="8"/>
      <c r="J30266" s="8"/>
    </row>
    <row r="30267">
      <c r="C30267" s="15"/>
      <c r="E30267" s="8"/>
      <c r="G30267" s="8"/>
      <c r="J30267" s="8"/>
    </row>
    <row r="30268">
      <c r="C30268" s="15"/>
      <c r="E30268" s="8"/>
      <c r="G30268" s="8"/>
      <c r="J30268" s="8"/>
    </row>
    <row r="30269">
      <c r="C30269" s="15"/>
      <c r="E30269" s="8"/>
      <c r="G30269" s="8"/>
      <c r="J30269" s="8"/>
    </row>
    <row r="30270">
      <c r="C30270" s="15"/>
      <c r="E30270" s="8"/>
      <c r="G30270" s="8"/>
      <c r="J30270" s="8"/>
    </row>
    <row r="30271">
      <c r="C30271" s="15"/>
      <c r="E30271" s="8"/>
      <c r="G30271" s="8"/>
      <c r="J30271" s="8"/>
    </row>
    <row r="30272">
      <c r="C30272" s="15"/>
      <c r="E30272" s="8"/>
      <c r="G30272" s="8"/>
      <c r="J30272" s="8"/>
    </row>
    <row r="30273">
      <c r="C30273" s="15"/>
      <c r="E30273" s="8"/>
      <c r="G30273" s="8"/>
      <c r="J30273" s="8"/>
    </row>
    <row r="30274">
      <c r="C30274" s="15"/>
      <c r="E30274" s="8"/>
      <c r="G30274" s="8"/>
      <c r="J30274" s="8"/>
    </row>
    <row r="30275">
      <c r="C30275" s="15"/>
      <c r="E30275" s="8"/>
      <c r="G30275" s="8"/>
      <c r="J30275" s="8"/>
    </row>
    <row r="30276">
      <c r="C30276" s="15"/>
      <c r="E30276" s="8"/>
      <c r="G30276" s="8"/>
      <c r="J30276" s="8"/>
    </row>
    <row r="30277">
      <c r="C30277" s="15"/>
      <c r="E30277" s="8"/>
      <c r="G30277" s="8"/>
      <c r="J30277" s="8"/>
    </row>
    <row r="30278">
      <c r="C30278" s="15"/>
      <c r="E30278" s="8"/>
      <c r="G30278" s="8"/>
      <c r="J30278" s="8"/>
    </row>
    <row r="30279">
      <c r="C30279" s="15"/>
      <c r="E30279" s="8"/>
      <c r="G30279" s="8"/>
      <c r="J30279" s="8"/>
    </row>
    <row r="30280">
      <c r="C30280" s="15"/>
      <c r="E30280" s="8"/>
      <c r="G30280" s="8"/>
      <c r="J30280" s="8"/>
    </row>
    <row r="30281">
      <c r="C30281" s="15"/>
      <c r="E30281" s="8"/>
      <c r="G30281" s="8"/>
      <c r="J30281" s="8"/>
    </row>
    <row r="30282">
      <c r="C30282" s="15"/>
      <c r="E30282" s="8"/>
      <c r="G30282" s="8"/>
      <c r="J30282" s="8"/>
    </row>
    <row r="30283">
      <c r="C30283" s="15"/>
      <c r="E30283" s="8"/>
      <c r="G30283" s="8"/>
      <c r="J30283" s="8"/>
    </row>
    <row r="30284">
      <c r="C30284" s="15"/>
      <c r="E30284" s="8"/>
      <c r="G30284" s="8"/>
      <c r="J30284" s="8"/>
    </row>
    <row r="30285">
      <c r="C30285" s="15"/>
      <c r="E30285" s="8"/>
      <c r="G30285" s="8"/>
      <c r="J30285" s="8"/>
    </row>
    <row r="30286">
      <c r="C30286" s="15"/>
      <c r="E30286" s="8"/>
      <c r="G30286" s="8"/>
      <c r="J30286" s="8"/>
    </row>
    <row r="30287">
      <c r="C30287" s="15"/>
      <c r="E30287" s="8"/>
      <c r="G30287" s="8"/>
      <c r="J30287" s="8"/>
    </row>
    <row r="30288">
      <c r="C30288" s="15"/>
      <c r="E30288" s="8"/>
      <c r="G30288" s="8"/>
      <c r="J30288" s="8"/>
    </row>
    <row r="30289">
      <c r="C30289" s="15"/>
      <c r="E30289" s="8"/>
      <c r="G30289" s="8"/>
      <c r="J30289" s="8"/>
    </row>
    <row r="30290">
      <c r="C30290" s="15"/>
      <c r="E30290" s="8"/>
      <c r="G30290" s="8"/>
      <c r="J30290" s="8"/>
    </row>
    <row r="30291">
      <c r="C30291" s="15"/>
      <c r="E30291" s="8"/>
      <c r="G30291" s="8"/>
      <c r="J30291" s="8"/>
    </row>
    <row r="30292">
      <c r="C30292" s="15"/>
      <c r="E30292" s="8"/>
      <c r="G30292" s="8"/>
      <c r="J30292" s="8"/>
    </row>
    <row r="30293">
      <c r="C30293" s="15"/>
      <c r="E30293" s="8"/>
      <c r="G30293" s="8"/>
      <c r="J30293" s="8"/>
    </row>
    <row r="30294">
      <c r="C30294" s="15"/>
      <c r="E30294" s="8"/>
      <c r="G30294" s="8"/>
      <c r="J30294" s="8"/>
    </row>
    <row r="30295">
      <c r="C30295" s="15"/>
      <c r="E30295" s="8"/>
      <c r="G30295" s="8"/>
      <c r="J30295" s="8"/>
    </row>
    <row r="30296">
      <c r="C30296" s="15"/>
      <c r="E30296" s="8"/>
      <c r="G30296" s="8"/>
      <c r="J30296" s="8"/>
    </row>
    <row r="30297">
      <c r="C30297" s="15"/>
      <c r="E30297" s="8"/>
      <c r="G30297" s="8"/>
      <c r="J30297" s="8"/>
    </row>
    <row r="30298">
      <c r="C30298" s="15"/>
      <c r="E30298" s="8"/>
      <c r="G30298" s="8"/>
      <c r="J30298" s="8"/>
    </row>
    <row r="30299">
      <c r="C30299" s="15"/>
      <c r="E30299" s="8"/>
      <c r="G30299" s="8"/>
      <c r="J30299" s="8"/>
    </row>
    <row r="30300">
      <c r="C30300" s="15"/>
      <c r="E30300" s="8"/>
      <c r="G30300" s="8"/>
      <c r="J30300" s="8"/>
    </row>
    <row r="30301">
      <c r="C30301" s="15"/>
      <c r="E30301" s="8"/>
      <c r="G30301" s="8"/>
      <c r="J30301" s="8"/>
    </row>
    <row r="30302">
      <c r="C30302" s="15"/>
      <c r="E30302" s="8"/>
      <c r="G30302" s="8"/>
      <c r="J30302" s="8"/>
    </row>
    <row r="30303">
      <c r="C30303" s="15"/>
      <c r="E30303" s="8"/>
      <c r="G30303" s="8"/>
      <c r="J30303" s="8"/>
    </row>
    <row r="30304">
      <c r="C30304" s="15"/>
      <c r="E30304" s="8"/>
      <c r="G30304" s="8"/>
      <c r="J30304" s="8"/>
    </row>
    <row r="30305">
      <c r="C30305" s="15"/>
      <c r="E30305" s="8"/>
      <c r="G30305" s="8"/>
      <c r="J30305" s="8"/>
    </row>
    <row r="30306">
      <c r="C30306" s="15"/>
      <c r="E30306" s="8"/>
      <c r="G30306" s="8"/>
      <c r="J30306" s="8"/>
    </row>
    <row r="30307">
      <c r="C30307" s="15"/>
      <c r="E30307" s="8"/>
      <c r="G30307" s="8"/>
      <c r="J30307" s="8"/>
    </row>
    <row r="30308">
      <c r="C30308" s="15"/>
      <c r="E30308" s="8"/>
      <c r="G30308" s="8"/>
      <c r="J30308" s="8"/>
    </row>
    <row r="30309">
      <c r="C30309" s="15"/>
      <c r="E30309" s="8"/>
      <c r="G30309" s="8"/>
      <c r="J30309" s="8"/>
    </row>
    <row r="30310">
      <c r="C30310" s="15"/>
      <c r="E30310" s="8"/>
      <c r="G30310" s="8"/>
      <c r="J30310" s="8"/>
    </row>
    <row r="30311">
      <c r="C30311" s="15"/>
      <c r="E30311" s="8"/>
      <c r="G30311" s="8"/>
      <c r="J30311" s="8"/>
    </row>
    <row r="30312">
      <c r="C30312" s="15"/>
      <c r="E30312" s="8"/>
      <c r="G30312" s="8"/>
      <c r="J30312" s="8"/>
    </row>
    <row r="30313">
      <c r="C30313" s="15"/>
      <c r="E30313" s="8"/>
      <c r="G30313" s="8"/>
      <c r="J30313" s="8"/>
    </row>
    <row r="30314">
      <c r="C30314" s="15"/>
      <c r="E30314" s="8"/>
      <c r="G30314" s="8"/>
      <c r="J30314" s="8"/>
    </row>
    <row r="30315">
      <c r="C30315" s="15"/>
      <c r="E30315" s="8"/>
      <c r="G30315" s="8"/>
      <c r="J30315" s="8"/>
    </row>
    <row r="30316">
      <c r="C30316" s="15"/>
      <c r="E30316" s="8"/>
      <c r="G30316" s="8"/>
      <c r="J30316" s="8"/>
    </row>
    <row r="30317">
      <c r="C30317" s="15"/>
      <c r="E30317" s="8"/>
      <c r="G30317" s="8"/>
      <c r="J30317" s="8"/>
    </row>
    <row r="30318">
      <c r="C30318" s="15"/>
      <c r="E30318" s="8"/>
      <c r="G30318" s="8"/>
      <c r="J30318" s="8"/>
    </row>
    <row r="30319">
      <c r="C30319" s="15"/>
      <c r="E30319" s="8"/>
      <c r="G30319" s="8"/>
      <c r="J30319" s="8"/>
    </row>
    <row r="30320">
      <c r="C30320" s="15"/>
      <c r="E30320" s="8"/>
      <c r="G30320" s="8"/>
      <c r="J30320" s="8"/>
    </row>
    <row r="30321">
      <c r="C30321" s="15"/>
      <c r="E30321" s="8"/>
      <c r="G30321" s="8"/>
      <c r="J30321" s="8"/>
    </row>
    <row r="30322">
      <c r="C30322" s="15"/>
      <c r="E30322" s="8"/>
      <c r="G30322" s="8"/>
      <c r="J30322" s="8"/>
    </row>
    <row r="30323">
      <c r="C30323" s="15"/>
      <c r="E30323" s="8"/>
      <c r="G30323" s="8"/>
      <c r="J30323" s="8"/>
    </row>
    <row r="30324">
      <c r="C30324" s="15"/>
      <c r="E30324" s="8"/>
      <c r="G30324" s="8"/>
      <c r="J30324" s="8"/>
    </row>
    <row r="30325">
      <c r="C30325" s="15"/>
      <c r="E30325" s="8"/>
      <c r="G30325" s="8"/>
      <c r="J30325" s="8"/>
    </row>
    <row r="30326">
      <c r="C30326" s="15"/>
      <c r="E30326" s="8"/>
      <c r="G30326" s="8"/>
      <c r="J30326" s="8"/>
    </row>
    <row r="30327">
      <c r="C30327" s="15"/>
      <c r="E30327" s="8"/>
      <c r="G30327" s="8"/>
      <c r="J30327" s="8"/>
    </row>
    <row r="30328">
      <c r="C30328" s="15"/>
      <c r="E30328" s="8"/>
      <c r="G30328" s="8"/>
      <c r="J30328" s="8"/>
    </row>
    <row r="30329">
      <c r="C30329" s="15"/>
      <c r="E30329" s="8"/>
      <c r="G30329" s="8"/>
      <c r="J30329" s="8"/>
    </row>
    <row r="30330">
      <c r="C30330" s="15"/>
      <c r="E30330" s="8"/>
      <c r="G30330" s="8"/>
      <c r="J30330" s="8"/>
    </row>
    <row r="30331">
      <c r="C30331" s="15"/>
      <c r="E30331" s="8"/>
      <c r="G30331" s="8"/>
      <c r="J30331" s="8"/>
    </row>
    <row r="30332">
      <c r="C30332" s="15"/>
      <c r="E30332" s="8"/>
      <c r="G30332" s="8"/>
      <c r="J30332" s="8"/>
    </row>
    <row r="30333">
      <c r="C30333" s="15"/>
      <c r="E30333" s="8"/>
      <c r="G30333" s="8"/>
      <c r="J30333" s="8"/>
    </row>
    <row r="30334">
      <c r="C30334" s="15"/>
      <c r="E30334" s="8"/>
      <c r="G30334" s="8"/>
      <c r="J30334" s="8"/>
    </row>
    <row r="30335">
      <c r="C30335" s="15"/>
      <c r="E30335" s="8"/>
      <c r="G30335" s="8"/>
      <c r="J30335" s="8"/>
    </row>
    <row r="30336">
      <c r="C30336" s="15"/>
      <c r="E30336" s="8"/>
      <c r="G30336" s="8"/>
      <c r="J30336" s="8"/>
    </row>
    <row r="30337">
      <c r="C30337" s="15"/>
      <c r="E30337" s="8"/>
      <c r="G30337" s="8"/>
      <c r="J30337" s="8"/>
    </row>
    <row r="30338">
      <c r="C30338" s="15"/>
      <c r="E30338" s="8"/>
      <c r="G30338" s="8"/>
      <c r="J30338" s="8"/>
    </row>
    <row r="30339">
      <c r="C30339" s="15"/>
      <c r="E30339" s="8"/>
      <c r="G30339" s="8"/>
      <c r="J30339" s="8"/>
    </row>
    <row r="30340">
      <c r="C30340" s="15"/>
      <c r="E30340" s="8"/>
      <c r="G30340" s="8"/>
      <c r="J30340" s="8"/>
    </row>
    <row r="30341">
      <c r="C30341" s="15"/>
      <c r="E30341" s="8"/>
      <c r="G30341" s="8"/>
      <c r="J30341" s="8"/>
    </row>
    <row r="30342">
      <c r="C30342" s="15"/>
      <c r="E30342" s="8"/>
      <c r="G30342" s="8"/>
      <c r="J30342" s="8"/>
    </row>
    <row r="30343">
      <c r="C30343" s="15"/>
      <c r="E30343" s="8"/>
      <c r="G30343" s="8"/>
      <c r="J30343" s="8"/>
    </row>
    <row r="30344">
      <c r="C30344" s="15"/>
      <c r="E30344" s="8"/>
      <c r="G30344" s="8"/>
      <c r="J30344" s="8"/>
    </row>
    <row r="30345">
      <c r="C30345" s="15"/>
      <c r="E30345" s="8"/>
      <c r="G30345" s="8"/>
      <c r="J30345" s="8"/>
    </row>
    <row r="30346">
      <c r="C30346" s="15"/>
      <c r="E30346" s="8"/>
      <c r="G30346" s="8"/>
      <c r="J30346" s="8"/>
    </row>
    <row r="30347">
      <c r="C30347" s="15"/>
      <c r="E30347" s="8"/>
      <c r="G30347" s="8"/>
      <c r="J30347" s="8"/>
    </row>
    <row r="30348">
      <c r="C30348" s="15"/>
      <c r="E30348" s="8"/>
      <c r="G30348" s="8"/>
      <c r="J30348" s="8"/>
    </row>
    <row r="30349">
      <c r="C30349" s="15"/>
      <c r="E30349" s="8"/>
      <c r="G30349" s="8"/>
      <c r="J30349" s="8"/>
    </row>
    <row r="30350">
      <c r="C30350" s="15"/>
      <c r="E30350" s="8"/>
      <c r="G30350" s="8"/>
      <c r="J30350" s="8"/>
    </row>
    <row r="30351">
      <c r="C30351" s="15"/>
      <c r="E30351" s="8"/>
      <c r="G30351" s="8"/>
      <c r="J30351" s="8"/>
    </row>
    <row r="30352">
      <c r="C30352" s="15"/>
      <c r="E30352" s="8"/>
      <c r="G30352" s="8"/>
      <c r="J30352" s="8"/>
    </row>
    <row r="30353">
      <c r="C30353" s="15"/>
      <c r="E30353" s="8"/>
      <c r="G30353" s="8"/>
      <c r="J30353" s="8"/>
    </row>
    <row r="30354">
      <c r="C30354" s="15"/>
      <c r="E30354" s="8"/>
      <c r="G30354" s="8"/>
      <c r="J30354" s="8"/>
    </row>
    <row r="30355">
      <c r="C30355" s="15"/>
      <c r="E30355" s="8"/>
      <c r="G30355" s="8"/>
      <c r="J30355" s="8"/>
    </row>
    <row r="30356">
      <c r="C30356" s="15"/>
      <c r="E30356" s="8"/>
      <c r="G30356" s="8"/>
      <c r="J30356" s="8"/>
    </row>
    <row r="30357">
      <c r="C30357" s="15"/>
      <c r="E30357" s="8"/>
      <c r="G30357" s="8"/>
      <c r="J30357" s="8"/>
    </row>
    <row r="30358">
      <c r="C30358" s="15"/>
      <c r="E30358" s="8"/>
      <c r="G30358" s="8"/>
      <c r="J30358" s="8"/>
    </row>
    <row r="30359">
      <c r="C30359" s="15"/>
      <c r="E30359" s="8"/>
      <c r="G30359" s="8"/>
      <c r="J30359" s="8"/>
    </row>
    <row r="30360">
      <c r="C30360" s="15"/>
      <c r="E30360" s="8"/>
      <c r="G30360" s="8"/>
      <c r="J30360" s="8"/>
    </row>
    <row r="30361">
      <c r="C30361" s="15"/>
      <c r="E30361" s="8"/>
      <c r="G30361" s="8"/>
      <c r="J30361" s="8"/>
    </row>
    <row r="30362">
      <c r="C30362" s="15"/>
      <c r="E30362" s="8"/>
      <c r="G30362" s="8"/>
      <c r="J30362" s="8"/>
    </row>
    <row r="30363">
      <c r="C30363" s="15"/>
      <c r="E30363" s="8"/>
      <c r="G30363" s="8"/>
      <c r="J30363" s="8"/>
    </row>
    <row r="30364">
      <c r="C30364" s="15"/>
      <c r="E30364" s="8"/>
      <c r="G30364" s="8"/>
      <c r="J30364" s="8"/>
    </row>
    <row r="30365">
      <c r="C30365" s="15"/>
      <c r="E30365" s="8"/>
      <c r="G30365" s="8"/>
      <c r="J30365" s="8"/>
    </row>
    <row r="30366">
      <c r="C30366" s="15"/>
      <c r="E30366" s="8"/>
      <c r="G30366" s="8"/>
      <c r="J30366" s="8"/>
    </row>
    <row r="30367">
      <c r="C30367" s="15"/>
      <c r="E30367" s="8"/>
      <c r="G30367" s="8"/>
      <c r="J30367" s="8"/>
    </row>
    <row r="30368">
      <c r="C30368" s="15"/>
      <c r="E30368" s="8"/>
      <c r="G30368" s="8"/>
      <c r="J30368" s="8"/>
    </row>
    <row r="30369">
      <c r="C30369" s="15"/>
      <c r="E30369" s="8"/>
      <c r="G30369" s="8"/>
      <c r="J30369" s="8"/>
    </row>
    <row r="30370">
      <c r="C30370" s="15"/>
      <c r="E30370" s="8"/>
      <c r="G30370" s="8"/>
      <c r="J30370" s="8"/>
    </row>
    <row r="30371">
      <c r="C30371" s="15"/>
      <c r="E30371" s="8"/>
      <c r="G30371" s="8"/>
      <c r="J30371" s="8"/>
    </row>
    <row r="30372">
      <c r="C30372" s="15"/>
      <c r="E30372" s="8"/>
      <c r="G30372" s="8"/>
      <c r="J30372" s="8"/>
    </row>
    <row r="30373">
      <c r="C30373" s="15"/>
      <c r="E30373" s="8"/>
      <c r="G30373" s="8"/>
      <c r="J30373" s="8"/>
    </row>
    <row r="30374">
      <c r="C30374" s="15"/>
      <c r="E30374" s="8"/>
      <c r="G30374" s="8"/>
      <c r="J30374" s="8"/>
    </row>
    <row r="30375">
      <c r="C30375" s="15"/>
      <c r="E30375" s="8"/>
      <c r="G30375" s="8"/>
      <c r="J30375" s="8"/>
    </row>
    <row r="30376">
      <c r="C30376" s="15"/>
      <c r="E30376" s="8"/>
      <c r="G30376" s="8"/>
      <c r="J30376" s="8"/>
    </row>
    <row r="30377">
      <c r="C30377" s="15"/>
      <c r="E30377" s="8"/>
      <c r="G30377" s="8"/>
      <c r="J30377" s="8"/>
    </row>
    <row r="30378">
      <c r="C30378" s="15"/>
      <c r="E30378" s="8"/>
      <c r="G30378" s="8"/>
      <c r="J30378" s="8"/>
    </row>
    <row r="30379">
      <c r="C30379" s="15"/>
      <c r="E30379" s="8"/>
      <c r="G30379" s="8"/>
      <c r="J30379" s="8"/>
    </row>
    <row r="30380">
      <c r="C30380" s="15"/>
      <c r="E30380" s="8"/>
      <c r="G30380" s="8"/>
      <c r="J30380" s="8"/>
    </row>
    <row r="30381">
      <c r="C30381" s="15"/>
      <c r="E30381" s="8"/>
      <c r="G30381" s="8"/>
      <c r="J30381" s="8"/>
    </row>
    <row r="30382">
      <c r="C30382" s="15"/>
      <c r="E30382" s="8"/>
      <c r="G30382" s="8"/>
      <c r="J30382" s="8"/>
    </row>
    <row r="30383">
      <c r="C30383" s="15"/>
      <c r="E30383" s="8"/>
      <c r="G30383" s="8"/>
      <c r="J30383" s="8"/>
    </row>
    <row r="30384">
      <c r="C30384" s="15"/>
      <c r="E30384" s="8"/>
      <c r="G30384" s="8"/>
      <c r="J30384" s="8"/>
    </row>
    <row r="30385">
      <c r="C30385" s="15"/>
      <c r="E30385" s="8"/>
      <c r="G30385" s="8"/>
      <c r="J30385" s="8"/>
    </row>
    <row r="30386">
      <c r="C30386" s="15"/>
      <c r="E30386" s="8"/>
      <c r="G30386" s="8"/>
      <c r="J30386" s="8"/>
    </row>
    <row r="30387">
      <c r="C30387" s="15"/>
      <c r="E30387" s="8"/>
      <c r="G30387" s="8"/>
      <c r="J30387" s="8"/>
    </row>
    <row r="30388">
      <c r="C30388" s="15"/>
      <c r="E30388" s="8"/>
      <c r="G30388" s="8"/>
      <c r="J30388" s="8"/>
    </row>
    <row r="30389">
      <c r="C30389" s="15"/>
      <c r="E30389" s="8"/>
      <c r="G30389" s="8"/>
      <c r="J30389" s="8"/>
    </row>
    <row r="30390">
      <c r="C30390" s="15"/>
      <c r="E30390" s="8"/>
      <c r="G30390" s="8"/>
      <c r="J30390" s="8"/>
    </row>
    <row r="30391">
      <c r="C30391" s="15"/>
      <c r="E30391" s="8"/>
      <c r="G30391" s="8"/>
      <c r="J30391" s="8"/>
    </row>
    <row r="30392">
      <c r="C30392" s="15"/>
      <c r="E30392" s="8"/>
      <c r="G30392" s="8"/>
      <c r="J30392" s="8"/>
    </row>
    <row r="30393">
      <c r="C30393" s="15"/>
      <c r="E30393" s="8"/>
      <c r="G30393" s="8"/>
      <c r="J30393" s="8"/>
    </row>
    <row r="30394">
      <c r="C30394" s="15"/>
      <c r="E30394" s="8"/>
      <c r="G30394" s="8"/>
      <c r="J30394" s="8"/>
    </row>
    <row r="30395">
      <c r="C30395" s="15"/>
      <c r="E30395" s="8"/>
      <c r="G30395" s="8"/>
      <c r="J30395" s="8"/>
    </row>
    <row r="30396">
      <c r="C30396" s="15"/>
      <c r="E30396" s="8"/>
      <c r="G30396" s="8"/>
      <c r="J30396" s="8"/>
    </row>
    <row r="30397">
      <c r="C30397" s="15"/>
      <c r="E30397" s="8"/>
      <c r="G30397" s="8"/>
      <c r="J30397" s="8"/>
    </row>
    <row r="30398">
      <c r="C30398" s="15"/>
      <c r="E30398" s="8"/>
      <c r="G30398" s="8"/>
      <c r="J30398" s="8"/>
    </row>
    <row r="30399">
      <c r="C30399" s="15"/>
      <c r="E30399" s="8"/>
      <c r="G30399" s="8"/>
      <c r="J30399" s="8"/>
    </row>
    <row r="30400">
      <c r="C30400" s="15"/>
      <c r="E30400" s="8"/>
      <c r="G30400" s="8"/>
      <c r="J30400" s="8"/>
    </row>
    <row r="30401">
      <c r="C30401" s="15"/>
      <c r="E30401" s="8"/>
      <c r="G30401" s="8"/>
      <c r="J30401" s="8"/>
    </row>
    <row r="30402">
      <c r="C30402" s="15"/>
      <c r="E30402" s="8"/>
      <c r="G30402" s="8"/>
      <c r="J30402" s="8"/>
    </row>
    <row r="30403">
      <c r="C30403" s="15"/>
      <c r="E30403" s="8"/>
      <c r="G30403" s="8"/>
      <c r="J30403" s="8"/>
    </row>
    <row r="30404">
      <c r="C30404" s="15"/>
      <c r="E30404" s="8"/>
      <c r="G30404" s="8"/>
      <c r="J30404" s="8"/>
    </row>
    <row r="30405">
      <c r="C30405" s="15"/>
      <c r="E30405" s="8"/>
      <c r="G30405" s="8"/>
      <c r="J30405" s="8"/>
    </row>
    <row r="30406">
      <c r="C30406" s="15"/>
      <c r="E30406" s="8"/>
      <c r="G30406" s="8"/>
      <c r="J30406" s="8"/>
    </row>
    <row r="30407">
      <c r="C30407" s="15"/>
      <c r="E30407" s="8"/>
      <c r="G30407" s="8"/>
      <c r="J30407" s="8"/>
    </row>
    <row r="30408">
      <c r="C30408" s="15"/>
      <c r="E30408" s="8"/>
      <c r="G30408" s="8"/>
      <c r="J30408" s="8"/>
    </row>
    <row r="30409">
      <c r="C30409" s="15"/>
      <c r="E30409" s="8"/>
      <c r="G30409" s="8"/>
      <c r="J30409" s="8"/>
    </row>
    <row r="30410">
      <c r="C30410" s="15"/>
      <c r="E30410" s="8"/>
      <c r="G30410" s="8"/>
      <c r="J30410" s="8"/>
    </row>
    <row r="30411">
      <c r="C30411" s="15"/>
      <c r="E30411" s="8"/>
      <c r="G30411" s="8"/>
      <c r="J30411" s="8"/>
    </row>
    <row r="30412">
      <c r="C30412" s="15"/>
      <c r="E30412" s="8"/>
      <c r="G30412" s="8"/>
      <c r="J30412" s="8"/>
    </row>
    <row r="30413">
      <c r="C30413" s="15"/>
      <c r="E30413" s="8"/>
      <c r="G30413" s="8"/>
      <c r="J30413" s="8"/>
    </row>
    <row r="30414">
      <c r="C30414" s="15"/>
      <c r="E30414" s="8"/>
      <c r="G30414" s="8"/>
      <c r="J30414" s="8"/>
    </row>
    <row r="30415">
      <c r="C30415" s="15"/>
      <c r="E30415" s="8"/>
      <c r="G30415" s="8"/>
      <c r="J30415" s="8"/>
    </row>
    <row r="30416">
      <c r="C30416" s="15"/>
      <c r="E30416" s="8"/>
      <c r="G30416" s="8"/>
      <c r="J30416" s="8"/>
    </row>
    <row r="30417">
      <c r="C30417" s="15"/>
      <c r="E30417" s="8"/>
      <c r="G30417" s="8"/>
      <c r="J30417" s="8"/>
    </row>
    <row r="30418">
      <c r="C30418" s="15"/>
      <c r="E30418" s="8"/>
      <c r="G30418" s="8"/>
      <c r="J30418" s="8"/>
    </row>
    <row r="30419">
      <c r="C30419" s="15"/>
      <c r="E30419" s="8"/>
      <c r="G30419" s="8"/>
      <c r="J30419" s="8"/>
    </row>
    <row r="30420">
      <c r="C30420" s="15"/>
      <c r="E30420" s="8"/>
      <c r="G30420" s="8"/>
      <c r="J30420" s="8"/>
    </row>
    <row r="30421">
      <c r="C30421" s="15"/>
      <c r="E30421" s="8"/>
      <c r="G30421" s="8"/>
      <c r="J30421" s="8"/>
    </row>
    <row r="30422">
      <c r="C30422" s="15"/>
      <c r="E30422" s="8"/>
      <c r="G30422" s="8"/>
      <c r="J30422" s="8"/>
    </row>
    <row r="30423">
      <c r="C30423" s="15"/>
      <c r="E30423" s="8"/>
      <c r="G30423" s="8"/>
      <c r="J30423" s="8"/>
    </row>
    <row r="30424">
      <c r="C30424" s="15"/>
      <c r="E30424" s="8"/>
      <c r="G30424" s="8"/>
      <c r="J30424" s="8"/>
    </row>
    <row r="30425">
      <c r="C30425" s="15"/>
      <c r="E30425" s="8"/>
      <c r="G30425" s="8"/>
      <c r="J30425" s="8"/>
    </row>
    <row r="30426">
      <c r="C30426" s="15"/>
      <c r="E30426" s="8"/>
      <c r="G30426" s="8"/>
      <c r="J30426" s="8"/>
    </row>
    <row r="30427">
      <c r="C30427" s="15"/>
      <c r="E30427" s="8"/>
      <c r="G30427" s="8"/>
      <c r="J30427" s="8"/>
    </row>
    <row r="30428">
      <c r="C30428" s="15"/>
      <c r="E30428" s="8"/>
      <c r="G30428" s="8"/>
      <c r="J30428" s="8"/>
    </row>
    <row r="30429">
      <c r="C30429" s="15"/>
      <c r="E30429" s="8"/>
      <c r="G30429" s="8"/>
      <c r="J30429" s="8"/>
    </row>
    <row r="30430">
      <c r="C30430" s="15"/>
      <c r="E30430" s="8"/>
      <c r="G30430" s="8"/>
      <c r="J30430" s="8"/>
    </row>
    <row r="30431">
      <c r="C30431" s="15"/>
      <c r="E30431" s="8"/>
      <c r="G30431" s="8"/>
      <c r="J30431" s="8"/>
    </row>
    <row r="30432">
      <c r="C30432" s="15"/>
      <c r="E30432" s="8"/>
      <c r="G30432" s="8"/>
      <c r="J30432" s="8"/>
    </row>
    <row r="30433">
      <c r="C30433" s="15"/>
      <c r="E30433" s="8"/>
      <c r="G30433" s="8"/>
      <c r="J30433" s="8"/>
    </row>
    <row r="30434">
      <c r="C30434" s="15"/>
      <c r="E30434" s="8"/>
      <c r="G30434" s="8"/>
      <c r="J30434" s="8"/>
    </row>
    <row r="30435">
      <c r="C30435" s="15"/>
      <c r="E30435" s="8"/>
      <c r="G30435" s="8"/>
      <c r="J30435" s="8"/>
    </row>
    <row r="30436">
      <c r="C30436" s="15"/>
      <c r="E30436" s="8"/>
      <c r="G30436" s="8"/>
      <c r="J30436" s="8"/>
    </row>
    <row r="30437">
      <c r="C30437" s="15"/>
      <c r="E30437" s="8"/>
      <c r="G30437" s="8"/>
      <c r="J30437" s="8"/>
    </row>
    <row r="30438">
      <c r="C30438" s="15"/>
      <c r="E30438" s="8"/>
      <c r="G30438" s="8"/>
      <c r="J30438" s="8"/>
    </row>
    <row r="30439">
      <c r="C30439" s="15"/>
      <c r="E30439" s="8"/>
      <c r="G30439" s="8"/>
      <c r="J30439" s="8"/>
    </row>
    <row r="30440">
      <c r="C30440" s="15"/>
      <c r="E30440" s="8"/>
      <c r="G30440" s="8"/>
      <c r="J30440" s="8"/>
    </row>
    <row r="30441">
      <c r="C30441" s="15"/>
      <c r="E30441" s="8"/>
      <c r="G30441" s="8"/>
      <c r="J30441" s="8"/>
    </row>
    <row r="30442">
      <c r="C30442" s="15"/>
      <c r="E30442" s="8"/>
      <c r="G30442" s="8"/>
      <c r="J30442" s="8"/>
    </row>
    <row r="30443">
      <c r="C30443" s="15"/>
      <c r="E30443" s="8"/>
      <c r="G30443" s="8"/>
      <c r="J30443" s="8"/>
    </row>
    <row r="30444">
      <c r="C30444" s="15"/>
      <c r="E30444" s="8"/>
      <c r="G30444" s="8"/>
      <c r="J30444" s="8"/>
    </row>
    <row r="30445">
      <c r="C30445" s="15"/>
      <c r="E30445" s="8"/>
      <c r="G30445" s="8"/>
      <c r="J30445" s="8"/>
    </row>
    <row r="30446">
      <c r="C30446" s="15"/>
      <c r="E30446" s="8"/>
      <c r="G30446" s="8"/>
      <c r="J30446" s="8"/>
    </row>
    <row r="30447">
      <c r="C30447" s="15"/>
      <c r="E30447" s="8"/>
      <c r="G30447" s="8"/>
      <c r="J30447" s="8"/>
    </row>
    <row r="30448">
      <c r="C30448" s="15"/>
      <c r="E30448" s="8"/>
      <c r="G30448" s="8"/>
      <c r="J30448" s="8"/>
    </row>
    <row r="30449">
      <c r="C30449" s="15"/>
      <c r="E30449" s="8"/>
      <c r="G30449" s="8"/>
      <c r="J30449" s="8"/>
    </row>
    <row r="30450">
      <c r="C30450" s="15"/>
      <c r="E30450" s="8"/>
      <c r="G30450" s="8"/>
      <c r="J30450" s="8"/>
    </row>
    <row r="30451">
      <c r="C30451" s="15"/>
      <c r="E30451" s="8"/>
      <c r="G30451" s="8"/>
      <c r="J30451" s="8"/>
    </row>
    <row r="30452">
      <c r="C30452" s="15"/>
      <c r="E30452" s="8"/>
      <c r="G30452" s="8"/>
      <c r="J30452" s="8"/>
    </row>
    <row r="30453">
      <c r="C30453" s="15"/>
      <c r="E30453" s="8"/>
      <c r="G30453" s="8"/>
      <c r="J30453" s="8"/>
    </row>
    <row r="30454">
      <c r="C30454" s="15"/>
      <c r="E30454" s="8"/>
      <c r="G30454" s="8"/>
      <c r="J30454" s="8"/>
    </row>
    <row r="30455">
      <c r="C30455" s="15"/>
      <c r="E30455" s="8"/>
      <c r="G30455" s="8"/>
      <c r="J30455" s="8"/>
    </row>
    <row r="30456">
      <c r="C30456" s="15"/>
      <c r="E30456" s="8"/>
      <c r="G30456" s="8"/>
      <c r="J30456" s="8"/>
    </row>
    <row r="30457">
      <c r="C30457" s="15"/>
      <c r="E30457" s="8"/>
      <c r="G30457" s="8"/>
      <c r="J30457" s="8"/>
    </row>
    <row r="30458">
      <c r="C30458" s="15"/>
      <c r="E30458" s="8"/>
      <c r="G30458" s="8"/>
      <c r="J30458" s="8"/>
    </row>
    <row r="30459">
      <c r="C30459" s="15"/>
      <c r="E30459" s="8"/>
      <c r="G30459" s="8"/>
      <c r="J30459" s="8"/>
    </row>
    <row r="30460">
      <c r="C30460" s="15"/>
      <c r="E30460" s="8"/>
      <c r="G30460" s="8"/>
      <c r="J30460" s="8"/>
    </row>
    <row r="30461">
      <c r="C30461" s="15"/>
      <c r="E30461" s="8"/>
      <c r="G30461" s="8"/>
      <c r="J30461" s="8"/>
    </row>
    <row r="30462">
      <c r="C30462" s="15"/>
      <c r="E30462" s="8"/>
      <c r="G30462" s="8"/>
      <c r="J30462" s="8"/>
    </row>
    <row r="30463">
      <c r="C30463" s="15"/>
      <c r="E30463" s="8"/>
      <c r="G30463" s="8"/>
      <c r="J30463" s="8"/>
    </row>
    <row r="30464">
      <c r="C30464" s="15"/>
      <c r="E30464" s="8"/>
      <c r="G30464" s="8"/>
      <c r="J30464" s="8"/>
    </row>
    <row r="30465">
      <c r="C30465" s="15"/>
      <c r="E30465" s="8"/>
      <c r="G30465" s="8"/>
      <c r="J30465" s="8"/>
    </row>
    <row r="30466">
      <c r="C30466" s="15"/>
      <c r="E30466" s="8"/>
      <c r="G30466" s="8"/>
      <c r="J30466" s="8"/>
    </row>
    <row r="30467">
      <c r="C30467" s="15"/>
      <c r="E30467" s="8"/>
      <c r="G30467" s="8"/>
      <c r="J30467" s="8"/>
    </row>
    <row r="30468">
      <c r="C30468" s="15"/>
      <c r="E30468" s="8"/>
      <c r="G30468" s="8"/>
      <c r="J30468" s="8"/>
    </row>
    <row r="30469">
      <c r="C30469" s="15"/>
      <c r="E30469" s="8"/>
      <c r="G30469" s="8"/>
      <c r="J30469" s="8"/>
    </row>
    <row r="30470">
      <c r="C30470" s="15"/>
      <c r="E30470" s="8"/>
      <c r="G30470" s="8"/>
      <c r="J30470" s="8"/>
    </row>
    <row r="30471">
      <c r="C30471" s="15"/>
      <c r="E30471" s="8"/>
      <c r="G30471" s="8"/>
      <c r="J30471" s="8"/>
    </row>
    <row r="30472">
      <c r="C30472" s="15"/>
      <c r="E30472" s="8"/>
      <c r="G30472" s="8"/>
      <c r="J30472" s="8"/>
    </row>
    <row r="30473">
      <c r="C30473" s="15"/>
      <c r="E30473" s="8"/>
      <c r="G30473" s="8"/>
      <c r="J30473" s="8"/>
    </row>
    <row r="30474">
      <c r="C30474" s="15"/>
      <c r="E30474" s="8"/>
      <c r="G30474" s="8"/>
      <c r="J30474" s="8"/>
    </row>
    <row r="30475">
      <c r="C30475" s="15"/>
      <c r="E30475" s="8"/>
      <c r="G30475" s="8"/>
      <c r="J30475" s="8"/>
    </row>
    <row r="30476">
      <c r="C30476" s="15"/>
      <c r="E30476" s="8"/>
      <c r="G30476" s="8"/>
      <c r="J30476" s="8"/>
    </row>
    <row r="30477">
      <c r="C30477" s="15"/>
      <c r="E30477" s="8"/>
      <c r="G30477" s="8"/>
      <c r="J30477" s="8"/>
    </row>
    <row r="30478">
      <c r="C30478" s="15"/>
      <c r="E30478" s="8"/>
      <c r="G30478" s="8"/>
      <c r="J30478" s="8"/>
    </row>
    <row r="30479">
      <c r="C30479" s="15"/>
      <c r="E30479" s="8"/>
      <c r="G30479" s="8"/>
      <c r="J30479" s="8"/>
    </row>
    <row r="30480">
      <c r="C30480" s="15"/>
      <c r="E30480" s="8"/>
      <c r="G30480" s="8"/>
      <c r="J30480" s="8"/>
    </row>
    <row r="30481">
      <c r="C30481" s="15"/>
      <c r="E30481" s="8"/>
      <c r="G30481" s="8"/>
      <c r="J30481" s="8"/>
    </row>
    <row r="30482">
      <c r="C30482" s="15"/>
      <c r="E30482" s="8"/>
      <c r="G30482" s="8"/>
      <c r="J30482" s="8"/>
    </row>
    <row r="30483">
      <c r="C30483" s="15"/>
      <c r="E30483" s="8"/>
      <c r="G30483" s="8"/>
      <c r="J30483" s="8"/>
    </row>
    <row r="30484">
      <c r="C30484" s="15"/>
      <c r="E30484" s="8"/>
      <c r="G30484" s="8"/>
      <c r="J30484" s="8"/>
    </row>
    <row r="30485">
      <c r="C30485" s="15"/>
      <c r="E30485" s="8"/>
      <c r="G30485" s="8"/>
      <c r="J30485" s="8"/>
    </row>
    <row r="30486">
      <c r="C30486" s="15"/>
      <c r="E30486" s="8"/>
      <c r="G30486" s="8"/>
      <c r="J30486" s="8"/>
    </row>
    <row r="30487">
      <c r="C30487" s="15"/>
      <c r="E30487" s="8"/>
      <c r="G30487" s="8"/>
      <c r="J30487" s="8"/>
    </row>
    <row r="30488">
      <c r="C30488" s="15"/>
      <c r="E30488" s="8"/>
      <c r="G30488" s="8"/>
      <c r="J30488" s="8"/>
    </row>
    <row r="30489">
      <c r="C30489" s="15"/>
      <c r="E30489" s="8"/>
      <c r="G30489" s="8"/>
      <c r="J30489" s="8"/>
    </row>
    <row r="30490">
      <c r="C30490" s="15"/>
      <c r="E30490" s="8"/>
      <c r="G30490" s="8"/>
      <c r="J30490" s="8"/>
    </row>
    <row r="30491">
      <c r="C30491" s="15"/>
      <c r="E30491" s="8"/>
      <c r="G30491" s="8"/>
      <c r="J30491" s="8"/>
    </row>
    <row r="30492">
      <c r="C30492" s="15"/>
      <c r="E30492" s="8"/>
      <c r="G30492" s="8"/>
      <c r="J30492" s="8"/>
    </row>
    <row r="30493">
      <c r="C30493" s="15"/>
      <c r="E30493" s="8"/>
      <c r="G30493" s="8"/>
      <c r="J30493" s="8"/>
    </row>
    <row r="30494">
      <c r="C30494" s="15"/>
      <c r="E30494" s="8"/>
      <c r="G30494" s="8"/>
      <c r="J30494" s="8"/>
    </row>
    <row r="30495">
      <c r="C30495" s="15"/>
      <c r="E30495" s="8"/>
      <c r="G30495" s="8"/>
      <c r="J30495" s="8"/>
    </row>
    <row r="30496">
      <c r="C30496" s="15"/>
      <c r="E30496" s="8"/>
      <c r="G30496" s="8"/>
      <c r="J30496" s="8"/>
    </row>
    <row r="30497">
      <c r="C30497" s="15"/>
      <c r="E30497" s="8"/>
      <c r="G30497" s="8"/>
      <c r="J30497" s="8"/>
    </row>
    <row r="30498">
      <c r="C30498" s="15"/>
      <c r="E30498" s="8"/>
      <c r="G30498" s="8"/>
      <c r="J30498" s="8"/>
    </row>
    <row r="30499">
      <c r="C30499" s="15"/>
      <c r="E30499" s="8"/>
      <c r="G30499" s="8"/>
      <c r="J30499" s="8"/>
    </row>
    <row r="30500">
      <c r="C30500" s="15"/>
      <c r="E30500" s="8"/>
      <c r="G30500" s="8"/>
      <c r="J30500" s="8"/>
    </row>
    <row r="30501">
      <c r="C30501" s="15"/>
      <c r="E30501" s="8"/>
      <c r="G30501" s="8"/>
      <c r="J30501" s="8"/>
    </row>
    <row r="30502">
      <c r="C30502" s="15"/>
      <c r="E30502" s="8"/>
      <c r="G30502" s="8"/>
      <c r="J30502" s="8"/>
    </row>
    <row r="30503">
      <c r="C30503" s="15"/>
      <c r="E30503" s="8"/>
      <c r="G30503" s="8"/>
      <c r="J30503" s="8"/>
    </row>
    <row r="30504">
      <c r="C30504" s="15"/>
      <c r="E30504" s="8"/>
      <c r="G30504" s="8"/>
      <c r="J30504" s="8"/>
    </row>
    <row r="30505">
      <c r="C30505" s="15"/>
      <c r="E30505" s="8"/>
      <c r="G30505" s="8"/>
      <c r="J30505" s="8"/>
    </row>
    <row r="30506">
      <c r="C30506" s="15"/>
      <c r="E30506" s="8"/>
      <c r="G30506" s="8"/>
      <c r="J30506" s="8"/>
    </row>
    <row r="30507">
      <c r="C30507" s="15"/>
      <c r="E30507" s="8"/>
      <c r="G30507" s="8"/>
      <c r="J30507" s="8"/>
    </row>
    <row r="30508">
      <c r="C30508" s="15"/>
      <c r="E30508" s="8"/>
      <c r="G30508" s="8"/>
      <c r="J30508" s="8"/>
    </row>
    <row r="30509">
      <c r="C30509" s="15"/>
      <c r="E30509" s="8"/>
      <c r="G30509" s="8"/>
      <c r="J30509" s="8"/>
    </row>
    <row r="30510">
      <c r="C30510" s="15"/>
      <c r="E30510" s="8"/>
      <c r="G30510" s="8"/>
      <c r="J30510" s="8"/>
    </row>
    <row r="30511">
      <c r="C30511" s="15"/>
      <c r="E30511" s="8"/>
      <c r="G30511" s="8"/>
      <c r="J30511" s="8"/>
    </row>
    <row r="30512">
      <c r="C30512" s="15"/>
      <c r="E30512" s="8"/>
      <c r="G30512" s="8"/>
      <c r="J30512" s="8"/>
    </row>
    <row r="30513">
      <c r="C30513" s="15"/>
      <c r="E30513" s="8"/>
      <c r="G30513" s="8"/>
      <c r="J30513" s="8"/>
    </row>
    <row r="30514">
      <c r="C30514" s="15"/>
      <c r="E30514" s="8"/>
      <c r="G30514" s="8"/>
      <c r="J30514" s="8"/>
    </row>
    <row r="30515">
      <c r="C30515" s="15"/>
      <c r="E30515" s="8"/>
      <c r="G30515" s="8"/>
      <c r="J30515" s="8"/>
    </row>
    <row r="30516">
      <c r="C30516" s="15"/>
      <c r="E30516" s="8"/>
      <c r="G30516" s="8"/>
      <c r="J30516" s="8"/>
    </row>
    <row r="30517">
      <c r="C30517" s="15"/>
      <c r="E30517" s="8"/>
      <c r="G30517" s="8"/>
      <c r="J30517" s="8"/>
    </row>
    <row r="30518">
      <c r="C30518" s="15"/>
      <c r="E30518" s="8"/>
      <c r="G30518" s="8"/>
      <c r="J30518" s="8"/>
    </row>
    <row r="30519">
      <c r="C30519" s="15"/>
      <c r="E30519" s="8"/>
      <c r="G30519" s="8"/>
      <c r="J30519" s="8"/>
    </row>
    <row r="30520">
      <c r="C30520" s="15"/>
      <c r="E30520" s="8"/>
      <c r="G30520" s="8"/>
      <c r="J30520" s="8"/>
    </row>
    <row r="30521">
      <c r="C30521" s="15"/>
      <c r="E30521" s="8"/>
      <c r="G30521" s="8"/>
      <c r="J30521" s="8"/>
    </row>
    <row r="30522">
      <c r="C30522" s="15"/>
      <c r="E30522" s="8"/>
      <c r="G30522" s="8"/>
      <c r="J30522" s="8"/>
    </row>
    <row r="30523">
      <c r="C30523" s="15"/>
      <c r="E30523" s="8"/>
      <c r="G30523" s="8"/>
      <c r="J30523" s="8"/>
    </row>
    <row r="30524">
      <c r="C30524" s="15"/>
      <c r="E30524" s="8"/>
      <c r="G30524" s="8"/>
      <c r="J30524" s="8"/>
    </row>
    <row r="30525">
      <c r="C30525" s="15"/>
      <c r="E30525" s="8"/>
      <c r="G30525" s="8"/>
      <c r="J30525" s="8"/>
    </row>
    <row r="30526">
      <c r="C30526" s="15"/>
      <c r="E30526" s="8"/>
      <c r="G30526" s="8"/>
      <c r="J30526" s="8"/>
    </row>
    <row r="30527">
      <c r="C30527" s="15"/>
      <c r="E30527" s="8"/>
      <c r="G30527" s="8"/>
      <c r="J30527" s="8"/>
    </row>
    <row r="30528">
      <c r="C30528" s="15"/>
      <c r="E30528" s="8"/>
      <c r="G30528" s="8"/>
      <c r="J30528" s="8"/>
    </row>
    <row r="30529">
      <c r="C30529" s="15"/>
      <c r="E30529" s="8"/>
      <c r="G30529" s="8"/>
      <c r="J30529" s="8"/>
    </row>
    <row r="30530">
      <c r="C30530" s="15"/>
      <c r="E30530" s="8"/>
      <c r="G30530" s="8"/>
      <c r="J30530" s="8"/>
    </row>
    <row r="30531">
      <c r="C30531" s="15"/>
      <c r="E30531" s="8"/>
      <c r="G30531" s="8"/>
      <c r="J30531" s="8"/>
    </row>
    <row r="30532">
      <c r="C30532" s="15"/>
      <c r="E30532" s="8"/>
      <c r="G30532" s="8"/>
      <c r="J30532" s="8"/>
    </row>
    <row r="30533">
      <c r="C30533" s="15"/>
      <c r="E30533" s="8"/>
      <c r="G30533" s="8"/>
      <c r="J30533" s="8"/>
    </row>
    <row r="30534">
      <c r="C30534" s="15"/>
      <c r="E30534" s="8"/>
      <c r="G30534" s="8"/>
      <c r="J30534" s="8"/>
    </row>
    <row r="30535">
      <c r="C30535" s="15"/>
      <c r="E30535" s="8"/>
      <c r="G30535" s="8"/>
      <c r="J30535" s="8"/>
    </row>
    <row r="30536">
      <c r="C30536" s="15"/>
      <c r="E30536" s="8"/>
      <c r="G30536" s="8"/>
      <c r="J30536" s="8"/>
    </row>
    <row r="30537">
      <c r="C30537" s="15"/>
      <c r="E30537" s="8"/>
      <c r="G30537" s="8"/>
      <c r="J30537" s="8"/>
    </row>
    <row r="30538">
      <c r="C30538" s="15"/>
      <c r="E30538" s="8"/>
      <c r="G30538" s="8"/>
      <c r="J30538" s="8"/>
    </row>
    <row r="30539">
      <c r="C30539" s="15"/>
      <c r="E30539" s="8"/>
      <c r="G30539" s="8"/>
      <c r="J30539" s="8"/>
    </row>
    <row r="30540">
      <c r="C30540" s="15"/>
      <c r="E30540" s="8"/>
      <c r="G30540" s="8"/>
      <c r="J30540" s="8"/>
    </row>
    <row r="30541">
      <c r="C30541" s="15"/>
      <c r="E30541" s="8"/>
      <c r="G30541" s="8"/>
      <c r="J30541" s="8"/>
    </row>
    <row r="30542">
      <c r="C30542" s="15"/>
      <c r="E30542" s="8"/>
      <c r="G30542" s="8"/>
      <c r="J30542" s="8"/>
    </row>
    <row r="30543">
      <c r="C30543" s="15"/>
      <c r="E30543" s="8"/>
      <c r="G30543" s="8"/>
      <c r="J30543" s="8"/>
    </row>
    <row r="30544">
      <c r="C30544" s="15"/>
      <c r="E30544" s="8"/>
      <c r="G30544" s="8"/>
      <c r="J30544" s="8"/>
    </row>
    <row r="30545">
      <c r="C30545" s="15"/>
      <c r="E30545" s="8"/>
      <c r="G30545" s="8"/>
      <c r="J30545" s="8"/>
    </row>
    <row r="30546">
      <c r="C30546" s="15"/>
      <c r="E30546" s="8"/>
      <c r="G30546" s="8"/>
      <c r="J30546" s="8"/>
    </row>
    <row r="30547">
      <c r="C30547" s="15"/>
      <c r="E30547" s="8"/>
      <c r="G30547" s="8"/>
      <c r="J30547" s="8"/>
    </row>
    <row r="30548">
      <c r="C30548" s="15"/>
      <c r="E30548" s="8"/>
      <c r="G30548" s="8"/>
      <c r="J30548" s="8"/>
    </row>
    <row r="30549">
      <c r="C30549" s="15"/>
      <c r="E30549" s="8"/>
      <c r="G30549" s="8"/>
      <c r="J30549" s="8"/>
    </row>
    <row r="30550">
      <c r="C30550" s="15"/>
      <c r="E30550" s="8"/>
      <c r="G30550" s="8"/>
      <c r="J30550" s="8"/>
    </row>
    <row r="30551">
      <c r="C30551" s="15"/>
      <c r="E30551" s="8"/>
      <c r="G30551" s="8"/>
      <c r="J30551" s="8"/>
    </row>
    <row r="30552">
      <c r="C30552" s="15"/>
      <c r="E30552" s="8"/>
      <c r="G30552" s="8"/>
      <c r="J30552" s="8"/>
    </row>
    <row r="30553">
      <c r="C30553" s="15"/>
      <c r="E30553" s="8"/>
      <c r="G30553" s="8"/>
      <c r="J30553" s="8"/>
    </row>
    <row r="30554">
      <c r="C30554" s="15"/>
      <c r="E30554" s="8"/>
      <c r="G30554" s="8"/>
      <c r="J30554" s="8"/>
    </row>
    <row r="30555">
      <c r="C30555" s="15"/>
      <c r="E30555" s="8"/>
      <c r="G30555" s="8"/>
      <c r="J30555" s="8"/>
    </row>
    <row r="30556">
      <c r="C30556" s="15"/>
      <c r="E30556" s="8"/>
      <c r="G30556" s="8"/>
      <c r="J30556" s="8"/>
    </row>
    <row r="30557">
      <c r="C30557" s="15"/>
      <c r="E30557" s="8"/>
      <c r="G30557" s="8"/>
      <c r="J30557" s="8"/>
    </row>
    <row r="30558">
      <c r="C30558" s="15"/>
      <c r="E30558" s="8"/>
      <c r="G30558" s="8"/>
      <c r="J30558" s="8"/>
    </row>
    <row r="30559">
      <c r="C30559" s="15"/>
      <c r="E30559" s="8"/>
      <c r="G30559" s="8"/>
      <c r="J30559" s="8"/>
    </row>
    <row r="30560">
      <c r="C30560" s="15"/>
      <c r="E30560" s="8"/>
      <c r="G30560" s="8"/>
      <c r="J30560" s="8"/>
    </row>
    <row r="30561">
      <c r="C30561" s="15"/>
      <c r="E30561" s="8"/>
      <c r="G30561" s="8"/>
      <c r="J30561" s="8"/>
    </row>
    <row r="30562">
      <c r="C30562" s="15"/>
      <c r="E30562" s="8"/>
      <c r="G30562" s="8"/>
      <c r="J30562" s="8"/>
    </row>
    <row r="30563">
      <c r="C30563" s="15"/>
      <c r="E30563" s="8"/>
      <c r="G30563" s="8"/>
      <c r="J30563" s="8"/>
    </row>
    <row r="30564">
      <c r="C30564" s="15"/>
      <c r="E30564" s="8"/>
      <c r="G30564" s="8"/>
      <c r="J30564" s="8"/>
    </row>
    <row r="30565">
      <c r="C30565" s="15"/>
      <c r="E30565" s="8"/>
      <c r="G30565" s="8"/>
      <c r="J30565" s="8"/>
    </row>
    <row r="30566">
      <c r="C30566" s="15"/>
      <c r="E30566" s="8"/>
      <c r="G30566" s="8"/>
      <c r="J30566" s="8"/>
    </row>
    <row r="30567">
      <c r="C30567" s="15"/>
      <c r="E30567" s="8"/>
      <c r="G30567" s="8"/>
      <c r="J30567" s="8"/>
    </row>
    <row r="30568">
      <c r="C30568" s="15"/>
      <c r="E30568" s="8"/>
      <c r="G30568" s="8"/>
      <c r="J30568" s="8"/>
    </row>
    <row r="30569">
      <c r="C30569" s="15"/>
      <c r="E30569" s="8"/>
      <c r="G30569" s="8"/>
      <c r="J30569" s="8"/>
    </row>
    <row r="30570">
      <c r="C30570" s="15"/>
      <c r="E30570" s="8"/>
      <c r="G30570" s="8"/>
      <c r="J30570" s="8"/>
    </row>
    <row r="30571">
      <c r="C30571" s="15"/>
      <c r="E30571" s="8"/>
      <c r="G30571" s="8"/>
      <c r="J30571" s="8"/>
    </row>
    <row r="30572">
      <c r="C30572" s="15"/>
      <c r="E30572" s="8"/>
      <c r="G30572" s="8"/>
      <c r="J30572" s="8"/>
    </row>
    <row r="30573">
      <c r="C30573" s="15"/>
      <c r="E30573" s="8"/>
      <c r="G30573" s="8"/>
      <c r="J30573" s="8"/>
    </row>
    <row r="30574">
      <c r="C30574" s="15"/>
      <c r="E30574" s="8"/>
      <c r="G30574" s="8"/>
      <c r="J30574" s="8"/>
    </row>
    <row r="30575">
      <c r="C30575" s="15"/>
      <c r="E30575" s="8"/>
      <c r="G30575" s="8"/>
      <c r="J30575" s="8"/>
    </row>
    <row r="30576">
      <c r="C30576" s="15"/>
      <c r="E30576" s="8"/>
      <c r="G30576" s="8"/>
      <c r="J30576" s="8"/>
    </row>
    <row r="30577">
      <c r="C30577" s="15"/>
      <c r="E30577" s="8"/>
      <c r="G30577" s="8"/>
      <c r="J30577" s="8"/>
    </row>
    <row r="30578">
      <c r="C30578" s="15"/>
      <c r="E30578" s="8"/>
      <c r="G30578" s="8"/>
      <c r="J30578" s="8"/>
    </row>
    <row r="30579">
      <c r="C30579" s="15"/>
      <c r="E30579" s="8"/>
      <c r="G30579" s="8"/>
      <c r="J30579" s="8"/>
    </row>
    <row r="30580">
      <c r="C30580" s="15"/>
      <c r="E30580" s="8"/>
      <c r="G30580" s="8"/>
      <c r="J30580" s="8"/>
    </row>
    <row r="30581">
      <c r="C30581" s="15"/>
      <c r="E30581" s="8"/>
      <c r="G30581" s="8"/>
      <c r="J30581" s="8"/>
    </row>
    <row r="30582">
      <c r="C30582" s="15"/>
      <c r="E30582" s="8"/>
      <c r="G30582" s="8"/>
      <c r="J30582" s="8"/>
    </row>
    <row r="30583">
      <c r="C30583" s="15"/>
      <c r="E30583" s="8"/>
      <c r="G30583" s="8"/>
      <c r="J30583" s="8"/>
    </row>
    <row r="30584">
      <c r="C30584" s="15"/>
      <c r="E30584" s="8"/>
      <c r="G30584" s="8"/>
      <c r="J30584" s="8"/>
    </row>
    <row r="30585">
      <c r="C30585" s="15"/>
      <c r="E30585" s="8"/>
      <c r="G30585" s="8"/>
      <c r="J30585" s="8"/>
    </row>
    <row r="30586">
      <c r="C30586" s="15"/>
      <c r="E30586" s="8"/>
      <c r="G30586" s="8"/>
      <c r="J30586" s="8"/>
    </row>
    <row r="30587">
      <c r="C30587" s="15"/>
      <c r="E30587" s="8"/>
      <c r="G30587" s="8"/>
      <c r="J30587" s="8"/>
    </row>
    <row r="30588">
      <c r="C30588" s="15"/>
      <c r="E30588" s="8"/>
      <c r="G30588" s="8"/>
      <c r="J30588" s="8"/>
    </row>
    <row r="30589">
      <c r="C30589" s="15"/>
      <c r="E30589" s="8"/>
      <c r="G30589" s="8"/>
      <c r="J30589" s="8"/>
    </row>
    <row r="30590">
      <c r="C30590" s="15"/>
      <c r="E30590" s="8"/>
      <c r="G30590" s="8"/>
      <c r="J30590" s="8"/>
    </row>
    <row r="30591">
      <c r="C30591" s="15"/>
      <c r="E30591" s="8"/>
      <c r="G30591" s="8"/>
      <c r="J30591" s="8"/>
    </row>
    <row r="30592">
      <c r="C30592" s="15"/>
      <c r="E30592" s="8"/>
      <c r="G30592" s="8"/>
      <c r="J30592" s="8"/>
    </row>
    <row r="30593">
      <c r="C30593" s="15"/>
      <c r="E30593" s="8"/>
      <c r="G30593" s="8"/>
      <c r="J30593" s="8"/>
    </row>
    <row r="30594">
      <c r="C30594" s="15"/>
      <c r="E30594" s="8"/>
      <c r="G30594" s="8"/>
      <c r="J30594" s="8"/>
    </row>
    <row r="30595">
      <c r="C30595" s="15"/>
      <c r="E30595" s="8"/>
      <c r="G30595" s="8"/>
      <c r="J30595" s="8"/>
    </row>
    <row r="30596">
      <c r="C30596" s="15"/>
      <c r="E30596" s="8"/>
      <c r="G30596" s="8"/>
      <c r="J30596" s="8"/>
    </row>
    <row r="30597">
      <c r="C30597" s="15"/>
      <c r="E30597" s="8"/>
      <c r="G30597" s="8"/>
      <c r="J30597" s="8"/>
    </row>
    <row r="30598">
      <c r="C30598" s="15"/>
      <c r="E30598" s="8"/>
      <c r="G30598" s="8"/>
      <c r="J30598" s="8"/>
    </row>
    <row r="30599">
      <c r="C30599" s="15"/>
      <c r="E30599" s="8"/>
      <c r="G30599" s="8"/>
      <c r="J30599" s="8"/>
    </row>
    <row r="30600">
      <c r="C30600" s="15"/>
      <c r="E30600" s="8"/>
      <c r="G30600" s="8"/>
      <c r="J30600" s="8"/>
    </row>
    <row r="30601">
      <c r="C30601" s="15"/>
      <c r="E30601" s="8"/>
      <c r="G30601" s="8"/>
      <c r="J30601" s="8"/>
    </row>
    <row r="30602">
      <c r="C30602" s="15"/>
      <c r="E30602" s="8"/>
      <c r="G30602" s="8"/>
      <c r="J30602" s="8"/>
    </row>
    <row r="30603">
      <c r="C30603" s="15"/>
      <c r="E30603" s="8"/>
      <c r="G30603" s="8"/>
      <c r="J30603" s="8"/>
    </row>
    <row r="30604">
      <c r="C30604" s="15"/>
      <c r="E30604" s="8"/>
      <c r="G30604" s="8"/>
      <c r="J30604" s="8"/>
    </row>
    <row r="30605">
      <c r="C30605" s="15"/>
      <c r="E30605" s="8"/>
      <c r="G30605" s="8"/>
      <c r="J30605" s="8"/>
    </row>
    <row r="30606">
      <c r="C30606" s="15"/>
      <c r="E30606" s="8"/>
      <c r="G30606" s="8"/>
      <c r="J30606" s="8"/>
    </row>
    <row r="30607">
      <c r="C30607" s="15"/>
      <c r="E30607" s="8"/>
      <c r="G30607" s="8"/>
      <c r="J30607" s="8"/>
    </row>
    <row r="30608">
      <c r="C30608" s="15"/>
      <c r="E30608" s="8"/>
      <c r="G30608" s="8"/>
      <c r="J30608" s="8"/>
    </row>
    <row r="30609">
      <c r="C30609" s="15"/>
      <c r="E30609" s="8"/>
      <c r="G30609" s="8"/>
      <c r="J30609" s="8"/>
    </row>
    <row r="30610">
      <c r="C30610" s="15"/>
      <c r="E30610" s="8"/>
      <c r="G30610" s="8"/>
      <c r="J30610" s="8"/>
    </row>
    <row r="30611">
      <c r="C30611" s="15"/>
      <c r="E30611" s="8"/>
      <c r="G30611" s="8"/>
      <c r="J30611" s="8"/>
    </row>
    <row r="30612">
      <c r="C30612" s="15"/>
      <c r="E30612" s="8"/>
      <c r="G30612" s="8"/>
      <c r="J30612" s="8"/>
    </row>
    <row r="30613">
      <c r="C30613" s="15"/>
      <c r="E30613" s="8"/>
      <c r="G30613" s="8"/>
      <c r="J30613" s="8"/>
    </row>
    <row r="30614">
      <c r="C30614" s="15"/>
      <c r="E30614" s="8"/>
      <c r="G30614" s="8"/>
      <c r="J30614" s="8"/>
    </row>
    <row r="30615">
      <c r="C30615" s="15"/>
      <c r="E30615" s="8"/>
      <c r="G30615" s="8"/>
      <c r="J30615" s="8"/>
    </row>
    <row r="30616">
      <c r="C30616" s="15"/>
      <c r="E30616" s="8"/>
      <c r="G30616" s="8"/>
      <c r="J30616" s="8"/>
    </row>
    <row r="30617">
      <c r="C30617" s="15"/>
      <c r="E30617" s="8"/>
      <c r="G30617" s="8"/>
      <c r="J30617" s="8"/>
    </row>
    <row r="30618">
      <c r="C30618" s="15"/>
      <c r="E30618" s="8"/>
      <c r="G30618" s="8"/>
      <c r="J30618" s="8"/>
    </row>
    <row r="30619">
      <c r="C30619" s="15"/>
      <c r="E30619" s="8"/>
      <c r="G30619" s="8"/>
      <c r="J30619" s="8"/>
    </row>
    <row r="30620">
      <c r="C30620" s="15"/>
      <c r="E30620" s="8"/>
      <c r="G30620" s="8"/>
      <c r="J30620" s="8"/>
    </row>
    <row r="30621">
      <c r="C30621" s="15"/>
      <c r="E30621" s="8"/>
      <c r="G30621" s="8"/>
      <c r="J30621" s="8"/>
    </row>
    <row r="30622">
      <c r="C30622" s="15"/>
      <c r="E30622" s="8"/>
      <c r="G30622" s="8"/>
      <c r="J30622" s="8"/>
    </row>
    <row r="30623">
      <c r="C30623" s="15"/>
      <c r="E30623" s="8"/>
      <c r="G30623" s="8"/>
      <c r="J30623" s="8"/>
    </row>
    <row r="30624">
      <c r="C30624" s="15"/>
      <c r="E30624" s="8"/>
      <c r="G30624" s="8"/>
      <c r="J30624" s="8"/>
    </row>
    <row r="30625">
      <c r="C30625" s="15"/>
      <c r="E30625" s="8"/>
      <c r="G30625" s="8"/>
      <c r="J30625" s="8"/>
    </row>
    <row r="30626">
      <c r="C30626" s="15"/>
      <c r="E30626" s="8"/>
      <c r="G30626" s="8"/>
      <c r="J30626" s="8"/>
    </row>
    <row r="30627">
      <c r="C30627" s="15"/>
      <c r="E30627" s="8"/>
      <c r="G30627" s="8"/>
      <c r="J30627" s="8"/>
    </row>
    <row r="30628">
      <c r="C30628" s="15"/>
      <c r="E30628" s="8"/>
      <c r="G30628" s="8"/>
      <c r="J30628" s="8"/>
    </row>
    <row r="30629">
      <c r="C30629" s="15"/>
      <c r="E30629" s="8"/>
      <c r="G30629" s="8"/>
      <c r="J30629" s="8"/>
    </row>
    <row r="30630">
      <c r="C30630" s="15"/>
      <c r="E30630" s="8"/>
      <c r="G30630" s="8"/>
      <c r="J30630" s="8"/>
    </row>
    <row r="30631">
      <c r="C30631" s="15"/>
      <c r="E30631" s="8"/>
      <c r="G30631" s="8"/>
      <c r="J30631" s="8"/>
    </row>
    <row r="30632">
      <c r="C30632" s="15"/>
      <c r="E30632" s="8"/>
      <c r="G30632" s="8"/>
      <c r="J30632" s="8"/>
    </row>
    <row r="30633">
      <c r="C30633" s="15"/>
      <c r="E30633" s="8"/>
      <c r="G30633" s="8"/>
      <c r="J30633" s="8"/>
    </row>
    <row r="30634">
      <c r="C30634" s="15"/>
      <c r="E30634" s="8"/>
      <c r="G30634" s="8"/>
      <c r="J30634" s="8"/>
    </row>
    <row r="30635">
      <c r="C30635" s="15"/>
      <c r="E30635" s="8"/>
      <c r="G30635" s="8"/>
      <c r="J30635" s="8"/>
    </row>
    <row r="30636">
      <c r="C30636" s="15"/>
      <c r="E30636" s="8"/>
      <c r="G30636" s="8"/>
      <c r="J30636" s="8"/>
    </row>
    <row r="30637">
      <c r="C30637" s="15"/>
      <c r="E30637" s="8"/>
      <c r="G30637" s="8"/>
      <c r="J30637" s="8"/>
    </row>
    <row r="30638">
      <c r="C30638" s="15"/>
      <c r="E30638" s="8"/>
      <c r="G30638" s="8"/>
      <c r="J30638" s="8"/>
    </row>
    <row r="30639">
      <c r="C30639" s="15"/>
      <c r="E30639" s="8"/>
      <c r="G30639" s="8"/>
      <c r="J30639" s="8"/>
    </row>
    <row r="30640">
      <c r="C30640" s="15"/>
      <c r="E30640" s="8"/>
      <c r="G30640" s="8"/>
      <c r="J30640" s="8"/>
    </row>
    <row r="30641">
      <c r="C30641" s="15"/>
      <c r="E30641" s="8"/>
      <c r="G30641" s="8"/>
      <c r="J30641" s="8"/>
    </row>
    <row r="30642">
      <c r="C30642" s="15"/>
      <c r="E30642" s="8"/>
      <c r="G30642" s="8"/>
      <c r="J30642" s="8"/>
    </row>
    <row r="30643">
      <c r="C30643" s="15"/>
      <c r="E30643" s="8"/>
      <c r="G30643" s="8"/>
      <c r="J30643" s="8"/>
    </row>
    <row r="30644">
      <c r="C30644" s="15"/>
      <c r="E30644" s="8"/>
      <c r="G30644" s="8"/>
      <c r="J30644" s="8"/>
    </row>
    <row r="30645">
      <c r="C30645" s="15"/>
      <c r="E30645" s="8"/>
      <c r="G30645" s="8"/>
      <c r="J30645" s="8"/>
    </row>
    <row r="30646">
      <c r="C30646" s="15"/>
      <c r="E30646" s="8"/>
      <c r="G30646" s="8"/>
      <c r="J30646" s="8"/>
    </row>
    <row r="30647">
      <c r="C30647" s="15"/>
      <c r="E30647" s="8"/>
      <c r="G30647" s="8"/>
      <c r="J30647" s="8"/>
    </row>
    <row r="30648">
      <c r="C30648" s="15"/>
      <c r="E30648" s="8"/>
      <c r="G30648" s="8"/>
      <c r="J30648" s="8"/>
    </row>
    <row r="30649">
      <c r="C30649" s="15"/>
      <c r="E30649" s="8"/>
      <c r="G30649" s="8"/>
      <c r="J30649" s="8"/>
    </row>
    <row r="30650">
      <c r="C30650" s="15"/>
      <c r="E30650" s="8"/>
      <c r="G30650" s="8"/>
      <c r="J30650" s="8"/>
    </row>
    <row r="30651">
      <c r="C30651" s="15"/>
      <c r="E30651" s="8"/>
      <c r="G30651" s="8"/>
      <c r="J30651" s="8"/>
    </row>
    <row r="30652">
      <c r="C30652" s="15"/>
      <c r="E30652" s="8"/>
      <c r="G30652" s="8"/>
      <c r="J30652" s="8"/>
    </row>
    <row r="30653">
      <c r="C30653" s="15"/>
      <c r="E30653" s="8"/>
      <c r="G30653" s="8"/>
      <c r="J30653" s="8"/>
    </row>
    <row r="30654">
      <c r="C30654" s="15"/>
      <c r="E30654" s="8"/>
      <c r="G30654" s="8"/>
      <c r="J30654" s="8"/>
    </row>
    <row r="30655">
      <c r="C30655" s="15"/>
      <c r="E30655" s="8"/>
      <c r="G30655" s="8"/>
      <c r="J30655" s="8"/>
    </row>
    <row r="30656">
      <c r="C30656" s="15"/>
      <c r="E30656" s="8"/>
      <c r="G30656" s="8"/>
      <c r="J30656" s="8"/>
    </row>
    <row r="30657">
      <c r="C30657" s="15"/>
      <c r="E30657" s="8"/>
      <c r="G30657" s="8"/>
      <c r="J30657" s="8"/>
    </row>
    <row r="30658">
      <c r="C30658" s="15"/>
      <c r="E30658" s="8"/>
      <c r="G30658" s="8"/>
      <c r="J30658" s="8"/>
    </row>
    <row r="30659">
      <c r="C30659" s="15"/>
      <c r="E30659" s="8"/>
      <c r="G30659" s="8"/>
      <c r="J30659" s="8"/>
    </row>
    <row r="30660">
      <c r="C30660" s="15"/>
      <c r="E30660" s="8"/>
      <c r="G30660" s="8"/>
      <c r="J30660" s="8"/>
    </row>
    <row r="30661">
      <c r="C30661" s="15"/>
      <c r="E30661" s="8"/>
      <c r="G30661" s="8"/>
      <c r="J30661" s="8"/>
    </row>
    <row r="30662">
      <c r="C30662" s="15"/>
      <c r="E30662" s="8"/>
      <c r="G30662" s="8"/>
      <c r="J30662" s="8"/>
    </row>
    <row r="30663">
      <c r="C30663" s="15"/>
      <c r="E30663" s="8"/>
      <c r="G30663" s="8"/>
      <c r="J30663" s="8"/>
    </row>
    <row r="30664">
      <c r="C30664" s="15"/>
      <c r="E30664" s="8"/>
      <c r="G30664" s="8"/>
      <c r="J30664" s="8"/>
    </row>
    <row r="30665">
      <c r="C30665" s="15"/>
      <c r="E30665" s="8"/>
      <c r="G30665" s="8"/>
      <c r="J30665" s="8"/>
    </row>
    <row r="30666">
      <c r="C30666" s="15"/>
      <c r="E30666" s="8"/>
      <c r="G30666" s="8"/>
      <c r="J30666" s="8"/>
    </row>
    <row r="30667">
      <c r="C30667" s="15"/>
      <c r="E30667" s="8"/>
      <c r="G30667" s="8"/>
      <c r="J30667" s="8"/>
    </row>
    <row r="30668">
      <c r="C30668" s="15"/>
      <c r="E30668" s="8"/>
      <c r="G30668" s="8"/>
      <c r="J30668" s="8"/>
    </row>
    <row r="30669">
      <c r="C30669" s="15"/>
      <c r="E30669" s="8"/>
      <c r="G30669" s="8"/>
      <c r="J30669" s="8"/>
    </row>
    <row r="30670">
      <c r="C30670" s="15"/>
      <c r="E30670" s="8"/>
      <c r="G30670" s="8"/>
      <c r="J30670" s="8"/>
    </row>
    <row r="30671">
      <c r="C30671" s="15"/>
      <c r="E30671" s="8"/>
      <c r="G30671" s="8"/>
      <c r="J30671" s="8"/>
    </row>
    <row r="30672">
      <c r="C30672" s="15"/>
      <c r="E30672" s="8"/>
      <c r="G30672" s="8"/>
      <c r="J30672" s="8"/>
    </row>
    <row r="30673">
      <c r="C30673" s="15"/>
      <c r="E30673" s="8"/>
      <c r="G30673" s="8"/>
      <c r="J30673" s="8"/>
    </row>
    <row r="30674">
      <c r="C30674" s="15"/>
      <c r="E30674" s="8"/>
      <c r="G30674" s="8"/>
      <c r="J30674" s="8"/>
    </row>
    <row r="30675">
      <c r="C30675" s="15"/>
      <c r="E30675" s="8"/>
      <c r="G30675" s="8"/>
      <c r="J30675" s="8"/>
    </row>
    <row r="30676">
      <c r="C30676" s="15"/>
      <c r="E30676" s="8"/>
      <c r="G30676" s="8"/>
      <c r="J30676" s="8"/>
    </row>
    <row r="30677">
      <c r="C30677" s="15"/>
      <c r="E30677" s="8"/>
      <c r="G30677" s="8"/>
      <c r="J30677" s="8"/>
    </row>
    <row r="30678">
      <c r="C30678" s="15"/>
      <c r="E30678" s="8"/>
      <c r="G30678" s="8"/>
      <c r="J30678" s="8"/>
    </row>
    <row r="30679">
      <c r="C30679" s="15"/>
      <c r="E30679" s="8"/>
      <c r="G30679" s="8"/>
      <c r="J30679" s="8"/>
    </row>
    <row r="30680">
      <c r="C30680" s="15"/>
      <c r="E30680" s="8"/>
      <c r="G30680" s="8"/>
      <c r="J30680" s="8"/>
    </row>
    <row r="30681">
      <c r="C30681" s="15"/>
      <c r="E30681" s="8"/>
      <c r="G30681" s="8"/>
      <c r="J30681" s="8"/>
    </row>
    <row r="30682">
      <c r="C30682" s="15"/>
      <c r="E30682" s="8"/>
      <c r="G30682" s="8"/>
      <c r="J30682" s="8"/>
    </row>
    <row r="30683">
      <c r="C30683" s="15"/>
      <c r="E30683" s="8"/>
      <c r="G30683" s="8"/>
      <c r="J30683" s="8"/>
    </row>
    <row r="30684">
      <c r="C30684" s="15"/>
      <c r="E30684" s="8"/>
      <c r="G30684" s="8"/>
      <c r="J30684" s="8"/>
    </row>
    <row r="30685">
      <c r="C30685" s="15"/>
      <c r="E30685" s="8"/>
      <c r="G30685" s="8"/>
      <c r="J30685" s="8"/>
    </row>
    <row r="30686">
      <c r="C30686" s="15"/>
      <c r="E30686" s="8"/>
      <c r="G30686" s="8"/>
      <c r="J30686" s="8"/>
    </row>
    <row r="30687">
      <c r="C30687" s="15"/>
      <c r="E30687" s="8"/>
      <c r="G30687" s="8"/>
      <c r="J30687" s="8"/>
    </row>
    <row r="30688">
      <c r="C30688" s="15"/>
      <c r="E30688" s="8"/>
      <c r="G30688" s="8"/>
      <c r="J30688" s="8"/>
    </row>
    <row r="30689">
      <c r="C30689" s="15"/>
      <c r="E30689" s="8"/>
      <c r="G30689" s="8"/>
      <c r="J30689" s="8"/>
    </row>
    <row r="30690">
      <c r="C30690" s="15"/>
      <c r="E30690" s="8"/>
      <c r="G30690" s="8"/>
      <c r="J30690" s="8"/>
    </row>
    <row r="30691">
      <c r="C30691" s="15"/>
      <c r="E30691" s="8"/>
      <c r="G30691" s="8"/>
      <c r="J30691" s="8"/>
    </row>
    <row r="30692">
      <c r="C30692" s="15"/>
      <c r="E30692" s="8"/>
      <c r="G30692" s="8"/>
      <c r="J30692" s="8"/>
    </row>
    <row r="30693">
      <c r="C30693" s="15"/>
      <c r="E30693" s="8"/>
      <c r="G30693" s="8"/>
      <c r="J30693" s="8"/>
    </row>
    <row r="30694">
      <c r="C30694" s="15"/>
      <c r="E30694" s="8"/>
      <c r="G30694" s="8"/>
      <c r="J30694" s="8"/>
    </row>
    <row r="30695">
      <c r="C30695" s="15"/>
      <c r="E30695" s="8"/>
      <c r="G30695" s="8"/>
      <c r="J30695" s="8"/>
    </row>
    <row r="30696">
      <c r="C30696" s="15"/>
      <c r="E30696" s="8"/>
      <c r="G30696" s="8"/>
      <c r="J30696" s="8"/>
    </row>
    <row r="30697">
      <c r="C30697" s="15"/>
      <c r="E30697" s="8"/>
      <c r="G30697" s="8"/>
      <c r="J30697" s="8"/>
    </row>
    <row r="30698">
      <c r="C30698" s="15"/>
      <c r="E30698" s="8"/>
      <c r="G30698" s="8"/>
      <c r="J30698" s="8"/>
    </row>
    <row r="30699">
      <c r="C30699" s="15"/>
      <c r="E30699" s="8"/>
      <c r="G30699" s="8"/>
      <c r="J30699" s="8"/>
    </row>
    <row r="30700">
      <c r="C30700" s="15"/>
      <c r="E30700" s="8"/>
      <c r="G30700" s="8"/>
      <c r="J30700" s="8"/>
    </row>
    <row r="30701">
      <c r="C30701" s="15"/>
      <c r="E30701" s="8"/>
      <c r="G30701" s="8"/>
      <c r="J30701" s="8"/>
    </row>
    <row r="30702">
      <c r="C30702" s="15"/>
      <c r="E30702" s="8"/>
      <c r="G30702" s="8"/>
      <c r="J30702" s="8"/>
    </row>
    <row r="30703">
      <c r="C30703" s="15"/>
      <c r="E30703" s="8"/>
      <c r="G30703" s="8"/>
      <c r="J30703" s="8"/>
    </row>
    <row r="30704">
      <c r="C30704" s="15"/>
      <c r="E30704" s="8"/>
      <c r="G30704" s="8"/>
      <c r="J30704" s="8"/>
    </row>
    <row r="30705">
      <c r="C30705" s="15"/>
      <c r="E30705" s="8"/>
      <c r="G30705" s="8"/>
      <c r="J30705" s="8"/>
    </row>
    <row r="30706">
      <c r="C30706" s="15"/>
      <c r="E30706" s="8"/>
      <c r="G30706" s="8"/>
      <c r="J30706" s="8"/>
    </row>
    <row r="30707">
      <c r="C30707" s="15"/>
      <c r="E30707" s="8"/>
      <c r="G30707" s="8"/>
      <c r="J30707" s="8"/>
    </row>
    <row r="30708">
      <c r="C30708" s="15"/>
      <c r="E30708" s="8"/>
      <c r="G30708" s="8"/>
      <c r="J30708" s="8"/>
    </row>
    <row r="30709">
      <c r="C30709" s="15"/>
      <c r="E30709" s="8"/>
      <c r="G30709" s="8"/>
      <c r="J30709" s="8"/>
    </row>
    <row r="30710">
      <c r="C30710" s="15"/>
      <c r="E30710" s="8"/>
      <c r="G30710" s="8"/>
      <c r="J30710" s="8"/>
    </row>
    <row r="30711">
      <c r="C30711" s="15"/>
      <c r="E30711" s="8"/>
      <c r="G30711" s="8"/>
      <c r="J30711" s="8"/>
    </row>
    <row r="30712">
      <c r="C30712" s="15"/>
      <c r="E30712" s="8"/>
      <c r="G30712" s="8"/>
      <c r="J30712" s="8"/>
    </row>
    <row r="30713">
      <c r="C30713" s="15"/>
      <c r="E30713" s="8"/>
      <c r="G30713" s="8"/>
      <c r="J30713" s="8"/>
    </row>
    <row r="30714">
      <c r="C30714" s="15"/>
      <c r="E30714" s="8"/>
      <c r="G30714" s="8"/>
      <c r="J30714" s="8"/>
    </row>
    <row r="30715">
      <c r="C30715" s="15"/>
      <c r="E30715" s="8"/>
      <c r="G30715" s="8"/>
      <c r="J30715" s="8"/>
    </row>
    <row r="30716">
      <c r="C30716" s="15"/>
      <c r="E30716" s="8"/>
      <c r="G30716" s="8"/>
      <c r="J30716" s="8"/>
    </row>
    <row r="30717">
      <c r="C30717" s="15"/>
      <c r="E30717" s="8"/>
      <c r="G30717" s="8"/>
      <c r="J30717" s="8"/>
    </row>
    <row r="30718">
      <c r="C30718" s="15"/>
      <c r="E30718" s="8"/>
      <c r="G30718" s="8"/>
      <c r="J30718" s="8"/>
    </row>
    <row r="30719">
      <c r="C30719" s="15"/>
      <c r="E30719" s="8"/>
      <c r="G30719" s="8"/>
      <c r="J30719" s="8"/>
    </row>
    <row r="30720">
      <c r="C30720" s="15"/>
      <c r="E30720" s="8"/>
      <c r="G30720" s="8"/>
      <c r="J30720" s="8"/>
    </row>
    <row r="30721">
      <c r="C30721" s="15"/>
      <c r="E30721" s="8"/>
      <c r="G30721" s="8"/>
      <c r="J30721" s="8"/>
    </row>
    <row r="30722">
      <c r="C30722" s="15"/>
      <c r="E30722" s="8"/>
      <c r="G30722" s="8"/>
      <c r="J30722" s="8"/>
    </row>
    <row r="30723">
      <c r="C30723" s="15"/>
      <c r="E30723" s="8"/>
      <c r="G30723" s="8"/>
      <c r="J30723" s="8"/>
    </row>
    <row r="30724">
      <c r="C30724" s="15"/>
      <c r="E30724" s="8"/>
      <c r="G30724" s="8"/>
      <c r="J30724" s="8"/>
    </row>
    <row r="30725">
      <c r="C30725" s="15"/>
      <c r="E30725" s="8"/>
      <c r="G30725" s="8"/>
      <c r="J30725" s="8"/>
    </row>
    <row r="30726">
      <c r="C30726" s="15"/>
      <c r="E30726" s="8"/>
      <c r="G30726" s="8"/>
      <c r="J30726" s="8"/>
    </row>
    <row r="30727">
      <c r="C30727" s="15"/>
      <c r="E30727" s="8"/>
      <c r="G30727" s="8"/>
      <c r="J30727" s="8"/>
    </row>
    <row r="30728">
      <c r="C30728" s="15"/>
      <c r="E30728" s="8"/>
      <c r="G30728" s="8"/>
      <c r="J30728" s="8"/>
    </row>
    <row r="30729">
      <c r="C30729" s="15"/>
      <c r="E30729" s="8"/>
      <c r="G30729" s="8"/>
      <c r="J30729" s="8"/>
    </row>
    <row r="30730">
      <c r="C30730" s="15"/>
      <c r="E30730" s="8"/>
      <c r="G30730" s="8"/>
      <c r="J30730" s="8"/>
    </row>
    <row r="30731">
      <c r="C30731" s="15"/>
      <c r="E30731" s="8"/>
      <c r="G30731" s="8"/>
      <c r="J30731" s="8"/>
    </row>
    <row r="30732">
      <c r="C30732" s="15"/>
      <c r="E30732" s="8"/>
      <c r="G30732" s="8"/>
      <c r="J30732" s="8"/>
    </row>
    <row r="30733">
      <c r="C30733" s="15"/>
      <c r="E30733" s="8"/>
      <c r="G30733" s="8"/>
      <c r="J30733" s="8"/>
    </row>
    <row r="30734">
      <c r="C30734" s="15"/>
      <c r="E30734" s="8"/>
      <c r="G30734" s="8"/>
      <c r="J30734" s="8"/>
    </row>
    <row r="30735">
      <c r="C30735" s="15"/>
      <c r="E30735" s="8"/>
      <c r="G30735" s="8"/>
      <c r="J30735" s="8"/>
    </row>
    <row r="30736">
      <c r="C30736" s="15"/>
      <c r="E30736" s="8"/>
      <c r="G30736" s="8"/>
      <c r="J30736" s="8"/>
    </row>
    <row r="30737">
      <c r="C30737" s="15"/>
      <c r="E30737" s="8"/>
      <c r="G30737" s="8"/>
      <c r="J30737" s="8"/>
    </row>
    <row r="30738">
      <c r="C30738" s="15"/>
      <c r="E30738" s="8"/>
      <c r="G30738" s="8"/>
      <c r="J30738" s="8"/>
    </row>
    <row r="30739">
      <c r="C30739" s="15"/>
      <c r="E30739" s="8"/>
      <c r="G30739" s="8"/>
      <c r="J30739" s="8"/>
    </row>
    <row r="30740">
      <c r="C30740" s="15"/>
      <c r="E30740" s="8"/>
      <c r="G30740" s="8"/>
      <c r="J30740" s="8"/>
    </row>
    <row r="30741">
      <c r="C30741" s="15"/>
      <c r="E30741" s="8"/>
      <c r="G30741" s="8"/>
      <c r="J30741" s="8"/>
    </row>
    <row r="30742">
      <c r="C30742" s="15"/>
      <c r="E30742" s="8"/>
      <c r="G30742" s="8"/>
      <c r="J30742" s="8"/>
    </row>
    <row r="30743">
      <c r="C30743" s="15"/>
      <c r="E30743" s="8"/>
      <c r="G30743" s="8"/>
      <c r="J30743" s="8"/>
    </row>
    <row r="30744">
      <c r="C30744" s="15"/>
      <c r="E30744" s="8"/>
      <c r="G30744" s="8"/>
      <c r="J30744" s="8"/>
    </row>
    <row r="30745">
      <c r="C30745" s="15"/>
      <c r="E30745" s="8"/>
      <c r="G30745" s="8"/>
      <c r="J30745" s="8"/>
    </row>
    <row r="30746">
      <c r="C30746" s="15"/>
      <c r="E30746" s="8"/>
      <c r="G30746" s="8"/>
      <c r="J30746" s="8"/>
    </row>
    <row r="30747">
      <c r="C30747" s="15"/>
      <c r="E30747" s="8"/>
      <c r="G30747" s="8"/>
      <c r="J30747" s="8"/>
    </row>
    <row r="30748">
      <c r="C30748" s="15"/>
      <c r="E30748" s="8"/>
      <c r="G30748" s="8"/>
      <c r="J30748" s="8"/>
    </row>
    <row r="30749">
      <c r="C30749" s="15"/>
      <c r="E30749" s="8"/>
      <c r="G30749" s="8"/>
      <c r="J30749" s="8"/>
    </row>
    <row r="30750">
      <c r="C30750" s="15"/>
      <c r="E30750" s="8"/>
      <c r="G30750" s="8"/>
      <c r="J30750" s="8"/>
    </row>
    <row r="30751">
      <c r="C30751" s="15"/>
      <c r="E30751" s="8"/>
      <c r="G30751" s="8"/>
      <c r="J30751" s="8"/>
    </row>
    <row r="30752">
      <c r="C30752" s="15"/>
      <c r="E30752" s="8"/>
      <c r="G30752" s="8"/>
      <c r="J30752" s="8"/>
    </row>
    <row r="30753">
      <c r="C30753" s="15"/>
      <c r="E30753" s="8"/>
      <c r="G30753" s="8"/>
      <c r="J30753" s="8"/>
    </row>
    <row r="30754">
      <c r="C30754" s="15"/>
      <c r="E30754" s="8"/>
      <c r="G30754" s="8"/>
      <c r="J30754" s="8"/>
    </row>
    <row r="30755">
      <c r="C30755" s="15"/>
      <c r="E30755" s="8"/>
      <c r="G30755" s="8"/>
      <c r="J30755" s="8"/>
    </row>
    <row r="30756">
      <c r="C30756" s="15"/>
      <c r="E30756" s="8"/>
      <c r="G30756" s="8"/>
      <c r="J30756" s="8"/>
    </row>
    <row r="30757">
      <c r="C30757" s="15"/>
      <c r="E30757" s="8"/>
      <c r="G30757" s="8"/>
      <c r="J30757" s="8"/>
    </row>
    <row r="30758">
      <c r="C30758" s="15"/>
      <c r="E30758" s="8"/>
      <c r="G30758" s="8"/>
      <c r="J30758" s="8"/>
    </row>
    <row r="30759">
      <c r="C30759" s="15"/>
      <c r="E30759" s="8"/>
      <c r="G30759" s="8"/>
      <c r="J30759" s="8"/>
    </row>
    <row r="30760">
      <c r="C30760" s="15"/>
      <c r="E30760" s="8"/>
      <c r="G30760" s="8"/>
      <c r="J30760" s="8"/>
    </row>
    <row r="30761">
      <c r="C30761" s="15"/>
      <c r="E30761" s="8"/>
      <c r="G30761" s="8"/>
      <c r="J30761" s="8"/>
    </row>
    <row r="30762">
      <c r="C30762" s="15"/>
      <c r="E30762" s="8"/>
      <c r="G30762" s="8"/>
      <c r="J30762" s="8"/>
    </row>
    <row r="30763">
      <c r="C30763" s="15"/>
      <c r="E30763" s="8"/>
      <c r="G30763" s="8"/>
      <c r="J30763" s="8"/>
    </row>
    <row r="30764">
      <c r="C30764" s="15"/>
      <c r="E30764" s="8"/>
      <c r="G30764" s="8"/>
      <c r="J30764" s="8"/>
    </row>
    <row r="30765">
      <c r="C30765" s="15"/>
      <c r="E30765" s="8"/>
      <c r="G30765" s="8"/>
      <c r="J30765" s="8"/>
    </row>
    <row r="30766">
      <c r="C30766" s="15"/>
      <c r="E30766" s="8"/>
      <c r="G30766" s="8"/>
      <c r="J30766" s="8"/>
    </row>
    <row r="30767">
      <c r="C30767" s="15"/>
      <c r="E30767" s="8"/>
      <c r="G30767" s="8"/>
      <c r="J30767" s="8"/>
    </row>
    <row r="30768">
      <c r="C30768" s="15"/>
      <c r="E30768" s="8"/>
      <c r="G30768" s="8"/>
      <c r="J30768" s="8"/>
    </row>
    <row r="30769">
      <c r="C30769" s="15"/>
      <c r="E30769" s="8"/>
      <c r="G30769" s="8"/>
      <c r="J30769" s="8"/>
    </row>
    <row r="30770">
      <c r="C30770" s="15"/>
      <c r="E30770" s="8"/>
      <c r="G30770" s="8"/>
      <c r="J30770" s="8"/>
    </row>
    <row r="30771">
      <c r="C30771" s="15"/>
      <c r="E30771" s="8"/>
      <c r="G30771" s="8"/>
      <c r="J30771" s="8"/>
    </row>
    <row r="30772">
      <c r="C30772" s="15"/>
      <c r="E30772" s="8"/>
      <c r="G30772" s="8"/>
      <c r="J30772" s="8"/>
    </row>
    <row r="30773">
      <c r="C30773" s="15"/>
      <c r="E30773" s="8"/>
      <c r="G30773" s="8"/>
      <c r="J30773" s="8"/>
    </row>
    <row r="30774">
      <c r="C30774" s="15"/>
      <c r="E30774" s="8"/>
      <c r="G30774" s="8"/>
      <c r="J30774" s="8"/>
    </row>
    <row r="30775">
      <c r="C30775" s="15"/>
      <c r="E30775" s="8"/>
      <c r="G30775" s="8"/>
      <c r="J30775" s="8"/>
    </row>
    <row r="30776">
      <c r="C30776" s="15"/>
      <c r="E30776" s="8"/>
      <c r="G30776" s="8"/>
      <c r="J30776" s="8"/>
    </row>
    <row r="30777">
      <c r="C30777" s="15"/>
      <c r="E30777" s="8"/>
      <c r="G30777" s="8"/>
      <c r="J30777" s="8"/>
    </row>
    <row r="30778">
      <c r="C30778" s="15"/>
      <c r="E30778" s="8"/>
      <c r="G30778" s="8"/>
      <c r="J30778" s="8"/>
    </row>
    <row r="30779">
      <c r="C30779" s="15"/>
      <c r="E30779" s="8"/>
      <c r="G30779" s="8"/>
      <c r="J30779" s="8"/>
    </row>
    <row r="30780">
      <c r="C30780" s="15"/>
      <c r="E30780" s="8"/>
      <c r="G30780" s="8"/>
      <c r="J30780" s="8"/>
    </row>
    <row r="30781">
      <c r="C30781" s="15"/>
      <c r="E30781" s="8"/>
      <c r="G30781" s="8"/>
      <c r="J30781" s="8"/>
    </row>
    <row r="30782">
      <c r="C30782" s="15"/>
      <c r="E30782" s="8"/>
      <c r="G30782" s="8"/>
      <c r="J30782" s="8"/>
    </row>
    <row r="30783">
      <c r="C30783" s="15"/>
      <c r="E30783" s="8"/>
      <c r="G30783" s="8"/>
      <c r="J30783" s="8"/>
    </row>
    <row r="30784">
      <c r="C30784" s="15"/>
      <c r="E30784" s="8"/>
      <c r="G30784" s="8"/>
      <c r="J30784" s="8"/>
    </row>
    <row r="30785">
      <c r="C30785" s="15"/>
      <c r="E30785" s="8"/>
      <c r="G30785" s="8"/>
      <c r="J30785" s="8"/>
    </row>
    <row r="30786">
      <c r="C30786" s="15"/>
      <c r="E30786" s="8"/>
      <c r="G30786" s="8"/>
      <c r="J30786" s="8"/>
    </row>
    <row r="30787">
      <c r="C30787" s="15"/>
      <c r="E30787" s="8"/>
      <c r="G30787" s="8"/>
      <c r="J30787" s="8"/>
    </row>
    <row r="30788">
      <c r="C30788" s="15"/>
      <c r="E30788" s="8"/>
      <c r="G30788" s="8"/>
      <c r="J30788" s="8"/>
    </row>
    <row r="30789">
      <c r="C30789" s="15"/>
      <c r="E30789" s="8"/>
      <c r="G30789" s="8"/>
      <c r="J30789" s="8"/>
    </row>
    <row r="30790">
      <c r="C30790" s="15"/>
      <c r="E30790" s="8"/>
      <c r="G30790" s="8"/>
      <c r="J30790" s="8"/>
    </row>
    <row r="30791">
      <c r="C30791" s="15"/>
      <c r="E30791" s="8"/>
      <c r="G30791" s="8"/>
      <c r="J30791" s="8"/>
    </row>
    <row r="30792">
      <c r="C30792" s="15"/>
      <c r="E30792" s="8"/>
      <c r="G30792" s="8"/>
      <c r="J30792" s="8"/>
    </row>
    <row r="30793">
      <c r="C30793" s="15"/>
      <c r="E30793" s="8"/>
      <c r="G30793" s="8"/>
      <c r="J30793" s="8"/>
    </row>
    <row r="30794">
      <c r="C30794" s="15"/>
      <c r="E30794" s="8"/>
      <c r="G30794" s="8"/>
      <c r="J30794" s="8"/>
    </row>
    <row r="30795">
      <c r="C30795" s="15"/>
      <c r="E30795" s="8"/>
      <c r="G30795" s="8"/>
      <c r="J30795" s="8"/>
    </row>
    <row r="30796">
      <c r="C30796" s="15"/>
      <c r="E30796" s="8"/>
      <c r="G30796" s="8"/>
      <c r="J30796" s="8"/>
    </row>
    <row r="30797">
      <c r="C30797" s="15"/>
      <c r="E30797" s="8"/>
      <c r="G30797" s="8"/>
      <c r="J30797" s="8"/>
    </row>
    <row r="30798">
      <c r="C30798" s="15"/>
      <c r="E30798" s="8"/>
      <c r="G30798" s="8"/>
      <c r="J30798" s="8"/>
    </row>
    <row r="30799">
      <c r="C30799" s="15"/>
      <c r="E30799" s="8"/>
      <c r="G30799" s="8"/>
      <c r="J30799" s="8"/>
    </row>
    <row r="30800">
      <c r="C30800" s="15"/>
      <c r="E30800" s="8"/>
      <c r="G30800" s="8"/>
      <c r="J30800" s="8"/>
    </row>
    <row r="30801">
      <c r="C30801" s="15"/>
      <c r="E30801" s="8"/>
      <c r="G30801" s="8"/>
      <c r="J30801" s="8"/>
    </row>
    <row r="30802">
      <c r="C30802" s="15"/>
      <c r="E30802" s="8"/>
      <c r="G30802" s="8"/>
      <c r="J30802" s="8"/>
    </row>
    <row r="30803">
      <c r="C30803" s="15"/>
      <c r="E30803" s="8"/>
      <c r="G30803" s="8"/>
      <c r="J30803" s="8"/>
    </row>
    <row r="30804">
      <c r="C30804" s="15"/>
      <c r="E30804" s="8"/>
      <c r="G30804" s="8"/>
      <c r="J30804" s="8"/>
    </row>
    <row r="30805">
      <c r="C30805" s="15"/>
      <c r="E30805" s="8"/>
      <c r="G30805" s="8"/>
      <c r="J30805" s="8"/>
    </row>
    <row r="30806">
      <c r="C30806" s="15"/>
      <c r="E30806" s="8"/>
      <c r="G30806" s="8"/>
      <c r="J30806" s="8"/>
    </row>
    <row r="30807">
      <c r="C30807" s="15"/>
      <c r="E30807" s="8"/>
      <c r="G30807" s="8"/>
      <c r="J30807" s="8"/>
    </row>
    <row r="30808">
      <c r="C30808" s="15"/>
      <c r="E30808" s="8"/>
      <c r="G30808" s="8"/>
      <c r="J30808" s="8"/>
    </row>
    <row r="30809">
      <c r="C30809" s="15"/>
      <c r="E30809" s="8"/>
      <c r="G30809" s="8"/>
      <c r="J30809" s="8"/>
    </row>
    <row r="30810">
      <c r="C30810" s="15"/>
      <c r="E30810" s="8"/>
      <c r="G30810" s="8"/>
      <c r="J30810" s="8"/>
    </row>
    <row r="30811">
      <c r="C30811" s="15"/>
      <c r="E30811" s="8"/>
      <c r="G30811" s="8"/>
      <c r="J30811" s="8"/>
    </row>
    <row r="30812">
      <c r="C30812" s="15"/>
      <c r="E30812" s="8"/>
      <c r="G30812" s="8"/>
      <c r="J30812" s="8"/>
    </row>
    <row r="30813">
      <c r="C30813" s="15"/>
      <c r="E30813" s="8"/>
      <c r="G30813" s="8"/>
      <c r="J30813" s="8"/>
    </row>
    <row r="30814">
      <c r="C30814" s="15"/>
      <c r="E30814" s="8"/>
      <c r="G30814" s="8"/>
      <c r="J30814" s="8"/>
    </row>
    <row r="30815">
      <c r="C30815" s="15"/>
      <c r="E30815" s="8"/>
      <c r="G30815" s="8"/>
      <c r="J30815" s="8"/>
    </row>
    <row r="30816">
      <c r="C30816" s="15"/>
      <c r="E30816" s="8"/>
      <c r="G30816" s="8"/>
      <c r="J30816" s="8"/>
    </row>
    <row r="30817">
      <c r="C30817" s="15"/>
      <c r="E30817" s="8"/>
      <c r="G30817" s="8"/>
      <c r="J30817" s="8"/>
    </row>
    <row r="30818">
      <c r="C30818" s="15"/>
      <c r="E30818" s="8"/>
      <c r="G30818" s="8"/>
      <c r="J30818" s="8"/>
    </row>
    <row r="30819">
      <c r="C30819" s="15"/>
      <c r="E30819" s="8"/>
      <c r="G30819" s="8"/>
      <c r="J30819" s="8"/>
    </row>
    <row r="30820">
      <c r="C30820" s="15"/>
      <c r="E30820" s="8"/>
      <c r="G30820" s="8"/>
      <c r="J30820" s="8"/>
    </row>
    <row r="30821">
      <c r="C30821" s="15"/>
      <c r="E30821" s="8"/>
      <c r="G30821" s="8"/>
      <c r="J30821" s="8"/>
    </row>
    <row r="30822">
      <c r="C30822" s="15"/>
      <c r="E30822" s="8"/>
      <c r="G30822" s="8"/>
      <c r="J30822" s="8"/>
    </row>
    <row r="30823">
      <c r="C30823" s="15"/>
      <c r="E30823" s="8"/>
      <c r="G30823" s="8"/>
      <c r="J30823" s="8"/>
    </row>
    <row r="30824">
      <c r="C30824" s="15"/>
      <c r="E30824" s="8"/>
      <c r="G30824" s="8"/>
      <c r="J30824" s="8"/>
    </row>
    <row r="30825">
      <c r="C30825" s="15"/>
      <c r="E30825" s="8"/>
      <c r="G30825" s="8"/>
      <c r="J30825" s="8"/>
    </row>
    <row r="30826">
      <c r="C30826" s="15"/>
      <c r="E30826" s="8"/>
      <c r="G30826" s="8"/>
      <c r="J30826" s="8"/>
    </row>
    <row r="30827">
      <c r="C30827" s="15"/>
      <c r="E30827" s="8"/>
      <c r="G30827" s="8"/>
      <c r="J30827" s="8"/>
    </row>
    <row r="30828">
      <c r="C30828" s="15"/>
      <c r="E30828" s="8"/>
      <c r="G30828" s="8"/>
      <c r="J30828" s="8"/>
    </row>
    <row r="30829">
      <c r="C30829" s="15"/>
      <c r="E30829" s="8"/>
      <c r="G30829" s="8"/>
      <c r="J30829" s="8"/>
    </row>
    <row r="30830">
      <c r="C30830" s="15"/>
      <c r="E30830" s="8"/>
      <c r="G30830" s="8"/>
      <c r="J30830" s="8"/>
    </row>
    <row r="30831">
      <c r="C30831" s="15"/>
      <c r="E30831" s="8"/>
      <c r="G30831" s="8"/>
      <c r="J30831" s="8"/>
    </row>
    <row r="30832">
      <c r="C30832" s="15"/>
      <c r="E30832" s="8"/>
      <c r="G30832" s="8"/>
      <c r="J30832" s="8"/>
    </row>
    <row r="30833">
      <c r="C30833" s="15"/>
      <c r="E30833" s="8"/>
      <c r="G30833" s="8"/>
      <c r="J30833" s="8"/>
    </row>
    <row r="30834">
      <c r="C30834" s="15"/>
      <c r="E30834" s="8"/>
      <c r="G30834" s="8"/>
      <c r="J30834" s="8"/>
    </row>
    <row r="30835">
      <c r="C30835" s="15"/>
      <c r="E30835" s="8"/>
      <c r="G30835" s="8"/>
      <c r="J30835" s="8"/>
    </row>
    <row r="30836">
      <c r="C30836" s="15"/>
      <c r="E30836" s="8"/>
      <c r="G30836" s="8"/>
      <c r="J30836" s="8"/>
    </row>
    <row r="30837">
      <c r="C30837" s="15"/>
      <c r="E30837" s="8"/>
      <c r="G30837" s="8"/>
      <c r="J30837" s="8"/>
    </row>
    <row r="30838">
      <c r="C30838" s="15"/>
      <c r="E30838" s="8"/>
      <c r="G30838" s="8"/>
      <c r="J30838" s="8"/>
    </row>
    <row r="30839">
      <c r="C30839" s="15"/>
      <c r="E30839" s="8"/>
      <c r="G30839" s="8"/>
      <c r="J30839" s="8"/>
    </row>
    <row r="30840">
      <c r="C30840" s="15"/>
      <c r="E30840" s="8"/>
      <c r="G30840" s="8"/>
      <c r="J30840" s="8"/>
    </row>
    <row r="30841">
      <c r="C30841" s="15"/>
      <c r="E30841" s="8"/>
      <c r="G30841" s="8"/>
      <c r="J30841" s="8"/>
    </row>
    <row r="30842">
      <c r="C30842" s="15"/>
      <c r="E30842" s="8"/>
      <c r="G30842" s="8"/>
      <c r="J30842" s="8"/>
    </row>
    <row r="30843">
      <c r="C30843" s="15"/>
      <c r="E30843" s="8"/>
      <c r="G30843" s="8"/>
      <c r="J30843" s="8"/>
    </row>
    <row r="30844">
      <c r="C30844" s="15"/>
      <c r="E30844" s="8"/>
      <c r="G30844" s="8"/>
      <c r="J30844" s="8"/>
    </row>
    <row r="30845">
      <c r="C30845" s="15"/>
      <c r="E30845" s="8"/>
      <c r="G30845" s="8"/>
      <c r="J30845" s="8"/>
    </row>
    <row r="30846">
      <c r="C30846" s="15"/>
      <c r="E30846" s="8"/>
      <c r="G30846" s="8"/>
      <c r="J30846" s="8"/>
    </row>
    <row r="30847">
      <c r="C30847" s="15"/>
      <c r="E30847" s="8"/>
      <c r="G30847" s="8"/>
      <c r="J30847" s="8"/>
    </row>
    <row r="30848">
      <c r="C30848" s="15"/>
      <c r="E30848" s="8"/>
      <c r="G30848" s="8"/>
      <c r="J30848" s="8"/>
    </row>
    <row r="30849">
      <c r="C30849" s="15"/>
      <c r="E30849" s="8"/>
      <c r="G30849" s="8"/>
      <c r="J30849" s="8"/>
    </row>
    <row r="30850">
      <c r="C30850" s="15"/>
      <c r="E30850" s="8"/>
      <c r="G30850" s="8"/>
      <c r="J30850" s="8"/>
    </row>
    <row r="30851">
      <c r="C30851" s="15"/>
      <c r="E30851" s="8"/>
      <c r="G30851" s="8"/>
      <c r="J30851" s="8"/>
    </row>
    <row r="30852">
      <c r="C30852" s="15"/>
      <c r="E30852" s="8"/>
      <c r="G30852" s="8"/>
      <c r="J30852" s="8"/>
    </row>
    <row r="30853">
      <c r="C30853" s="15"/>
      <c r="E30853" s="8"/>
      <c r="G30853" s="8"/>
      <c r="J30853" s="8"/>
    </row>
    <row r="30854">
      <c r="C30854" s="15"/>
      <c r="E30854" s="8"/>
      <c r="G30854" s="8"/>
      <c r="J30854" s="8"/>
    </row>
    <row r="30855">
      <c r="C30855" s="15"/>
      <c r="E30855" s="8"/>
      <c r="G30855" s="8"/>
      <c r="J30855" s="8"/>
    </row>
    <row r="30856">
      <c r="C30856" s="15"/>
      <c r="E30856" s="8"/>
      <c r="G30856" s="8"/>
      <c r="J30856" s="8"/>
    </row>
    <row r="30857">
      <c r="C30857" s="15"/>
      <c r="E30857" s="8"/>
      <c r="G30857" s="8"/>
      <c r="J30857" s="8"/>
    </row>
    <row r="30858">
      <c r="C30858" s="15"/>
      <c r="E30858" s="8"/>
      <c r="G30858" s="8"/>
      <c r="J30858" s="8"/>
    </row>
    <row r="30859">
      <c r="C30859" s="15"/>
      <c r="E30859" s="8"/>
      <c r="G30859" s="8"/>
      <c r="J30859" s="8"/>
    </row>
    <row r="30860">
      <c r="C30860" s="15"/>
      <c r="E30860" s="8"/>
      <c r="G30860" s="8"/>
      <c r="J30860" s="8"/>
    </row>
    <row r="30861">
      <c r="C30861" s="15"/>
      <c r="E30861" s="8"/>
      <c r="G30861" s="8"/>
      <c r="J30861" s="8"/>
    </row>
    <row r="30862">
      <c r="C30862" s="15"/>
      <c r="E30862" s="8"/>
      <c r="G30862" s="8"/>
      <c r="J30862" s="8"/>
    </row>
    <row r="30863">
      <c r="C30863" s="15"/>
      <c r="E30863" s="8"/>
      <c r="G30863" s="8"/>
      <c r="J30863" s="8"/>
    </row>
    <row r="30864">
      <c r="C30864" s="15"/>
      <c r="E30864" s="8"/>
      <c r="G30864" s="8"/>
      <c r="J30864" s="8"/>
    </row>
    <row r="30865">
      <c r="C30865" s="15"/>
      <c r="E30865" s="8"/>
      <c r="G30865" s="8"/>
      <c r="J30865" s="8"/>
    </row>
    <row r="30866">
      <c r="C30866" s="15"/>
      <c r="E30866" s="8"/>
      <c r="G30866" s="8"/>
      <c r="J30866" s="8"/>
    </row>
    <row r="30867">
      <c r="C30867" s="15"/>
      <c r="E30867" s="8"/>
      <c r="G30867" s="8"/>
      <c r="J30867" s="8"/>
    </row>
    <row r="30868">
      <c r="C30868" s="15"/>
      <c r="E30868" s="8"/>
      <c r="G30868" s="8"/>
      <c r="J30868" s="8"/>
    </row>
    <row r="30869">
      <c r="C30869" s="15"/>
      <c r="E30869" s="8"/>
      <c r="G30869" s="8"/>
      <c r="J30869" s="8"/>
    </row>
    <row r="30870">
      <c r="C30870" s="15"/>
      <c r="E30870" s="8"/>
      <c r="G30870" s="8"/>
      <c r="J30870" s="8"/>
    </row>
    <row r="30871">
      <c r="C30871" s="15"/>
      <c r="E30871" s="8"/>
      <c r="G30871" s="8"/>
      <c r="J30871" s="8"/>
    </row>
    <row r="30872">
      <c r="C30872" s="15"/>
      <c r="E30872" s="8"/>
      <c r="G30872" s="8"/>
      <c r="J30872" s="8"/>
    </row>
    <row r="30873">
      <c r="C30873" s="15"/>
      <c r="E30873" s="8"/>
      <c r="G30873" s="8"/>
      <c r="J30873" s="8"/>
    </row>
    <row r="30874">
      <c r="C30874" s="15"/>
      <c r="E30874" s="8"/>
      <c r="G30874" s="8"/>
      <c r="J30874" s="8"/>
    </row>
    <row r="30875">
      <c r="C30875" s="15"/>
      <c r="E30875" s="8"/>
      <c r="G30875" s="8"/>
      <c r="J30875" s="8"/>
    </row>
    <row r="30876">
      <c r="C30876" s="15"/>
      <c r="E30876" s="8"/>
      <c r="G30876" s="8"/>
      <c r="J30876" s="8"/>
    </row>
    <row r="30877">
      <c r="C30877" s="15"/>
      <c r="E30877" s="8"/>
      <c r="G30877" s="8"/>
      <c r="J30877" s="8"/>
    </row>
    <row r="30878">
      <c r="C30878" s="15"/>
      <c r="E30878" s="8"/>
      <c r="G30878" s="8"/>
      <c r="J30878" s="8"/>
    </row>
    <row r="30879">
      <c r="C30879" s="15"/>
      <c r="E30879" s="8"/>
      <c r="G30879" s="8"/>
      <c r="J30879" s="8"/>
    </row>
    <row r="30880">
      <c r="C30880" s="15"/>
      <c r="E30880" s="8"/>
      <c r="G30880" s="8"/>
      <c r="J30880" s="8"/>
    </row>
    <row r="30881">
      <c r="C30881" s="15"/>
      <c r="E30881" s="8"/>
      <c r="G30881" s="8"/>
      <c r="J30881" s="8"/>
    </row>
    <row r="30882">
      <c r="C30882" s="15"/>
      <c r="E30882" s="8"/>
      <c r="G30882" s="8"/>
      <c r="J30882" s="8"/>
    </row>
    <row r="30883">
      <c r="C30883" s="15"/>
      <c r="E30883" s="8"/>
      <c r="G30883" s="8"/>
      <c r="J30883" s="8"/>
    </row>
    <row r="30884">
      <c r="C30884" s="15"/>
      <c r="E30884" s="8"/>
      <c r="G30884" s="8"/>
      <c r="J30884" s="8"/>
    </row>
    <row r="30885">
      <c r="C30885" s="15"/>
      <c r="E30885" s="8"/>
      <c r="G30885" s="8"/>
      <c r="J30885" s="8"/>
    </row>
    <row r="30886">
      <c r="C30886" s="15"/>
      <c r="E30886" s="8"/>
      <c r="G30886" s="8"/>
      <c r="J30886" s="8"/>
    </row>
    <row r="30887">
      <c r="C30887" s="15"/>
      <c r="E30887" s="8"/>
      <c r="G30887" s="8"/>
      <c r="J30887" s="8"/>
    </row>
    <row r="30888">
      <c r="C30888" s="15"/>
      <c r="E30888" s="8"/>
      <c r="G30888" s="8"/>
      <c r="J30888" s="8"/>
    </row>
    <row r="30889">
      <c r="C30889" s="15"/>
      <c r="E30889" s="8"/>
      <c r="G30889" s="8"/>
      <c r="J30889" s="8"/>
    </row>
    <row r="30890">
      <c r="C30890" s="15"/>
      <c r="E30890" s="8"/>
      <c r="G30890" s="8"/>
      <c r="J30890" s="8"/>
    </row>
    <row r="30891">
      <c r="C30891" s="15"/>
      <c r="E30891" s="8"/>
      <c r="G30891" s="8"/>
      <c r="J30891" s="8"/>
    </row>
    <row r="30892">
      <c r="C30892" s="15"/>
      <c r="E30892" s="8"/>
      <c r="G30892" s="8"/>
      <c r="J30892" s="8"/>
    </row>
    <row r="30893">
      <c r="C30893" s="15"/>
      <c r="E30893" s="8"/>
      <c r="G30893" s="8"/>
      <c r="J30893" s="8"/>
    </row>
    <row r="30894">
      <c r="C30894" s="15"/>
      <c r="E30894" s="8"/>
      <c r="G30894" s="8"/>
      <c r="J30894" s="8"/>
    </row>
    <row r="30895">
      <c r="C30895" s="15"/>
      <c r="E30895" s="8"/>
      <c r="G30895" s="8"/>
      <c r="J30895" s="8"/>
    </row>
    <row r="30896">
      <c r="C30896" s="15"/>
      <c r="E30896" s="8"/>
      <c r="G30896" s="8"/>
      <c r="J30896" s="8"/>
    </row>
    <row r="30897">
      <c r="C30897" s="15"/>
      <c r="E30897" s="8"/>
      <c r="G30897" s="8"/>
      <c r="J30897" s="8"/>
    </row>
    <row r="30898">
      <c r="C30898" s="15"/>
      <c r="E30898" s="8"/>
      <c r="G30898" s="8"/>
      <c r="J30898" s="8"/>
    </row>
    <row r="30899">
      <c r="C30899" s="15"/>
      <c r="E30899" s="8"/>
      <c r="G30899" s="8"/>
      <c r="J30899" s="8"/>
    </row>
    <row r="30900">
      <c r="C30900" s="15"/>
      <c r="E30900" s="8"/>
      <c r="G30900" s="8"/>
      <c r="J30900" s="8"/>
    </row>
    <row r="30901">
      <c r="C30901" s="15"/>
      <c r="E30901" s="8"/>
      <c r="G30901" s="8"/>
      <c r="J30901" s="8"/>
    </row>
    <row r="30902">
      <c r="C30902" s="15"/>
      <c r="E30902" s="8"/>
      <c r="G30902" s="8"/>
      <c r="J30902" s="8"/>
    </row>
    <row r="30903">
      <c r="C30903" s="15"/>
      <c r="E30903" s="8"/>
      <c r="G30903" s="8"/>
      <c r="J30903" s="8"/>
    </row>
    <row r="30904">
      <c r="C30904" s="15"/>
      <c r="E30904" s="8"/>
      <c r="G30904" s="8"/>
      <c r="J30904" s="8"/>
    </row>
    <row r="30905">
      <c r="C30905" s="15"/>
      <c r="E30905" s="8"/>
      <c r="G30905" s="8"/>
      <c r="J30905" s="8"/>
    </row>
    <row r="30906">
      <c r="C30906" s="15"/>
      <c r="E30906" s="8"/>
      <c r="G30906" s="8"/>
      <c r="J30906" s="8"/>
    </row>
    <row r="30907">
      <c r="C30907" s="15"/>
      <c r="E30907" s="8"/>
      <c r="G30907" s="8"/>
      <c r="J30907" s="8"/>
    </row>
    <row r="30908">
      <c r="C30908" s="15"/>
      <c r="E30908" s="8"/>
      <c r="G30908" s="8"/>
      <c r="J30908" s="8"/>
    </row>
    <row r="30909">
      <c r="C30909" s="15"/>
      <c r="E30909" s="8"/>
      <c r="G30909" s="8"/>
      <c r="J30909" s="8"/>
    </row>
    <row r="30910">
      <c r="C30910" s="15"/>
      <c r="E30910" s="8"/>
      <c r="G30910" s="8"/>
      <c r="J30910" s="8"/>
    </row>
    <row r="30911">
      <c r="C30911" s="15"/>
      <c r="E30911" s="8"/>
      <c r="G30911" s="8"/>
      <c r="J30911" s="8"/>
    </row>
    <row r="30912">
      <c r="C30912" s="15"/>
      <c r="E30912" s="8"/>
      <c r="G30912" s="8"/>
      <c r="J30912" s="8"/>
    </row>
    <row r="30913">
      <c r="C30913" s="15"/>
      <c r="E30913" s="8"/>
      <c r="G30913" s="8"/>
      <c r="J30913" s="8"/>
    </row>
    <row r="30914">
      <c r="C30914" s="15"/>
      <c r="E30914" s="8"/>
      <c r="G30914" s="8"/>
      <c r="J30914" s="8"/>
    </row>
    <row r="30915">
      <c r="C30915" s="15"/>
      <c r="E30915" s="8"/>
      <c r="G30915" s="8"/>
      <c r="J30915" s="8"/>
    </row>
    <row r="30916">
      <c r="C30916" s="15"/>
      <c r="E30916" s="8"/>
      <c r="G30916" s="8"/>
      <c r="J30916" s="8"/>
    </row>
    <row r="30917">
      <c r="C30917" s="15"/>
      <c r="E30917" s="8"/>
      <c r="G30917" s="8"/>
      <c r="J30917" s="8"/>
    </row>
    <row r="30918">
      <c r="C30918" s="15"/>
      <c r="E30918" s="8"/>
      <c r="G30918" s="8"/>
      <c r="J30918" s="8"/>
    </row>
    <row r="30919">
      <c r="C30919" s="15"/>
      <c r="E30919" s="8"/>
      <c r="G30919" s="8"/>
      <c r="J30919" s="8"/>
    </row>
    <row r="30920">
      <c r="C30920" s="15"/>
      <c r="E30920" s="8"/>
      <c r="G30920" s="8"/>
      <c r="J30920" s="8"/>
    </row>
    <row r="30921">
      <c r="C30921" s="15"/>
      <c r="E30921" s="8"/>
      <c r="G30921" s="8"/>
      <c r="J30921" s="8"/>
    </row>
    <row r="30922">
      <c r="C30922" s="15"/>
      <c r="E30922" s="8"/>
      <c r="G30922" s="8"/>
      <c r="J30922" s="8"/>
    </row>
    <row r="30923">
      <c r="C30923" s="15"/>
      <c r="E30923" s="8"/>
      <c r="G30923" s="8"/>
      <c r="J30923" s="8"/>
    </row>
    <row r="30924">
      <c r="C30924" s="15"/>
      <c r="E30924" s="8"/>
      <c r="G30924" s="8"/>
      <c r="J30924" s="8"/>
    </row>
    <row r="30925">
      <c r="C30925" s="15"/>
      <c r="E30925" s="8"/>
      <c r="G30925" s="8"/>
      <c r="J30925" s="8"/>
    </row>
    <row r="30926">
      <c r="C30926" s="15"/>
      <c r="E30926" s="8"/>
      <c r="G30926" s="8"/>
      <c r="J30926" s="8"/>
    </row>
    <row r="30927">
      <c r="C30927" s="15"/>
      <c r="E30927" s="8"/>
      <c r="G30927" s="8"/>
      <c r="J30927" s="8"/>
    </row>
    <row r="30928">
      <c r="C30928" s="15"/>
      <c r="E30928" s="8"/>
      <c r="G30928" s="8"/>
      <c r="J30928" s="8"/>
    </row>
    <row r="30929">
      <c r="C30929" s="15"/>
      <c r="E30929" s="8"/>
      <c r="G30929" s="8"/>
      <c r="J30929" s="8"/>
    </row>
    <row r="30930">
      <c r="C30930" s="15"/>
      <c r="E30930" s="8"/>
      <c r="G30930" s="8"/>
      <c r="J30930" s="8"/>
    </row>
    <row r="30931">
      <c r="C30931" s="15"/>
      <c r="E30931" s="8"/>
      <c r="G30931" s="8"/>
      <c r="J30931" s="8"/>
    </row>
    <row r="30932">
      <c r="C30932" s="15"/>
      <c r="E30932" s="8"/>
      <c r="G30932" s="8"/>
      <c r="J30932" s="8"/>
    </row>
    <row r="30933">
      <c r="C30933" s="15"/>
      <c r="E30933" s="8"/>
      <c r="G30933" s="8"/>
      <c r="J30933" s="8"/>
    </row>
    <row r="30934">
      <c r="C30934" s="15"/>
      <c r="E30934" s="8"/>
      <c r="G30934" s="8"/>
      <c r="J30934" s="8"/>
    </row>
    <row r="30935">
      <c r="C30935" s="15"/>
      <c r="E30935" s="8"/>
      <c r="G30935" s="8"/>
      <c r="J30935" s="8"/>
    </row>
    <row r="30936">
      <c r="C30936" s="15"/>
      <c r="E30936" s="8"/>
      <c r="G30936" s="8"/>
      <c r="J30936" s="8"/>
    </row>
    <row r="30937">
      <c r="C30937" s="15"/>
      <c r="E30937" s="8"/>
      <c r="G30937" s="8"/>
      <c r="J30937" s="8"/>
    </row>
    <row r="30938">
      <c r="C30938" s="15"/>
      <c r="E30938" s="8"/>
      <c r="G30938" s="8"/>
      <c r="J30938" s="8"/>
    </row>
    <row r="30939">
      <c r="C30939" s="15"/>
      <c r="E30939" s="8"/>
      <c r="G30939" s="8"/>
      <c r="J30939" s="8"/>
    </row>
    <row r="30940">
      <c r="C30940" s="15"/>
      <c r="E30940" s="8"/>
      <c r="G30940" s="8"/>
      <c r="J30940" s="8"/>
    </row>
    <row r="30941">
      <c r="C30941" s="15"/>
      <c r="E30941" s="8"/>
      <c r="G30941" s="8"/>
      <c r="J30941" s="8"/>
    </row>
    <row r="30942">
      <c r="C30942" s="15"/>
      <c r="E30942" s="8"/>
      <c r="G30942" s="8"/>
      <c r="J30942" s="8"/>
    </row>
    <row r="30943">
      <c r="C30943" s="15"/>
      <c r="E30943" s="8"/>
      <c r="G30943" s="8"/>
      <c r="J30943" s="8"/>
    </row>
    <row r="30944">
      <c r="C30944" s="15"/>
      <c r="E30944" s="8"/>
      <c r="G30944" s="8"/>
      <c r="J30944" s="8"/>
    </row>
    <row r="30945">
      <c r="C30945" s="15"/>
      <c r="E30945" s="8"/>
      <c r="G30945" s="8"/>
      <c r="J30945" s="8"/>
    </row>
    <row r="30946">
      <c r="C30946" s="15"/>
      <c r="E30946" s="8"/>
      <c r="G30946" s="8"/>
      <c r="J30946" s="8"/>
    </row>
    <row r="30947">
      <c r="C30947" s="15"/>
      <c r="E30947" s="8"/>
      <c r="G30947" s="8"/>
      <c r="J30947" s="8"/>
    </row>
    <row r="30948">
      <c r="C30948" s="15"/>
      <c r="E30948" s="8"/>
      <c r="G30948" s="8"/>
      <c r="J30948" s="8"/>
    </row>
    <row r="30949">
      <c r="C30949" s="15"/>
      <c r="E30949" s="8"/>
      <c r="G30949" s="8"/>
      <c r="J30949" s="8"/>
    </row>
    <row r="30950">
      <c r="C30950" s="15"/>
      <c r="E30950" s="8"/>
      <c r="G30950" s="8"/>
      <c r="J30950" s="8"/>
    </row>
    <row r="30951">
      <c r="C30951" s="15"/>
      <c r="E30951" s="8"/>
      <c r="G30951" s="8"/>
      <c r="J30951" s="8"/>
    </row>
    <row r="30952">
      <c r="C30952" s="15"/>
      <c r="E30952" s="8"/>
      <c r="G30952" s="8"/>
      <c r="J30952" s="8"/>
    </row>
    <row r="30953">
      <c r="C30953" s="15"/>
      <c r="E30953" s="8"/>
      <c r="G30953" s="8"/>
      <c r="J30953" s="8"/>
    </row>
    <row r="30954">
      <c r="C30954" s="15"/>
      <c r="E30954" s="8"/>
      <c r="G30954" s="8"/>
      <c r="J30954" s="8"/>
    </row>
    <row r="30955">
      <c r="C30955" s="15"/>
      <c r="E30955" s="8"/>
      <c r="G30955" s="8"/>
      <c r="J30955" s="8"/>
    </row>
    <row r="30956">
      <c r="C30956" s="15"/>
      <c r="E30956" s="8"/>
      <c r="G30956" s="8"/>
      <c r="J30956" s="8"/>
    </row>
    <row r="30957">
      <c r="C30957" s="15"/>
      <c r="E30957" s="8"/>
      <c r="G30957" s="8"/>
      <c r="J30957" s="8"/>
    </row>
    <row r="30958">
      <c r="C30958" s="15"/>
      <c r="E30958" s="8"/>
      <c r="G30958" s="8"/>
      <c r="J30958" s="8"/>
    </row>
    <row r="30959">
      <c r="C30959" s="15"/>
      <c r="E30959" s="8"/>
      <c r="G30959" s="8"/>
      <c r="J30959" s="8"/>
    </row>
    <row r="30960">
      <c r="C30960" s="15"/>
      <c r="E30960" s="8"/>
      <c r="G30960" s="8"/>
      <c r="J30960" s="8"/>
    </row>
    <row r="30961">
      <c r="C30961" s="15"/>
      <c r="E30961" s="8"/>
      <c r="G30961" s="8"/>
      <c r="J30961" s="8"/>
    </row>
    <row r="30962">
      <c r="C30962" s="15"/>
      <c r="E30962" s="8"/>
      <c r="G30962" s="8"/>
      <c r="J30962" s="8"/>
    </row>
    <row r="30963">
      <c r="C30963" s="15"/>
      <c r="E30963" s="8"/>
      <c r="G30963" s="8"/>
      <c r="J30963" s="8"/>
    </row>
    <row r="30964">
      <c r="C30964" s="15"/>
      <c r="E30964" s="8"/>
      <c r="G30964" s="8"/>
      <c r="J30964" s="8"/>
    </row>
    <row r="30965">
      <c r="C30965" s="15"/>
      <c r="E30965" s="8"/>
      <c r="G30965" s="8"/>
      <c r="J30965" s="8"/>
    </row>
    <row r="30966">
      <c r="C30966" s="15"/>
      <c r="E30966" s="8"/>
      <c r="G30966" s="8"/>
      <c r="J30966" s="8"/>
    </row>
    <row r="30967">
      <c r="C30967" s="15"/>
      <c r="E30967" s="8"/>
      <c r="G30967" s="8"/>
      <c r="J30967" s="8"/>
    </row>
    <row r="30968">
      <c r="C30968" s="15"/>
      <c r="E30968" s="8"/>
      <c r="G30968" s="8"/>
      <c r="J30968" s="8"/>
    </row>
    <row r="30969">
      <c r="C30969" s="15"/>
      <c r="E30969" s="8"/>
      <c r="G30969" s="8"/>
      <c r="J30969" s="8"/>
    </row>
    <row r="30970">
      <c r="C30970" s="15"/>
      <c r="E30970" s="8"/>
      <c r="G30970" s="8"/>
      <c r="J30970" s="8"/>
    </row>
    <row r="30971">
      <c r="C30971" s="15"/>
      <c r="E30971" s="8"/>
      <c r="G30971" s="8"/>
      <c r="J30971" s="8"/>
    </row>
    <row r="30972">
      <c r="C30972" s="15"/>
      <c r="E30972" s="8"/>
      <c r="G30972" s="8"/>
      <c r="J30972" s="8"/>
    </row>
    <row r="30973">
      <c r="C30973" s="15"/>
      <c r="E30973" s="8"/>
      <c r="G30973" s="8"/>
      <c r="J30973" s="8"/>
    </row>
    <row r="30974">
      <c r="C30974" s="15"/>
      <c r="E30974" s="8"/>
      <c r="G30974" s="8"/>
      <c r="J30974" s="8"/>
    </row>
    <row r="30975">
      <c r="C30975" s="15"/>
      <c r="E30975" s="8"/>
      <c r="G30975" s="8"/>
      <c r="J30975" s="8"/>
    </row>
    <row r="30976">
      <c r="C30976" s="15"/>
      <c r="E30976" s="8"/>
      <c r="G30976" s="8"/>
      <c r="J30976" s="8"/>
    </row>
    <row r="30977">
      <c r="C30977" s="15"/>
      <c r="E30977" s="8"/>
      <c r="G30977" s="8"/>
      <c r="J30977" s="8"/>
    </row>
    <row r="30978">
      <c r="C30978" s="15"/>
      <c r="E30978" s="8"/>
      <c r="G30978" s="8"/>
      <c r="J30978" s="8"/>
    </row>
    <row r="30979">
      <c r="C30979" s="15"/>
      <c r="E30979" s="8"/>
      <c r="G30979" s="8"/>
      <c r="J30979" s="8"/>
    </row>
    <row r="30980">
      <c r="C30980" s="15"/>
      <c r="E30980" s="8"/>
      <c r="G30980" s="8"/>
      <c r="J30980" s="8"/>
    </row>
    <row r="30981">
      <c r="C30981" s="15"/>
      <c r="E30981" s="8"/>
      <c r="G30981" s="8"/>
      <c r="J30981" s="8"/>
    </row>
    <row r="30982">
      <c r="C30982" s="15"/>
      <c r="E30982" s="8"/>
      <c r="G30982" s="8"/>
      <c r="J30982" s="8"/>
    </row>
    <row r="30983">
      <c r="C30983" s="15"/>
      <c r="E30983" s="8"/>
      <c r="G30983" s="8"/>
      <c r="J30983" s="8"/>
    </row>
    <row r="30984">
      <c r="C30984" s="15"/>
      <c r="E30984" s="8"/>
      <c r="G30984" s="8"/>
      <c r="J30984" s="8"/>
    </row>
    <row r="30985">
      <c r="C30985" s="15"/>
      <c r="E30985" s="8"/>
      <c r="G30985" s="8"/>
      <c r="J30985" s="8"/>
    </row>
    <row r="30986">
      <c r="C30986" s="15"/>
      <c r="E30986" s="8"/>
      <c r="G30986" s="8"/>
      <c r="J30986" s="8"/>
    </row>
    <row r="30987">
      <c r="C30987" s="15"/>
      <c r="E30987" s="8"/>
      <c r="G30987" s="8"/>
      <c r="J30987" s="8"/>
    </row>
    <row r="30988">
      <c r="C30988" s="15"/>
      <c r="E30988" s="8"/>
      <c r="G30988" s="8"/>
      <c r="J30988" s="8"/>
    </row>
    <row r="30989">
      <c r="C30989" s="15"/>
      <c r="E30989" s="8"/>
      <c r="G30989" s="8"/>
      <c r="J30989" s="8"/>
    </row>
    <row r="30990">
      <c r="C30990" s="15"/>
      <c r="E30990" s="8"/>
      <c r="G30990" s="8"/>
      <c r="J30990" s="8"/>
    </row>
    <row r="30991">
      <c r="C30991" s="15"/>
      <c r="E30991" s="8"/>
      <c r="G30991" s="8"/>
      <c r="J30991" s="8"/>
    </row>
    <row r="30992">
      <c r="C30992" s="15"/>
      <c r="E30992" s="8"/>
      <c r="G30992" s="8"/>
      <c r="J30992" s="8"/>
    </row>
    <row r="30993">
      <c r="C30993" s="15"/>
      <c r="E30993" s="8"/>
      <c r="G30993" s="8"/>
      <c r="J30993" s="8"/>
    </row>
    <row r="30994">
      <c r="C30994" s="15"/>
      <c r="E30994" s="8"/>
      <c r="G30994" s="8"/>
      <c r="J30994" s="8"/>
    </row>
    <row r="30995">
      <c r="C30995" s="15"/>
      <c r="E30995" s="8"/>
      <c r="G30995" s="8"/>
      <c r="J30995" s="8"/>
    </row>
    <row r="30996">
      <c r="C30996" s="15"/>
      <c r="E30996" s="8"/>
      <c r="G30996" s="8"/>
      <c r="J30996" s="8"/>
    </row>
    <row r="30997">
      <c r="C30997" s="15"/>
      <c r="E30997" s="8"/>
      <c r="G30997" s="8"/>
      <c r="J30997" s="8"/>
    </row>
    <row r="30998">
      <c r="C30998" s="15"/>
      <c r="E30998" s="8"/>
      <c r="G30998" s="8"/>
      <c r="J30998" s="8"/>
    </row>
    <row r="30999">
      <c r="C30999" s="15"/>
      <c r="E30999" s="8"/>
      <c r="G30999" s="8"/>
      <c r="J30999" s="8"/>
    </row>
    <row r="31000">
      <c r="C31000" s="15"/>
      <c r="E31000" s="8"/>
      <c r="G31000" s="8"/>
      <c r="J31000" s="8"/>
    </row>
    <row r="31001">
      <c r="C31001" s="15"/>
      <c r="E31001" s="8"/>
      <c r="G31001" s="8"/>
      <c r="J31001" s="8"/>
    </row>
    <row r="31002">
      <c r="C31002" s="15"/>
      <c r="E31002" s="8"/>
      <c r="G31002" s="8"/>
      <c r="J31002" s="8"/>
    </row>
    <row r="31003">
      <c r="C31003" s="15"/>
      <c r="E31003" s="8"/>
      <c r="G31003" s="8"/>
      <c r="J31003" s="8"/>
    </row>
    <row r="31004">
      <c r="C31004" s="15"/>
      <c r="E31004" s="8"/>
      <c r="G31004" s="8"/>
      <c r="J31004" s="8"/>
    </row>
    <row r="31005">
      <c r="C31005" s="15"/>
      <c r="E31005" s="8"/>
      <c r="G31005" s="8"/>
      <c r="J31005" s="8"/>
    </row>
    <row r="31006">
      <c r="C31006" s="15"/>
      <c r="E31006" s="8"/>
      <c r="G31006" s="8"/>
      <c r="J31006" s="8"/>
    </row>
    <row r="31007">
      <c r="C31007" s="15"/>
      <c r="E31007" s="8"/>
      <c r="G31007" s="8"/>
      <c r="J31007" s="8"/>
    </row>
    <row r="31008">
      <c r="C31008" s="15"/>
      <c r="E31008" s="8"/>
      <c r="G31008" s="8"/>
      <c r="J31008" s="8"/>
    </row>
    <row r="31009">
      <c r="C31009" s="15"/>
      <c r="E31009" s="8"/>
      <c r="G31009" s="8"/>
      <c r="J31009" s="8"/>
    </row>
    <row r="31010">
      <c r="C31010" s="15"/>
      <c r="E31010" s="8"/>
      <c r="G31010" s="8"/>
      <c r="J31010" s="8"/>
    </row>
    <row r="31011">
      <c r="C31011" s="15"/>
      <c r="E31011" s="8"/>
      <c r="G31011" s="8"/>
      <c r="J31011" s="8"/>
    </row>
    <row r="31012">
      <c r="C31012" s="15"/>
      <c r="E31012" s="8"/>
      <c r="G31012" s="8"/>
      <c r="J31012" s="8"/>
    </row>
    <row r="31013">
      <c r="C31013" s="15"/>
      <c r="E31013" s="8"/>
      <c r="G31013" s="8"/>
      <c r="J31013" s="8"/>
    </row>
    <row r="31014">
      <c r="C31014" s="15"/>
      <c r="E31014" s="8"/>
      <c r="G31014" s="8"/>
      <c r="J31014" s="8"/>
    </row>
    <row r="31015">
      <c r="C31015" s="15"/>
      <c r="E31015" s="8"/>
      <c r="G31015" s="8"/>
      <c r="J31015" s="8"/>
    </row>
    <row r="31016">
      <c r="C31016" s="15"/>
      <c r="E31016" s="8"/>
      <c r="G31016" s="8"/>
      <c r="J31016" s="8"/>
    </row>
    <row r="31017">
      <c r="C31017" s="15"/>
      <c r="E31017" s="8"/>
      <c r="G31017" s="8"/>
      <c r="J31017" s="8"/>
    </row>
    <row r="31018">
      <c r="C31018" s="15"/>
      <c r="E31018" s="8"/>
      <c r="G31018" s="8"/>
      <c r="J31018" s="8"/>
    </row>
    <row r="31019">
      <c r="C31019" s="15"/>
      <c r="E31019" s="8"/>
      <c r="G31019" s="8"/>
      <c r="J31019" s="8"/>
    </row>
    <row r="31020">
      <c r="C31020" s="15"/>
      <c r="E31020" s="8"/>
      <c r="G31020" s="8"/>
      <c r="J31020" s="8"/>
    </row>
    <row r="31021">
      <c r="C31021" s="15"/>
      <c r="E31021" s="8"/>
      <c r="G31021" s="8"/>
      <c r="J31021" s="8"/>
    </row>
    <row r="31022">
      <c r="C31022" s="15"/>
      <c r="E31022" s="8"/>
      <c r="G31022" s="8"/>
      <c r="J31022" s="8"/>
    </row>
    <row r="31023">
      <c r="C31023" s="15"/>
      <c r="E31023" s="8"/>
      <c r="G31023" s="8"/>
      <c r="J31023" s="8"/>
    </row>
    <row r="31024">
      <c r="C31024" s="15"/>
      <c r="E31024" s="8"/>
      <c r="G31024" s="8"/>
      <c r="J31024" s="8"/>
    </row>
    <row r="31025">
      <c r="C31025" s="15"/>
      <c r="E31025" s="8"/>
      <c r="G31025" s="8"/>
      <c r="J31025" s="8"/>
    </row>
    <row r="31026">
      <c r="C31026" s="15"/>
      <c r="E31026" s="8"/>
      <c r="G31026" s="8"/>
      <c r="J31026" s="8"/>
    </row>
    <row r="31027">
      <c r="C31027" s="15"/>
      <c r="E31027" s="8"/>
      <c r="G31027" s="8"/>
      <c r="J31027" s="8"/>
    </row>
    <row r="31028">
      <c r="C31028" s="15"/>
      <c r="E31028" s="8"/>
      <c r="G31028" s="8"/>
      <c r="J31028" s="8"/>
    </row>
    <row r="31029">
      <c r="C31029" s="15"/>
      <c r="E31029" s="8"/>
      <c r="G31029" s="8"/>
      <c r="J31029" s="8"/>
    </row>
    <row r="31030">
      <c r="C31030" s="15"/>
      <c r="E31030" s="8"/>
      <c r="G31030" s="8"/>
      <c r="J31030" s="8"/>
    </row>
    <row r="31031">
      <c r="C31031" s="15"/>
      <c r="E31031" s="8"/>
      <c r="G31031" s="8"/>
      <c r="J31031" s="8"/>
    </row>
    <row r="31032">
      <c r="C31032" s="15"/>
      <c r="E31032" s="8"/>
      <c r="G31032" s="8"/>
      <c r="J31032" s="8"/>
    </row>
    <row r="31033">
      <c r="C31033" s="15"/>
      <c r="E31033" s="8"/>
      <c r="G31033" s="8"/>
      <c r="J31033" s="8"/>
    </row>
    <row r="31034">
      <c r="C31034" s="15"/>
      <c r="E31034" s="8"/>
      <c r="G31034" s="8"/>
      <c r="J31034" s="8"/>
    </row>
    <row r="31035">
      <c r="C31035" s="15"/>
      <c r="E31035" s="8"/>
      <c r="G31035" s="8"/>
      <c r="J31035" s="8"/>
    </row>
    <row r="31036">
      <c r="C31036" s="15"/>
      <c r="E31036" s="8"/>
      <c r="G31036" s="8"/>
      <c r="J31036" s="8"/>
    </row>
    <row r="31037">
      <c r="C31037" s="15"/>
      <c r="E31037" s="8"/>
      <c r="G31037" s="8"/>
      <c r="J31037" s="8"/>
    </row>
    <row r="31038">
      <c r="C31038" s="15"/>
      <c r="E31038" s="8"/>
      <c r="G31038" s="8"/>
      <c r="J31038" s="8"/>
    </row>
    <row r="31039">
      <c r="C31039" s="15"/>
      <c r="E31039" s="8"/>
      <c r="G31039" s="8"/>
      <c r="J31039" s="8"/>
    </row>
    <row r="31040">
      <c r="C31040" s="15"/>
      <c r="E31040" s="8"/>
      <c r="G31040" s="8"/>
      <c r="J31040" s="8"/>
    </row>
    <row r="31041">
      <c r="C31041" s="15"/>
      <c r="E31041" s="8"/>
      <c r="G31041" s="8"/>
      <c r="J31041" s="8"/>
    </row>
    <row r="31042">
      <c r="C31042" s="15"/>
      <c r="E31042" s="8"/>
      <c r="G31042" s="8"/>
      <c r="J31042" s="8"/>
    </row>
    <row r="31043">
      <c r="C31043" s="15"/>
      <c r="E31043" s="8"/>
      <c r="G31043" s="8"/>
      <c r="J31043" s="8"/>
    </row>
    <row r="31044">
      <c r="C31044" s="15"/>
      <c r="E31044" s="8"/>
      <c r="G31044" s="8"/>
      <c r="J31044" s="8"/>
    </row>
    <row r="31045">
      <c r="C31045" s="15"/>
      <c r="E31045" s="8"/>
      <c r="G31045" s="8"/>
      <c r="J31045" s="8"/>
    </row>
    <row r="31046">
      <c r="C31046" s="15"/>
      <c r="E31046" s="8"/>
      <c r="G31046" s="8"/>
      <c r="J31046" s="8"/>
    </row>
    <row r="31047">
      <c r="C31047" s="15"/>
      <c r="E31047" s="8"/>
      <c r="G31047" s="8"/>
      <c r="J31047" s="8"/>
    </row>
    <row r="31048">
      <c r="C31048" s="15"/>
      <c r="E31048" s="8"/>
      <c r="G31048" s="8"/>
      <c r="J31048" s="8"/>
    </row>
    <row r="31049">
      <c r="C31049" s="15"/>
      <c r="E31049" s="8"/>
      <c r="G31049" s="8"/>
      <c r="J31049" s="8"/>
    </row>
    <row r="31050">
      <c r="C31050" s="15"/>
      <c r="E31050" s="8"/>
      <c r="G31050" s="8"/>
      <c r="J31050" s="8"/>
    </row>
    <row r="31051">
      <c r="C31051" s="15"/>
      <c r="E31051" s="8"/>
      <c r="G31051" s="8"/>
      <c r="J31051" s="8"/>
    </row>
    <row r="31052">
      <c r="C31052" s="15"/>
      <c r="E31052" s="8"/>
      <c r="G31052" s="8"/>
      <c r="J31052" s="8"/>
    </row>
    <row r="31053">
      <c r="C31053" s="15"/>
      <c r="E31053" s="8"/>
      <c r="G31053" s="8"/>
      <c r="J31053" s="8"/>
    </row>
    <row r="31054">
      <c r="C31054" s="15"/>
      <c r="E31054" s="8"/>
      <c r="G31054" s="8"/>
      <c r="J31054" s="8"/>
    </row>
    <row r="31055">
      <c r="C31055" s="15"/>
      <c r="E31055" s="8"/>
      <c r="G31055" s="8"/>
      <c r="J31055" s="8"/>
    </row>
    <row r="31056">
      <c r="C31056" s="15"/>
      <c r="E31056" s="8"/>
      <c r="G31056" s="8"/>
      <c r="J31056" s="8"/>
    </row>
    <row r="31057">
      <c r="C31057" s="15"/>
      <c r="E31057" s="8"/>
      <c r="G31057" s="8"/>
      <c r="J31057" s="8"/>
    </row>
    <row r="31058">
      <c r="C31058" s="15"/>
      <c r="E31058" s="8"/>
      <c r="G31058" s="8"/>
      <c r="J31058" s="8"/>
    </row>
    <row r="31059">
      <c r="C31059" s="15"/>
      <c r="E31059" s="8"/>
      <c r="G31059" s="8"/>
      <c r="J31059" s="8"/>
    </row>
    <row r="31060">
      <c r="C31060" s="15"/>
      <c r="E31060" s="8"/>
      <c r="G31060" s="8"/>
      <c r="J31060" s="8"/>
    </row>
    <row r="31061">
      <c r="C31061" s="15"/>
      <c r="E31061" s="8"/>
      <c r="G31061" s="8"/>
      <c r="J31061" s="8"/>
    </row>
    <row r="31062">
      <c r="C31062" s="15"/>
      <c r="E31062" s="8"/>
      <c r="G31062" s="8"/>
      <c r="J31062" s="8"/>
    </row>
    <row r="31063">
      <c r="C31063" s="15"/>
      <c r="E31063" s="8"/>
      <c r="G31063" s="8"/>
      <c r="J31063" s="8"/>
    </row>
    <row r="31064">
      <c r="C31064" s="15"/>
      <c r="E31064" s="8"/>
      <c r="G31064" s="8"/>
      <c r="J31064" s="8"/>
    </row>
    <row r="31065">
      <c r="C31065" s="15"/>
      <c r="E31065" s="8"/>
      <c r="G31065" s="8"/>
      <c r="J31065" s="8"/>
    </row>
    <row r="31066">
      <c r="C31066" s="15"/>
      <c r="E31066" s="8"/>
      <c r="G31066" s="8"/>
      <c r="J31066" s="8"/>
    </row>
    <row r="31067">
      <c r="C31067" s="15"/>
      <c r="E31067" s="8"/>
      <c r="G31067" s="8"/>
      <c r="J31067" s="8"/>
    </row>
    <row r="31068">
      <c r="C31068" s="15"/>
      <c r="E31068" s="8"/>
      <c r="G31068" s="8"/>
      <c r="J31068" s="8"/>
    </row>
    <row r="31069">
      <c r="C31069" s="15"/>
      <c r="E31069" s="8"/>
      <c r="G31069" s="8"/>
      <c r="J31069" s="8"/>
    </row>
    <row r="31070">
      <c r="C31070" s="15"/>
      <c r="E31070" s="8"/>
      <c r="G31070" s="8"/>
      <c r="J31070" s="8"/>
    </row>
    <row r="31071">
      <c r="C31071" s="15"/>
      <c r="E31071" s="8"/>
      <c r="G31071" s="8"/>
      <c r="J31071" s="8"/>
    </row>
    <row r="31072">
      <c r="C31072" s="15"/>
      <c r="E31072" s="8"/>
      <c r="G31072" s="8"/>
      <c r="J31072" s="8"/>
    </row>
    <row r="31073">
      <c r="C31073" s="15"/>
      <c r="E31073" s="8"/>
      <c r="G31073" s="8"/>
      <c r="J31073" s="8"/>
    </row>
    <row r="31074">
      <c r="C31074" s="15"/>
      <c r="E31074" s="8"/>
      <c r="G31074" s="8"/>
      <c r="J31074" s="8"/>
    </row>
    <row r="31075">
      <c r="C31075" s="15"/>
      <c r="E31075" s="8"/>
      <c r="G31075" s="8"/>
      <c r="J31075" s="8"/>
    </row>
    <row r="31076">
      <c r="C31076" s="15"/>
      <c r="E31076" s="8"/>
      <c r="G31076" s="8"/>
      <c r="J31076" s="8"/>
    </row>
    <row r="31077">
      <c r="C31077" s="15"/>
      <c r="E31077" s="8"/>
      <c r="G31077" s="8"/>
      <c r="J31077" s="8"/>
    </row>
    <row r="31078">
      <c r="C31078" s="15"/>
      <c r="E31078" s="8"/>
      <c r="G31078" s="8"/>
      <c r="J31078" s="8"/>
    </row>
    <row r="31079">
      <c r="C31079" s="15"/>
      <c r="E31079" s="8"/>
      <c r="G31079" s="8"/>
      <c r="J31079" s="8"/>
    </row>
    <row r="31080">
      <c r="C31080" s="15"/>
      <c r="E31080" s="8"/>
      <c r="G31080" s="8"/>
      <c r="J31080" s="8"/>
    </row>
    <row r="31081">
      <c r="C31081" s="15"/>
      <c r="E31081" s="8"/>
      <c r="G31081" s="8"/>
      <c r="J31081" s="8"/>
    </row>
    <row r="31082">
      <c r="C31082" s="15"/>
      <c r="E31082" s="8"/>
      <c r="G31082" s="8"/>
      <c r="J31082" s="8"/>
    </row>
    <row r="31083">
      <c r="C31083" s="15"/>
      <c r="E31083" s="8"/>
      <c r="G31083" s="8"/>
      <c r="J31083" s="8"/>
    </row>
    <row r="31084">
      <c r="C31084" s="15"/>
      <c r="E31084" s="8"/>
      <c r="G31084" s="8"/>
      <c r="J31084" s="8"/>
    </row>
    <row r="31085">
      <c r="C31085" s="15"/>
      <c r="E31085" s="8"/>
      <c r="G31085" s="8"/>
      <c r="J31085" s="8"/>
    </row>
    <row r="31086">
      <c r="C31086" s="15"/>
      <c r="E31086" s="8"/>
      <c r="G31086" s="8"/>
      <c r="J31086" s="8"/>
    </row>
    <row r="31087">
      <c r="C31087" s="15"/>
      <c r="E31087" s="8"/>
      <c r="G31087" s="8"/>
      <c r="J31087" s="8"/>
    </row>
    <row r="31088">
      <c r="C31088" s="15"/>
      <c r="E31088" s="8"/>
      <c r="G31088" s="8"/>
      <c r="J31088" s="8"/>
    </row>
    <row r="31089">
      <c r="C31089" s="15"/>
      <c r="E31089" s="8"/>
      <c r="G31089" s="8"/>
      <c r="J31089" s="8"/>
    </row>
    <row r="31090">
      <c r="C31090" s="15"/>
      <c r="E31090" s="8"/>
      <c r="G31090" s="8"/>
      <c r="J31090" s="8"/>
    </row>
    <row r="31091">
      <c r="C31091" s="15"/>
      <c r="E31091" s="8"/>
      <c r="G31091" s="8"/>
      <c r="J31091" s="8"/>
    </row>
    <row r="31092">
      <c r="C31092" s="15"/>
      <c r="E31092" s="8"/>
      <c r="G31092" s="8"/>
      <c r="J31092" s="8"/>
    </row>
    <row r="31093">
      <c r="C31093" s="15"/>
      <c r="E31093" s="8"/>
      <c r="G31093" s="8"/>
      <c r="J31093" s="8"/>
    </row>
    <row r="31094">
      <c r="C31094" s="15"/>
      <c r="E31094" s="8"/>
      <c r="G31094" s="8"/>
      <c r="J31094" s="8"/>
    </row>
    <row r="31095">
      <c r="C31095" s="15"/>
      <c r="E31095" s="8"/>
      <c r="G31095" s="8"/>
      <c r="J31095" s="8"/>
    </row>
    <row r="31096">
      <c r="C31096" s="15"/>
      <c r="E31096" s="8"/>
      <c r="G31096" s="8"/>
      <c r="J31096" s="8"/>
    </row>
    <row r="31097">
      <c r="C31097" s="15"/>
      <c r="E31097" s="8"/>
      <c r="G31097" s="8"/>
      <c r="J31097" s="8"/>
    </row>
    <row r="31098">
      <c r="C31098" s="15"/>
      <c r="E31098" s="8"/>
      <c r="G31098" s="8"/>
      <c r="J31098" s="8"/>
    </row>
    <row r="31099">
      <c r="C31099" s="15"/>
      <c r="E31099" s="8"/>
      <c r="G31099" s="8"/>
      <c r="J31099" s="8"/>
    </row>
    <row r="31100">
      <c r="C31100" s="15"/>
      <c r="E31100" s="8"/>
      <c r="G31100" s="8"/>
      <c r="J31100" s="8"/>
    </row>
    <row r="31101">
      <c r="C31101" s="15"/>
      <c r="E31101" s="8"/>
      <c r="G31101" s="8"/>
      <c r="J31101" s="8"/>
    </row>
    <row r="31102">
      <c r="C31102" s="15"/>
      <c r="E31102" s="8"/>
      <c r="G31102" s="8"/>
      <c r="J31102" s="8"/>
    </row>
    <row r="31103">
      <c r="C31103" s="15"/>
      <c r="E31103" s="8"/>
      <c r="G31103" s="8"/>
      <c r="J31103" s="8"/>
    </row>
    <row r="31104">
      <c r="C31104" s="15"/>
      <c r="E31104" s="8"/>
      <c r="G31104" s="8"/>
      <c r="J31104" s="8"/>
    </row>
    <row r="31105">
      <c r="C31105" s="15"/>
      <c r="E31105" s="8"/>
      <c r="G31105" s="8"/>
      <c r="J31105" s="8"/>
    </row>
    <row r="31106">
      <c r="C31106" s="15"/>
      <c r="E31106" s="8"/>
      <c r="G31106" s="8"/>
      <c r="J31106" s="8"/>
    </row>
    <row r="31107">
      <c r="C31107" s="15"/>
      <c r="E31107" s="8"/>
      <c r="G31107" s="8"/>
      <c r="J31107" s="8"/>
    </row>
    <row r="31108">
      <c r="C31108" s="15"/>
      <c r="E31108" s="8"/>
      <c r="G31108" s="8"/>
      <c r="J31108" s="8"/>
    </row>
    <row r="31109">
      <c r="C31109" s="15"/>
      <c r="E31109" s="8"/>
      <c r="G31109" s="8"/>
      <c r="J31109" s="8"/>
    </row>
    <row r="31110">
      <c r="C31110" s="15"/>
      <c r="E31110" s="8"/>
      <c r="G31110" s="8"/>
      <c r="J31110" s="8"/>
    </row>
    <row r="31111">
      <c r="C31111" s="15"/>
      <c r="E31111" s="8"/>
      <c r="G31111" s="8"/>
      <c r="J31111" s="8"/>
    </row>
    <row r="31112">
      <c r="C31112" s="15"/>
      <c r="E31112" s="8"/>
      <c r="G31112" s="8"/>
      <c r="J31112" s="8"/>
    </row>
    <row r="31113">
      <c r="C31113" s="15"/>
      <c r="E31113" s="8"/>
      <c r="G31113" s="8"/>
      <c r="J31113" s="8"/>
    </row>
    <row r="31114">
      <c r="C31114" s="15"/>
      <c r="E31114" s="8"/>
      <c r="G31114" s="8"/>
      <c r="J31114" s="8"/>
    </row>
    <row r="31115">
      <c r="C31115" s="15"/>
      <c r="E31115" s="8"/>
      <c r="G31115" s="8"/>
      <c r="J31115" s="8"/>
    </row>
    <row r="31116">
      <c r="C31116" s="15"/>
      <c r="E31116" s="8"/>
      <c r="G31116" s="8"/>
      <c r="J31116" s="8"/>
    </row>
    <row r="31117">
      <c r="C31117" s="15"/>
      <c r="E31117" s="8"/>
      <c r="G31117" s="8"/>
      <c r="J31117" s="8"/>
    </row>
    <row r="31118">
      <c r="C31118" s="15"/>
      <c r="E31118" s="8"/>
      <c r="G31118" s="8"/>
      <c r="J31118" s="8"/>
    </row>
    <row r="31119">
      <c r="C31119" s="15"/>
      <c r="E31119" s="8"/>
      <c r="G31119" s="8"/>
      <c r="J31119" s="8"/>
    </row>
    <row r="31120">
      <c r="C31120" s="15"/>
      <c r="E31120" s="8"/>
      <c r="G31120" s="8"/>
      <c r="J31120" s="8"/>
    </row>
    <row r="31121">
      <c r="C31121" s="15"/>
      <c r="E31121" s="8"/>
      <c r="G31121" s="8"/>
      <c r="J31121" s="8"/>
    </row>
    <row r="31122">
      <c r="C31122" s="15"/>
      <c r="E31122" s="8"/>
      <c r="G31122" s="8"/>
      <c r="J31122" s="8"/>
    </row>
    <row r="31123">
      <c r="C31123" s="15"/>
      <c r="E31123" s="8"/>
      <c r="G31123" s="8"/>
      <c r="J31123" s="8"/>
    </row>
    <row r="31124">
      <c r="C31124" s="15"/>
      <c r="E31124" s="8"/>
      <c r="G31124" s="8"/>
      <c r="J31124" s="8"/>
    </row>
    <row r="31125">
      <c r="C31125" s="15"/>
      <c r="E31125" s="8"/>
      <c r="G31125" s="8"/>
      <c r="J31125" s="8"/>
    </row>
    <row r="31126">
      <c r="C31126" s="15"/>
      <c r="E31126" s="8"/>
      <c r="G31126" s="8"/>
      <c r="J31126" s="8"/>
    </row>
    <row r="31127">
      <c r="C31127" s="15"/>
      <c r="E31127" s="8"/>
      <c r="G31127" s="8"/>
      <c r="J31127" s="8"/>
    </row>
    <row r="31128">
      <c r="C31128" s="15"/>
      <c r="E31128" s="8"/>
      <c r="G31128" s="8"/>
      <c r="J31128" s="8"/>
    </row>
    <row r="31129">
      <c r="C31129" s="15"/>
      <c r="E31129" s="8"/>
      <c r="G31129" s="8"/>
      <c r="J31129" s="8"/>
    </row>
    <row r="31130">
      <c r="C31130" s="15"/>
      <c r="E31130" s="8"/>
      <c r="G31130" s="8"/>
      <c r="J31130" s="8"/>
    </row>
    <row r="31131">
      <c r="C31131" s="15"/>
      <c r="E31131" s="8"/>
      <c r="G31131" s="8"/>
      <c r="J31131" s="8"/>
    </row>
    <row r="31132">
      <c r="C31132" s="15"/>
      <c r="E31132" s="8"/>
      <c r="G31132" s="8"/>
      <c r="J31132" s="8"/>
    </row>
    <row r="31133">
      <c r="C31133" s="15"/>
      <c r="E31133" s="8"/>
      <c r="G31133" s="8"/>
      <c r="J31133" s="8"/>
    </row>
    <row r="31134">
      <c r="C31134" s="15"/>
      <c r="E31134" s="8"/>
      <c r="G31134" s="8"/>
      <c r="J31134" s="8"/>
    </row>
    <row r="31135">
      <c r="C31135" s="15"/>
      <c r="E31135" s="8"/>
      <c r="G31135" s="8"/>
      <c r="J31135" s="8"/>
    </row>
    <row r="31136">
      <c r="C31136" s="15"/>
      <c r="E31136" s="8"/>
      <c r="G31136" s="8"/>
      <c r="J31136" s="8"/>
    </row>
    <row r="31137">
      <c r="C31137" s="15"/>
      <c r="E31137" s="8"/>
      <c r="G31137" s="8"/>
      <c r="J31137" s="8"/>
    </row>
    <row r="31138">
      <c r="C31138" s="15"/>
      <c r="E31138" s="8"/>
      <c r="G31138" s="8"/>
      <c r="J31138" s="8"/>
    </row>
    <row r="31139">
      <c r="C31139" s="15"/>
      <c r="E31139" s="8"/>
      <c r="G31139" s="8"/>
      <c r="J31139" s="8"/>
    </row>
    <row r="31140">
      <c r="C31140" s="15"/>
      <c r="E31140" s="8"/>
      <c r="G31140" s="8"/>
      <c r="J31140" s="8"/>
    </row>
    <row r="31141">
      <c r="C31141" s="15"/>
      <c r="E31141" s="8"/>
      <c r="G31141" s="8"/>
      <c r="J31141" s="8"/>
    </row>
    <row r="31142">
      <c r="C31142" s="15"/>
      <c r="E31142" s="8"/>
      <c r="G31142" s="8"/>
      <c r="J31142" s="8"/>
    </row>
    <row r="31143">
      <c r="C31143" s="15"/>
      <c r="E31143" s="8"/>
      <c r="G31143" s="8"/>
      <c r="J31143" s="8"/>
    </row>
    <row r="31144">
      <c r="C31144" s="15"/>
      <c r="E31144" s="8"/>
      <c r="G31144" s="8"/>
      <c r="J31144" s="8"/>
    </row>
    <row r="31145">
      <c r="C31145" s="15"/>
      <c r="E31145" s="8"/>
      <c r="G31145" s="8"/>
      <c r="J31145" s="8"/>
    </row>
    <row r="31146">
      <c r="C31146" s="15"/>
      <c r="E31146" s="8"/>
      <c r="G31146" s="8"/>
      <c r="J31146" s="8"/>
    </row>
    <row r="31147">
      <c r="C31147" s="15"/>
      <c r="E31147" s="8"/>
      <c r="G31147" s="8"/>
      <c r="J31147" s="8"/>
    </row>
    <row r="31148">
      <c r="C31148" s="15"/>
      <c r="E31148" s="8"/>
      <c r="G31148" s="8"/>
      <c r="J31148" s="8"/>
    </row>
    <row r="31149">
      <c r="C31149" s="15"/>
      <c r="E31149" s="8"/>
      <c r="G31149" s="8"/>
      <c r="J31149" s="8"/>
    </row>
    <row r="31150">
      <c r="C31150" s="15"/>
      <c r="E31150" s="8"/>
      <c r="G31150" s="8"/>
      <c r="J31150" s="8"/>
    </row>
    <row r="31151">
      <c r="C31151" s="15"/>
      <c r="E31151" s="8"/>
      <c r="G31151" s="8"/>
      <c r="J31151" s="8"/>
    </row>
    <row r="31152">
      <c r="C31152" s="15"/>
      <c r="E31152" s="8"/>
      <c r="G31152" s="8"/>
      <c r="J31152" s="8"/>
    </row>
    <row r="31153">
      <c r="C31153" s="15"/>
      <c r="E31153" s="8"/>
      <c r="G31153" s="8"/>
      <c r="J31153" s="8"/>
    </row>
    <row r="31154">
      <c r="C31154" s="15"/>
      <c r="E31154" s="8"/>
      <c r="G31154" s="8"/>
      <c r="J31154" s="8"/>
    </row>
    <row r="31155">
      <c r="C31155" s="15"/>
      <c r="E31155" s="8"/>
      <c r="G31155" s="8"/>
      <c r="J31155" s="8"/>
    </row>
    <row r="31156">
      <c r="C31156" s="15"/>
      <c r="E31156" s="8"/>
      <c r="G31156" s="8"/>
      <c r="J31156" s="8"/>
    </row>
    <row r="31157">
      <c r="C31157" s="15"/>
      <c r="E31157" s="8"/>
      <c r="G31157" s="8"/>
      <c r="J31157" s="8"/>
    </row>
    <row r="31158">
      <c r="C31158" s="15"/>
      <c r="E31158" s="8"/>
      <c r="G31158" s="8"/>
      <c r="J31158" s="8"/>
    </row>
    <row r="31159">
      <c r="C31159" s="15"/>
      <c r="E31159" s="8"/>
      <c r="G31159" s="8"/>
      <c r="J31159" s="8"/>
    </row>
    <row r="31160">
      <c r="C31160" s="15"/>
      <c r="E31160" s="8"/>
      <c r="G31160" s="8"/>
      <c r="J31160" s="8"/>
    </row>
    <row r="31161">
      <c r="C31161" s="15"/>
      <c r="E31161" s="8"/>
      <c r="G31161" s="8"/>
      <c r="J31161" s="8"/>
    </row>
    <row r="31162">
      <c r="C31162" s="15"/>
      <c r="E31162" s="8"/>
      <c r="G31162" s="8"/>
      <c r="J31162" s="8"/>
    </row>
    <row r="31163">
      <c r="C31163" s="15"/>
      <c r="E31163" s="8"/>
      <c r="G31163" s="8"/>
      <c r="J31163" s="8"/>
    </row>
    <row r="31164">
      <c r="C31164" s="15"/>
      <c r="E31164" s="8"/>
      <c r="G31164" s="8"/>
      <c r="J31164" s="8"/>
    </row>
    <row r="31165">
      <c r="C31165" s="15"/>
      <c r="E31165" s="8"/>
      <c r="G31165" s="8"/>
      <c r="J31165" s="8"/>
    </row>
    <row r="31166">
      <c r="C31166" s="15"/>
      <c r="E31166" s="8"/>
      <c r="G31166" s="8"/>
      <c r="J31166" s="8"/>
    </row>
    <row r="31167">
      <c r="C31167" s="15"/>
      <c r="E31167" s="8"/>
      <c r="G31167" s="8"/>
      <c r="J31167" s="8"/>
    </row>
    <row r="31168">
      <c r="C31168" s="15"/>
      <c r="E31168" s="8"/>
      <c r="G31168" s="8"/>
      <c r="J31168" s="8"/>
    </row>
    <row r="31169">
      <c r="C31169" s="15"/>
      <c r="E31169" s="8"/>
      <c r="G31169" s="8"/>
      <c r="J31169" s="8"/>
    </row>
    <row r="31170">
      <c r="C31170" s="15"/>
      <c r="E31170" s="8"/>
      <c r="G31170" s="8"/>
      <c r="J31170" s="8"/>
    </row>
    <row r="31171">
      <c r="C31171" s="15"/>
      <c r="E31171" s="8"/>
      <c r="G31171" s="8"/>
      <c r="J31171" s="8"/>
    </row>
    <row r="31172">
      <c r="C31172" s="15"/>
      <c r="E31172" s="8"/>
      <c r="G31172" s="8"/>
      <c r="J31172" s="8"/>
    </row>
    <row r="31173">
      <c r="C31173" s="15"/>
      <c r="E31173" s="8"/>
      <c r="G31173" s="8"/>
      <c r="J31173" s="8"/>
    </row>
    <row r="31174">
      <c r="C31174" s="15"/>
      <c r="E31174" s="8"/>
      <c r="G31174" s="8"/>
      <c r="J31174" s="8"/>
    </row>
    <row r="31175">
      <c r="C31175" s="15"/>
      <c r="E31175" s="8"/>
      <c r="G31175" s="8"/>
      <c r="J31175" s="8"/>
    </row>
    <row r="31176">
      <c r="C31176" s="15"/>
      <c r="E31176" s="8"/>
      <c r="G31176" s="8"/>
      <c r="J31176" s="8"/>
    </row>
    <row r="31177">
      <c r="C31177" s="15"/>
      <c r="E31177" s="8"/>
      <c r="G31177" s="8"/>
      <c r="J31177" s="8"/>
    </row>
    <row r="31178">
      <c r="C31178" s="15"/>
      <c r="E31178" s="8"/>
      <c r="G31178" s="8"/>
      <c r="J31178" s="8"/>
    </row>
    <row r="31179">
      <c r="C31179" s="15"/>
      <c r="E31179" s="8"/>
      <c r="G31179" s="8"/>
      <c r="J31179" s="8"/>
    </row>
    <row r="31180">
      <c r="C31180" s="15"/>
      <c r="E31180" s="8"/>
      <c r="G31180" s="8"/>
      <c r="J31180" s="8"/>
    </row>
    <row r="31181">
      <c r="C31181" s="15"/>
      <c r="E31181" s="8"/>
      <c r="G31181" s="8"/>
      <c r="J31181" s="8"/>
    </row>
    <row r="31182">
      <c r="C31182" s="15"/>
      <c r="E31182" s="8"/>
      <c r="G31182" s="8"/>
      <c r="J31182" s="8"/>
    </row>
    <row r="31183">
      <c r="C31183" s="15"/>
      <c r="E31183" s="8"/>
      <c r="G31183" s="8"/>
      <c r="J31183" s="8"/>
    </row>
    <row r="31184">
      <c r="C31184" s="15"/>
      <c r="E31184" s="8"/>
      <c r="G31184" s="8"/>
      <c r="J31184" s="8"/>
    </row>
    <row r="31185">
      <c r="C31185" s="15"/>
      <c r="E31185" s="8"/>
      <c r="G31185" s="8"/>
      <c r="J31185" s="8"/>
    </row>
    <row r="31186">
      <c r="C31186" s="15"/>
      <c r="E31186" s="8"/>
      <c r="G31186" s="8"/>
      <c r="J31186" s="8"/>
    </row>
    <row r="31187">
      <c r="C31187" s="15"/>
      <c r="E31187" s="8"/>
      <c r="G31187" s="8"/>
      <c r="J31187" s="8"/>
    </row>
    <row r="31188">
      <c r="C31188" s="15"/>
      <c r="E31188" s="8"/>
      <c r="G31188" s="8"/>
      <c r="J31188" s="8"/>
    </row>
    <row r="31189">
      <c r="C31189" s="15"/>
      <c r="E31189" s="8"/>
      <c r="G31189" s="8"/>
      <c r="J31189" s="8"/>
    </row>
    <row r="31190">
      <c r="C31190" s="15"/>
      <c r="E31190" s="8"/>
      <c r="G31190" s="8"/>
      <c r="J31190" s="8"/>
    </row>
    <row r="31191">
      <c r="C31191" s="15"/>
      <c r="E31191" s="8"/>
      <c r="G31191" s="8"/>
      <c r="J31191" s="8"/>
    </row>
    <row r="31192">
      <c r="C31192" s="15"/>
      <c r="E31192" s="8"/>
      <c r="G31192" s="8"/>
      <c r="J31192" s="8"/>
    </row>
    <row r="31193">
      <c r="C31193" s="15"/>
      <c r="E31193" s="8"/>
      <c r="G31193" s="8"/>
      <c r="J31193" s="8"/>
    </row>
    <row r="31194">
      <c r="C31194" s="15"/>
      <c r="E31194" s="8"/>
      <c r="G31194" s="8"/>
      <c r="J31194" s="8"/>
    </row>
    <row r="31195">
      <c r="C31195" s="15"/>
      <c r="E31195" s="8"/>
      <c r="G31195" s="8"/>
      <c r="J31195" s="8"/>
    </row>
    <row r="31196">
      <c r="C31196" s="15"/>
      <c r="E31196" s="8"/>
      <c r="G31196" s="8"/>
      <c r="J31196" s="8"/>
    </row>
    <row r="31197">
      <c r="C31197" s="15"/>
      <c r="E31197" s="8"/>
      <c r="G31197" s="8"/>
      <c r="J31197" s="8"/>
    </row>
    <row r="31198">
      <c r="C31198" s="15"/>
      <c r="E31198" s="8"/>
      <c r="G31198" s="8"/>
      <c r="J31198" s="8"/>
    </row>
    <row r="31199">
      <c r="C31199" s="15"/>
      <c r="E31199" s="8"/>
      <c r="G31199" s="8"/>
      <c r="J31199" s="8"/>
    </row>
    <row r="31200">
      <c r="C31200" s="15"/>
      <c r="E31200" s="8"/>
      <c r="G31200" s="8"/>
      <c r="J31200" s="8"/>
    </row>
    <row r="31201">
      <c r="C31201" s="15"/>
      <c r="E31201" s="8"/>
      <c r="G31201" s="8"/>
      <c r="J31201" s="8"/>
    </row>
    <row r="31202">
      <c r="C31202" s="15"/>
      <c r="E31202" s="8"/>
      <c r="G31202" s="8"/>
      <c r="J31202" s="8"/>
    </row>
    <row r="31203">
      <c r="C31203" s="15"/>
      <c r="E31203" s="8"/>
      <c r="G31203" s="8"/>
      <c r="J31203" s="8"/>
    </row>
    <row r="31204">
      <c r="C31204" s="15"/>
      <c r="E31204" s="8"/>
      <c r="G31204" s="8"/>
      <c r="J31204" s="8"/>
    </row>
    <row r="31205">
      <c r="C31205" s="15"/>
      <c r="E31205" s="8"/>
      <c r="G31205" s="8"/>
      <c r="J31205" s="8"/>
    </row>
    <row r="31206">
      <c r="C31206" s="15"/>
      <c r="E31206" s="8"/>
      <c r="G31206" s="8"/>
      <c r="J31206" s="8"/>
    </row>
    <row r="31207">
      <c r="C31207" s="15"/>
      <c r="E31207" s="8"/>
      <c r="G31207" s="8"/>
      <c r="J31207" s="8"/>
    </row>
    <row r="31208">
      <c r="C31208" s="15"/>
      <c r="E31208" s="8"/>
      <c r="G31208" s="8"/>
      <c r="J31208" s="8"/>
    </row>
    <row r="31209">
      <c r="C31209" s="15"/>
      <c r="E31209" s="8"/>
      <c r="G31209" s="8"/>
      <c r="J31209" s="8"/>
    </row>
    <row r="31210">
      <c r="C31210" s="15"/>
      <c r="E31210" s="8"/>
      <c r="G31210" s="8"/>
      <c r="J31210" s="8"/>
    </row>
    <row r="31211">
      <c r="C31211" s="15"/>
      <c r="E31211" s="8"/>
      <c r="G31211" s="8"/>
      <c r="J31211" s="8"/>
    </row>
    <row r="31212">
      <c r="C31212" s="15"/>
      <c r="E31212" s="8"/>
      <c r="G31212" s="8"/>
      <c r="J31212" s="8"/>
    </row>
    <row r="31213">
      <c r="C31213" s="15"/>
      <c r="E31213" s="8"/>
      <c r="G31213" s="8"/>
      <c r="J31213" s="8"/>
    </row>
    <row r="31214">
      <c r="C31214" s="15"/>
      <c r="E31214" s="8"/>
      <c r="G31214" s="8"/>
      <c r="J31214" s="8"/>
    </row>
    <row r="31215">
      <c r="C31215" s="15"/>
      <c r="E31215" s="8"/>
      <c r="G31215" s="8"/>
      <c r="J31215" s="8"/>
    </row>
    <row r="31216">
      <c r="C31216" s="15"/>
      <c r="E31216" s="8"/>
      <c r="G31216" s="8"/>
      <c r="J31216" s="8"/>
    </row>
    <row r="31217">
      <c r="C31217" s="15"/>
      <c r="E31217" s="8"/>
      <c r="G31217" s="8"/>
      <c r="J31217" s="8"/>
    </row>
    <row r="31218">
      <c r="C31218" s="15"/>
      <c r="E31218" s="8"/>
      <c r="G31218" s="8"/>
      <c r="J31218" s="8"/>
    </row>
    <row r="31219">
      <c r="C31219" s="15"/>
      <c r="E31219" s="8"/>
      <c r="G31219" s="8"/>
      <c r="J31219" s="8"/>
    </row>
    <row r="31220">
      <c r="C31220" s="15"/>
      <c r="E31220" s="8"/>
      <c r="G31220" s="8"/>
      <c r="J31220" s="8"/>
    </row>
    <row r="31221">
      <c r="C31221" s="15"/>
      <c r="E31221" s="8"/>
      <c r="G31221" s="8"/>
      <c r="J31221" s="8"/>
    </row>
    <row r="31222">
      <c r="C31222" s="15"/>
      <c r="E31222" s="8"/>
      <c r="G31222" s="8"/>
      <c r="J31222" s="8"/>
    </row>
    <row r="31223">
      <c r="C31223" s="15"/>
      <c r="E31223" s="8"/>
      <c r="G31223" s="8"/>
      <c r="J31223" s="8"/>
    </row>
    <row r="31224">
      <c r="C31224" s="15"/>
      <c r="E31224" s="8"/>
      <c r="G31224" s="8"/>
      <c r="J31224" s="8"/>
    </row>
    <row r="31225">
      <c r="C31225" s="15"/>
      <c r="E31225" s="8"/>
      <c r="G31225" s="8"/>
      <c r="J31225" s="8"/>
    </row>
    <row r="31226">
      <c r="C31226" s="15"/>
      <c r="E31226" s="8"/>
      <c r="G31226" s="8"/>
      <c r="J31226" s="8"/>
    </row>
    <row r="31227">
      <c r="C31227" s="15"/>
      <c r="E31227" s="8"/>
      <c r="G31227" s="8"/>
      <c r="J31227" s="8"/>
    </row>
    <row r="31228">
      <c r="C31228" s="15"/>
      <c r="E31228" s="8"/>
      <c r="G31228" s="8"/>
      <c r="J31228" s="8"/>
    </row>
    <row r="31229">
      <c r="C31229" s="15"/>
      <c r="E31229" s="8"/>
      <c r="G31229" s="8"/>
      <c r="J31229" s="8"/>
    </row>
    <row r="31230">
      <c r="C31230" s="15"/>
      <c r="E31230" s="8"/>
      <c r="G31230" s="8"/>
      <c r="J31230" s="8"/>
    </row>
    <row r="31231">
      <c r="C31231" s="15"/>
      <c r="E31231" s="8"/>
      <c r="G31231" s="8"/>
      <c r="J31231" s="8"/>
    </row>
    <row r="31232">
      <c r="C31232" s="15"/>
      <c r="E31232" s="8"/>
      <c r="G31232" s="8"/>
      <c r="J31232" s="8"/>
    </row>
    <row r="31233">
      <c r="C31233" s="15"/>
      <c r="E31233" s="8"/>
      <c r="G31233" s="8"/>
      <c r="J31233" s="8"/>
    </row>
    <row r="31234">
      <c r="C31234" s="15"/>
      <c r="E31234" s="8"/>
      <c r="G31234" s="8"/>
      <c r="J31234" s="8"/>
    </row>
    <row r="31235">
      <c r="C31235" s="15"/>
      <c r="E31235" s="8"/>
      <c r="G31235" s="8"/>
      <c r="J31235" s="8"/>
    </row>
    <row r="31236">
      <c r="C31236" s="15"/>
      <c r="E31236" s="8"/>
      <c r="G31236" s="8"/>
      <c r="J31236" s="8"/>
    </row>
    <row r="31237">
      <c r="C31237" s="15"/>
      <c r="E31237" s="8"/>
      <c r="G31237" s="8"/>
      <c r="J31237" s="8"/>
    </row>
    <row r="31238">
      <c r="C31238" s="15"/>
      <c r="E31238" s="8"/>
      <c r="G31238" s="8"/>
      <c r="J31238" s="8"/>
    </row>
    <row r="31239">
      <c r="C31239" s="15"/>
      <c r="E31239" s="8"/>
      <c r="G31239" s="8"/>
      <c r="J31239" s="8"/>
    </row>
    <row r="31240">
      <c r="C31240" s="15"/>
      <c r="E31240" s="8"/>
      <c r="G31240" s="8"/>
      <c r="J31240" s="8"/>
    </row>
    <row r="31241">
      <c r="C31241" s="15"/>
      <c r="E31241" s="8"/>
      <c r="G31241" s="8"/>
      <c r="J31241" s="8"/>
    </row>
    <row r="31242">
      <c r="C31242" s="15"/>
      <c r="E31242" s="8"/>
      <c r="G31242" s="8"/>
      <c r="J31242" s="8"/>
    </row>
    <row r="31243">
      <c r="C31243" s="15"/>
      <c r="E31243" s="8"/>
      <c r="G31243" s="8"/>
      <c r="J31243" s="8"/>
    </row>
    <row r="31244">
      <c r="C31244" s="15"/>
      <c r="E31244" s="8"/>
      <c r="G31244" s="8"/>
      <c r="J31244" s="8"/>
    </row>
    <row r="31245">
      <c r="C31245" s="15"/>
      <c r="E31245" s="8"/>
      <c r="G31245" s="8"/>
      <c r="J31245" s="8"/>
    </row>
    <row r="31246">
      <c r="C31246" s="15"/>
      <c r="E31246" s="8"/>
      <c r="G31246" s="8"/>
      <c r="J31246" s="8"/>
    </row>
    <row r="31247">
      <c r="C31247" s="15"/>
      <c r="E31247" s="8"/>
      <c r="G31247" s="8"/>
      <c r="J31247" s="8"/>
    </row>
    <row r="31248">
      <c r="C31248" s="15"/>
      <c r="E31248" s="8"/>
      <c r="G31248" s="8"/>
      <c r="J31248" s="8"/>
    </row>
    <row r="31249">
      <c r="C31249" s="15"/>
      <c r="E31249" s="8"/>
      <c r="G31249" s="8"/>
      <c r="J31249" s="8"/>
    </row>
    <row r="31250">
      <c r="C31250" s="15"/>
      <c r="E31250" s="8"/>
      <c r="G31250" s="8"/>
      <c r="J31250" s="8"/>
    </row>
    <row r="31251">
      <c r="C31251" s="15"/>
      <c r="E31251" s="8"/>
      <c r="G31251" s="8"/>
      <c r="J31251" s="8"/>
    </row>
    <row r="31252">
      <c r="C31252" s="15"/>
      <c r="E31252" s="8"/>
      <c r="G31252" s="8"/>
      <c r="J31252" s="8"/>
    </row>
    <row r="31253">
      <c r="C31253" s="15"/>
      <c r="E31253" s="8"/>
      <c r="G31253" s="8"/>
      <c r="J31253" s="8"/>
    </row>
    <row r="31254">
      <c r="C31254" s="15"/>
      <c r="E31254" s="8"/>
      <c r="G31254" s="8"/>
      <c r="J31254" s="8"/>
    </row>
    <row r="31255">
      <c r="C31255" s="15"/>
      <c r="E31255" s="8"/>
      <c r="G31255" s="8"/>
      <c r="J31255" s="8"/>
    </row>
    <row r="31256">
      <c r="C31256" s="15"/>
      <c r="E31256" s="8"/>
      <c r="G31256" s="8"/>
      <c r="J31256" s="8"/>
    </row>
    <row r="31257">
      <c r="C31257" s="15"/>
      <c r="E31257" s="8"/>
      <c r="G31257" s="8"/>
      <c r="J31257" s="8"/>
    </row>
    <row r="31258">
      <c r="C31258" s="15"/>
      <c r="E31258" s="8"/>
      <c r="G31258" s="8"/>
      <c r="J31258" s="8"/>
    </row>
    <row r="31259">
      <c r="C31259" s="15"/>
      <c r="E31259" s="8"/>
      <c r="G31259" s="8"/>
      <c r="J31259" s="8"/>
    </row>
    <row r="31260">
      <c r="C31260" s="15"/>
      <c r="E31260" s="8"/>
      <c r="G31260" s="8"/>
      <c r="J31260" s="8"/>
    </row>
    <row r="31261">
      <c r="C31261" s="15"/>
      <c r="E31261" s="8"/>
      <c r="G31261" s="8"/>
      <c r="J31261" s="8"/>
    </row>
    <row r="31262">
      <c r="C31262" s="15"/>
      <c r="E31262" s="8"/>
      <c r="G31262" s="8"/>
      <c r="J31262" s="8"/>
    </row>
    <row r="31263">
      <c r="C31263" s="15"/>
      <c r="E31263" s="8"/>
      <c r="G31263" s="8"/>
      <c r="J31263" s="8"/>
    </row>
    <row r="31264">
      <c r="C31264" s="15"/>
      <c r="E31264" s="8"/>
      <c r="G31264" s="8"/>
      <c r="J31264" s="8"/>
    </row>
    <row r="31265">
      <c r="C31265" s="15"/>
      <c r="E31265" s="8"/>
      <c r="G31265" s="8"/>
      <c r="J31265" s="8"/>
    </row>
    <row r="31266">
      <c r="C31266" s="15"/>
      <c r="E31266" s="8"/>
      <c r="G31266" s="8"/>
      <c r="J31266" s="8"/>
    </row>
    <row r="31267">
      <c r="C31267" s="15"/>
      <c r="E31267" s="8"/>
      <c r="G31267" s="8"/>
      <c r="J31267" s="8"/>
    </row>
    <row r="31268">
      <c r="C31268" s="15"/>
      <c r="E31268" s="8"/>
      <c r="G31268" s="8"/>
      <c r="J31268" s="8"/>
    </row>
    <row r="31269">
      <c r="C31269" s="15"/>
      <c r="E31269" s="8"/>
      <c r="G31269" s="8"/>
      <c r="J31269" s="8"/>
    </row>
    <row r="31270">
      <c r="C31270" s="15"/>
      <c r="E31270" s="8"/>
      <c r="G31270" s="8"/>
      <c r="J31270" s="8"/>
    </row>
    <row r="31271">
      <c r="C31271" s="15"/>
      <c r="E31271" s="8"/>
      <c r="G31271" s="8"/>
      <c r="J31271" s="8"/>
    </row>
    <row r="31272">
      <c r="C31272" s="15"/>
      <c r="E31272" s="8"/>
      <c r="G31272" s="8"/>
      <c r="J31272" s="8"/>
    </row>
    <row r="31273">
      <c r="C31273" s="15"/>
      <c r="E31273" s="8"/>
      <c r="G31273" s="8"/>
      <c r="J31273" s="8"/>
    </row>
    <row r="31274">
      <c r="C31274" s="15"/>
      <c r="E31274" s="8"/>
      <c r="G31274" s="8"/>
      <c r="J31274" s="8"/>
    </row>
    <row r="31275">
      <c r="C31275" s="15"/>
      <c r="E31275" s="8"/>
      <c r="G31275" s="8"/>
      <c r="J31275" s="8"/>
    </row>
    <row r="31276">
      <c r="C31276" s="15"/>
      <c r="E31276" s="8"/>
      <c r="G31276" s="8"/>
      <c r="J31276" s="8"/>
    </row>
    <row r="31277">
      <c r="C31277" s="15"/>
      <c r="E31277" s="8"/>
      <c r="G31277" s="8"/>
      <c r="J31277" s="8"/>
    </row>
    <row r="31278">
      <c r="C31278" s="15"/>
      <c r="E31278" s="8"/>
      <c r="G31278" s="8"/>
      <c r="J31278" s="8"/>
    </row>
    <row r="31279">
      <c r="C31279" s="15"/>
      <c r="E31279" s="8"/>
      <c r="G31279" s="8"/>
      <c r="J31279" s="8"/>
    </row>
    <row r="31280">
      <c r="C31280" s="15"/>
      <c r="E31280" s="8"/>
      <c r="G31280" s="8"/>
      <c r="J31280" s="8"/>
    </row>
    <row r="31281">
      <c r="C31281" s="15"/>
      <c r="E31281" s="8"/>
      <c r="G31281" s="8"/>
      <c r="J31281" s="8"/>
    </row>
    <row r="31282">
      <c r="C31282" s="15"/>
      <c r="E31282" s="8"/>
      <c r="G31282" s="8"/>
      <c r="J31282" s="8"/>
    </row>
    <row r="31283">
      <c r="C31283" s="15"/>
      <c r="E31283" s="8"/>
      <c r="G31283" s="8"/>
      <c r="J31283" s="8"/>
    </row>
    <row r="31284">
      <c r="C31284" s="15"/>
      <c r="E31284" s="8"/>
      <c r="G31284" s="8"/>
      <c r="J31284" s="8"/>
    </row>
    <row r="31285">
      <c r="C31285" s="15"/>
      <c r="E31285" s="8"/>
      <c r="G31285" s="8"/>
      <c r="J31285" s="8"/>
    </row>
    <row r="31286">
      <c r="C31286" s="15"/>
      <c r="E31286" s="8"/>
      <c r="G31286" s="8"/>
      <c r="J31286" s="8"/>
    </row>
    <row r="31287">
      <c r="C31287" s="15"/>
      <c r="E31287" s="8"/>
      <c r="G31287" s="8"/>
      <c r="J31287" s="8"/>
    </row>
    <row r="31288">
      <c r="C31288" s="15"/>
      <c r="E31288" s="8"/>
      <c r="G31288" s="8"/>
      <c r="J31288" s="8"/>
    </row>
    <row r="31289">
      <c r="C31289" s="15"/>
      <c r="E31289" s="8"/>
      <c r="G31289" s="8"/>
      <c r="J31289" s="8"/>
    </row>
    <row r="31290">
      <c r="C31290" s="15"/>
      <c r="E31290" s="8"/>
      <c r="G31290" s="8"/>
      <c r="J31290" s="8"/>
    </row>
    <row r="31291">
      <c r="C31291" s="15"/>
      <c r="E31291" s="8"/>
      <c r="G31291" s="8"/>
      <c r="J31291" s="8"/>
    </row>
    <row r="31292">
      <c r="C31292" s="15"/>
      <c r="E31292" s="8"/>
      <c r="G31292" s="8"/>
      <c r="J31292" s="8"/>
    </row>
    <row r="31293">
      <c r="C31293" s="15"/>
      <c r="E31293" s="8"/>
      <c r="G31293" s="8"/>
      <c r="J31293" s="8"/>
    </row>
    <row r="31294">
      <c r="C31294" s="15"/>
      <c r="E31294" s="8"/>
      <c r="G31294" s="8"/>
      <c r="J31294" s="8"/>
    </row>
    <row r="31295">
      <c r="C31295" s="15"/>
      <c r="E31295" s="8"/>
      <c r="G31295" s="8"/>
      <c r="J31295" s="8"/>
    </row>
    <row r="31296">
      <c r="C31296" s="15"/>
      <c r="E31296" s="8"/>
      <c r="G31296" s="8"/>
      <c r="J31296" s="8"/>
    </row>
    <row r="31297">
      <c r="C31297" s="15"/>
      <c r="E31297" s="8"/>
      <c r="G31297" s="8"/>
      <c r="J31297" s="8"/>
    </row>
    <row r="31298">
      <c r="C31298" s="15"/>
      <c r="E31298" s="8"/>
      <c r="G31298" s="8"/>
      <c r="J31298" s="8"/>
    </row>
    <row r="31299">
      <c r="C31299" s="15"/>
      <c r="E31299" s="8"/>
      <c r="G31299" s="8"/>
      <c r="J31299" s="8"/>
    </row>
    <row r="31300">
      <c r="C31300" s="15"/>
      <c r="E31300" s="8"/>
      <c r="G31300" s="8"/>
      <c r="J31300" s="8"/>
    </row>
    <row r="31301">
      <c r="C31301" s="15"/>
      <c r="E31301" s="8"/>
      <c r="G31301" s="8"/>
      <c r="J31301" s="8"/>
    </row>
    <row r="31302">
      <c r="C31302" s="15"/>
      <c r="E31302" s="8"/>
      <c r="G31302" s="8"/>
      <c r="J31302" s="8"/>
    </row>
    <row r="31303">
      <c r="C31303" s="15"/>
      <c r="E31303" s="8"/>
      <c r="G31303" s="8"/>
      <c r="J31303" s="8"/>
    </row>
    <row r="31304">
      <c r="C31304" s="15"/>
      <c r="E31304" s="8"/>
      <c r="G31304" s="8"/>
      <c r="J31304" s="8"/>
    </row>
    <row r="31305">
      <c r="C31305" s="15"/>
      <c r="E31305" s="8"/>
      <c r="G31305" s="8"/>
      <c r="J31305" s="8"/>
    </row>
    <row r="31306">
      <c r="C31306" s="15"/>
      <c r="E31306" s="8"/>
      <c r="G31306" s="8"/>
      <c r="J31306" s="8"/>
    </row>
    <row r="31307">
      <c r="C31307" s="15"/>
      <c r="E31307" s="8"/>
      <c r="G31307" s="8"/>
      <c r="J31307" s="8"/>
    </row>
    <row r="31308">
      <c r="C31308" s="15"/>
      <c r="E31308" s="8"/>
      <c r="G31308" s="8"/>
      <c r="J31308" s="8"/>
    </row>
    <row r="31309">
      <c r="C31309" s="15"/>
      <c r="E31309" s="8"/>
      <c r="G31309" s="8"/>
      <c r="J31309" s="8"/>
    </row>
    <row r="31310">
      <c r="C31310" s="15"/>
      <c r="E31310" s="8"/>
      <c r="G31310" s="8"/>
      <c r="J31310" s="8"/>
    </row>
    <row r="31311">
      <c r="C31311" s="15"/>
      <c r="E31311" s="8"/>
      <c r="G31311" s="8"/>
      <c r="J31311" s="8"/>
    </row>
    <row r="31312">
      <c r="C31312" s="15"/>
      <c r="E31312" s="8"/>
      <c r="G31312" s="8"/>
      <c r="J31312" s="8"/>
    </row>
    <row r="31313">
      <c r="C31313" s="15"/>
      <c r="E31313" s="8"/>
      <c r="G31313" s="8"/>
      <c r="J31313" s="8"/>
    </row>
    <row r="31314">
      <c r="C31314" s="15"/>
      <c r="E31314" s="8"/>
      <c r="G31314" s="8"/>
      <c r="J31314" s="8"/>
    </row>
    <row r="31315">
      <c r="C31315" s="15"/>
      <c r="E31315" s="8"/>
      <c r="G31315" s="8"/>
      <c r="J31315" s="8"/>
    </row>
    <row r="31316">
      <c r="C31316" s="15"/>
      <c r="E31316" s="8"/>
      <c r="G31316" s="8"/>
      <c r="J31316" s="8"/>
    </row>
    <row r="31317">
      <c r="C31317" s="15"/>
      <c r="E31317" s="8"/>
      <c r="G31317" s="8"/>
      <c r="J31317" s="8"/>
    </row>
    <row r="31318">
      <c r="C31318" s="15"/>
      <c r="E31318" s="8"/>
      <c r="G31318" s="8"/>
      <c r="J31318" s="8"/>
    </row>
    <row r="31319">
      <c r="C31319" s="15"/>
      <c r="E31319" s="8"/>
      <c r="G31319" s="8"/>
      <c r="J31319" s="8"/>
    </row>
    <row r="31320">
      <c r="C31320" s="15"/>
      <c r="E31320" s="8"/>
      <c r="G31320" s="8"/>
      <c r="J31320" s="8"/>
    </row>
    <row r="31321">
      <c r="C31321" s="15"/>
      <c r="E31321" s="8"/>
      <c r="G31321" s="8"/>
      <c r="J31321" s="8"/>
    </row>
    <row r="31322">
      <c r="C31322" s="15"/>
      <c r="E31322" s="8"/>
      <c r="G31322" s="8"/>
      <c r="J31322" s="8"/>
    </row>
    <row r="31323">
      <c r="C31323" s="15"/>
      <c r="E31323" s="8"/>
      <c r="G31323" s="8"/>
      <c r="J31323" s="8"/>
    </row>
    <row r="31324">
      <c r="C31324" s="15"/>
      <c r="E31324" s="8"/>
      <c r="G31324" s="8"/>
      <c r="J31324" s="8"/>
    </row>
    <row r="31325">
      <c r="C31325" s="15"/>
      <c r="E31325" s="8"/>
      <c r="G31325" s="8"/>
      <c r="J31325" s="8"/>
    </row>
    <row r="31326">
      <c r="C31326" s="15"/>
      <c r="E31326" s="8"/>
      <c r="G31326" s="8"/>
      <c r="J31326" s="8"/>
    </row>
    <row r="31327">
      <c r="C31327" s="15"/>
      <c r="E31327" s="8"/>
      <c r="G31327" s="8"/>
      <c r="J31327" s="8"/>
    </row>
    <row r="31328">
      <c r="C31328" s="15"/>
      <c r="E31328" s="8"/>
      <c r="G31328" s="8"/>
      <c r="J31328" s="8"/>
    </row>
    <row r="31329">
      <c r="C31329" s="15"/>
      <c r="E31329" s="8"/>
      <c r="G31329" s="8"/>
      <c r="J31329" s="8"/>
    </row>
    <row r="31330">
      <c r="C31330" s="15"/>
      <c r="E31330" s="8"/>
      <c r="G31330" s="8"/>
      <c r="J31330" s="8"/>
    </row>
    <row r="31331">
      <c r="C31331" s="15"/>
      <c r="E31331" s="8"/>
      <c r="G31331" s="8"/>
      <c r="J31331" s="8"/>
    </row>
    <row r="31332">
      <c r="C31332" s="15"/>
      <c r="E31332" s="8"/>
      <c r="G31332" s="8"/>
      <c r="J31332" s="8"/>
    </row>
    <row r="31333">
      <c r="C31333" s="15"/>
      <c r="E31333" s="8"/>
      <c r="G31333" s="8"/>
      <c r="J31333" s="8"/>
    </row>
    <row r="31334">
      <c r="C31334" s="15"/>
      <c r="E31334" s="8"/>
      <c r="G31334" s="8"/>
      <c r="J31334" s="8"/>
    </row>
    <row r="31335">
      <c r="C31335" s="15"/>
      <c r="E31335" s="8"/>
      <c r="G31335" s="8"/>
      <c r="J31335" s="8"/>
    </row>
    <row r="31336">
      <c r="C31336" s="15"/>
      <c r="E31336" s="8"/>
      <c r="G31336" s="8"/>
      <c r="J31336" s="8"/>
    </row>
    <row r="31337">
      <c r="C31337" s="15"/>
      <c r="E31337" s="8"/>
      <c r="G31337" s="8"/>
      <c r="J31337" s="8"/>
    </row>
    <row r="31338">
      <c r="C31338" s="15"/>
      <c r="E31338" s="8"/>
      <c r="G31338" s="8"/>
      <c r="J31338" s="8"/>
    </row>
    <row r="31339">
      <c r="C31339" s="15"/>
      <c r="E31339" s="8"/>
      <c r="G31339" s="8"/>
      <c r="J31339" s="8"/>
    </row>
    <row r="31340">
      <c r="C31340" s="15"/>
      <c r="E31340" s="8"/>
      <c r="G31340" s="8"/>
      <c r="J31340" s="8"/>
    </row>
    <row r="31341">
      <c r="C31341" s="15"/>
      <c r="E31341" s="8"/>
      <c r="G31341" s="8"/>
      <c r="J31341" s="8"/>
    </row>
    <row r="31342">
      <c r="C31342" s="15"/>
      <c r="E31342" s="8"/>
      <c r="G31342" s="8"/>
      <c r="J31342" s="8"/>
    </row>
    <row r="31343">
      <c r="C31343" s="15"/>
      <c r="E31343" s="8"/>
      <c r="G31343" s="8"/>
      <c r="J31343" s="8"/>
    </row>
    <row r="31344">
      <c r="C31344" s="15"/>
      <c r="E31344" s="8"/>
      <c r="G31344" s="8"/>
      <c r="J31344" s="8"/>
    </row>
    <row r="31345">
      <c r="C31345" s="15"/>
      <c r="E31345" s="8"/>
      <c r="G31345" s="8"/>
      <c r="J31345" s="8"/>
    </row>
    <row r="31346">
      <c r="C31346" s="15"/>
      <c r="E31346" s="8"/>
      <c r="G31346" s="8"/>
      <c r="J31346" s="8"/>
    </row>
    <row r="31347">
      <c r="C31347" s="15"/>
      <c r="E31347" s="8"/>
      <c r="G31347" s="8"/>
      <c r="J31347" s="8"/>
    </row>
    <row r="31348">
      <c r="C31348" s="15"/>
      <c r="E31348" s="8"/>
      <c r="G31348" s="8"/>
      <c r="J31348" s="8"/>
    </row>
    <row r="31349">
      <c r="C31349" s="15"/>
      <c r="E31349" s="8"/>
      <c r="G31349" s="8"/>
      <c r="J31349" s="8"/>
    </row>
    <row r="31350">
      <c r="C31350" s="15"/>
      <c r="E31350" s="8"/>
      <c r="G31350" s="8"/>
      <c r="J31350" s="8"/>
    </row>
    <row r="31351">
      <c r="C31351" s="15"/>
      <c r="E31351" s="8"/>
      <c r="G31351" s="8"/>
      <c r="J31351" s="8"/>
    </row>
    <row r="31352">
      <c r="C31352" s="15"/>
      <c r="E31352" s="8"/>
      <c r="G31352" s="8"/>
      <c r="J31352" s="8"/>
    </row>
    <row r="31353">
      <c r="C31353" s="15"/>
      <c r="E31353" s="8"/>
      <c r="G31353" s="8"/>
      <c r="J31353" s="8"/>
    </row>
    <row r="31354">
      <c r="C31354" s="15"/>
      <c r="E31354" s="8"/>
      <c r="G31354" s="8"/>
      <c r="J31354" s="8"/>
    </row>
    <row r="31355">
      <c r="C31355" s="15"/>
      <c r="E31355" s="8"/>
      <c r="G31355" s="8"/>
      <c r="J31355" s="8"/>
    </row>
    <row r="31356">
      <c r="C31356" s="15"/>
      <c r="E31356" s="8"/>
      <c r="G31356" s="8"/>
      <c r="J31356" s="8"/>
    </row>
    <row r="31357">
      <c r="C31357" s="15"/>
      <c r="E31357" s="8"/>
      <c r="G31357" s="8"/>
      <c r="J31357" s="8"/>
    </row>
    <row r="31358">
      <c r="C31358" s="15"/>
      <c r="E31358" s="8"/>
      <c r="G31358" s="8"/>
      <c r="J31358" s="8"/>
    </row>
    <row r="31359">
      <c r="C31359" s="15"/>
      <c r="E31359" s="8"/>
      <c r="G31359" s="8"/>
      <c r="J31359" s="8"/>
    </row>
    <row r="31360">
      <c r="C31360" s="15"/>
      <c r="E31360" s="8"/>
      <c r="G31360" s="8"/>
      <c r="J31360" s="8"/>
    </row>
    <row r="31361">
      <c r="C31361" s="15"/>
      <c r="E31361" s="8"/>
      <c r="G31361" s="8"/>
      <c r="J31361" s="8"/>
    </row>
    <row r="31362">
      <c r="C31362" s="15"/>
      <c r="E31362" s="8"/>
      <c r="G31362" s="8"/>
      <c r="J31362" s="8"/>
    </row>
    <row r="31363">
      <c r="C31363" s="15"/>
      <c r="E31363" s="8"/>
      <c r="G31363" s="8"/>
      <c r="J31363" s="8"/>
    </row>
    <row r="31364">
      <c r="C31364" s="15"/>
      <c r="E31364" s="8"/>
      <c r="G31364" s="8"/>
      <c r="J31364" s="8"/>
    </row>
    <row r="31365">
      <c r="C31365" s="15"/>
      <c r="E31365" s="8"/>
      <c r="G31365" s="8"/>
      <c r="J31365" s="8"/>
    </row>
    <row r="31366">
      <c r="C31366" s="15"/>
      <c r="E31366" s="8"/>
      <c r="G31366" s="8"/>
      <c r="J31366" s="8"/>
    </row>
    <row r="31367">
      <c r="C31367" s="15"/>
      <c r="E31367" s="8"/>
      <c r="G31367" s="8"/>
      <c r="J31367" s="8"/>
    </row>
    <row r="31368">
      <c r="C31368" s="15"/>
      <c r="E31368" s="8"/>
      <c r="G31368" s="8"/>
      <c r="J31368" s="8"/>
    </row>
    <row r="31369">
      <c r="C31369" s="15"/>
      <c r="E31369" s="8"/>
      <c r="G31369" s="8"/>
      <c r="J31369" s="8"/>
    </row>
    <row r="31370">
      <c r="C31370" s="15"/>
      <c r="E31370" s="8"/>
      <c r="G31370" s="8"/>
      <c r="J31370" s="8"/>
    </row>
    <row r="31371">
      <c r="C31371" s="15"/>
      <c r="E31371" s="8"/>
      <c r="G31371" s="8"/>
      <c r="J31371" s="8"/>
    </row>
    <row r="31372">
      <c r="C31372" s="15"/>
      <c r="E31372" s="8"/>
      <c r="G31372" s="8"/>
      <c r="J31372" s="8"/>
    </row>
    <row r="31373">
      <c r="C31373" s="15"/>
      <c r="E31373" s="8"/>
      <c r="G31373" s="8"/>
      <c r="J31373" s="8"/>
    </row>
    <row r="31374">
      <c r="C31374" s="15"/>
      <c r="E31374" s="8"/>
      <c r="G31374" s="8"/>
      <c r="J31374" s="8"/>
    </row>
    <row r="31375">
      <c r="C31375" s="15"/>
      <c r="E31375" s="8"/>
      <c r="G31375" s="8"/>
      <c r="J31375" s="8"/>
    </row>
    <row r="31376">
      <c r="C31376" s="15"/>
      <c r="E31376" s="8"/>
      <c r="G31376" s="8"/>
      <c r="J31376" s="8"/>
    </row>
    <row r="31377">
      <c r="C31377" s="15"/>
      <c r="E31377" s="8"/>
      <c r="G31377" s="8"/>
      <c r="J31377" s="8"/>
    </row>
    <row r="31378">
      <c r="C31378" s="15"/>
      <c r="E31378" s="8"/>
      <c r="G31378" s="8"/>
      <c r="J31378" s="8"/>
    </row>
    <row r="31379">
      <c r="C31379" s="15"/>
      <c r="E31379" s="8"/>
      <c r="G31379" s="8"/>
      <c r="J31379" s="8"/>
    </row>
    <row r="31380">
      <c r="C31380" s="15"/>
      <c r="E31380" s="8"/>
      <c r="G31380" s="8"/>
      <c r="J31380" s="8"/>
    </row>
    <row r="31381">
      <c r="C31381" s="15"/>
      <c r="E31381" s="8"/>
      <c r="G31381" s="8"/>
      <c r="J31381" s="8"/>
    </row>
    <row r="31382">
      <c r="C31382" s="15"/>
      <c r="E31382" s="8"/>
      <c r="G31382" s="8"/>
      <c r="J31382" s="8"/>
    </row>
    <row r="31383">
      <c r="C31383" s="15"/>
      <c r="E31383" s="8"/>
      <c r="G31383" s="8"/>
      <c r="J31383" s="8"/>
    </row>
    <row r="31384">
      <c r="C31384" s="15"/>
      <c r="E31384" s="8"/>
      <c r="G31384" s="8"/>
      <c r="J31384" s="8"/>
    </row>
    <row r="31385">
      <c r="C31385" s="15"/>
      <c r="E31385" s="8"/>
      <c r="G31385" s="8"/>
      <c r="J31385" s="8"/>
    </row>
    <row r="31386">
      <c r="C31386" s="15"/>
      <c r="E31386" s="8"/>
      <c r="G31386" s="8"/>
      <c r="J31386" s="8"/>
    </row>
    <row r="31387">
      <c r="C31387" s="15"/>
      <c r="E31387" s="8"/>
      <c r="G31387" s="8"/>
      <c r="J31387" s="8"/>
    </row>
    <row r="31388">
      <c r="C31388" s="15"/>
      <c r="E31388" s="8"/>
      <c r="G31388" s="8"/>
      <c r="J31388" s="8"/>
    </row>
    <row r="31389">
      <c r="C31389" s="15"/>
      <c r="E31389" s="8"/>
      <c r="G31389" s="8"/>
      <c r="J31389" s="8"/>
    </row>
    <row r="31390">
      <c r="C31390" s="15"/>
      <c r="E31390" s="8"/>
      <c r="G31390" s="8"/>
      <c r="J31390" s="8"/>
    </row>
    <row r="31391">
      <c r="C31391" s="15"/>
      <c r="E31391" s="8"/>
      <c r="G31391" s="8"/>
      <c r="J31391" s="8"/>
    </row>
    <row r="31392">
      <c r="C31392" s="15"/>
      <c r="E31392" s="8"/>
      <c r="G31392" s="8"/>
      <c r="J31392" s="8"/>
    </row>
    <row r="31393">
      <c r="C31393" s="15"/>
      <c r="E31393" s="8"/>
      <c r="G31393" s="8"/>
      <c r="J31393" s="8"/>
    </row>
    <row r="31394">
      <c r="C31394" s="15"/>
      <c r="E31394" s="8"/>
      <c r="G31394" s="8"/>
      <c r="J31394" s="8"/>
    </row>
    <row r="31395">
      <c r="C31395" s="15"/>
      <c r="E31395" s="8"/>
      <c r="G31395" s="8"/>
      <c r="J31395" s="8"/>
    </row>
    <row r="31396">
      <c r="C31396" s="15"/>
      <c r="E31396" s="8"/>
      <c r="G31396" s="8"/>
      <c r="J31396" s="8"/>
    </row>
    <row r="31397">
      <c r="C31397" s="15"/>
      <c r="E31397" s="8"/>
      <c r="G31397" s="8"/>
      <c r="J31397" s="8"/>
    </row>
    <row r="31398">
      <c r="C31398" s="15"/>
      <c r="E31398" s="8"/>
      <c r="G31398" s="8"/>
      <c r="J31398" s="8"/>
    </row>
    <row r="31399">
      <c r="C31399" s="15"/>
      <c r="E31399" s="8"/>
      <c r="G31399" s="8"/>
      <c r="J31399" s="8"/>
    </row>
    <row r="31400">
      <c r="C31400" s="15"/>
      <c r="E31400" s="8"/>
      <c r="G31400" s="8"/>
      <c r="J31400" s="8"/>
    </row>
    <row r="31401">
      <c r="C31401" s="15"/>
      <c r="E31401" s="8"/>
      <c r="G31401" s="8"/>
      <c r="J31401" s="8"/>
    </row>
    <row r="31402">
      <c r="C31402" s="15"/>
      <c r="E31402" s="8"/>
      <c r="G31402" s="8"/>
      <c r="J31402" s="8"/>
    </row>
    <row r="31403">
      <c r="C31403" s="15"/>
      <c r="E31403" s="8"/>
      <c r="G31403" s="8"/>
      <c r="J31403" s="8"/>
    </row>
    <row r="31404">
      <c r="C31404" s="15"/>
      <c r="E31404" s="8"/>
      <c r="G31404" s="8"/>
      <c r="J31404" s="8"/>
    </row>
    <row r="31405">
      <c r="C31405" s="15"/>
      <c r="E31405" s="8"/>
      <c r="G31405" s="8"/>
      <c r="J31405" s="8"/>
    </row>
    <row r="31406">
      <c r="C31406" s="15"/>
      <c r="E31406" s="8"/>
      <c r="G31406" s="8"/>
      <c r="J31406" s="8"/>
    </row>
    <row r="31407">
      <c r="C31407" s="15"/>
      <c r="E31407" s="8"/>
      <c r="G31407" s="8"/>
      <c r="J31407" s="8"/>
    </row>
    <row r="31408">
      <c r="C31408" s="15"/>
      <c r="E31408" s="8"/>
      <c r="G31408" s="8"/>
      <c r="J31408" s="8"/>
    </row>
    <row r="31409">
      <c r="C31409" s="15"/>
      <c r="E31409" s="8"/>
      <c r="G31409" s="8"/>
      <c r="J31409" s="8"/>
    </row>
    <row r="31410">
      <c r="C31410" s="15"/>
      <c r="E31410" s="8"/>
      <c r="G31410" s="8"/>
      <c r="J31410" s="8"/>
    </row>
    <row r="31411">
      <c r="C31411" s="15"/>
      <c r="E31411" s="8"/>
      <c r="G31411" s="8"/>
      <c r="J31411" s="8"/>
    </row>
    <row r="31412">
      <c r="C31412" s="15"/>
      <c r="E31412" s="8"/>
      <c r="G31412" s="8"/>
      <c r="J31412" s="8"/>
    </row>
    <row r="31413">
      <c r="C31413" s="15"/>
      <c r="E31413" s="8"/>
      <c r="G31413" s="8"/>
      <c r="J31413" s="8"/>
    </row>
    <row r="31414">
      <c r="C31414" s="15"/>
      <c r="E31414" s="8"/>
      <c r="G31414" s="8"/>
      <c r="J31414" s="8"/>
    </row>
    <row r="31415">
      <c r="C31415" s="15"/>
      <c r="E31415" s="8"/>
      <c r="G31415" s="8"/>
      <c r="J31415" s="8"/>
    </row>
    <row r="31416">
      <c r="C31416" s="15"/>
      <c r="E31416" s="8"/>
      <c r="G31416" s="8"/>
      <c r="J31416" s="8"/>
    </row>
    <row r="31417">
      <c r="C31417" s="15"/>
      <c r="E31417" s="8"/>
      <c r="G31417" s="8"/>
      <c r="J31417" s="8"/>
    </row>
    <row r="31418">
      <c r="C31418" s="15"/>
      <c r="E31418" s="8"/>
      <c r="G31418" s="8"/>
      <c r="J31418" s="8"/>
    </row>
    <row r="31419">
      <c r="C31419" s="15"/>
      <c r="E31419" s="8"/>
      <c r="G31419" s="8"/>
      <c r="J31419" s="8"/>
    </row>
    <row r="31420">
      <c r="C31420" s="15"/>
      <c r="E31420" s="8"/>
      <c r="G31420" s="8"/>
      <c r="J31420" s="8"/>
    </row>
    <row r="31421">
      <c r="C31421" s="15"/>
      <c r="E31421" s="8"/>
      <c r="G31421" s="8"/>
      <c r="J31421" s="8"/>
    </row>
    <row r="31422">
      <c r="C31422" s="15"/>
      <c r="E31422" s="8"/>
      <c r="G31422" s="8"/>
      <c r="J31422" s="8"/>
    </row>
    <row r="31423">
      <c r="C31423" s="15"/>
      <c r="E31423" s="8"/>
      <c r="G31423" s="8"/>
      <c r="J31423" s="8"/>
    </row>
    <row r="31424">
      <c r="C31424" s="15"/>
      <c r="E31424" s="8"/>
      <c r="G31424" s="8"/>
      <c r="J31424" s="8"/>
    </row>
    <row r="31425">
      <c r="C31425" s="15"/>
      <c r="E31425" s="8"/>
      <c r="G31425" s="8"/>
      <c r="J31425" s="8"/>
    </row>
    <row r="31426">
      <c r="C31426" s="15"/>
      <c r="E31426" s="8"/>
      <c r="G31426" s="8"/>
      <c r="J31426" s="8"/>
    </row>
    <row r="31427">
      <c r="C31427" s="15"/>
      <c r="E31427" s="8"/>
      <c r="G31427" s="8"/>
      <c r="J31427" s="8"/>
    </row>
    <row r="31428">
      <c r="C31428" s="15"/>
      <c r="E31428" s="8"/>
      <c r="G31428" s="8"/>
      <c r="J31428" s="8"/>
    </row>
    <row r="31429">
      <c r="C31429" s="15"/>
      <c r="E31429" s="8"/>
      <c r="G31429" s="8"/>
      <c r="J31429" s="8"/>
    </row>
    <row r="31430">
      <c r="C31430" s="15"/>
      <c r="E31430" s="8"/>
      <c r="G31430" s="8"/>
      <c r="J31430" s="8"/>
    </row>
    <row r="31431">
      <c r="C31431" s="15"/>
      <c r="E31431" s="8"/>
      <c r="G31431" s="8"/>
      <c r="J31431" s="8"/>
    </row>
    <row r="31432">
      <c r="C31432" s="15"/>
      <c r="E31432" s="8"/>
      <c r="G31432" s="8"/>
      <c r="J31432" s="8"/>
    </row>
    <row r="31433">
      <c r="C31433" s="15"/>
      <c r="E31433" s="8"/>
      <c r="G31433" s="8"/>
      <c r="J31433" s="8"/>
    </row>
    <row r="31434">
      <c r="C31434" s="15"/>
      <c r="E31434" s="8"/>
      <c r="G31434" s="8"/>
      <c r="J31434" s="8"/>
    </row>
    <row r="31435">
      <c r="C31435" s="15"/>
      <c r="E31435" s="8"/>
      <c r="G31435" s="8"/>
      <c r="J31435" s="8"/>
    </row>
    <row r="31436">
      <c r="C31436" s="15"/>
      <c r="E31436" s="8"/>
      <c r="G31436" s="8"/>
      <c r="J31436" s="8"/>
    </row>
    <row r="31437">
      <c r="C31437" s="15"/>
      <c r="E31437" s="8"/>
      <c r="G31437" s="8"/>
      <c r="J31437" s="8"/>
    </row>
    <row r="31438">
      <c r="C31438" s="15"/>
      <c r="E31438" s="8"/>
      <c r="G31438" s="8"/>
      <c r="J31438" s="8"/>
    </row>
    <row r="31439">
      <c r="C31439" s="15"/>
      <c r="E31439" s="8"/>
      <c r="G31439" s="8"/>
      <c r="J31439" s="8"/>
    </row>
    <row r="31440">
      <c r="C31440" s="15"/>
      <c r="E31440" s="8"/>
      <c r="G31440" s="8"/>
      <c r="J31440" s="8"/>
    </row>
    <row r="31441">
      <c r="C31441" s="15"/>
      <c r="E31441" s="8"/>
      <c r="G31441" s="8"/>
      <c r="J31441" s="8"/>
    </row>
    <row r="31442">
      <c r="C31442" s="15"/>
      <c r="E31442" s="8"/>
      <c r="G31442" s="8"/>
      <c r="J31442" s="8"/>
    </row>
    <row r="31443">
      <c r="C31443" s="15"/>
      <c r="E31443" s="8"/>
      <c r="G31443" s="8"/>
      <c r="J31443" s="8"/>
    </row>
    <row r="31444">
      <c r="C31444" s="15"/>
      <c r="E31444" s="8"/>
      <c r="G31444" s="8"/>
      <c r="J31444" s="8"/>
    </row>
    <row r="31445">
      <c r="C31445" s="15"/>
      <c r="E31445" s="8"/>
      <c r="G31445" s="8"/>
      <c r="J31445" s="8"/>
    </row>
    <row r="31446">
      <c r="C31446" s="15"/>
      <c r="E31446" s="8"/>
      <c r="G31446" s="8"/>
      <c r="J31446" s="8"/>
    </row>
    <row r="31447">
      <c r="C31447" s="15"/>
      <c r="E31447" s="8"/>
      <c r="G31447" s="8"/>
      <c r="J31447" s="8"/>
    </row>
    <row r="31448">
      <c r="C31448" s="15"/>
      <c r="E31448" s="8"/>
      <c r="G31448" s="8"/>
      <c r="J31448" s="8"/>
    </row>
    <row r="31449">
      <c r="C31449" s="15"/>
      <c r="E31449" s="8"/>
      <c r="G31449" s="8"/>
      <c r="J31449" s="8"/>
    </row>
    <row r="31450">
      <c r="C31450" s="15"/>
      <c r="E31450" s="8"/>
      <c r="G31450" s="8"/>
      <c r="J31450" s="8"/>
    </row>
    <row r="31451">
      <c r="C31451" s="15"/>
      <c r="E31451" s="8"/>
      <c r="G31451" s="8"/>
      <c r="J31451" s="8"/>
    </row>
    <row r="31452">
      <c r="C31452" s="15"/>
      <c r="E31452" s="8"/>
      <c r="G31452" s="8"/>
      <c r="J31452" s="8"/>
    </row>
    <row r="31453">
      <c r="C31453" s="15"/>
      <c r="E31453" s="8"/>
      <c r="G31453" s="8"/>
      <c r="J31453" s="8"/>
    </row>
    <row r="31454">
      <c r="C31454" s="15"/>
      <c r="E31454" s="8"/>
      <c r="G31454" s="8"/>
      <c r="J31454" s="8"/>
    </row>
    <row r="31455">
      <c r="C31455" s="15"/>
      <c r="E31455" s="8"/>
      <c r="G31455" s="8"/>
      <c r="J31455" s="8"/>
    </row>
    <row r="31456">
      <c r="C31456" s="15"/>
      <c r="E31456" s="8"/>
      <c r="G31456" s="8"/>
      <c r="J31456" s="8"/>
    </row>
    <row r="31457">
      <c r="C31457" s="15"/>
      <c r="E31457" s="8"/>
      <c r="G31457" s="8"/>
      <c r="J31457" s="8"/>
    </row>
    <row r="31458">
      <c r="C31458" s="15"/>
      <c r="E31458" s="8"/>
      <c r="G31458" s="8"/>
      <c r="J31458" s="8"/>
    </row>
    <row r="31459">
      <c r="C31459" s="15"/>
      <c r="E31459" s="8"/>
      <c r="G31459" s="8"/>
      <c r="J31459" s="8"/>
    </row>
    <row r="31460">
      <c r="C31460" s="15"/>
      <c r="E31460" s="8"/>
      <c r="G31460" s="8"/>
      <c r="J31460" s="8"/>
    </row>
    <row r="31461">
      <c r="C31461" s="15"/>
      <c r="E31461" s="8"/>
      <c r="G31461" s="8"/>
      <c r="J31461" s="8"/>
    </row>
    <row r="31462">
      <c r="C31462" s="15"/>
      <c r="E31462" s="8"/>
      <c r="G31462" s="8"/>
      <c r="J31462" s="8"/>
    </row>
    <row r="31463">
      <c r="C31463" s="15"/>
      <c r="E31463" s="8"/>
      <c r="G31463" s="8"/>
      <c r="J31463" s="8"/>
    </row>
    <row r="31464">
      <c r="C31464" s="15"/>
      <c r="E31464" s="8"/>
      <c r="G31464" s="8"/>
      <c r="J31464" s="8"/>
    </row>
    <row r="31465">
      <c r="C31465" s="15"/>
      <c r="E31465" s="8"/>
      <c r="G31465" s="8"/>
      <c r="J31465" s="8"/>
    </row>
    <row r="31466">
      <c r="C31466" s="15"/>
      <c r="E31466" s="8"/>
      <c r="G31466" s="8"/>
      <c r="J31466" s="8"/>
    </row>
    <row r="31467">
      <c r="C31467" s="15"/>
      <c r="E31467" s="8"/>
      <c r="G31467" s="8"/>
      <c r="J31467" s="8"/>
    </row>
    <row r="31468">
      <c r="C31468" s="15"/>
      <c r="E31468" s="8"/>
      <c r="G31468" s="8"/>
      <c r="J31468" s="8"/>
    </row>
    <row r="31469">
      <c r="C31469" s="15"/>
      <c r="E31469" s="8"/>
      <c r="G31469" s="8"/>
      <c r="J31469" s="8"/>
    </row>
    <row r="31470">
      <c r="C31470" s="15"/>
      <c r="E31470" s="8"/>
      <c r="G31470" s="8"/>
      <c r="J31470" s="8"/>
    </row>
    <row r="31471">
      <c r="C31471" s="15"/>
      <c r="E31471" s="8"/>
      <c r="G31471" s="8"/>
      <c r="J31471" s="8"/>
    </row>
    <row r="31472">
      <c r="C31472" s="15"/>
      <c r="E31472" s="8"/>
      <c r="G31472" s="8"/>
      <c r="J31472" s="8"/>
    </row>
    <row r="31473">
      <c r="C31473" s="15"/>
      <c r="E31473" s="8"/>
      <c r="G31473" s="8"/>
      <c r="J31473" s="8"/>
    </row>
    <row r="31474">
      <c r="C31474" s="15"/>
      <c r="E31474" s="8"/>
      <c r="G31474" s="8"/>
      <c r="J31474" s="8"/>
    </row>
    <row r="31475">
      <c r="C31475" s="15"/>
      <c r="E31475" s="8"/>
      <c r="G31475" s="8"/>
      <c r="J31475" s="8"/>
    </row>
    <row r="31476">
      <c r="C31476" s="15"/>
      <c r="E31476" s="8"/>
      <c r="G31476" s="8"/>
      <c r="J31476" s="8"/>
    </row>
    <row r="31477">
      <c r="C31477" s="15"/>
      <c r="E31477" s="8"/>
      <c r="G31477" s="8"/>
      <c r="J31477" s="8"/>
    </row>
    <row r="31478">
      <c r="C31478" s="15"/>
      <c r="E31478" s="8"/>
      <c r="G31478" s="8"/>
      <c r="J31478" s="8"/>
    </row>
    <row r="31479">
      <c r="C31479" s="15"/>
      <c r="E31479" s="8"/>
      <c r="G31479" s="8"/>
      <c r="J31479" s="8"/>
    </row>
    <row r="31480">
      <c r="C31480" s="15"/>
      <c r="E31480" s="8"/>
      <c r="G31480" s="8"/>
      <c r="J31480" s="8"/>
    </row>
    <row r="31481">
      <c r="C31481" s="15"/>
      <c r="E31481" s="8"/>
      <c r="G31481" s="8"/>
      <c r="J31481" s="8"/>
    </row>
    <row r="31482">
      <c r="C31482" s="15"/>
      <c r="E31482" s="8"/>
      <c r="G31482" s="8"/>
      <c r="J31482" s="8"/>
    </row>
    <row r="31483">
      <c r="C31483" s="15"/>
      <c r="E31483" s="8"/>
      <c r="G31483" s="8"/>
      <c r="J31483" s="8"/>
    </row>
    <row r="31484">
      <c r="C31484" s="15"/>
      <c r="E31484" s="8"/>
      <c r="G31484" s="8"/>
      <c r="J31484" s="8"/>
    </row>
    <row r="31485">
      <c r="C31485" s="15"/>
      <c r="E31485" s="8"/>
      <c r="G31485" s="8"/>
      <c r="J31485" s="8"/>
    </row>
    <row r="31486">
      <c r="C31486" s="15"/>
      <c r="E31486" s="8"/>
      <c r="G31486" s="8"/>
      <c r="J31486" s="8"/>
    </row>
    <row r="31487">
      <c r="C31487" s="15"/>
      <c r="E31487" s="8"/>
      <c r="G31487" s="8"/>
      <c r="J31487" s="8"/>
    </row>
    <row r="31488">
      <c r="C31488" s="15"/>
      <c r="E31488" s="8"/>
      <c r="G31488" s="8"/>
      <c r="J31488" s="8"/>
    </row>
    <row r="31489">
      <c r="C31489" s="15"/>
      <c r="E31489" s="8"/>
      <c r="G31489" s="8"/>
      <c r="J31489" s="8"/>
    </row>
    <row r="31490">
      <c r="C31490" s="15"/>
      <c r="E31490" s="8"/>
      <c r="G31490" s="8"/>
      <c r="J31490" s="8"/>
    </row>
    <row r="31491">
      <c r="C31491" s="15"/>
      <c r="E31491" s="8"/>
      <c r="G31491" s="8"/>
      <c r="J31491" s="8"/>
    </row>
    <row r="31492">
      <c r="C31492" s="15"/>
      <c r="E31492" s="8"/>
      <c r="G31492" s="8"/>
      <c r="J31492" s="8"/>
    </row>
    <row r="31493">
      <c r="C31493" s="15"/>
      <c r="E31493" s="8"/>
      <c r="G31493" s="8"/>
      <c r="J31493" s="8"/>
    </row>
    <row r="31494">
      <c r="C31494" s="15"/>
      <c r="E31494" s="8"/>
      <c r="G31494" s="8"/>
      <c r="J31494" s="8"/>
    </row>
    <row r="31495">
      <c r="C31495" s="15"/>
      <c r="E31495" s="8"/>
      <c r="G31495" s="8"/>
      <c r="J31495" s="8"/>
    </row>
    <row r="31496">
      <c r="C31496" s="15"/>
      <c r="E31496" s="8"/>
      <c r="G31496" s="8"/>
      <c r="J31496" s="8"/>
    </row>
    <row r="31497">
      <c r="C31497" s="15"/>
      <c r="E31497" s="8"/>
      <c r="G31497" s="8"/>
      <c r="J31497" s="8"/>
    </row>
    <row r="31498">
      <c r="C31498" s="15"/>
      <c r="E31498" s="8"/>
      <c r="G31498" s="8"/>
      <c r="J31498" s="8"/>
    </row>
    <row r="31499">
      <c r="C31499" s="15"/>
      <c r="E31499" s="8"/>
      <c r="G31499" s="8"/>
      <c r="J31499" s="8"/>
    </row>
    <row r="31500">
      <c r="C31500" s="15"/>
      <c r="E31500" s="8"/>
      <c r="G31500" s="8"/>
      <c r="J31500" s="8"/>
    </row>
    <row r="31501">
      <c r="C31501" s="15"/>
      <c r="E31501" s="8"/>
      <c r="G31501" s="8"/>
      <c r="J31501" s="8"/>
    </row>
    <row r="31502">
      <c r="C31502" s="15"/>
      <c r="E31502" s="8"/>
      <c r="G31502" s="8"/>
      <c r="J31502" s="8"/>
    </row>
    <row r="31503">
      <c r="C31503" s="15"/>
      <c r="E31503" s="8"/>
      <c r="G31503" s="8"/>
      <c r="J31503" s="8"/>
    </row>
    <row r="31504">
      <c r="C31504" s="15"/>
      <c r="E31504" s="8"/>
      <c r="G31504" s="8"/>
      <c r="J31504" s="8"/>
    </row>
    <row r="31505">
      <c r="C31505" s="15"/>
      <c r="E31505" s="8"/>
      <c r="G31505" s="8"/>
      <c r="J31505" s="8"/>
    </row>
    <row r="31506">
      <c r="C31506" s="15"/>
      <c r="E31506" s="8"/>
      <c r="G31506" s="8"/>
      <c r="J31506" s="8"/>
    </row>
    <row r="31507">
      <c r="C31507" s="15"/>
      <c r="E31507" s="8"/>
      <c r="G31507" s="8"/>
      <c r="J31507" s="8"/>
    </row>
    <row r="31508">
      <c r="C31508" s="15"/>
      <c r="E31508" s="8"/>
      <c r="G31508" s="8"/>
      <c r="J31508" s="8"/>
    </row>
    <row r="31509">
      <c r="C31509" s="15"/>
      <c r="E31509" s="8"/>
      <c r="G31509" s="8"/>
      <c r="J31509" s="8"/>
    </row>
    <row r="31510">
      <c r="C31510" s="15"/>
      <c r="E31510" s="8"/>
      <c r="G31510" s="8"/>
      <c r="J31510" s="8"/>
    </row>
    <row r="31511">
      <c r="C31511" s="15"/>
      <c r="E31511" s="8"/>
      <c r="G31511" s="8"/>
      <c r="J31511" s="8"/>
    </row>
    <row r="31512">
      <c r="C31512" s="15"/>
      <c r="E31512" s="8"/>
      <c r="G31512" s="8"/>
      <c r="J31512" s="8"/>
    </row>
    <row r="31513">
      <c r="C31513" s="15"/>
      <c r="E31513" s="8"/>
      <c r="G31513" s="8"/>
      <c r="J31513" s="8"/>
    </row>
    <row r="31514">
      <c r="C31514" s="15"/>
      <c r="E31514" s="8"/>
      <c r="G31514" s="8"/>
      <c r="J31514" s="8"/>
    </row>
    <row r="31515">
      <c r="C31515" s="15"/>
      <c r="E31515" s="8"/>
      <c r="G31515" s="8"/>
      <c r="J31515" s="8"/>
    </row>
    <row r="31516">
      <c r="C31516" s="15"/>
      <c r="E31516" s="8"/>
      <c r="G31516" s="8"/>
      <c r="J31516" s="8"/>
    </row>
    <row r="31517">
      <c r="C31517" s="15"/>
      <c r="E31517" s="8"/>
      <c r="G31517" s="8"/>
      <c r="J31517" s="8"/>
    </row>
    <row r="31518">
      <c r="C31518" s="15"/>
      <c r="E31518" s="8"/>
      <c r="G31518" s="8"/>
      <c r="J31518" s="8"/>
    </row>
    <row r="31519">
      <c r="C31519" s="15"/>
      <c r="E31519" s="8"/>
      <c r="G31519" s="8"/>
      <c r="J31519" s="8"/>
    </row>
    <row r="31520">
      <c r="C31520" s="15"/>
      <c r="E31520" s="8"/>
      <c r="G31520" s="8"/>
      <c r="J31520" s="8"/>
    </row>
    <row r="31521">
      <c r="C31521" s="15"/>
      <c r="E31521" s="8"/>
      <c r="G31521" s="8"/>
      <c r="J31521" s="8"/>
    </row>
    <row r="31522">
      <c r="C31522" s="15"/>
      <c r="E31522" s="8"/>
      <c r="G31522" s="8"/>
      <c r="J31522" s="8"/>
    </row>
    <row r="31523">
      <c r="C31523" s="15"/>
      <c r="E31523" s="8"/>
      <c r="G31523" s="8"/>
      <c r="J31523" s="8"/>
    </row>
    <row r="31524">
      <c r="C31524" s="15"/>
      <c r="E31524" s="8"/>
      <c r="G31524" s="8"/>
      <c r="J31524" s="8"/>
    </row>
    <row r="31525">
      <c r="C31525" s="15"/>
      <c r="E31525" s="8"/>
      <c r="G31525" s="8"/>
      <c r="J31525" s="8"/>
    </row>
    <row r="31526">
      <c r="C31526" s="15"/>
      <c r="E31526" s="8"/>
      <c r="G31526" s="8"/>
      <c r="J31526" s="8"/>
    </row>
    <row r="31527">
      <c r="C31527" s="15"/>
      <c r="E31527" s="8"/>
      <c r="G31527" s="8"/>
      <c r="J31527" s="8"/>
    </row>
    <row r="31528">
      <c r="C31528" s="15"/>
      <c r="E31528" s="8"/>
      <c r="G31528" s="8"/>
      <c r="J31528" s="8"/>
    </row>
    <row r="31529">
      <c r="C31529" s="15"/>
      <c r="E31529" s="8"/>
      <c r="G31529" s="8"/>
      <c r="J31529" s="8"/>
    </row>
    <row r="31530">
      <c r="C31530" s="15"/>
      <c r="E31530" s="8"/>
      <c r="G31530" s="8"/>
      <c r="J31530" s="8"/>
    </row>
    <row r="31531">
      <c r="C31531" s="15"/>
      <c r="E31531" s="8"/>
      <c r="G31531" s="8"/>
      <c r="J31531" s="8"/>
    </row>
    <row r="31532">
      <c r="C31532" s="15"/>
      <c r="E31532" s="8"/>
      <c r="G31532" s="8"/>
      <c r="J31532" s="8"/>
    </row>
    <row r="31533">
      <c r="C31533" s="15"/>
      <c r="E31533" s="8"/>
      <c r="G31533" s="8"/>
      <c r="J31533" s="8"/>
    </row>
    <row r="31534">
      <c r="C31534" s="15"/>
      <c r="E31534" s="8"/>
      <c r="G31534" s="8"/>
      <c r="J31534" s="8"/>
    </row>
    <row r="31535">
      <c r="C31535" s="15"/>
      <c r="E31535" s="8"/>
      <c r="G31535" s="8"/>
      <c r="J31535" s="8"/>
    </row>
    <row r="31536">
      <c r="C31536" s="15"/>
      <c r="E31536" s="8"/>
      <c r="G31536" s="8"/>
      <c r="J31536" s="8"/>
    </row>
    <row r="31537">
      <c r="C31537" s="15"/>
      <c r="E31537" s="8"/>
      <c r="G31537" s="8"/>
      <c r="J31537" s="8"/>
    </row>
    <row r="31538">
      <c r="C31538" s="15"/>
      <c r="E31538" s="8"/>
      <c r="G31538" s="8"/>
      <c r="J31538" s="8"/>
    </row>
    <row r="31539">
      <c r="C31539" s="15"/>
      <c r="E31539" s="8"/>
      <c r="G31539" s="8"/>
      <c r="J31539" s="8"/>
    </row>
    <row r="31540">
      <c r="C31540" s="15"/>
      <c r="E31540" s="8"/>
      <c r="G31540" s="8"/>
      <c r="J31540" s="8"/>
    </row>
    <row r="31541">
      <c r="C31541" s="15"/>
      <c r="E31541" s="8"/>
      <c r="G31541" s="8"/>
      <c r="J31541" s="8"/>
    </row>
    <row r="31542">
      <c r="C31542" s="15"/>
      <c r="E31542" s="8"/>
      <c r="G31542" s="8"/>
      <c r="J31542" s="8"/>
    </row>
    <row r="31543">
      <c r="C31543" s="15"/>
      <c r="E31543" s="8"/>
      <c r="G31543" s="8"/>
      <c r="J31543" s="8"/>
    </row>
    <row r="31544">
      <c r="C31544" s="15"/>
      <c r="E31544" s="8"/>
      <c r="G31544" s="8"/>
      <c r="J31544" s="8"/>
    </row>
    <row r="31545">
      <c r="C31545" s="15"/>
      <c r="E31545" s="8"/>
      <c r="G31545" s="8"/>
      <c r="J31545" s="8"/>
    </row>
    <row r="31546">
      <c r="C31546" s="15"/>
      <c r="E31546" s="8"/>
      <c r="G31546" s="8"/>
      <c r="J31546" s="8"/>
    </row>
    <row r="31547">
      <c r="C31547" s="15"/>
      <c r="E31547" s="8"/>
      <c r="G31547" s="8"/>
      <c r="J31547" s="8"/>
    </row>
    <row r="31548">
      <c r="C31548" s="15"/>
      <c r="E31548" s="8"/>
      <c r="G31548" s="8"/>
      <c r="J31548" s="8"/>
    </row>
    <row r="31549">
      <c r="C31549" s="15"/>
      <c r="E31549" s="8"/>
      <c r="G31549" s="8"/>
      <c r="J31549" s="8"/>
    </row>
    <row r="31550">
      <c r="C31550" s="15"/>
      <c r="E31550" s="8"/>
      <c r="G31550" s="8"/>
      <c r="J31550" s="8"/>
    </row>
    <row r="31551">
      <c r="C31551" s="15"/>
      <c r="E31551" s="8"/>
      <c r="G31551" s="8"/>
      <c r="J31551" s="8"/>
    </row>
    <row r="31552">
      <c r="C31552" s="15"/>
      <c r="E31552" s="8"/>
      <c r="G31552" s="8"/>
      <c r="J31552" s="8"/>
    </row>
    <row r="31553">
      <c r="C31553" s="15"/>
      <c r="E31553" s="8"/>
      <c r="G31553" s="8"/>
      <c r="J31553" s="8"/>
    </row>
    <row r="31554">
      <c r="C31554" s="15"/>
      <c r="E31554" s="8"/>
      <c r="G31554" s="8"/>
      <c r="J31554" s="8"/>
    </row>
    <row r="31555">
      <c r="C31555" s="15"/>
      <c r="E31555" s="8"/>
      <c r="G31555" s="8"/>
      <c r="J31555" s="8"/>
    </row>
    <row r="31556">
      <c r="C31556" s="15"/>
      <c r="E31556" s="8"/>
      <c r="G31556" s="8"/>
      <c r="J31556" s="8"/>
    </row>
    <row r="31557">
      <c r="C31557" s="15"/>
      <c r="E31557" s="8"/>
      <c r="G31557" s="8"/>
      <c r="J31557" s="8"/>
    </row>
    <row r="31558">
      <c r="C31558" s="15"/>
      <c r="E31558" s="8"/>
      <c r="G31558" s="8"/>
      <c r="J31558" s="8"/>
    </row>
    <row r="31559">
      <c r="C31559" s="15"/>
      <c r="E31559" s="8"/>
      <c r="G31559" s="8"/>
      <c r="J31559" s="8"/>
    </row>
    <row r="31560">
      <c r="C31560" s="15"/>
      <c r="E31560" s="8"/>
      <c r="G31560" s="8"/>
      <c r="J31560" s="8"/>
    </row>
    <row r="31561">
      <c r="C31561" s="15"/>
      <c r="E31561" s="8"/>
      <c r="G31561" s="8"/>
      <c r="J31561" s="8"/>
    </row>
    <row r="31562">
      <c r="C31562" s="15"/>
      <c r="E31562" s="8"/>
      <c r="G31562" s="8"/>
      <c r="J31562" s="8"/>
    </row>
    <row r="31563">
      <c r="C31563" s="15"/>
      <c r="E31563" s="8"/>
      <c r="G31563" s="8"/>
      <c r="J31563" s="8"/>
    </row>
    <row r="31564">
      <c r="C31564" s="15"/>
      <c r="E31564" s="8"/>
      <c r="G31564" s="8"/>
      <c r="J31564" s="8"/>
    </row>
    <row r="31565">
      <c r="C31565" s="15"/>
      <c r="E31565" s="8"/>
      <c r="G31565" s="8"/>
      <c r="J31565" s="8"/>
    </row>
    <row r="31566">
      <c r="C31566" s="15"/>
      <c r="E31566" s="8"/>
      <c r="G31566" s="8"/>
      <c r="J31566" s="8"/>
    </row>
    <row r="31567">
      <c r="C31567" s="15"/>
      <c r="E31567" s="8"/>
      <c r="G31567" s="8"/>
      <c r="J31567" s="8"/>
    </row>
    <row r="31568">
      <c r="C31568" s="15"/>
      <c r="E31568" s="8"/>
      <c r="G31568" s="8"/>
      <c r="J31568" s="8"/>
    </row>
    <row r="31569">
      <c r="C31569" s="15"/>
      <c r="E31569" s="8"/>
      <c r="G31569" s="8"/>
      <c r="J31569" s="8"/>
    </row>
    <row r="31570">
      <c r="C31570" s="15"/>
      <c r="E31570" s="8"/>
      <c r="G31570" s="8"/>
      <c r="J31570" s="8"/>
    </row>
    <row r="31571">
      <c r="C31571" s="15"/>
      <c r="E31571" s="8"/>
      <c r="G31571" s="8"/>
      <c r="J31571" s="8"/>
    </row>
    <row r="31572">
      <c r="C31572" s="15"/>
      <c r="E31572" s="8"/>
      <c r="G31572" s="8"/>
      <c r="J31572" s="8"/>
    </row>
    <row r="31573">
      <c r="C31573" s="15"/>
      <c r="E31573" s="8"/>
      <c r="G31573" s="8"/>
      <c r="J31573" s="8"/>
    </row>
    <row r="31574">
      <c r="C31574" s="15"/>
      <c r="E31574" s="8"/>
      <c r="G31574" s="8"/>
      <c r="J31574" s="8"/>
    </row>
    <row r="31575">
      <c r="C31575" s="15"/>
      <c r="E31575" s="8"/>
      <c r="G31575" s="8"/>
      <c r="J31575" s="8"/>
    </row>
    <row r="31576">
      <c r="C31576" s="15"/>
      <c r="E31576" s="8"/>
      <c r="G31576" s="8"/>
      <c r="J31576" s="8"/>
    </row>
    <row r="31577">
      <c r="C31577" s="15"/>
      <c r="E31577" s="8"/>
      <c r="G31577" s="8"/>
      <c r="J31577" s="8"/>
    </row>
    <row r="31578">
      <c r="C31578" s="15"/>
      <c r="E31578" s="8"/>
      <c r="G31578" s="8"/>
      <c r="J31578" s="8"/>
    </row>
    <row r="31579">
      <c r="C31579" s="15"/>
      <c r="E31579" s="8"/>
      <c r="G31579" s="8"/>
      <c r="J31579" s="8"/>
    </row>
    <row r="31580">
      <c r="C31580" s="15"/>
      <c r="E31580" s="8"/>
      <c r="G31580" s="8"/>
      <c r="J31580" s="8"/>
    </row>
    <row r="31581">
      <c r="C31581" s="15"/>
      <c r="E31581" s="8"/>
      <c r="G31581" s="8"/>
      <c r="J31581" s="8"/>
    </row>
    <row r="31582">
      <c r="C31582" s="15"/>
      <c r="E31582" s="8"/>
      <c r="G31582" s="8"/>
      <c r="J31582" s="8"/>
    </row>
    <row r="31583">
      <c r="C31583" s="15"/>
      <c r="E31583" s="8"/>
      <c r="G31583" s="8"/>
      <c r="J31583" s="8"/>
    </row>
    <row r="31584">
      <c r="C31584" s="15"/>
      <c r="E31584" s="8"/>
      <c r="G31584" s="8"/>
      <c r="J31584" s="8"/>
    </row>
    <row r="31585">
      <c r="C31585" s="15"/>
      <c r="E31585" s="8"/>
      <c r="G31585" s="8"/>
      <c r="J31585" s="8"/>
    </row>
    <row r="31586">
      <c r="C31586" s="15"/>
      <c r="E31586" s="8"/>
      <c r="G31586" s="8"/>
      <c r="J31586" s="8"/>
    </row>
    <row r="31587">
      <c r="C31587" s="15"/>
      <c r="E31587" s="8"/>
      <c r="G31587" s="8"/>
      <c r="J31587" s="8"/>
    </row>
    <row r="31588">
      <c r="C31588" s="15"/>
      <c r="E31588" s="8"/>
      <c r="G31588" s="8"/>
      <c r="J31588" s="8"/>
    </row>
    <row r="31589">
      <c r="C31589" s="15"/>
      <c r="E31589" s="8"/>
      <c r="G31589" s="8"/>
      <c r="J31589" s="8"/>
    </row>
    <row r="31590">
      <c r="C31590" s="15"/>
      <c r="E31590" s="8"/>
      <c r="G31590" s="8"/>
      <c r="J31590" s="8"/>
    </row>
    <row r="31591">
      <c r="C31591" s="15"/>
      <c r="E31591" s="8"/>
      <c r="G31591" s="8"/>
      <c r="J31591" s="8"/>
    </row>
    <row r="31592">
      <c r="C31592" s="15"/>
      <c r="E31592" s="8"/>
      <c r="G31592" s="8"/>
      <c r="J31592" s="8"/>
    </row>
    <row r="31593">
      <c r="C31593" s="15"/>
      <c r="E31593" s="8"/>
      <c r="G31593" s="8"/>
      <c r="J31593" s="8"/>
    </row>
    <row r="31594">
      <c r="C31594" s="15"/>
      <c r="E31594" s="8"/>
      <c r="G31594" s="8"/>
      <c r="J31594" s="8"/>
    </row>
    <row r="31595">
      <c r="C31595" s="15"/>
      <c r="E31595" s="8"/>
      <c r="G31595" s="8"/>
      <c r="J31595" s="8"/>
    </row>
    <row r="31596">
      <c r="C31596" s="15"/>
      <c r="E31596" s="8"/>
      <c r="G31596" s="8"/>
      <c r="J31596" s="8"/>
    </row>
    <row r="31597">
      <c r="C31597" s="15"/>
      <c r="E31597" s="8"/>
      <c r="G31597" s="8"/>
      <c r="J31597" s="8"/>
    </row>
    <row r="31598">
      <c r="C31598" s="15"/>
      <c r="E31598" s="8"/>
      <c r="G31598" s="8"/>
      <c r="J31598" s="8"/>
    </row>
    <row r="31599">
      <c r="C31599" s="15"/>
      <c r="E31599" s="8"/>
      <c r="G31599" s="8"/>
      <c r="J31599" s="8"/>
    </row>
    <row r="31600">
      <c r="C31600" s="15"/>
      <c r="E31600" s="8"/>
      <c r="G31600" s="8"/>
      <c r="J31600" s="8"/>
    </row>
    <row r="31601">
      <c r="C31601" s="15"/>
      <c r="E31601" s="8"/>
      <c r="G31601" s="8"/>
      <c r="J31601" s="8"/>
    </row>
    <row r="31602">
      <c r="C31602" s="15"/>
      <c r="E31602" s="8"/>
      <c r="G31602" s="8"/>
      <c r="J31602" s="8"/>
    </row>
    <row r="31603">
      <c r="C31603" s="15"/>
      <c r="E31603" s="8"/>
      <c r="G31603" s="8"/>
      <c r="J31603" s="8"/>
    </row>
    <row r="31604">
      <c r="C31604" s="15"/>
      <c r="E31604" s="8"/>
      <c r="G31604" s="8"/>
      <c r="J31604" s="8"/>
    </row>
    <row r="31605">
      <c r="C31605" s="15"/>
      <c r="E31605" s="8"/>
      <c r="G31605" s="8"/>
      <c r="J31605" s="8"/>
    </row>
    <row r="31606">
      <c r="C31606" s="15"/>
      <c r="E31606" s="8"/>
      <c r="G31606" s="8"/>
      <c r="J31606" s="8"/>
    </row>
    <row r="31607">
      <c r="C31607" s="15"/>
      <c r="E31607" s="8"/>
      <c r="G31607" s="8"/>
      <c r="J31607" s="8"/>
    </row>
    <row r="31608">
      <c r="C31608" s="15"/>
      <c r="E31608" s="8"/>
      <c r="G31608" s="8"/>
      <c r="J31608" s="8"/>
    </row>
    <row r="31609">
      <c r="C31609" s="15"/>
      <c r="E31609" s="8"/>
      <c r="G31609" s="8"/>
      <c r="J31609" s="8"/>
    </row>
    <row r="31610">
      <c r="C31610" s="15"/>
      <c r="E31610" s="8"/>
      <c r="G31610" s="8"/>
      <c r="J31610" s="8"/>
    </row>
    <row r="31611">
      <c r="C31611" s="15"/>
      <c r="E31611" s="8"/>
      <c r="G31611" s="8"/>
      <c r="J31611" s="8"/>
    </row>
    <row r="31612">
      <c r="C31612" s="15"/>
      <c r="E31612" s="8"/>
      <c r="G31612" s="8"/>
      <c r="J31612" s="8"/>
    </row>
    <row r="31613">
      <c r="C31613" s="15"/>
      <c r="E31613" s="8"/>
      <c r="G31613" s="8"/>
      <c r="J31613" s="8"/>
    </row>
    <row r="31614">
      <c r="C31614" s="15"/>
      <c r="E31614" s="8"/>
      <c r="G31614" s="8"/>
      <c r="J31614" s="8"/>
    </row>
    <row r="31615">
      <c r="C31615" s="15"/>
      <c r="E31615" s="8"/>
      <c r="G31615" s="8"/>
      <c r="J31615" s="8"/>
    </row>
    <row r="31616">
      <c r="C31616" s="15"/>
      <c r="E31616" s="8"/>
      <c r="G31616" s="8"/>
      <c r="J31616" s="8"/>
    </row>
    <row r="31617">
      <c r="C31617" s="15"/>
      <c r="E31617" s="8"/>
      <c r="G31617" s="8"/>
      <c r="J31617" s="8"/>
    </row>
    <row r="31618">
      <c r="C31618" s="15"/>
      <c r="E31618" s="8"/>
      <c r="G31618" s="8"/>
      <c r="J31618" s="8"/>
    </row>
    <row r="31619">
      <c r="C31619" s="15"/>
      <c r="E31619" s="8"/>
      <c r="G31619" s="8"/>
      <c r="J31619" s="8"/>
    </row>
    <row r="31620">
      <c r="C31620" s="15"/>
      <c r="E31620" s="8"/>
      <c r="G31620" s="8"/>
      <c r="J31620" s="8"/>
    </row>
    <row r="31621">
      <c r="C31621" s="15"/>
      <c r="E31621" s="8"/>
      <c r="G31621" s="8"/>
      <c r="J31621" s="8"/>
    </row>
    <row r="31622">
      <c r="C31622" s="15"/>
      <c r="E31622" s="8"/>
      <c r="G31622" s="8"/>
      <c r="J31622" s="8"/>
    </row>
    <row r="31623">
      <c r="C31623" s="15"/>
      <c r="E31623" s="8"/>
      <c r="G31623" s="8"/>
      <c r="J31623" s="8"/>
    </row>
    <row r="31624">
      <c r="C31624" s="15"/>
      <c r="E31624" s="8"/>
      <c r="G31624" s="8"/>
      <c r="J31624" s="8"/>
    </row>
    <row r="31625">
      <c r="C31625" s="15"/>
      <c r="E31625" s="8"/>
      <c r="G31625" s="8"/>
      <c r="J31625" s="8"/>
    </row>
    <row r="31626">
      <c r="C31626" s="15"/>
      <c r="E31626" s="8"/>
      <c r="G31626" s="8"/>
      <c r="J31626" s="8"/>
    </row>
    <row r="31627">
      <c r="C31627" s="15"/>
      <c r="E31627" s="8"/>
      <c r="G31627" s="8"/>
      <c r="J31627" s="8"/>
    </row>
    <row r="31628">
      <c r="C31628" s="15"/>
      <c r="E31628" s="8"/>
      <c r="G31628" s="8"/>
      <c r="J31628" s="8"/>
    </row>
    <row r="31629">
      <c r="C31629" s="15"/>
      <c r="E31629" s="8"/>
      <c r="G31629" s="8"/>
      <c r="J31629" s="8"/>
    </row>
    <row r="31630">
      <c r="C31630" s="15"/>
      <c r="E31630" s="8"/>
      <c r="G31630" s="8"/>
      <c r="J31630" s="8"/>
    </row>
    <row r="31631">
      <c r="C31631" s="15"/>
      <c r="E31631" s="8"/>
      <c r="G31631" s="8"/>
      <c r="J31631" s="8"/>
    </row>
    <row r="31632">
      <c r="C31632" s="15"/>
      <c r="E31632" s="8"/>
      <c r="G31632" s="8"/>
      <c r="J31632" s="8"/>
    </row>
    <row r="31633">
      <c r="C31633" s="15"/>
      <c r="E31633" s="8"/>
      <c r="G31633" s="8"/>
      <c r="J31633" s="8"/>
    </row>
    <row r="31634">
      <c r="C31634" s="15"/>
      <c r="E31634" s="8"/>
      <c r="G31634" s="8"/>
      <c r="J31634" s="8"/>
    </row>
    <row r="31635">
      <c r="C31635" s="15"/>
      <c r="E31635" s="8"/>
      <c r="G31635" s="8"/>
      <c r="J31635" s="8"/>
    </row>
    <row r="31636">
      <c r="C31636" s="15"/>
      <c r="E31636" s="8"/>
      <c r="G31636" s="8"/>
      <c r="J31636" s="8"/>
    </row>
    <row r="31637">
      <c r="C31637" s="15"/>
      <c r="E31637" s="8"/>
      <c r="G31637" s="8"/>
      <c r="J31637" s="8"/>
    </row>
    <row r="31638">
      <c r="C31638" s="15"/>
      <c r="E31638" s="8"/>
      <c r="G31638" s="8"/>
      <c r="J31638" s="8"/>
    </row>
    <row r="31639">
      <c r="C31639" s="15"/>
      <c r="E31639" s="8"/>
      <c r="G31639" s="8"/>
      <c r="J31639" s="8"/>
    </row>
    <row r="31640">
      <c r="C31640" s="15"/>
      <c r="E31640" s="8"/>
      <c r="G31640" s="8"/>
      <c r="J31640" s="8"/>
    </row>
    <row r="31641">
      <c r="C31641" s="15"/>
      <c r="E31641" s="8"/>
      <c r="G31641" s="8"/>
      <c r="J31641" s="8"/>
    </row>
    <row r="31642">
      <c r="C31642" s="15"/>
      <c r="E31642" s="8"/>
      <c r="G31642" s="8"/>
      <c r="J31642" s="8"/>
    </row>
    <row r="31643">
      <c r="C31643" s="15"/>
      <c r="E31643" s="8"/>
      <c r="G31643" s="8"/>
      <c r="J31643" s="8"/>
    </row>
    <row r="31644">
      <c r="C31644" s="15"/>
      <c r="E31644" s="8"/>
      <c r="G31644" s="8"/>
      <c r="J31644" s="8"/>
    </row>
    <row r="31645">
      <c r="C31645" s="15"/>
      <c r="E31645" s="8"/>
      <c r="G31645" s="8"/>
      <c r="J31645" s="8"/>
    </row>
    <row r="31646">
      <c r="C31646" s="15"/>
      <c r="E31646" s="8"/>
      <c r="G31646" s="8"/>
      <c r="J31646" s="8"/>
    </row>
    <row r="31647">
      <c r="C31647" s="15"/>
      <c r="E31647" s="8"/>
      <c r="G31647" s="8"/>
      <c r="J31647" s="8"/>
    </row>
    <row r="31648">
      <c r="C31648" s="15"/>
      <c r="E31648" s="8"/>
      <c r="G31648" s="8"/>
      <c r="J31648" s="8"/>
    </row>
    <row r="31649">
      <c r="C31649" s="15"/>
      <c r="E31649" s="8"/>
      <c r="G31649" s="8"/>
      <c r="J31649" s="8"/>
    </row>
    <row r="31650">
      <c r="C31650" s="15"/>
      <c r="E31650" s="8"/>
      <c r="G31650" s="8"/>
      <c r="J31650" s="8"/>
    </row>
    <row r="31651">
      <c r="C31651" s="15"/>
      <c r="E31651" s="8"/>
      <c r="G31651" s="8"/>
      <c r="J31651" s="8"/>
    </row>
    <row r="31652">
      <c r="C31652" s="15"/>
      <c r="E31652" s="8"/>
      <c r="G31652" s="8"/>
      <c r="J31652" s="8"/>
    </row>
    <row r="31653">
      <c r="C31653" s="15"/>
      <c r="E31653" s="8"/>
      <c r="G31653" s="8"/>
      <c r="J31653" s="8"/>
    </row>
    <row r="31654">
      <c r="C31654" s="15"/>
      <c r="E31654" s="8"/>
      <c r="G31654" s="8"/>
      <c r="J31654" s="8"/>
    </row>
    <row r="31655">
      <c r="C31655" s="15"/>
      <c r="E31655" s="8"/>
      <c r="G31655" s="8"/>
      <c r="J31655" s="8"/>
    </row>
    <row r="31656">
      <c r="C31656" s="15"/>
      <c r="E31656" s="8"/>
      <c r="G31656" s="8"/>
      <c r="J31656" s="8"/>
    </row>
    <row r="31657">
      <c r="C31657" s="15"/>
      <c r="E31657" s="8"/>
      <c r="G31657" s="8"/>
      <c r="J31657" s="8"/>
    </row>
    <row r="31658">
      <c r="C31658" s="15"/>
      <c r="E31658" s="8"/>
      <c r="G31658" s="8"/>
      <c r="J31658" s="8"/>
    </row>
    <row r="31659">
      <c r="C31659" s="15"/>
      <c r="E31659" s="8"/>
      <c r="G31659" s="8"/>
      <c r="J31659" s="8"/>
    </row>
    <row r="31660">
      <c r="C31660" s="15"/>
      <c r="E31660" s="8"/>
      <c r="G31660" s="8"/>
      <c r="J31660" s="8"/>
    </row>
    <row r="31661">
      <c r="C31661" s="15"/>
      <c r="E31661" s="8"/>
      <c r="G31661" s="8"/>
      <c r="J31661" s="8"/>
    </row>
    <row r="31662">
      <c r="C31662" s="15"/>
      <c r="E31662" s="8"/>
      <c r="G31662" s="8"/>
      <c r="J31662" s="8"/>
    </row>
    <row r="31663">
      <c r="C31663" s="15"/>
      <c r="E31663" s="8"/>
      <c r="G31663" s="8"/>
      <c r="J31663" s="8"/>
    </row>
    <row r="31664">
      <c r="C31664" s="15"/>
      <c r="E31664" s="8"/>
      <c r="G31664" s="8"/>
      <c r="J31664" s="8"/>
    </row>
    <row r="31665">
      <c r="C31665" s="15"/>
      <c r="E31665" s="8"/>
      <c r="G31665" s="8"/>
      <c r="J31665" s="8"/>
    </row>
    <row r="31666">
      <c r="C31666" s="15"/>
      <c r="E31666" s="8"/>
      <c r="G31666" s="8"/>
      <c r="J31666" s="8"/>
    </row>
    <row r="31667">
      <c r="C31667" s="15"/>
      <c r="E31667" s="8"/>
      <c r="G31667" s="8"/>
      <c r="J31667" s="8"/>
    </row>
    <row r="31668">
      <c r="C31668" s="15"/>
      <c r="E31668" s="8"/>
      <c r="G31668" s="8"/>
      <c r="J31668" s="8"/>
    </row>
    <row r="31669">
      <c r="C31669" s="15"/>
      <c r="E31669" s="8"/>
      <c r="G31669" s="8"/>
      <c r="J31669" s="8"/>
    </row>
    <row r="31670">
      <c r="C31670" s="15"/>
      <c r="E31670" s="8"/>
      <c r="G31670" s="8"/>
      <c r="J31670" s="8"/>
    </row>
    <row r="31671">
      <c r="C31671" s="15"/>
      <c r="E31671" s="8"/>
      <c r="G31671" s="8"/>
      <c r="J31671" s="8"/>
    </row>
    <row r="31672">
      <c r="C31672" s="15"/>
      <c r="E31672" s="8"/>
      <c r="G31672" s="8"/>
      <c r="J31672" s="8"/>
    </row>
    <row r="31673">
      <c r="C31673" s="15"/>
      <c r="E31673" s="8"/>
      <c r="G31673" s="8"/>
      <c r="J31673" s="8"/>
    </row>
    <row r="31674">
      <c r="C31674" s="15"/>
      <c r="E31674" s="8"/>
      <c r="G31674" s="8"/>
      <c r="J31674" s="8"/>
    </row>
    <row r="31675">
      <c r="C31675" s="15"/>
      <c r="E31675" s="8"/>
      <c r="G31675" s="8"/>
      <c r="J31675" s="8"/>
    </row>
    <row r="31676">
      <c r="C31676" s="15"/>
      <c r="E31676" s="8"/>
      <c r="G31676" s="8"/>
      <c r="J31676" s="8"/>
    </row>
    <row r="31677">
      <c r="C31677" s="15"/>
      <c r="E31677" s="8"/>
      <c r="G31677" s="8"/>
      <c r="J31677" s="8"/>
    </row>
    <row r="31678">
      <c r="C31678" s="15"/>
      <c r="E31678" s="8"/>
      <c r="G31678" s="8"/>
      <c r="J31678" s="8"/>
    </row>
    <row r="31679">
      <c r="C31679" s="15"/>
      <c r="E31679" s="8"/>
      <c r="G31679" s="8"/>
      <c r="J31679" s="8"/>
    </row>
    <row r="31680">
      <c r="C31680" s="15"/>
      <c r="E31680" s="8"/>
      <c r="G31680" s="8"/>
      <c r="J31680" s="8"/>
    </row>
    <row r="31681">
      <c r="C31681" s="15"/>
      <c r="E31681" s="8"/>
      <c r="G31681" s="8"/>
      <c r="J31681" s="8"/>
    </row>
    <row r="31682">
      <c r="C31682" s="15"/>
      <c r="E31682" s="8"/>
      <c r="G31682" s="8"/>
      <c r="J31682" s="8"/>
    </row>
    <row r="31683">
      <c r="C31683" s="15"/>
      <c r="E31683" s="8"/>
      <c r="G31683" s="8"/>
      <c r="J31683" s="8"/>
    </row>
    <row r="31684">
      <c r="C31684" s="15"/>
      <c r="E31684" s="8"/>
      <c r="G31684" s="8"/>
      <c r="J31684" s="8"/>
    </row>
    <row r="31685">
      <c r="C31685" s="15"/>
      <c r="E31685" s="8"/>
      <c r="G31685" s="8"/>
      <c r="J31685" s="8"/>
    </row>
    <row r="31686">
      <c r="C31686" s="15"/>
      <c r="E31686" s="8"/>
      <c r="G31686" s="8"/>
      <c r="J31686" s="8"/>
    </row>
    <row r="31687">
      <c r="C31687" s="15"/>
      <c r="E31687" s="8"/>
      <c r="G31687" s="8"/>
      <c r="J31687" s="8"/>
    </row>
    <row r="31688">
      <c r="C31688" s="15"/>
      <c r="E31688" s="8"/>
      <c r="G31688" s="8"/>
      <c r="J31688" s="8"/>
    </row>
    <row r="31689">
      <c r="C31689" s="15"/>
      <c r="E31689" s="8"/>
      <c r="G31689" s="8"/>
      <c r="J31689" s="8"/>
    </row>
    <row r="31690">
      <c r="C31690" s="15"/>
      <c r="E31690" s="8"/>
      <c r="G31690" s="8"/>
      <c r="J31690" s="8"/>
    </row>
    <row r="31691">
      <c r="C31691" s="15"/>
      <c r="E31691" s="8"/>
      <c r="G31691" s="8"/>
      <c r="J31691" s="8"/>
    </row>
    <row r="31692">
      <c r="C31692" s="15"/>
      <c r="E31692" s="8"/>
      <c r="G31692" s="8"/>
      <c r="J31692" s="8"/>
    </row>
    <row r="31693">
      <c r="C31693" s="15"/>
      <c r="E31693" s="8"/>
      <c r="G31693" s="8"/>
      <c r="J31693" s="8"/>
    </row>
    <row r="31694">
      <c r="C31694" s="15"/>
      <c r="E31694" s="8"/>
      <c r="G31694" s="8"/>
      <c r="J31694" s="8"/>
    </row>
    <row r="31695">
      <c r="C31695" s="15"/>
      <c r="E31695" s="8"/>
      <c r="G31695" s="8"/>
      <c r="J31695" s="8"/>
    </row>
    <row r="31696">
      <c r="C31696" s="15"/>
      <c r="E31696" s="8"/>
      <c r="G31696" s="8"/>
      <c r="J31696" s="8"/>
    </row>
    <row r="31697">
      <c r="C31697" s="15"/>
      <c r="E31697" s="8"/>
      <c r="G31697" s="8"/>
      <c r="J31697" s="8"/>
    </row>
    <row r="31698">
      <c r="C31698" s="15"/>
      <c r="E31698" s="8"/>
      <c r="G31698" s="8"/>
      <c r="J31698" s="8"/>
    </row>
    <row r="31699">
      <c r="C31699" s="15"/>
      <c r="E31699" s="8"/>
      <c r="G31699" s="8"/>
      <c r="J31699" s="8"/>
    </row>
    <row r="31700">
      <c r="C31700" s="15"/>
      <c r="E31700" s="8"/>
      <c r="G31700" s="8"/>
      <c r="J31700" s="8"/>
    </row>
    <row r="31701">
      <c r="C31701" s="15"/>
      <c r="E31701" s="8"/>
      <c r="G31701" s="8"/>
      <c r="J31701" s="8"/>
    </row>
    <row r="31702">
      <c r="C31702" s="15"/>
      <c r="E31702" s="8"/>
      <c r="G31702" s="8"/>
      <c r="J31702" s="8"/>
    </row>
    <row r="31703">
      <c r="C31703" s="15"/>
      <c r="E31703" s="8"/>
      <c r="G31703" s="8"/>
      <c r="J31703" s="8"/>
    </row>
    <row r="31704">
      <c r="C31704" s="15"/>
      <c r="E31704" s="8"/>
      <c r="G31704" s="8"/>
      <c r="J31704" s="8"/>
    </row>
    <row r="31705">
      <c r="C31705" s="15"/>
      <c r="E31705" s="8"/>
      <c r="G31705" s="8"/>
      <c r="J31705" s="8"/>
    </row>
    <row r="31706">
      <c r="C31706" s="15"/>
      <c r="E31706" s="8"/>
      <c r="G31706" s="8"/>
      <c r="J31706" s="8"/>
    </row>
    <row r="31707">
      <c r="C31707" s="15"/>
      <c r="E31707" s="8"/>
      <c r="G31707" s="8"/>
      <c r="J31707" s="8"/>
    </row>
    <row r="31708">
      <c r="C31708" s="15"/>
      <c r="E31708" s="8"/>
      <c r="G31708" s="8"/>
      <c r="J31708" s="8"/>
    </row>
    <row r="31709">
      <c r="C31709" s="15"/>
      <c r="E31709" s="8"/>
      <c r="G31709" s="8"/>
      <c r="J31709" s="8"/>
    </row>
    <row r="31710">
      <c r="C31710" s="15"/>
      <c r="E31710" s="8"/>
      <c r="G31710" s="8"/>
      <c r="J31710" s="8"/>
    </row>
    <row r="31711">
      <c r="C31711" s="15"/>
      <c r="E31711" s="8"/>
      <c r="G31711" s="8"/>
      <c r="J31711" s="8"/>
    </row>
    <row r="31712">
      <c r="C31712" s="15"/>
      <c r="E31712" s="8"/>
      <c r="G31712" s="8"/>
      <c r="J31712" s="8"/>
    </row>
    <row r="31713">
      <c r="C31713" s="15"/>
      <c r="E31713" s="8"/>
      <c r="G31713" s="8"/>
      <c r="J31713" s="8"/>
    </row>
    <row r="31714">
      <c r="C31714" s="15"/>
      <c r="E31714" s="8"/>
      <c r="G31714" s="8"/>
      <c r="J31714" s="8"/>
    </row>
    <row r="31715">
      <c r="C31715" s="15"/>
      <c r="E31715" s="8"/>
      <c r="G31715" s="8"/>
      <c r="J31715" s="8"/>
    </row>
    <row r="31716">
      <c r="C31716" s="15"/>
      <c r="E31716" s="8"/>
      <c r="G31716" s="8"/>
      <c r="J31716" s="8"/>
    </row>
    <row r="31717">
      <c r="C31717" s="15"/>
      <c r="E31717" s="8"/>
      <c r="G31717" s="8"/>
      <c r="J31717" s="8"/>
    </row>
    <row r="31718">
      <c r="C31718" s="15"/>
      <c r="E31718" s="8"/>
      <c r="G31718" s="8"/>
      <c r="J31718" s="8"/>
    </row>
    <row r="31719">
      <c r="C31719" s="15"/>
      <c r="E31719" s="8"/>
      <c r="G31719" s="8"/>
      <c r="J31719" s="8"/>
    </row>
    <row r="31720">
      <c r="C31720" s="15"/>
      <c r="E31720" s="8"/>
      <c r="G31720" s="8"/>
      <c r="J31720" s="8"/>
    </row>
    <row r="31721">
      <c r="C31721" s="15"/>
      <c r="E31721" s="8"/>
      <c r="G31721" s="8"/>
      <c r="J31721" s="8"/>
    </row>
    <row r="31722">
      <c r="C31722" s="15"/>
      <c r="E31722" s="8"/>
      <c r="G31722" s="8"/>
      <c r="J31722" s="8"/>
    </row>
    <row r="31723">
      <c r="C31723" s="15"/>
      <c r="E31723" s="8"/>
      <c r="G31723" s="8"/>
      <c r="J31723" s="8"/>
    </row>
    <row r="31724">
      <c r="C31724" s="15"/>
      <c r="E31724" s="8"/>
      <c r="G31724" s="8"/>
      <c r="J31724" s="8"/>
    </row>
    <row r="31725">
      <c r="C31725" s="15"/>
      <c r="E31725" s="8"/>
      <c r="G31725" s="8"/>
      <c r="J31725" s="8"/>
    </row>
    <row r="31726">
      <c r="C31726" s="15"/>
      <c r="E31726" s="8"/>
      <c r="G31726" s="8"/>
      <c r="J31726" s="8"/>
    </row>
    <row r="31727">
      <c r="C31727" s="15"/>
      <c r="E31727" s="8"/>
      <c r="G31727" s="8"/>
      <c r="J31727" s="8"/>
    </row>
    <row r="31728">
      <c r="C31728" s="15"/>
      <c r="E31728" s="8"/>
      <c r="G31728" s="8"/>
      <c r="J31728" s="8"/>
    </row>
    <row r="31729">
      <c r="C31729" s="15"/>
      <c r="E31729" s="8"/>
      <c r="G31729" s="8"/>
      <c r="J31729" s="8"/>
    </row>
    <row r="31730">
      <c r="C31730" s="15"/>
      <c r="E31730" s="8"/>
      <c r="G31730" s="8"/>
      <c r="J31730" s="8"/>
    </row>
    <row r="31731">
      <c r="C31731" s="15"/>
      <c r="E31731" s="8"/>
      <c r="G31731" s="8"/>
      <c r="J31731" s="8"/>
    </row>
    <row r="31732">
      <c r="C31732" s="15"/>
      <c r="E31732" s="8"/>
      <c r="G31732" s="8"/>
      <c r="J31732" s="8"/>
    </row>
    <row r="31733">
      <c r="C31733" s="15"/>
      <c r="E31733" s="8"/>
      <c r="G31733" s="8"/>
      <c r="J31733" s="8"/>
    </row>
    <row r="31734">
      <c r="C31734" s="15"/>
      <c r="E31734" s="8"/>
      <c r="G31734" s="8"/>
      <c r="J31734" s="8"/>
    </row>
    <row r="31735">
      <c r="C31735" s="15"/>
      <c r="E31735" s="8"/>
      <c r="G31735" s="8"/>
      <c r="J31735" s="8"/>
    </row>
    <row r="31736">
      <c r="C31736" s="15"/>
      <c r="E31736" s="8"/>
      <c r="G31736" s="8"/>
      <c r="J31736" s="8"/>
    </row>
    <row r="31737">
      <c r="C31737" s="15"/>
      <c r="E31737" s="8"/>
      <c r="G31737" s="8"/>
      <c r="J31737" s="8"/>
    </row>
    <row r="31738">
      <c r="C31738" s="15"/>
      <c r="E31738" s="8"/>
      <c r="G31738" s="8"/>
      <c r="J31738" s="8"/>
    </row>
    <row r="31739">
      <c r="C31739" s="15"/>
      <c r="E31739" s="8"/>
      <c r="G31739" s="8"/>
      <c r="J31739" s="8"/>
    </row>
    <row r="31740">
      <c r="C31740" s="15"/>
      <c r="E31740" s="8"/>
      <c r="G31740" s="8"/>
      <c r="J31740" s="8"/>
    </row>
    <row r="31741">
      <c r="C31741" s="15"/>
      <c r="E31741" s="8"/>
      <c r="G31741" s="8"/>
      <c r="J31741" s="8"/>
    </row>
    <row r="31742">
      <c r="C31742" s="15"/>
      <c r="E31742" s="8"/>
      <c r="G31742" s="8"/>
      <c r="J31742" s="8"/>
    </row>
    <row r="31743">
      <c r="C31743" s="15"/>
      <c r="E31743" s="8"/>
      <c r="G31743" s="8"/>
      <c r="J31743" s="8"/>
    </row>
    <row r="31744">
      <c r="C31744" s="15"/>
      <c r="E31744" s="8"/>
      <c r="G31744" s="8"/>
      <c r="J31744" s="8"/>
    </row>
    <row r="31745">
      <c r="C31745" s="15"/>
      <c r="E31745" s="8"/>
      <c r="G31745" s="8"/>
      <c r="J31745" s="8"/>
    </row>
    <row r="31746">
      <c r="C31746" s="15"/>
      <c r="E31746" s="8"/>
      <c r="G31746" s="8"/>
      <c r="J31746" s="8"/>
    </row>
    <row r="31747">
      <c r="C31747" s="15"/>
      <c r="E31747" s="8"/>
      <c r="G31747" s="8"/>
      <c r="J31747" s="8"/>
    </row>
    <row r="31748">
      <c r="C31748" s="15"/>
      <c r="E31748" s="8"/>
      <c r="G31748" s="8"/>
      <c r="J31748" s="8"/>
    </row>
    <row r="31749">
      <c r="C31749" s="15"/>
      <c r="E31749" s="8"/>
      <c r="G31749" s="8"/>
      <c r="J31749" s="8"/>
    </row>
    <row r="31750">
      <c r="C31750" s="15"/>
      <c r="E31750" s="8"/>
      <c r="G31750" s="8"/>
      <c r="J31750" s="8"/>
    </row>
    <row r="31751">
      <c r="C31751" s="15"/>
      <c r="E31751" s="8"/>
      <c r="G31751" s="8"/>
      <c r="J31751" s="8"/>
    </row>
    <row r="31752">
      <c r="C31752" s="15"/>
      <c r="E31752" s="8"/>
      <c r="G31752" s="8"/>
      <c r="J31752" s="8"/>
    </row>
    <row r="31753">
      <c r="C31753" s="15"/>
      <c r="E31753" s="8"/>
      <c r="G31753" s="8"/>
      <c r="J31753" s="8"/>
    </row>
    <row r="31754">
      <c r="C31754" s="15"/>
      <c r="E31754" s="8"/>
      <c r="G31754" s="8"/>
      <c r="J31754" s="8"/>
    </row>
    <row r="31755">
      <c r="C31755" s="15"/>
      <c r="E31755" s="8"/>
      <c r="G31755" s="8"/>
      <c r="J31755" s="8"/>
    </row>
    <row r="31756">
      <c r="C31756" s="15"/>
      <c r="E31756" s="8"/>
      <c r="G31756" s="8"/>
      <c r="J31756" s="8"/>
    </row>
    <row r="31757">
      <c r="C31757" s="15"/>
      <c r="E31757" s="8"/>
      <c r="G31757" s="8"/>
      <c r="J31757" s="8"/>
    </row>
    <row r="31758">
      <c r="C31758" s="15"/>
      <c r="E31758" s="8"/>
      <c r="G31758" s="8"/>
      <c r="J31758" s="8"/>
    </row>
    <row r="31759">
      <c r="C31759" s="15"/>
      <c r="E31759" s="8"/>
      <c r="G31759" s="8"/>
      <c r="J31759" s="8"/>
    </row>
    <row r="31760">
      <c r="C31760" s="15"/>
      <c r="E31760" s="8"/>
      <c r="G31760" s="8"/>
      <c r="J31760" s="8"/>
    </row>
    <row r="31761">
      <c r="C31761" s="15"/>
      <c r="E31761" s="8"/>
      <c r="G31761" s="8"/>
      <c r="J31761" s="8"/>
    </row>
    <row r="31762">
      <c r="C31762" s="15"/>
      <c r="E31762" s="8"/>
      <c r="G31762" s="8"/>
      <c r="J31762" s="8"/>
    </row>
    <row r="31763">
      <c r="C31763" s="15"/>
      <c r="E31763" s="8"/>
      <c r="G31763" s="8"/>
      <c r="J31763" s="8"/>
    </row>
    <row r="31764">
      <c r="C31764" s="15"/>
      <c r="E31764" s="8"/>
      <c r="G31764" s="8"/>
      <c r="J31764" s="8"/>
    </row>
    <row r="31765">
      <c r="C31765" s="15"/>
      <c r="E31765" s="8"/>
      <c r="G31765" s="8"/>
      <c r="J31765" s="8"/>
    </row>
    <row r="31766">
      <c r="C31766" s="15"/>
      <c r="E31766" s="8"/>
      <c r="G31766" s="8"/>
      <c r="J31766" s="8"/>
    </row>
    <row r="31767">
      <c r="C31767" s="15"/>
      <c r="E31767" s="8"/>
      <c r="G31767" s="8"/>
      <c r="J31767" s="8"/>
    </row>
    <row r="31768">
      <c r="C31768" s="15"/>
      <c r="E31768" s="8"/>
      <c r="G31768" s="8"/>
      <c r="J31768" s="8"/>
    </row>
    <row r="31769">
      <c r="C31769" s="15"/>
      <c r="E31769" s="8"/>
      <c r="G31769" s="8"/>
      <c r="J31769" s="8"/>
    </row>
    <row r="31770">
      <c r="C31770" s="15"/>
      <c r="E31770" s="8"/>
      <c r="G31770" s="8"/>
      <c r="J31770" s="8"/>
    </row>
    <row r="31771">
      <c r="C31771" s="15"/>
      <c r="E31771" s="8"/>
      <c r="G31771" s="8"/>
      <c r="J31771" s="8"/>
    </row>
    <row r="31772">
      <c r="C31772" s="15"/>
      <c r="E31772" s="8"/>
      <c r="G31772" s="8"/>
      <c r="J31772" s="8"/>
    </row>
    <row r="31773">
      <c r="C31773" s="15"/>
      <c r="E31773" s="8"/>
      <c r="G31773" s="8"/>
      <c r="J31773" s="8"/>
    </row>
    <row r="31774">
      <c r="C31774" s="15"/>
      <c r="E31774" s="8"/>
      <c r="G31774" s="8"/>
      <c r="J31774" s="8"/>
    </row>
    <row r="31775">
      <c r="C31775" s="15"/>
      <c r="E31775" s="8"/>
      <c r="G31775" s="8"/>
      <c r="J31775" s="8"/>
    </row>
    <row r="31776">
      <c r="C31776" s="15"/>
      <c r="E31776" s="8"/>
      <c r="G31776" s="8"/>
      <c r="J31776" s="8"/>
    </row>
    <row r="31777">
      <c r="C31777" s="15"/>
      <c r="E31777" s="8"/>
      <c r="G31777" s="8"/>
      <c r="J31777" s="8"/>
    </row>
    <row r="31778">
      <c r="C31778" s="15"/>
      <c r="E31778" s="8"/>
      <c r="G31778" s="8"/>
      <c r="J31778" s="8"/>
    </row>
    <row r="31779">
      <c r="C31779" s="15"/>
      <c r="E31779" s="8"/>
      <c r="G31779" s="8"/>
      <c r="J31779" s="8"/>
    </row>
    <row r="31780">
      <c r="C31780" s="15"/>
      <c r="E31780" s="8"/>
      <c r="G31780" s="8"/>
      <c r="J31780" s="8"/>
    </row>
    <row r="31781">
      <c r="C31781" s="15"/>
      <c r="E31781" s="8"/>
      <c r="G31781" s="8"/>
      <c r="J31781" s="8"/>
    </row>
    <row r="31782">
      <c r="C31782" s="15"/>
      <c r="E31782" s="8"/>
      <c r="G31782" s="8"/>
      <c r="J31782" s="8"/>
    </row>
    <row r="31783">
      <c r="C31783" s="15"/>
      <c r="E31783" s="8"/>
      <c r="G31783" s="8"/>
      <c r="J31783" s="8"/>
    </row>
    <row r="31784">
      <c r="C31784" s="15"/>
      <c r="E31784" s="8"/>
      <c r="G31784" s="8"/>
      <c r="J31784" s="8"/>
    </row>
    <row r="31785">
      <c r="C31785" s="15"/>
      <c r="E31785" s="8"/>
      <c r="G31785" s="8"/>
      <c r="J31785" s="8"/>
    </row>
    <row r="31786">
      <c r="C31786" s="15"/>
      <c r="E31786" s="8"/>
      <c r="G31786" s="8"/>
      <c r="J31786" s="8"/>
    </row>
    <row r="31787">
      <c r="C31787" s="15"/>
      <c r="E31787" s="8"/>
      <c r="G31787" s="8"/>
      <c r="J31787" s="8"/>
    </row>
    <row r="31788">
      <c r="C31788" s="15"/>
      <c r="E31788" s="8"/>
      <c r="G31788" s="8"/>
      <c r="J31788" s="8"/>
    </row>
    <row r="31789">
      <c r="C31789" s="15"/>
      <c r="E31789" s="8"/>
      <c r="G31789" s="8"/>
      <c r="J31789" s="8"/>
    </row>
    <row r="31790">
      <c r="C31790" s="15"/>
      <c r="E31790" s="8"/>
      <c r="G31790" s="8"/>
      <c r="J31790" s="8"/>
    </row>
    <row r="31791">
      <c r="C31791" s="15"/>
      <c r="E31791" s="8"/>
      <c r="G31791" s="8"/>
      <c r="J31791" s="8"/>
    </row>
    <row r="31792">
      <c r="C31792" s="15"/>
      <c r="E31792" s="8"/>
      <c r="G31792" s="8"/>
      <c r="J31792" s="8"/>
    </row>
    <row r="31793">
      <c r="C31793" s="15"/>
      <c r="E31793" s="8"/>
      <c r="G31793" s="8"/>
      <c r="J31793" s="8"/>
    </row>
    <row r="31794">
      <c r="C31794" s="15"/>
      <c r="E31794" s="8"/>
      <c r="G31794" s="8"/>
      <c r="J31794" s="8"/>
    </row>
    <row r="31795">
      <c r="C31795" s="15"/>
      <c r="E31795" s="8"/>
      <c r="G31795" s="8"/>
      <c r="J31795" s="8"/>
    </row>
    <row r="31796">
      <c r="C31796" s="15"/>
      <c r="E31796" s="8"/>
      <c r="G31796" s="8"/>
      <c r="J31796" s="8"/>
    </row>
    <row r="31797">
      <c r="C31797" s="15"/>
      <c r="E31797" s="8"/>
      <c r="G31797" s="8"/>
      <c r="J31797" s="8"/>
    </row>
    <row r="31798">
      <c r="C31798" s="15"/>
      <c r="E31798" s="8"/>
      <c r="G31798" s="8"/>
      <c r="J31798" s="8"/>
    </row>
    <row r="31799">
      <c r="C31799" s="15"/>
      <c r="E31799" s="8"/>
      <c r="G31799" s="8"/>
      <c r="J31799" s="8"/>
    </row>
    <row r="31800">
      <c r="C31800" s="15"/>
      <c r="E31800" s="8"/>
      <c r="G31800" s="8"/>
      <c r="J31800" s="8"/>
    </row>
    <row r="31801">
      <c r="C31801" s="15"/>
      <c r="E31801" s="8"/>
      <c r="G31801" s="8"/>
      <c r="J31801" s="8"/>
    </row>
    <row r="31802">
      <c r="C31802" s="15"/>
      <c r="E31802" s="8"/>
      <c r="G31802" s="8"/>
      <c r="J31802" s="8"/>
    </row>
    <row r="31803">
      <c r="C31803" s="15"/>
      <c r="E31803" s="8"/>
      <c r="G31803" s="8"/>
      <c r="J31803" s="8"/>
    </row>
    <row r="31804">
      <c r="C31804" s="15"/>
      <c r="E31804" s="8"/>
      <c r="G31804" s="8"/>
      <c r="J31804" s="8"/>
    </row>
    <row r="31805">
      <c r="C31805" s="15"/>
      <c r="E31805" s="8"/>
      <c r="G31805" s="8"/>
      <c r="J31805" s="8"/>
    </row>
    <row r="31806">
      <c r="C31806" s="15"/>
      <c r="E31806" s="8"/>
      <c r="G31806" s="8"/>
      <c r="J31806" s="8"/>
    </row>
    <row r="31807">
      <c r="C31807" s="15"/>
      <c r="E31807" s="8"/>
      <c r="G31807" s="8"/>
      <c r="J31807" s="8"/>
    </row>
    <row r="31808">
      <c r="C31808" s="15"/>
      <c r="E31808" s="8"/>
      <c r="G31808" s="8"/>
      <c r="J31808" s="8"/>
    </row>
    <row r="31809">
      <c r="C31809" s="15"/>
      <c r="E31809" s="8"/>
      <c r="G31809" s="8"/>
      <c r="J31809" s="8"/>
    </row>
    <row r="31810">
      <c r="C31810" s="15"/>
      <c r="E31810" s="8"/>
      <c r="G31810" s="8"/>
      <c r="J31810" s="8"/>
    </row>
    <row r="31811">
      <c r="C31811" s="15"/>
      <c r="E31811" s="8"/>
      <c r="G31811" s="8"/>
      <c r="J31811" s="8"/>
    </row>
    <row r="31812">
      <c r="C31812" s="15"/>
      <c r="E31812" s="8"/>
      <c r="G31812" s="8"/>
      <c r="J31812" s="8"/>
    </row>
    <row r="31813">
      <c r="C31813" s="15"/>
      <c r="E31813" s="8"/>
      <c r="G31813" s="8"/>
      <c r="J31813" s="8"/>
    </row>
    <row r="31814">
      <c r="C31814" s="15"/>
      <c r="E31814" s="8"/>
      <c r="G31814" s="8"/>
      <c r="J31814" s="8"/>
    </row>
    <row r="31815">
      <c r="C31815" s="15"/>
      <c r="E31815" s="8"/>
      <c r="G31815" s="8"/>
      <c r="J31815" s="8"/>
    </row>
    <row r="31816">
      <c r="C31816" s="15"/>
      <c r="E31816" s="8"/>
      <c r="G31816" s="8"/>
      <c r="J31816" s="8"/>
    </row>
    <row r="31817">
      <c r="C31817" s="15"/>
      <c r="E31817" s="8"/>
      <c r="G31817" s="8"/>
      <c r="J31817" s="8"/>
    </row>
    <row r="31818">
      <c r="C31818" s="15"/>
      <c r="E31818" s="8"/>
      <c r="G31818" s="8"/>
      <c r="J31818" s="8"/>
    </row>
    <row r="31819">
      <c r="C31819" s="15"/>
      <c r="E31819" s="8"/>
      <c r="G31819" s="8"/>
      <c r="J31819" s="8"/>
    </row>
    <row r="31820">
      <c r="C31820" s="15"/>
      <c r="E31820" s="8"/>
      <c r="G31820" s="8"/>
      <c r="J31820" s="8"/>
    </row>
    <row r="31821">
      <c r="C31821" s="15"/>
      <c r="E31821" s="8"/>
      <c r="G31821" s="8"/>
      <c r="J31821" s="8"/>
    </row>
    <row r="31822">
      <c r="C31822" s="15"/>
      <c r="E31822" s="8"/>
      <c r="G31822" s="8"/>
      <c r="J31822" s="8"/>
    </row>
    <row r="31823">
      <c r="C31823" s="15"/>
      <c r="E31823" s="8"/>
      <c r="G31823" s="8"/>
      <c r="J31823" s="8"/>
    </row>
    <row r="31824">
      <c r="C31824" s="15"/>
      <c r="E31824" s="8"/>
      <c r="G31824" s="8"/>
      <c r="J31824" s="8"/>
    </row>
    <row r="31825">
      <c r="C31825" s="15"/>
      <c r="E31825" s="8"/>
      <c r="G31825" s="8"/>
      <c r="J31825" s="8"/>
    </row>
    <row r="31826">
      <c r="C31826" s="15"/>
      <c r="E31826" s="8"/>
      <c r="G31826" s="8"/>
      <c r="J31826" s="8"/>
    </row>
    <row r="31827">
      <c r="C31827" s="15"/>
      <c r="E31827" s="8"/>
      <c r="G31827" s="8"/>
      <c r="J31827" s="8"/>
    </row>
    <row r="31828">
      <c r="C31828" s="15"/>
      <c r="E31828" s="8"/>
      <c r="G31828" s="8"/>
      <c r="J31828" s="8"/>
    </row>
    <row r="31829">
      <c r="C31829" s="15"/>
      <c r="E31829" s="8"/>
      <c r="G31829" s="8"/>
      <c r="J31829" s="8"/>
    </row>
    <row r="31830">
      <c r="C31830" s="15"/>
      <c r="E31830" s="8"/>
      <c r="G31830" s="8"/>
      <c r="J31830" s="8"/>
    </row>
    <row r="31831">
      <c r="C31831" s="15"/>
      <c r="E31831" s="8"/>
      <c r="G31831" s="8"/>
      <c r="J31831" s="8"/>
    </row>
    <row r="31832">
      <c r="C31832" s="15"/>
      <c r="E31832" s="8"/>
      <c r="G31832" s="8"/>
      <c r="J31832" s="8"/>
    </row>
    <row r="31833">
      <c r="C31833" s="15"/>
      <c r="E31833" s="8"/>
      <c r="G31833" s="8"/>
      <c r="J31833" s="8"/>
    </row>
    <row r="31834">
      <c r="C31834" s="15"/>
      <c r="E31834" s="8"/>
      <c r="G31834" s="8"/>
      <c r="J31834" s="8"/>
    </row>
    <row r="31835">
      <c r="C31835" s="15"/>
      <c r="E31835" s="8"/>
      <c r="G31835" s="8"/>
      <c r="J31835" s="8"/>
    </row>
    <row r="31836">
      <c r="C31836" s="15"/>
      <c r="E31836" s="8"/>
      <c r="G31836" s="8"/>
      <c r="J31836" s="8"/>
    </row>
    <row r="31837">
      <c r="C31837" s="15"/>
      <c r="E31837" s="8"/>
      <c r="G31837" s="8"/>
      <c r="J31837" s="8"/>
    </row>
    <row r="31838">
      <c r="C31838" s="15"/>
      <c r="E31838" s="8"/>
      <c r="G31838" s="8"/>
      <c r="J31838" s="8"/>
    </row>
    <row r="31839">
      <c r="C31839" s="15"/>
      <c r="E31839" s="8"/>
      <c r="G31839" s="8"/>
      <c r="J31839" s="8"/>
    </row>
    <row r="31840">
      <c r="C31840" s="15"/>
      <c r="E31840" s="8"/>
      <c r="G31840" s="8"/>
      <c r="J31840" s="8"/>
    </row>
    <row r="31841">
      <c r="C31841" s="15"/>
      <c r="E31841" s="8"/>
      <c r="G31841" s="8"/>
      <c r="J31841" s="8"/>
    </row>
    <row r="31842">
      <c r="C31842" s="15"/>
      <c r="E31842" s="8"/>
      <c r="G31842" s="8"/>
      <c r="J31842" s="8"/>
    </row>
    <row r="31843">
      <c r="C31843" s="15"/>
      <c r="E31843" s="8"/>
      <c r="G31843" s="8"/>
      <c r="J31843" s="8"/>
    </row>
    <row r="31844">
      <c r="C31844" s="15"/>
      <c r="E31844" s="8"/>
      <c r="G31844" s="8"/>
      <c r="J31844" s="8"/>
    </row>
    <row r="31845">
      <c r="C31845" s="15"/>
      <c r="E31845" s="8"/>
      <c r="G31845" s="8"/>
      <c r="J31845" s="8"/>
    </row>
    <row r="31846">
      <c r="C31846" s="15"/>
      <c r="E31846" s="8"/>
      <c r="G31846" s="8"/>
      <c r="J31846" s="8"/>
    </row>
    <row r="31847">
      <c r="C31847" s="15"/>
      <c r="E31847" s="8"/>
      <c r="G31847" s="8"/>
      <c r="J31847" s="8"/>
    </row>
    <row r="31848">
      <c r="C31848" s="15"/>
      <c r="E31848" s="8"/>
      <c r="G31848" s="8"/>
      <c r="J31848" s="8"/>
    </row>
    <row r="31849">
      <c r="C31849" s="15"/>
      <c r="E31849" s="8"/>
      <c r="G31849" s="8"/>
      <c r="J31849" s="8"/>
    </row>
    <row r="31850">
      <c r="C31850" s="15"/>
      <c r="E31850" s="8"/>
      <c r="G31850" s="8"/>
      <c r="J31850" s="8"/>
    </row>
    <row r="31851">
      <c r="C31851" s="15"/>
      <c r="E31851" s="8"/>
      <c r="G31851" s="8"/>
      <c r="J31851" s="8"/>
    </row>
    <row r="31852">
      <c r="C31852" s="15"/>
      <c r="E31852" s="8"/>
      <c r="G31852" s="8"/>
      <c r="J31852" s="8"/>
    </row>
    <row r="31853">
      <c r="C31853" s="15"/>
      <c r="E31853" s="8"/>
      <c r="G31853" s="8"/>
      <c r="J31853" s="8"/>
    </row>
    <row r="31854">
      <c r="C31854" s="15"/>
      <c r="E31854" s="8"/>
      <c r="G31854" s="8"/>
      <c r="J31854" s="8"/>
    </row>
    <row r="31855">
      <c r="C31855" s="15"/>
      <c r="E31855" s="8"/>
      <c r="G31855" s="8"/>
      <c r="J31855" s="8"/>
    </row>
    <row r="31856">
      <c r="C31856" s="15"/>
      <c r="E31856" s="8"/>
      <c r="G31856" s="8"/>
      <c r="J31856" s="8"/>
    </row>
    <row r="31857">
      <c r="C31857" s="15"/>
      <c r="E31857" s="8"/>
      <c r="G31857" s="8"/>
      <c r="J31857" s="8"/>
    </row>
    <row r="31858">
      <c r="C31858" s="15"/>
      <c r="E31858" s="8"/>
      <c r="G31858" s="8"/>
      <c r="J31858" s="8"/>
    </row>
    <row r="31859">
      <c r="C31859" s="15"/>
      <c r="E31859" s="8"/>
      <c r="G31859" s="8"/>
      <c r="J31859" s="8"/>
    </row>
    <row r="31860">
      <c r="C31860" s="15"/>
      <c r="E31860" s="8"/>
      <c r="G31860" s="8"/>
      <c r="J31860" s="8"/>
    </row>
    <row r="31861">
      <c r="C31861" s="15"/>
      <c r="E31861" s="8"/>
      <c r="G31861" s="8"/>
      <c r="J31861" s="8"/>
    </row>
    <row r="31862">
      <c r="C31862" s="15"/>
      <c r="E31862" s="8"/>
      <c r="G31862" s="8"/>
      <c r="J31862" s="8"/>
    </row>
    <row r="31863">
      <c r="C31863" s="15"/>
      <c r="E31863" s="8"/>
      <c r="G31863" s="8"/>
      <c r="J31863" s="8"/>
    </row>
    <row r="31864">
      <c r="C31864" s="15"/>
      <c r="E31864" s="8"/>
      <c r="G31864" s="8"/>
      <c r="J31864" s="8"/>
    </row>
    <row r="31865">
      <c r="C31865" s="15"/>
      <c r="E31865" s="8"/>
      <c r="G31865" s="8"/>
      <c r="J31865" s="8"/>
    </row>
    <row r="31866">
      <c r="C31866" s="15"/>
      <c r="E31866" s="8"/>
      <c r="G31866" s="8"/>
      <c r="J31866" s="8"/>
    </row>
    <row r="31867">
      <c r="C31867" s="15"/>
      <c r="E31867" s="8"/>
      <c r="G31867" s="8"/>
      <c r="J31867" s="8"/>
    </row>
    <row r="31868">
      <c r="C31868" s="15"/>
      <c r="E31868" s="8"/>
      <c r="G31868" s="8"/>
      <c r="J31868" s="8"/>
    </row>
    <row r="31869">
      <c r="C31869" s="15"/>
      <c r="E31869" s="8"/>
      <c r="G31869" s="8"/>
      <c r="J31869" s="8"/>
    </row>
    <row r="31870">
      <c r="C31870" s="15"/>
      <c r="E31870" s="8"/>
      <c r="G31870" s="8"/>
      <c r="J31870" s="8"/>
    </row>
    <row r="31871">
      <c r="C31871" s="15"/>
      <c r="E31871" s="8"/>
      <c r="G31871" s="8"/>
      <c r="J31871" s="8"/>
    </row>
    <row r="31872">
      <c r="C31872" s="15"/>
      <c r="E31872" s="8"/>
      <c r="G31872" s="8"/>
      <c r="J31872" s="8"/>
    </row>
    <row r="31873">
      <c r="C31873" s="15"/>
      <c r="E31873" s="8"/>
      <c r="G31873" s="8"/>
      <c r="J31873" s="8"/>
    </row>
    <row r="31874">
      <c r="C31874" s="15"/>
      <c r="E31874" s="8"/>
      <c r="G31874" s="8"/>
      <c r="J31874" s="8"/>
    </row>
    <row r="31875">
      <c r="C31875" s="15"/>
      <c r="E31875" s="8"/>
      <c r="G31875" s="8"/>
      <c r="J31875" s="8"/>
    </row>
    <row r="31876">
      <c r="C31876" s="15"/>
      <c r="E31876" s="8"/>
      <c r="G31876" s="8"/>
      <c r="J31876" s="8"/>
    </row>
    <row r="31877">
      <c r="C31877" s="15"/>
      <c r="E31877" s="8"/>
      <c r="G31877" s="8"/>
      <c r="J31877" s="8"/>
    </row>
    <row r="31878">
      <c r="C31878" s="15"/>
      <c r="E31878" s="8"/>
      <c r="G31878" s="8"/>
      <c r="J31878" s="8"/>
    </row>
    <row r="31879">
      <c r="C31879" s="15"/>
      <c r="E31879" s="8"/>
      <c r="G31879" s="8"/>
      <c r="J31879" s="8"/>
    </row>
    <row r="31880">
      <c r="C31880" s="15"/>
      <c r="E31880" s="8"/>
      <c r="G31880" s="8"/>
      <c r="J31880" s="8"/>
    </row>
    <row r="31881">
      <c r="C31881" s="15"/>
      <c r="E31881" s="8"/>
      <c r="G31881" s="8"/>
      <c r="J31881" s="8"/>
    </row>
    <row r="31882">
      <c r="C31882" s="15"/>
      <c r="E31882" s="8"/>
      <c r="G31882" s="8"/>
      <c r="J31882" s="8"/>
    </row>
    <row r="31883">
      <c r="C31883" s="15"/>
      <c r="E31883" s="8"/>
      <c r="G31883" s="8"/>
      <c r="J31883" s="8"/>
    </row>
    <row r="31884">
      <c r="C31884" s="15"/>
      <c r="E31884" s="8"/>
      <c r="G31884" s="8"/>
      <c r="J31884" s="8"/>
    </row>
    <row r="31885">
      <c r="C31885" s="15"/>
      <c r="E31885" s="8"/>
      <c r="G31885" s="8"/>
      <c r="J31885" s="8"/>
    </row>
    <row r="31886">
      <c r="C31886" s="15"/>
      <c r="E31886" s="8"/>
      <c r="G31886" s="8"/>
      <c r="J31886" s="8"/>
    </row>
    <row r="31887">
      <c r="C31887" s="15"/>
      <c r="E31887" s="8"/>
      <c r="G31887" s="8"/>
      <c r="J31887" s="8"/>
    </row>
    <row r="31888">
      <c r="C31888" s="15"/>
      <c r="E31888" s="8"/>
      <c r="G31888" s="8"/>
      <c r="J31888" s="8"/>
    </row>
    <row r="31889">
      <c r="C31889" s="15"/>
      <c r="E31889" s="8"/>
      <c r="G31889" s="8"/>
      <c r="J31889" s="8"/>
    </row>
    <row r="31890">
      <c r="C31890" s="15"/>
      <c r="E31890" s="8"/>
      <c r="G31890" s="8"/>
      <c r="J31890" s="8"/>
    </row>
    <row r="31891">
      <c r="C31891" s="15"/>
      <c r="E31891" s="8"/>
      <c r="G31891" s="8"/>
      <c r="J31891" s="8"/>
    </row>
    <row r="31892">
      <c r="C31892" s="15"/>
      <c r="E31892" s="8"/>
      <c r="G31892" s="8"/>
      <c r="J31892" s="8"/>
    </row>
    <row r="31893">
      <c r="C31893" s="15"/>
      <c r="E31893" s="8"/>
      <c r="G31893" s="8"/>
      <c r="J31893" s="8"/>
    </row>
    <row r="31894">
      <c r="C31894" s="15"/>
      <c r="E31894" s="8"/>
      <c r="G31894" s="8"/>
      <c r="J31894" s="8"/>
    </row>
    <row r="31895">
      <c r="C31895" s="15"/>
      <c r="E31895" s="8"/>
      <c r="G31895" s="8"/>
      <c r="J31895" s="8"/>
    </row>
    <row r="31896">
      <c r="C31896" s="15"/>
      <c r="E31896" s="8"/>
      <c r="G31896" s="8"/>
      <c r="J31896" s="8"/>
    </row>
    <row r="31897">
      <c r="C31897" s="15"/>
      <c r="E31897" s="8"/>
      <c r="G31897" s="8"/>
      <c r="J31897" s="8"/>
    </row>
    <row r="31898">
      <c r="C31898" s="15"/>
      <c r="E31898" s="8"/>
      <c r="G31898" s="8"/>
      <c r="J31898" s="8"/>
    </row>
    <row r="31899">
      <c r="C31899" s="15"/>
      <c r="E31899" s="8"/>
      <c r="G31899" s="8"/>
      <c r="J31899" s="8"/>
    </row>
    <row r="31900">
      <c r="C31900" s="15"/>
      <c r="E31900" s="8"/>
      <c r="G31900" s="8"/>
      <c r="J31900" s="8"/>
    </row>
    <row r="31901">
      <c r="C31901" s="15"/>
      <c r="E31901" s="8"/>
      <c r="G31901" s="8"/>
      <c r="J31901" s="8"/>
    </row>
    <row r="31902">
      <c r="C31902" s="15"/>
      <c r="E31902" s="8"/>
      <c r="G31902" s="8"/>
      <c r="J31902" s="8"/>
    </row>
    <row r="31903">
      <c r="C31903" s="15"/>
      <c r="E31903" s="8"/>
      <c r="G31903" s="8"/>
      <c r="J31903" s="8"/>
    </row>
    <row r="31904">
      <c r="C31904" s="15"/>
      <c r="E31904" s="8"/>
      <c r="G31904" s="8"/>
      <c r="J31904" s="8"/>
    </row>
    <row r="31905">
      <c r="C31905" s="15"/>
      <c r="E31905" s="8"/>
      <c r="G31905" s="8"/>
      <c r="J31905" s="8"/>
    </row>
    <row r="31906">
      <c r="C31906" s="15"/>
      <c r="E31906" s="8"/>
      <c r="G31906" s="8"/>
      <c r="J31906" s="8"/>
    </row>
    <row r="31907">
      <c r="C31907" s="15"/>
      <c r="E31907" s="8"/>
      <c r="G31907" s="8"/>
      <c r="J31907" s="8"/>
    </row>
    <row r="31908">
      <c r="C31908" s="15"/>
      <c r="E31908" s="8"/>
      <c r="G31908" s="8"/>
      <c r="J31908" s="8"/>
    </row>
    <row r="31909">
      <c r="C31909" s="15"/>
      <c r="E31909" s="8"/>
      <c r="G31909" s="8"/>
      <c r="J31909" s="8"/>
    </row>
    <row r="31910">
      <c r="C31910" s="15"/>
      <c r="E31910" s="8"/>
      <c r="G31910" s="8"/>
      <c r="J31910" s="8"/>
    </row>
    <row r="31911">
      <c r="C31911" s="15"/>
      <c r="E31911" s="8"/>
      <c r="G31911" s="8"/>
      <c r="J31911" s="8"/>
    </row>
    <row r="31912">
      <c r="C31912" s="15"/>
      <c r="E31912" s="8"/>
      <c r="G31912" s="8"/>
      <c r="J31912" s="8"/>
    </row>
    <row r="31913">
      <c r="C31913" s="15"/>
      <c r="E31913" s="8"/>
      <c r="G31913" s="8"/>
      <c r="J31913" s="8"/>
    </row>
    <row r="31914">
      <c r="C31914" s="15"/>
      <c r="E31914" s="8"/>
      <c r="G31914" s="8"/>
      <c r="J31914" s="8"/>
    </row>
    <row r="31915">
      <c r="C31915" s="15"/>
      <c r="E31915" s="8"/>
      <c r="G31915" s="8"/>
      <c r="J31915" s="8"/>
    </row>
    <row r="31916">
      <c r="C31916" s="15"/>
      <c r="E31916" s="8"/>
      <c r="G31916" s="8"/>
      <c r="J31916" s="8"/>
    </row>
    <row r="31917">
      <c r="C31917" s="15"/>
      <c r="E31917" s="8"/>
      <c r="G31917" s="8"/>
      <c r="J31917" s="8"/>
    </row>
    <row r="31918">
      <c r="C31918" s="15"/>
      <c r="E31918" s="8"/>
      <c r="G31918" s="8"/>
      <c r="J31918" s="8"/>
    </row>
    <row r="31919">
      <c r="C31919" s="15"/>
      <c r="E31919" s="8"/>
      <c r="G31919" s="8"/>
      <c r="J31919" s="8"/>
    </row>
    <row r="31920">
      <c r="C31920" s="15"/>
      <c r="E31920" s="8"/>
      <c r="G31920" s="8"/>
      <c r="J31920" s="8"/>
    </row>
    <row r="31921">
      <c r="C31921" s="15"/>
      <c r="E31921" s="8"/>
      <c r="G31921" s="8"/>
      <c r="J31921" s="8"/>
    </row>
    <row r="31922">
      <c r="C31922" s="15"/>
      <c r="E31922" s="8"/>
      <c r="G31922" s="8"/>
      <c r="J31922" s="8"/>
    </row>
    <row r="31923">
      <c r="C31923" s="15"/>
      <c r="E31923" s="8"/>
      <c r="G31923" s="8"/>
      <c r="J31923" s="8"/>
    </row>
    <row r="31924">
      <c r="C31924" s="15"/>
      <c r="E31924" s="8"/>
      <c r="G31924" s="8"/>
      <c r="J31924" s="8"/>
    </row>
    <row r="31925">
      <c r="C31925" s="15"/>
      <c r="E31925" s="8"/>
      <c r="G31925" s="8"/>
      <c r="J31925" s="8"/>
    </row>
    <row r="31926">
      <c r="C31926" s="15"/>
      <c r="E31926" s="8"/>
      <c r="G31926" s="8"/>
      <c r="J31926" s="8"/>
    </row>
    <row r="31927">
      <c r="C31927" s="15"/>
      <c r="E31927" s="8"/>
      <c r="G31927" s="8"/>
      <c r="J31927" s="8"/>
    </row>
    <row r="31928">
      <c r="C31928" s="15"/>
      <c r="E31928" s="8"/>
      <c r="G31928" s="8"/>
      <c r="J31928" s="8"/>
    </row>
    <row r="31929">
      <c r="C31929" s="15"/>
      <c r="E31929" s="8"/>
      <c r="G31929" s="8"/>
      <c r="J31929" s="8"/>
    </row>
    <row r="31930">
      <c r="C31930" s="15"/>
      <c r="E31930" s="8"/>
      <c r="G31930" s="8"/>
      <c r="J31930" s="8"/>
    </row>
    <row r="31931">
      <c r="C31931" s="15"/>
      <c r="E31931" s="8"/>
      <c r="G31931" s="8"/>
      <c r="J31931" s="8"/>
    </row>
    <row r="31932">
      <c r="C31932" s="15"/>
      <c r="E31932" s="8"/>
      <c r="G31932" s="8"/>
      <c r="J31932" s="8"/>
    </row>
    <row r="31933">
      <c r="C31933" s="15"/>
      <c r="E31933" s="8"/>
      <c r="G31933" s="8"/>
      <c r="J31933" s="8"/>
    </row>
    <row r="31934">
      <c r="C31934" s="15"/>
      <c r="E31934" s="8"/>
      <c r="G31934" s="8"/>
      <c r="J31934" s="8"/>
    </row>
    <row r="31935">
      <c r="C31935" s="15"/>
      <c r="E31935" s="8"/>
      <c r="G31935" s="8"/>
      <c r="J31935" s="8"/>
    </row>
    <row r="31936">
      <c r="C31936" s="15"/>
      <c r="E31936" s="8"/>
      <c r="G31936" s="8"/>
      <c r="J31936" s="8"/>
    </row>
    <row r="31937">
      <c r="C31937" s="15"/>
      <c r="E31937" s="8"/>
      <c r="G31937" s="8"/>
      <c r="J31937" s="8"/>
    </row>
    <row r="31938">
      <c r="C31938" s="15"/>
      <c r="E31938" s="8"/>
      <c r="G31938" s="8"/>
      <c r="J31938" s="8"/>
    </row>
    <row r="31939">
      <c r="C31939" s="15"/>
      <c r="E31939" s="8"/>
      <c r="G31939" s="8"/>
      <c r="J31939" s="8"/>
    </row>
    <row r="31940">
      <c r="C31940" s="15"/>
      <c r="E31940" s="8"/>
      <c r="G31940" s="8"/>
      <c r="J31940" s="8"/>
    </row>
    <row r="31941">
      <c r="C31941" s="15"/>
      <c r="E31941" s="8"/>
      <c r="G31941" s="8"/>
      <c r="J31941" s="8"/>
    </row>
    <row r="31942">
      <c r="C31942" s="15"/>
      <c r="E31942" s="8"/>
      <c r="G31942" s="8"/>
      <c r="J31942" s="8"/>
    </row>
    <row r="31943">
      <c r="C31943" s="15"/>
      <c r="E31943" s="8"/>
      <c r="G31943" s="8"/>
      <c r="J31943" s="8"/>
    </row>
    <row r="31944">
      <c r="C31944" s="15"/>
      <c r="E31944" s="8"/>
      <c r="G31944" s="8"/>
      <c r="J31944" s="8"/>
    </row>
    <row r="31945">
      <c r="C31945" s="15"/>
      <c r="E31945" s="8"/>
      <c r="G31945" s="8"/>
      <c r="J31945" s="8"/>
    </row>
    <row r="31946">
      <c r="C31946" s="15"/>
      <c r="E31946" s="8"/>
      <c r="G31946" s="8"/>
      <c r="J31946" s="8"/>
    </row>
    <row r="31947">
      <c r="C31947" s="15"/>
      <c r="E31947" s="8"/>
      <c r="G31947" s="8"/>
      <c r="J31947" s="8"/>
    </row>
    <row r="31948">
      <c r="C31948" s="15"/>
      <c r="E31948" s="8"/>
      <c r="G31948" s="8"/>
      <c r="J31948" s="8"/>
    </row>
    <row r="31949">
      <c r="C31949" s="15"/>
      <c r="E31949" s="8"/>
      <c r="G31949" s="8"/>
      <c r="J31949" s="8"/>
    </row>
    <row r="31950">
      <c r="C31950" s="15"/>
      <c r="E31950" s="8"/>
      <c r="G31950" s="8"/>
      <c r="J31950" s="8"/>
    </row>
    <row r="31951">
      <c r="C31951" s="15"/>
      <c r="E31951" s="8"/>
      <c r="G31951" s="8"/>
      <c r="J31951" s="8"/>
    </row>
    <row r="31952">
      <c r="C31952" s="15"/>
      <c r="E31952" s="8"/>
      <c r="G31952" s="8"/>
      <c r="J31952" s="8"/>
    </row>
    <row r="31953">
      <c r="C31953" s="15"/>
      <c r="E31953" s="8"/>
      <c r="G31953" s="8"/>
      <c r="J31953" s="8"/>
    </row>
    <row r="31954">
      <c r="C31954" s="15"/>
      <c r="E31954" s="8"/>
      <c r="G31954" s="8"/>
      <c r="J31954" s="8"/>
    </row>
    <row r="31955">
      <c r="C31955" s="15"/>
      <c r="E31955" s="8"/>
      <c r="G31955" s="8"/>
      <c r="J31955" s="8"/>
    </row>
    <row r="31956">
      <c r="C31956" s="15"/>
      <c r="E31956" s="8"/>
      <c r="G31956" s="8"/>
      <c r="J31956" s="8"/>
    </row>
    <row r="31957">
      <c r="C31957" s="15"/>
      <c r="E31957" s="8"/>
      <c r="G31957" s="8"/>
      <c r="J31957" s="8"/>
    </row>
    <row r="31958">
      <c r="C31958" s="15"/>
      <c r="E31958" s="8"/>
      <c r="G31958" s="8"/>
      <c r="J31958" s="8"/>
    </row>
    <row r="31959">
      <c r="C31959" s="15"/>
      <c r="E31959" s="8"/>
      <c r="G31959" s="8"/>
      <c r="J31959" s="8"/>
    </row>
    <row r="31960">
      <c r="C31960" s="15"/>
      <c r="E31960" s="8"/>
      <c r="G31960" s="8"/>
      <c r="J31960" s="8"/>
    </row>
    <row r="31961">
      <c r="C31961" s="15"/>
      <c r="E31961" s="8"/>
      <c r="G31961" s="8"/>
      <c r="J31961" s="8"/>
    </row>
    <row r="31962">
      <c r="C31962" s="15"/>
      <c r="E31962" s="8"/>
      <c r="G31962" s="8"/>
      <c r="J31962" s="8"/>
    </row>
    <row r="31963">
      <c r="C31963" s="15"/>
      <c r="E31963" s="8"/>
      <c r="G31963" s="8"/>
      <c r="J31963" s="8"/>
    </row>
    <row r="31964">
      <c r="C31964" s="15"/>
      <c r="E31964" s="8"/>
      <c r="G31964" s="8"/>
      <c r="J31964" s="8"/>
    </row>
    <row r="31965">
      <c r="C31965" s="15"/>
      <c r="E31965" s="8"/>
      <c r="G31965" s="8"/>
      <c r="J31965" s="8"/>
    </row>
    <row r="31966">
      <c r="C31966" s="15"/>
      <c r="E31966" s="8"/>
      <c r="G31966" s="8"/>
      <c r="J31966" s="8"/>
    </row>
    <row r="31967">
      <c r="C31967" s="15"/>
      <c r="E31967" s="8"/>
      <c r="G31967" s="8"/>
      <c r="J31967" s="8"/>
    </row>
    <row r="31968">
      <c r="C31968" s="15"/>
      <c r="E31968" s="8"/>
      <c r="G31968" s="8"/>
      <c r="J31968" s="8"/>
    </row>
    <row r="31969">
      <c r="C31969" s="15"/>
      <c r="E31969" s="8"/>
      <c r="G31969" s="8"/>
      <c r="J31969" s="8"/>
    </row>
    <row r="31970">
      <c r="C31970" s="15"/>
      <c r="E31970" s="8"/>
      <c r="G31970" s="8"/>
      <c r="J31970" s="8"/>
    </row>
    <row r="31971">
      <c r="C31971" s="15"/>
      <c r="E31971" s="8"/>
      <c r="G31971" s="8"/>
      <c r="J31971" s="8"/>
    </row>
    <row r="31972">
      <c r="C31972" s="15"/>
      <c r="E31972" s="8"/>
      <c r="G31972" s="8"/>
      <c r="J31972" s="8"/>
    </row>
    <row r="31973">
      <c r="C31973" s="15"/>
      <c r="E31973" s="8"/>
      <c r="G31973" s="8"/>
      <c r="J31973" s="8"/>
    </row>
    <row r="31974">
      <c r="C31974" s="15"/>
      <c r="E31974" s="8"/>
      <c r="G31974" s="8"/>
      <c r="J31974" s="8"/>
    </row>
    <row r="31975">
      <c r="C31975" s="15"/>
      <c r="E31975" s="8"/>
      <c r="G31975" s="8"/>
      <c r="J31975" s="8"/>
    </row>
    <row r="31976">
      <c r="C31976" s="15"/>
      <c r="E31976" s="8"/>
      <c r="G31976" s="8"/>
      <c r="J31976" s="8"/>
    </row>
    <row r="31977">
      <c r="C31977" s="15"/>
      <c r="E31977" s="8"/>
      <c r="G31977" s="8"/>
      <c r="J31977" s="8"/>
    </row>
    <row r="31978">
      <c r="C31978" s="15"/>
      <c r="E31978" s="8"/>
      <c r="G31978" s="8"/>
      <c r="J31978" s="8"/>
    </row>
    <row r="31979">
      <c r="C31979" s="15"/>
      <c r="E31979" s="8"/>
      <c r="G31979" s="8"/>
      <c r="J31979" s="8"/>
    </row>
    <row r="31980">
      <c r="C31980" s="15"/>
      <c r="E31980" s="8"/>
      <c r="G31980" s="8"/>
      <c r="J31980" s="8"/>
    </row>
    <row r="31981">
      <c r="C31981" s="15"/>
      <c r="E31981" s="8"/>
      <c r="G31981" s="8"/>
      <c r="J31981" s="8"/>
    </row>
    <row r="31982">
      <c r="C31982" s="15"/>
      <c r="E31982" s="8"/>
      <c r="G31982" s="8"/>
      <c r="J31982" s="8"/>
    </row>
    <row r="31983">
      <c r="C31983" s="15"/>
      <c r="E31983" s="8"/>
      <c r="G31983" s="8"/>
      <c r="J31983" s="8"/>
    </row>
    <row r="31984">
      <c r="C31984" s="15"/>
      <c r="E31984" s="8"/>
      <c r="G31984" s="8"/>
      <c r="J31984" s="8"/>
    </row>
    <row r="31985">
      <c r="C31985" s="15"/>
      <c r="E31985" s="8"/>
      <c r="G31985" s="8"/>
      <c r="J31985" s="8"/>
    </row>
    <row r="31986">
      <c r="C31986" s="15"/>
      <c r="E31986" s="8"/>
      <c r="G31986" s="8"/>
      <c r="J31986" s="8"/>
    </row>
    <row r="31987">
      <c r="C31987" s="15"/>
      <c r="E31987" s="8"/>
      <c r="G31987" s="8"/>
      <c r="J31987" s="8"/>
    </row>
    <row r="31988">
      <c r="C31988" s="15"/>
      <c r="E31988" s="8"/>
      <c r="G31988" s="8"/>
      <c r="J31988" s="8"/>
    </row>
    <row r="31989">
      <c r="C31989" s="15"/>
      <c r="E31989" s="8"/>
      <c r="G31989" s="8"/>
      <c r="J31989" s="8"/>
    </row>
    <row r="31990">
      <c r="C31990" s="15"/>
      <c r="E31990" s="8"/>
      <c r="G31990" s="8"/>
      <c r="J31990" s="8"/>
    </row>
    <row r="31991">
      <c r="C31991" s="15"/>
      <c r="E31991" s="8"/>
      <c r="G31991" s="8"/>
      <c r="J31991" s="8"/>
    </row>
    <row r="31992">
      <c r="C31992" s="15"/>
      <c r="E31992" s="8"/>
      <c r="G31992" s="8"/>
      <c r="J31992" s="8"/>
    </row>
    <row r="31993">
      <c r="C31993" s="15"/>
      <c r="E31993" s="8"/>
      <c r="G31993" s="8"/>
      <c r="J31993" s="8"/>
    </row>
    <row r="31994">
      <c r="C31994" s="15"/>
      <c r="E31994" s="8"/>
      <c r="G31994" s="8"/>
      <c r="J31994" s="8"/>
    </row>
    <row r="31995">
      <c r="C31995" s="15"/>
      <c r="E31995" s="8"/>
      <c r="G31995" s="8"/>
      <c r="J31995" s="8"/>
    </row>
    <row r="31996">
      <c r="C31996" s="15"/>
      <c r="E31996" s="8"/>
      <c r="G31996" s="8"/>
      <c r="J31996" s="8"/>
    </row>
    <row r="31997">
      <c r="C31997" s="15"/>
      <c r="E31997" s="8"/>
      <c r="G31997" s="8"/>
      <c r="J31997" s="8"/>
    </row>
    <row r="31998">
      <c r="C31998" s="15"/>
      <c r="E31998" s="8"/>
      <c r="G31998" s="8"/>
      <c r="J31998" s="8"/>
    </row>
    <row r="31999">
      <c r="C31999" s="15"/>
      <c r="E31999" s="8"/>
      <c r="G31999" s="8"/>
      <c r="J31999" s="8"/>
    </row>
    <row r="32000">
      <c r="C32000" s="15"/>
      <c r="E32000" s="8"/>
      <c r="G32000" s="8"/>
      <c r="J32000" s="8"/>
    </row>
    <row r="32001">
      <c r="C32001" s="15"/>
      <c r="E32001" s="8"/>
      <c r="G32001" s="8"/>
      <c r="J32001" s="8"/>
    </row>
    <row r="32002">
      <c r="C32002" s="15"/>
      <c r="E32002" s="8"/>
      <c r="G32002" s="8"/>
      <c r="J32002" s="8"/>
    </row>
    <row r="32003">
      <c r="C32003" s="15"/>
      <c r="E32003" s="8"/>
      <c r="G32003" s="8"/>
      <c r="J32003" s="8"/>
    </row>
    <row r="32004">
      <c r="C32004" s="15"/>
      <c r="E32004" s="8"/>
      <c r="G32004" s="8"/>
      <c r="J32004" s="8"/>
    </row>
    <row r="32005">
      <c r="C32005" s="15"/>
      <c r="E32005" s="8"/>
      <c r="G32005" s="8"/>
      <c r="J32005" s="8"/>
    </row>
    <row r="32006">
      <c r="C32006" s="15"/>
      <c r="E32006" s="8"/>
      <c r="G32006" s="8"/>
      <c r="J32006" s="8"/>
    </row>
    <row r="32007">
      <c r="C32007" s="15"/>
      <c r="E32007" s="8"/>
      <c r="G32007" s="8"/>
      <c r="J32007" s="8"/>
    </row>
    <row r="32008">
      <c r="C32008" s="15"/>
      <c r="E32008" s="8"/>
      <c r="G32008" s="8"/>
      <c r="J32008" s="8"/>
    </row>
    <row r="32009">
      <c r="C32009" s="15"/>
      <c r="E32009" s="8"/>
      <c r="G32009" s="8"/>
      <c r="J32009" s="8"/>
    </row>
    <row r="32010">
      <c r="C32010" s="15"/>
      <c r="E32010" s="8"/>
      <c r="G32010" s="8"/>
      <c r="J32010" s="8"/>
    </row>
    <row r="32011">
      <c r="C32011" s="15"/>
      <c r="E32011" s="8"/>
      <c r="G32011" s="8"/>
      <c r="J32011" s="8"/>
    </row>
    <row r="32012">
      <c r="C32012" s="15"/>
      <c r="E32012" s="8"/>
      <c r="G32012" s="8"/>
      <c r="J32012" s="8"/>
    </row>
    <row r="32013">
      <c r="C32013" s="15"/>
      <c r="E32013" s="8"/>
      <c r="G32013" s="8"/>
      <c r="J32013" s="8"/>
    </row>
    <row r="32014">
      <c r="C32014" s="15"/>
      <c r="E32014" s="8"/>
      <c r="G32014" s="8"/>
      <c r="J32014" s="8"/>
    </row>
    <row r="32015">
      <c r="C32015" s="15"/>
      <c r="E32015" s="8"/>
      <c r="G32015" s="8"/>
      <c r="J32015" s="8"/>
    </row>
    <row r="32016">
      <c r="C32016" s="15"/>
      <c r="E32016" s="8"/>
      <c r="G32016" s="8"/>
      <c r="J32016" s="8"/>
    </row>
    <row r="32017">
      <c r="C32017" s="15"/>
      <c r="E32017" s="8"/>
      <c r="G32017" s="8"/>
      <c r="J32017" s="8"/>
    </row>
    <row r="32018">
      <c r="C32018" s="15"/>
      <c r="E32018" s="8"/>
      <c r="G32018" s="8"/>
      <c r="J32018" s="8"/>
    </row>
    <row r="32019">
      <c r="C32019" s="15"/>
      <c r="E32019" s="8"/>
      <c r="G32019" s="8"/>
      <c r="J32019" s="8"/>
    </row>
    <row r="32020">
      <c r="C32020" s="15"/>
      <c r="E32020" s="8"/>
      <c r="G32020" s="8"/>
      <c r="J32020" s="8"/>
    </row>
    <row r="32021">
      <c r="C32021" s="15"/>
      <c r="E32021" s="8"/>
      <c r="G32021" s="8"/>
      <c r="J32021" s="8"/>
    </row>
    <row r="32022">
      <c r="C32022" s="15"/>
      <c r="E32022" s="8"/>
      <c r="G32022" s="8"/>
      <c r="J32022" s="8"/>
    </row>
    <row r="32023">
      <c r="C32023" s="15"/>
      <c r="E32023" s="8"/>
      <c r="G32023" s="8"/>
      <c r="J32023" s="8"/>
    </row>
    <row r="32024">
      <c r="C32024" s="15"/>
      <c r="E32024" s="8"/>
      <c r="G32024" s="8"/>
      <c r="J32024" s="8"/>
    </row>
    <row r="32025">
      <c r="C32025" s="15"/>
      <c r="E32025" s="8"/>
      <c r="G32025" s="8"/>
      <c r="J32025" s="8"/>
    </row>
    <row r="32026">
      <c r="C32026" s="15"/>
      <c r="E32026" s="8"/>
      <c r="G32026" s="8"/>
      <c r="J32026" s="8"/>
    </row>
    <row r="32027">
      <c r="C32027" s="15"/>
      <c r="E32027" s="8"/>
      <c r="G32027" s="8"/>
      <c r="J32027" s="8"/>
    </row>
    <row r="32028">
      <c r="C32028" s="15"/>
      <c r="E32028" s="8"/>
      <c r="G32028" s="8"/>
      <c r="J32028" s="8"/>
    </row>
    <row r="32029">
      <c r="C32029" s="15"/>
      <c r="E32029" s="8"/>
      <c r="G32029" s="8"/>
      <c r="J32029" s="8"/>
    </row>
    <row r="32030">
      <c r="C32030" s="15"/>
      <c r="E32030" s="8"/>
      <c r="G32030" s="8"/>
      <c r="J32030" s="8"/>
    </row>
    <row r="32031">
      <c r="C32031" s="15"/>
      <c r="E32031" s="8"/>
      <c r="G32031" s="8"/>
      <c r="J32031" s="8"/>
    </row>
    <row r="32032">
      <c r="C32032" s="15"/>
      <c r="E32032" s="8"/>
      <c r="G32032" s="8"/>
      <c r="J32032" s="8"/>
    </row>
    <row r="32033">
      <c r="C32033" s="15"/>
      <c r="E32033" s="8"/>
      <c r="G32033" s="8"/>
      <c r="J32033" s="8"/>
    </row>
    <row r="32034">
      <c r="C32034" s="15"/>
      <c r="E32034" s="8"/>
      <c r="G32034" s="8"/>
      <c r="J32034" s="8"/>
    </row>
    <row r="32035">
      <c r="C32035" s="15"/>
      <c r="E32035" s="8"/>
      <c r="G32035" s="8"/>
      <c r="J32035" s="8"/>
    </row>
    <row r="32036">
      <c r="C32036" s="15"/>
      <c r="E32036" s="8"/>
      <c r="G32036" s="8"/>
      <c r="J32036" s="8"/>
    </row>
    <row r="32037">
      <c r="C32037" s="15"/>
      <c r="E32037" s="8"/>
      <c r="G32037" s="8"/>
      <c r="J32037" s="8"/>
    </row>
    <row r="32038">
      <c r="C32038" s="15"/>
      <c r="E32038" s="8"/>
      <c r="G32038" s="8"/>
      <c r="J32038" s="8"/>
    </row>
    <row r="32039">
      <c r="C32039" s="15"/>
      <c r="E32039" s="8"/>
      <c r="G32039" s="8"/>
      <c r="J32039" s="8"/>
    </row>
    <row r="32040">
      <c r="C32040" s="15"/>
      <c r="E32040" s="8"/>
      <c r="G32040" s="8"/>
      <c r="J32040" s="8"/>
    </row>
    <row r="32041">
      <c r="C32041" s="15"/>
      <c r="E32041" s="8"/>
      <c r="G32041" s="8"/>
      <c r="J32041" s="8"/>
    </row>
    <row r="32042">
      <c r="C32042" s="15"/>
      <c r="E32042" s="8"/>
      <c r="G32042" s="8"/>
      <c r="J32042" s="8"/>
    </row>
    <row r="32043">
      <c r="C32043" s="15"/>
      <c r="E32043" s="8"/>
      <c r="G32043" s="8"/>
      <c r="J32043" s="8"/>
    </row>
    <row r="32044">
      <c r="C32044" s="15"/>
      <c r="E32044" s="8"/>
      <c r="G32044" s="8"/>
      <c r="J32044" s="8"/>
    </row>
    <row r="32045">
      <c r="C32045" s="15"/>
      <c r="E32045" s="8"/>
      <c r="G32045" s="8"/>
      <c r="J32045" s="8"/>
    </row>
    <row r="32046">
      <c r="C32046" s="15"/>
      <c r="E32046" s="8"/>
      <c r="G32046" s="8"/>
      <c r="J32046" s="8"/>
    </row>
    <row r="32047">
      <c r="C32047" s="15"/>
      <c r="E32047" s="8"/>
      <c r="G32047" s="8"/>
      <c r="J32047" s="8"/>
    </row>
    <row r="32048">
      <c r="C32048" s="15"/>
      <c r="E32048" s="8"/>
      <c r="G32048" s="8"/>
      <c r="J32048" s="8"/>
    </row>
    <row r="32049">
      <c r="C32049" s="15"/>
      <c r="E32049" s="8"/>
      <c r="G32049" s="8"/>
      <c r="J32049" s="8"/>
    </row>
    <row r="32050">
      <c r="C32050" s="15"/>
      <c r="E32050" s="8"/>
      <c r="G32050" s="8"/>
      <c r="J32050" s="8"/>
    </row>
    <row r="32051">
      <c r="C32051" s="15"/>
      <c r="E32051" s="8"/>
      <c r="G32051" s="8"/>
      <c r="J32051" s="8"/>
    </row>
    <row r="32052">
      <c r="C32052" s="15"/>
      <c r="E32052" s="8"/>
      <c r="G32052" s="8"/>
      <c r="J32052" s="8"/>
    </row>
    <row r="32053">
      <c r="C32053" s="15"/>
      <c r="E32053" s="8"/>
      <c r="G32053" s="8"/>
      <c r="J32053" s="8"/>
    </row>
    <row r="32054">
      <c r="C32054" s="15"/>
      <c r="E32054" s="8"/>
      <c r="G32054" s="8"/>
      <c r="J32054" s="8"/>
    </row>
    <row r="32055">
      <c r="C32055" s="15"/>
      <c r="E32055" s="8"/>
      <c r="G32055" s="8"/>
      <c r="J32055" s="8"/>
    </row>
    <row r="32056">
      <c r="C32056" s="15"/>
      <c r="E32056" s="8"/>
      <c r="G32056" s="8"/>
      <c r="J32056" s="8"/>
    </row>
    <row r="32057">
      <c r="C32057" s="15"/>
      <c r="E32057" s="8"/>
      <c r="G32057" s="8"/>
      <c r="J32057" s="8"/>
    </row>
    <row r="32058">
      <c r="C32058" s="15"/>
      <c r="E32058" s="8"/>
      <c r="G32058" s="8"/>
      <c r="J32058" s="8"/>
    </row>
    <row r="32059">
      <c r="C32059" s="15"/>
      <c r="E32059" s="8"/>
      <c r="G32059" s="8"/>
      <c r="J32059" s="8"/>
    </row>
    <row r="32060">
      <c r="C32060" s="15"/>
      <c r="E32060" s="8"/>
      <c r="G32060" s="8"/>
      <c r="J32060" s="8"/>
    </row>
    <row r="32061">
      <c r="C32061" s="15"/>
      <c r="E32061" s="8"/>
      <c r="G32061" s="8"/>
      <c r="J32061" s="8"/>
    </row>
    <row r="32062">
      <c r="C32062" s="15"/>
      <c r="E32062" s="8"/>
      <c r="G32062" s="8"/>
      <c r="J32062" s="8"/>
    </row>
    <row r="32063">
      <c r="C32063" s="15"/>
      <c r="E32063" s="8"/>
      <c r="G32063" s="8"/>
      <c r="J32063" s="8"/>
    </row>
    <row r="32064">
      <c r="C32064" s="15"/>
      <c r="E32064" s="8"/>
      <c r="G32064" s="8"/>
      <c r="J32064" s="8"/>
    </row>
    <row r="32065">
      <c r="C32065" s="15"/>
      <c r="E32065" s="8"/>
      <c r="G32065" s="8"/>
      <c r="J32065" s="8"/>
    </row>
    <row r="32066">
      <c r="C32066" s="15"/>
      <c r="E32066" s="8"/>
      <c r="G32066" s="8"/>
      <c r="J32066" s="8"/>
    </row>
    <row r="32067">
      <c r="C32067" s="15"/>
      <c r="E32067" s="8"/>
      <c r="G32067" s="8"/>
      <c r="J32067" s="8"/>
    </row>
    <row r="32068">
      <c r="C32068" s="15"/>
      <c r="E32068" s="8"/>
      <c r="G32068" s="8"/>
      <c r="J32068" s="8"/>
    </row>
    <row r="32069">
      <c r="C32069" s="15"/>
      <c r="E32069" s="8"/>
      <c r="G32069" s="8"/>
      <c r="J32069" s="8"/>
    </row>
    <row r="32070">
      <c r="C32070" s="15"/>
      <c r="E32070" s="8"/>
      <c r="G32070" s="8"/>
      <c r="J32070" s="8"/>
    </row>
    <row r="32071">
      <c r="C32071" s="15"/>
      <c r="E32071" s="8"/>
      <c r="G32071" s="8"/>
      <c r="J32071" s="8"/>
    </row>
    <row r="32072">
      <c r="C32072" s="15"/>
      <c r="E32072" s="8"/>
      <c r="G32072" s="8"/>
      <c r="J32072" s="8"/>
    </row>
    <row r="32073">
      <c r="C32073" s="15"/>
      <c r="E32073" s="8"/>
      <c r="G32073" s="8"/>
      <c r="J32073" s="8"/>
    </row>
    <row r="32074">
      <c r="C32074" s="15"/>
      <c r="E32074" s="8"/>
      <c r="G32074" s="8"/>
      <c r="J32074" s="8"/>
    </row>
    <row r="32075">
      <c r="C32075" s="15"/>
      <c r="E32075" s="8"/>
      <c r="G32075" s="8"/>
      <c r="J32075" s="8"/>
    </row>
    <row r="32076">
      <c r="C32076" s="15"/>
      <c r="E32076" s="8"/>
      <c r="G32076" s="8"/>
      <c r="J32076" s="8"/>
    </row>
    <row r="32077">
      <c r="C32077" s="15"/>
      <c r="E32077" s="8"/>
      <c r="G32077" s="8"/>
      <c r="J32077" s="8"/>
    </row>
    <row r="32078">
      <c r="C32078" s="15"/>
      <c r="E32078" s="8"/>
      <c r="G32078" s="8"/>
      <c r="J32078" s="8"/>
    </row>
    <row r="32079">
      <c r="C32079" s="15"/>
      <c r="E32079" s="8"/>
      <c r="G32079" s="8"/>
      <c r="J32079" s="8"/>
    </row>
    <row r="32080">
      <c r="C32080" s="15"/>
      <c r="E32080" s="8"/>
      <c r="G32080" s="8"/>
      <c r="J32080" s="8"/>
    </row>
    <row r="32081">
      <c r="C32081" s="15"/>
      <c r="E32081" s="8"/>
      <c r="G32081" s="8"/>
      <c r="J32081" s="8"/>
    </row>
    <row r="32082">
      <c r="C32082" s="15"/>
      <c r="E32082" s="8"/>
      <c r="G32082" s="8"/>
      <c r="J32082" s="8"/>
    </row>
    <row r="32083">
      <c r="C32083" s="15"/>
      <c r="E32083" s="8"/>
      <c r="G32083" s="8"/>
      <c r="J32083" s="8"/>
    </row>
    <row r="32084">
      <c r="C32084" s="15"/>
      <c r="E32084" s="8"/>
      <c r="G32084" s="8"/>
      <c r="J32084" s="8"/>
    </row>
    <row r="32085">
      <c r="C32085" s="15"/>
      <c r="E32085" s="8"/>
      <c r="G32085" s="8"/>
      <c r="J32085" s="8"/>
    </row>
    <row r="32086">
      <c r="C32086" s="15"/>
      <c r="E32086" s="8"/>
      <c r="G32086" s="8"/>
      <c r="J32086" s="8"/>
    </row>
    <row r="32087">
      <c r="C32087" s="15"/>
      <c r="E32087" s="8"/>
      <c r="G32087" s="8"/>
      <c r="J32087" s="8"/>
    </row>
    <row r="32088">
      <c r="C32088" s="15"/>
      <c r="E32088" s="8"/>
      <c r="G32088" s="8"/>
      <c r="J32088" s="8"/>
    </row>
    <row r="32089">
      <c r="C32089" s="15"/>
      <c r="E32089" s="8"/>
      <c r="G32089" s="8"/>
      <c r="J32089" s="8"/>
    </row>
    <row r="32090">
      <c r="C32090" s="15"/>
      <c r="E32090" s="8"/>
      <c r="G32090" s="8"/>
      <c r="J32090" s="8"/>
    </row>
    <row r="32091">
      <c r="C32091" s="15"/>
      <c r="E32091" s="8"/>
      <c r="G32091" s="8"/>
      <c r="J32091" s="8"/>
    </row>
    <row r="32092">
      <c r="C32092" s="15"/>
      <c r="E32092" s="8"/>
      <c r="G32092" s="8"/>
      <c r="J32092" s="8"/>
    </row>
    <row r="32093">
      <c r="C32093" s="15"/>
      <c r="E32093" s="8"/>
      <c r="G32093" s="8"/>
      <c r="J32093" s="8"/>
    </row>
    <row r="32094">
      <c r="C32094" s="15"/>
      <c r="E32094" s="8"/>
      <c r="G32094" s="8"/>
      <c r="J32094" s="8"/>
    </row>
    <row r="32095">
      <c r="C32095" s="15"/>
      <c r="E32095" s="8"/>
      <c r="G32095" s="8"/>
      <c r="J32095" s="8"/>
    </row>
    <row r="32096">
      <c r="C32096" s="15"/>
      <c r="E32096" s="8"/>
      <c r="G32096" s="8"/>
      <c r="J32096" s="8"/>
    </row>
    <row r="32097">
      <c r="C32097" s="15"/>
      <c r="E32097" s="8"/>
      <c r="G32097" s="8"/>
      <c r="J32097" s="8"/>
    </row>
    <row r="32098">
      <c r="C32098" s="15"/>
      <c r="E32098" s="8"/>
      <c r="G32098" s="8"/>
      <c r="J32098" s="8"/>
    </row>
    <row r="32099">
      <c r="C32099" s="15"/>
      <c r="E32099" s="8"/>
      <c r="G32099" s="8"/>
      <c r="J32099" s="8"/>
    </row>
    <row r="32100">
      <c r="C32100" s="15"/>
      <c r="E32100" s="8"/>
      <c r="G32100" s="8"/>
      <c r="J32100" s="8"/>
    </row>
    <row r="32101">
      <c r="C32101" s="15"/>
      <c r="E32101" s="8"/>
      <c r="G32101" s="8"/>
      <c r="J32101" s="8"/>
    </row>
    <row r="32102">
      <c r="C32102" s="15"/>
      <c r="E32102" s="8"/>
      <c r="G32102" s="8"/>
      <c r="J32102" s="8"/>
    </row>
    <row r="32103">
      <c r="C32103" s="15"/>
      <c r="E32103" s="8"/>
      <c r="G32103" s="8"/>
      <c r="J32103" s="8"/>
    </row>
    <row r="32104">
      <c r="C32104" s="15"/>
      <c r="E32104" s="8"/>
      <c r="G32104" s="8"/>
      <c r="J32104" s="8"/>
    </row>
    <row r="32105">
      <c r="C32105" s="15"/>
      <c r="E32105" s="8"/>
      <c r="G32105" s="8"/>
      <c r="J32105" s="8"/>
    </row>
    <row r="32106">
      <c r="C32106" s="15"/>
      <c r="E32106" s="8"/>
      <c r="G32106" s="8"/>
      <c r="J32106" s="8"/>
    </row>
    <row r="32107">
      <c r="C32107" s="15"/>
      <c r="E32107" s="8"/>
      <c r="G32107" s="8"/>
      <c r="J32107" s="8"/>
    </row>
    <row r="32108">
      <c r="C32108" s="15"/>
      <c r="E32108" s="8"/>
      <c r="G32108" s="8"/>
      <c r="J32108" s="8"/>
    </row>
    <row r="32109">
      <c r="C32109" s="15"/>
      <c r="E32109" s="8"/>
      <c r="G32109" s="8"/>
      <c r="J32109" s="8"/>
    </row>
    <row r="32110">
      <c r="C32110" s="15"/>
      <c r="E32110" s="8"/>
      <c r="G32110" s="8"/>
      <c r="J32110" s="8"/>
    </row>
    <row r="32111">
      <c r="C32111" s="15"/>
      <c r="E32111" s="8"/>
      <c r="G32111" s="8"/>
      <c r="J32111" s="8"/>
    </row>
    <row r="32112">
      <c r="C32112" s="15"/>
      <c r="E32112" s="8"/>
      <c r="G32112" s="8"/>
      <c r="J32112" s="8"/>
    </row>
    <row r="32113">
      <c r="C32113" s="15"/>
      <c r="E32113" s="8"/>
      <c r="G32113" s="8"/>
      <c r="J32113" s="8"/>
    </row>
    <row r="32114">
      <c r="C32114" s="15"/>
      <c r="E32114" s="8"/>
      <c r="G32114" s="8"/>
      <c r="J32114" s="8"/>
    </row>
    <row r="32115">
      <c r="C32115" s="15"/>
      <c r="E32115" s="8"/>
      <c r="G32115" s="8"/>
      <c r="J32115" s="8"/>
    </row>
    <row r="32116">
      <c r="C32116" s="15"/>
      <c r="E32116" s="8"/>
      <c r="G32116" s="8"/>
      <c r="J32116" s="8"/>
    </row>
    <row r="32117">
      <c r="C32117" s="15"/>
      <c r="E32117" s="8"/>
      <c r="G32117" s="8"/>
      <c r="J32117" s="8"/>
    </row>
    <row r="32118">
      <c r="C32118" s="15"/>
      <c r="E32118" s="8"/>
      <c r="G32118" s="8"/>
      <c r="J32118" s="8"/>
    </row>
    <row r="32119">
      <c r="C32119" s="15"/>
      <c r="E32119" s="8"/>
      <c r="G32119" s="8"/>
      <c r="J32119" s="8"/>
    </row>
    <row r="32120">
      <c r="C32120" s="15"/>
      <c r="E32120" s="8"/>
      <c r="G32120" s="8"/>
      <c r="J32120" s="8"/>
    </row>
    <row r="32121">
      <c r="C32121" s="15"/>
      <c r="E32121" s="8"/>
      <c r="G32121" s="8"/>
      <c r="J32121" s="8"/>
    </row>
    <row r="32122">
      <c r="C32122" s="15"/>
      <c r="E32122" s="8"/>
      <c r="G32122" s="8"/>
      <c r="J32122" s="8"/>
    </row>
    <row r="32123">
      <c r="C32123" s="15"/>
      <c r="E32123" s="8"/>
      <c r="G32123" s="8"/>
      <c r="J32123" s="8"/>
    </row>
    <row r="32124">
      <c r="C32124" s="15"/>
      <c r="E32124" s="8"/>
      <c r="G32124" s="8"/>
      <c r="J32124" s="8"/>
    </row>
    <row r="32125">
      <c r="C32125" s="15"/>
      <c r="E32125" s="8"/>
      <c r="G32125" s="8"/>
      <c r="J32125" s="8"/>
    </row>
    <row r="32126">
      <c r="C32126" s="15"/>
      <c r="E32126" s="8"/>
      <c r="G32126" s="8"/>
      <c r="J32126" s="8"/>
    </row>
    <row r="32127">
      <c r="C32127" s="15"/>
      <c r="E32127" s="8"/>
      <c r="G32127" s="8"/>
      <c r="J32127" s="8"/>
    </row>
    <row r="32128">
      <c r="C32128" s="15"/>
      <c r="E32128" s="8"/>
      <c r="G32128" s="8"/>
      <c r="J32128" s="8"/>
    </row>
    <row r="32129">
      <c r="C32129" s="15"/>
      <c r="E32129" s="8"/>
      <c r="G32129" s="8"/>
      <c r="J32129" s="8"/>
    </row>
    <row r="32130">
      <c r="C32130" s="15"/>
      <c r="E32130" s="8"/>
      <c r="G32130" s="8"/>
      <c r="J32130" s="8"/>
    </row>
    <row r="32131">
      <c r="C32131" s="15"/>
      <c r="E32131" s="8"/>
      <c r="G32131" s="8"/>
      <c r="J32131" s="8"/>
    </row>
    <row r="32132">
      <c r="C32132" s="15"/>
      <c r="E32132" s="8"/>
      <c r="G32132" s="8"/>
      <c r="J32132" s="8"/>
    </row>
    <row r="32133">
      <c r="C32133" s="15"/>
      <c r="E32133" s="8"/>
      <c r="G32133" s="8"/>
      <c r="J32133" s="8"/>
    </row>
    <row r="32134">
      <c r="C32134" s="15"/>
      <c r="E32134" s="8"/>
      <c r="G32134" s="8"/>
      <c r="J32134" s="8"/>
    </row>
    <row r="32135">
      <c r="C32135" s="15"/>
      <c r="E32135" s="8"/>
      <c r="G32135" s="8"/>
      <c r="J32135" s="8"/>
    </row>
    <row r="32136">
      <c r="C32136" s="15"/>
      <c r="E32136" s="8"/>
      <c r="G32136" s="8"/>
      <c r="J32136" s="8"/>
    </row>
    <row r="32137">
      <c r="C32137" s="15"/>
      <c r="E32137" s="8"/>
      <c r="G32137" s="8"/>
      <c r="J32137" s="8"/>
    </row>
    <row r="32138">
      <c r="C32138" s="15"/>
      <c r="E32138" s="8"/>
      <c r="G32138" s="8"/>
      <c r="J32138" s="8"/>
    </row>
    <row r="32139">
      <c r="C32139" s="15"/>
      <c r="E32139" s="8"/>
      <c r="G32139" s="8"/>
      <c r="J32139" s="8"/>
    </row>
    <row r="32140">
      <c r="C32140" s="15"/>
      <c r="E32140" s="8"/>
      <c r="G32140" s="8"/>
      <c r="J32140" s="8"/>
    </row>
    <row r="32141">
      <c r="C32141" s="15"/>
      <c r="E32141" s="8"/>
      <c r="G32141" s="8"/>
      <c r="J32141" s="8"/>
    </row>
    <row r="32142">
      <c r="C32142" s="15"/>
      <c r="E32142" s="8"/>
      <c r="G32142" s="8"/>
      <c r="J32142" s="8"/>
    </row>
    <row r="32143">
      <c r="C32143" s="15"/>
      <c r="E32143" s="8"/>
      <c r="G32143" s="8"/>
      <c r="J32143" s="8"/>
    </row>
    <row r="32144">
      <c r="C32144" s="15"/>
      <c r="E32144" s="8"/>
      <c r="G32144" s="8"/>
      <c r="J32144" s="8"/>
    </row>
    <row r="32145">
      <c r="C32145" s="15"/>
      <c r="E32145" s="8"/>
      <c r="G32145" s="8"/>
      <c r="J32145" s="8"/>
    </row>
    <row r="32146">
      <c r="C32146" s="15"/>
      <c r="E32146" s="8"/>
      <c r="G32146" s="8"/>
      <c r="J32146" s="8"/>
    </row>
    <row r="32147">
      <c r="C32147" s="15"/>
      <c r="E32147" s="8"/>
      <c r="G32147" s="8"/>
      <c r="J32147" s="8"/>
    </row>
    <row r="32148">
      <c r="C32148" s="15"/>
      <c r="E32148" s="8"/>
      <c r="G32148" s="8"/>
      <c r="J32148" s="8"/>
    </row>
    <row r="32149">
      <c r="C32149" s="15"/>
      <c r="E32149" s="8"/>
      <c r="G32149" s="8"/>
      <c r="J32149" s="8"/>
    </row>
    <row r="32150">
      <c r="C32150" s="15"/>
      <c r="E32150" s="8"/>
      <c r="G32150" s="8"/>
      <c r="J32150" s="8"/>
    </row>
    <row r="32151">
      <c r="C32151" s="15"/>
      <c r="E32151" s="8"/>
      <c r="G32151" s="8"/>
      <c r="J32151" s="8"/>
    </row>
    <row r="32152">
      <c r="C32152" s="15"/>
      <c r="E32152" s="8"/>
      <c r="G32152" s="8"/>
      <c r="J32152" s="8"/>
    </row>
    <row r="32153">
      <c r="C32153" s="15"/>
      <c r="E32153" s="8"/>
      <c r="G32153" s="8"/>
      <c r="J32153" s="8"/>
    </row>
    <row r="32154">
      <c r="C32154" s="15"/>
      <c r="E32154" s="8"/>
      <c r="G32154" s="8"/>
      <c r="J32154" s="8"/>
    </row>
    <row r="32155">
      <c r="C32155" s="15"/>
      <c r="E32155" s="8"/>
      <c r="G32155" s="8"/>
      <c r="J32155" s="8"/>
    </row>
    <row r="32156">
      <c r="C32156" s="15"/>
      <c r="E32156" s="8"/>
      <c r="G32156" s="8"/>
      <c r="J32156" s="8"/>
    </row>
    <row r="32157">
      <c r="C32157" s="15"/>
      <c r="E32157" s="8"/>
      <c r="G32157" s="8"/>
      <c r="J32157" s="8"/>
    </row>
    <row r="32158">
      <c r="C32158" s="15"/>
      <c r="E32158" s="8"/>
      <c r="G32158" s="8"/>
      <c r="J32158" s="8"/>
    </row>
    <row r="32159">
      <c r="C32159" s="15"/>
      <c r="E32159" s="8"/>
      <c r="G32159" s="8"/>
      <c r="J32159" s="8"/>
    </row>
    <row r="32160">
      <c r="C32160" s="15"/>
      <c r="E32160" s="8"/>
      <c r="G32160" s="8"/>
      <c r="J32160" s="8"/>
    </row>
    <row r="32161">
      <c r="C32161" s="15"/>
      <c r="E32161" s="8"/>
      <c r="G32161" s="8"/>
      <c r="J32161" s="8"/>
    </row>
    <row r="32162">
      <c r="C32162" s="15"/>
      <c r="E32162" s="8"/>
      <c r="G32162" s="8"/>
      <c r="J32162" s="8"/>
    </row>
    <row r="32163">
      <c r="C32163" s="15"/>
      <c r="E32163" s="8"/>
      <c r="G32163" s="8"/>
      <c r="J32163" s="8"/>
    </row>
    <row r="32164">
      <c r="C32164" s="15"/>
      <c r="E32164" s="8"/>
      <c r="G32164" s="8"/>
      <c r="J32164" s="8"/>
    </row>
    <row r="32165">
      <c r="C32165" s="15"/>
      <c r="E32165" s="8"/>
      <c r="G32165" s="8"/>
      <c r="J32165" s="8"/>
    </row>
    <row r="32166">
      <c r="C32166" s="15"/>
      <c r="E32166" s="8"/>
      <c r="G32166" s="8"/>
      <c r="J32166" s="8"/>
    </row>
    <row r="32167">
      <c r="C32167" s="15"/>
      <c r="E32167" s="8"/>
      <c r="G32167" s="8"/>
      <c r="J32167" s="8"/>
    </row>
    <row r="32168">
      <c r="C32168" s="15"/>
      <c r="E32168" s="8"/>
      <c r="G32168" s="8"/>
      <c r="J32168" s="8"/>
    </row>
    <row r="32169">
      <c r="C32169" s="15"/>
      <c r="E32169" s="8"/>
      <c r="G32169" s="8"/>
      <c r="J32169" s="8"/>
    </row>
    <row r="32170">
      <c r="C32170" s="15"/>
      <c r="E32170" s="8"/>
      <c r="G32170" s="8"/>
      <c r="J32170" s="8"/>
    </row>
    <row r="32171">
      <c r="C32171" s="15"/>
      <c r="E32171" s="8"/>
      <c r="G32171" s="8"/>
      <c r="J32171" s="8"/>
    </row>
    <row r="32172">
      <c r="C32172" s="15"/>
      <c r="E32172" s="8"/>
      <c r="G32172" s="8"/>
      <c r="J32172" s="8"/>
    </row>
    <row r="32173">
      <c r="C32173" s="15"/>
      <c r="E32173" s="8"/>
      <c r="G32173" s="8"/>
      <c r="J32173" s="8"/>
    </row>
    <row r="32174">
      <c r="C32174" s="15"/>
      <c r="E32174" s="8"/>
      <c r="G32174" s="8"/>
      <c r="J32174" s="8"/>
    </row>
    <row r="32175">
      <c r="C32175" s="15"/>
      <c r="E32175" s="8"/>
      <c r="G32175" s="8"/>
      <c r="J32175" s="8"/>
    </row>
    <row r="32176">
      <c r="C32176" s="15"/>
      <c r="E32176" s="8"/>
      <c r="G32176" s="8"/>
      <c r="J32176" s="8"/>
    </row>
    <row r="32177">
      <c r="C32177" s="15"/>
      <c r="E32177" s="8"/>
      <c r="G32177" s="8"/>
      <c r="J32177" s="8"/>
    </row>
    <row r="32178">
      <c r="C32178" s="15"/>
      <c r="E32178" s="8"/>
      <c r="G32178" s="8"/>
      <c r="J32178" s="8"/>
    </row>
    <row r="32179">
      <c r="C32179" s="15"/>
      <c r="E32179" s="8"/>
      <c r="G32179" s="8"/>
      <c r="J32179" s="8"/>
    </row>
    <row r="32180">
      <c r="C32180" s="15"/>
      <c r="E32180" s="8"/>
      <c r="G32180" s="8"/>
      <c r="J32180" s="8"/>
    </row>
    <row r="32181">
      <c r="C32181" s="15"/>
      <c r="E32181" s="8"/>
      <c r="G32181" s="8"/>
      <c r="J32181" s="8"/>
    </row>
    <row r="32182">
      <c r="C32182" s="15"/>
      <c r="E32182" s="8"/>
      <c r="G32182" s="8"/>
      <c r="J32182" s="8"/>
    </row>
    <row r="32183">
      <c r="C32183" s="15"/>
      <c r="E32183" s="8"/>
      <c r="G32183" s="8"/>
      <c r="J32183" s="8"/>
    </row>
    <row r="32184">
      <c r="C32184" s="15"/>
      <c r="E32184" s="8"/>
      <c r="G32184" s="8"/>
      <c r="J32184" s="8"/>
    </row>
    <row r="32185">
      <c r="C32185" s="15"/>
      <c r="E32185" s="8"/>
      <c r="G32185" s="8"/>
      <c r="J32185" s="8"/>
    </row>
    <row r="32186">
      <c r="C32186" s="15"/>
      <c r="E32186" s="8"/>
      <c r="G32186" s="8"/>
      <c r="J32186" s="8"/>
    </row>
    <row r="32187">
      <c r="C32187" s="15"/>
      <c r="E32187" s="8"/>
      <c r="G32187" s="8"/>
      <c r="J32187" s="8"/>
    </row>
    <row r="32188">
      <c r="C32188" s="15"/>
      <c r="E32188" s="8"/>
      <c r="G32188" s="8"/>
      <c r="J32188" s="8"/>
    </row>
    <row r="32189">
      <c r="C32189" s="15"/>
      <c r="E32189" s="8"/>
      <c r="G32189" s="8"/>
      <c r="J32189" s="8"/>
    </row>
    <row r="32190">
      <c r="C32190" s="15"/>
      <c r="E32190" s="8"/>
      <c r="G32190" s="8"/>
      <c r="J32190" s="8"/>
    </row>
    <row r="32191">
      <c r="C32191" s="15"/>
      <c r="E32191" s="8"/>
      <c r="G32191" s="8"/>
      <c r="J32191" s="8"/>
    </row>
    <row r="32192">
      <c r="C32192" s="15"/>
      <c r="E32192" s="8"/>
      <c r="G32192" s="8"/>
      <c r="J32192" s="8"/>
    </row>
    <row r="32193">
      <c r="C32193" s="15"/>
      <c r="E32193" s="8"/>
      <c r="G32193" s="8"/>
      <c r="J32193" s="8"/>
    </row>
    <row r="32194">
      <c r="C32194" s="15"/>
      <c r="E32194" s="8"/>
      <c r="G32194" s="8"/>
      <c r="J32194" s="8"/>
    </row>
    <row r="32195">
      <c r="C32195" s="15"/>
      <c r="E32195" s="8"/>
      <c r="G32195" s="8"/>
      <c r="J32195" s="8"/>
    </row>
    <row r="32196">
      <c r="C32196" s="15"/>
      <c r="E32196" s="8"/>
      <c r="G32196" s="8"/>
      <c r="J32196" s="8"/>
    </row>
    <row r="32197">
      <c r="C32197" s="15"/>
      <c r="E32197" s="8"/>
      <c r="G32197" s="8"/>
      <c r="J32197" s="8"/>
    </row>
    <row r="32198">
      <c r="C32198" s="15"/>
      <c r="E32198" s="8"/>
      <c r="G32198" s="8"/>
      <c r="J32198" s="8"/>
    </row>
    <row r="32199">
      <c r="C32199" s="15"/>
      <c r="E32199" s="8"/>
      <c r="G32199" s="8"/>
      <c r="J32199" s="8"/>
    </row>
    <row r="32200">
      <c r="C32200" s="15"/>
      <c r="E32200" s="8"/>
      <c r="G32200" s="8"/>
      <c r="J32200" s="8"/>
    </row>
    <row r="32201">
      <c r="C32201" s="15"/>
      <c r="E32201" s="8"/>
      <c r="G32201" s="8"/>
      <c r="J32201" s="8"/>
    </row>
    <row r="32202">
      <c r="C32202" s="15"/>
      <c r="E32202" s="8"/>
      <c r="G32202" s="8"/>
      <c r="J32202" s="8"/>
    </row>
    <row r="32203">
      <c r="C32203" s="15"/>
      <c r="E32203" s="8"/>
      <c r="G32203" s="8"/>
      <c r="J32203" s="8"/>
    </row>
    <row r="32204">
      <c r="C32204" s="15"/>
      <c r="E32204" s="8"/>
      <c r="G32204" s="8"/>
      <c r="J32204" s="8"/>
    </row>
    <row r="32205">
      <c r="C32205" s="15"/>
      <c r="E32205" s="8"/>
      <c r="G32205" s="8"/>
      <c r="J32205" s="8"/>
    </row>
    <row r="32206">
      <c r="C32206" s="15"/>
      <c r="E32206" s="8"/>
      <c r="G32206" s="8"/>
      <c r="J32206" s="8"/>
    </row>
    <row r="32207">
      <c r="C32207" s="15"/>
      <c r="E32207" s="8"/>
      <c r="G32207" s="8"/>
      <c r="J32207" s="8"/>
    </row>
    <row r="32208">
      <c r="C32208" s="15"/>
      <c r="E32208" s="8"/>
      <c r="G32208" s="8"/>
      <c r="J32208" s="8"/>
    </row>
    <row r="32209">
      <c r="C32209" s="15"/>
      <c r="E32209" s="8"/>
      <c r="G32209" s="8"/>
      <c r="J32209" s="8"/>
    </row>
    <row r="32210">
      <c r="C32210" s="15"/>
      <c r="E32210" s="8"/>
      <c r="G32210" s="8"/>
      <c r="J32210" s="8"/>
    </row>
    <row r="32211">
      <c r="C32211" s="15"/>
      <c r="E32211" s="8"/>
      <c r="G32211" s="8"/>
      <c r="J32211" s="8"/>
    </row>
    <row r="32212">
      <c r="C32212" s="15"/>
      <c r="E32212" s="8"/>
      <c r="G32212" s="8"/>
      <c r="J32212" s="8"/>
    </row>
    <row r="32213">
      <c r="C32213" s="15"/>
      <c r="E32213" s="8"/>
      <c r="G32213" s="8"/>
      <c r="J32213" s="8"/>
    </row>
    <row r="32214">
      <c r="C32214" s="15"/>
      <c r="E32214" s="8"/>
      <c r="G32214" s="8"/>
      <c r="J32214" s="8"/>
    </row>
    <row r="32215">
      <c r="C32215" s="15"/>
      <c r="E32215" s="8"/>
      <c r="G32215" s="8"/>
      <c r="J32215" s="8"/>
    </row>
    <row r="32216">
      <c r="C32216" s="15"/>
      <c r="E32216" s="8"/>
      <c r="G32216" s="8"/>
      <c r="J32216" s="8"/>
    </row>
    <row r="32217">
      <c r="C32217" s="15"/>
      <c r="E32217" s="8"/>
      <c r="G32217" s="8"/>
      <c r="J32217" s="8"/>
    </row>
    <row r="32218">
      <c r="C32218" s="15"/>
      <c r="E32218" s="8"/>
      <c r="G32218" s="8"/>
      <c r="J32218" s="8"/>
    </row>
    <row r="32219">
      <c r="C32219" s="15"/>
      <c r="E32219" s="8"/>
      <c r="G32219" s="8"/>
      <c r="J32219" s="8"/>
    </row>
    <row r="32220">
      <c r="C32220" s="15"/>
      <c r="E32220" s="8"/>
      <c r="G32220" s="8"/>
      <c r="J32220" s="8"/>
    </row>
    <row r="32221">
      <c r="C32221" s="15"/>
      <c r="E32221" s="8"/>
      <c r="G32221" s="8"/>
      <c r="J32221" s="8"/>
    </row>
    <row r="32222">
      <c r="C32222" s="15"/>
      <c r="E32222" s="8"/>
      <c r="G32222" s="8"/>
      <c r="J32222" s="8"/>
    </row>
    <row r="32223">
      <c r="C32223" s="15"/>
      <c r="E32223" s="8"/>
      <c r="G32223" s="8"/>
      <c r="J32223" s="8"/>
    </row>
    <row r="32224">
      <c r="C32224" s="15"/>
      <c r="E32224" s="8"/>
      <c r="G32224" s="8"/>
      <c r="J32224" s="8"/>
    </row>
    <row r="32225">
      <c r="C32225" s="15"/>
      <c r="E32225" s="8"/>
      <c r="G32225" s="8"/>
      <c r="J32225" s="8"/>
    </row>
    <row r="32226">
      <c r="C32226" s="15"/>
      <c r="E32226" s="8"/>
      <c r="G32226" s="8"/>
      <c r="J32226" s="8"/>
    </row>
    <row r="32227">
      <c r="C32227" s="15"/>
      <c r="E32227" s="8"/>
      <c r="G32227" s="8"/>
      <c r="J32227" s="8"/>
    </row>
    <row r="32228">
      <c r="C32228" s="15"/>
      <c r="E32228" s="8"/>
      <c r="G32228" s="8"/>
      <c r="J32228" s="8"/>
    </row>
    <row r="32229">
      <c r="C32229" s="15"/>
      <c r="E32229" s="8"/>
      <c r="G32229" s="8"/>
      <c r="J32229" s="8"/>
    </row>
    <row r="32230">
      <c r="C32230" s="15"/>
      <c r="E32230" s="8"/>
      <c r="G32230" s="8"/>
      <c r="J32230" s="8"/>
    </row>
    <row r="32231">
      <c r="C32231" s="15"/>
      <c r="E32231" s="8"/>
      <c r="G32231" s="8"/>
      <c r="J32231" s="8"/>
    </row>
    <row r="32232">
      <c r="C32232" s="15"/>
      <c r="E32232" s="8"/>
      <c r="G32232" s="8"/>
      <c r="J32232" s="8"/>
    </row>
    <row r="32233">
      <c r="C32233" s="15"/>
      <c r="E32233" s="8"/>
      <c r="G32233" s="8"/>
      <c r="J32233" s="8"/>
    </row>
    <row r="32234">
      <c r="C32234" s="15"/>
      <c r="E32234" s="8"/>
      <c r="G32234" s="8"/>
      <c r="J32234" s="8"/>
    </row>
    <row r="32235">
      <c r="C32235" s="15"/>
      <c r="E32235" s="8"/>
      <c r="G32235" s="8"/>
      <c r="J32235" s="8"/>
    </row>
    <row r="32236">
      <c r="C32236" s="15"/>
      <c r="E32236" s="8"/>
      <c r="G32236" s="8"/>
      <c r="J32236" s="8"/>
    </row>
    <row r="32237">
      <c r="C32237" s="15"/>
      <c r="E32237" s="8"/>
      <c r="G32237" s="8"/>
      <c r="J32237" s="8"/>
    </row>
    <row r="32238">
      <c r="C32238" s="15"/>
      <c r="E32238" s="8"/>
      <c r="G32238" s="8"/>
      <c r="J32238" s="8"/>
    </row>
    <row r="32239">
      <c r="C32239" s="15"/>
      <c r="E32239" s="8"/>
      <c r="G32239" s="8"/>
      <c r="J32239" s="8"/>
    </row>
    <row r="32240">
      <c r="C32240" s="15"/>
      <c r="E32240" s="8"/>
      <c r="G32240" s="8"/>
      <c r="J32240" s="8"/>
    </row>
    <row r="32241">
      <c r="C32241" s="15"/>
      <c r="E32241" s="8"/>
      <c r="G32241" s="8"/>
      <c r="J32241" s="8"/>
    </row>
    <row r="32242">
      <c r="C32242" s="15"/>
      <c r="E32242" s="8"/>
      <c r="G32242" s="8"/>
      <c r="J32242" s="8"/>
    </row>
    <row r="32243">
      <c r="C32243" s="15"/>
      <c r="E32243" s="8"/>
      <c r="G32243" s="8"/>
      <c r="J32243" s="8"/>
    </row>
    <row r="32244">
      <c r="C32244" s="15"/>
      <c r="E32244" s="8"/>
      <c r="G32244" s="8"/>
      <c r="J32244" s="8"/>
    </row>
    <row r="32245">
      <c r="C32245" s="15"/>
      <c r="E32245" s="8"/>
      <c r="G32245" s="8"/>
      <c r="J32245" s="8"/>
    </row>
    <row r="32246">
      <c r="C32246" s="15"/>
      <c r="E32246" s="8"/>
      <c r="G32246" s="8"/>
      <c r="J32246" s="8"/>
    </row>
    <row r="32247">
      <c r="C32247" s="15"/>
      <c r="E32247" s="8"/>
      <c r="G32247" s="8"/>
      <c r="J32247" s="8"/>
    </row>
    <row r="32248">
      <c r="C32248" s="15"/>
      <c r="E32248" s="8"/>
      <c r="G32248" s="8"/>
      <c r="J32248" s="8"/>
    </row>
    <row r="32249">
      <c r="C32249" s="15"/>
      <c r="E32249" s="8"/>
      <c r="G32249" s="8"/>
      <c r="J32249" s="8"/>
    </row>
    <row r="32250">
      <c r="C32250" s="15"/>
      <c r="E32250" s="8"/>
      <c r="G32250" s="8"/>
      <c r="J32250" s="8"/>
    </row>
    <row r="32251">
      <c r="C32251" s="15"/>
      <c r="E32251" s="8"/>
      <c r="G32251" s="8"/>
      <c r="J32251" s="8"/>
    </row>
    <row r="32252">
      <c r="C32252" s="15"/>
      <c r="E32252" s="8"/>
      <c r="G32252" s="8"/>
      <c r="J32252" s="8"/>
    </row>
    <row r="32253">
      <c r="C32253" s="15"/>
      <c r="E32253" s="8"/>
      <c r="G32253" s="8"/>
      <c r="J32253" s="8"/>
    </row>
    <row r="32254">
      <c r="C32254" s="15"/>
      <c r="E32254" s="8"/>
      <c r="G32254" s="8"/>
      <c r="J32254" s="8"/>
    </row>
    <row r="32255">
      <c r="C32255" s="15"/>
      <c r="E32255" s="8"/>
      <c r="G32255" s="8"/>
      <c r="J32255" s="8"/>
    </row>
    <row r="32256">
      <c r="C32256" s="15"/>
      <c r="E32256" s="8"/>
      <c r="G32256" s="8"/>
      <c r="J32256" s="8"/>
    </row>
    <row r="32257">
      <c r="C32257" s="15"/>
      <c r="E32257" s="8"/>
      <c r="G32257" s="8"/>
      <c r="J32257" s="8"/>
    </row>
    <row r="32258">
      <c r="C32258" s="15"/>
      <c r="E32258" s="8"/>
      <c r="G32258" s="8"/>
      <c r="J32258" s="8"/>
    </row>
    <row r="32259">
      <c r="C32259" s="15"/>
      <c r="E32259" s="8"/>
      <c r="G32259" s="8"/>
      <c r="J32259" s="8"/>
    </row>
    <row r="32260">
      <c r="C32260" s="15"/>
      <c r="E32260" s="8"/>
      <c r="G32260" s="8"/>
      <c r="J32260" s="8"/>
    </row>
    <row r="32261">
      <c r="C32261" s="15"/>
      <c r="E32261" s="8"/>
      <c r="G32261" s="8"/>
      <c r="J32261" s="8"/>
    </row>
    <row r="32262">
      <c r="C32262" s="15"/>
      <c r="E32262" s="8"/>
      <c r="G32262" s="8"/>
      <c r="J32262" s="8"/>
    </row>
    <row r="32263">
      <c r="C32263" s="15"/>
      <c r="E32263" s="8"/>
      <c r="G32263" s="8"/>
      <c r="J32263" s="8"/>
    </row>
    <row r="32264">
      <c r="C32264" s="15"/>
      <c r="E32264" s="8"/>
      <c r="G32264" s="8"/>
      <c r="J32264" s="8"/>
    </row>
    <row r="32265">
      <c r="C32265" s="15"/>
      <c r="E32265" s="8"/>
      <c r="G32265" s="8"/>
      <c r="J32265" s="8"/>
    </row>
    <row r="32266">
      <c r="C32266" s="15"/>
      <c r="E32266" s="8"/>
      <c r="G32266" s="8"/>
      <c r="J32266" s="8"/>
    </row>
    <row r="32267">
      <c r="C32267" s="15"/>
      <c r="E32267" s="8"/>
      <c r="G32267" s="8"/>
      <c r="J32267" s="8"/>
    </row>
    <row r="32268">
      <c r="C32268" s="15"/>
      <c r="E32268" s="8"/>
      <c r="G32268" s="8"/>
      <c r="J32268" s="8"/>
    </row>
    <row r="32269">
      <c r="C32269" s="15"/>
      <c r="E32269" s="8"/>
      <c r="G32269" s="8"/>
      <c r="J32269" s="8"/>
    </row>
    <row r="32270">
      <c r="C32270" s="15"/>
      <c r="E32270" s="8"/>
      <c r="G32270" s="8"/>
      <c r="J32270" s="8"/>
    </row>
    <row r="32271">
      <c r="C32271" s="15"/>
      <c r="E32271" s="8"/>
      <c r="G32271" s="8"/>
      <c r="J32271" s="8"/>
    </row>
    <row r="32272">
      <c r="C32272" s="15"/>
      <c r="E32272" s="8"/>
      <c r="G32272" s="8"/>
      <c r="J32272" s="8"/>
    </row>
    <row r="32273">
      <c r="C32273" s="15"/>
      <c r="E32273" s="8"/>
      <c r="G32273" s="8"/>
      <c r="J32273" s="8"/>
    </row>
    <row r="32274">
      <c r="C32274" s="15"/>
      <c r="E32274" s="8"/>
      <c r="G32274" s="8"/>
      <c r="J32274" s="8"/>
    </row>
    <row r="32275">
      <c r="C32275" s="15"/>
      <c r="E32275" s="8"/>
      <c r="G32275" s="8"/>
      <c r="J32275" s="8"/>
    </row>
    <row r="32276">
      <c r="C32276" s="15"/>
      <c r="E32276" s="8"/>
      <c r="G32276" s="8"/>
      <c r="J32276" s="8"/>
    </row>
    <row r="32277">
      <c r="C32277" s="15"/>
      <c r="E32277" s="8"/>
      <c r="G32277" s="8"/>
      <c r="J32277" s="8"/>
    </row>
    <row r="32278">
      <c r="C32278" s="15"/>
      <c r="E32278" s="8"/>
      <c r="G32278" s="8"/>
      <c r="J32278" s="8"/>
    </row>
    <row r="32279">
      <c r="C32279" s="15"/>
      <c r="E32279" s="8"/>
      <c r="G32279" s="8"/>
      <c r="J32279" s="8"/>
    </row>
    <row r="32280">
      <c r="C32280" s="15"/>
      <c r="E32280" s="8"/>
      <c r="G32280" s="8"/>
      <c r="J32280" s="8"/>
    </row>
    <row r="32281">
      <c r="C32281" s="15"/>
      <c r="E32281" s="8"/>
      <c r="G32281" s="8"/>
      <c r="J32281" s="8"/>
    </row>
    <row r="32282">
      <c r="C32282" s="15"/>
      <c r="E32282" s="8"/>
      <c r="G32282" s="8"/>
      <c r="J32282" s="8"/>
    </row>
    <row r="32283">
      <c r="C32283" s="15"/>
      <c r="E32283" s="8"/>
      <c r="G32283" s="8"/>
      <c r="J32283" s="8"/>
    </row>
    <row r="32284">
      <c r="C32284" s="15"/>
      <c r="E32284" s="8"/>
      <c r="G32284" s="8"/>
      <c r="J32284" s="8"/>
    </row>
    <row r="32285">
      <c r="C32285" s="15"/>
      <c r="E32285" s="8"/>
      <c r="G32285" s="8"/>
      <c r="J32285" s="8"/>
    </row>
    <row r="32286">
      <c r="C32286" s="15"/>
      <c r="E32286" s="8"/>
      <c r="G32286" s="8"/>
      <c r="J32286" s="8"/>
    </row>
    <row r="32287">
      <c r="C32287" s="15"/>
      <c r="E32287" s="8"/>
      <c r="G32287" s="8"/>
      <c r="J32287" s="8"/>
    </row>
    <row r="32288">
      <c r="C32288" s="15"/>
      <c r="E32288" s="8"/>
      <c r="G32288" s="8"/>
      <c r="J32288" s="8"/>
    </row>
    <row r="32289">
      <c r="C32289" s="15"/>
      <c r="E32289" s="8"/>
      <c r="G32289" s="8"/>
      <c r="J32289" s="8"/>
    </row>
    <row r="32290">
      <c r="C32290" s="15"/>
      <c r="E32290" s="8"/>
      <c r="G32290" s="8"/>
      <c r="J32290" s="8"/>
    </row>
    <row r="32291">
      <c r="C32291" s="15"/>
      <c r="E32291" s="8"/>
      <c r="G32291" s="8"/>
      <c r="J32291" s="8"/>
    </row>
    <row r="32292">
      <c r="C32292" s="15"/>
      <c r="E32292" s="8"/>
      <c r="G32292" s="8"/>
      <c r="J32292" s="8"/>
    </row>
    <row r="32293">
      <c r="C32293" s="15"/>
      <c r="E32293" s="8"/>
      <c r="G32293" s="8"/>
      <c r="J32293" s="8"/>
    </row>
    <row r="32294">
      <c r="C32294" s="15"/>
      <c r="E32294" s="8"/>
      <c r="G32294" s="8"/>
      <c r="J32294" s="8"/>
    </row>
    <row r="32295">
      <c r="C32295" s="15"/>
      <c r="E32295" s="8"/>
      <c r="G32295" s="8"/>
      <c r="J32295" s="8"/>
    </row>
    <row r="32296">
      <c r="C32296" s="15"/>
      <c r="E32296" s="8"/>
      <c r="G32296" s="8"/>
      <c r="J32296" s="8"/>
    </row>
    <row r="32297">
      <c r="C32297" s="15"/>
      <c r="E32297" s="8"/>
      <c r="G32297" s="8"/>
      <c r="J32297" s="8"/>
    </row>
    <row r="32298">
      <c r="C32298" s="15"/>
      <c r="E32298" s="8"/>
      <c r="G32298" s="8"/>
      <c r="J32298" s="8"/>
    </row>
    <row r="32299">
      <c r="C32299" s="15"/>
      <c r="E32299" s="8"/>
      <c r="G32299" s="8"/>
      <c r="J32299" s="8"/>
    </row>
    <row r="32300">
      <c r="C32300" s="15"/>
      <c r="E32300" s="8"/>
      <c r="G32300" s="8"/>
      <c r="J32300" s="8"/>
    </row>
    <row r="32301">
      <c r="C32301" s="15"/>
      <c r="E32301" s="8"/>
      <c r="G32301" s="8"/>
      <c r="J32301" s="8"/>
    </row>
    <row r="32302">
      <c r="C32302" s="15"/>
      <c r="E32302" s="8"/>
      <c r="G32302" s="8"/>
      <c r="J32302" s="8"/>
    </row>
    <row r="32303">
      <c r="C32303" s="15"/>
      <c r="E32303" s="8"/>
      <c r="G32303" s="8"/>
      <c r="J32303" s="8"/>
    </row>
    <row r="32304">
      <c r="C32304" s="15"/>
      <c r="E32304" s="8"/>
      <c r="G32304" s="8"/>
      <c r="J32304" s="8"/>
    </row>
    <row r="32305">
      <c r="C32305" s="15"/>
      <c r="E32305" s="8"/>
      <c r="G32305" s="8"/>
      <c r="J32305" s="8"/>
    </row>
    <row r="32306">
      <c r="C32306" s="15"/>
      <c r="E32306" s="8"/>
      <c r="G32306" s="8"/>
      <c r="J32306" s="8"/>
    </row>
    <row r="32307">
      <c r="C32307" s="15"/>
      <c r="E32307" s="8"/>
      <c r="G32307" s="8"/>
      <c r="J32307" s="8"/>
    </row>
    <row r="32308">
      <c r="C32308" s="15"/>
      <c r="E32308" s="8"/>
      <c r="G32308" s="8"/>
      <c r="J32308" s="8"/>
    </row>
    <row r="32309">
      <c r="C32309" s="15"/>
      <c r="E32309" s="8"/>
      <c r="G32309" s="8"/>
      <c r="J32309" s="8"/>
    </row>
    <row r="32310">
      <c r="C32310" s="15"/>
      <c r="E32310" s="8"/>
      <c r="G32310" s="8"/>
      <c r="J32310" s="8"/>
    </row>
    <row r="32311">
      <c r="C32311" s="15"/>
      <c r="E32311" s="8"/>
      <c r="G32311" s="8"/>
      <c r="J32311" s="8"/>
    </row>
    <row r="32312">
      <c r="C32312" s="15"/>
      <c r="E32312" s="8"/>
      <c r="G32312" s="8"/>
      <c r="J32312" s="8"/>
    </row>
    <row r="32313">
      <c r="C32313" s="15"/>
      <c r="E32313" s="8"/>
      <c r="G32313" s="8"/>
      <c r="J32313" s="8"/>
    </row>
    <row r="32314">
      <c r="C32314" s="15"/>
      <c r="E32314" s="8"/>
      <c r="G32314" s="8"/>
      <c r="J32314" s="8"/>
    </row>
    <row r="32315">
      <c r="C32315" s="15"/>
      <c r="E32315" s="8"/>
      <c r="G32315" s="8"/>
      <c r="J32315" s="8"/>
    </row>
    <row r="32316">
      <c r="C32316" s="15"/>
      <c r="E32316" s="8"/>
      <c r="G32316" s="8"/>
      <c r="J32316" s="8"/>
    </row>
    <row r="32317">
      <c r="C32317" s="15"/>
      <c r="E32317" s="8"/>
      <c r="G32317" s="8"/>
      <c r="J32317" s="8"/>
    </row>
    <row r="32318">
      <c r="C32318" s="15"/>
      <c r="E32318" s="8"/>
      <c r="G32318" s="8"/>
      <c r="J32318" s="8"/>
    </row>
    <row r="32319">
      <c r="C32319" s="15"/>
      <c r="E32319" s="8"/>
      <c r="G32319" s="8"/>
      <c r="J32319" s="8"/>
    </row>
    <row r="32320">
      <c r="C32320" s="15"/>
      <c r="E32320" s="8"/>
      <c r="G32320" s="8"/>
      <c r="J32320" s="8"/>
    </row>
    <row r="32321">
      <c r="C32321" s="15"/>
      <c r="E32321" s="8"/>
      <c r="G32321" s="8"/>
      <c r="J32321" s="8"/>
    </row>
    <row r="32322">
      <c r="C32322" s="15"/>
      <c r="E32322" s="8"/>
      <c r="G32322" s="8"/>
      <c r="J32322" s="8"/>
    </row>
    <row r="32323">
      <c r="C32323" s="15"/>
      <c r="E32323" s="8"/>
      <c r="G32323" s="8"/>
      <c r="J32323" s="8"/>
    </row>
    <row r="32324">
      <c r="C32324" s="15"/>
      <c r="E32324" s="8"/>
      <c r="G32324" s="8"/>
      <c r="J32324" s="8"/>
    </row>
    <row r="32325">
      <c r="C32325" s="15"/>
      <c r="E32325" s="8"/>
      <c r="G32325" s="8"/>
      <c r="J32325" s="8"/>
    </row>
    <row r="32326">
      <c r="C32326" s="15"/>
      <c r="E32326" s="8"/>
      <c r="G32326" s="8"/>
      <c r="J32326" s="8"/>
    </row>
    <row r="32327">
      <c r="C32327" s="15"/>
      <c r="E32327" s="8"/>
      <c r="G32327" s="8"/>
      <c r="J32327" s="8"/>
    </row>
    <row r="32328">
      <c r="C32328" s="15"/>
      <c r="E32328" s="8"/>
      <c r="G32328" s="8"/>
      <c r="J32328" s="8"/>
    </row>
    <row r="32329">
      <c r="C32329" s="15"/>
      <c r="E32329" s="8"/>
      <c r="G32329" s="8"/>
      <c r="J32329" s="8"/>
    </row>
    <row r="32330">
      <c r="C32330" s="15"/>
      <c r="E32330" s="8"/>
      <c r="G32330" s="8"/>
      <c r="J32330" s="8"/>
    </row>
    <row r="32331">
      <c r="C32331" s="15"/>
      <c r="E32331" s="8"/>
      <c r="G32331" s="8"/>
      <c r="J32331" s="8"/>
    </row>
    <row r="32332">
      <c r="C32332" s="15"/>
      <c r="E32332" s="8"/>
      <c r="G32332" s="8"/>
      <c r="J32332" s="8"/>
    </row>
    <row r="32333">
      <c r="C32333" s="15"/>
      <c r="E32333" s="8"/>
      <c r="G32333" s="8"/>
      <c r="J32333" s="8"/>
    </row>
    <row r="32334">
      <c r="C32334" s="15"/>
      <c r="E32334" s="8"/>
      <c r="G32334" s="8"/>
      <c r="J32334" s="8"/>
    </row>
    <row r="32335">
      <c r="C32335" s="15"/>
      <c r="E32335" s="8"/>
      <c r="G32335" s="8"/>
      <c r="J32335" s="8"/>
    </row>
    <row r="32336">
      <c r="C32336" s="15"/>
      <c r="E32336" s="8"/>
      <c r="G32336" s="8"/>
      <c r="J32336" s="8"/>
    </row>
    <row r="32337">
      <c r="C32337" s="15"/>
      <c r="E32337" s="8"/>
      <c r="G32337" s="8"/>
      <c r="J32337" s="8"/>
    </row>
    <row r="32338">
      <c r="C32338" s="15"/>
      <c r="E32338" s="8"/>
      <c r="G32338" s="8"/>
      <c r="J32338" s="8"/>
    </row>
    <row r="32339">
      <c r="C32339" s="15"/>
      <c r="E32339" s="8"/>
      <c r="G32339" s="8"/>
      <c r="J32339" s="8"/>
    </row>
    <row r="32340">
      <c r="C32340" s="15"/>
      <c r="E32340" s="8"/>
      <c r="G32340" s="8"/>
      <c r="J32340" s="8"/>
    </row>
    <row r="32341">
      <c r="C32341" s="15"/>
      <c r="E32341" s="8"/>
      <c r="G32341" s="8"/>
      <c r="J32341" s="8"/>
    </row>
    <row r="32342">
      <c r="C32342" s="15"/>
      <c r="E32342" s="8"/>
      <c r="G32342" s="8"/>
      <c r="J32342" s="8"/>
    </row>
    <row r="32343">
      <c r="C32343" s="15"/>
      <c r="E32343" s="8"/>
      <c r="G32343" s="8"/>
      <c r="J32343" s="8"/>
    </row>
    <row r="32344">
      <c r="C32344" s="15"/>
      <c r="E32344" s="8"/>
      <c r="G32344" s="8"/>
      <c r="J32344" s="8"/>
    </row>
    <row r="32345">
      <c r="C32345" s="15"/>
      <c r="E32345" s="8"/>
      <c r="G32345" s="8"/>
      <c r="J32345" s="8"/>
    </row>
    <row r="32346">
      <c r="C32346" s="15"/>
      <c r="E32346" s="8"/>
      <c r="G32346" s="8"/>
      <c r="J32346" s="8"/>
    </row>
    <row r="32347">
      <c r="C32347" s="15"/>
      <c r="E32347" s="8"/>
      <c r="G32347" s="8"/>
      <c r="J32347" s="8"/>
    </row>
    <row r="32348">
      <c r="C32348" s="15"/>
      <c r="E32348" s="8"/>
      <c r="G32348" s="8"/>
      <c r="J32348" s="8"/>
    </row>
    <row r="32349">
      <c r="C32349" s="15"/>
      <c r="E32349" s="8"/>
      <c r="G32349" s="8"/>
      <c r="J32349" s="8"/>
    </row>
    <row r="32350">
      <c r="C32350" s="15"/>
      <c r="E32350" s="8"/>
      <c r="G32350" s="8"/>
      <c r="J32350" s="8"/>
    </row>
    <row r="32351">
      <c r="C32351" s="15"/>
      <c r="E32351" s="8"/>
      <c r="G32351" s="8"/>
      <c r="J32351" s="8"/>
    </row>
    <row r="32352">
      <c r="C32352" s="15"/>
      <c r="E32352" s="8"/>
      <c r="G32352" s="8"/>
      <c r="J32352" s="8"/>
    </row>
    <row r="32353">
      <c r="C32353" s="15"/>
      <c r="E32353" s="8"/>
      <c r="G32353" s="8"/>
      <c r="J32353" s="8"/>
    </row>
    <row r="32354">
      <c r="C32354" s="15"/>
      <c r="E32354" s="8"/>
      <c r="G32354" s="8"/>
      <c r="J32354" s="8"/>
    </row>
    <row r="32355">
      <c r="C32355" s="15"/>
      <c r="E32355" s="8"/>
      <c r="G32355" s="8"/>
      <c r="J32355" s="8"/>
    </row>
    <row r="32356">
      <c r="C32356" s="15"/>
      <c r="E32356" s="8"/>
      <c r="G32356" s="8"/>
      <c r="J32356" s="8"/>
    </row>
    <row r="32357">
      <c r="C32357" s="15"/>
      <c r="E32357" s="8"/>
      <c r="G32357" s="8"/>
      <c r="J32357" s="8"/>
    </row>
    <row r="32358">
      <c r="C32358" s="15"/>
      <c r="E32358" s="8"/>
      <c r="G32358" s="8"/>
      <c r="J32358" s="8"/>
    </row>
    <row r="32359">
      <c r="C32359" s="15"/>
      <c r="E32359" s="8"/>
      <c r="G32359" s="8"/>
      <c r="J32359" s="8"/>
    </row>
    <row r="32360">
      <c r="C32360" s="15"/>
      <c r="E32360" s="8"/>
      <c r="G32360" s="8"/>
      <c r="J32360" s="8"/>
    </row>
    <row r="32361">
      <c r="C32361" s="15"/>
      <c r="E32361" s="8"/>
      <c r="G32361" s="8"/>
      <c r="J32361" s="8"/>
    </row>
    <row r="32362">
      <c r="C32362" s="15"/>
      <c r="E32362" s="8"/>
      <c r="G32362" s="8"/>
      <c r="J32362" s="8"/>
    </row>
    <row r="32363">
      <c r="C32363" s="15"/>
      <c r="E32363" s="8"/>
      <c r="G32363" s="8"/>
      <c r="J32363" s="8"/>
    </row>
    <row r="32364">
      <c r="C32364" s="15"/>
      <c r="E32364" s="8"/>
      <c r="G32364" s="8"/>
      <c r="J32364" s="8"/>
    </row>
    <row r="32365">
      <c r="C32365" s="15"/>
      <c r="E32365" s="8"/>
      <c r="G32365" s="8"/>
      <c r="J32365" s="8"/>
    </row>
    <row r="32366">
      <c r="C32366" s="15"/>
      <c r="E32366" s="8"/>
      <c r="G32366" s="8"/>
      <c r="J32366" s="8"/>
    </row>
    <row r="32367">
      <c r="C32367" s="15"/>
      <c r="E32367" s="8"/>
      <c r="G32367" s="8"/>
      <c r="J32367" s="8"/>
    </row>
    <row r="32368">
      <c r="C32368" s="15"/>
      <c r="E32368" s="8"/>
      <c r="G32368" s="8"/>
      <c r="J32368" s="8"/>
    </row>
    <row r="32369">
      <c r="C32369" s="15"/>
      <c r="E32369" s="8"/>
      <c r="G32369" s="8"/>
      <c r="J32369" s="8"/>
    </row>
    <row r="32370">
      <c r="C32370" s="15"/>
      <c r="E32370" s="8"/>
      <c r="G32370" s="8"/>
      <c r="J32370" s="8"/>
    </row>
    <row r="32371">
      <c r="C32371" s="15"/>
      <c r="E32371" s="8"/>
      <c r="G32371" s="8"/>
      <c r="J32371" s="8"/>
    </row>
    <row r="32372">
      <c r="C32372" s="15"/>
      <c r="E32372" s="8"/>
      <c r="G32372" s="8"/>
      <c r="J32372" s="8"/>
    </row>
    <row r="32373">
      <c r="C32373" s="15"/>
      <c r="E32373" s="8"/>
      <c r="G32373" s="8"/>
      <c r="J32373" s="8"/>
    </row>
    <row r="32374">
      <c r="C32374" s="15"/>
      <c r="E32374" s="8"/>
      <c r="G32374" s="8"/>
      <c r="J32374" s="8"/>
    </row>
    <row r="32375">
      <c r="C32375" s="15"/>
      <c r="E32375" s="8"/>
      <c r="G32375" s="8"/>
      <c r="J32375" s="8"/>
    </row>
    <row r="32376">
      <c r="C32376" s="15"/>
      <c r="E32376" s="8"/>
      <c r="G32376" s="8"/>
      <c r="J32376" s="8"/>
    </row>
    <row r="32377">
      <c r="C32377" s="15"/>
      <c r="E32377" s="8"/>
      <c r="G32377" s="8"/>
      <c r="J32377" s="8"/>
    </row>
    <row r="32378">
      <c r="C32378" s="15"/>
      <c r="E32378" s="8"/>
      <c r="G32378" s="8"/>
      <c r="J32378" s="8"/>
    </row>
    <row r="32379">
      <c r="C32379" s="15"/>
      <c r="E32379" s="8"/>
      <c r="G32379" s="8"/>
      <c r="J32379" s="8"/>
    </row>
    <row r="32380">
      <c r="C32380" s="15"/>
      <c r="E32380" s="8"/>
      <c r="G32380" s="8"/>
      <c r="J32380" s="8"/>
    </row>
    <row r="32381">
      <c r="C32381" s="15"/>
      <c r="E32381" s="8"/>
      <c r="G32381" s="8"/>
      <c r="J32381" s="8"/>
    </row>
    <row r="32382">
      <c r="C32382" s="15"/>
      <c r="E32382" s="8"/>
      <c r="G32382" s="8"/>
      <c r="J32382" s="8"/>
    </row>
    <row r="32383">
      <c r="C32383" s="15"/>
      <c r="E32383" s="8"/>
      <c r="G32383" s="8"/>
      <c r="J32383" s="8"/>
    </row>
    <row r="32384">
      <c r="C32384" s="15"/>
      <c r="E32384" s="8"/>
      <c r="G32384" s="8"/>
      <c r="J32384" s="8"/>
    </row>
    <row r="32385">
      <c r="C32385" s="15"/>
      <c r="E32385" s="8"/>
      <c r="G32385" s="8"/>
      <c r="J32385" s="8"/>
    </row>
    <row r="32386">
      <c r="C32386" s="15"/>
      <c r="E32386" s="8"/>
      <c r="G32386" s="8"/>
      <c r="J32386" s="8"/>
    </row>
    <row r="32387">
      <c r="C32387" s="15"/>
      <c r="E32387" s="8"/>
      <c r="G32387" s="8"/>
      <c r="J32387" s="8"/>
    </row>
    <row r="32388">
      <c r="C32388" s="15"/>
      <c r="E32388" s="8"/>
      <c r="G32388" s="8"/>
      <c r="J32388" s="8"/>
    </row>
    <row r="32389">
      <c r="C32389" s="15"/>
      <c r="E32389" s="8"/>
      <c r="G32389" s="8"/>
      <c r="J32389" s="8"/>
    </row>
    <row r="32390">
      <c r="C32390" s="15"/>
      <c r="E32390" s="8"/>
      <c r="G32390" s="8"/>
      <c r="J32390" s="8"/>
    </row>
    <row r="32391">
      <c r="C32391" s="15"/>
      <c r="E32391" s="8"/>
      <c r="G32391" s="8"/>
      <c r="J32391" s="8"/>
    </row>
    <row r="32392">
      <c r="C32392" s="15"/>
      <c r="E32392" s="8"/>
      <c r="G32392" s="8"/>
      <c r="J32392" s="8"/>
    </row>
    <row r="32393">
      <c r="C32393" s="15"/>
      <c r="E32393" s="8"/>
      <c r="G32393" s="8"/>
      <c r="J32393" s="8"/>
    </row>
    <row r="32394">
      <c r="C32394" s="15"/>
      <c r="E32394" s="8"/>
      <c r="G32394" s="8"/>
      <c r="J32394" s="8"/>
    </row>
    <row r="32395">
      <c r="C32395" s="15"/>
      <c r="E32395" s="8"/>
      <c r="G32395" s="8"/>
      <c r="J32395" s="8"/>
    </row>
    <row r="32396">
      <c r="C32396" s="15"/>
      <c r="E32396" s="8"/>
      <c r="G32396" s="8"/>
      <c r="J32396" s="8"/>
    </row>
    <row r="32397">
      <c r="C32397" s="15"/>
      <c r="E32397" s="8"/>
      <c r="G32397" s="8"/>
      <c r="J32397" s="8"/>
    </row>
    <row r="32398">
      <c r="C32398" s="15"/>
      <c r="E32398" s="8"/>
      <c r="G32398" s="8"/>
      <c r="J32398" s="8"/>
    </row>
    <row r="32399">
      <c r="C32399" s="15"/>
      <c r="E32399" s="8"/>
      <c r="G32399" s="8"/>
      <c r="J32399" s="8"/>
    </row>
    <row r="32400">
      <c r="C32400" s="15"/>
      <c r="E32400" s="8"/>
      <c r="G32400" s="8"/>
      <c r="J32400" s="8"/>
    </row>
    <row r="32401">
      <c r="C32401" s="15"/>
      <c r="E32401" s="8"/>
      <c r="G32401" s="8"/>
      <c r="J32401" s="8"/>
    </row>
    <row r="32402">
      <c r="C32402" s="15"/>
      <c r="E32402" s="8"/>
      <c r="G32402" s="8"/>
      <c r="J32402" s="8"/>
    </row>
    <row r="32403">
      <c r="C32403" s="15"/>
      <c r="E32403" s="8"/>
      <c r="G32403" s="8"/>
      <c r="J32403" s="8"/>
    </row>
    <row r="32404">
      <c r="C32404" s="15"/>
      <c r="E32404" s="8"/>
      <c r="G32404" s="8"/>
      <c r="J32404" s="8"/>
    </row>
    <row r="32405">
      <c r="C32405" s="15"/>
      <c r="E32405" s="8"/>
      <c r="G32405" s="8"/>
      <c r="J32405" s="8"/>
    </row>
    <row r="32406">
      <c r="C32406" s="15"/>
      <c r="E32406" s="8"/>
      <c r="G32406" s="8"/>
      <c r="J32406" s="8"/>
    </row>
    <row r="32407">
      <c r="C32407" s="15"/>
      <c r="E32407" s="8"/>
      <c r="G32407" s="8"/>
      <c r="J32407" s="8"/>
    </row>
    <row r="32408">
      <c r="C32408" s="15"/>
      <c r="E32408" s="8"/>
      <c r="G32408" s="8"/>
      <c r="J32408" s="8"/>
    </row>
    <row r="32409">
      <c r="C32409" s="15"/>
      <c r="E32409" s="8"/>
      <c r="G32409" s="8"/>
      <c r="J32409" s="8"/>
    </row>
    <row r="32410">
      <c r="C32410" s="15"/>
      <c r="E32410" s="8"/>
      <c r="G32410" s="8"/>
      <c r="J32410" s="8"/>
    </row>
    <row r="32411">
      <c r="C32411" s="15"/>
      <c r="E32411" s="8"/>
      <c r="G32411" s="8"/>
      <c r="J32411" s="8"/>
    </row>
    <row r="32412">
      <c r="C32412" s="15"/>
      <c r="E32412" s="8"/>
      <c r="G32412" s="8"/>
      <c r="J32412" s="8"/>
    </row>
    <row r="32413">
      <c r="C32413" s="15"/>
      <c r="E32413" s="8"/>
      <c r="G32413" s="8"/>
      <c r="J32413" s="8"/>
    </row>
    <row r="32414">
      <c r="C32414" s="15"/>
      <c r="E32414" s="8"/>
      <c r="G32414" s="8"/>
      <c r="J32414" s="8"/>
    </row>
    <row r="32415">
      <c r="C32415" s="15"/>
      <c r="E32415" s="8"/>
      <c r="G32415" s="8"/>
      <c r="J32415" s="8"/>
    </row>
    <row r="32416">
      <c r="C32416" s="15"/>
      <c r="E32416" s="8"/>
      <c r="G32416" s="8"/>
      <c r="J32416" s="8"/>
    </row>
    <row r="32417">
      <c r="C32417" s="15"/>
      <c r="E32417" s="8"/>
      <c r="G32417" s="8"/>
      <c r="J32417" s="8"/>
    </row>
    <row r="32418">
      <c r="C32418" s="15"/>
      <c r="E32418" s="8"/>
      <c r="G32418" s="8"/>
      <c r="J32418" s="8"/>
    </row>
    <row r="32419">
      <c r="C32419" s="15"/>
      <c r="E32419" s="8"/>
      <c r="G32419" s="8"/>
      <c r="J32419" s="8"/>
    </row>
    <row r="32420">
      <c r="C32420" s="15"/>
      <c r="E32420" s="8"/>
      <c r="G32420" s="8"/>
      <c r="J32420" s="8"/>
    </row>
    <row r="32421">
      <c r="C32421" s="15"/>
      <c r="E32421" s="8"/>
      <c r="G32421" s="8"/>
      <c r="J32421" s="8"/>
    </row>
    <row r="32422">
      <c r="C32422" s="15"/>
      <c r="E32422" s="8"/>
      <c r="G32422" s="8"/>
      <c r="J32422" s="8"/>
    </row>
    <row r="32423">
      <c r="C32423" s="15"/>
      <c r="E32423" s="8"/>
      <c r="G32423" s="8"/>
      <c r="J32423" s="8"/>
    </row>
    <row r="32424">
      <c r="C32424" s="15"/>
      <c r="E32424" s="8"/>
      <c r="G32424" s="8"/>
      <c r="J32424" s="8"/>
    </row>
    <row r="32425">
      <c r="C32425" s="15"/>
      <c r="E32425" s="8"/>
      <c r="G32425" s="8"/>
      <c r="J32425" s="8"/>
    </row>
    <row r="32426">
      <c r="C32426" s="15"/>
      <c r="E32426" s="8"/>
      <c r="G32426" s="8"/>
      <c r="J32426" s="8"/>
    </row>
    <row r="32427">
      <c r="C32427" s="15"/>
      <c r="E32427" s="8"/>
      <c r="G32427" s="8"/>
      <c r="J32427" s="8"/>
    </row>
    <row r="32428">
      <c r="C32428" s="15"/>
      <c r="E32428" s="8"/>
      <c r="G32428" s="8"/>
      <c r="J32428" s="8"/>
    </row>
    <row r="32429">
      <c r="C32429" s="15"/>
      <c r="E32429" s="8"/>
      <c r="G32429" s="8"/>
      <c r="J32429" s="8"/>
    </row>
    <row r="32430">
      <c r="C32430" s="15"/>
      <c r="E32430" s="8"/>
      <c r="G32430" s="8"/>
      <c r="J32430" s="8"/>
    </row>
    <row r="32431">
      <c r="C32431" s="15"/>
      <c r="E32431" s="8"/>
      <c r="G32431" s="8"/>
      <c r="J32431" s="8"/>
    </row>
    <row r="32432">
      <c r="C32432" s="15"/>
      <c r="E32432" s="8"/>
      <c r="G32432" s="8"/>
      <c r="J32432" s="8"/>
    </row>
    <row r="32433">
      <c r="C32433" s="15"/>
      <c r="E32433" s="8"/>
      <c r="G32433" s="8"/>
      <c r="J32433" s="8"/>
    </row>
    <row r="32434">
      <c r="C32434" s="15"/>
      <c r="E32434" s="8"/>
      <c r="G32434" s="8"/>
      <c r="J32434" s="8"/>
    </row>
    <row r="32435">
      <c r="C32435" s="15"/>
      <c r="E32435" s="8"/>
      <c r="G32435" s="8"/>
      <c r="J32435" s="8"/>
    </row>
    <row r="32436">
      <c r="C32436" s="15"/>
      <c r="E32436" s="8"/>
      <c r="G32436" s="8"/>
      <c r="J32436" s="8"/>
    </row>
    <row r="32437">
      <c r="C32437" s="15"/>
      <c r="E32437" s="8"/>
      <c r="G32437" s="8"/>
      <c r="J32437" s="8"/>
    </row>
    <row r="32438">
      <c r="C32438" s="15"/>
      <c r="E32438" s="8"/>
      <c r="G32438" s="8"/>
      <c r="J32438" s="8"/>
    </row>
    <row r="32439">
      <c r="C32439" s="15"/>
      <c r="E32439" s="8"/>
      <c r="G32439" s="8"/>
      <c r="J32439" s="8"/>
    </row>
    <row r="32440">
      <c r="C32440" s="15"/>
      <c r="E32440" s="8"/>
      <c r="G32440" s="8"/>
      <c r="J32440" s="8"/>
    </row>
    <row r="32441">
      <c r="C32441" s="15"/>
      <c r="E32441" s="8"/>
      <c r="G32441" s="8"/>
      <c r="J32441" s="8"/>
    </row>
    <row r="32442">
      <c r="C32442" s="15"/>
      <c r="E32442" s="8"/>
      <c r="G32442" s="8"/>
      <c r="J32442" s="8"/>
    </row>
    <row r="32443">
      <c r="C32443" s="15"/>
      <c r="E32443" s="8"/>
      <c r="G32443" s="8"/>
      <c r="J32443" s="8"/>
    </row>
    <row r="32444">
      <c r="C32444" s="15"/>
      <c r="E32444" s="8"/>
      <c r="G32444" s="8"/>
      <c r="J32444" s="8"/>
    </row>
    <row r="32445">
      <c r="C32445" s="15"/>
      <c r="E32445" s="8"/>
      <c r="G32445" s="8"/>
      <c r="J32445" s="8"/>
    </row>
    <row r="32446">
      <c r="C32446" s="15"/>
      <c r="E32446" s="8"/>
      <c r="G32446" s="8"/>
      <c r="J32446" s="8"/>
    </row>
    <row r="32447">
      <c r="C32447" s="15"/>
      <c r="E32447" s="8"/>
      <c r="G32447" s="8"/>
      <c r="J32447" s="8"/>
    </row>
    <row r="32448">
      <c r="C32448" s="15"/>
      <c r="E32448" s="8"/>
      <c r="G32448" s="8"/>
      <c r="J32448" s="8"/>
    </row>
    <row r="32449">
      <c r="C32449" s="15"/>
      <c r="E32449" s="8"/>
      <c r="G32449" s="8"/>
      <c r="J32449" s="8"/>
    </row>
    <row r="32450">
      <c r="C32450" s="15"/>
      <c r="E32450" s="8"/>
      <c r="G32450" s="8"/>
      <c r="J32450" s="8"/>
    </row>
    <row r="32451">
      <c r="C32451" s="15"/>
      <c r="E32451" s="8"/>
      <c r="G32451" s="8"/>
      <c r="J32451" s="8"/>
    </row>
    <row r="32452">
      <c r="C32452" s="15"/>
      <c r="E32452" s="8"/>
      <c r="G32452" s="8"/>
      <c r="J32452" s="8"/>
    </row>
    <row r="32453">
      <c r="C32453" s="15"/>
      <c r="E32453" s="8"/>
      <c r="G32453" s="8"/>
      <c r="J32453" s="8"/>
    </row>
    <row r="32454">
      <c r="C32454" s="15"/>
      <c r="E32454" s="8"/>
      <c r="G32454" s="8"/>
      <c r="J32454" s="8"/>
    </row>
    <row r="32455">
      <c r="C32455" s="15"/>
      <c r="E32455" s="8"/>
      <c r="G32455" s="8"/>
      <c r="J32455" s="8"/>
    </row>
    <row r="32456">
      <c r="C32456" s="15"/>
      <c r="E32456" s="8"/>
      <c r="G32456" s="8"/>
      <c r="J32456" s="8"/>
    </row>
    <row r="32457">
      <c r="C32457" s="15"/>
      <c r="E32457" s="8"/>
      <c r="G32457" s="8"/>
      <c r="J32457" s="8"/>
    </row>
    <row r="32458">
      <c r="C32458" s="15"/>
      <c r="E32458" s="8"/>
      <c r="G32458" s="8"/>
      <c r="J32458" s="8"/>
    </row>
    <row r="32459">
      <c r="C32459" s="15"/>
      <c r="E32459" s="8"/>
      <c r="G32459" s="8"/>
      <c r="J32459" s="8"/>
    </row>
    <row r="32460">
      <c r="C32460" s="15"/>
      <c r="E32460" s="8"/>
      <c r="G32460" s="8"/>
      <c r="J32460" s="8"/>
    </row>
    <row r="32461">
      <c r="C32461" s="15"/>
      <c r="E32461" s="8"/>
      <c r="G32461" s="8"/>
      <c r="J32461" s="8"/>
    </row>
    <row r="32462">
      <c r="C32462" s="15"/>
      <c r="E32462" s="8"/>
      <c r="G32462" s="8"/>
      <c r="J32462" s="8"/>
    </row>
    <row r="32463">
      <c r="C32463" s="15"/>
      <c r="E32463" s="8"/>
      <c r="G32463" s="8"/>
      <c r="J32463" s="8"/>
    </row>
    <row r="32464">
      <c r="C32464" s="15"/>
      <c r="E32464" s="8"/>
      <c r="G32464" s="8"/>
      <c r="J32464" s="8"/>
    </row>
    <row r="32465">
      <c r="C32465" s="15"/>
      <c r="E32465" s="8"/>
      <c r="G32465" s="8"/>
      <c r="J32465" s="8"/>
    </row>
    <row r="32466">
      <c r="C32466" s="15"/>
      <c r="E32466" s="8"/>
      <c r="G32466" s="8"/>
      <c r="J32466" s="8"/>
    </row>
    <row r="32467">
      <c r="C32467" s="15"/>
      <c r="E32467" s="8"/>
      <c r="G32467" s="8"/>
      <c r="J32467" s="8"/>
    </row>
    <row r="32468">
      <c r="C32468" s="15"/>
      <c r="E32468" s="8"/>
      <c r="G32468" s="8"/>
      <c r="J32468" s="8"/>
    </row>
    <row r="32469">
      <c r="C32469" s="15"/>
      <c r="E32469" s="8"/>
      <c r="G32469" s="8"/>
      <c r="J32469" s="8"/>
    </row>
    <row r="32470">
      <c r="C32470" s="15"/>
      <c r="E32470" s="8"/>
      <c r="G32470" s="8"/>
      <c r="J32470" s="8"/>
    </row>
    <row r="32471">
      <c r="C32471" s="15"/>
      <c r="E32471" s="8"/>
      <c r="G32471" s="8"/>
      <c r="J32471" s="8"/>
    </row>
    <row r="32472">
      <c r="C32472" s="15"/>
      <c r="E32472" s="8"/>
      <c r="G32472" s="8"/>
      <c r="J32472" s="8"/>
    </row>
    <row r="32473">
      <c r="C32473" s="15"/>
      <c r="E32473" s="8"/>
      <c r="G32473" s="8"/>
      <c r="J32473" s="8"/>
    </row>
    <row r="32474">
      <c r="C32474" s="15"/>
      <c r="E32474" s="8"/>
      <c r="G32474" s="8"/>
      <c r="J32474" s="8"/>
    </row>
    <row r="32475">
      <c r="C32475" s="15"/>
      <c r="E32475" s="8"/>
      <c r="G32475" s="8"/>
      <c r="J32475" s="8"/>
    </row>
    <row r="32476">
      <c r="C32476" s="15"/>
      <c r="E32476" s="8"/>
      <c r="G32476" s="8"/>
      <c r="J32476" s="8"/>
    </row>
    <row r="32477">
      <c r="C32477" s="15"/>
      <c r="E32477" s="8"/>
      <c r="G32477" s="8"/>
      <c r="J32477" s="8"/>
    </row>
    <row r="32478">
      <c r="C32478" s="15"/>
      <c r="E32478" s="8"/>
      <c r="G32478" s="8"/>
      <c r="J32478" s="8"/>
    </row>
    <row r="32479">
      <c r="C32479" s="15"/>
      <c r="E32479" s="8"/>
      <c r="G32479" s="8"/>
      <c r="J32479" s="8"/>
    </row>
    <row r="32480">
      <c r="C32480" s="15"/>
      <c r="E32480" s="8"/>
      <c r="G32480" s="8"/>
      <c r="J32480" s="8"/>
    </row>
    <row r="32481">
      <c r="C32481" s="15"/>
      <c r="E32481" s="8"/>
      <c r="G32481" s="8"/>
      <c r="J32481" s="8"/>
    </row>
    <row r="32482">
      <c r="C32482" s="15"/>
      <c r="E32482" s="8"/>
      <c r="G32482" s="8"/>
      <c r="J32482" s="8"/>
    </row>
    <row r="32483">
      <c r="C32483" s="15"/>
      <c r="E32483" s="8"/>
      <c r="G32483" s="8"/>
      <c r="J32483" s="8"/>
    </row>
    <row r="32484">
      <c r="C32484" s="15"/>
      <c r="E32484" s="8"/>
      <c r="G32484" s="8"/>
      <c r="J32484" s="8"/>
    </row>
    <row r="32485">
      <c r="C32485" s="15"/>
      <c r="E32485" s="8"/>
      <c r="G32485" s="8"/>
      <c r="J32485" s="8"/>
    </row>
    <row r="32486">
      <c r="C32486" s="15"/>
      <c r="E32486" s="8"/>
      <c r="G32486" s="8"/>
      <c r="J32486" s="8"/>
    </row>
    <row r="32487">
      <c r="C32487" s="15"/>
      <c r="E32487" s="8"/>
      <c r="G32487" s="8"/>
      <c r="J32487" s="8"/>
    </row>
    <row r="32488">
      <c r="C32488" s="15"/>
      <c r="E32488" s="8"/>
      <c r="G32488" s="8"/>
      <c r="J32488" s="8"/>
    </row>
    <row r="32489">
      <c r="C32489" s="15"/>
      <c r="E32489" s="8"/>
      <c r="G32489" s="8"/>
      <c r="J32489" s="8"/>
    </row>
    <row r="32490">
      <c r="C32490" s="15"/>
      <c r="E32490" s="8"/>
      <c r="G32490" s="8"/>
      <c r="J32490" s="8"/>
    </row>
    <row r="32491">
      <c r="C32491" s="15"/>
      <c r="E32491" s="8"/>
      <c r="G32491" s="8"/>
      <c r="J32491" s="8"/>
    </row>
    <row r="32492">
      <c r="C32492" s="15"/>
      <c r="E32492" s="8"/>
      <c r="G32492" s="8"/>
      <c r="J32492" s="8"/>
    </row>
    <row r="32493">
      <c r="C32493" s="15"/>
      <c r="E32493" s="8"/>
      <c r="G32493" s="8"/>
      <c r="J32493" s="8"/>
    </row>
    <row r="32494">
      <c r="C32494" s="15"/>
      <c r="E32494" s="8"/>
      <c r="G32494" s="8"/>
      <c r="J32494" s="8"/>
    </row>
    <row r="32495">
      <c r="C32495" s="15"/>
      <c r="E32495" s="8"/>
      <c r="G32495" s="8"/>
      <c r="J32495" s="8"/>
    </row>
    <row r="32496">
      <c r="C32496" s="15"/>
      <c r="E32496" s="8"/>
      <c r="G32496" s="8"/>
      <c r="J32496" s="8"/>
    </row>
    <row r="32497">
      <c r="C32497" s="15"/>
      <c r="E32497" s="8"/>
      <c r="G32497" s="8"/>
      <c r="J32497" s="8"/>
    </row>
    <row r="32498">
      <c r="C32498" s="15"/>
      <c r="E32498" s="8"/>
      <c r="G32498" s="8"/>
      <c r="J32498" s="8"/>
    </row>
    <row r="32499">
      <c r="C32499" s="15"/>
      <c r="E32499" s="8"/>
      <c r="G32499" s="8"/>
      <c r="J32499" s="8"/>
    </row>
    <row r="32500">
      <c r="C32500" s="15"/>
      <c r="E32500" s="8"/>
      <c r="G32500" s="8"/>
      <c r="J32500" s="8"/>
    </row>
    <row r="32501">
      <c r="C32501" s="15"/>
      <c r="E32501" s="8"/>
      <c r="G32501" s="8"/>
      <c r="J32501" s="8"/>
    </row>
    <row r="32502">
      <c r="C32502" s="15"/>
      <c r="E32502" s="8"/>
      <c r="G32502" s="8"/>
      <c r="J32502" s="8"/>
    </row>
    <row r="32503">
      <c r="C32503" s="15"/>
      <c r="E32503" s="8"/>
      <c r="G32503" s="8"/>
      <c r="J32503" s="8"/>
    </row>
    <row r="32504">
      <c r="C32504" s="15"/>
      <c r="E32504" s="8"/>
      <c r="G32504" s="8"/>
      <c r="J32504" s="8"/>
    </row>
    <row r="32505">
      <c r="C32505" s="15"/>
      <c r="E32505" s="8"/>
      <c r="G32505" s="8"/>
      <c r="J32505" s="8"/>
    </row>
    <row r="32506">
      <c r="C32506" s="15"/>
      <c r="E32506" s="8"/>
      <c r="G32506" s="8"/>
      <c r="J32506" s="8"/>
    </row>
    <row r="32507">
      <c r="C32507" s="15"/>
      <c r="E32507" s="8"/>
      <c r="G32507" s="8"/>
      <c r="J32507" s="8"/>
    </row>
    <row r="32508">
      <c r="C32508" s="15"/>
      <c r="E32508" s="8"/>
      <c r="G32508" s="8"/>
      <c r="J32508" s="8"/>
    </row>
    <row r="32509">
      <c r="C32509" s="15"/>
      <c r="E32509" s="8"/>
      <c r="G32509" s="8"/>
      <c r="J32509" s="8"/>
    </row>
    <row r="32510">
      <c r="C32510" s="15"/>
      <c r="E32510" s="8"/>
      <c r="G32510" s="8"/>
      <c r="J32510" s="8"/>
    </row>
    <row r="32511">
      <c r="C32511" s="15"/>
      <c r="E32511" s="8"/>
      <c r="G32511" s="8"/>
      <c r="J32511" s="8"/>
    </row>
    <row r="32512">
      <c r="C32512" s="15"/>
      <c r="E32512" s="8"/>
      <c r="G32512" s="8"/>
      <c r="J32512" s="8"/>
    </row>
    <row r="32513">
      <c r="C32513" s="15"/>
      <c r="E32513" s="8"/>
      <c r="G32513" s="8"/>
      <c r="J32513" s="8"/>
    </row>
    <row r="32514">
      <c r="C32514" s="15"/>
      <c r="E32514" s="8"/>
      <c r="G32514" s="8"/>
      <c r="J32514" s="8"/>
    </row>
    <row r="32515">
      <c r="C32515" s="15"/>
      <c r="E32515" s="8"/>
      <c r="G32515" s="8"/>
      <c r="J32515" s="8"/>
    </row>
    <row r="32516">
      <c r="C32516" s="15"/>
      <c r="E32516" s="8"/>
      <c r="G32516" s="8"/>
      <c r="J32516" s="8"/>
    </row>
    <row r="32517">
      <c r="C32517" s="15"/>
      <c r="E32517" s="8"/>
      <c r="G32517" s="8"/>
      <c r="J32517" s="8"/>
    </row>
    <row r="32518">
      <c r="C32518" s="15"/>
      <c r="E32518" s="8"/>
      <c r="G32518" s="8"/>
      <c r="J32518" s="8"/>
    </row>
    <row r="32519">
      <c r="C32519" s="15"/>
      <c r="E32519" s="8"/>
      <c r="G32519" s="8"/>
      <c r="J32519" s="8"/>
    </row>
    <row r="32520">
      <c r="C32520" s="15"/>
      <c r="E32520" s="8"/>
      <c r="G32520" s="8"/>
      <c r="J32520" s="8"/>
    </row>
    <row r="32521">
      <c r="C32521" s="15"/>
      <c r="E32521" s="8"/>
      <c r="G32521" s="8"/>
      <c r="J32521" s="8"/>
    </row>
    <row r="32522">
      <c r="C32522" s="15"/>
      <c r="E32522" s="8"/>
      <c r="G32522" s="8"/>
      <c r="J32522" s="8"/>
    </row>
    <row r="32523">
      <c r="C32523" s="15"/>
      <c r="E32523" s="8"/>
      <c r="G32523" s="8"/>
      <c r="J32523" s="8"/>
    </row>
    <row r="32524">
      <c r="C32524" s="15"/>
      <c r="E32524" s="8"/>
      <c r="G32524" s="8"/>
      <c r="J32524" s="8"/>
    </row>
    <row r="32525">
      <c r="C32525" s="15"/>
      <c r="E32525" s="8"/>
      <c r="G32525" s="8"/>
      <c r="J32525" s="8"/>
    </row>
    <row r="32526">
      <c r="C32526" s="15"/>
      <c r="E32526" s="8"/>
      <c r="G32526" s="8"/>
      <c r="J32526" s="8"/>
    </row>
    <row r="32527">
      <c r="C32527" s="15"/>
      <c r="E32527" s="8"/>
      <c r="G32527" s="8"/>
      <c r="J32527" s="8"/>
    </row>
    <row r="32528">
      <c r="C32528" s="15"/>
      <c r="E32528" s="8"/>
      <c r="G32528" s="8"/>
      <c r="J32528" s="8"/>
    </row>
    <row r="32529">
      <c r="C32529" s="15"/>
      <c r="E32529" s="8"/>
      <c r="G32529" s="8"/>
      <c r="J32529" s="8"/>
    </row>
    <row r="32530">
      <c r="C32530" s="15"/>
      <c r="E32530" s="8"/>
      <c r="G32530" s="8"/>
      <c r="J32530" s="8"/>
    </row>
    <row r="32531">
      <c r="C32531" s="15"/>
      <c r="E32531" s="8"/>
      <c r="G32531" s="8"/>
      <c r="J32531" s="8"/>
    </row>
    <row r="32532">
      <c r="C32532" s="15"/>
      <c r="E32532" s="8"/>
      <c r="G32532" s="8"/>
      <c r="J32532" s="8"/>
    </row>
    <row r="32533">
      <c r="C32533" s="15"/>
      <c r="E32533" s="8"/>
      <c r="G32533" s="8"/>
      <c r="J32533" s="8"/>
    </row>
    <row r="32534">
      <c r="C32534" s="15"/>
      <c r="E32534" s="8"/>
      <c r="G32534" s="8"/>
      <c r="J32534" s="8"/>
    </row>
    <row r="32535">
      <c r="C32535" s="15"/>
      <c r="E32535" s="8"/>
      <c r="G32535" s="8"/>
      <c r="J32535" s="8"/>
    </row>
    <row r="32536">
      <c r="C32536" s="15"/>
      <c r="E32536" s="8"/>
      <c r="G32536" s="8"/>
      <c r="J32536" s="8"/>
    </row>
    <row r="32537">
      <c r="C32537" s="15"/>
      <c r="E32537" s="8"/>
      <c r="G32537" s="8"/>
      <c r="J32537" s="8"/>
    </row>
    <row r="32538">
      <c r="C32538" s="15"/>
      <c r="E32538" s="8"/>
      <c r="G32538" s="8"/>
      <c r="J32538" s="8"/>
    </row>
    <row r="32539">
      <c r="C32539" s="15"/>
      <c r="E32539" s="8"/>
      <c r="G32539" s="8"/>
      <c r="J32539" s="8"/>
    </row>
    <row r="32540">
      <c r="C32540" s="15"/>
      <c r="E32540" s="8"/>
      <c r="G32540" s="8"/>
      <c r="J32540" s="8"/>
    </row>
    <row r="32541">
      <c r="C32541" s="15"/>
      <c r="E32541" s="8"/>
      <c r="G32541" s="8"/>
      <c r="J32541" s="8"/>
    </row>
    <row r="32542">
      <c r="C32542" s="15"/>
      <c r="E32542" s="8"/>
      <c r="G32542" s="8"/>
      <c r="J32542" s="8"/>
    </row>
    <row r="32543">
      <c r="C32543" s="15"/>
      <c r="E32543" s="8"/>
      <c r="G32543" s="8"/>
      <c r="J32543" s="8"/>
    </row>
    <row r="32544">
      <c r="C32544" s="15"/>
      <c r="E32544" s="8"/>
      <c r="G32544" s="8"/>
      <c r="J32544" s="8"/>
    </row>
    <row r="32545">
      <c r="C32545" s="15"/>
      <c r="E32545" s="8"/>
      <c r="G32545" s="8"/>
      <c r="J32545" s="8"/>
    </row>
    <row r="32546">
      <c r="C32546" s="15"/>
      <c r="E32546" s="8"/>
      <c r="G32546" s="8"/>
      <c r="J32546" s="8"/>
    </row>
    <row r="32547">
      <c r="C32547" s="15"/>
      <c r="E32547" s="8"/>
      <c r="G32547" s="8"/>
      <c r="J32547" s="8"/>
    </row>
    <row r="32548">
      <c r="C32548" s="15"/>
      <c r="E32548" s="8"/>
      <c r="G32548" s="8"/>
      <c r="J32548" s="8"/>
    </row>
    <row r="32549">
      <c r="C32549" s="15"/>
      <c r="E32549" s="8"/>
      <c r="G32549" s="8"/>
      <c r="J32549" s="8"/>
    </row>
    <row r="32550">
      <c r="C32550" s="15"/>
      <c r="E32550" s="8"/>
      <c r="G32550" s="8"/>
      <c r="J32550" s="8"/>
    </row>
    <row r="32551">
      <c r="C32551" s="15"/>
      <c r="E32551" s="8"/>
      <c r="G32551" s="8"/>
      <c r="J32551" s="8"/>
    </row>
    <row r="32552">
      <c r="C32552" s="15"/>
      <c r="E32552" s="8"/>
      <c r="G32552" s="8"/>
      <c r="J32552" s="8"/>
    </row>
    <row r="32553">
      <c r="C32553" s="15"/>
      <c r="E32553" s="8"/>
      <c r="G32553" s="8"/>
      <c r="J32553" s="8"/>
    </row>
    <row r="32554">
      <c r="C32554" s="15"/>
      <c r="E32554" s="8"/>
      <c r="G32554" s="8"/>
      <c r="J32554" s="8"/>
    </row>
    <row r="32555">
      <c r="C32555" s="15"/>
      <c r="E32555" s="8"/>
      <c r="G32555" s="8"/>
      <c r="J32555" s="8"/>
    </row>
    <row r="32556">
      <c r="C32556" s="15"/>
      <c r="E32556" s="8"/>
      <c r="G32556" s="8"/>
      <c r="J32556" s="8"/>
    </row>
    <row r="32557">
      <c r="C32557" s="15"/>
      <c r="E32557" s="8"/>
      <c r="G32557" s="8"/>
      <c r="J32557" s="8"/>
    </row>
    <row r="32558">
      <c r="C32558" s="15"/>
      <c r="E32558" s="8"/>
      <c r="G32558" s="8"/>
      <c r="J32558" s="8"/>
    </row>
    <row r="32559">
      <c r="C32559" s="15"/>
      <c r="E32559" s="8"/>
      <c r="G32559" s="8"/>
      <c r="J32559" s="8"/>
    </row>
    <row r="32560">
      <c r="C32560" s="15"/>
      <c r="E32560" s="8"/>
      <c r="G32560" s="8"/>
      <c r="J32560" s="8"/>
    </row>
    <row r="32561">
      <c r="C32561" s="15"/>
      <c r="E32561" s="8"/>
      <c r="G32561" s="8"/>
      <c r="J32561" s="8"/>
    </row>
    <row r="32562">
      <c r="C32562" s="15"/>
      <c r="E32562" s="8"/>
      <c r="G32562" s="8"/>
      <c r="J32562" s="8"/>
    </row>
    <row r="32563">
      <c r="C32563" s="15"/>
      <c r="E32563" s="8"/>
      <c r="G32563" s="8"/>
      <c r="J32563" s="8"/>
    </row>
    <row r="32564">
      <c r="C32564" s="15"/>
      <c r="E32564" s="8"/>
      <c r="G32564" s="8"/>
      <c r="J32564" s="8"/>
    </row>
    <row r="32565">
      <c r="C32565" s="15"/>
      <c r="E32565" s="8"/>
      <c r="G32565" s="8"/>
      <c r="J32565" s="8"/>
    </row>
    <row r="32566">
      <c r="C32566" s="15"/>
      <c r="E32566" s="8"/>
      <c r="G32566" s="8"/>
      <c r="J32566" s="8"/>
    </row>
    <row r="32567">
      <c r="C32567" s="15"/>
      <c r="E32567" s="8"/>
      <c r="G32567" s="8"/>
      <c r="J32567" s="8"/>
    </row>
    <row r="32568">
      <c r="C32568" s="15"/>
      <c r="E32568" s="8"/>
      <c r="G32568" s="8"/>
      <c r="J32568" s="8"/>
    </row>
    <row r="32569">
      <c r="C32569" s="15"/>
      <c r="E32569" s="8"/>
      <c r="G32569" s="8"/>
      <c r="J32569" s="8"/>
    </row>
    <row r="32570">
      <c r="C32570" s="15"/>
      <c r="E32570" s="8"/>
      <c r="G32570" s="8"/>
      <c r="J32570" s="8"/>
    </row>
    <row r="32571">
      <c r="C32571" s="15"/>
      <c r="E32571" s="8"/>
      <c r="G32571" s="8"/>
      <c r="J32571" s="8"/>
    </row>
    <row r="32572">
      <c r="C32572" s="15"/>
      <c r="E32572" s="8"/>
      <c r="G32572" s="8"/>
      <c r="J32572" s="8"/>
    </row>
    <row r="32573">
      <c r="C32573" s="15"/>
      <c r="E32573" s="8"/>
      <c r="G32573" s="8"/>
      <c r="J32573" s="8"/>
    </row>
    <row r="32574">
      <c r="C32574" s="15"/>
      <c r="E32574" s="8"/>
      <c r="G32574" s="8"/>
      <c r="J32574" s="8"/>
    </row>
    <row r="32575">
      <c r="C32575" s="15"/>
      <c r="E32575" s="8"/>
      <c r="G32575" s="8"/>
      <c r="J32575" s="8"/>
    </row>
    <row r="32576">
      <c r="C32576" s="15"/>
      <c r="E32576" s="8"/>
      <c r="G32576" s="8"/>
      <c r="J32576" s="8"/>
    </row>
    <row r="32577">
      <c r="C32577" s="15"/>
      <c r="E32577" s="8"/>
      <c r="G32577" s="8"/>
      <c r="J32577" s="8"/>
    </row>
    <row r="32578">
      <c r="C32578" s="15"/>
      <c r="E32578" s="8"/>
      <c r="G32578" s="8"/>
      <c r="J32578" s="8"/>
    </row>
    <row r="32579">
      <c r="C32579" s="15"/>
      <c r="E32579" s="8"/>
      <c r="G32579" s="8"/>
      <c r="J32579" s="8"/>
    </row>
    <row r="32580">
      <c r="C32580" s="15"/>
      <c r="E32580" s="8"/>
      <c r="G32580" s="8"/>
      <c r="J32580" s="8"/>
    </row>
    <row r="32581">
      <c r="C32581" s="15"/>
      <c r="E32581" s="8"/>
      <c r="G32581" s="8"/>
      <c r="J32581" s="8"/>
    </row>
    <row r="32582">
      <c r="C32582" s="15"/>
      <c r="E32582" s="8"/>
      <c r="G32582" s="8"/>
      <c r="J32582" s="8"/>
    </row>
    <row r="32583">
      <c r="C32583" s="15"/>
      <c r="E32583" s="8"/>
      <c r="G32583" s="8"/>
      <c r="J32583" s="8"/>
    </row>
    <row r="32584">
      <c r="C32584" s="15"/>
      <c r="E32584" s="8"/>
      <c r="G32584" s="8"/>
      <c r="J32584" s="8"/>
    </row>
    <row r="32585">
      <c r="C32585" s="15"/>
      <c r="E32585" s="8"/>
      <c r="G32585" s="8"/>
      <c r="J32585" s="8"/>
    </row>
    <row r="32586">
      <c r="C32586" s="15"/>
      <c r="E32586" s="8"/>
      <c r="G32586" s="8"/>
      <c r="J32586" s="8"/>
    </row>
    <row r="32587">
      <c r="C32587" s="15"/>
      <c r="E32587" s="8"/>
      <c r="G32587" s="8"/>
      <c r="J32587" s="8"/>
    </row>
    <row r="32588">
      <c r="C32588" s="15"/>
      <c r="E32588" s="8"/>
      <c r="G32588" s="8"/>
      <c r="J32588" s="8"/>
    </row>
    <row r="32589">
      <c r="C32589" s="15"/>
      <c r="E32589" s="8"/>
      <c r="G32589" s="8"/>
      <c r="J32589" s="8"/>
    </row>
    <row r="32590">
      <c r="C32590" s="15"/>
      <c r="E32590" s="8"/>
      <c r="G32590" s="8"/>
      <c r="J32590" s="8"/>
    </row>
    <row r="32591">
      <c r="C32591" s="15"/>
      <c r="E32591" s="8"/>
      <c r="G32591" s="8"/>
      <c r="J32591" s="8"/>
    </row>
    <row r="32592">
      <c r="C32592" s="15"/>
      <c r="E32592" s="8"/>
      <c r="G32592" s="8"/>
      <c r="J32592" s="8"/>
    </row>
    <row r="32593">
      <c r="C32593" s="15"/>
      <c r="E32593" s="8"/>
      <c r="G32593" s="8"/>
      <c r="J32593" s="8"/>
    </row>
    <row r="32594">
      <c r="C32594" s="15"/>
      <c r="E32594" s="8"/>
      <c r="G32594" s="8"/>
      <c r="J32594" s="8"/>
    </row>
    <row r="32595">
      <c r="C32595" s="15"/>
      <c r="E32595" s="8"/>
      <c r="G32595" s="8"/>
      <c r="J32595" s="8"/>
    </row>
    <row r="32596">
      <c r="C32596" s="15"/>
      <c r="E32596" s="8"/>
      <c r="G32596" s="8"/>
      <c r="J32596" s="8"/>
    </row>
    <row r="32597">
      <c r="C32597" s="15"/>
      <c r="E32597" s="8"/>
      <c r="G32597" s="8"/>
      <c r="J32597" s="8"/>
    </row>
    <row r="32598">
      <c r="C32598" s="15"/>
      <c r="E32598" s="8"/>
      <c r="G32598" s="8"/>
      <c r="J32598" s="8"/>
    </row>
    <row r="32599">
      <c r="C32599" s="15"/>
      <c r="E32599" s="8"/>
      <c r="G32599" s="8"/>
      <c r="J32599" s="8"/>
    </row>
    <row r="32600">
      <c r="C32600" s="15"/>
      <c r="E32600" s="8"/>
      <c r="G32600" s="8"/>
      <c r="J32600" s="8"/>
    </row>
    <row r="32601">
      <c r="C32601" s="15"/>
      <c r="E32601" s="8"/>
      <c r="G32601" s="8"/>
      <c r="J32601" s="8"/>
    </row>
    <row r="32602">
      <c r="C32602" s="15"/>
      <c r="E32602" s="8"/>
      <c r="G32602" s="8"/>
      <c r="J32602" s="8"/>
    </row>
    <row r="32603">
      <c r="C32603" s="15"/>
      <c r="E32603" s="8"/>
      <c r="G32603" s="8"/>
      <c r="J32603" s="8"/>
    </row>
    <row r="32604">
      <c r="C32604" s="15"/>
      <c r="E32604" s="8"/>
      <c r="G32604" s="8"/>
      <c r="J32604" s="8"/>
    </row>
    <row r="32605">
      <c r="C32605" s="15"/>
      <c r="E32605" s="8"/>
      <c r="G32605" s="8"/>
      <c r="J32605" s="8"/>
    </row>
    <row r="32606">
      <c r="C32606" s="15"/>
      <c r="E32606" s="8"/>
      <c r="G32606" s="8"/>
      <c r="J32606" s="8"/>
    </row>
    <row r="32607">
      <c r="C32607" s="15"/>
      <c r="E32607" s="8"/>
      <c r="G32607" s="8"/>
      <c r="J32607" s="8"/>
    </row>
    <row r="32608">
      <c r="C32608" s="15"/>
      <c r="E32608" s="8"/>
      <c r="G32608" s="8"/>
      <c r="J32608" s="8"/>
    </row>
    <row r="32609">
      <c r="C32609" s="15"/>
      <c r="E32609" s="8"/>
      <c r="G32609" s="8"/>
      <c r="J32609" s="8"/>
    </row>
    <row r="32610">
      <c r="C32610" s="15"/>
      <c r="E32610" s="8"/>
      <c r="G32610" s="8"/>
      <c r="J32610" s="8"/>
    </row>
    <row r="32611">
      <c r="C32611" s="15"/>
      <c r="E32611" s="8"/>
      <c r="G32611" s="8"/>
      <c r="J32611" s="8"/>
    </row>
    <row r="32612">
      <c r="C32612" s="15"/>
      <c r="E32612" s="8"/>
      <c r="G32612" s="8"/>
      <c r="J32612" s="8"/>
    </row>
    <row r="32613">
      <c r="C32613" s="15"/>
      <c r="E32613" s="8"/>
      <c r="G32613" s="8"/>
      <c r="J32613" s="8"/>
    </row>
    <row r="32614">
      <c r="C32614" s="15"/>
      <c r="E32614" s="8"/>
      <c r="G32614" s="8"/>
      <c r="J32614" s="8"/>
    </row>
    <row r="32615">
      <c r="C32615" s="15"/>
      <c r="E32615" s="8"/>
      <c r="G32615" s="8"/>
      <c r="J32615" s="8"/>
    </row>
    <row r="32616">
      <c r="C32616" s="15"/>
      <c r="E32616" s="8"/>
      <c r="G32616" s="8"/>
      <c r="J32616" s="8"/>
    </row>
    <row r="32617">
      <c r="C32617" s="15"/>
      <c r="E32617" s="8"/>
      <c r="G32617" s="8"/>
      <c r="J32617" s="8"/>
    </row>
    <row r="32618">
      <c r="C32618" s="15"/>
      <c r="E32618" s="8"/>
      <c r="G32618" s="8"/>
      <c r="J32618" s="8"/>
    </row>
    <row r="32619">
      <c r="C32619" s="15"/>
      <c r="E32619" s="8"/>
      <c r="G32619" s="8"/>
      <c r="J32619" s="8"/>
    </row>
    <row r="32620">
      <c r="C32620" s="15"/>
      <c r="E32620" s="8"/>
      <c r="G32620" s="8"/>
      <c r="J32620" s="8"/>
    </row>
    <row r="32621">
      <c r="C32621" s="15"/>
      <c r="E32621" s="8"/>
      <c r="G32621" s="8"/>
      <c r="J32621" s="8"/>
    </row>
    <row r="32622">
      <c r="C32622" s="15"/>
      <c r="E32622" s="8"/>
      <c r="G32622" s="8"/>
      <c r="J32622" s="8"/>
    </row>
    <row r="32623">
      <c r="C32623" s="15"/>
      <c r="E32623" s="8"/>
      <c r="G32623" s="8"/>
      <c r="J32623" s="8"/>
    </row>
    <row r="32624">
      <c r="C32624" s="15"/>
      <c r="E32624" s="8"/>
      <c r="G32624" s="8"/>
      <c r="J32624" s="8"/>
    </row>
    <row r="32625">
      <c r="C32625" s="15"/>
      <c r="E32625" s="8"/>
      <c r="G32625" s="8"/>
      <c r="J32625" s="8"/>
    </row>
    <row r="32626">
      <c r="C32626" s="15"/>
      <c r="E32626" s="8"/>
      <c r="G32626" s="8"/>
      <c r="J32626" s="8"/>
    </row>
    <row r="32627">
      <c r="C32627" s="15"/>
      <c r="E32627" s="8"/>
      <c r="G32627" s="8"/>
      <c r="J32627" s="8"/>
    </row>
    <row r="32628">
      <c r="C32628" s="15"/>
      <c r="E32628" s="8"/>
      <c r="G32628" s="8"/>
      <c r="J32628" s="8"/>
    </row>
    <row r="32629">
      <c r="C32629" s="15"/>
      <c r="E32629" s="8"/>
      <c r="G32629" s="8"/>
      <c r="J32629" s="8"/>
    </row>
    <row r="32630">
      <c r="C32630" s="15"/>
      <c r="E32630" s="8"/>
      <c r="G32630" s="8"/>
      <c r="J32630" s="8"/>
    </row>
    <row r="32631">
      <c r="C32631" s="15"/>
      <c r="E32631" s="8"/>
      <c r="G32631" s="8"/>
      <c r="J32631" s="8"/>
    </row>
    <row r="32632">
      <c r="C32632" s="15"/>
      <c r="E32632" s="8"/>
      <c r="G32632" s="8"/>
      <c r="J32632" s="8"/>
    </row>
    <row r="32633">
      <c r="C32633" s="15"/>
      <c r="E32633" s="8"/>
      <c r="G32633" s="8"/>
      <c r="J32633" s="8"/>
    </row>
    <row r="32634">
      <c r="C32634" s="15"/>
      <c r="E32634" s="8"/>
      <c r="G32634" s="8"/>
      <c r="J32634" s="8"/>
    </row>
    <row r="32635">
      <c r="C32635" s="15"/>
      <c r="E32635" s="8"/>
      <c r="G32635" s="8"/>
      <c r="J32635" s="8"/>
    </row>
    <row r="32636">
      <c r="C32636" s="15"/>
      <c r="E32636" s="8"/>
      <c r="G32636" s="8"/>
      <c r="J32636" s="8"/>
    </row>
    <row r="32637">
      <c r="C32637" s="15"/>
      <c r="E32637" s="8"/>
      <c r="G32637" s="8"/>
      <c r="J32637" s="8"/>
    </row>
    <row r="32638">
      <c r="C32638" s="15"/>
      <c r="E32638" s="8"/>
      <c r="G32638" s="8"/>
      <c r="J32638" s="8"/>
    </row>
    <row r="32639">
      <c r="C32639" s="15"/>
      <c r="E32639" s="8"/>
      <c r="G32639" s="8"/>
      <c r="J32639" s="8"/>
    </row>
    <row r="32640">
      <c r="C32640" s="15"/>
      <c r="E32640" s="8"/>
      <c r="G32640" s="8"/>
      <c r="J32640" s="8"/>
    </row>
    <row r="32641">
      <c r="C32641" s="15"/>
      <c r="E32641" s="8"/>
      <c r="G32641" s="8"/>
      <c r="J32641" s="8"/>
    </row>
    <row r="32642">
      <c r="C32642" s="15"/>
      <c r="E32642" s="8"/>
      <c r="G32642" s="8"/>
      <c r="J32642" s="8"/>
    </row>
    <row r="32643">
      <c r="C32643" s="15"/>
      <c r="E32643" s="8"/>
      <c r="G32643" s="8"/>
      <c r="J32643" s="8"/>
    </row>
    <row r="32644">
      <c r="C32644" s="15"/>
      <c r="E32644" s="8"/>
      <c r="G32644" s="8"/>
      <c r="J32644" s="8"/>
    </row>
    <row r="32645">
      <c r="C32645" s="15"/>
      <c r="E32645" s="8"/>
      <c r="G32645" s="8"/>
      <c r="J32645" s="8"/>
    </row>
    <row r="32646">
      <c r="C32646" s="15"/>
      <c r="E32646" s="8"/>
      <c r="G32646" s="8"/>
      <c r="J32646" s="8"/>
    </row>
    <row r="32647">
      <c r="C32647" s="15"/>
      <c r="E32647" s="8"/>
      <c r="G32647" s="8"/>
      <c r="J32647" s="8"/>
    </row>
    <row r="32648">
      <c r="C32648" s="15"/>
      <c r="E32648" s="8"/>
      <c r="G32648" s="8"/>
      <c r="J32648" s="8"/>
    </row>
    <row r="32649">
      <c r="C32649" s="15"/>
      <c r="E32649" s="8"/>
      <c r="G32649" s="8"/>
      <c r="J32649" s="8"/>
    </row>
    <row r="32650">
      <c r="C32650" s="15"/>
      <c r="E32650" s="8"/>
      <c r="G32650" s="8"/>
      <c r="J32650" s="8"/>
    </row>
    <row r="32651">
      <c r="C32651" s="15"/>
      <c r="E32651" s="8"/>
      <c r="G32651" s="8"/>
      <c r="J32651" s="8"/>
    </row>
    <row r="32652">
      <c r="C32652" s="15"/>
      <c r="E32652" s="8"/>
      <c r="G32652" s="8"/>
      <c r="J32652" s="8"/>
    </row>
    <row r="32653">
      <c r="C32653" s="15"/>
      <c r="E32653" s="8"/>
      <c r="G32653" s="8"/>
      <c r="J32653" s="8"/>
    </row>
    <row r="32654">
      <c r="C32654" s="15"/>
      <c r="E32654" s="8"/>
      <c r="G32654" s="8"/>
      <c r="J32654" s="8"/>
    </row>
    <row r="32655">
      <c r="C32655" s="15"/>
      <c r="E32655" s="8"/>
      <c r="G32655" s="8"/>
      <c r="J32655" s="8"/>
    </row>
    <row r="32656">
      <c r="C32656" s="15"/>
      <c r="E32656" s="8"/>
      <c r="G32656" s="8"/>
      <c r="J32656" s="8"/>
    </row>
    <row r="32657">
      <c r="C32657" s="15"/>
      <c r="E32657" s="8"/>
      <c r="G32657" s="8"/>
      <c r="J32657" s="8"/>
    </row>
    <row r="32658">
      <c r="C32658" s="15"/>
      <c r="E32658" s="8"/>
      <c r="G32658" s="8"/>
      <c r="J32658" s="8"/>
    </row>
    <row r="32659">
      <c r="C32659" s="15"/>
      <c r="E32659" s="8"/>
      <c r="G32659" s="8"/>
      <c r="J32659" s="8"/>
    </row>
    <row r="32660">
      <c r="C32660" s="15"/>
      <c r="E32660" s="8"/>
      <c r="G32660" s="8"/>
      <c r="J32660" s="8"/>
    </row>
    <row r="32661">
      <c r="C32661" s="15"/>
      <c r="E32661" s="8"/>
      <c r="G32661" s="8"/>
      <c r="J32661" s="8"/>
    </row>
    <row r="32662">
      <c r="C32662" s="15"/>
      <c r="E32662" s="8"/>
      <c r="G32662" s="8"/>
      <c r="J32662" s="8"/>
    </row>
    <row r="32663">
      <c r="C32663" s="15"/>
      <c r="E32663" s="8"/>
      <c r="G32663" s="8"/>
      <c r="J32663" s="8"/>
    </row>
    <row r="32664">
      <c r="C32664" s="15"/>
      <c r="E32664" s="8"/>
      <c r="G32664" s="8"/>
      <c r="J32664" s="8"/>
    </row>
    <row r="32665">
      <c r="C32665" s="15"/>
      <c r="E32665" s="8"/>
      <c r="G32665" s="8"/>
      <c r="J32665" s="8"/>
    </row>
    <row r="32666">
      <c r="C32666" s="15"/>
      <c r="E32666" s="8"/>
      <c r="G32666" s="8"/>
      <c r="J32666" s="8"/>
    </row>
    <row r="32667">
      <c r="C32667" s="15"/>
      <c r="E32667" s="8"/>
      <c r="G32667" s="8"/>
      <c r="J32667" s="8"/>
    </row>
    <row r="32668">
      <c r="C32668" s="15"/>
      <c r="E32668" s="8"/>
      <c r="G32668" s="8"/>
      <c r="J32668" s="8"/>
    </row>
    <row r="32669">
      <c r="C32669" s="15"/>
      <c r="E32669" s="8"/>
      <c r="G32669" s="8"/>
      <c r="J32669" s="8"/>
    </row>
    <row r="32670">
      <c r="C32670" s="15"/>
      <c r="E32670" s="8"/>
      <c r="G32670" s="8"/>
      <c r="J32670" s="8"/>
    </row>
    <row r="32671">
      <c r="C32671" s="15"/>
      <c r="E32671" s="8"/>
      <c r="G32671" s="8"/>
      <c r="J32671" s="8"/>
    </row>
    <row r="32672">
      <c r="C32672" s="15"/>
      <c r="E32672" s="8"/>
      <c r="G32672" s="8"/>
      <c r="J32672" s="8"/>
    </row>
    <row r="32673">
      <c r="C32673" s="15"/>
      <c r="E32673" s="8"/>
      <c r="G32673" s="8"/>
      <c r="J32673" s="8"/>
    </row>
    <row r="32674">
      <c r="C32674" s="15"/>
      <c r="E32674" s="8"/>
      <c r="G32674" s="8"/>
      <c r="J32674" s="8"/>
    </row>
    <row r="32675">
      <c r="C32675" s="15"/>
      <c r="E32675" s="8"/>
      <c r="G32675" s="8"/>
      <c r="J32675" s="8"/>
    </row>
    <row r="32676">
      <c r="C32676" s="15"/>
      <c r="E32676" s="8"/>
      <c r="G32676" s="8"/>
      <c r="J32676" s="8"/>
    </row>
    <row r="32677">
      <c r="C32677" s="15"/>
      <c r="E32677" s="8"/>
      <c r="G32677" s="8"/>
      <c r="J32677" s="8"/>
    </row>
    <row r="32678">
      <c r="C32678" s="15"/>
      <c r="E32678" s="8"/>
      <c r="G32678" s="8"/>
      <c r="J32678" s="8"/>
    </row>
    <row r="32679">
      <c r="C32679" s="15"/>
      <c r="E32679" s="8"/>
      <c r="G32679" s="8"/>
      <c r="J32679" s="8"/>
    </row>
    <row r="32680">
      <c r="C32680" s="15"/>
      <c r="E32680" s="8"/>
      <c r="G32680" s="8"/>
      <c r="J32680" s="8"/>
    </row>
    <row r="32681">
      <c r="C32681" s="15"/>
      <c r="E32681" s="8"/>
      <c r="G32681" s="8"/>
      <c r="J32681" s="8"/>
    </row>
    <row r="32682">
      <c r="C32682" s="15"/>
      <c r="E32682" s="8"/>
      <c r="G32682" s="8"/>
      <c r="J32682" s="8"/>
    </row>
    <row r="32683">
      <c r="C32683" s="15"/>
      <c r="E32683" s="8"/>
      <c r="G32683" s="8"/>
      <c r="J32683" s="8"/>
    </row>
    <row r="32684">
      <c r="C32684" s="15"/>
      <c r="E32684" s="8"/>
      <c r="G32684" s="8"/>
      <c r="J32684" s="8"/>
    </row>
    <row r="32685">
      <c r="C32685" s="15"/>
      <c r="E32685" s="8"/>
      <c r="G32685" s="8"/>
      <c r="J32685" s="8"/>
    </row>
    <row r="32686">
      <c r="C32686" s="15"/>
      <c r="E32686" s="8"/>
      <c r="G32686" s="8"/>
      <c r="J32686" s="8"/>
    </row>
    <row r="32687">
      <c r="C32687" s="15"/>
      <c r="E32687" s="8"/>
      <c r="G32687" s="8"/>
      <c r="J32687" s="8"/>
    </row>
    <row r="32688">
      <c r="C32688" s="15"/>
      <c r="E32688" s="8"/>
      <c r="G32688" s="8"/>
      <c r="J32688" s="8"/>
    </row>
    <row r="32689">
      <c r="C32689" s="15"/>
      <c r="E32689" s="8"/>
      <c r="G32689" s="8"/>
      <c r="J32689" s="8"/>
    </row>
    <row r="32690">
      <c r="C32690" s="15"/>
      <c r="E32690" s="8"/>
      <c r="G32690" s="8"/>
      <c r="J32690" s="8"/>
    </row>
    <row r="32691">
      <c r="C32691" s="15"/>
      <c r="E32691" s="8"/>
      <c r="G32691" s="8"/>
      <c r="J32691" s="8"/>
    </row>
    <row r="32692">
      <c r="C32692" s="15"/>
      <c r="E32692" s="8"/>
      <c r="G32692" s="8"/>
      <c r="J32692" s="8"/>
    </row>
    <row r="32693">
      <c r="C32693" s="15"/>
      <c r="E32693" s="8"/>
      <c r="G32693" s="8"/>
      <c r="J32693" s="8"/>
    </row>
    <row r="32694">
      <c r="C32694" s="15"/>
      <c r="E32694" s="8"/>
      <c r="G32694" s="8"/>
      <c r="J32694" s="8"/>
    </row>
    <row r="32695">
      <c r="C32695" s="15"/>
      <c r="E32695" s="8"/>
      <c r="G32695" s="8"/>
      <c r="J32695" s="8"/>
    </row>
    <row r="32696">
      <c r="C32696" s="15"/>
      <c r="E32696" s="8"/>
      <c r="G32696" s="8"/>
      <c r="J32696" s="8"/>
    </row>
    <row r="32697">
      <c r="C32697" s="15"/>
      <c r="E32697" s="8"/>
      <c r="G32697" s="8"/>
      <c r="J32697" s="8"/>
    </row>
    <row r="32698">
      <c r="C32698" s="15"/>
      <c r="E32698" s="8"/>
      <c r="G32698" s="8"/>
      <c r="J32698" s="8"/>
    </row>
    <row r="32699">
      <c r="C32699" s="15"/>
      <c r="E32699" s="8"/>
      <c r="G32699" s="8"/>
      <c r="J32699" s="8"/>
    </row>
    <row r="32700">
      <c r="C32700" s="15"/>
      <c r="E32700" s="8"/>
      <c r="G32700" s="8"/>
      <c r="J32700" s="8"/>
    </row>
    <row r="32701">
      <c r="C32701" s="15"/>
      <c r="E32701" s="8"/>
      <c r="G32701" s="8"/>
      <c r="J32701" s="8"/>
    </row>
    <row r="32702">
      <c r="C32702" s="15"/>
      <c r="E32702" s="8"/>
      <c r="G32702" s="8"/>
      <c r="J32702" s="8"/>
    </row>
    <row r="32703">
      <c r="C32703" s="15"/>
      <c r="E32703" s="8"/>
      <c r="G32703" s="8"/>
      <c r="J32703" s="8"/>
    </row>
    <row r="32704">
      <c r="C32704" s="15"/>
      <c r="E32704" s="8"/>
      <c r="G32704" s="8"/>
      <c r="J32704" s="8"/>
    </row>
    <row r="32705">
      <c r="C32705" s="15"/>
      <c r="E32705" s="8"/>
      <c r="G32705" s="8"/>
      <c r="J32705" s="8"/>
    </row>
    <row r="32706">
      <c r="C32706" s="15"/>
      <c r="E32706" s="8"/>
      <c r="G32706" s="8"/>
      <c r="J32706" s="8"/>
    </row>
    <row r="32707">
      <c r="C32707" s="15"/>
      <c r="E32707" s="8"/>
      <c r="G32707" s="8"/>
      <c r="J32707" s="8"/>
    </row>
    <row r="32708">
      <c r="C32708" s="15"/>
      <c r="E32708" s="8"/>
      <c r="G32708" s="8"/>
      <c r="J32708" s="8"/>
    </row>
    <row r="32709">
      <c r="C32709" s="15"/>
      <c r="E32709" s="8"/>
      <c r="G32709" s="8"/>
      <c r="J32709" s="8"/>
    </row>
    <row r="32710">
      <c r="C32710" s="15"/>
      <c r="E32710" s="8"/>
      <c r="G32710" s="8"/>
      <c r="J32710" s="8"/>
    </row>
    <row r="32711">
      <c r="C32711" s="15"/>
      <c r="E32711" s="8"/>
      <c r="G32711" s="8"/>
      <c r="J32711" s="8"/>
    </row>
    <row r="32712">
      <c r="C32712" s="15"/>
      <c r="E32712" s="8"/>
      <c r="G32712" s="8"/>
      <c r="J32712" s="8"/>
    </row>
    <row r="32713">
      <c r="C32713" s="15"/>
      <c r="E32713" s="8"/>
      <c r="G32713" s="8"/>
      <c r="J32713" s="8"/>
    </row>
    <row r="32714">
      <c r="C32714" s="15"/>
      <c r="E32714" s="8"/>
      <c r="G32714" s="8"/>
      <c r="J32714" s="8"/>
    </row>
    <row r="32715">
      <c r="C32715" s="15"/>
      <c r="E32715" s="8"/>
      <c r="G32715" s="8"/>
      <c r="J32715" s="8"/>
    </row>
    <row r="32716">
      <c r="C32716" s="15"/>
      <c r="E32716" s="8"/>
      <c r="G32716" s="8"/>
      <c r="J32716" s="8"/>
    </row>
    <row r="32717">
      <c r="C32717" s="15"/>
      <c r="E32717" s="8"/>
      <c r="G32717" s="8"/>
      <c r="J32717" s="8"/>
    </row>
    <row r="32718">
      <c r="C32718" s="15"/>
      <c r="E32718" s="8"/>
      <c r="G32718" s="8"/>
      <c r="J32718" s="8"/>
    </row>
    <row r="32719">
      <c r="C32719" s="15"/>
      <c r="E32719" s="8"/>
      <c r="G32719" s="8"/>
      <c r="J32719" s="8"/>
    </row>
    <row r="32720">
      <c r="C32720" s="15"/>
      <c r="E32720" s="8"/>
      <c r="G32720" s="8"/>
      <c r="J32720" s="8"/>
    </row>
    <row r="32721">
      <c r="C32721" s="15"/>
      <c r="E32721" s="8"/>
      <c r="G32721" s="8"/>
      <c r="J32721" s="8"/>
    </row>
    <row r="32722">
      <c r="C32722" s="15"/>
      <c r="E32722" s="8"/>
      <c r="G32722" s="8"/>
      <c r="J32722" s="8"/>
    </row>
    <row r="32723">
      <c r="C32723" s="15"/>
      <c r="E32723" s="8"/>
      <c r="G32723" s="8"/>
      <c r="J32723" s="8"/>
    </row>
    <row r="32724">
      <c r="C32724" s="15"/>
      <c r="E32724" s="8"/>
      <c r="G32724" s="8"/>
      <c r="J32724" s="8"/>
    </row>
    <row r="32725">
      <c r="C32725" s="15"/>
      <c r="E32725" s="8"/>
      <c r="G32725" s="8"/>
      <c r="J32725" s="8"/>
    </row>
    <row r="32726">
      <c r="C32726" s="15"/>
      <c r="E32726" s="8"/>
      <c r="G32726" s="8"/>
      <c r="J32726" s="8"/>
    </row>
    <row r="32727">
      <c r="C32727" s="15"/>
      <c r="E32727" s="8"/>
      <c r="G32727" s="8"/>
      <c r="J32727" s="8"/>
    </row>
    <row r="32728">
      <c r="C32728" s="15"/>
      <c r="E32728" s="8"/>
      <c r="G32728" s="8"/>
      <c r="J32728" s="8"/>
    </row>
    <row r="32729">
      <c r="C32729" s="15"/>
      <c r="E32729" s="8"/>
      <c r="G32729" s="8"/>
      <c r="J32729" s="8"/>
    </row>
    <row r="32730">
      <c r="C32730" s="15"/>
      <c r="E32730" s="8"/>
      <c r="G32730" s="8"/>
      <c r="J32730" s="8"/>
    </row>
    <row r="32731">
      <c r="C32731" s="15"/>
      <c r="E32731" s="8"/>
      <c r="G32731" s="8"/>
      <c r="J32731" s="8"/>
    </row>
    <row r="32732">
      <c r="C32732" s="15"/>
      <c r="E32732" s="8"/>
      <c r="G32732" s="8"/>
      <c r="J32732" s="8"/>
    </row>
    <row r="32733">
      <c r="C32733" s="15"/>
      <c r="E32733" s="8"/>
      <c r="G32733" s="8"/>
      <c r="J32733" s="8"/>
    </row>
    <row r="32734">
      <c r="C32734" s="15"/>
      <c r="E32734" s="8"/>
      <c r="G32734" s="8"/>
      <c r="J32734" s="8"/>
    </row>
    <row r="32735">
      <c r="C32735" s="15"/>
      <c r="E32735" s="8"/>
      <c r="G32735" s="8"/>
      <c r="J32735" s="8"/>
    </row>
    <row r="32736">
      <c r="C32736" s="15"/>
      <c r="E32736" s="8"/>
      <c r="G32736" s="8"/>
      <c r="J32736" s="8"/>
    </row>
    <row r="32737">
      <c r="C32737" s="15"/>
      <c r="E32737" s="8"/>
      <c r="G32737" s="8"/>
      <c r="J32737" s="8"/>
    </row>
    <row r="32738">
      <c r="C32738" s="15"/>
      <c r="E32738" s="8"/>
      <c r="G32738" s="8"/>
      <c r="J32738" s="8"/>
    </row>
    <row r="32739">
      <c r="C32739" s="15"/>
      <c r="E32739" s="8"/>
      <c r="G32739" s="8"/>
      <c r="J32739" s="8"/>
    </row>
    <row r="32740">
      <c r="C32740" s="15"/>
      <c r="E32740" s="8"/>
      <c r="G32740" s="8"/>
      <c r="J32740" s="8"/>
    </row>
    <row r="32741">
      <c r="C32741" s="15"/>
      <c r="E32741" s="8"/>
      <c r="G32741" s="8"/>
      <c r="J32741" s="8"/>
    </row>
    <row r="32742">
      <c r="C32742" s="15"/>
      <c r="E32742" s="8"/>
      <c r="G32742" s="8"/>
      <c r="J32742" s="8"/>
    </row>
    <row r="32743">
      <c r="C32743" s="15"/>
      <c r="E32743" s="8"/>
      <c r="G32743" s="8"/>
      <c r="J32743" s="8"/>
    </row>
    <row r="32744">
      <c r="C32744" s="15"/>
      <c r="E32744" s="8"/>
      <c r="G32744" s="8"/>
      <c r="J32744" s="8"/>
    </row>
    <row r="32745">
      <c r="C32745" s="15"/>
      <c r="E32745" s="8"/>
      <c r="G32745" s="8"/>
      <c r="J32745" s="8"/>
    </row>
    <row r="32746">
      <c r="C32746" s="15"/>
      <c r="E32746" s="8"/>
      <c r="G32746" s="8"/>
      <c r="J32746" s="8"/>
    </row>
    <row r="32747">
      <c r="C32747" s="15"/>
      <c r="E32747" s="8"/>
      <c r="G32747" s="8"/>
      <c r="J32747" s="8"/>
    </row>
    <row r="32748">
      <c r="C32748" s="15"/>
      <c r="E32748" s="8"/>
      <c r="G32748" s="8"/>
      <c r="J32748" s="8"/>
    </row>
    <row r="32749">
      <c r="C32749" s="15"/>
      <c r="E32749" s="8"/>
      <c r="G32749" s="8"/>
      <c r="J32749" s="8"/>
    </row>
    <row r="32750">
      <c r="C32750" s="15"/>
      <c r="E32750" s="8"/>
      <c r="G32750" s="8"/>
      <c r="J32750" s="8"/>
    </row>
    <row r="32751">
      <c r="C32751" s="15"/>
      <c r="E32751" s="8"/>
      <c r="G32751" s="8"/>
      <c r="J32751" s="8"/>
    </row>
    <row r="32752">
      <c r="C32752" s="15"/>
      <c r="E32752" s="8"/>
      <c r="G32752" s="8"/>
      <c r="J32752" s="8"/>
    </row>
    <row r="32753">
      <c r="C32753" s="15"/>
      <c r="E32753" s="8"/>
      <c r="G32753" s="8"/>
      <c r="J32753" s="8"/>
    </row>
    <row r="32754">
      <c r="C32754" s="15"/>
      <c r="E32754" s="8"/>
      <c r="G32754" s="8"/>
      <c r="J32754" s="8"/>
    </row>
    <row r="32755">
      <c r="C32755" s="15"/>
      <c r="E32755" s="8"/>
      <c r="G32755" s="8"/>
      <c r="J32755" s="8"/>
    </row>
    <row r="32756">
      <c r="C32756" s="15"/>
      <c r="E32756" s="8"/>
      <c r="G32756" s="8"/>
      <c r="J32756" s="8"/>
    </row>
    <row r="32757">
      <c r="C32757" s="15"/>
      <c r="E32757" s="8"/>
      <c r="G32757" s="8"/>
      <c r="J32757" s="8"/>
    </row>
    <row r="32758">
      <c r="C32758" s="15"/>
      <c r="E32758" s="8"/>
      <c r="G32758" s="8"/>
      <c r="J32758" s="8"/>
    </row>
    <row r="32759">
      <c r="C32759" s="15"/>
      <c r="E32759" s="8"/>
      <c r="G32759" s="8"/>
      <c r="J32759" s="8"/>
    </row>
    <row r="32760">
      <c r="C32760" s="15"/>
      <c r="E32760" s="8"/>
      <c r="G32760" s="8"/>
      <c r="J32760" s="8"/>
    </row>
    <row r="32761">
      <c r="C32761" s="15"/>
      <c r="E32761" s="8"/>
      <c r="G32761" s="8"/>
      <c r="J32761" s="8"/>
    </row>
    <row r="32762">
      <c r="C32762" s="15"/>
      <c r="E32762" s="8"/>
      <c r="G32762" s="8"/>
      <c r="J32762" s="8"/>
    </row>
    <row r="32763">
      <c r="C32763" s="15"/>
      <c r="E32763" s="8"/>
      <c r="G32763" s="8"/>
      <c r="J32763" s="8"/>
    </row>
    <row r="32764">
      <c r="C32764" s="15"/>
      <c r="E32764" s="8"/>
      <c r="G32764" s="8"/>
      <c r="J32764" s="8"/>
    </row>
    <row r="32765">
      <c r="C32765" s="15"/>
      <c r="E32765" s="8"/>
      <c r="G32765" s="8"/>
      <c r="J32765" s="8"/>
    </row>
    <row r="32766">
      <c r="C32766" s="15"/>
      <c r="E32766" s="8"/>
      <c r="G32766" s="8"/>
      <c r="J32766" s="8"/>
    </row>
    <row r="32767">
      <c r="C32767" s="15"/>
      <c r="E32767" s="8"/>
      <c r="G32767" s="8"/>
      <c r="J32767" s="8"/>
    </row>
    <row r="32768">
      <c r="C32768" s="15"/>
      <c r="E32768" s="8"/>
      <c r="G32768" s="8"/>
      <c r="J32768" s="8"/>
    </row>
    <row r="32769">
      <c r="C32769" s="15"/>
      <c r="E32769" s="8"/>
      <c r="G32769" s="8"/>
      <c r="J32769" s="8"/>
    </row>
    <row r="32770">
      <c r="C32770" s="15"/>
      <c r="E32770" s="8"/>
      <c r="G32770" s="8"/>
      <c r="J32770" s="8"/>
    </row>
    <row r="32771">
      <c r="C32771" s="15"/>
      <c r="E32771" s="8"/>
      <c r="G32771" s="8"/>
      <c r="J32771" s="8"/>
    </row>
    <row r="32772">
      <c r="C32772" s="15"/>
      <c r="E32772" s="8"/>
      <c r="G32772" s="8"/>
      <c r="J32772" s="8"/>
    </row>
    <row r="32773">
      <c r="C32773" s="15"/>
      <c r="E32773" s="8"/>
      <c r="G32773" s="8"/>
      <c r="J32773" s="8"/>
    </row>
    <row r="32774">
      <c r="C32774" s="15"/>
      <c r="E32774" s="8"/>
      <c r="G32774" s="8"/>
      <c r="J32774" s="8"/>
    </row>
    <row r="32775">
      <c r="C32775" s="15"/>
      <c r="E32775" s="8"/>
      <c r="G32775" s="8"/>
      <c r="J32775" s="8"/>
    </row>
    <row r="32776">
      <c r="C32776" s="15"/>
      <c r="E32776" s="8"/>
      <c r="G32776" s="8"/>
      <c r="J32776" s="8"/>
    </row>
    <row r="32777">
      <c r="C32777" s="15"/>
      <c r="E32777" s="8"/>
      <c r="G32777" s="8"/>
      <c r="J32777" s="8"/>
    </row>
    <row r="32778">
      <c r="C32778" s="15"/>
      <c r="E32778" s="8"/>
      <c r="G32778" s="8"/>
      <c r="J32778" s="8"/>
    </row>
    <row r="32779">
      <c r="C32779" s="15"/>
      <c r="E32779" s="8"/>
      <c r="G32779" s="8"/>
      <c r="J32779" s="8"/>
    </row>
    <row r="32780">
      <c r="C32780" s="15"/>
      <c r="E32780" s="8"/>
      <c r="G32780" s="8"/>
      <c r="J32780" s="8"/>
    </row>
    <row r="32781">
      <c r="C32781" s="15"/>
      <c r="E32781" s="8"/>
      <c r="G32781" s="8"/>
      <c r="J32781" s="8"/>
    </row>
    <row r="32782">
      <c r="C32782" s="15"/>
      <c r="E32782" s="8"/>
      <c r="G32782" s="8"/>
      <c r="J32782" s="8"/>
    </row>
    <row r="32783">
      <c r="C32783" s="15"/>
      <c r="E32783" s="8"/>
      <c r="G32783" s="8"/>
      <c r="J32783" s="8"/>
    </row>
    <row r="32784">
      <c r="C32784" s="15"/>
      <c r="E32784" s="8"/>
      <c r="G32784" s="8"/>
      <c r="J32784" s="8"/>
    </row>
    <row r="32785">
      <c r="C32785" s="15"/>
      <c r="E32785" s="8"/>
      <c r="G32785" s="8"/>
      <c r="J32785" s="8"/>
    </row>
    <row r="32786">
      <c r="C32786" s="15"/>
      <c r="E32786" s="8"/>
      <c r="G32786" s="8"/>
      <c r="J32786" s="8"/>
    </row>
    <row r="32787">
      <c r="C32787" s="15"/>
      <c r="E32787" s="8"/>
      <c r="G32787" s="8"/>
      <c r="J32787" s="8"/>
    </row>
    <row r="32788">
      <c r="C32788" s="15"/>
      <c r="E32788" s="8"/>
      <c r="G32788" s="8"/>
      <c r="J32788" s="8"/>
    </row>
    <row r="32789">
      <c r="C32789" s="15"/>
      <c r="E32789" s="8"/>
      <c r="G32789" s="8"/>
      <c r="J32789" s="8"/>
    </row>
    <row r="32790">
      <c r="C32790" s="15"/>
      <c r="E32790" s="8"/>
      <c r="G32790" s="8"/>
      <c r="J32790" s="8"/>
    </row>
    <row r="32791">
      <c r="C32791" s="15"/>
      <c r="E32791" s="8"/>
      <c r="G32791" s="8"/>
      <c r="J32791" s="8"/>
    </row>
    <row r="32792">
      <c r="C32792" s="15"/>
      <c r="E32792" s="8"/>
      <c r="G32792" s="8"/>
      <c r="J32792" s="8"/>
    </row>
    <row r="32793">
      <c r="C32793" s="15"/>
      <c r="E32793" s="8"/>
      <c r="G32793" s="8"/>
      <c r="J32793" s="8"/>
    </row>
    <row r="32794">
      <c r="C32794" s="15"/>
      <c r="E32794" s="8"/>
      <c r="G32794" s="8"/>
      <c r="J32794" s="8"/>
    </row>
    <row r="32795">
      <c r="C32795" s="15"/>
      <c r="E32795" s="8"/>
      <c r="G32795" s="8"/>
      <c r="J32795" s="8"/>
    </row>
    <row r="32796">
      <c r="C32796" s="15"/>
      <c r="E32796" s="8"/>
      <c r="G32796" s="8"/>
      <c r="J32796" s="8"/>
    </row>
    <row r="32797">
      <c r="C32797" s="15"/>
      <c r="E32797" s="8"/>
      <c r="G32797" s="8"/>
      <c r="J32797" s="8"/>
    </row>
    <row r="32798">
      <c r="C32798" s="15"/>
      <c r="E32798" s="8"/>
      <c r="G32798" s="8"/>
      <c r="J32798" s="8"/>
    </row>
    <row r="32799">
      <c r="C32799" s="15"/>
      <c r="E32799" s="8"/>
      <c r="G32799" s="8"/>
      <c r="J32799" s="8"/>
    </row>
    <row r="32800">
      <c r="C32800" s="15"/>
      <c r="E32800" s="8"/>
      <c r="G32800" s="8"/>
      <c r="J32800" s="8"/>
    </row>
    <row r="32801">
      <c r="C32801" s="15"/>
      <c r="E32801" s="8"/>
      <c r="G32801" s="8"/>
      <c r="J32801" s="8"/>
    </row>
    <row r="32802">
      <c r="C32802" s="15"/>
      <c r="E32802" s="8"/>
      <c r="G32802" s="8"/>
      <c r="J32802" s="8"/>
    </row>
    <row r="32803">
      <c r="C32803" s="15"/>
      <c r="E32803" s="8"/>
      <c r="G32803" s="8"/>
      <c r="J32803" s="8"/>
    </row>
    <row r="32804">
      <c r="C32804" s="15"/>
      <c r="E32804" s="8"/>
      <c r="G32804" s="8"/>
      <c r="J32804" s="8"/>
    </row>
    <row r="32805">
      <c r="C32805" s="15"/>
      <c r="E32805" s="8"/>
      <c r="G32805" s="8"/>
      <c r="J32805" s="8"/>
    </row>
    <row r="32806">
      <c r="C32806" s="15"/>
      <c r="E32806" s="8"/>
      <c r="G32806" s="8"/>
      <c r="J32806" s="8"/>
    </row>
    <row r="32807">
      <c r="C32807" s="15"/>
      <c r="E32807" s="8"/>
      <c r="G32807" s="8"/>
      <c r="J32807" s="8"/>
    </row>
    <row r="32808">
      <c r="C32808" s="15"/>
      <c r="E32808" s="8"/>
      <c r="G32808" s="8"/>
      <c r="J32808" s="8"/>
    </row>
    <row r="32809">
      <c r="C32809" s="15"/>
      <c r="E32809" s="8"/>
      <c r="G32809" s="8"/>
      <c r="J32809" s="8"/>
    </row>
    <row r="32810">
      <c r="C32810" s="15"/>
      <c r="E32810" s="8"/>
      <c r="G32810" s="8"/>
      <c r="J32810" s="8"/>
    </row>
    <row r="32811">
      <c r="C32811" s="15"/>
      <c r="E32811" s="8"/>
      <c r="G32811" s="8"/>
      <c r="J32811" s="8"/>
    </row>
    <row r="32812">
      <c r="C32812" s="15"/>
      <c r="E32812" s="8"/>
      <c r="G32812" s="8"/>
      <c r="J32812" s="8"/>
    </row>
    <row r="32813">
      <c r="C32813" s="15"/>
      <c r="E32813" s="8"/>
      <c r="G32813" s="8"/>
      <c r="J32813" s="8"/>
    </row>
    <row r="32814">
      <c r="C32814" s="15"/>
      <c r="E32814" s="8"/>
      <c r="G32814" s="8"/>
      <c r="J32814" s="8"/>
    </row>
    <row r="32815">
      <c r="C32815" s="15"/>
      <c r="E32815" s="8"/>
      <c r="G32815" s="8"/>
      <c r="J32815" s="8"/>
    </row>
    <row r="32816">
      <c r="C32816" s="15"/>
      <c r="E32816" s="8"/>
      <c r="G32816" s="8"/>
      <c r="J32816" s="8"/>
    </row>
    <row r="32817">
      <c r="C32817" s="15"/>
      <c r="E32817" s="8"/>
      <c r="G32817" s="8"/>
      <c r="J32817" s="8"/>
    </row>
    <row r="32818">
      <c r="C32818" s="15"/>
      <c r="E32818" s="8"/>
      <c r="G32818" s="8"/>
      <c r="J32818" s="8"/>
    </row>
    <row r="32819">
      <c r="C32819" s="15"/>
      <c r="E32819" s="8"/>
      <c r="G32819" s="8"/>
      <c r="J32819" s="8"/>
    </row>
    <row r="32820">
      <c r="C32820" s="15"/>
      <c r="E32820" s="8"/>
      <c r="G32820" s="8"/>
      <c r="J32820" s="8"/>
    </row>
    <row r="32821">
      <c r="C32821" s="15"/>
      <c r="E32821" s="8"/>
      <c r="G32821" s="8"/>
      <c r="J32821" s="8"/>
    </row>
    <row r="32822">
      <c r="C32822" s="15"/>
      <c r="E32822" s="8"/>
      <c r="G32822" s="8"/>
      <c r="J32822" s="8"/>
    </row>
    <row r="32823">
      <c r="C32823" s="15"/>
      <c r="E32823" s="8"/>
      <c r="G32823" s="8"/>
      <c r="J32823" s="8"/>
    </row>
    <row r="32824">
      <c r="C32824" s="15"/>
      <c r="E32824" s="8"/>
      <c r="G32824" s="8"/>
      <c r="J32824" s="8"/>
    </row>
    <row r="32825">
      <c r="C32825" s="15"/>
      <c r="E32825" s="8"/>
      <c r="G32825" s="8"/>
      <c r="J32825" s="8"/>
    </row>
    <row r="32826">
      <c r="C32826" s="15"/>
      <c r="E32826" s="8"/>
      <c r="G32826" s="8"/>
      <c r="J32826" s="8"/>
    </row>
    <row r="32827">
      <c r="C32827" s="15"/>
      <c r="E32827" s="8"/>
      <c r="G32827" s="8"/>
      <c r="J32827" s="8"/>
    </row>
    <row r="32828">
      <c r="C32828" s="15"/>
      <c r="E32828" s="8"/>
      <c r="G32828" s="8"/>
      <c r="J32828" s="8"/>
    </row>
    <row r="32829">
      <c r="C32829" s="15"/>
      <c r="E32829" s="8"/>
      <c r="G32829" s="8"/>
      <c r="J32829" s="8"/>
    </row>
    <row r="32830">
      <c r="C32830" s="15"/>
      <c r="E32830" s="8"/>
      <c r="G32830" s="8"/>
      <c r="J32830" s="8"/>
    </row>
    <row r="32831">
      <c r="C32831" s="15"/>
      <c r="E32831" s="8"/>
      <c r="G32831" s="8"/>
      <c r="J32831" s="8"/>
    </row>
    <row r="32832">
      <c r="C32832" s="15"/>
      <c r="E32832" s="8"/>
      <c r="G32832" s="8"/>
      <c r="J32832" s="8"/>
    </row>
    <row r="32833">
      <c r="C32833" s="15"/>
      <c r="E32833" s="8"/>
      <c r="G32833" s="8"/>
      <c r="J32833" s="8"/>
    </row>
    <row r="32834">
      <c r="C32834" s="15"/>
      <c r="E32834" s="8"/>
      <c r="G32834" s="8"/>
      <c r="J32834" s="8"/>
    </row>
    <row r="32835">
      <c r="C32835" s="15"/>
      <c r="E32835" s="8"/>
      <c r="G32835" s="8"/>
      <c r="J32835" s="8"/>
    </row>
    <row r="32836">
      <c r="C32836" s="15"/>
      <c r="E32836" s="8"/>
      <c r="G32836" s="8"/>
      <c r="J32836" s="8"/>
    </row>
    <row r="32837">
      <c r="C32837" s="15"/>
      <c r="E32837" s="8"/>
      <c r="G32837" s="8"/>
      <c r="J32837" s="8"/>
    </row>
    <row r="32838">
      <c r="C32838" s="15"/>
      <c r="E32838" s="8"/>
      <c r="G32838" s="8"/>
      <c r="J32838" s="8"/>
    </row>
    <row r="32839">
      <c r="C32839" s="15"/>
      <c r="E32839" s="8"/>
      <c r="G32839" s="8"/>
      <c r="J32839" s="8"/>
    </row>
    <row r="32840">
      <c r="C32840" s="15"/>
      <c r="E32840" s="8"/>
      <c r="G32840" s="8"/>
      <c r="J32840" s="8"/>
    </row>
    <row r="32841">
      <c r="C32841" s="15"/>
      <c r="E32841" s="8"/>
      <c r="G32841" s="8"/>
      <c r="J32841" s="8"/>
    </row>
    <row r="32842">
      <c r="C32842" s="15"/>
      <c r="E32842" s="8"/>
      <c r="G32842" s="8"/>
      <c r="J32842" s="8"/>
    </row>
    <row r="32843">
      <c r="C32843" s="15"/>
      <c r="E32843" s="8"/>
      <c r="G32843" s="8"/>
      <c r="J32843" s="8"/>
    </row>
    <row r="32844">
      <c r="C32844" s="15"/>
      <c r="E32844" s="8"/>
      <c r="G32844" s="8"/>
      <c r="J32844" s="8"/>
    </row>
    <row r="32845">
      <c r="C32845" s="15"/>
      <c r="E32845" s="8"/>
      <c r="G32845" s="8"/>
      <c r="J32845" s="8"/>
    </row>
    <row r="32846">
      <c r="C32846" s="15"/>
      <c r="E32846" s="8"/>
      <c r="G32846" s="8"/>
      <c r="J32846" s="8"/>
    </row>
    <row r="32847">
      <c r="C32847" s="15"/>
      <c r="E32847" s="8"/>
      <c r="G32847" s="8"/>
      <c r="J32847" s="8"/>
    </row>
    <row r="32848">
      <c r="C32848" s="15"/>
      <c r="E32848" s="8"/>
      <c r="G32848" s="8"/>
      <c r="J32848" s="8"/>
    </row>
    <row r="32849">
      <c r="C32849" s="15"/>
      <c r="E32849" s="8"/>
      <c r="G32849" s="8"/>
      <c r="J32849" s="8"/>
    </row>
    <row r="32850">
      <c r="C32850" s="15"/>
      <c r="E32850" s="8"/>
      <c r="G32850" s="8"/>
      <c r="J32850" s="8"/>
    </row>
    <row r="32851">
      <c r="C32851" s="15"/>
      <c r="E32851" s="8"/>
      <c r="G32851" s="8"/>
      <c r="J32851" s="8"/>
    </row>
    <row r="32852">
      <c r="C32852" s="15"/>
      <c r="E32852" s="8"/>
      <c r="G32852" s="8"/>
      <c r="J32852" s="8"/>
    </row>
    <row r="32853">
      <c r="C32853" s="15"/>
      <c r="E32853" s="8"/>
      <c r="G32853" s="8"/>
      <c r="J32853" s="8"/>
    </row>
    <row r="32854">
      <c r="C32854" s="15"/>
      <c r="E32854" s="8"/>
      <c r="G32854" s="8"/>
      <c r="J32854" s="8"/>
    </row>
    <row r="32855">
      <c r="C32855" s="15"/>
      <c r="E32855" s="8"/>
      <c r="G32855" s="8"/>
      <c r="J32855" s="8"/>
    </row>
    <row r="32856">
      <c r="C32856" s="15"/>
      <c r="E32856" s="8"/>
      <c r="G32856" s="8"/>
      <c r="J32856" s="8"/>
    </row>
    <row r="32857">
      <c r="C32857" s="15"/>
      <c r="E32857" s="8"/>
      <c r="G32857" s="8"/>
      <c r="J32857" s="8"/>
    </row>
    <row r="32858">
      <c r="C32858" s="15"/>
      <c r="E32858" s="8"/>
      <c r="G32858" s="8"/>
      <c r="J32858" s="8"/>
    </row>
    <row r="32859">
      <c r="C32859" s="15"/>
      <c r="E32859" s="8"/>
      <c r="G32859" s="8"/>
      <c r="J32859" s="8"/>
    </row>
    <row r="32860">
      <c r="C32860" s="15"/>
      <c r="E32860" s="8"/>
      <c r="G32860" s="8"/>
      <c r="J32860" s="8"/>
    </row>
    <row r="32861">
      <c r="C32861" s="15"/>
      <c r="E32861" s="8"/>
      <c r="G32861" s="8"/>
      <c r="J32861" s="8"/>
    </row>
    <row r="32862">
      <c r="C32862" s="15"/>
      <c r="E32862" s="8"/>
      <c r="G32862" s="8"/>
      <c r="J32862" s="8"/>
    </row>
    <row r="32863">
      <c r="C32863" s="15"/>
      <c r="E32863" s="8"/>
      <c r="G32863" s="8"/>
      <c r="J32863" s="8"/>
    </row>
    <row r="32864">
      <c r="C32864" s="15"/>
      <c r="E32864" s="8"/>
      <c r="G32864" s="8"/>
      <c r="J32864" s="8"/>
    </row>
    <row r="32865">
      <c r="C32865" s="15"/>
      <c r="E32865" s="8"/>
      <c r="G32865" s="8"/>
      <c r="J32865" s="8"/>
    </row>
    <row r="32866">
      <c r="C32866" s="15"/>
      <c r="E32866" s="8"/>
      <c r="G32866" s="8"/>
      <c r="J32866" s="8"/>
    </row>
    <row r="32867">
      <c r="C32867" s="15"/>
      <c r="E32867" s="8"/>
      <c r="G32867" s="8"/>
      <c r="J32867" s="8"/>
    </row>
    <row r="32868">
      <c r="C32868" s="15"/>
      <c r="E32868" s="8"/>
      <c r="G32868" s="8"/>
      <c r="J32868" s="8"/>
    </row>
    <row r="32869">
      <c r="C32869" s="15"/>
      <c r="E32869" s="8"/>
      <c r="G32869" s="8"/>
      <c r="J32869" s="8"/>
    </row>
    <row r="32870">
      <c r="C32870" s="15"/>
      <c r="E32870" s="8"/>
      <c r="G32870" s="8"/>
      <c r="J32870" s="8"/>
    </row>
    <row r="32871">
      <c r="C32871" s="15"/>
      <c r="E32871" s="8"/>
      <c r="G32871" s="8"/>
      <c r="J32871" s="8"/>
    </row>
    <row r="32872">
      <c r="C32872" s="15"/>
      <c r="E32872" s="8"/>
      <c r="G32872" s="8"/>
      <c r="J32872" s="8"/>
    </row>
    <row r="32873">
      <c r="C32873" s="15"/>
      <c r="E32873" s="8"/>
      <c r="G32873" s="8"/>
      <c r="J32873" s="8"/>
    </row>
    <row r="32874">
      <c r="C32874" s="15"/>
      <c r="E32874" s="8"/>
      <c r="G32874" s="8"/>
      <c r="J32874" s="8"/>
    </row>
    <row r="32875">
      <c r="C32875" s="15"/>
      <c r="E32875" s="8"/>
      <c r="G32875" s="8"/>
      <c r="J32875" s="8"/>
    </row>
    <row r="32876">
      <c r="C32876" s="15"/>
      <c r="E32876" s="8"/>
      <c r="G32876" s="8"/>
      <c r="J32876" s="8"/>
    </row>
    <row r="32877">
      <c r="C32877" s="15"/>
      <c r="E32877" s="8"/>
      <c r="G32877" s="8"/>
      <c r="J32877" s="8"/>
    </row>
    <row r="32878">
      <c r="C32878" s="15"/>
      <c r="E32878" s="8"/>
      <c r="G32878" s="8"/>
      <c r="J32878" s="8"/>
    </row>
    <row r="32879">
      <c r="C32879" s="15"/>
      <c r="E32879" s="8"/>
      <c r="G32879" s="8"/>
      <c r="J32879" s="8"/>
    </row>
    <row r="32880">
      <c r="C32880" s="15"/>
      <c r="E32880" s="8"/>
      <c r="G32880" s="8"/>
      <c r="J32880" s="8"/>
    </row>
    <row r="32881">
      <c r="C32881" s="15"/>
      <c r="E32881" s="8"/>
      <c r="G32881" s="8"/>
      <c r="J32881" s="8"/>
    </row>
    <row r="32882">
      <c r="C32882" s="15"/>
      <c r="E32882" s="8"/>
      <c r="G32882" s="8"/>
      <c r="J32882" s="8"/>
    </row>
    <row r="32883">
      <c r="C32883" s="15"/>
      <c r="E32883" s="8"/>
      <c r="G32883" s="8"/>
      <c r="J32883" s="8"/>
    </row>
    <row r="32884">
      <c r="C32884" s="15"/>
      <c r="E32884" s="8"/>
      <c r="G32884" s="8"/>
      <c r="J32884" s="8"/>
    </row>
    <row r="32885">
      <c r="C32885" s="15"/>
      <c r="E32885" s="8"/>
      <c r="G32885" s="8"/>
      <c r="J32885" s="8"/>
    </row>
    <row r="32886">
      <c r="C32886" s="15"/>
      <c r="E32886" s="8"/>
      <c r="G32886" s="8"/>
      <c r="J32886" s="8"/>
    </row>
    <row r="32887">
      <c r="C32887" s="15"/>
      <c r="E32887" s="8"/>
      <c r="G32887" s="8"/>
      <c r="J32887" s="8"/>
    </row>
    <row r="32888">
      <c r="C32888" s="15"/>
      <c r="E32888" s="8"/>
      <c r="G32888" s="8"/>
      <c r="J32888" s="8"/>
    </row>
    <row r="32889">
      <c r="C32889" s="15"/>
      <c r="E32889" s="8"/>
      <c r="G32889" s="8"/>
      <c r="J32889" s="8"/>
    </row>
    <row r="32890">
      <c r="C32890" s="15"/>
      <c r="E32890" s="8"/>
      <c r="G32890" s="8"/>
      <c r="J32890" s="8"/>
    </row>
    <row r="32891">
      <c r="C32891" s="15"/>
      <c r="E32891" s="8"/>
      <c r="G32891" s="8"/>
      <c r="J32891" s="8"/>
    </row>
    <row r="32892">
      <c r="C32892" s="15"/>
      <c r="E32892" s="8"/>
      <c r="G32892" s="8"/>
      <c r="J32892" s="8"/>
    </row>
    <row r="32893">
      <c r="C32893" s="15"/>
      <c r="E32893" s="8"/>
      <c r="G32893" s="8"/>
      <c r="J32893" s="8"/>
    </row>
    <row r="32894">
      <c r="C32894" s="15"/>
      <c r="E32894" s="8"/>
      <c r="G32894" s="8"/>
      <c r="J32894" s="8"/>
    </row>
    <row r="32895">
      <c r="C32895" s="15"/>
      <c r="E32895" s="8"/>
      <c r="G32895" s="8"/>
      <c r="J32895" s="8"/>
    </row>
    <row r="32896">
      <c r="C32896" s="15"/>
      <c r="E32896" s="8"/>
      <c r="G32896" s="8"/>
      <c r="J32896" s="8"/>
    </row>
    <row r="32897">
      <c r="C32897" s="15"/>
      <c r="E32897" s="8"/>
      <c r="G32897" s="8"/>
      <c r="J32897" s="8"/>
    </row>
    <row r="32898">
      <c r="C32898" s="15"/>
      <c r="E32898" s="8"/>
      <c r="G32898" s="8"/>
      <c r="J32898" s="8"/>
    </row>
    <row r="32899">
      <c r="C32899" s="15"/>
      <c r="E32899" s="8"/>
      <c r="G32899" s="8"/>
      <c r="J32899" s="8"/>
    </row>
    <row r="32900">
      <c r="C32900" s="15"/>
      <c r="E32900" s="8"/>
      <c r="G32900" s="8"/>
      <c r="J32900" s="8"/>
    </row>
    <row r="32901">
      <c r="C32901" s="15"/>
      <c r="E32901" s="8"/>
      <c r="G32901" s="8"/>
      <c r="J32901" s="8"/>
    </row>
    <row r="32902">
      <c r="C32902" s="15"/>
      <c r="E32902" s="8"/>
      <c r="G32902" s="8"/>
      <c r="J32902" s="8"/>
    </row>
    <row r="32903">
      <c r="C32903" s="15"/>
      <c r="E32903" s="8"/>
      <c r="G32903" s="8"/>
      <c r="J32903" s="8"/>
    </row>
    <row r="32904">
      <c r="C32904" s="15"/>
      <c r="E32904" s="8"/>
      <c r="G32904" s="8"/>
      <c r="J32904" s="8"/>
    </row>
    <row r="32905">
      <c r="C32905" s="15"/>
      <c r="E32905" s="8"/>
      <c r="G32905" s="8"/>
      <c r="J32905" s="8"/>
    </row>
    <row r="32906">
      <c r="C32906" s="15"/>
      <c r="E32906" s="8"/>
      <c r="G32906" s="8"/>
      <c r="J32906" s="8"/>
    </row>
    <row r="32907">
      <c r="C32907" s="15"/>
      <c r="E32907" s="8"/>
      <c r="G32907" s="8"/>
      <c r="J32907" s="8"/>
    </row>
    <row r="32908">
      <c r="C32908" s="15"/>
      <c r="E32908" s="8"/>
      <c r="G32908" s="8"/>
      <c r="J32908" s="8"/>
    </row>
    <row r="32909">
      <c r="C32909" s="15"/>
      <c r="E32909" s="8"/>
      <c r="G32909" s="8"/>
      <c r="J32909" s="8"/>
    </row>
    <row r="32910">
      <c r="C32910" s="15"/>
      <c r="E32910" s="8"/>
      <c r="G32910" s="8"/>
      <c r="J32910" s="8"/>
    </row>
    <row r="32911">
      <c r="C32911" s="15"/>
      <c r="E32911" s="8"/>
      <c r="G32911" s="8"/>
      <c r="J32911" s="8"/>
    </row>
    <row r="32912">
      <c r="C32912" s="15"/>
      <c r="E32912" s="8"/>
      <c r="G32912" s="8"/>
      <c r="J32912" s="8"/>
    </row>
    <row r="32913">
      <c r="C32913" s="15"/>
      <c r="E32913" s="8"/>
      <c r="G32913" s="8"/>
      <c r="J32913" s="8"/>
    </row>
    <row r="32914">
      <c r="C32914" s="15"/>
      <c r="E32914" s="8"/>
      <c r="G32914" s="8"/>
      <c r="J32914" s="8"/>
    </row>
    <row r="32915">
      <c r="C32915" s="15"/>
      <c r="E32915" s="8"/>
      <c r="G32915" s="8"/>
      <c r="J32915" s="8"/>
    </row>
    <row r="32916">
      <c r="C32916" s="15"/>
      <c r="E32916" s="8"/>
      <c r="G32916" s="8"/>
      <c r="J32916" s="8"/>
    </row>
    <row r="32917">
      <c r="C32917" s="15"/>
      <c r="E32917" s="8"/>
      <c r="G32917" s="8"/>
      <c r="J32917" s="8"/>
    </row>
    <row r="32918">
      <c r="C32918" s="15"/>
      <c r="E32918" s="8"/>
      <c r="G32918" s="8"/>
      <c r="J32918" s="8"/>
    </row>
    <row r="32919">
      <c r="C32919" s="15"/>
      <c r="E32919" s="8"/>
      <c r="G32919" s="8"/>
      <c r="J32919" s="8"/>
    </row>
    <row r="32920">
      <c r="C32920" s="15"/>
      <c r="E32920" s="8"/>
      <c r="G32920" s="8"/>
      <c r="J32920" s="8"/>
    </row>
    <row r="32921">
      <c r="C32921" s="15"/>
      <c r="E32921" s="8"/>
      <c r="G32921" s="8"/>
      <c r="J32921" s="8"/>
    </row>
    <row r="32922">
      <c r="C32922" s="15"/>
      <c r="E32922" s="8"/>
      <c r="G32922" s="8"/>
      <c r="J32922" s="8"/>
    </row>
    <row r="32923">
      <c r="C32923" s="15"/>
      <c r="E32923" s="8"/>
      <c r="G32923" s="8"/>
      <c r="J32923" s="8"/>
    </row>
    <row r="32924">
      <c r="C32924" s="15"/>
      <c r="E32924" s="8"/>
      <c r="G32924" s="8"/>
      <c r="J32924" s="8"/>
    </row>
    <row r="32925">
      <c r="C32925" s="15"/>
      <c r="E32925" s="8"/>
      <c r="G32925" s="8"/>
      <c r="J32925" s="8"/>
    </row>
    <row r="32926">
      <c r="C32926" s="15"/>
      <c r="E32926" s="8"/>
      <c r="G32926" s="8"/>
      <c r="J32926" s="8"/>
    </row>
    <row r="32927">
      <c r="C32927" s="15"/>
      <c r="E32927" s="8"/>
      <c r="G32927" s="8"/>
      <c r="J32927" s="8"/>
    </row>
    <row r="32928">
      <c r="C32928" s="15"/>
      <c r="E32928" s="8"/>
      <c r="G32928" s="8"/>
      <c r="J32928" s="8"/>
    </row>
    <row r="32929">
      <c r="C32929" s="15"/>
      <c r="E32929" s="8"/>
      <c r="G32929" s="8"/>
      <c r="J32929" s="8"/>
    </row>
    <row r="32930">
      <c r="C32930" s="15"/>
      <c r="E32930" s="8"/>
      <c r="G32930" s="8"/>
      <c r="J32930" s="8"/>
    </row>
    <row r="32931">
      <c r="C32931" s="15"/>
      <c r="E32931" s="8"/>
      <c r="G32931" s="8"/>
      <c r="J32931" s="8"/>
    </row>
    <row r="32932">
      <c r="C32932" s="15"/>
      <c r="E32932" s="8"/>
      <c r="G32932" s="8"/>
      <c r="J32932" s="8"/>
    </row>
    <row r="32933">
      <c r="C32933" s="15"/>
      <c r="E32933" s="8"/>
      <c r="G32933" s="8"/>
      <c r="J32933" s="8"/>
    </row>
    <row r="32934">
      <c r="C32934" s="15"/>
      <c r="E32934" s="8"/>
      <c r="G32934" s="8"/>
      <c r="J32934" s="8"/>
    </row>
    <row r="32935">
      <c r="C32935" s="15"/>
      <c r="E32935" s="8"/>
      <c r="G32935" s="8"/>
      <c r="J32935" s="8"/>
    </row>
    <row r="32936">
      <c r="C32936" s="15"/>
      <c r="E32936" s="8"/>
      <c r="G32936" s="8"/>
      <c r="J32936" s="8"/>
    </row>
    <row r="32937">
      <c r="C32937" s="15"/>
      <c r="E32937" s="8"/>
      <c r="G32937" s="8"/>
      <c r="J32937" s="8"/>
    </row>
    <row r="32938">
      <c r="C32938" s="15"/>
      <c r="E32938" s="8"/>
      <c r="G32938" s="8"/>
      <c r="J32938" s="8"/>
    </row>
    <row r="32939">
      <c r="C32939" s="15"/>
      <c r="E32939" s="8"/>
      <c r="G32939" s="8"/>
      <c r="J32939" s="8"/>
    </row>
    <row r="32940">
      <c r="C32940" s="15"/>
      <c r="E32940" s="8"/>
      <c r="G32940" s="8"/>
      <c r="J32940" s="8"/>
    </row>
    <row r="32941">
      <c r="C32941" s="15"/>
      <c r="E32941" s="8"/>
      <c r="G32941" s="8"/>
      <c r="J32941" s="8"/>
    </row>
    <row r="32942">
      <c r="C32942" s="15"/>
      <c r="E32942" s="8"/>
      <c r="G32942" s="8"/>
      <c r="J32942" s="8"/>
    </row>
    <row r="32943">
      <c r="C32943" s="15"/>
      <c r="E32943" s="8"/>
      <c r="G32943" s="8"/>
      <c r="J32943" s="8"/>
    </row>
    <row r="32944">
      <c r="C32944" s="15"/>
      <c r="E32944" s="8"/>
      <c r="G32944" s="8"/>
      <c r="J32944" s="8"/>
    </row>
    <row r="32945">
      <c r="C32945" s="15"/>
      <c r="E32945" s="8"/>
      <c r="G32945" s="8"/>
      <c r="J32945" s="8"/>
    </row>
    <row r="32946">
      <c r="C32946" s="15"/>
      <c r="E32946" s="8"/>
      <c r="G32946" s="8"/>
      <c r="J32946" s="8"/>
    </row>
    <row r="32947">
      <c r="C32947" s="15"/>
      <c r="E32947" s="8"/>
      <c r="G32947" s="8"/>
      <c r="J32947" s="8"/>
    </row>
    <row r="32948">
      <c r="C32948" s="15"/>
      <c r="E32948" s="8"/>
      <c r="G32948" s="8"/>
      <c r="J32948" s="8"/>
    </row>
    <row r="32949">
      <c r="C32949" s="15"/>
      <c r="E32949" s="8"/>
      <c r="G32949" s="8"/>
      <c r="J32949" s="8"/>
    </row>
    <row r="32950">
      <c r="C32950" s="15"/>
      <c r="E32950" s="8"/>
      <c r="G32950" s="8"/>
      <c r="J32950" s="8"/>
    </row>
    <row r="32951">
      <c r="C32951" s="15"/>
      <c r="E32951" s="8"/>
      <c r="G32951" s="8"/>
      <c r="J32951" s="8"/>
    </row>
    <row r="32952">
      <c r="C32952" s="15"/>
      <c r="E32952" s="8"/>
      <c r="G32952" s="8"/>
      <c r="J32952" s="8"/>
    </row>
    <row r="32953">
      <c r="C32953" s="15"/>
      <c r="E32953" s="8"/>
      <c r="G32953" s="8"/>
      <c r="J32953" s="8"/>
    </row>
    <row r="32954">
      <c r="C32954" s="15"/>
      <c r="E32954" s="8"/>
      <c r="G32954" s="8"/>
      <c r="J32954" s="8"/>
    </row>
    <row r="32955">
      <c r="C32955" s="15"/>
      <c r="E32955" s="8"/>
      <c r="G32955" s="8"/>
      <c r="J32955" s="8"/>
    </row>
    <row r="32956">
      <c r="C32956" s="15"/>
      <c r="E32956" s="8"/>
      <c r="G32956" s="8"/>
      <c r="J32956" s="8"/>
    </row>
    <row r="32957">
      <c r="C32957" s="15"/>
      <c r="E32957" s="8"/>
      <c r="G32957" s="8"/>
      <c r="J32957" s="8"/>
    </row>
    <row r="32958">
      <c r="C32958" s="15"/>
      <c r="E32958" s="8"/>
      <c r="G32958" s="8"/>
      <c r="J32958" s="8"/>
    </row>
    <row r="32959">
      <c r="C32959" s="15"/>
      <c r="E32959" s="8"/>
      <c r="G32959" s="8"/>
      <c r="J32959" s="8"/>
    </row>
    <row r="32960">
      <c r="C32960" s="15"/>
      <c r="E32960" s="8"/>
      <c r="G32960" s="8"/>
      <c r="J32960" s="8"/>
    </row>
    <row r="32961">
      <c r="C32961" s="15"/>
      <c r="E32961" s="8"/>
      <c r="G32961" s="8"/>
      <c r="J32961" s="8"/>
    </row>
    <row r="32962">
      <c r="C32962" s="15"/>
      <c r="E32962" s="8"/>
      <c r="G32962" s="8"/>
      <c r="J32962" s="8"/>
    </row>
    <row r="32963">
      <c r="C32963" s="15"/>
      <c r="E32963" s="8"/>
      <c r="G32963" s="8"/>
      <c r="J32963" s="8"/>
    </row>
    <row r="32964">
      <c r="C32964" s="15"/>
      <c r="E32964" s="8"/>
      <c r="G32964" s="8"/>
      <c r="J32964" s="8"/>
    </row>
    <row r="32965">
      <c r="C32965" s="15"/>
      <c r="E32965" s="8"/>
      <c r="G32965" s="8"/>
      <c r="J32965" s="8"/>
    </row>
    <row r="32966">
      <c r="C32966" s="15"/>
      <c r="E32966" s="8"/>
      <c r="G32966" s="8"/>
      <c r="J32966" s="8"/>
    </row>
    <row r="32967">
      <c r="C32967" s="15"/>
      <c r="E32967" s="8"/>
      <c r="G32967" s="8"/>
      <c r="J32967" s="8"/>
    </row>
    <row r="32968">
      <c r="C32968" s="15"/>
      <c r="E32968" s="8"/>
      <c r="G32968" s="8"/>
      <c r="J32968" s="8"/>
    </row>
    <row r="32969">
      <c r="C32969" s="15"/>
      <c r="E32969" s="8"/>
      <c r="G32969" s="8"/>
      <c r="J32969" s="8"/>
    </row>
    <row r="32970">
      <c r="C32970" s="15"/>
      <c r="E32970" s="8"/>
      <c r="G32970" s="8"/>
      <c r="J32970" s="8"/>
    </row>
    <row r="32971">
      <c r="C32971" s="15"/>
      <c r="E32971" s="8"/>
      <c r="G32971" s="8"/>
      <c r="J32971" s="8"/>
    </row>
    <row r="32972">
      <c r="C32972" s="15"/>
      <c r="E32972" s="8"/>
      <c r="G32972" s="8"/>
      <c r="J32972" s="8"/>
    </row>
    <row r="32973">
      <c r="C32973" s="15"/>
      <c r="E32973" s="8"/>
      <c r="G32973" s="8"/>
      <c r="J32973" s="8"/>
    </row>
    <row r="32974">
      <c r="C32974" s="15"/>
      <c r="E32974" s="8"/>
      <c r="G32974" s="8"/>
      <c r="J32974" s="8"/>
    </row>
    <row r="32975">
      <c r="C32975" s="15"/>
      <c r="E32975" s="8"/>
      <c r="G32975" s="8"/>
      <c r="J32975" s="8"/>
    </row>
    <row r="32976">
      <c r="C32976" s="15"/>
      <c r="E32976" s="8"/>
      <c r="G32976" s="8"/>
      <c r="J32976" s="8"/>
    </row>
    <row r="32977">
      <c r="C32977" s="15"/>
      <c r="E32977" s="8"/>
      <c r="G32977" s="8"/>
      <c r="J32977" s="8"/>
    </row>
    <row r="32978">
      <c r="C32978" s="15"/>
      <c r="E32978" s="8"/>
      <c r="G32978" s="8"/>
      <c r="J32978" s="8"/>
    </row>
    <row r="32979">
      <c r="C32979" s="15"/>
      <c r="E32979" s="8"/>
      <c r="G32979" s="8"/>
      <c r="J32979" s="8"/>
    </row>
    <row r="32980">
      <c r="C32980" s="15"/>
      <c r="E32980" s="8"/>
      <c r="G32980" s="8"/>
      <c r="J32980" s="8"/>
    </row>
    <row r="32981">
      <c r="C32981" s="15"/>
      <c r="E32981" s="8"/>
      <c r="G32981" s="8"/>
      <c r="J32981" s="8"/>
    </row>
    <row r="32982">
      <c r="C32982" s="15"/>
      <c r="E32982" s="8"/>
      <c r="G32982" s="8"/>
      <c r="J32982" s="8"/>
    </row>
    <row r="32983">
      <c r="C32983" s="15"/>
      <c r="E32983" s="8"/>
      <c r="G32983" s="8"/>
      <c r="J32983" s="8"/>
    </row>
    <row r="32984">
      <c r="C32984" s="15"/>
      <c r="E32984" s="8"/>
      <c r="G32984" s="8"/>
      <c r="J32984" s="8"/>
    </row>
    <row r="32985">
      <c r="C32985" s="15"/>
      <c r="E32985" s="8"/>
      <c r="G32985" s="8"/>
      <c r="J32985" s="8"/>
    </row>
    <row r="32986">
      <c r="C32986" s="15"/>
      <c r="E32986" s="8"/>
      <c r="G32986" s="8"/>
      <c r="J32986" s="8"/>
    </row>
    <row r="32987">
      <c r="C32987" s="15"/>
      <c r="E32987" s="8"/>
      <c r="G32987" s="8"/>
      <c r="J32987" s="8"/>
    </row>
    <row r="32988">
      <c r="C32988" s="15"/>
      <c r="E32988" s="8"/>
      <c r="G32988" s="8"/>
      <c r="J32988" s="8"/>
    </row>
    <row r="32989">
      <c r="C32989" s="15"/>
      <c r="E32989" s="8"/>
      <c r="G32989" s="8"/>
      <c r="J32989" s="8"/>
    </row>
    <row r="32990">
      <c r="C32990" s="15"/>
      <c r="E32990" s="8"/>
      <c r="G32990" s="8"/>
      <c r="J32990" s="8"/>
    </row>
    <row r="32991">
      <c r="C32991" s="15"/>
      <c r="E32991" s="8"/>
      <c r="G32991" s="8"/>
      <c r="J32991" s="8"/>
    </row>
    <row r="32992">
      <c r="C32992" s="15"/>
      <c r="E32992" s="8"/>
      <c r="G32992" s="8"/>
      <c r="J32992" s="8"/>
    </row>
    <row r="32993">
      <c r="C32993" s="15"/>
      <c r="E32993" s="8"/>
      <c r="G32993" s="8"/>
      <c r="J32993" s="8"/>
    </row>
    <row r="32994">
      <c r="C32994" s="15"/>
      <c r="E32994" s="8"/>
      <c r="G32994" s="8"/>
      <c r="J32994" s="8"/>
    </row>
    <row r="32995">
      <c r="C32995" s="15"/>
      <c r="E32995" s="8"/>
      <c r="G32995" s="8"/>
      <c r="J32995" s="8"/>
    </row>
    <row r="32996">
      <c r="C32996" s="15"/>
      <c r="E32996" s="8"/>
      <c r="G32996" s="8"/>
      <c r="J32996" s="8"/>
    </row>
    <row r="32997">
      <c r="C32997" s="15"/>
      <c r="E32997" s="8"/>
      <c r="G32997" s="8"/>
      <c r="J32997" s="8"/>
    </row>
    <row r="32998">
      <c r="C32998" s="15"/>
      <c r="E32998" s="8"/>
      <c r="G32998" s="8"/>
      <c r="J32998" s="8"/>
    </row>
    <row r="32999">
      <c r="C32999" s="15"/>
      <c r="E32999" s="8"/>
      <c r="G32999" s="8"/>
      <c r="J32999" s="8"/>
    </row>
    <row r="33000">
      <c r="C33000" s="15"/>
      <c r="E33000" s="8"/>
      <c r="G33000" s="8"/>
      <c r="J33000" s="8"/>
    </row>
    <row r="33001">
      <c r="C33001" s="15"/>
      <c r="E33001" s="8"/>
      <c r="G33001" s="8"/>
      <c r="J33001" s="8"/>
    </row>
    <row r="33002">
      <c r="C33002" s="15"/>
      <c r="E33002" s="8"/>
      <c r="G33002" s="8"/>
      <c r="J33002" s="8"/>
    </row>
    <row r="33003">
      <c r="C33003" s="15"/>
      <c r="E33003" s="8"/>
      <c r="G33003" s="8"/>
      <c r="J33003" s="8"/>
    </row>
    <row r="33004">
      <c r="C33004" s="15"/>
      <c r="E33004" s="8"/>
      <c r="G33004" s="8"/>
      <c r="J33004" s="8"/>
    </row>
    <row r="33005">
      <c r="C33005" s="15"/>
      <c r="E33005" s="8"/>
      <c r="G33005" s="8"/>
      <c r="J33005" s="8"/>
    </row>
    <row r="33006">
      <c r="C33006" s="15"/>
      <c r="E33006" s="8"/>
      <c r="G33006" s="8"/>
      <c r="J33006" s="8"/>
    </row>
    <row r="33007">
      <c r="C33007" s="15"/>
      <c r="E33007" s="8"/>
      <c r="G33007" s="8"/>
      <c r="J33007" s="8"/>
    </row>
    <row r="33008">
      <c r="C33008" s="15"/>
      <c r="E33008" s="8"/>
      <c r="G33008" s="8"/>
      <c r="J33008" s="8"/>
    </row>
    <row r="33009">
      <c r="C33009" s="15"/>
      <c r="E33009" s="8"/>
      <c r="G33009" s="8"/>
      <c r="J33009" s="8"/>
    </row>
    <row r="33010">
      <c r="C33010" s="15"/>
      <c r="E33010" s="8"/>
      <c r="G33010" s="8"/>
      <c r="J33010" s="8"/>
    </row>
    <row r="33011">
      <c r="C33011" s="15"/>
      <c r="E33011" s="8"/>
      <c r="G33011" s="8"/>
      <c r="J33011" s="8"/>
    </row>
    <row r="33012">
      <c r="C33012" s="15"/>
      <c r="E33012" s="8"/>
      <c r="G33012" s="8"/>
      <c r="J33012" s="8"/>
    </row>
    <row r="33013">
      <c r="C33013" s="15"/>
      <c r="E33013" s="8"/>
      <c r="G33013" s="8"/>
      <c r="J33013" s="8"/>
    </row>
    <row r="33014">
      <c r="C33014" s="15"/>
      <c r="E33014" s="8"/>
      <c r="G33014" s="8"/>
      <c r="J33014" s="8"/>
    </row>
    <row r="33015">
      <c r="C33015" s="15"/>
      <c r="E33015" s="8"/>
      <c r="G33015" s="8"/>
      <c r="J33015" s="8"/>
    </row>
    <row r="33016">
      <c r="C33016" s="15"/>
      <c r="E33016" s="8"/>
      <c r="G33016" s="8"/>
      <c r="J33016" s="8"/>
    </row>
    <row r="33017">
      <c r="C33017" s="15"/>
      <c r="E33017" s="8"/>
      <c r="G33017" s="8"/>
      <c r="J33017" s="8"/>
    </row>
    <row r="33018">
      <c r="C33018" s="15"/>
      <c r="E33018" s="8"/>
      <c r="G33018" s="8"/>
      <c r="J33018" s="8"/>
    </row>
    <row r="33019">
      <c r="C33019" s="15"/>
      <c r="E33019" s="8"/>
      <c r="G33019" s="8"/>
      <c r="J33019" s="8"/>
    </row>
    <row r="33020">
      <c r="C33020" s="15"/>
      <c r="E33020" s="8"/>
      <c r="G33020" s="8"/>
      <c r="J33020" s="8"/>
    </row>
    <row r="33021">
      <c r="C33021" s="15"/>
      <c r="E33021" s="8"/>
      <c r="G33021" s="8"/>
      <c r="J33021" s="8"/>
    </row>
    <row r="33022">
      <c r="C33022" s="15"/>
      <c r="E33022" s="8"/>
      <c r="G33022" s="8"/>
      <c r="J33022" s="8"/>
    </row>
    <row r="33023">
      <c r="C33023" s="15"/>
      <c r="E33023" s="8"/>
      <c r="G33023" s="8"/>
      <c r="J33023" s="8"/>
    </row>
    <row r="33024">
      <c r="C33024" s="15"/>
      <c r="E33024" s="8"/>
      <c r="G33024" s="8"/>
      <c r="J33024" s="8"/>
    </row>
    <row r="33025">
      <c r="C33025" s="15"/>
      <c r="E33025" s="8"/>
      <c r="G33025" s="8"/>
      <c r="J33025" s="8"/>
    </row>
    <row r="33026">
      <c r="C33026" s="15"/>
      <c r="E33026" s="8"/>
      <c r="G33026" s="8"/>
      <c r="J33026" s="8"/>
    </row>
    <row r="33027">
      <c r="C33027" s="15"/>
      <c r="E33027" s="8"/>
      <c r="G33027" s="8"/>
      <c r="J33027" s="8"/>
    </row>
    <row r="33028">
      <c r="C33028" s="15"/>
      <c r="E33028" s="8"/>
      <c r="G33028" s="8"/>
      <c r="J33028" s="8"/>
    </row>
    <row r="33029">
      <c r="C33029" s="15"/>
      <c r="E33029" s="8"/>
      <c r="G33029" s="8"/>
      <c r="J33029" s="8"/>
    </row>
    <row r="33030">
      <c r="C33030" s="15"/>
      <c r="E33030" s="8"/>
      <c r="G33030" s="8"/>
      <c r="J33030" s="8"/>
    </row>
    <row r="33031">
      <c r="C33031" s="15"/>
      <c r="E33031" s="8"/>
      <c r="G33031" s="8"/>
      <c r="J33031" s="8"/>
    </row>
    <row r="33032">
      <c r="C33032" s="15"/>
      <c r="E33032" s="8"/>
      <c r="G33032" s="8"/>
      <c r="J33032" s="8"/>
    </row>
    <row r="33033">
      <c r="C33033" s="15"/>
      <c r="E33033" s="8"/>
      <c r="G33033" s="8"/>
      <c r="J33033" s="8"/>
    </row>
    <row r="33034">
      <c r="C33034" s="15"/>
      <c r="E33034" s="8"/>
      <c r="G33034" s="8"/>
      <c r="J33034" s="8"/>
    </row>
    <row r="33035">
      <c r="C33035" s="15"/>
      <c r="E33035" s="8"/>
      <c r="G33035" s="8"/>
      <c r="J33035" s="8"/>
    </row>
    <row r="33036">
      <c r="C33036" s="15"/>
      <c r="E33036" s="8"/>
      <c r="G33036" s="8"/>
      <c r="J33036" s="8"/>
    </row>
    <row r="33037">
      <c r="C33037" s="15"/>
      <c r="E33037" s="8"/>
      <c r="G33037" s="8"/>
      <c r="J33037" s="8"/>
    </row>
    <row r="33038">
      <c r="C33038" s="15"/>
      <c r="E33038" s="8"/>
      <c r="G33038" s="8"/>
      <c r="J33038" s="8"/>
    </row>
    <row r="33039">
      <c r="C33039" s="15"/>
      <c r="E33039" s="8"/>
      <c r="G33039" s="8"/>
      <c r="J33039" s="8"/>
    </row>
    <row r="33040">
      <c r="C33040" s="15"/>
      <c r="E33040" s="8"/>
      <c r="G33040" s="8"/>
      <c r="J33040" s="8"/>
    </row>
    <row r="33041">
      <c r="C33041" s="15"/>
      <c r="E33041" s="8"/>
      <c r="G33041" s="8"/>
      <c r="J33041" s="8"/>
    </row>
    <row r="33042">
      <c r="C33042" s="15"/>
      <c r="E33042" s="8"/>
      <c r="G33042" s="8"/>
      <c r="J33042" s="8"/>
    </row>
    <row r="33043">
      <c r="C33043" s="15"/>
      <c r="E33043" s="8"/>
      <c r="G33043" s="8"/>
      <c r="J33043" s="8"/>
    </row>
    <row r="33044">
      <c r="C33044" s="15"/>
      <c r="E33044" s="8"/>
      <c r="G33044" s="8"/>
      <c r="J33044" s="8"/>
    </row>
    <row r="33045">
      <c r="C33045" s="15"/>
      <c r="E33045" s="8"/>
      <c r="G33045" s="8"/>
      <c r="J33045" s="8"/>
    </row>
    <row r="33046">
      <c r="C33046" s="15"/>
      <c r="E33046" s="8"/>
      <c r="G33046" s="8"/>
      <c r="J33046" s="8"/>
    </row>
    <row r="33047">
      <c r="C33047" s="15"/>
      <c r="E33047" s="8"/>
      <c r="G33047" s="8"/>
      <c r="J33047" s="8"/>
    </row>
    <row r="33048">
      <c r="C33048" s="15"/>
      <c r="E33048" s="8"/>
      <c r="G33048" s="8"/>
      <c r="J33048" s="8"/>
    </row>
    <row r="33049">
      <c r="C33049" s="15"/>
      <c r="E33049" s="8"/>
      <c r="G33049" s="8"/>
      <c r="J33049" s="8"/>
    </row>
    <row r="33050">
      <c r="C33050" s="15"/>
      <c r="E33050" s="8"/>
      <c r="G33050" s="8"/>
      <c r="J33050" s="8"/>
    </row>
    <row r="33051">
      <c r="C33051" s="15"/>
      <c r="E33051" s="8"/>
      <c r="G33051" s="8"/>
      <c r="J33051" s="8"/>
    </row>
    <row r="33052">
      <c r="C33052" s="15"/>
      <c r="E33052" s="8"/>
      <c r="G33052" s="8"/>
      <c r="J33052" s="8"/>
    </row>
    <row r="33053">
      <c r="C33053" s="15"/>
      <c r="E33053" s="8"/>
      <c r="G33053" s="8"/>
      <c r="J33053" s="8"/>
    </row>
    <row r="33054">
      <c r="C33054" s="15"/>
      <c r="E33054" s="8"/>
      <c r="G33054" s="8"/>
      <c r="J33054" s="8"/>
    </row>
    <row r="33055">
      <c r="C33055" s="15"/>
      <c r="E33055" s="8"/>
      <c r="G33055" s="8"/>
      <c r="J33055" s="8"/>
    </row>
    <row r="33056">
      <c r="C33056" s="15"/>
      <c r="E33056" s="8"/>
      <c r="G33056" s="8"/>
      <c r="J33056" s="8"/>
    </row>
    <row r="33057">
      <c r="C33057" s="15"/>
      <c r="E33057" s="8"/>
      <c r="G33057" s="8"/>
      <c r="J33057" s="8"/>
    </row>
    <row r="33058">
      <c r="C33058" s="15"/>
      <c r="E33058" s="8"/>
      <c r="G33058" s="8"/>
      <c r="J33058" s="8"/>
    </row>
    <row r="33059">
      <c r="C33059" s="15"/>
      <c r="E33059" s="8"/>
      <c r="G33059" s="8"/>
      <c r="J33059" s="8"/>
    </row>
    <row r="33060">
      <c r="C33060" s="15"/>
      <c r="E33060" s="8"/>
      <c r="G33060" s="8"/>
      <c r="J33060" s="8"/>
    </row>
    <row r="33061">
      <c r="C33061" s="15"/>
      <c r="E33061" s="8"/>
      <c r="G33061" s="8"/>
      <c r="J33061" s="8"/>
    </row>
    <row r="33062">
      <c r="C33062" s="15"/>
      <c r="E33062" s="8"/>
      <c r="G33062" s="8"/>
      <c r="J33062" s="8"/>
    </row>
    <row r="33063">
      <c r="C33063" s="15"/>
      <c r="E33063" s="8"/>
      <c r="G33063" s="8"/>
      <c r="J33063" s="8"/>
    </row>
    <row r="33064">
      <c r="C33064" s="15"/>
      <c r="E33064" s="8"/>
      <c r="G33064" s="8"/>
      <c r="J33064" s="8"/>
    </row>
    <row r="33065">
      <c r="C33065" s="15"/>
      <c r="E33065" s="8"/>
      <c r="G33065" s="8"/>
      <c r="J33065" s="8"/>
    </row>
    <row r="33066">
      <c r="C33066" s="15"/>
      <c r="E33066" s="8"/>
      <c r="G33066" s="8"/>
      <c r="J33066" s="8"/>
    </row>
    <row r="33067">
      <c r="C33067" s="15"/>
      <c r="E33067" s="8"/>
      <c r="G33067" s="8"/>
      <c r="J33067" s="8"/>
    </row>
    <row r="33068">
      <c r="C33068" s="15"/>
      <c r="E33068" s="8"/>
      <c r="G33068" s="8"/>
      <c r="J33068" s="8"/>
    </row>
    <row r="33069">
      <c r="C33069" s="15"/>
      <c r="E33069" s="8"/>
      <c r="G33069" s="8"/>
      <c r="J33069" s="8"/>
    </row>
    <row r="33070">
      <c r="C33070" s="15"/>
      <c r="E33070" s="8"/>
      <c r="G33070" s="8"/>
      <c r="J33070" s="8"/>
    </row>
    <row r="33071">
      <c r="C33071" s="15"/>
      <c r="E33071" s="8"/>
      <c r="G33071" s="8"/>
      <c r="J33071" s="8"/>
    </row>
    <row r="33072">
      <c r="C33072" s="15"/>
      <c r="E33072" s="8"/>
      <c r="G33072" s="8"/>
      <c r="J33072" s="8"/>
    </row>
    <row r="33073">
      <c r="C33073" s="15"/>
      <c r="E33073" s="8"/>
      <c r="G33073" s="8"/>
      <c r="J33073" s="8"/>
    </row>
    <row r="33074">
      <c r="C33074" s="15"/>
      <c r="E33074" s="8"/>
      <c r="G33074" s="8"/>
      <c r="J33074" s="8"/>
    </row>
    <row r="33075">
      <c r="C33075" s="15"/>
      <c r="E33075" s="8"/>
      <c r="G33075" s="8"/>
      <c r="J33075" s="8"/>
    </row>
    <row r="33076">
      <c r="C33076" s="15"/>
      <c r="E33076" s="8"/>
      <c r="G33076" s="8"/>
      <c r="J33076" s="8"/>
    </row>
    <row r="33077">
      <c r="C33077" s="15"/>
      <c r="E33077" s="8"/>
      <c r="G33077" s="8"/>
      <c r="J33077" s="8"/>
    </row>
    <row r="33078">
      <c r="C33078" s="15"/>
      <c r="E33078" s="8"/>
      <c r="G33078" s="8"/>
      <c r="J33078" s="8"/>
    </row>
    <row r="33079">
      <c r="C33079" s="15"/>
      <c r="E33079" s="8"/>
      <c r="G33079" s="8"/>
      <c r="J33079" s="8"/>
    </row>
    <row r="33080">
      <c r="C33080" s="15"/>
      <c r="E33080" s="8"/>
      <c r="G33080" s="8"/>
      <c r="J33080" s="8"/>
    </row>
    <row r="33081">
      <c r="C33081" s="15"/>
      <c r="E33081" s="8"/>
      <c r="G33081" s="8"/>
      <c r="J33081" s="8"/>
    </row>
    <row r="33082">
      <c r="C33082" s="15"/>
      <c r="E33082" s="8"/>
      <c r="G33082" s="8"/>
      <c r="J33082" s="8"/>
    </row>
    <row r="33083">
      <c r="C33083" s="15"/>
      <c r="E33083" s="8"/>
      <c r="G33083" s="8"/>
      <c r="J33083" s="8"/>
    </row>
    <row r="33084">
      <c r="C33084" s="15"/>
      <c r="E33084" s="8"/>
      <c r="G33084" s="8"/>
      <c r="J33084" s="8"/>
    </row>
    <row r="33085">
      <c r="C33085" s="15"/>
      <c r="E33085" s="8"/>
      <c r="G33085" s="8"/>
      <c r="J33085" s="8"/>
    </row>
    <row r="33086">
      <c r="C33086" s="15"/>
      <c r="E33086" s="8"/>
      <c r="G33086" s="8"/>
      <c r="J33086" s="8"/>
    </row>
    <row r="33087">
      <c r="C33087" s="15"/>
      <c r="E33087" s="8"/>
      <c r="G33087" s="8"/>
      <c r="J33087" s="8"/>
    </row>
    <row r="33088">
      <c r="C33088" s="15"/>
      <c r="E33088" s="8"/>
      <c r="G33088" s="8"/>
      <c r="J33088" s="8"/>
    </row>
    <row r="33089">
      <c r="C33089" s="15"/>
      <c r="E33089" s="8"/>
      <c r="G33089" s="8"/>
      <c r="J33089" s="8"/>
    </row>
    <row r="33090">
      <c r="C33090" s="15"/>
      <c r="E33090" s="8"/>
      <c r="G33090" s="8"/>
      <c r="J33090" s="8"/>
    </row>
    <row r="33091">
      <c r="C33091" s="15"/>
      <c r="E33091" s="8"/>
      <c r="G33091" s="8"/>
      <c r="J33091" s="8"/>
    </row>
    <row r="33092">
      <c r="C33092" s="15"/>
      <c r="E33092" s="8"/>
      <c r="G33092" s="8"/>
      <c r="J33092" s="8"/>
    </row>
    <row r="33093">
      <c r="C33093" s="15"/>
      <c r="E33093" s="8"/>
      <c r="G33093" s="8"/>
      <c r="J33093" s="8"/>
    </row>
    <row r="33094">
      <c r="C33094" s="15"/>
      <c r="E33094" s="8"/>
      <c r="G33094" s="8"/>
      <c r="J33094" s="8"/>
    </row>
    <row r="33095">
      <c r="C33095" s="15"/>
      <c r="E33095" s="8"/>
      <c r="G33095" s="8"/>
      <c r="J33095" s="8"/>
    </row>
    <row r="33096">
      <c r="C33096" s="15"/>
      <c r="E33096" s="8"/>
      <c r="G33096" s="8"/>
      <c r="J33096" s="8"/>
    </row>
    <row r="33097">
      <c r="C33097" s="15"/>
      <c r="E33097" s="8"/>
      <c r="G33097" s="8"/>
      <c r="J33097" s="8"/>
    </row>
    <row r="33098">
      <c r="C33098" s="15"/>
      <c r="E33098" s="8"/>
      <c r="G33098" s="8"/>
      <c r="J33098" s="8"/>
    </row>
    <row r="33099">
      <c r="C33099" s="15"/>
      <c r="E33099" s="8"/>
      <c r="G33099" s="8"/>
      <c r="J33099" s="8"/>
    </row>
    <row r="33100">
      <c r="C33100" s="15"/>
      <c r="E33100" s="8"/>
      <c r="G33100" s="8"/>
      <c r="J33100" s="8"/>
    </row>
    <row r="33101">
      <c r="C33101" s="15"/>
      <c r="E33101" s="8"/>
      <c r="G33101" s="8"/>
      <c r="J33101" s="8"/>
    </row>
    <row r="33102">
      <c r="C33102" s="15"/>
      <c r="E33102" s="8"/>
      <c r="G33102" s="8"/>
      <c r="J33102" s="8"/>
    </row>
    <row r="33103">
      <c r="C33103" s="15"/>
      <c r="E33103" s="8"/>
      <c r="G33103" s="8"/>
      <c r="J33103" s="8"/>
    </row>
    <row r="33104">
      <c r="C33104" s="15"/>
      <c r="E33104" s="8"/>
      <c r="G33104" s="8"/>
      <c r="J33104" s="8"/>
    </row>
    <row r="33105">
      <c r="C33105" s="15"/>
      <c r="E33105" s="8"/>
      <c r="G33105" s="8"/>
      <c r="J33105" s="8"/>
    </row>
    <row r="33106">
      <c r="C33106" s="15"/>
      <c r="E33106" s="8"/>
      <c r="G33106" s="8"/>
      <c r="J33106" s="8"/>
    </row>
    <row r="33107">
      <c r="C33107" s="15"/>
      <c r="E33107" s="8"/>
      <c r="G33107" s="8"/>
      <c r="J33107" s="8"/>
    </row>
    <row r="33108">
      <c r="C33108" s="15"/>
      <c r="E33108" s="8"/>
      <c r="G33108" s="8"/>
      <c r="J33108" s="8"/>
    </row>
    <row r="33109">
      <c r="C33109" s="15"/>
      <c r="E33109" s="8"/>
      <c r="G33109" s="8"/>
      <c r="J33109" s="8"/>
    </row>
    <row r="33110">
      <c r="C33110" s="15"/>
      <c r="E33110" s="8"/>
      <c r="G33110" s="8"/>
      <c r="J33110" s="8"/>
    </row>
    <row r="33111">
      <c r="C33111" s="15"/>
      <c r="E33111" s="8"/>
      <c r="G33111" s="8"/>
      <c r="J33111" s="8"/>
    </row>
    <row r="33112">
      <c r="C33112" s="15"/>
      <c r="E33112" s="8"/>
      <c r="G33112" s="8"/>
      <c r="J33112" s="8"/>
    </row>
    <row r="33113">
      <c r="C33113" s="15"/>
      <c r="E33113" s="8"/>
      <c r="G33113" s="8"/>
      <c r="J33113" s="8"/>
    </row>
    <row r="33114">
      <c r="C33114" s="15"/>
      <c r="E33114" s="8"/>
      <c r="G33114" s="8"/>
      <c r="J33114" s="8"/>
    </row>
    <row r="33115">
      <c r="C33115" s="15"/>
      <c r="E33115" s="8"/>
      <c r="G33115" s="8"/>
      <c r="J33115" s="8"/>
    </row>
    <row r="33116">
      <c r="C33116" s="15"/>
      <c r="E33116" s="8"/>
      <c r="G33116" s="8"/>
      <c r="J33116" s="8"/>
    </row>
    <row r="33117">
      <c r="C33117" s="15"/>
      <c r="E33117" s="8"/>
      <c r="G33117" s="8"/>
      <c r="J33117" s="8"/>
    </row>
    <row r="33118">
      <c r="C33118" s="15"/>
      <c r="E33118" s="8"/>
      <c r="G33118" s="8"/>
      <c r="J33118" s="8"/>
    </row>
    <row r="33119">
      <c r="C33119" s="15"/>
      <c r="E33119" s="8"/>
      <c r="G33119" s="8"/>
      <c r="J33119" s="8"/>
    </row>
    <row r="33120">
      <c r="C33120" s="15"/>
      <c r="E33120" s="8"/>
      <c r="G33120" s="8"/>
      <c r="J33120" s="8"/>
    </row>
    <row r="33121">
      <c r="C33121" s="15"/>
      <c r="E33121" s="8"/>
      <c r="G33121" s="8"/>
      <c r="J33121" s="8"/>
    </row>
    <row r="33122">
      <c r="C33122" s="15"/>
      <c r="E33122" s="8"/>
      <c r="G33122" s="8"/>
      <c r="J33122" s="8"/>
    </row>
    <row r="33123">
      <c r="C33123" s="15"/>
      <c r="E33123" s="8"/>
      <c r="G33123" s="8"/>
      <c r="J33123" s="8"/>
    </row>
    <row r="33124">
      <c r="C33124" s="15"/>
      <c r="E33124" s="8"/>
      <c r="G33124" s="8"/>
      <c r="J33124" s="8"/>
    </row>
    <row r="33125">
      <c r="C33125" s="15"/>
      <c r="E33125" s="8"/>
      <c r="G33125" s="8"/>
      <c r="J33125" s="8"/>
    </row>
    <row r="33126">
      <c r="C33126" s="15"/>
      <c r="E33126" s="8"/>
      <c r="G33126" s="8"/>
      <c r="J33126" s="8"/>
    </row>
    <row r="33127">
      <c r="C33127" s="15"/>
      <c r="E33127" s="8"/>
      <c r="G33127" s="8"/>
      <c r="J33127" s="8"/>
    </row>
    <row r="33128">
      <c r="C33128" s="15"/>
      <c r="E33128" s="8"/>
      <c r="G33128" s="8"/>
      <c r="J33128" s="8"/>
    </row>
    <row r="33129">
      <c r="C33129" s="15"/>
      <c r="E33129" s="8"/>
      <c r="G33129" s="8"/>
      <c r="J33129" s="8"/>
    </row>
    <row r="33130">
      <c r="C33130" s="15"/>
      <c r="E33130" s="8"/>
      <c r="G33130" s="8"/>
      <c r="J33130" s="8"/>
    </row>
    <row r="33131">
      <c r="C33131" s="15"/>
      <c r="E33131" s="8"/>
      <c r="G33131" s="8"/>
      <c r="J33131" s="8"/>
    </row>
    <row r="33132">
      <c r="C33132" s="15"/>
      <c r="E33132" s="8"/>
      <c r="G33132" s="8"/>
      <c r="J33132" s="8"/>
    </row>
    <row r="33133">
      <c r="C33133" s="15"/>
      <c r="E33133" s="8"/>
      <c r="G33133" s="8"/>
      <c r="J33133" s="8"/>
    </row>
    <row r="33134">
      <c r="C33134" s="15"/>
      <c r="E33134" s="8"/>
      <c r="G33134" s="8"/>
      <c r="J33134" s="8"/>
    </row>
    <row r="33135">
      <c r="C33135" s="15"/>
      <c r="E33135" s="8"/>
      <c r="G33135" s="8"/>
      <c r="J33135" s="8"/>
    </row>
    <row r="33136">
      <c r="C33136" s="15"/>
      <c r="E33136" s="8"/>
      <c r="G33136" s="8"/>
      <c r="J33136" s="8"/>
    </row>
    <row r="33137">
      <c r="C33137" s="15"/>
      <c r="E33137" s="8"/>
      <c r="G33137" s="8"/>
      <c r="J33137" s="8"/>
    </row>
    <row r="33138">
      <c r="C33138" s="15"/>
      <c r="E33138" s="8"/>
      <c r="G33138" s="8"/>
      <c r="J33138" s="8"/>
    </row>
    <row r="33139">
      <c r="C33139" s="15"/>
      <c r="E33139" s="8"/>
      <c r="G33139" s="8"/>
      <c r="J33139" s="8"/>
    </row>
    <row r="33140">
      <c r="C33140" s="15"/>
      <c r="E33140" s="8"/>
      <c r="G33140" s="8"/>
      <c r="J33140" s="8"/>
    </row>
    <row r="33141">
      <c r="C33141" s="15"/>
      <c r="E33141" s="8"/>
      <c r="G33141" s="8"/>
      <c r="J33141" s="8"/>
    </row>
    <row r="33142">
      <c r="C33142" s="15"/>
      <c r="E33142" s="8"/>
      <c r="G33142" s="8"/>
      <c r="J33142" s="8"/>
    </row>
    <row r="33143">
      <c r="C33143" s="15"/>
      <c r="E33143" s="8"/>
      <c r="G33143" s="8"/>
      <c r="J33143" s="8"/>
    </row>
    <row r="33144">
      <c r="C33144" s="15"/>
      <c r="E33144" s="8"/>
      <c r="G33144" s="8"/>
      <c r="J33144" s="8"/>
    </row>
    <row r="33145">
      <c r="C33145" s="15"/>
      <c r="E33145" s="8"/>
      <c r="G33145" s="8"/>
      <c r="J33145" s="8"/>
    </row>
    <row r="33146">
      <c r="C33146" s="15"/>
      <c r="E33146" s="8"/>
      <c r="G33146" s="8"/>
      <c r="J33146" s="8"/>
    </row>
    <row r="33147">
      <c r="C33147" s="15"/>
      <c r="E33147" s="8"/>
      <c r="G33147" s="8"/>
      <c r="J33147" s="8"/>
    </row>
    <row r="33148">
      <c r="C33148" s="15"/>
      <c r="E33148" s="8"/>
      <c r="G33148" s="8"/>
      <c r="J33148" s="8"/>
    </row>
    <row r="33149">
      <c r="C33149" s="15"/>
      <c r="E33149" s="8"/>
      <c r="G33149" s="8"/>
      <c r="J33149" s="8"/>
    </row>
    <row r="33150">
      <c r="C33150" s="15"/>
      <c r="E33150" s="8"/>
      <c r="G33150" s="8"/>
      <c r="J33150" s="8"/>
    </row>
    <row r="33151">
      <c r="C33151" s="15"/>
      <c r="E33151" s="8"/>
      <c r="G33151" s="8"/>
      <c r="J33151" s="8"/>
    </row>
    <row r="33152">
      <c r="C33152" s="15"/>
      <c r="E33152" s="8"/>
      <c r="G33152" s="8"/>
      <c r="J33152" s="8"/>
    </row>
    <row r="33153">
      <c r="C33153" s="15"/>
      <c r="E33153" s="8"/>
      <c r="G33153" s="8"/>
      <c r="J33153" s="8"/>
    </row>
    <row r="33154">
      <c r="C33154" s="15"/>
      <c r="E33154" s="8"/>
      <c r="G33154" s="8"/>
      <c r="J33154" s="8"/>
    </row>
    <row r="33155">
      <c r="C33155" s="15"/>
      <c r="E33155" s="8"/>
      <c r="G33155" s="8"/>
      <c r="J33155" s="8"/>
    </row>
    <row r="33156">
      <c r="C33156" s="15"/>
      <c r="E33156" s="8"/>
      <c r="G33156" s="8"/>
      <c r="J33156" s="8"/>
    </row>
    <row r="33157">
      <c r="C33157" s="15"/>
      <c r="E33157" s="8"/>
      <c r="G33157" s="8"/>
      <c r="J33157" s="8"/>
    </row>
    <row r="33158">
      <c r="C33158" s="15"/>
      <c r="E33158" s="8"/>
      <c r="G33158" s="8"/>
      <c r="J33158" s="8"/>
    </row>
    <row r="33159">
      <c r="C33159" s="15"/>
      <c r="E33159" s="8"/>
      <c r="G33159" s="8"/>
      <c r="J33159" s="8"/>
    </row>
    <row r="33160">
      <c r="C33160" s="15"/>
      <c r="E33160" s="8"/>
      <c r="G33160" s="8"/>
      <c r="J33160" s="8"/>
    </row>
    <row r="33161">
      <c r="C33161" s="15"/>
      <c r="E33161" s="8"/>
      <c r="G33161" s="8"/>
      <c r="J33161" s="8"/>
    </row>
    <row r="33162">
      <c r="C33162" s="15"/>
      <c r="E33162" s="8"/>
      <c r="G33162" s="8"/>
      <c r="J33162" s="8"/>
    </row>
    <row r="33163">
      <c r="C33163" s="15"/>
      <c r="E33163" s="8"/>
      <c r="G33163" s="8"/>
      <c r="J33163" s="8"/>
    </row>
    <row r="33164">
      <c r="C33164" s="15"/>
      <c r="E33164" s="8"/>
      <c r="G33164" s="8"/>
      <c r="J33164" s="8"/>
    </row>
    <row r="33165">
      <c r="C33165" s="15"/>
      <c r="E33165" s="8"/>
      <c r="G33165" s="8"/>
      <c r="J33165" s="8"/>
    </row>
    <row r="33166">
      <c r="C33166" s="15"/>
      <c r="E33166" s="8"/>
      <c r="G33166" s="8"/>
      <c r="J33166" s="8"/>
    </row>
    <row r="33167">
      <c r="C33167" s="15"/>
      <c r="E33167" s="8"/>
      <c r="G33167" s="8"/>
      <c r="J33167" s="8"/>
    </row>
    <row r="33168">
      <c r="C33168" s="15"/>
      <c r="E33168" s="8"/>
      <c r="G33168" s="8"/>
      <c r="J33168" s="8"/>
    </row>
    <row r="33169">
      <c r="C33169" s="15"/>
      <c r="E33169" s="8"/>
      <c r="G33169" s="8"/>
      <c r="J33169" s="8"/>
    </row>
    <row r="33170">
      <c r="C33170" s="15"/>
      <c r="E33170" s="8"/>
      <c r="G33170" s="8"/>
      <c r="J33170" s="8"/>
    </row>
    <row r="33171">
      <c r="C33171" s="15"/>
      <c r="E33171" s="8"/>
      <c r="G33171" s="8"/>
      <c r="J33171" s="8"/>
    </row>
    <row r="33172">
      <c r="C33172" s="15"/>
      <c r="E33172" s="8"/>
      <c r="G33172" s="8"/>
      <c r="J33172" s="8"/>
    </row>
    <row r="33173">
      <c r="C33173" s="15"/>
      <c r="E33173" s="8"/>
      <c r="G33173" s="8"/>
      <c r="J33173" s="8"/>
    </row>
    <row r="33174">
      <c r="C33174" s="15"/>
      <c r="E33174" s="8"/>
      <c r="G33174" s="8"/>
      <c r="J33174" s="8"/>
    </row>
    <row r="33175">
      <c r="C33175" s="15"/>
      <c r="E33175" s="8"/>
      <c r="G33175" s="8"/>
      <c r="J33175" s="8"/>
    </row>
    <row r="33176">
      <c r="C33176" s="15"/>
      <c r="E33176" s="8"/>
      <c r="G33176" s="8"/>
      <c r="J33176" s="8"/>
    </row>
    <row r="33177">
      <c r="C33177" s="15"/>
      <c r="E33177" s="8"/>
      <c r="G33177" s="8"/>
      <c r="J33177" s="8"/>
    </row>
    <row r="33178">
      <c r="C33178" s="15"/>
      <c r="E33178" s="8"/>
      <c r="G33178" s="8"/>
      <c r="J33178" s="8"/>
    </row>
    <row r="33179">
      <c r="C33179" s="15"/>
      <c r="E33179" s="8"/>
      <c r="G33179" s="8"/>
      <c r="J33179" s="8"/>
    </row>
    <row r="33180">
      <c r="C33180" s="15"/>
      <c r="E33180" s="8"/>
      <c r="G33180" s="8"/>
      <c r="J33180" s="8"/>
    </row>
    <row r="33181">
      <c r="C33181" s="15"/>
      <c r="E33181" s="8"/>
      <c r="G33181" s="8"/>
      <c r="J33181" s="8"/>
    </row>
    <row r="33182">
      <c r="C33182" s="15"/>
      <c r="E33182" s="8"/>
      <c r="G33182" s="8"/>
      <c r="J33182" s="8"/>
    </row>
    <row r="33183">
      <c r="C33183" s="15"/>
      <c r="E33183" s="8"/>
      <c r="G33183" s="8"/>
      <c r="J33183" s="8"/>
    </row>
    <row r="33184">
      <c r="C33184" s="15"/>
      <c r="E33184" s="8"/>
      <c r="G33184" s="8"/>
      <c r="J33184" s="8"/>
    </row>
    <row r="33185">
      <c r="C33185" s="15"/>
      <c r="E33185" s="8"/>
      <c r="G33185" s="8"/>
      <c r="J33185" s="8"/>
    </row>
    <row r="33186">
      <c r="C33186" s="15"/>
      <c r="E33186" s="8"/>
      <c r="G33186" s="8"/>
      <c r="J33186" s="8"/>
    </row>
    <row r="33187">
      <c r="C33187" s="15"/>
      <c r="E33187" s="8"/>
      <c r="G33187" s="8"/>
      <c r="J33187" s="8"/>
    </row>
    <row r="33188">
      <c r="C33188" s="15"/>
      <c r="E33188" s="8"/>
      <c r="G33188" s="8"/>
      <c r="J33188" s="8"/>
    </row>
    <row r="33189">
      <c r="C33189" s="15"/>
      <c r="E33189" s="8"/>
      <c r="G33189" s="8"/>
      <c r="J33189" s="8"/>
    </row>
    <row r="33190">
      <c r="C33190" s="15"/>
      <c r="E33190" s="8"/>
      <c r="G33190" s="8"/>
      <c r="J33190" s="8"/>
    </row>
    <row r="33191">
      <c r="C33191" s="15"/>
      <c r="E33191" s="8"/>
      <c r="G33191" s="8"/>
      <c r="J33191" s="8"/>
    </row>
    <row r="33192">
      <c r="C33192" s="15"/>
      <c r="E33192" s="8"/>
      <c r="G33192" s="8"/>
      <c r="J33192" s="8"/>
    </row>
    <row r="33193">
      <c r="C33193" s="15"/>
      <c r="E33193" s="8"/>
      <c r="G33193" s="8"/>
      <c r="J33193" s="8"/>
    </row>
    <row r="33194">
      <c r="C33194" s="15"/>
      <c r="E33194" s="8"/>
      <c r="G33194" s="8"/>
      <c r="J33194" s="8"/>
    </row>
    <row r="33195">
      <c r="C33195" s="15"/>
      <c r="E33195" s="8"/>
      <c r="G33195" s="8"/>
      <c r="J33195" s="8"/>
    </row>
    <row r="33196">
      <c r="C33196" s="15"/>
      <c r="E33196" s="8"/>
      <c r="G33196" s="8"/>
      <c r="J33196" s="8"/>
    </row>
    <row r="33197">
      <c r="C33197" s="15"/>
      <c r="E33197" s="8"/>
      <c r="G33197" s="8"/>
      <c r="J33197" s="8"/>
    </row>
    <row r="33198">
      <c r="C33198" s="15"/>
      <c r="E33198" s="8"/>
      <c r="G33198" s="8"/>
      <c r="J33198" s="8"/>
    </row>
    <row r="33199">
      <c r="C33199" s="15"/>
      <c r="E33199" s="8"/>
      <c r="G33199" s="8"/>
      <c r="J33199" s="8"/>
    </row>
    <row r="33200">
      <c r="C33200" s="15"/>
      <c r="E33200" s="8"/>
      <c r="G33200" s="8"/>
      <c r="J33200" s="8"/>
    </row>
    <row r="33201">
      <c r="C33201" s="15"/>
      <c r="E33201" s="8"/>
      <c r="G33201" s="8"/>
      <c r="J33201" s="8"/>
    </row>
    <row r="33202">
      <c r="C33202" s="15"/>
      <c r="E33202" s="8"/>
      <c r="G33202" s="8"/>
      <c r="J33202" s="8"/>
    </row>
    <row r="33203">
      <c r="C33203" s="15"/>
      <c r="E33203" s="8"/>
      <c r="G33203" s="8"/>
      <c r="J33203" s="8"/>
    </row>
    <row r="33204">
      <c r="C33204" s="15"/>
      <c r="E33204" s="8"/>
      <c r="G33204" s="8"/>
      <c r="J33204" s="8"/>
    </row>
    <row r="33205">
      <c r="C33205" s="15"/>
      <c r="E33205" s="8"/>
      <c r="G33205" s="8"/>
      <c r="J33205" s="8"/>
    </row>
    <row r="33206">
      <c r="C33206" s="15"/>
      <c r="E33206" s="8"/>
      <c r="G33206" s="8"/>
      <c r="J33206" s="8"/>
    </row>
    <row r="33207">
      <c r="C33207" s="15"/>
      <c r="E33207" s="8"/>
      <c r="G33207" s="8"/>
      <c r="J33207" s="8"/>
    </row>
    <row r="33208">
      <c r="C33208" s="15"/>
      <c r="E33208" s="8"/>
      <c r="G33208" s="8"/>
      <c r="J33208" s="8"/>
    </row>
    <row r="33209">
      <c r="C33209" s="15"/>
      <c r="E33209" s="8"/>
      <c r="G33209" s="8"/>
      <c r="J33209" s="8"/>
    </row>
    <row r="33210">
      <c r="C33210" s="15"/>
      <c r="E33210" s="8"/>
      <c r="G33210" s="8"/>
      <c r="J33210" s="8"/>
    </row>
    <row r="33211">
      <c r="C33211" s="15"/>
      <c r="E33211" s="8"/>
      <c r="G33211" s="8"/>
      <c r="J33211" s="8"/>
    </row>
    <row r="33212">
      <c r="C33212" s="15"/>
      <c r="E33212" s="8"/>
      <c r="G33212" s="8"/>
      <c r="J33212" s="8"/>
    </row>
    <row r="33213">
      <c r="C33213" s="15"/>
      <c r="E33213" s="8"/>
      <c r="G33213" s="8"/>
      <c r="J33213" s="8"/>
    </row>
    <row r="33214">
      <c r="C33214" s="15"/>
      <c r="E33214" s="8"/>
      <c r="G33214" s="8"/>
      <c r="J33214" s="8"/>
    </row>
    <row r="33215">
      <c r="C33215" s="15"/>
      <c r="E33215" s="8"/>
      <c r="G33215" s="8"/>
      <c r="J33215" s="8"/>
    </row>
    <row r="33216">
      <c r="C33216" s="15"/>
      <c r="E33216" s="8"/>
      <c r="G33216" s="8"/>
      <c r="J33216" s="8"/>
    </row>
    <row r="33217">
      <c r="C33217" s="15"/>
      <c r="E33217" s="8"/>
      <c r="G33217" s="8"/>
      <c r="J33217" s="8"/>
    </row>
    <row r="33218">
      <c r="C33218" s="15"/>
      <c r="E33218" s="8"/>
      <c r="G33218" s="8"/>
      <c r="J33218" s="8"/>
    </row>
    <row r="33219">
      <c r="C33219" s="15"/>
      <c r="E33219" s="8"/>
      <c r="G33219" s="8"/>
      <c r="J33219" s="8"/>
    </row>
    <row r="33220">
      <c r="C33220" s="15"/>
      <c r="E33220" s="8"/>
      <c r="G33220" s="8"/>
      <c r="J33220" s="8"/>
    </row>
    <row r="33221">
      <c r="C33221" s="15"/>
      <c r="E33221" s="8"/>
      <c r="G33221" s="8"/>
      <c r="J33221" s="8"/>
    </row>
    <row r="33222">
      <c r="C33222" s="15"/>
      <c r="E33222" s="8"/>
      <c r="G33222" s="8"/>
      <c r="J33222" s="8"/>
    </row>
    <row r="33223">
      <c r="C33223" s="15"/>
      <c r="E33223" s="8"/>
      <c r="G33223" s="8"/>
      <c r="J33223" s="8"/>
    </row>
    <row r="33224">
      <c r="C33224" s="15"/>
      <c r="E33224" s="8"/>
      <c r="G33224" s="8"/>
      <c r="J33224" s="8"/>
    </row>
    <row r="33225">
      <c r="C33225" s="15"/>
      <c r="E33225" s="8"/>
      <c r="G33225" s="8"/>
      <c r="J33225" s="8"/>
    </row>
    <row r="33226">
      <c r="C33226" s="15"/>
      <c r="E33226" s="8"/>
      <c r="G33226" s="8"/>
      <c r="J33226" s="8"/>
    </row>
    <row r="33227">
      <c r="C33227" s="15"/>
      <c r="E33227" s="8"/>
      <c r="G33227" s="8"/>
      <c r="J33227" s="8"/>
    </row>
    <row r="33228">
      <c r="C33228" s="15"/>
      <c r="E33228" s="8"/>
      <c r="G33228" s="8"/>
      <c r="J33228" s="8"/>
    </row>
    <row r="33229">
      <c r="C33229" s="15"/>
      <c r="E33229" s="8"/>
      <c r="G33229" s="8"/>
      <c r="J33229" s="8"/>
    </row>
    <row r="33230">
      <c r="C33230" s="15"/>
      <c r="E33230" s="8"/>
      <c r="G33230" s="8"/>
      <c r="J33230" s="8"/>
    </row>
    <row r="33231">
      <c r="C33231" s="15"/>
      <c r="E33231" s="8"/>
      <c r="G33231" s="8"/>
      <c r="J33231" s="8"/>
    </row>
    <row r="33232">
      <c r="C33232" s="15"/>
      <c r="E33232" s="8"/>
      <c r="G33232" s="8"/>
      <c r="J33232" s="8"/>
    </row>
    <row r="33233">
      <c r="C33233" s="15"/>
      <c r="E33233" s="8"/>
      <c r="G33233" s="8"/>
      <c r="J33233" s="8"/>
    </row>
    <row r="33234">
      <c r="C33234" s="15"/>
      <c r="E33234" s="8"/>
      <c r="G33234" s="8"/>
      <c r="J33234" s="8"/>
    </row>
    <row r="33235">
      <c r="C33235" s="15"/>
      <c r="E33235" s="8"/>
      <c r="G33235" s="8"/>
      <c r="J33235" s="8"/>
    </row>
    <row r="33236">
      <c r="C33236" s="15"/>
      <c r="E33236" s="8"/>
      <c r="G33236" s="8"/>
      <c r="J33236" s="8"/>
    </row>
    <row r="33237">
      <c r="C33237" s="15"/>
      <c r="E33237" s="8"/>
      <c r="G33237" s="8"/>
      <c r="J33237" s="8"/>
    </row>
    <row r="33238">
      <c r="C33238" s="15"/>
      <c r="E33238" s="8"/>
      <c r="G33238" s="8"/>
      <c r="J33238" s="8"/>
    </row>
    <row r="33239">
      <c r="C33239" s="15"/>
      <c r="E33239" s="8"/>
      <c r="G33239" s="8"/>
      <c r="J33239" s="8"/>
    </row>
    <row r="33240">
      <c r="C33240" s="15"/>
      <c r="E33240" s="8"/>
      <c r="G33240" s="8"/>
      <c r="J33240" s="8"/>
    </row>
    <row r="33241">
      <c r="C33241" s="15"/>
      <c r="E33241" s="8"/>
      <c r="G33241" s="8"/>
      <c r="J33241" s="8"/>
    </row>
    <row r="33242">
      <c r="C33242" s="15"/>
      <c r="E33242" s="8"/>
      <c r="G33242" s="8"/>
      <c r="J33242" s="8"/>
    </row>
    <row r="33243">
      <c r="C33243" s="15"/>
      <c r="E33243" s="8"/>
      <c r="G33243" s="8"/>
      <c r="J33243" s="8"/>
    </row>
    <row r="33244">
      <c r="C33244" s="15"/>
      <c r="E33244" s="8"/>
      <c r="G33244" s="8"/>
      <c r="J33244" s="8"/>
    </row>
    <row r="33245">
      <c r="C33245" s="15"/>
      <c r="E33245" s="8"/>
      <c r="G33245" s="8"/>
      <c r="J33245" s="8"/>
    </row>
    <row r="33246">
      <c r="C33246" s="15"/>
      <c r="E33246" s="8"/>
      <c r="G33246" s="8"/>
      <c r="J33246" s="8"/>
    </row>
    <row r="33247">
      <c r="C33247" s="15"/>
      <c r="E33247" s="8"/>
      <c r="G33247" s="8"/>
      <c r="J33247" s="8"/>
    </row>
    <row r="33248">
      <c r="C33248" s="15"/>
      <c r="E33248" s="8"/>
      <c r="G33248" s="8"/>
      <c r="J33248" s="8"/>
    </row>
    <row r="33249">
      <c r="C33249" s="15"/>
      <c r="E33249" s="8"/>
      <c r="G33249" s="8"/>
      <c r="J33249" s="8"/>
    </row>
    <row r="33250">
      <c r="C33250" s="15"/>
      <c r="E33250" s="8"/>
      <c r="G33250" s="8"/>
      <c r="J33250" s="8"/>
    </row>
    <row r="33251">
      <c r="C33251" s="15"/>
      <c r="E33251" s="8"/>
      <c r="G33251" s="8"/>
      <c r="J33251" s="8"/>
    </row>
    <row r="33252">
      <c r="C33252" s="15"/>
      <c r="E33252" s="8"/>
      <c r="G33252" s="8"/>
      <c r="J33252" s="8"/>
    </row>
    <row r="33253">
      <c r="C33253" s="15"/>
      <c r="E33253" s="8"/>
      <c r="G33253" s="8"/>
      <c r="J33253" s="8"/>
    </row>
    <row r="33254">
      <c r="C33254" s="15"/>
      <c r="E33254" s="8"/>
      <c r="G33254" s="8"/>
      <c r="J33254" s="8"/>
    </row>
    <row r="33255">
      <c r="C33255" s="15"/>
      <c r="E33255" s="8"/>
      <c r="G33255" s="8"/>
      <c r="J33255" s="8"/>
    </row>
    <row r="33256">
      <c r="C33256" s="15"/>
      <c r="E33256" s="8"/>
      <c r="G33256" s="8"/>
      <c r="J33256" s="8"/>
    </row>
    <row r="33257">
      <c r="C33257" s="15"/>
      <c r="E33257" s="8"/>
      <c r="G33257" s="8"/>
      <c r="J33257" s="8"/>
    </row>
    <row r="33258">
      <c r="C33258" s="15"/>
      <c r="E33258" s="8"/>
      <c r="G33258" s="8"/>
      <c r="J33258" s="8"/>
    </row>
    <row r="33259">
      <c r="C33259" s="15"/>
      <c r="E33259" s="8"/>
      <c r="G33259" s="8"/>
      <c r="J33259" s="8"/>
    </row>
    <row r="33260">
      <c r="C33260" s="15"/>
      <c r="E33260" s="8"/>
      <c r="G33260" s="8"/>
      <c r="J33260" s="8"/>
    </row>
    <row r="33261">
      <c r="C33261" s="15"/>
      <c r="E33261" s="8"/>
      <c r="G33261" s="8"/>
      <c r="J33261" s="8"/>
    </row>
    <row r="33262">
      <c r="C33262" s="15"/>
      <c r="E33262" s="8"/>
      <c r="G33262" s="8"/>
      <c r="J33262" s="8"/>
    </row>
    <row r="33263">
      <c r="C33263" s="15"/>
      <c r="E33263" s="8"/>
      <c r="G33263" s="8"/>
      <c r="J33263" s="8"/>
    </row>
    <row r="33264">
      <c r="C33264" s="15"/>
      <c r="E33264" s="8"/>
      <c r="G33264" s="8"/>
      <c r="J33264" s="8"/>
    </row>
    <row r="33265">
      <c r="C33265" s="15"/>
      <c r="E33265" s="8"/>
      <c r="G33265" s="8"/>
      <c r="J33265" s="8"/>
    </row>
    <row r="33266">
      <c r="C33266" s="15"/>
      <c r="E33266" s="8"/>
      <c r="G33266" s="8"/>
      <c r="J33266" s="8"/>
    </row>
    <row r="33267">
      <c r="C33267" s="15"/>
      <c r="E33267" s="8"/>
      <c r="G33267" s="8"/>
      <c r="J33267" s="8"/>
    </row>
    <row r="33268">
      <c r="C33268" s="15"/>
      <c r="E33268" s="8"/>
      <c r="G33268" s="8"/>
      <c r="J33268" s="8"/>
    </row>
    <row r="33269">
      <c r="C33269" s="15"/>
      <c r="E33269" s="8"/>
      <c r="G33269" s="8"/>
      <c r="J33269" s="8"/>
    </row>
    <row r="33270">
      <c r="C33270" s="15"/>
      <c r="E33270" s="8"/>
      <c r="G33270" s="8"/>
      <c r="J33270" s="8"/>
    </row>
    <row r="33271">
      <c r="C33271" s="15"/>
      <c r="E33271" s="8"/>
      <c r="G33271" s="8"/>
      <c r="J33271" s="8"/>
    </row>
    <row r="33272">
      <c r="C33272" s="15"/>
      <c r="E33272" s="8"/>
      <c r="G33272" s="8"/>
      <c r="J33272" s="8"/>
    </row>
    <row r="33273">
      <c r="C33273" s="15"/>
      <c r="E33273" s="8"/>
      <c r="G33273" s="8"/>
      <c r="J33273" s="8"/>
    </row>
    <row r="33274">
      <c r="C33274" s="15"/>
      <c r="E33274" s="8"/>
      <c r="G33274" s="8"/>
      <c r="J33274" s="8"/>
    </row>
    <row r="33275">
      <c r="C33275" s="15"/>
      <c r="E33275" s="8"/>
      <c r="G33275" s="8"/>
      <c r="J33275" s="8"/>
    </row>
    <row r="33276">
      <c r="C33276" s="15"/>
      <c r="E33276" s="8"/>
      <c r="G33276" s="8"/>
      <c r="J33276" s="8"/>
    </row>
    <row r="33277">
      <c r="C33277" s="15"/>
      <c r="E33277" s="8"/>
      <c r="G33277" s="8"/>
      <c r="J33277" s="8"/>
    </row>
    <row r="33278">
      <c r="C33278" s="15"/>
      <c r="E33278" s="8"/>
      <c r="G33278" s="8"/>
      <c r="J33278" s="8"/>
    </row>
    <row r="33279">
      <c r="C33279" s="15"/>
      <c r="E33279" s="8"/>
      <c r="G33279" s="8"/>
      <c r="J33279" s="8"/>
    </row>
    <row r="33280">
      <c r="C33280" s="15"/>
      <c r="E33280" s="8"/>
      <c r="G33280" s="8"/>
      <c r="J33280" s="8"/>
    </row>
    <row r="33281">
      <c r="C33281" s="15"/>
      <c r="E33281" s="8"/>
      <c r="G33281" s="8"/>
      <c r="J33281" s="8"/>
    </row>
    <row r="33282">
      <c r="C33282" s="15"/>
      <c r="E33282" s="8"/>
      <c r="G33282" s="8"/>
      <c r="J33282" s="8"/>
    </row>
    <row r="33283">
      <c r="C33283" s="15"/>
      <c r="E33283" s="8"/>
      <c r="G33283" s="8"/>
      <c r="J33283" s="8"/>
    </row>
    <row r="33284">
      <c r="C33284" s="15"/>
      <c r="E33284" s="8"/>
      <c r="G33284" s="8"/>
      <c r="J33284" s="8"/>
    </row>
    <row r="33285">
      <c r="C33285" s="15"/>
      <c r="E33285" s="8"/>
      <c r="G33285" s="8"/>
      <c r="J33285" s="8"/>
    </row>
    <row r="33286">
      <c r="C33286" s="15"/>
      <c r="E33286" s="8"/>
      <c r="G33286" s="8"/>
      <c r="J33286" s="8"/>
    </row>
    <row r="33287">
      <c r="C33287" s="15"/>
      <c r="E33287" s="8"/>
      <c r="G33287" s="8"/>
      <c r="J33287" s="8"/>
    </row>
    <row r="33288">
      <c r="C33288" s="15"/>
      <c r="E33288" s="8"/>
      <c r="G33288" s="8"/>
      <c r="J33288" s="8"/>
    </row>
    <row r="33289">
      <c r="C33289" s="15"/>
      <c r="E33289" s="8"/>
      <c r="G33289" s="8"/>
      <c r="J33289" s="8"/>
    </row>
    <row r="33290">
      <c r="C33290" s="15"/>
      <c r="E33290" s="8"/>
      <c r="G33290" s="8"/>
      <c r="J33290" s="8"/>
    </row>
    <row r="33291">
      <c r="C33291" s="15"/>
      <c r="E33291" s="8"/>
      <c r="G33291" s="8"/>
      <c r="J33291" s="8"/>
    </row>
    <row r="33292">
      <c r="C33292" s="15"/>
      <c r="E33292" s="8"/>
      <c r="G33292" s="8"/>
      <c r="J33292" s="8"/>
    </row>
    <row r="33293">
      <c r="C33293" s="15"/>
      <c r="E33293" s="8"/>
      <c r="G33293" s="8"/>
      <c r="J33293" s="8"/>
    </row>
    <row r="33294">
      <c r="C33294" s="15"/>
      <c r="E33294" s="8"/>
      <c r="G33294" s="8"/>
      <c r="J33294" s="8"/>
    </row>
    <row r="33295">
      <c r="C33295" s="15"/>
      <c r="E33295" s="8"/>
      <c r="G33295" s="8"/>
      <c r="J33295" s="8"/>
    </row>
    <row r="33296">
      <c r="C33296" s="15"/>
      <c r="E33296" s="8"/>
      <c r="G33296" s="8"/>
      <c r="J33296" s="8"/>
    </row>
    <row r="33297">
      <c r="C33297" s="15"/>
      <c r="E33297" s="8"/>
      <c r="G33297" s="8"/>
      <c r="J33297" s="8"/>
    </row>
    <row r="33298">
      <c r="C33298" s="15"/>
      <c r="E33298" s="8"/>
      <c r="G33298" s="8"/>
      <c r="J33298" s="8"/>
    </row>
    <row r="33299">
      <c r="C33299" s="15"/>
      <c r="E33299" s="8"/>
      <c r="G33299" s="8"/>
      <c r="J33299" s="8"/>
    </row>
    <row r="33300">
      <c r="C33300" s="15"/>
      <c r="E33300" s="8"/>
      <c r="G33300" s="8"/>
      <c r="J33300" s="8"/>
    </row>
    <row r="33301">
      <c r="C33301" s="15"/>
      <c r="E33301" s="8"/>
      <c r="G33301" s="8"/>
      <c r="J33301" s="8"/>
    </row>
    <row r="33302">
      <c r="C33302" s="15"/>
      <c r="E33302" s="8"/>
      <c r="G33302" s="8"/>
      <c r="J33302" s="8"/>
    </row>
    <row r="33303">
      <c r="C33303" s="15"/>
      <c r="E33303" s="8"/>
      <c r="G33303" s="8"/>
      <c r="J33303" s="8"/>
    </row>
    <row r="33304">
      <c r="C33304" s="15"/>
      <c r="E33304" s="8"/>
      <c r="G33304" s="8"/>
      <c r="J33304" s="8"/>
    </row>
    <row r="33305">
      <c r="C33305" s="15"/>
      <c r="E33305" s="8"/>
      <c r="G33305" s="8"/>
      <c r="J33305" s="8"/>
    </row>
    <row r="33306">
      <c r="C33306" s="15"/>
      <c r="E33306" s="8"/>
      <c r="G33306" s="8"/>
      <c r="J33306" s="8"/>
    </row>
    <row r="33307">
      <c r="C33307" s="15"/>
      <c r="E33307" s="8"/>
      <c r="G33307" s="8"/>
      <c r="J33307" s="8"/>
    </row>
    <row r="33308">
      <c r="C33308" s="15"/>
      <c r="E33308" s="8"/>
      <c r="G33308" s="8"/>
      <c r="J33308" s="8"/>
    </row>
    <row r="33309">
      <c r="C33309" s="15"/>
      <c r="E33309" s="8"/>
      <c r="G33309" s="8"/>
      <c r="J33309" s="8"/>
    </row>
    <row r="33310">
      <c r="C33310" s="15"/>
      <c r="E33310" s="8"/>
      <c r="G33310" s="8"/>
      <c r="J33310" s="8"/>
    </row>
    <row r="33311">
      <c r="C33311" s="15"/>
      <c r="E33311" s="8"/>
      <c r="G33311" s="8"/>
      <c r="J33311" s="8"/>
    </row>
    <row r="33312">
      <c r="C33312" s="15"/>
      <c r="E33312" s="8"/>
      <c r="G33312" s="8"/>
      <c r="J33312" s="8"/>
    </row>
    <row r="33313">
      <c r="C33313" s="15"/>
      <c r="E33313" s="8"/>
      <c r="G33313" s="8"/>
      <c r="J33313" s="8"/>
    </row>
    <row r="33314">
      <c r="C33314" s="15"/>
      <c r="E33314" s="8"/>
      <c r="G33314" s="8"/>
      <c r="J33314" s="8"/>
    </row>
    <row r="33315">
      <c r="C33315" s="15"/>
      <c r="E33315" s="8"/>
      <c r="G33315" s="8"/>
      <c r="J33315" s="8"/>
    </row>
    <row r="33316">
      <c r="C33316" s="15"/>
      <c r="E33316" s="8"/>
      <c r="G33316" s="8"/>
      <c r="J33316" s="8"/>
    </row>
    <row r="33317">
      <c r="C33317" s="15"/>
      <c r="E33317" s="8"/>
      <c r="G33317" s="8"/>
      <c r="J33317" s="8"/>
    </row>
    <row r="33318">
      <c r="C33318" s="15"/>
      <c r="E33318" s="8"/>
      <c r="G33318" s="8"/>
      <c r="J33318" s="8"/>
    </row>
    <row r="33319">
      <c r="C33319" s="15"/>
      <c r="E33319" s="8"/>
      <c r="G33319" s="8"/>
      <c r="J33319" s="8"/>
    </row>
    <row r="33320">
      <c r="C33320" s="15"/>
      <c r="E33320" s="8"/>
      <c r="G33320" s="8"/>
      <c r="J33320" s="8"/>
    </row>
    <row r="33321">
      <c r="C33321" s="15"/>
      <c r="E33321" s="8"/>
      <c r="G33321" s="8"/>
      <c r="J33321" s="8"/>
    </row>
    <row r="33322">
      <c r="C33322" s="15"/>
      <c r="E33322" s="8"/>
      <c r="G33322" s="8"/>
      <c r="J33322" s="8"/>
    </row>
    <row r="33323">
      <c r="C33323" s="15"/>
      <c r="E33323" s="8"/>
      <c r="G33323" s="8"/>
      <c r="J33323" s="8"/>
    </row>
    <row r="33324">
      <c r="C33324" s="15"/>
      <c r="E33324" s="8"/>
      <c r="G33324" s="8"/>
      <c r="J33324" s="8"/>
    </row>
    <row r="33325">
      <c r="C33325" s="15"/>
      <c r="E33325" s="8"/>
      <c r="G33325" s="8"/>
      <c r="J33325" s="8"/>
    </row>
    <row r="33326">
      <c r="C33326" s="15"/>
      <c r="E33326" s="8"/>
      <c r="G33326" s="8"/>
      <c r="J33326" s="8"/>
    </row>
    <row r="33327">
      <c r="C33327" s="15"/>
      <c r="E33327" s="8"/>
      <c r="G33327" s="8"/>
      <c r="J33327" s="8"/>
    </row>
    <row r="33328">
      <c r="C33328" s="15"/>
      <c r="E33328" s="8"/>
      <c r="G33328" s="8"/>
      <c r="J33328" s="8"/>
    </row>
    <row r="33329">
      <c r="C33329" s="15"/>
      <c r="E33329" s="8"/>
      <c r="G33329" s="8"/>
      <c r="J33329" s="8"/>
    </row>
    <row r="33330">
      <c r="C33330" s="15"/>
      <c r="E33330" s="8"/>
      <c r="G33330" s="8"/>
      <c r="J33330" s="8"/>
    </row>
    <row r="33331">
      <c r="C33331" s="15"/>
      <c r="E33331" s="8"/>
      <c r="G33331" s="8"/>
      <c r="J33331" s="8"/>
    </row>
    <row r="33332">
      <c r="C33332" s="15"/>
      <c r="E33332" s="8"/>
      <c r="G33332" s="8"/>
      <c r="J33332" s="8"/>
    </row>
    <row r="33333">
      <c r="C33333" s="15"/>
      <c r="E33333" s="8"/>
      <c r="G33333" s="8"/>
      <c r="J33333" s="8"/>
    </row>
    <row r="33334">
      <c r="C33334" s="15"/>
      <c r="E33334" s="8"/>
      <c r="G33334" s="8"/>
      <c r="J33334" s="8"/>
    </row>
    <row r="33335">
      <c r="C33335" s="15"/>
      <c r="E33335" s="8"/>
      <c r="G33335" s="8"/>
      <c r="J33335" s="8"/>
    </row>
    <row r="33336">
      <c r="C33336" s="15"/>
      <c r="E33336" s="8"/>
      <c r="G33336" s="8"/>
      <c r="J33336" s="8"/>
    </row>
    <row r="33337">
      <c r="C33337" s="15"/>
      <c r="E33337" s="8"/>
      <c r="G33337" s="8"/>
      <c r="J33337" s="8"/>
    </row>
    <row r="33338">
      <c r="C33338" s="15"/>
      <c r="E33338" s="8"/>
      <c r="G33338" s="8"/>
      <c r="J33338" s="8"/>
    </row>
    <row r="33339">
      <c r="C33339" s="15"/>
      <c r="E33339" s="8"/>
      <c r="G33339" s="8"/>
      <c r="J33339" s="8"/>
    </row>
    <row r="33340">
      <c r="C33340" s="15"/>
      <c r="E33340" s="8"/>
      <c r="G33340" s="8"/>
      <c r="J33340" s="8"/>
    </row>
    <row r="33341">
      <c r="C33341" s="15"/>
      <c r="E33341" s="8"/>
      <c r="G33341" s="8"/>
      <c r="J33341" s="8"/>
    </row>
    <row r="33342">
      <c r="C33342" s="15"/>
      <c r="E33342" s="8"/>
      <c r="G33342" s="8"/>
      <c r="J33342" s="8"/>
    </row>
    <row r="33343">
      <c r="C33343" s="15"/>
      <c r="E33343" s="8"/>
      <c r="G33343" s="8"/>
      <c r="J33343" s="8"/>
    </row>
    <row r="33344">
      <c r="C33344" s="15"/>
      <c r="E33344" s="8"/>
      <c r="G33344" s="8"/>
      <c r="J33344" s="8"/>
    </row>
    <row r="33345">
      <c r="C33345" s="15"/>
      <c r="E33345" s="8"/>
      <c r="G33345" s="8"/>
      <c r="J33345" s="8"/>
    </row>
    <row r="33346">
      <c r="C33346" s="15"/>
      <c r="E33346" s="8"/>
      <c r="G33346" s="8"/>
      <c r="J33346" s="8"/>
    </row>
    <row r="33347">
      <c r="C33347" s="15"/>
      <c r="E33347" s="8"/>
      <c r="G33347" s="8"/>
      <c r="J33347" s="8"/>
    </row>
    <row r="33348">
      <c r="C33348" s="15"/>
      <c r="E33348" s="8"/>
      <c r="G33348" s="8"/>
      <c r="J33348" s="8"/>
    </row>
    <row r="33349">
      <c r="C33349" s="15"/>
      <c r="E33349" s="8"/>
      <c r="G33349" s="8"/>
      <c r="J33349" s="8"/>
    </row>
    <row r="33350">
      <c r="C33350" s="15"/>
      <c r="E33350" s="8"/>
      <c r="G33350" s="8"/>
      <c r="J33350" s="8"/>
    </row>
    <row r="33351">
      <c r="C33351" s="15"/>
      <c r="E33351" s="8"/>
      <c r="G33351" s="8"/>
      <c r="J33351" s="8"/>
    </row>
    <row r="33352">
      <c r="C33352" s="15"/>
      <c r="E33352" s="8"/>
      <c r="G33352" s="8"/>
      <c r="J33352" s="8"/>
    </row>
    <row r="33353">
      <c r="C33353" s="15"/>
      <c r="E33353" s="8"/>
      <c r="G33353" s="8"/>
      <c r="J33353" s="8"/>
    </row>
    <row r="33354">
      <c r="C33354" s="15"/>
      <c r="E33354" s="8"/>
      <c r="G33354" s="8"/>
      <c r="J33354" s="8"/>
    </row>
    <row r="33355">
      <c r="C33355" s="15"/>
      <c r="E33355" s="8"/>
      <c r="G33355" s="8"/>
      <c r="J33355" s="8"/>
    </row>
    <row r="33356">
      <c r="C33356" s="15"/>
      <c r="E33356" s="8"/>
      <c r="G33356" s="8"/>
      <c r="J33356" s="8"/>
    </row>
    <row r="33357">
      <c r="C33357" s="15"/>
      <c r="E33357" s="8"/>
      <c r="G33357" s="8"/>
      <c r="J33357" s="8"/>
    </row>
    <row r="33358">
      <c r="C33358" s="15"/>
      <c r="E33358" s="8"/>
      <c r="G33358" s="8"/>
      <c r="J33358" s="8"/>
    </row>
    <row r="33359">
      <c r="C33359" s="15"/>
      <c r="E33359" s="8"/>
      <c r="G33359" s="8"/>
      <c r="J33359" s="8"/>
    </row>
    <row r="33360">
      <c r="C33360" s="15"/>
      <c r="E33360" s="8"/>
      <c r="G33360" s="8"/>
      <c r="J33360" s="8"/>
    </row>
    <row r="33361">
      <c r="C33361" s="15"/>
      <c r="E33361" s="8"/>
      <c r="G33361" s="8"/>
      <c r="J33361" s="8"/>
    </row>
    <row r="33362">
      <c r="C33362" s="15"/>
      <c r="E33362" s="8"/>
      <c r="G33362" s="8"/>
      <c r="J33362" s="8"/>
    </row>
    <row r="33363">
      <c r="C33363" s="15"/>
      <c r="E33363" s="8"/>
      <c r="G33363" s="8"/>
      <c r="J33363" s="8"/>
    </row>
    <row r="33364">
      <c r="C33364" s="15"/>
      <c r="E33364" s="8"/>
      <c r="G33364" s="8"/>
      <c r="J33364" s="8"/>
    </row>
    <row r="33365">
      <c r="C33365" s="15"/>
      <c r="E33365" s="8"/>
      <c r="G33365" s="8"/>
      <c r="J33365" s="8"/>
    </row>
    <row r="33366">
      <c r="C33366" s="15"/>
      <c r="E33366" s="8"/>
      <c r="G33366" s="8"/>
      <c r="J33366" s="8"/>
    </row>
    <row r="33367">
      <c r="C33367" s="15"/>
      <c r="E33367" s="8"/>
      <c r="G33367" s="8"/>
      <c r="J33367" s="8"/>
    </row>
    <row r="33368">
      <c r="C33368" s="15"/>
      <c r="E33368" s="8"/>
      <c r="G33368" s="8"/>
      <c r="J33368" s="8"/>
    </row>
    <row r="33369">
      <c r="C33369" s="15"/>
      <c r="E33369" s="8"/>
      <c r="G33369" s="8"/>
      <c r="J33369" s="8"/>
    </row>
    <row r="33370">
      <c r="C33370" s="15"/>
      <c r="E33370" s="8"/>
      <c r="G33370" s="8"/>
      <c r="J33370" s="8"/>
    </row>
    <row r="33371">
      <c r="C33371" s="15"/>
      <c r="E33371" s="8"/>
      <c r="G33371" s="8"/>
      <c r="J33371" s="8"/>
    </row>
    <row r="33372">
      <c r="C33372" s="15"/>
      <c r="E33372" s="8"/>
      <c r="G33372" s="8"/>
      <c r="J33372" s="8"/>
    </row>
    <row r="33373">
      <c r="C33373" s="15"/>
      <c r="E33373" s="8"/>
      <c r="G33373" s="8"/>
      <c r="J33373" s="8"/>
    </row>
    <row r="33374">
      <c r="C33374" s="15"/>
      <c r="E33374" s="8"/>
      <c r="G33374" s="8"/>
      <c r="J33374" s="8"/>
    </row>
    <row r="33375">
      <c r="C33375" s="15"/>
      <c r="E33375" s="8"/>
      <c r="G33375" s="8"/>
      <c r="J33375" s="8"/>
    </row>
    <row r="33376">
      <c r="C33376" s="15"/>
      <c r="E33376" s="8"/>
      <c r="G33376" s="8"/>
      <c r="J33376" s="8"/>
    </row>
    <row r="33377">
      <c r="C33377" s="15"/>
      <c r="E33377" s="8"/>
      <c r="G33377" s="8"/>
      <c r="J33377" s="8"/>
    </row>
    <row r="33378">
      <c r="C33378" s="15"/>
      <c r="E33378" s="8"/>
      <c r="G33378" s="8"/>
      <c r="J33378" s="8"/>
    </row>
    <row r="33379">
      <c r="C33379" s="15"/>
      <c r="E33379" s="8"/>
      <c r="G33379" s="8"/>
      <c r="J33379" s="8"/>
    </row>
    <row r="33380">
      <c r="C33380" s="15"/>
      <c r="E33380" s="8"/>
      <c r="G33380" s="8"/>
      <c r="J33380" s="8"/>
    </row>
    <row r="33381">
      <c r="C33381" s="15"/>
      <c r="E33381" s="8"/>
      <c r="G33381" s="8"/>
      <c r="J33381" s="8"/>
    </row>
    <row r="33382">
      <c r="C33382" s="15"/>
      <c r="E33382" s="8"/>
      <c r="G33382" s="8"/>
      <c r="J33382" s="8"/>
    </row>
    <row r="33383">
      <c r="C33383" s="15"/>
      <c r="E33383" s="8"/>
      <c r="G33383" s="8"/>
      <c r="J33383" s="8"/>
    </row>
    <row r="33384">
      <c r="C33384" s="15"/>
      <c r="E33384" s="8"/>
      <c r="G33384" s="8"/>
      <c r="J33384" s="8"/>
    </row>
    <row r="33385">
      <c r="C33385" s="15"/>
      <c r="E33385" s="8"/>
      <c r="G33385" s="8"/>
      <c r="J33385" s="8"/>
    </row>
    <row r="33386">
      <c r="C33386" s="15"/>
      <c r="E33386" s="8"/>
      <c r="G33386" s="8"/>
      <c r="J33386" s="8"/>
    </row>
    <row r="33387">
      <c r="C33387" s="15"/>
      <c r="E33387" s="8"/>
      <c r="G33387" s="8"/>
      <c r="J33387" s="8"/>
    </row>
    <row r="33388">
      <c r="C33388" s="15"/>
      <c r="E33388" s="8"/>
      <c r="G33388" s="8"/>
      <c r="J33388" s="8"/>
    </row>
    <row r="33389">
      <c r="C33389" s="15"/>
      <c r="E33389" s="8"/>
      <c r="G33389" s="8"/>
      <c r="J33389" s="8"/>
    </row>
    <row r="33390">
      <c r="C33390" s="15"/>
      <c r="E33390" s="8"/>
      <c r="G33390" s="8"/>
      <c r="J33390" s="8"/>
    </row>
    <row r="33391">
      <c r="C33391" s="15"/>
      <c r="E33391" s="8"/>
      <c r="G33391" s="8"/>
      <c r="J33391" s="8"/>
    </row>
    <row r="33392">
      <c r="C33392" s="15"/>
      <c r="E33392" s="8"/>
      <c r="G33392" s="8"/>
      <c r="J33392" s="8"/>
    </row>
    <row r="33393">
      <c r="C33393" s="15"/>
      <c r="E33393" s="8"/>
      <c r="G33393" s="8"/>
      <c r="J33393" s="8"/>
    </row>
    <row r="33394">
      <c r="C33394" s="15"/>
      <c r="E33394" s="8"/>
      <c r="G33394" s="8"/>
      <c r="J33394" s="8"/>
    </row>
    <row r="33395">
      <c r="C33395" s="15"/>
      <c r="E33395" s="8"/>
      <c r="G33395" s="8"/>
      <c r="J33395" s="8"/>
    </row>
    <row r="33396">
      <c r="C33396" s="15"/>
      <c r="E33396" s="8"/>
      <c r="G33396" s="8"/>
      <c r="J33396" s="8"/>
    </row>
    <row r="33397">
      <c r="C33397" s="15"/>
      <c r="E33397" s="8"/>
      <c r="G33397" s="8"/>
      <c r="J33397" s="8"/>
    </row>
    <row r="33398">
      <c r="C33398" s="15"/>
      <c r="E33398" s="8"/>
      <c r="G33398" s="8"/>
      <c r="J33398" s="8"/>
    </row>
    <row r="33399">
      <c r="C33399" s="15"/>
      <c r="E33399" s="8"/>
      <c r="G33399" s="8"/>
      <c r="J33399" s="8"/>
    </row>
    <row r="33400">
      <c r="C33400" s="15"/>
      <c r="E33400" s="8"/>
      <c r="G33400" s="8"/>
      <c r="J33400" s="8"/>
    </row>
    <row r="33401">
      <c r="C33401" s="15"/>
      <c r="E33401" s="8"/>
      <c r="G33401" s="8"/>
      <c r="J33401" s="8"/>
    </row>
    <row r="33402">
      <c r="C33402" s="15"/>
      <c r="E33402" s="8"/>
      <c r="G33402" s="8"/>
      <c r="J33402" s="8"/>
    </row>
    <row r="33403">
      <c r="C33403" s="15"/>
      <c r="E33403" s="8"/>
      <c r="G33403" s="8"/>
      <c r="J33403" s="8"/>
    </row>
    <row r="33404">
      <c r="C33404" s="15"/>
      <c r="E33404" s="8"/>
      <c r="G33404" s="8"/>
      <c r="J33404" s="8"/>
    </row>
    <row r="33405">
      <c r="C33405" s="15"/>
      <c r="E33405" s="8"/>
      <c r="G33405" s="8"/>
      <c r="J33405" s="8"/>
    </row>
    <row r="33406">
      <c r="C33406" s="15"/>
      <c r="E33406" s="8"/>
      <c r="G33406" s="8"/>
      <c r="J33406" s="8"/>
    </row>
    <row r="33407">
      <c r="C33407" s="15"/>
      <c r="E33407" s="8"/>
      <c r="G33407" s="8"/>
      <c r="J33407" s="8"/>
    </row>
    <row r="33408">
      <c r="C33408" s="15"/>
      <c r="E33408" s="8"/>
      <c r="G33408" s="8"/>
      <c r="J33408" s="8"/>
    </row>
    <row r="33409">
      <c r="C33409" s="15"/>
      <c r="E33409" s="8"/>
      <c r="G33409" s="8"/>
      <c r="J33409" s="8"/>
    </row>
    <row r="33410">
      <c r="C33410" s="15"/>
      <c r="E33410" s="8"/>
      <c r="G33410" s="8"/>
      <c r="J33410" s="8"/>
    </row>
    <row r="33411">
      <c r="C33411" s="15"/>
      <c r="E33411" s="8"/>
      <c r="G33411" s="8"/>
      <c r="J33411" s="8"/>
    </row>
    <row r="33412">
      <c r="C33412" s="15"/>
      <c r="E33412" s="8"/>
      <c r="G33412" s="8"/>
      <c r="J33412" s="8"/>
    </row>
    <row r="33413">
      <c r="C33413" s="15"/>
      <c r="E33413" s="8"/>
      <c r="G33413" s="8"/>
      <c r="J33413" s="8"/>
    </row>
    <row r="33414">
      <c r="C33414" s="15"/>
      <c r="E33414" s="8"/>
      <c r="G33414" s="8"/>
      <c r="J33414" s="8"/>
    </row>
    <row r="33415">
      <c r="C33415" s="15"/>
      <c r="E33415" s="8"/>
      <c r="G33415" s="8"/>
      <c r="J33415" s="8"/>
    </row>
    <row r="33416">
      <c r="C33416" s="15"/>
      <c r="E33416" s="8"/>
      <c r="G33416" s="8"/>
      <c r="J33416" s="8"/>
    </row>
    <row r="33417">
      <c r="C33417" s="15"/>
      <c r="E33417" s="8"/>
      <c r="G33417" s="8"/>
      <c r="J33417" s="8"/>
    </row>
    <row r="33418">
      <c r="C33418" s="15"/>
      <c r="E33418" s="8"/>
      <c r="G33418" s="8"/>
      <c r="J33418" s="8"/>
    </row>
    <row r="33419">
      <c r="C33419" s="15"/>
      <c r="E33419" s="8"/>
      <c r="G33419" s="8"/>
      <c r="J33419" s="8"/>
    </row>
    <row r="33420">
      <c r="C33420" s="15"/>
      <c r="E33420" s="8"/>
      <c r="G33420" s="8"/>
      <c r="J33420" s="8"/>
    </row>
    <row r="33421">
      <c r="C33421" s="15"/>
      <c r="E33421" s="8"/>
      <c r="G33421" s="8"/>
      <c r="J33421" s="8"/>
    </row>
    <row r="33422">
      <c r="C33422" s="15"/>
      <c r="E33422" s="8"/>
      <c r="G33422" s="8"/>
      <c r="J33422" s="8"/>
    </row>
    <row r="33423">
      <c r="C33423" s="15"/>
      <c r="E33423" s="8"/>
      <c r="G33423" s="8"/>
      <c r="J33423" s="8"/>
    </row>
    <row r="33424">
      <c r="C33424" s="15"/>
      <c r="E33424" s="8"/>
      <c r="G33424" s="8"/>
      <c r="J33424" s="8"/>
    </row>
    <row r="33425">
      <c r="C33425" s="15"/>
      <c r="E33425" s="8"/>
      <c r="G33425" s="8"/>
      <c r="J33425" s="8"/>
    </row>
    <row r="33426">
      <c r="C33426" s="15"/>
      <c r="E33426" s="8"/>
      <c r="G33426" s="8"/>
      <c r="J33426" s="8"/>
    </row>
    <row r="33427">
      <c r="C33427" s="15"/>
      <c r="E33427" s="8"/>
      <c r="G33427" s="8"/>
      <c r="J33427" s="8"/>
    </row>
    <row r="33428">
      <c r="C33428" s="15"/>
      <c r="E33428" s="8"/>
      <c r="G33428" s="8"/>
      <c r="J33428" s="8"/>
    </row>
    <row r="33429">
      <c r="C33429" s="15"/>
      <c r="E33429" s="8"/>
      <c r="G33429" s="8"/>
      <c r="J33429" s="8"/>
    </row>
    <row r="33430">
      <c r="C33430" s="15"/>
      <c r="E33430" s="8"/>
      <c r="G33430" s="8"/>
      <c r="J33430" s="8"/>
    </row>
    <row r="33431">
      <c r="C33431" s="15"/>
      <c r="E33431" s="8"/>
      <c r="G33431" s="8"/>
      <c r="J33431" s="8"/>
    </row>
    <row r="33432">
      <c r="C33432" s="15"/>
      <c r="E33432" s="8"/>
      <c r="G33432" s="8"/>
      <c r="J33432" s="8"/>
    </row>
    <row r="33433">
      <c r="C33433" s="15"/>
      <c r="E33433" s="8"/>
      <c r="G33433" s="8"/>
      <c r="J33433" s="8"/>
    </row>
    <row r="33434">
      <c r="C33434" s="15"/>
      <c r="E33434" s="8"/>
      <c r="G33434" s="8"/>
      <c r="J33434" s="8"/>
    </row>
    <row r="33435">
      <c r="C33435" s="15"/>
      <c r="E33435" s="8"/>
      <c r="G33435" s="8"/>
      <c r="J33435" s="8"/>
    </row>
    <row r="33436">
      <c r="C33436" s="15"/>
      <c r="E33436" s="8"/>
      <c r="G33436" s="8"/>
      <c r="J33436" s="8"/>
    </row>
    <row r="33437">
      <c r="C33437" s="15"/>
      <c r="E33437" s="8"/>
      <c r="G33437" s="8"/>
      <c r="J33437" s="8"/>
    </row>
    <row r="33438">
      <c r="C33438" s="15"/>
      <c r="E33438" s="8"/>
      <c r="G33438" s="8"/>
      <c r="J33438" s="8"/>
    </row>
    <row r="33439">
      <c r="C33439" s="15"/>
      <c r="E33439" s="8"/>
      <c r="G33439" s="8"/>
      <c r="J33439" s="8"/>
    </row>
    <row r="33440">
      <c r="C33440" s="15"/>
      <c r="E33440" s="8"/>
      <c r="G33440" s="8"/>
      <c r="J33440" s="8"/>
    </row>
    <row r="33441">
      <c r="C33441" s="15"/>
      <c r="E33441" s="8"/>
      <c r="G33441" s="8"/>
      <c r="J33441" s="8"/>
    </row>
    <row r="33442">
      <c r="C33442" s="15"/>
      <c r="E33442" s="8"/>
      <c r="G33442" s="8"/>
      <c r="J33442" s="8"/>
    </row>
    <row r="33443">
      <c r="C33443" s="15"/>
      <c r="E33443" s="8"/>
      <c r="G33443" s="8"/>
      <c r="J33443" s="8"/>
    </row>
    <row r="33444">
      <c r="C33444" s="15"/>
      <c r="E33444" s="8"/>
      <c r="G33444" s="8"/>
      <c r="J33444" s="8"/>
    </row>
    <row r="33445">
      <c r="C33445" s="15"/>
      <c r="E33445" s="8"/>
      <c r="G33445" s="8"/>
      <c r="J33445" s="8"/>
    </row>
    <row r="33446">
      <c r="C33446" s="15"/>
      <c r="E33446" s="8"/>
      <c r="G33446" s="8"/>
      <c r="J33446" s="8"/>
    </row>
    <row r="33447">
      <c r="C33447" s="15"/>
      <c r="E33447" s="8"/>
      <c r="G33447" s="8"/>
      <c r="J33447" s="8"/>
    </row>
    <row r="33448">
      <c r="C33448" s="15"/>
      <c r="E33448" s="8"/>
      <c r="G33448" s="8"/>
      <c r="J33448" s="8"/>
    </row>
    <row r="33449">
      <c r="C33449" s="15"/>
      <c r="E33449" s="8"/>
      <c r="G33449" s="8"/>
      <c r="J33449" s="8"/>
    </row>
    <row r="33450">
      <c r="C33450" s="15"/>
      <c r="E33450" s="8"/>
      <c r="G33450" s="8"/>
      <c r="J33450" s="8"/>
    </row>
    <row r="33451">
      <c r="C33451" s="15"/>
      <c r="E33451" s="8"/>
      <c r="G33451" s="8"/>
      <c r="J33451" s="8"/>
    </row>
    <row r="33452">
      <c r="C33452" s="15"/>
      <c r="E33452" s="8"/>
      <c r="G33452" s="8"/>
      <c r="J33452" s="8"/>
    </row>
    <row r="33453">
      <c r="C33453" s="15"/>
      <c r="E33453" s="8"/>
      <c r="G33453" s="8"/>
      <c r="J33453" s="8"/>
    </row>
    <row r="33454">
      <c r="C33454" s="15"/>
      <c r="E33454" s="8"/>
      <c r="G33454" s="8"/>
      <c r="J33454" s="8"/>
    </row>
    <row r="33455">
      <c r="C33455" s="15"/>
      <c r="E33455" s="8"/>
      <c r="G33455" s="8"/>
      <c r="J33455" s="8"/>
    </row>
    <row r="33456">
      <c r="C33456" s="15"/>
      <c r="E33456" s="8"/>
      <c r="G33456" s="8"/>
      <c r="J33456" s="8"/>
    </row>
    <row r="33457">
      <c r="C33457" s="15"/>
      <c r="E33457" s="8"/>
      <c r="G33457" s="8"/>
      <c r="J33457" s="8"/>
    </row>
    <row r="33458">
      <c r="C33458" s="15"/>
      <c r="E33458" s="8"/>
      <c r="G33458" s="8"/>
      <c r="J33458" s="8"/>
    </row>
    <row r="33459">
      <c r="C33459" s="15"/>
      <c r="E33459" s="8"/>
      <c r="G33459" s="8"/>
      <c r="J33459" s="8"/>
    </row>
    <row r="33460">
      <c r="C33460" s="15"/>
      <c r="E33460" s="8"/>
      <c r="G33460" s="8"/>
      <c r="J33460" s="8"/>
    </row>
    <row r="33461">
      <c r="C33461" s="15"/>
      <c r="E33461" s="8"/>
      <c r="G33461" s="8"/>
      <c r="J33461" s="8"/>
    </row>
    <row r="33462">
      <c r="C33462" s="15"/>
      <c r="E33462" s="8"/>
      <c r="G33462" s="8"/>
      <c r="J33462" s="8"/>
    </row>
    <row r="33463">
      <c r="C33463" s="15"/>
      <c r="E33463" s="8"/>
      <c r="G33463" s="8"/>
      <c r="J33463" s="8"/>
    </row>
    <row r="33464">
      <c r="C33464" s="15"/>
      <c r="E33464" s="8"/>
      <c r="G33464" s="8"/>
      <c r="J33464" s="8"/>
    </row>
    <row r="33465">
      <c r="C33465" s="15"/>
      <c r="E33465" s="8"/>
      <c r="G33465" s="8"/>
      <c r="J33465" s="8"/>
    </row>
    <row r="33466">
      <c r="C33466" s="15"/>
      <c r="E33466" s="8"/>
      <c r="G33466" s="8"/>
      <c r="J33466" s="8"/>
    </row>
    <row r="33467">
      <c r="C33467" s="15"/>
      <c r="E33467" s="8"/>
      <c r="G33467" s="8"/>
      <c r="J33467" s="8"/>
    </row>
    <row r="33468">
      <c r="C33468" s="15"/>
      <c r="E33468" s="8"/>
      <c r="G33468" s="8"/>
      <c r="J33468" s="8"/>
    </row>
    <row r="33469">
      <c r="C33469" s="15"/>
      <c r="E33469" s="8"/>
      <c r="G33469" s="8"/>
      <c r="J33469" s="8"/>
    </row>
    <row r="33470">
      <c r="C33470" s="15"/>
      <c r="E33470" s="8"/>
      <c r="G33470" s="8"/>
      <c r="J33470" s="8"/>
    </row>
    <row r="33471">
      <c r="C33471" s="15"/>
      <c r="E33471" s="8"/>
      <c r="G33471" s="8"/>
      <c r="J33471" s="8"/>
    </row>
    <row r="33472">
      <c r="C33472" s="15"/>
      <c r="E33472" s="8"/>
      <c r="G33472" s="8"/>
      <c r="J33472" s="8"/>
    </row>
    <row r="33473">
      <c r="C33473" s="15"/>
      <c r="E33473" s="8"/>
      <c r="G33473" s="8"/>
      <c r="J33473" s="8"/>
    </row>
    <row r="33474">
      <c r="C33474" s="15"/>
      <c r="E33474" s="8"/>
      <c r="G33474" s="8"/>
      <c r="J33474" s="8"/>
    </row>
    <row r="33475">
      <c r="C33475" s="15"/>
      <c r="E33475" s="8"/>
      <c r="G33475" s="8"/>
      <c r="J33475" s="8"/>
    </row>
    <row r="33476">
      <c r="C33476" s="15"/>
      <c r="E33476" s="8"/>
      <c r="G33476" s="8"/>
      <c r="J33476" s="8"/>
    </row>
    <row r="33477">
      <c r="C33477" s="15"/>
      <c r="E33477" s="8"/>
      <c r="G33477" s="8"/>
      <c r="J33477" s="8"/>
    </row>
    <row r="33478">
      <c r="C33478" s="15"/>
      <c r="E33478" s="8"/>
      <c r="G33478" s="8"/>
      <c r="J33478" s="8"/>
    </row>
    <row r="33479">
      <c r="C33479" s="15"/>
      <c r="E33479" s="8"/>
      <c r="G33479" s="8"/>
      <c r="J33479" s="8"/>
    </row>
    <row r="33480">
      <c r="C33480" s="15"/>
      <c r="E33480" s="8"/>
      <c r="G33480" s="8"/>
      <c r="J33480" s="8"/>
    </row>
    <row r="33481">
      <c r="C33481" s="15"/>
      <c r="E33481" s="8"/>
      <c r="G33481" s="8"/>
      <c r="J33481" s="8"/>
    </row>
    <row r="33482">
      <c r="C33482" s="15"/>
      <c r="E33482" s="8"/>
      <c r="G33482" s="8"/>
      <c r="J33482" s="8"/>
    </row>
    <row r="33483">
      <c r="C33483" s="15"/>
      <c r="E33483" s="8"/>
      <c r="G33483" s="8"/>
      <c r="J33483" s="8"/>
    </row>
    <row r="33484">
      <c r="C33484" s="15"/>
      <c r="E33484" s="8"/>
      <c r="G33484" s="8"/>
      <c r="J33484" s="8"/>
    </row>
    <row r="33485">
      <c r="C33485" s="15"/>
      <c r="E33485" s="8"/>
      <c r="G33485" s="8"/>
      <c r="J33485" s="8"/>
    </row>
    <row r="33486">
      <c r="C33486" s="15"/>
      <c r="E33486" s="8"/>
      <c r="G33486" s="8"/>
      <c r="J33486" s="8"/>
    </row>
    <row r="33487">
      <c r="C33487" s="15"/>
      <c r="E33487" s="8"/>
      <c r="G33487" s="8"/>
      <c r="J33487" s="8"/>
    </row>
    <row r="33488">
      <c r="C33488" s="15"/>
      <c r="E33488" s="8"/>
      <c r="G33488" s="8"/>
      <c r="J33488" s="8"/>
    </row>
    <row r="33489">
      <c r="C33489" s="15"/>
      <c r="E33489" s="8"/>
      <c r="G33489" s="8"/>
      <c r="J33489" s="8"/>
    </row>
    <row r="33490">
      <c r="C33490" s="15"/>
      <c r="E33490" s="8"/>
      <c r="G33490" s="8"/>
      <c r="J33490" s="8"/>
    </row>
    <row r="33491">
      <c r="C33491" s="15"/>
      <c r="E33491" s="8"/>
      <c r="G33491" s="8"/>
      <c r="J33491" s="8"/>
    </row>
    <row r="33492">
      <c r="C33492" s="15"/>
      <c r="E33492" s="8"/>
      <c r="G33492" s="8"/>
      <c r="J33492" s="8"/>
    </row>
    <row r="33493">
      <c r="C33493" s="15"/>
      <c r="E33493" s="8"/>
      <c r="G33493" s="8"/>
      <c r="J33493" s="8"/>
    </row>
    <row r="33494">
      <c r="C33494" s="15"/>
      <c r="E33494" s="8"/>
      <c r="G33494" s="8"/>
      <c r="J33494" s="8"/>
    </row>
    <row r="33495">
      <c r="C33495" s="15"/>
      <c r="E33495" s="8"/>
      <c r="G33495" s="8"/>
      <c r="J33495" s="8"/>
    </row>
    <row r="33496">
      <c r="C33496" s="15"/>
      <c r="E33496" s="8"/>
      <c r="G33496" s="8"/>
      <c r="J33496" s="8"/>
    </row>
    <row r="33497">
      <c r="C33497" s="15"/>
      <c r="E33497" s="8"/>
      <c r="G33497" s="8"/>
      <c r="J33497" s="8"/>
    </row>
    <row r="33498">
      <c r="C33498" s="15"/>
      <c r="E33498" s="8"/>
      <c r="G33498" s="8"/>
      <c r="J33498" s="8"/>
    </row>
    <row r="33499">
      <c r="C33499" s="15"/>
      <c r="E33499" s="8"/>
      <c r="G33499" s="8"/>
      <c r="J33499" s="8"/>
    </row>
    <row r="33500">
      <c r="C33500" s="15"/>
      <c r="E33500" s="8"/>
      <c r="G33500" s="8"/>
      <c r="J33500" s="8"/>
    </row>
    <row r="33501">
      <c r="C33501" s="15"/>
      <c r="E33501" s="8"/>
      <c r="G33501" s="8"/>
      <c r="J33501" s="8"/>
    </row>
    <row r="33502">
      <c r="C33502" s="15"/>
      <c r="E33502" s="8"/>
      <c r="G33502" s="8"/>
      <c r="J33502" s="8"/>
    </row>
    <row r="33503">
      <c r="C33503" s="15"/>
      <c r="E33503" s="8"/>
      <c r="G33503" s="8"/>
      <c r="J33503" s="8"/>
    </row>
    <row r="33504">
      <c r="C33504" s="15"/>
      <c r="E33504" s="8"/>
      <c r="G33504" s="8"/>
      <c r="J33504" s="8"/>
    </row>
    <row r="33505">
      <c r="C33505" s="15"/>
      <c r="E33505" s="8"/>
      <c r="G33505" s="8"/>
      <c r="J33505" s="8"/>
    </row>
    <row r="33506">
      <c r="C33506" s="15"/>
      <c r="E33506" s="8"/>
      <c r="G33506" s="8"/>
      <c r="J33506" s="8"/>
    </row>
    <row r="33507">
      <c r="C33507" s="15"/>
      <c r="E33507" s="8"/>
      <c r="G33507" s="8"/>
      <c r="J33507" s="8"/>
    </row>
    <row r="33508">
      <c r="C33508" s="15"/>
      <c r="E33508" s="8"/>
      <c r="G33508" s="8"/>
      <c r="J33508" s="8"/>
    </row>
    <row r="33509">
      <c r="C33509" s="15"/>
      <c r="E33509" s="8"/>
      <c r="G33509" s="8"/>
      <c r="J33509" s="8"/>
    </row>
    <row r="33510">
      <c r="C33510" s="15"/>
      <c r="E33510" s="8"/>
      <c r="G33510" s="8"/>
      <c r="J33510" s="8"/>
    </row>
    <row r="33511">
      <c r="C33511" s="15"/>
      <c r="E33511" s="8"/>
      <c r="G33511" s="8"/>
      <c r="J33511" s="8"/>
    </row>
    <row r="33512">
      <c r="C33512" s="15"/>
      <c r="E33512" s="8"/>
      <c r="G33512" s="8"/>
      <c r="J33512" s="8"/>
    </row>
    <row r="33513">
      <c r="C33513" s="15"/>
      <c r="E33513" s="8"/>
      <c r="G33513" s="8"/>
      <c r="J33513" s="8"/>
    </row>
    <row r="33514">
      <c r="C33514" s="15"/>
      <c r="E33514" s="8"/>
      <c r="G33514" s="8"/>
      <c r="J33514" s="8"/>
    </row>
    <row r="33515">
      <c r="C33515" s="15"/>
      <c r="E33515" s="8"/>
      <c r="G33515" s="8"/>
      <c r="J33515" s="8"/>
    </row>
    <row r="33516">
      <c r="C33516" s="15"/>
      <c r="E33516" s="8"/>
      <c r="G33516" s="8"/>
      <c r="J33516" s="8"/>
    </row>
    <row r="33517">
      <c r="C33517" s="15"/>
      <c r="E33517" s="8"/>
      <c r="G33517" s="8"/>
      <c r="J33517" s="8"/>
    </row>
    <row r="33518">
      <c r="C33518" s="15"/>
      <c r="E33518" s="8"/>
      <c r="G33518" s="8"/>
      <c r="J33518" s="8"/>
    </row>
    <row r="33519">
      <c r="C33519" s="15"/>
      <c r="E33519" s="8"/>
      <c r="G33519" s="8"/>
      <c r="J33519" s="8"/>
    </row>
    <row r="33520">
      <c r="C33520" s="15"/>
      <c r="E33520" s="8"/>
      <c r="G33520" s="8"/>
      <c r="J33520" s="8"/>
    </row>
    <row r="33521">
      <c r="C33521" s="15"/>
      <c r="E33521" s="8"/>
      <c r="G33521" s="8"/>
      <c r="J33521" s="8"/>
    </row>
    <row r="33522">
      <c r="C33522" s="15"/>
      <c r="E33522" s="8"/>
      <c r="G33522" s="8"/>
      <c r="J33522" s="8"/>
    </row>
    <row r="33523">
      <c r="C33523" s="15"/>
      <c r="E33523" s="8"/>
      <c r="G33523" s="8"/>
      <c r="J33523" s="8"/>
    </row>
    <row r="33524">
      <c r="C33524" s="15"/>
      <c r="E33524" s="8"/>
      <c r="G33524" s="8"/>
      <c r="J33524" s="8"/>
    </row>
    <row r="33525">
      <c r="C33525" s="15"/>
      <c r="E33525" s="8"/>
      <c r="G33525" s="8"/>
      <c r="J33525" s="8"/>
    </row>
    <row r="33526">
      <c r="C33526" s="15"/>
      <c r="E33526" s="8"/>
      <c r="G33526" s="8"/>
      <c r="J33526" s="8"/>
    </row>
    <row r="33527">
      <c r="C33527" s="15"/>
      <c r="E33527" s="8"/>
      <c r="G33527" s="8"/>
      <c r="J33527" s="8"/>
    </row>
    <row r="33528">
      <c r="C33528" s="15"/>
      <c r="E33528" s="8"/>
      <c r="G33528" s="8"/>
      <c r="J33528" s="8"/>
    </row>
    <row r="33529">
      <c r="C33529" s="15"/>
      <c r="E33529" s="8"/>
      <c r="G33529" s="8"/>
      <c r="J33529" s="8"/>
    </row>
    <row r="33530">
      <c r="C33530" s="15"/>
      <c r="E33530" s="8"/>
      <c r="G33530" s="8"/>
      <c r="J33530" s="8"/>
    </row>
    <row r="33531">
      <c r="C33531" s="15"/>
      <c r="E33531" s="8"/>
      <c r="G33531" s="8"/>
      <c r="J33531" s="8"/>
    </row>
    <row r="33532">
      <c r="C33532" s="15"/>
      <c r="E33532" s="8"/>
      <c r="G33532" s="8"/>
      <c r="J33532" s="8"/>
    </row>
    <row r="33533">
      <c r="C33533" s="15"/>
      <c r="E33533" s="8"/>
      <c r="G33533" s="8"/>
      <c r="J33533" s="8"/>
    </row>
    <row r="33534">
      <c r="C33534" s="15"/>
      <c r="E33534" s="8"/>
      <c r="G33534" s="8"/>
      <c r="J33534" s="8"/>
    </row>
    <row r="33535">
      <c r="C33535" s="15"/>
      <c r="E33535" s="8"/>
      <c r="G33535" s="8"/>
      <c r="J33535" s="8"/>
    </row>
    <row r="33536">
      <c r="C33536" s="15"/>
      <c r="E33536" s="8"/>
      <c r="G33536" s="8"/>
      <c r="J33536" s="8"/>
    </row>
    <row r="33537">
      <c r="C33537" s="15"/>
      <c r="E33537" s="8"/>
      <c r="G33537" s="8"/>
      <c r="J33537" s="8"/>
    </row>
    <row r="33538">
      <c r="C33538" s="15"/>
      <c r="E33538" s="8"/>
      <c r="G33538" s="8"/>
      <c r="J33538" s="8"/>
    </row>
    <row r="33539">
      <c r="C33539" s="15"/>
      <c r="E33539" s="8"/>
      <c r="G33539" s="8"/>
      <c r="J33539" s="8"/>
    </row>
    <row r="33540">
      <c r="C33540" s="15"/>
      <c r="E33540" s="8"/>
      <c r="G33540" s="8"/>
      <c r="J33540" s="8"/>
    </row>
    <row r="33541">
      <c r="C33541" s="15"/>
      <c r="E33541" s="8"/>
      <c r="G33541" s="8"/>
      <c r="J33541" s="8"/>
    </row>
    <row r="33542">
      <c r="C33542" s="15"/>
      <c r="E33542" s="8"/>
      <c r="G33542" s="8"/>
      <c r="J33542" s="8"/>
    </row>
    <row r="33543">
      <c r="C33543" s="15"/>
      <c r="E33543" s="8"/>
      <c r="G33543" s="8"/>
      <c r="J33543" s="8"/>
    </row>
    <row r="33544">
      <c r="C33544" s="15"/>
      <c r="E33544" s="8"/>
      <c r="G33544" s="8"/>
      <c r="J33544" s="8"/>
    </row>
    <row r="33545">
      <c r="C33545" s="15"/>
      <c r="E33545" s="8"/>
      <c r="G33545" s="8"/>
      <c r="J33545" s="8"/>
    </row>
    <row r="33546">
      <c r="C33546" s="15"/>
      <c r="E33546" s="8"/>
      <c r="G33546" s="8"/>
      <c r="J33546" s="8"/>
    </row>
    <row r="33547">
      <c r="C33547" s="15"/>
      <c r="E33547" s="8"/>
      <c r="G33547" s="8"/>
      <c r="J33547" s="8"/>
    </row>
    <row r="33548">
      <c r="C33548" s="15"/>
      <c r="E33548" s="8"/>
      <c r="G33548" s="8"/>
      <c r="J33548" s="8"/>
    </row>
    <row r="33549">
      <c r="C33549" s="15"/>
      <c r="E33549" s="8"/>
      <c r="G33549" s="8"/>
      <c r="J33549" s="8"/>
    </row>
    <row r="33550">
      <c r="C33550" s="15"/>
      <c r="E33550" s="8"/>
      <c r="G33550" s="8"/>
      <c r="J33550" s="8"/>
    </row>
    <row r="33551">
      <c r="C33551" s="15"/>
      <c r="E33551" s="8"/>
      <c r="G33551" s="8"/>
      <c r="J33551" s="8"/>
    </row>
    <row r="33552">
      <c r="C33552" s="15"/>
      <c r="E33552" s="8"/>
      <c r="G33552" s="8"/>
      <c r="J33552" s="8"/>
    </row>
    <row r="33553">
      <c r="C33553" s="15"/>
      <c r="E33553" s="8"/>
      <c r="G33553" s="8"/>
      <c r="J33553" s="8"/>
    </row>
    <row r="33554">
      <c r="C33554" s="15"/>
      <c r="E33554" s="8"/>
      <c r="G33554" s="8"/>
      <c r="J33554" s="8"/>
    </row>
    <row r="33555">
      <c r="C33555" s="15"/>
      <c r="E33555" s="8"/>
      <c r="G33555" s="8"/>
      <c r="J33555" s="8"/>
    </row>
    <row r="33556">
      <c r="C33556" s="15"/>
      <c r="E33556" s="8"/>
      <c r="G33556" s="8"/>
      <c r="J33556" s="8"/>
    </row>
    <row r="33557">
      <c r="C33557" s="15"/>
      <c r="E33557" s="8"/>
      <c r="G33557" s="8"/>
      <c r="J33557" s="8"/>
    </row>
    <row r="33558">
      <c r="C33558" s="15"/>
      <c r="E33558" s="8"/>
      <c r="G33558" s="8"/>
      <c r="J33558" s="8"/>
    </row>
    <row r="33559">
      <c r="C33559" s="15"/>
      <c r="E33559" s="8"/>
      <c r="G33559" s="8"/>
      <c r="J33559" s="8"/>
    </row>
    <row r="33560">
      <c r="C33560" s="15"/>
      <c r="E33560" s="8"/>
      <c r="G33560" s="8"/>
      <c r="J33560" s="8"/>
    </row>
    <row r="33561">
      <c r="C33561" s="15"/>
      <c r="E33561" s="8"/>
      <c r="G33561" s="8"/>
      <c r="J33561" s="8"/>
    </row>
    <row r="33562">
      <c r="C33562" s="15"/>
      <c r="E33562" s="8"/>
      <c r="G33562" s="8"/>
      <c r="J33562" s="8"/>
    </row>
    <row r="33563">
      <c r="C33563" s="15"/>
      <c r="E33563" s="8"/>
      <c r="G33563" s="8"/>
      <c r="J33563" s="8"/>
    </row>
    <row r="33564">
      <c r="C33564" s="15"/>
      <c r="E33564" s="8"/>
      <c r="G33564" s="8"/>
      <c r="J33564" s="8"/>
    </row>
    <row r="33565">
      <c r="C33565" s="15"/>
      <c r="E33565" s="8"/>
      <c r="G33565" s="8"/>
      <c r="J33565" s="8"/>
    </row>
    <row r="33566">
      <c r="C33566" s="15"/>
      <c r="E33566" s="8"/>
      <c r="G33566" s="8"/>
      <c r="J33566" s="8"/>
    </row>
    <row r="33567">
      <c r="C33567" s="15"/>
      <c r="E33567" s="8"/>
      <c r="G33567" s="8"/>
      <c r="J33567" s="8"/>
    </row>
    <row r="33568">
      <c r="C33568" s="15"/>
      <c r="E33568" s="8"/>
      <c r="G33568" s="8"/>
      <c r="J33568" s="8"/>
    </row>
    <row r="33569">
      <c r="C33569" s="15"/>
      <c r="E33569" s="8"/>
      <c r="G33569" s="8"/>
      <c r="J33569" s="8"/>
    </row>
    <row r="33570">
      <c r="C33570" s="15"/>
      <c r="E33570" s="8"/>
      <c r="G33570" s="8"/>
      <c r="J33570" s="8"/>
    </row>
    <row r="33571">
      <c r="C33571" s="15"/>
      <c r="E33571" s="8"/>
      <c r="G33571" s="8"/>
      <c r="J33571" s="8"/>
    </row>
    <row r="33572">
      <c r="C33572" s="15"/>
      <c r="E33572" s="8"/>
      <c r="G33572" s="8"/>
      <c r="J33572" s="8"/>
    </row>
    <row r="33573">
      <c r="C33573" s="15"/>
      <c r="E33573" s="8"/>
      <c r="G33573" s="8"/>
      <c r="J33573" s="8"/>
    </row>
    <row r="33574">
      <c r="C33574" s="15"/>
      <c r="E33574" s="8"/>
      <c r="G33574" s="8"/>
      <c r="J33574" s="8"/>
    </row>
    <row r="33575">
      <c r="C33575" s="15"/>
      <c r="E33575" s="8"/>
      <c r="G33575" s="8"/>
      <c r="J33575" s="8"/>
    </row>
    <row r="33576">
      <c r="C33576" s="15"/>
      <c r="E33576" s="8"/>
      <c r="G33576" s="8"/>
      <c r="J33576" s="8"/>
    </row>
    <row r="33577">
      <c r="C33577" s="15"/>
      <c r="E33577" s="8"/>
      <c r="G33577" s="8"/>
      <c r="J33577" s="8"/>
    </row>
    <row r="33578">
      <c r="C33578" s="15"/>
      <c r="E33578" s="8"/>
      <c r="G33578" s="8"/>
      <c r="J33578" s="8"/>
    </row>
    <row r="33579">
      <c r="C33579" s="15"/>
      <c r="E33579" s="8"/>
      <c r="G33579" s="8"/>
      <c r="J33579" s="8"/>
    </row>
    <row r="33580">
      <c r="C33580" s="15"/>
      <c r="E33580" s="8"/>
      <c r="G33580" s="8"/>
      <c r="J33580" s="8"/>
    </row>
    <row r="33581">
      <c r="C33581" s="15"/>
      <c r="E33581" s="8"/>
      <c r="G33581" s="8"/>
      <c r="J33581" s="8"/>
    </row>
    <row r="33582">
      <c r="C33582" s="15"/>
      <c r="E33582" s="8"/>
      <c r="G33582" s="8"/>
      <c r="J33582" s="8"/>
    </row>
    <row r="33583">
      <c r="C33583" s="15"/>
      <c r="E33583" s="8"/>
      <c r="G33583" s="8"/>
      <c r="J33583" s="8"/>
    </row>
    <row r="33584">
      <c r="C33584" s="15"/>
      <c r="E33584" s="8"/>
      <c r="G33584" s="8"/>
      <c r="J33584" s="8"/>
    </row>
    <row r="33585">
      <c r="C33585" s="15"/>
      <c r="E33585" s="8"/>
      <c r="G33585" s="8"/>
      <c r="J33585" s="8"/>
    </row>
    <row r="33586">
      <c r="C33586" s="15"/>
      <c r="E33586" s="8"/>
      <c r="G33586" s="8"/>
      <c r="J33586" s="8"/>
    </row>
    <row r="33587">
      <c r="C33587" s="15"/>
      <c r="E33587" s="8"/>
      <c r="G33587" s="8"/>
      <c r="J33587" s="8"/>
    </row>
    <row r="33588">
      <c r="C33588" s="15"/>
      <c r="E33588" s="8"/>
      <c r="G33588" s="8"/>
      <c r="J33588" s="8"/>
    </row>
    <row r="33589">
      <c r="C33589" s="15"/>
      <c r="E33589" s="8"/>
      <c r="G33589" s="8"/>
      <c r="J33589" s="8"/>
    </row>
    <row r="33590">
      <c r="C33590" s="15"/>
      <c r="E33590" s="8"/>
      <c r="G33590" s="8"/>
      <c r="J33590" s="8"/>
    </row>
    <row r="33591">
      <c r="C33591" s="15"/>
      <c r="E33591" s="8"/>
      <c r="G33591" s="8"/>
      <c r="J33591" s="8"/>
    </row>
    <row r="33592">
      <c r="C33592" s="15"/>
      <c r="E33592" s="8"/>
      <c r="G33592" s="8"/>
      <c r="J33592" s="8"/>
    </row>
    <row r="33593">
      <c r="C33593" s="15"/>
      <c r="E33593" s="8"/>
      <c r="G33593" s="8"/>
      <c r="J33593" s="8"/>
    </row>
    <row r="33594">
      <c r="C33594" s="15"/>
      <c r="E33594" s="8"/>
      <c r="G33594" s="8"/>
      <c r="J33594" s="8"/>
    </row>
    <row r="33595">
      <c r="C33595" s="15"/>
      <c r="E33595" s="8"/>
      <c r="G33595" s="8"/>
      <c r="J33595" s="8"/>
    </row>
    <row r="33596">
      <c r="C33596" s="15"/>
      <c r="E33596" s="8"/>
      <c r="G33596" s="8"/>
      <c r="J33596" s="8"/>
    </row>
    <row r="33597">
      <c r="C33597" s="15"/>
      <c r="E33597" s="8"/>
      <c r="G33597" s="8"/>
      <c r="J33597" s="8"/>
    </row>
    <row r="33598">
      <c r="C33598" s="15"/>
      <c r="E33598" s="8"/>
      <c r="G33598" s="8"/>
      <c r="J33598" s="8"/>
    </row>
    <row r="33599">
      <c r="C33599" s="15"/>
      <c r="E33599" s="8"/>
      <c r="G33599" s="8"/>
      <c r="J33599" s="8"/>
    </row>
    <row r="33600">
      <c r="C33600" s="15"/>
      <c r="E33600" s="8"/>
      <c r="G33600" s="8"/>
      <c r="J33600" s="8"/>
    </row>
    <row r="33601">
      <c r="C33601" s="15"/>
      <c r="E33601" s="8"/>
      <c r="G33601" s="8"/>
      <c r="J33601" s="8"/>
    </row>
    <row r="33602">
      <c r="C33602" s="15"/>
      <c r="E33602" s="8"/>
      <c r="G33602" s="8"/>
      <c r="J33602" s="8"/>
    </row>
    <row r="33603">
      <c r="C33603" s="15"/>
      <c r="E33603" s="8"/>
      <c r="G33603" s="8"/>
      <c r="J33603" s="8"/>
    </row>
    <row r="33604">
      <c r="C33604" s="15"/>
      <c r="E33604" s="8"/>
      <c r="G33604" s="8"/>
      <c r="J33604" s="8"/>
    </row>
    <row r="33605">
      <c r="C33605" s="15"/>
      <c r="E33605" s="8"/>
      <c r="G33605" s="8"/>
      <c r="J33605" s="8"/>
    </row>
    <row r="33606">
      <c r="C33606" s="15"/>
      <c r="E33606" s="8"/>
      <c r="G33606" s="8"/>
      <c r="J33606" s="8"/>
    </row>
    <row r="33607">
      <c r="C33607" s="15"/>
      <c r="E33607" s="8"/>
      <c r="G33607" s="8"/>
      <c r="J33607" s="8"/>
    </row>
    <row r="33608">
      <c r="C33608" s="15"/>
      <c r="E33608" s="8"/>
      <c r="G33608" s="8"/>
      <c r="J33608" s="8"/>
    </row>
    <row r="33609">
      <c r="C33609" s="15"/>
      <c r="E33609" s="8"/>
      <c r="G33609" s="8"/>
      <c r="J33609" s="8"/>
    </row>
    <row r="33610">
      <c r="C33610" s="15"/>
      <c r="E33610" s="8"/>
      <c r="G33610" s="8"/>
      <c r="J33610" s="8"/>
    </row>
    <row r="33611">
      <c r="C33611" s="15"/>
      <c r="E33611" s="8"/>
      <c r="G33611" s="8"/>
      <c r="J33611" s="8"/>
    </row>
    <row r="33612">
      <c r="C33612" s="15"/>
      <c r="E33612" s="8"/>
      <c r="G33612" s="8"/>
      <c r="J33612" s="8"/>
    </row>
    <row r="33613">
      <c r="C33613" s="15"/>
      <c r="E33613" s="8"/>
      <c r="G33613" s="8"/>
      <c r="J33613" s="8"/>
    </row>
    <row r="33614">
      <c r="C33614" s="15"/>
      <c r="E33614" s="8"/>
      <c r="G33614" s="8"/>
      <c r="J33614" s="8"/>
    </row>
    <row r="33615">
      <c r="C33615" s="15"/>
      <c r="E33615" s="8"/>
      <c r="G33615" s="8"/>
      <c r="J33615" s="8"/>
    </row>
    <row r="33616">
      <c r="C33616" s="15"/>
      <c r="E33616" s="8"/>
      <c r="G33616" s="8"/>
      <c r="J33616" s="8"/>
    </row>
    <row r="33617">
      <c r="C33617" s="15"/>
      <c r="E33617" s="8"/>
      <c r="G33617" s="8"/>
      <c r="J33617" s="8"/>
    </row>
    <row r="33618">
      <c r="C33618" s="15"/>
      <c r="E33618" s="8"/>
      <c r="G33618" s="8"/>
      <c r="J33618" s="8"/>
    </row>
    <row r="33619">
      <c r="C33619" s="15"/>
      <c r="E33619" s="8"/>
      <c r="G33619" s="8"/>
      <c r="J33619" s="8"/>
    </row>
    <row r="33620">
      <c r="C33620" s="15"/>
      <c r="E33620" s="8"/>
      <c r="G33620" s="8"/>
      <c r="J33620" s="8"/>
    </row>
    <row r="33621">
      <c r="C33621" s="15"/>
      <c r="E33621" s="8"/>
      <c r="G33621" s="8"/>
      <c r="J33621" s="8"/>
    </row>
    <row r="33622">
      <c r="C33622" s="15"/>
      <c r="E33622" s="8"/>
      <c r="G33622" s="8"/>
      <c r="J33622" s="8"/>
    </row>
    <row r="33623">
      <c r="C33623" s="15"/>
      <c r="E33623" s="8"/>
      <c r="G33623" s="8"/>
      <c r="J33623" s="8"/>
    </row>
    <row r="33624">
      <c r="C33624" s="15"/>
      <c r="E33624" s="8"/>
      <c r="G33624" s="8"/>
      <c r="J33624" s="8"/>
    </row>
    <row r="33625">
      <c r="C33625" s="15"/>
      <c r="E33625" s="8"/>
      <c r="G33625" s="8"/>
      <c r="J33625" s="8"/>
    </row>
    <row r="33626">
      <c r="C33626" s="15"/>
      <c r="E33626" s="8"/>
      <c r="G33626" s="8"/>
      <c r="J33626" s="8"/>
    </row>
    <row r="33627">
      <c r="C33627" s="15"/>
      <c r="E33627" s="8"/>
      <c r="G33627" s="8"/>
      <c r="J33627" s="8"/>
    </row>
    <row r="33628">
      <c r="C33628" s="15"/>
      <c r="E33628" s="8"/>
      <c r="G33628" s="8"/>
      <c r="J33628" s="8"/>
    </row>
    <row r="33629">
      <c r="C33629" s="15"/>
      <c r="E33629" s="8"/>
      <c r="G33629" s="8"/>
      <c r="J33629" s="8"/>
    </row>
    <row r="33630">
      <c r="C33630" s="15"/>
      <c r="E33630" s="8"/>
      <c r="G33630" s="8"/>
      <c r="J33630" s="8"/>
    </row>
    <row r="33631">
      <c r="C33631" s="15"/>
      <c r="E33631" s="8"/>
      <c r="G33631" s="8"/>
      <c r="J33631" s="8"/>
    </row>
    <row r="33632">
      <c r="C33632" s="15"/>
      <c r="E33632" s="8"/>
      <c r="G33632" s="8"/>
      <c r="J33632" s="8"/>
    </row>
    <row r="33633">
      <c r="C33633" s="15"/>
      <c r="E33633" s="8"/>
      <c r="G33633" s="8"/>
      <c r="J33633" s="8"/>
    </row>
    <row r="33634">
      <c r="C33634" s="15"/>
      <c r="E33634" s="8"/>
      <c r="G33634" s="8"/>
      <c r="J33634" s="8"/>
    </row>
    <row r="33635">
      <c r="C33635" s="15"/>
      <c r="E33635" s="8"/>
      <c r="G33635" s="8"/>
      <c r="J33635" s="8"/>
    </row>
    <row r="33636">
      <c r="C33636" s="15"/>
      <c r="E33636" s="8"/>
      <c r="G33636" s="8"/>
      <c r="J33636" s="8"/>
    </row>
    <row r="33637">
      <c r="C33637" s="15"/>
      <c r="E33637" s="8"/>
      <c r="G33637" s="8"/>
      <c r="J33637" s="8"/>
    </row>
    <row r="33638">
      <c r="C33638" s="15"/>
      <c r="E33638" s="8"/>
      <c r="G33638" s="8"/>
      <c r="J33638" s="8"/>
    </row>
    <row r="33639">
      <c r="C33639" s="15"/>
      <c r="E33639" s="8"/>
      <c r="G33639" s="8"/>
      <c r="J33639" s="8"/>
    </row>
    <row r="33640">
      <c r="C33640" s="15"/>
      <c r="E33640" s="8"/>
      <c r="G33640" s="8"/>
      <c r="J33640" s="8"/>
    </row>
    <row r="33641">
      <c r="C33641" s="15"/>
      <c r="E33641" s="8"/>
      <c r="G33641" s="8"/>
      <c r="J33641" s="8"/>
    </row>
    <row r="33642">
      <c r="C33642" s="15"/>
      <c r="E33642" s="8"/>
      <c r="G33642" s="8"/>
      <c r="J33642" s="8"/>
    </row>
    <row r="33643">
      <c r="C33643" s="15"/>
      <c r="E33643" s="8"/>
      <c r="G33643" s="8"/>
      <c r="J33643" s="8"/>
    </row>
    <row r="33644">
      <c r="C33644" s="15"/>
      <c r="E33644" s="8"/>
      <c r="G33644" s="8"/>
      <c r="J33644" s="8"/>
    </row>
    <row r="33645">
      <c r="C33645" s="15"/>
      <c r="E33645" s="8"/>
      <c r="G33645" s="8"/>
      <c r="J33645" s="8"/>
    </row>
    <row r="33646">
      <c r="C33646" s="15"/>
      <c r="E33646" s="8"/>
      <c r="G33646" s="8"/>
      <c r="J33646" s="8"/>
    </row>
    <row r="33647">
      <c r="C33647" s="15"/>
      <c r="E33647" s="8"/>
      <c r="G33647" s="8"/>
      <c r="J33647" s="8"/>
    </row>
    <row r="33648">
      <c r="C33648" s="15"/>
      <c r="E33648" s="8"/>
      <c r="G33648" s="8"/>
      <c r="J33648" s="8"/>
    </row>
    <row r="33649">
      <c r="C33649" s="15"/>
      <c r="E33649" s="8"/>
      <c r="G33649" s="8"/>
      <c r="J33649" s="8"/>
    </row>
    <row r="33650">
      <c r="C33650" s="15"/>
      <c r="E33650" s="8"/>
      <c r="G33650" s="8"/>
      <c r="J33650" s="8"/>
    </row>
    <row r="33651">
      <c r="C33651" s="15"/>
      <c r="E33651" s="8"/>
      <c r="G33651" s="8"/>
      <c r="J33651" s="8"/>
    </row>
    <row r="33652">
      <c r="C33652" s="15"/>
      <c r="E33652" s="8"/>
      <c r="G33652" s="8"/>
      <c r="J33652" s="8"/>
    </row>
    <row r="33653">
      <c r="C33653" s="15"/>
      <c r="E33653" s="8"/>
      <c r="G33653" s="8"/>
      <c r="J33653" s="8"/>
    </row>
    <row r="33654">
      <c r="C33654" s="15"/>
      <c r="E33654" s="8"/>
      <c r="G33654" s="8"/>
      <c r="J33654" s="8"/>
    </row>
    <row r="33655">
      <c r="C33655" s="15"/>
      <c r="E33655" s="8"/>
      <c r="G33655" s="8"/>
      <c r="J33655" s="8"/>
    </row>
    <row r="33656">
      <c r="C33656" s="15"/>
      <c r="E33656" s="8"/>
      <c r="G33656" s="8"/>
      <c r="J33656" s="8"/>
    </row>
    <row r="33657">
      <c r="C33657" s="15"/>
      <c r="E33657" s="8"/>
      <c r="G33657" s="8"/>
      <c r="J33657" s="8"/>
    </row>
    <row r="33658">
      <c r="C33658" s="15"/>
      <c r="E33658" s="8"/>
      <c r="G33658" s="8"/>
      <c r="J33658" s="8"/>
    </row>
    <row r="33659">
      <c r="C33659" s="15"/>
      <c r="E33659" s="8"/>
      <c r="G33659" s="8"/>
      <c r="J33659" s="8"/>
    </row>
    <row r="33660">
      <c r="C33660" s="15"/>
      <c r="E33660" s="8"/>
      <c r="G33660" s="8"/>
      <c r="J33660" s="8"/>
    </row>
    <row r="33661">
      <c r="C33661" s="15"/>
      <c r="E33661" s="8"/>
      <c r="G33661" s="8"/>
      <c r="J33661" s="8"/>
    </row>
    <row r="33662">
      <c r="C33662" s="15"/>
      <c r="E33662" s="8"/>
      <c r="G33662" s="8"/>
      <c r="J33662" s="8"/>
    </row>
    <row r="33663">
      <c r="C33663" s="15"/>
      <c r="E33663" s="8"/>
      <c r="G33663" s="8"/>
      <c r="J33663" s="8"/>
    </row>
    <row r="33664">
      <c r="C33664" s="15"/>
      <c r="E33664" s="8"/>
      <c r="G33664" s="8"/>
      <c r="J33664" s="8"/>
    </row>
    <row r="33665">
      <c r="C33665" s="15"/>
      <c r="E33665" s="8"/>
      <c r="G33665" s="8"/>
      <c r="J33665" s="8"/>
    </row>
    <row r="33666">
      <c r="C33666" s="15"/>
      <c r="E33666" s="8"/>
      <c r="G33666" s="8"/>
      <c r="J33666" s="8"/>
    </row>
    <row r="33667">
      <c r="C33667" s="15"/>
      <c r="E33667" s="8"/>
      <c r="G33667" s="8"/>
      <c r="J33667" s="8"/>
    </row>
    <row r="33668">
      <c r="C33668" s="15"/>
      <c r="E33668" s="8"/>
      <c r="G33668" s="8"/>
      <c r="J33668" s="8"/>
    </row>
    <row r="33669">
      <c r="C33669" s="15"/>
      <c r="E33669" s="8"/>
      <c r="G33669" s="8"/>
      <c r="J33669" s="8"/>
    </row>
    <row r="33670">
      <c r="C33670" s="15"/>
      <c r="E33670" s="8"/>
      <c r="G33670" s="8"/>
      <c r="J33670" s="8"/>
    </row>
    <row r="33671">
      <c r="C33671" s="15"/>
      <c r="E33671" s="8"/>
      <c r="G33671" s="8"/>
      <c r="J33671" s="8"/>
    </row>
    <row r="33672">
      <c r="C33672" s="15"/>
      <c r="E33672" s="8"/>
      <c r="G33672" s="8"/>
      <c r="J33672" s="8"/>
    </row>
    <row r="33673">
      <c r="C33673" s="15"/>
      <c r="E33673" s="8"/>
      <c r="G33673" s="8"/>
      <c r="J33673" s="8"/>
    </row>
    <row r="33674">
      <c r="C33674" s="15"/>
      <c r="E33674" s="8"/>
      <c r="G33674" s="8"/>
      <c r="J33674" s="8"/>
    </row>
    <row r="33675">
      <c r="C33675" s="15"/>
      <c r="E33675" s="8"/>
      <c r="G33675" s="8"/>
      <c r="J33675" s="8"/>
    </row>
    <row r="33676">
      <c r="C33676" s="15"/>
      <c r="E33676" s="8"/>
      <c r="G33676" s="8"/>
      <c r="J33676" s="8"/>
    </row>
    <row r="33677">
      <c r="C33677" s="15"/>
      <c r="E33677" s="8"/>
      <c r="G33677" s="8"/>
      <c r="J33677" s="8"/>
    </row>
    <row r="33678">
      <c r="C33678" s="15"/>
      <c r="E33678" s="8"/>
      <c r="G33678" s="8"/>
      <c r="J33678" s="8"/>
    </row>
    <row r="33679">
      <c r="C33679" s="15"/>
      <c r="E33679" s="8"/>
      <c r="G33679" s="8"/>
      <c r="J33679" s="8"/>
    </row>
    <row r="33680">
      <c r="C33680" s="15"/>
      <c r="E33680" s="8"/>
      <c r="G33680" s="8"/>
      <c r="J33680" s="8"/>
    </row>
    <row r="33681">
      <c r="C33681" s="15"/>
      <c r="E33681" s="8"/>
      <c r="G33681" s="8"/>
      <c r="J33681" s="8"/>
    </row>
    <row r="33682">
      <c r="C33682" s="15"/>
      <c r="E33682" s="8"/>
      <c r="G33682" s="8"/>
      <c r="J33682" s="8"/>
    </row>
    <row r="33683">
      <c r="C33683" s="15"/>
      <c r="E33683" s="8"/>
      <c r="G33683" s="8"/>
      <c r="J33683" s="8"/>
    </row>
    <row r="33684">
      <c r="C33684" s="15"/>
      <c r="E33684" s="8"/>
      <c r="G33684" s="8"/>
      <c r="J33684" s="8"/>
    </row>
    <row r="33685">
      <c r="C33685" s="15"/>
      <c r="E33685" s="8"/>
      <c r="G33685" s="8"/>
      <c r="J33685" s="8"/>
    </row>
    <row r="33686">
      <c r="C33686" s="15"/>
      <c r="E33686" s="8"/>
      <c r="G33686" s="8"/>
      <c r="J33686" s="8"/>
    </row>
    <row r="33687">
      <c r="C33687" s="15"/>
      <c r="E33687" s="8"/>
      <c r="G33687" s="8"/>
      <c r="J33687" s="8"/>
    </row>
    <row r="33688">
      <c r="C33688" s="15"/>
      <c r="E33688" s="8"/>
      <c r="G33688" s="8"/>
      <c r="J33688" s="8"/>
    </row>
    <row r="33689">
      <c r="C33689" s="15"/>
      <c r="E33689" s="8"/>
      <c r="G33689" s="8"/>
      <c r="J33689" s="8"/>
    </row>
    <row r="33690">
      <c r="C33690" s="15"/>
      <c r="E33690" s="8"/>
      <c r="G33690" s="8"/>
      <c r="J33690" s="8"/>
    </row>
    <row r="33691">
      <c r="C33691" s="15"/>
      <c r="E33691" s="8"/>
      <c r="G33691" s="8"/>
      <c r="J33691" s="8"/>
    </row>
    <row r="33692">
      <c r="C33692" s="15"/>
      <c r="E33692" s="8"/>
      <c r="G33692" s="8"/>
      <c r="J33692" s="8"/>
    </row>
    <row r="33693">
      <c r="C33693" s="15"/>
      <c r="E33693" s="8"/>
      <c r="G33693" s="8"/>
      <c r="J33693" s="8"/>
    </row>
    <row r="33694">
      <c r="C33694" s="15"/>
      <c r="E33694" s="8"/>
      <c r="G33694" s="8"/>
      <c r="J33694" s="8"/>
    </row>
    <row r="33695">
      <c r="C33695" s="15"/>
      <c r="E33695" s="8"/>
      <c r="G33695" s="8"/>
      <c r="J33695" s="8"/>
    </row>
    <row r="33696">
      <c r="C33696" s="15"/>
      <c r="E33696" s="8"/>
      <c r="G33696" s="8"/>
      <c r="J33696" s="8"/>
    </row>
    <row r="33697">
      <c r="C33697" s="15"/>
      <c r="E33697" s="8"/>
      <c r="G33697" s="8"/>
      <c r="J33697" s="8"/>
    </row>
    <row r="33698">
      <c r="C33698" s="15"/>
      <c r="E33698" s="8"/>
      <c r="G33698" s="8"/>
      <c r="J33698" s="8"/>
    </row>
    <row r="33699">
      <c r="C33699" s="15"/>
      <c r="E33699" s="8"/>
      <c r="G33699" s="8"/>
      <c r="J33699" s="8"/>
    </row>
    <row r="33700">
      <c r="C33700" s="15"/>
      <c r="E33700" s="8"/>
      <c r="G33700" s="8"/>
      <c r="J33700" s="8"/>
    </row>
    <row r="33701">
      <c r="C33701" s="15"/>
      <c r="E33701" s="8"/>
      <c r="G33701" s="8"/>
      <c r="J33701" s="8"/>
    </row>
    <row r="33702">
      <c r="C33702" s="15"/>
      <c r="E33702" s="8"/>
      <c r="G33702" s="8"/>
      <c r="J33702" s="8"/>
    </row>
    <row r="33703">
      <c r="C33703" s="15"/>
      <c r="E33703" s="8"/>
      <c r="G33703" s="8"/>
      <c r="J33703" s="8"/>
    </row>
    <row r="33704">
      <c r="C33704" s="15"/>
      <c r="E33704" s="8"/>
      <c r="G33704" s="8"/>
      <c r="J33704" s="8"/>
    </row>
    <row r="33705">
      <c r="C33705" s="15"/>
      <c r="E33705" s="8"/>
      <c r="G33705" s="8"/>
      <c r="J33705" s="8"/>
    </row>
    <row r="33706">
      <c r="C33706" s="15"/>
      <c r="E33706" s="8"/>
      <c r="G33706" s="8"/>
      <c r="J33706" s="8"/>
    </row>
    <row r="33707">
      <c r="C33707" s="15"/>
      <c r="E33707" s="8"/>
      <c r="G33707" s="8"/>
      <c r="J33707" s="8"/>
    </row>
    <row r="33708">
      <c r="C33708" s="15"/>
      <c r="E33708" s="8"/>
      <c r="G33708" s="8"/>
      <c r="J33708" s="8"/>
    </row>
    <row r="33709">
      <c r="C33709" s="15"/>
      <c r="E33709" s="8"/>
      <c r="G33709" s="8"/>
      <c r="J33709" s="8"/>
    </row>
    <row r="33710">
      <c r="C33710" s="15"/>
      <c r="E33710" s="8"/>
      <c r="G33710" s="8"/>
      <c r="J33710" s="8"/>
    </row>
    <row r="33711">
      <c r="C33711" s="15"/>
      <c r="E33711" s="8"/>
      <c r="G33711" s="8"/>
      <c r="J33711" s="8"/>
    </row>
    <row r="33712">
      <c r="C33712" s="15"/>
      <c r="E33712" s="8"/>
      <c r="G33712" s="8"/>
      <c r="J33712" s="8"/>
    </row>
    <row r="33713">
      <c r="C33713" s="15"/>
      <c r="E33713" s="8"/>
      <c r="G33713" s="8"/>
      <c r="J33713" s="8"/>
    </row>
    <row r="33714">
      <c r="C33714" s="15"/>
      <c r="E33714" s="8"/>
      <c r="G33714" s="8"/>
      <c r="J33714" s="8"/>
    </row>
    <row r="33715">
      <c r="C33715" s="15"/>
      <c r="E33715" s="8"/>
      <c r="G33715" s="8"/>
      <c r="J33715" s="8"/>
    </row>
    <row r="33716">
      <c r="C33716" s="15"/>
      <c r="E33716" s="8"/>
      <c r="G33716" s="8"/>
      <c r="J33716" s="8"/>
    </row>
    <row r="33717">
      <c r="C33717" s="15"/>
      <c r="E33717" s="8"/>
      <c r="G33717" s="8"/>
      <c r="J33717" s="8"/>
    </row>
    <row r="33718">
      <c r="C33718" s="15"/>
      <c r="E33718" s="8"/>
      <c r="G33718" s="8"/>
      <c r="J33718" s="8"/>
    </row>
    <row r="33719">
      <c r="C33719" s="15"/>
      <c r="E33719" s="8"/>
      <c r="G33719" s="8"/>
      <c r="J33719" s="8"/>
    </row>
    <row r="33720">
      <c r="C33720" s="15"/>
      <c r="E33720" s="8"/>
      <c r="G33720" s="8"/>
      <c r="J33720" s="8"/>
    </row>
    <row r="33721">
      <c r="C33721" s="15"/>
      <c r="E33721" s="8"/>
      <c r="G33721" s="8"/>
      <c r="J33721" s="8"/>
    </row>
    <row r="33722">
      <c r="C33722" s="15"/>
      <c r="E33722" s="8"/>
      <c r="G33722" s="8"/>
      <c r="J33722" s="8"/>
    </row>
    <row r="33723">
      <c r="C33723" s="15"/>
      <c r="E33723" s="8"/>
      <c r="G33723" s="8"/>
      <c r="J33723" s="8"/>
    </row>
    <row r="33724">
      <c r="C33724" s="15"/>
      <c r="E33724" s="8"/>
      <c r="G33724" s="8"/>
      <c r="J33724" s="8"/>
    </row>
    <row r="33725">
      <c r="C33725" s="15"/>
      <c r="E33725" s="8"/>
      <c r="G33725" s="8"/>
      <c r="J33725" s="8"/>
    </row>
    <row r="33726">
      <c r="C33726" s="15"/>
      <c r="E33726" s="8"/>
      <c r="G33726" s="8"/>
      <c r="J33726" s="8"/>
    </row>
    <row r="33727">
      <c r="C33727" s="15"/>
      <c r="E33727" s="8"/>
      <c r="G33727" s="8"/>
      <c r="J33727" s="8"/>
    </row>
    <row r="33728">
      <c r="C33728" s="15"/>
      <c r="E33728" s="8"/>
      <c r="G33728" s="8"/>
      <c r="J33728" s="8"/>
    </row>
    <row r="33729">
      <c r="C33729" s="15"/>
      <c r="E33729" s="8"/>
      <c r="G33729" s="8"/>
      <c r="J33729" s="8"/>
    </row>
    <row r="33730">
      <c r="C33730" s="15"/>
      <c r="E33730" s="8"/>
      <c r="G33730" s="8"/>
      <c r="J33730" s="8"/>
    </row>
    <row r="33731">
      <c r="C33731" s="15"/>
      <c r="E33731" s="8"/>
      <c r="G33731" s="8"/>
      <c r="J33731" s="8"/>
    </row>
    <row r="33732">
      <c r="C33732" s="15"/>
      <c r="E33732" s="8"/>
      <c r="G33732" s="8"/>
      <c r="J33732" s="8"/>
    </row>
    <row r="33733">
      <c r="C33733" s="15"/>
      <c r="E33733" s="8"/>
      <c r="G33733" s="8"/>
      <c r="J33733" s="8"/>
    </row>
    <row r="33734">
      <c r="C33734" s="15"/>
      <c r="E33734" s="8"/>
      <c r="G33734" s="8"/>
      <c r="J33734" s="8"/>
    </row>
    <row r="33735">
      <c r="C33735" s="15"/>
      <c r="E33735" s="8"/>
      <c r="G33735" s="8"/>
      <c r="J33735" s="8"/>
    </row>
    <row r="33736">
      <c r="C33736" s="15"/>
      <c r="E33736" s="8"/>
      <c r="G33736" s="8"/>
      <c r="J33736" s="8"/>
    </row>
    <row r="33737">
      <c r="C33737" s="15"/>
      <c r="E33737" s="8"/>
      <c r="G33737" s="8"/>
      <c r="J33737" s="8"/>
    </row>
    <row r="33738">
      <c r="C33738" s="15"/>
      <c r="E33738" s="8"/>
      <c r="G33738" s="8"/>
      <c r="J33738" s="8"/>
    </row>
    <row r="33739">
      <c r="C33739" s="15"/>
      <c r="E33739" s="8"/>
      <c r="G33739" s="8"/>
      <c r="J33739" s="8"/>
    </row>
    <row r="33740">
      <c r="C33740" s="15"/>
      <c r="E33740" s="8"/>
      <c r="G33740" s="8"/>
      <c r="J33740" s="8"/>
    </row>
    <row r="33741">
      <c r="C33741" s="15"/>
      <c r="E33741" s="8"/>
      <c r="G33741" s="8"/>
      <c r="J33741" s="8"/>
    </row>
    <row r="33742">
      <c r="C33742" s="15"/>
      <c r="E33742" s="8"/>
      <c r="G33742" s="8"/>
      <c r="J33742" s="8"/>
    </row>
    <row r="33743">
      <c r="C33743" s="15"/>
      <c r="E33743" s="8"/>
      <c r="G33743" s="8"/>
      <c r="J33743" s="8"/>
    </row>
    <row r="33744">
      <c r="C33744" s="15"/>
      <c r="E33744" s="8"/>
      <c r="G33744" s="8"/>
      <c r="J33744" s="8"/>
    </row>
    <row r="33745">
      <c r="C33745" s="15"/>
      <c r="E33745" s="8"/>
      <c r="G33745" s="8"/>
      <c r="J33745" s="8"/>
    </row>
    <row r="33746">
      <c r="C33746" s="15"/>
      <c r="E33746" s="8"/>
      <c r="G33746" s="8"/>
      <c r="J33746" s="8"/>
    </row>
    <row r="33747">
      <c r="C33747" s="15"/>
      <c r="E33747" s="8"/>
      <c r="G33747" s="8"/>
      <c r="J33747" s="8"/>
    </row>
    <row r="33748">
      <c r="C33748" s="15"/>
      <c r="E33748" s="8"/>
      <c r="G33748" s="8"/>
      <c r="J33748" s="8"/>
    </row>
    <row r="33749">
      <c r="C33749" s="15"/>
      <c r="E33749" s="8"/>
      <c r="G33749" s="8"/>
      <c r="J33749" s="8"/>
    </row>
    <row r="33750">
      <c r="C33750" s="15"/>
      <c r="E33750" s="8"/>
      <c r="G33750" s="8"/>
      <c r="J33750" s="8"/>
    </row>
    <row r="33751">
      <c r="C33751" s="15"/>
      <c r="E33751" s="8"/>
      <c r="G33751" s="8"/>
      <c r="J33751" s="8"/>
    </row>
    <row r="33752">
      <c r="C33752" s="15"/>
      <c r="E33752" s="8"/>
      <c r="G33752" s="8"/>
      <c r="J33752" s="8"/>
    </row>
    <row r="33753">
      <c r="C33753" s="15"/>
      <c r="E33753" s="8"/>
      <c r="G33753" s="8"/>
      <c r="J33753" s="8"/>
    </row>
    <row r="33754">
      <c r="C33754" s="15"/>
      <c r="E33754" s="8"/>
      <c r="G33754" s="8"/>
      <c r="J33754" s="8"/>
    </row>
    <row r="33755">
      <c r="C33755" s="15"/>
      <c r="E33755" s="8"/>
      <c r="G33755" s="8"/>
      <c r="J33755" s="8"/>
    </row>
    <row r="33756">
      <c r="C33756" s="15"/>
      <c r="E33756" s="8"/>
      <c r="G33756" s="8"/>
      <c r="J33756" s="8"/>
    </row>
    <row r="33757">
      <c r="C33757" s="15"/>
      <c r="E33757" s="8"/>
      <c r="G33757" s="8"/>
      <c r="J33757" s="8"/>
    </row>
    <row r="33758">
      <c r="C33758" s="15"/>
      <c r="E33758" s="8"/>
      <c r="G33758" s="8"/>
      <c r="J33758" s="8"/>
    </row>
    <row r="33759">
      <c r="C33759" s="15"/>
      <c r="E33759" s="8"/>
      <c r="G33759" s="8"/>
      <c r="J33759" s="8"/>
    </row>
    <row r="33760">
      <c r="C33760" s="15"/>
      <c r="E33760" s="8"/>
      <c r="G33760" s="8"/>
      <c r="J33760" s="8"/>
    </row>
    <row r="33761">
      <c r="C33761" s="15"/>
      <c r="E33761" s="8"/>
      <c r="G33761" s="8"/>
      <c r="J33761" s="8"/>
    </row>
    <row r="33762">
      <c r="C33762" s="15"/>
      <c r="E33762" s="8"/>
      <c r="G33762" s="8"/>
      <c r="J33762" s="8"/>
    </row>
    <row r="33763">
      <c r="C33763" s="15"/>
      <c r="E33763" s="8"/>
      <c r="G33763" s="8"/>
      <c r="J33763" s="8"/>
    </row>
    <row r="33764">
      <c r="C33764" s="15"/>
      <c r="E33764" s="8"/>
      <c r="G33764" s="8"/>
      <c r="J33764" s="8"/>
    </row>
    <row r="33765">
      <c r="C33765" s="15"/>
      <c r="E33765" s="8"/>
      <c r="G33765" s="8"/>
      <c r="J33765" s="8"/>
    </row>
    <row r="33766">
      <c r="C33766" s="15"/>
      <c r="E33766" s="8"/>
      <c r="G33766" s="8"/>
      <c r="J33766" s="8"/>
    </row>
    <row r="33767">
      <c r="C33767" s="15"/>
      <c r="E33767" s="8"/>
      <c r="G33767" s="8"/>
      <c r="J33767" s="8"/>
    </row>
    <row r="33768">
      <c r="C33768" s="15"/>
      <c r="E33768" s="8"/>
      <c r="G33768" s="8"/>
      <c r="J33768" s="8"/>
    </row>
    <row r="33769">
      <c r="C33769" s="15"/>
      <c r="E33769" s="8"/>
      <c r="G33769" s="8"/>
      <c r="J33769" s="8"/>
    </row>
    <row r="33770">
      <c r="C33770" s="15"/>
      <c r="E33770" s="8"/>
      <c r="G33770" s="8"/>
      <c r="J33770" s="8"/>
    </row>
    <row r="33771">
      <c r="C33771" s="15"/>
      <c r="E33771" s="8"/>
      <c r="G33771" s="8"/>
      <c r="J33771" s="8"/>
    </row>
    <row r="33772">
      <c r="C33772" s="15"/>
      <c r="E33772" s="8"/>
      <c r="G33772" s="8"/>
      <c r="J33772" s="8"/>
    </row>
    <row r="33773">
      <c r="C33773" s="15"/>
      <c r="E33773" s="8"/>
      <c r="G33773" s="8"/>
      <c r="J33773" s="8"/>
    </row>
    <row r="33774">
      <c r="C33774" s="15"/>
      <c r="E33774" s="8"/>
      <c r="G33774" s="8"/>
      <c r="J33774" s="8"/>
    </row>
    <row r="33775">
      <c r="C33775" s="15"/>
      <c r="E33775" s="8"/>
      <c r="G33775" s="8"/>
      <c r="J33775" s="8"/>
    </row>
    <row r="33776">
      <c r="C33776" s="15"/>
      <c r="E33776" s="8"/>
      <c r="G33776" s="8"/>
      <c r="J33776" s="8"/>
    </row>
    <row r="33777">
      <c r="C33777" s="15"/>
      <c r="E33777" s="8"/>
      <c r="G33777" s="8"/>
      <c r="J33777" s="8"/>
    </row>
    <row r="33778">
      <c r="C33778" s="15"/>
      <c r="E33778" s="8"/>
      <c r="G33778" s="8"/>
      <c r="J33778" s="8"/>
    </row>
    <row r="33779">
      <c r="C33779" s="15"/>
      <c r="E33779" s="8"/>
      <c r="G33779" s="8"/>
      <c r="J33779" s="8"/>
    </row>
    <row r="33780">
      <c r="C33780" s="15"/>
      <c r="E33780" s="8"/>
      <c r="G33780" s="8"/>
      <c r="J33780" s="8"/>
    </row>
    <row r="33781">
      <c r="C33781" s="15"/>
      <c r="E33781" s="8"/>
      <c r="G33781" s="8"/>
      <c r="J33781" s="8"/>
    </row>
    <row r="33782">
      <c r="C33782" s="15"/>
      <c r="E33782" s="8"/>
      <c r="G33782" s="8"/>
      <c r="J33782" s="8"/>
    </row>
    <row r="33783">
      <c r="C33783" s="15"/>
      <c r="E33783" s="8"/>
      <c r="G33783" s="8"/>
      <c r="J33783" s="8"/>
    </row>
    <row r="33784">
      <c r="C33784" s="15"/>
      <c r="E33784" s="8"/>
      <c r="G33784" s="8"/>
      <c r="J33784" s="8"/>
    </row>
    <row r="33785">
      <c r="C33785" s="15"/>
      <c r="E33785" s="8"/>
      <c r="G33785" s="8"/>
      <c r="J33785" s="8"/>
    </row>
    <row r="33786">
      <c r="C33786" s="15"/>
      <c r="E33786" s="8"/>
      <c r="G33786" s="8"/>
      <c r="J33786" s="8"/>
    </row>
    <row r="33787">
      <c r="C33787" s="15"/>
      <c r="E33787" s="8"/>
      <c r="G33787" s="8"/>
      <c r="J33787" s="8"/>
    </row>
    <row r="33788">
      <c r="C33788" s="15"/>
      <c r="E33788" s="8"/>
      <c r="G33788" s="8"/>
      <c r="J33788" s="8"/>
    </row>
    <row r="33789">
      <c r="C33789" s="15"/>
      <c r="E33789" s="8"/>
      <c r="G33789" s="8"/>
      <c r="J33789" s="8"/>
    </row>
    <row r="33790">
      <c r="C33790" s="15"/>
      <c r="E33790" s="8"/>
      <c r="G33790" s="8"/>
      <c r="J33790" s="8"/>
    </row>
    <row r="33791">
      <c r="C33791" s="15"/>
      <c r="E33791" s="8"/>
      <c r="G33791" s="8"/>
      <c r="J33791" s="8"/>
    </row>
    <row r="33792">
      <c r="C33792" s="15"/>
      <c r="E33792" s="8"/>
      <c r="G33792" s="8"/>
      <c r="J33792" s="8"/>
    </row>
    <row r="33793">
      <c r="C33793" s="15"/>
      <c r="E33793" s="8"/>
      <c r="G33793" s="8"/>
      <c r="J33793" s="8"/>
    </row>
    <row r="33794">
      <c r="C33794" s="15"/>
      <c r="E33794" s="8"/>
      <c r="G33794" s="8"/>
      <c r="J33794" s="8"/>
    </row>
    <row r="33795">
      <c r="C33795" s="15"/>
      <c r="E33795" s="8"/>
      <c r="G33795" s="8"/>
      <c r="J33795" s="8"/>
    </row>
    <row r="33796">
      <c r="C33796" s="15"/>
      <c r="E33796" s="8"/>
      <c r="G33796" s="8"/>
      <c r="J33796" s="8"/>
    </row>
    <row r="33797">
      <c r="C33797" s="15"/>
      <c r="E33797" s="8"/>
      <c r="G33797" s="8"/>
      <c r="J33797" s="8"/>
    </row>
    <row r="33798">
      <c r="C33798" s="15"/>
      <c r="E33798" s="8"/>
      <c r="G33798" s="8"/>
      <c r="J33798" s="8"/>
    </row>
    <row r="33799">
      <c r="C33799" s="15"/>
      <c r="E33799" s="8"/>
      <c r="G33799" s="8"/>
      <c r="J33799" s="8"/>
    </row>
    <row r="33800">
      <c r="C33800" s="15"/>
      <c r="E33800" s="8"/>
      <c r="G33800" s="8"/>
      <c r="J33800" s="8"/>
    </row>
    <row r="33801">
      <c r="C33801" s="15"/>
      <c r="E33801" s="8"/>
      <c r="G33801" s="8"/>
      <c r="J33801" s="8"/>
    </row>
    <row r="33802">
      <c r="C33802" s="15"/>
      <c r="E33802" s="8"/>
      <c r="G33802" s="8"/>
      <c r="J33802" s="8"/>
    </row>
    <row r="33803">
      <c r="C33803" s="15"/>
      <c r="E33803" s="8"/>
      <c r="G33803" s="8"/>
      <c r="J33803" s="8"/>
    </row>
    <row r="33804">
      <c r="C33804" s="15"/>
      <c r="E33804" s="8"/>
      <c r="G33804" s="8"/>
      <c r="J33804" s="8"/>
    </row>
    <row r="33805">
      <c r="C33805" s="15"/>
      <c r="E33805" s="8"/>
      <c r="G33805" s="8"/>
      <c r="J33805" s="8"/>
    </row>
    <row r="33806">
      <c r="C33806" s="15"/>
      <c r="E33806" s="8"/>
      <c r="G33806" s="8"/>
      <c r="J33806" s="8"/>
    </row>
    <row r="33807">
      <c r="C33807" s="15"/>
      <c r="E33807" s="8"/>
      <c r="G33807" s="8"/>
      <c r="J33807" s="8"/>
    </row>
    <row r="33808">
      <c r="C33808" s="15"/>
      <c r="E33808" s="8"/>
      <c r="G33808" s="8"/>
      <c r="J33808" s="8"/>
    </row>
    <row r="33809">
      <c r="C33809" s="15"/>
      <c r="E33809" s="8"/>
      <c r="G33809" s="8"/>
      <c r="J33809" s="8"/>
    </row>
    <row r="33810">
      <c r="C33810" s="15"/>
      <c r="E33810" s="8"/>
      <c r="G33810" s="8"/>
      <c r="J33810" s="8"/>
    </row>
    <row r="33811">
      <c r="C33811" s="15"/>
      <c r="E33811" s="8"/>
      <c r="G33811" s="8"/>
      <c r="J33811" s="8"/>
    </row>
    <row r="33812">
      <c r="C33812" s="15"/>
      <c r="E33812" s="8"/>
      <c r="G33812" s="8"/>
      <c r="J33812" s="8"/>
    </row>
    <row r="33813">
      <c r="C33813" s="15"/>
      <c r="E33813" s="8"/>
      <c r="G33813" s="8"/>
      <c r="J33813" s="8"/>
    </row>
    <row r="33814">
      <c r="C33814" s="15"/>
      <c r="E33814" s="8"/>
      <c r="G33814" s="8"/>
      <c r="J33814" s="8"/>
    </row>
    <row r="33815">
      <c r="C33815" s="15"/>
      <c r="E33815" s="8"/>
      <c r="G33815" s="8"/>
      <c r="J33815" s="8"/>
    </row>
    <row r="33816">
      <c r="C33816" s="15"/>
      <c r="E33816" s="8"/>
      <c r="G33816" s="8"/>
      <c r="J33816" s="8"/>
    </row>
    <row r="33817">
      <c r="C33817" s="15"/>
      <c r="E33817" s="8"/>
      <c r="G33817" s="8"/>
      <c r="J33817" s="8"/>
    </row>
    <row r="33818">
      <c r="C33818" s="15"/>
      <c r="E33818" s="8"/>
      <c r="G33818" s="8"/>
      <c r="J33818" s="8"/>
    </row>
    <row r="33819">
      <c r="C33819" s="15"/>
      <c r="E33819" s="8"/>
      <c r="G33819" s="8"/>
      <c r="J33819" s="8"/>
    </row>
    <row r="33820">
      <c r="C33820" s="15"/>
      <c r="E33820" s="8"/>
      <c r="G33820" s="8"/>
      <c r="J33820" s="8"/>
    </row>
    <row r="33821">
      <c r="C33821" s="15"/>
      <c r="E33821" s="8"/>
      <c r="G33821" s="8"/>
      <c r="J33821" s="8"/>
    </row>
    <row r="33822">
      <c r="C33822" s="15"/>
      <c r="E33822" s="8"/>
      <c r="G33822" s="8"/>
      <c r="J33822" s="8"/>
    </row>
    <row r="33823">
      <c r="C33823" s="15"/>
      <c r="E33823" s="8"/>
      <c r="G33823" s="8"/>
      <c r="J33823" s="8"/>
    </row>
    <row r="33824">
      <c r="C33824" s="15"/>
      <c r="E33824" s="8"/>
      <c r="G33824" s="8"/>
      <c r="J33824" s="8"/>
    </row>
    <row r="33825">
      <c r="C33825" s="15"/>
      <c r="E33825" s="8"/>
      <c r="G33825" s="8"/>
      <c r="J33825" s="8"/>
    </row>
    <row r="33826">
      <c r="C33826" s="15"/>
      <c r="E33826" s="8"/>
      <c r="G33826" s="8"/>
      <c r="J33826" s="8"/>
    </row>
    <row r="33827">
      <c r="C33827" s="15"/>
      <c r="E33827" s="8"/>
      <c r="G33827" s="8"/>
      <c r="J33827" s="8"/>
    </row>
    <row r="33828">
      <c r="C33828" s="15"/>
      <c r="E33828" s="8"/>
      <c r="G33828" s="8"/>
      <c r="J33828" s="8"/>
    </row>
    <row r="33829">
      <c r="C33829" s="15"/>
      <c r="E33829" s="8"/>
      <c r="G33829" s="8"/>
      <c r="J33829" s="8"/>
    </row>
    <row r="33830">
      <c r="C33830" s="15"/>
      <c r="E33830" s="8"/>
      <c r="G33830" s="8"/>
      <c r="J33830" s="8"/>
    </row>
    <row r="33831">
      <c r="C33831" s="15"/>
      <c r="E33831" s="8"/>
      <c r="G33831" s="8"/>
      <c r="J33831" s="8"/>
    </row>
    <row r="33832">
      <c r="C33832" s="15"/>
      <c r="E33832" s="8"/>
      <c r="G33832" s="8"/>
      <c r="J33832" s="8"/>
    </row>
    <row r="33833">
      <c r="C33833" s="15"/>
      <c r="E33833" s="8"/>
      <c r="G33833" s="8"/>
      <c r="J33833" s="8"/>
    </row>
    <row r="33834">
      <c r="C33834" s="15"/>
      <c r="E33834" s="8"/>
      <c r="G33834" s="8"/>
      <c r="J33834" s="8"/>
    </row>
    <row r="33835">
      <c r="C33835" s="15"/>
      <c r="E33835" s="8"/>
      <c r="G33835" s="8"/>
      <c r="J33835" s="8"/>
    </row>
    <row r="33836">
      <c r="C33836" s="15"/>
      <c r="E33836" s="8"/>
      <c r="G33836" s="8"/>
      <c r="J33836" s="8"/>
    </row>
    <row r="33837">
      <c r="C33837" s="15"/>
      <c r="E33837" s="8"/>
      <c r="G33837" s="8"/>
      <c r="J33837" s="8"/>
    </row>
    <row r="33838">
      <c r="C33838" s="15"/>
      <c r="E33838" s="8"/>
      <c r="G33838" s="8"/>
      <c r="J33838" s="8"/>
    </row>
    <row r="33839">
      <c r="C33839" s="15"/>
      <c r="E33839" s="8"/>
      <c r="G33839" s="8"/>
      <c r="J33839" s="8"/>
    </row>
    <row r="33840">
      <c r="C33840" s="15"/>
      <c r="E33840" s="8"/>
      <c r="G33840" s="8"/>
      <c r="J33840" s="8"/>
    </row>
    <row r="33841">
      <c r="C33841" s="15"/>
      <c r="E33841" s="8"/>
      <c r="G33841" s="8"/>
      <c r="J33841" s="8"/>
    </row>
    <row r="33842">
      <c r="C33842" s="15"/>
      <c r="E33842" s="8"/>
      <c r="G33842" s="8"/>
      <c r="J33842" s="8"/>
    </row>
    <row r="33843">
      <c r="C33843" s="15"/>
      <c r="E33843" s="8"/>
      <c r="G33843" s="8"/>
      <c r="J33843" s="8"/>
    </row>
    <row r="33844">
      <c r="C33844" s="15"/>
      <c r="E33844" s="8"/>
      <c r="G33844" s="8"/>
      <c r="J33844" s="8"/>
    </row>
    <row r="33845">
      <c r="C33845" s="15"/>
      <c r="E33845" s="8"/>
      <c r="G33845" s="8"/>
      <c r="J33845" s="8"/>
    </row>
    <row r="33846">
      <c r="C33846" s="15"/>
      <c r="E33846" s="8"/>
      <c r="G33846" s="8"/>
      <c r="J33846" s="8"/>
    </row>
    <row r="33847">
      <c r="C33847" s="15"/>
      <c r="E33847" s="8"/>
      <c r="G33847" s="8"/>
      <c r="J33847" s="8"/>
    </row>
    <row r="33848">
      <c r="C33848" s="15"/>
      <c r="E33848" s="8"/>
      <c r="G33848" s="8"/>
      <c r="J33848" s="8"/>
    </row>
    <row r="33849">
      <c r="C33849" s="15"/>
      <c r="E33849" s="8"/>
      <c r="G33849" s="8"/>
      <c r="J33849" s="8"/>
    </row>
    <row r="33850">
      <c r="C33850" s="15"/>
      <c r="E33850" s="8"/>
      <c r="G33850" s="8"/>
      <c r="J33850" s="8"/>
    </row>
    <row r="33851">
      <c r="C33851" s="15"/>
      <c r="E33851" s="8"/>
      <c r="G33851" s="8"/>
      <c r="J33851" s="8"/>
    </row>
    <row r="33852">
      <c r="C33852" s="15"/>
      <c r="E33852" s="8"/>
      <c r="G33852" s="8"/>
      <c r="J33852" s="8"/>
    </row>
    <row r="33853">
      <c r="C33853" s="15"/>
      <c r="E33853" s="8"/>
      <c r="G33853" s="8"/>
      <c r="J33853" s="8"/>
    </row>
    <row r="33854">
      <c r="C33854" s="15"/>
      <c r="E33854" s="8"/>
      <c r="G33854" s="8"/>
      <c r="J33854" s="8"/>
    </row>
    <row r="33855">
      <c r="C33855" s="15"/>
      <c r="E33855" s="8"/>
      <c r="G33855" s="8"/>
      <c r="J33855" s="8"/>
    </row>
    <row r="33856">
      <c r="C33856" s="15"/>
      <c r="E33856" s="8"/>
      <c r="G33856" s="8"/>
      <c r="J33856" s="8"/>
    </row>
    <row r="33857">
      <c r="C33857" s="15"/>
      <c r="E33857" s="8"/>
      <c r="G33857" s="8"/>
      <c r="J33857" s="8"/>
    </row>
    <row r="33858">
      <c r="C33858" s="15"/>
      <c r="E33858" s="8"/>
      <c r="G33858" s="8"/>
      <c r="J33858" s="8"/>
    </row>
    <row r="33859">
      <c r="C33859" s="15"/>
      <c r="E33859" s="8"/>
      <c r="G33859" s="8"/>
      <c r="J33859" s="8"/>
    </row>
    <row r="33860">
      <c r="C33860" s="15"/>
      <c r="E33860" s="8"/>
      <c r="G33860" s="8"/>
      <c r="J33860" s="8"/>
    </row>
    <row r="33861">
      <c r="C33861" s="15"/>
      <c r="E33861" s="8"/>
      <c r="G33861" s="8"/>
      <c r="J33861" s="8"/>
    </row>
    <row r="33862">
      <c r="C33862" s="15"/>
      <c r="E33862" s="8"/>
      <c r="G33862" s="8"/>
      <c r="J33862" s="8"/>
    </row>
    <row r="33863">
      <c r="C33863" s="15"/>
      <c r="E33863" s="8"/>
      <c r="G33863" s="8"/>
      <c r="J33863" s="8"/>
    </row>
    <row r="33864">
      <c r="C33864" s="15"/>
      <c r="E33864" s="8"/>
      <c r="G33864" s="8"/>
      <c r="J33864" s="8"/>
    </row>
    <row r="33865">
      <c r="C33865" s="15"/>
      <c r="E33865" s="8"/>
      <c r="G33865" s="8"/>
      <c r="J33865" s="8"/>
    </row>
    <row r="33866">
      <c r="C33866" s="15"/>
      <c r="E33866" s="8"/>
      <c r="G33866" s="8"/>
      <c r="J33866" s="8"/>
    </row>
    <row r="33867">
      <c r="C33867" s="15"/>
      <c r="E33867" s="8"/>
      <c r="G33867" s="8"/>
      <c r="J33867" s="8"/>
    </row>
    <row r="33868">
      <c r="C33868" s="15"/>
      <c r="E33868" s="8"/>
      <c r="G33868" s="8"/>
      <c r="J33868" s="8"/>
    </row>
    <row r="33869">
      <c r="C33869" s="15"/>
      <c r="E33869" s="8"/>
      <c r="G33869" s="8"/>
      <c r="J33869" s="8"/>
    </row>
    <row r="33870">
      <c r="C33870" s="15"/>
      <c r="E33870" s="8"/>
      <c r="G33870" s="8"/>
      <c r="J33870" s="8"/>
    </row>
    <row r="33871">
      <c r="C33871" s="15"/>
      <c r="E33871" s="8"/>
      <c r="G33871" s="8"/>
      <c r="J33871" s="8"/>
    </row>
    <row r="33872">
      <c r="C33872" s="15"/>
      <c r="E33872" s="8"/>
      <c r="G33872" s="8"/>
      <c r="J33872" s="8"/>
    </row>
    <row r="33873">
      <c r="C33873" s="15"/>
      <c r="E33873" s="8"/>
      <c r="G33873" s="8"/>
      <c r="J33873" s="8"/>
    </row>
    <row r="33874">
      <c r="C33874" s="15"/>
      <c r="E33874" s="8"/>
      <c r="G33874" s="8"/>
      <c r="J33874" s="8"/>
    </row>
    <row r="33875">
      <c r="C33875" s="15"/>
      <c r="E33875" s="8"/>
      <c r="G33875" s="8"/>
      <c r="J33875" s="8"/>
    </row>
    <row r="33876">
      <c r="C33876" s="15"/>
      <c r="E33876" s="8"/>
      <c r="G33876" s="8"/>
      <c r="J33876" s="8"/>
    </row>
    <row r="33877">
      <c r="C33877" s="15"/>
      <c r="E33877" s="8"/>
      <c r="G33877" s="8"/>
      <c r="J33877" s="8"/>
    </row>
    <row r="33878">
      <c r="C33878" s="15"/>
      <c r="E33878" s="8"/>
      <c r="G33878" s="8"/>
      <c r="J33878" s="8"/>
    </row>
    <row r="33879">
      <c r="C33879" s="15"/>
      <c r="E33879" s="8"/>
      <c r="G33879" s="8"/>
      <c r="J33879" s="8"/>
    </row>
    <row r="33880">
      <c r="C33880" s="15"/>
      <c r="E33880" s="8"/>
      <c r="G33880" s="8"/>
      <c r="J33880" s="8"/>
    </row>
    <row r="33881">
      <c r="C33881" s="15"/>
      <c r="E33881" s="8"/>
      <c r="G33881" s="8"/>
      <c r="J33881" s="8"/>
    </row>
    <row r="33882">
      <c r="C33882" s="15"/>
      <c r="E33882" s="8"/>
      <c r="G33882" s="8"/>
      <c r="J33882" s="8"/>
    </row>
    <row r="33883">
      <c r="C33883" s="15"/>
      <c r="E33883" s="8"/>
      <c r="G33883" s="8"/>
      <c r="J33883" s="8"/>
    </row>
    <row r="33884">
      <c r="C33884" s="15"/>
      <c r="E33884" s="8"/>
      <c r="G33884" s="8"/>
      <c r="J33884" s="8"/>
    </row>
    <row r="33885">
      <c r="C33885" s="15"/>
      <c r="E33885" s="8"/>
      <c r="G33885" s="8"/>
      <c r="J33885" s="8"/>
    </row>
    <row r="33886">
      <c r="C33886" s="15"/>
      <c r="E33886" s="8"/>
      <c r="G33886" s="8"/>
      <c r="J33886" s="8"/>
    </row>
    <row r="33887">
      <c r="C33887" s="15"/>
      <c r="E33887" s="8"/>
      <c r="G33887" s="8"/>
      <c r="J33887" s="8"/>
    </row>
    <row r="33888">
      <c r="C33888" s="15"/>
      <c r="E33888" s="8"/>
      <c r="G33888" s="8"/>
      <c r="J33888" s="8"/>
    </row>
    <row r="33889">
      <c r="C33889" s="15"/>
      <c r="E33889" s="8"/>
      <c r="G33889" s="8"/>
      <c r="J33889" s="8"/>
    </row>
    <row r="33890">
      <c r="C33890" s="15"/>
      <c r="E33890" s="8"/>
      <c r="G33890" s="8"/>
      <c r="J33890" s="8"/>
    </row>
    <row r="33891">
      <c r="C33891" s="15"/>
      <c r="E33891" s="8"/>
      <c r="G33891" s="8"/>
      <c r="J33891" s="8"/>
    </row>
    <row r="33892">
      <c r="C33892" s="15"/>
      <c r="E33892" s="8"/>
      <c r="G33892" s="8"/>
      <c r="J33892" s="8"/>
    </row>
    <row r="33893">
      <c r="C33893" s="15"/>
      <c r="E33893" s="8"/>
      <c r="G33893" s="8"/>
      <c r="J33893" s="8"/>
    </row>
    <row r="33894">
      <c r="C33894" s="15"/>
      <c r="E33894" s="8"/>
      <c r="G33894" s="8"/>
      <c r="J33894" s="8"/>
    </row>
    <row r="33895">
      <c r="C33895" s="15"/>
      <c r="E33895" s="8"/>
      <c r="G33895" s="8"/>
      <c r="J33895" s="8"/>
    </row>
    <row r="33896">
      <c r="C33896" s="15"/>
      <c r="E33896" s="8"/>
      <c r="G33896" s="8"/>
      <c r="J33896" s="8"/>
    </row>
    <row r="33897">
      <c r="C33897" s="15"/>
      <c r="E33897" s="8"/>
      <c r="G33897" s="8"/>
      <c r="J33897" s="8"/>
    </row>
    <row r="33898">
      <c r="C33898" s="15"/>
      <c r="E33898" s="8"/>
      <c r="G33898" s="8"/>
      <c r="J33898" s="8"/>
    </row>
    <row r="33899">
      <c r="C33899" s="15"/>
      <c r="E33899" s="8"/>
      <c r="G33899" s="8"/>
      <c r="J33899" s="8"/>
    </row>
    <row r="33900">
      <c r="C33900" s="15"/>
      <c r="E33900" s="8"/>
      <c r="G33900" s="8"/>
      <c r="J33900" s="8"/>
    </row>
    <row r="33901">
      <c r="C33901" s="15"/>
      <c r="E33901" s="8"/>
      <c r="G33901" s="8"/>
      <c r="J33901" s="8"/>
    </row>
    <row r="33902">
      <c r="C33902" s="15"/>
      <c r="E33902" s="8"/>
      <c r="G33902" s="8"/>
      <c r="J33902" s="8"/>
    </row>
    <row r="33903">
      <c r="C33903" s="15"/>
      <c r="E33903" s="8"/>
      <c r="G33903" s="8"/>
      <c r="J33903" s="8"/>
    </row>
    <row r="33904">
      <c r="C33904" s="15"/>
      <c r="E33904" s="8"/>
      <c r="G33904" s="8"/>
      <c r="J33904" s="8"/>
    </row>
    <row r="33905">
      <c r="C33905" s="15"/>
      <c r="E33905" s="8"/>
      <c r="G33905" s="8"/>
      <c r="J33905" s="8"/>
    </row>
    <row r="33906">
      <c r="C33906" s="15"/>
      <c r="E33906" s="8"/>
      <c r="G33906" s="8"/>
      <c r="J33906" s="8"/>
    </row>
    <row r="33907">
      <c r="C33907" s="15"/>
      <c r="E33907" s="8"/>
      <c r="G33907" s="8"/>
      <c r="J33907" s="8"/>
    </row>
    <row r="33908">
      <c r="C33908" s="15"/>
      <c r="E33908" s="8"/>
      <c r="G33908" s="8"/>
      <c r="J33908" s="8"/>
    </row>
    <row r="33909">
      <c r="C33909" s="15"/>
      <c r="E33909" s="8"/>
      <c r="G33909" s="8"/>
      <c r="J33909" s="8"/>
    </row>
    <row r="33910">
      <c r="C33910" s="15"/>
      <c r="E33910" s="8"/>
      <c r="G33910" s="8"/>
      <c r="J33910" s="8"/>
    </row>
    <row r="33911">
      <c r="C33911" s="15"/>
      <c r="E33911" s="8"/>
      <c r="G33911" s="8"/>
      <c r="J33911" s="8"/>
    </row>
    <row r="33912">
      <c r="C33912" s="15"/>
      <c r="E33912" s="8"/>
      <c r="G33912" s="8"/>
      <c r="J33912" s="8"/>
    </row>
    <row r="33913">
      <c r="C33913" s="15"/>
      <c r="E33913" s="8"/>
      <c r="G33913" s="8"/>
      <c r="J33913" s="8"/>
    </row>
    <row r="33914">
      <c r="C33914" s="15"/>
      <c r="E33914" s="8"/>
      <c r="G33914" s="8"/>
      <c r="J33914" s="8"/>
    </row>
    <row r="33915">
      <c r="C33915" s="15"/>
      <c r="E33915" s="8"/>
      <c r="G33915" s="8"/>
      <c r="J33915" s="8"/>
    </row>
    <row r="33916">
      <c r="C33916" s="15"/>
      <c r="E33916" s="8"/>
      <c r="G33916" s="8"/>
      <c r="J33916" s="8"/>
    </row>
    <row r="33917">
      <c r="C33917" s="15"/>
      <c r="E33917" s="8"/>
      <c r="G33917" s="8"/>
      <c r="J33917" s="8"/>
    </row>
    <row r="33918">
      <c r="C33918" s="15"/>
      <c r="E33918" s="8"/>
      <c r="G33918" s="8"/>
      <c r="J33918" s="8"/>
    </row>
    <row r="33919">
      <c r="C33919" s="15"/>
      <c r="E33919" s="8"/>
      <c r="G33919" s="8"/>
      <c r="J33919" s="8"/>
    </row>
    <row r="33920">
      <c r="C33920" s="15"/>
      <c r="E33920" s="8"/>
      <c r="G33920" s="8"/>
      <c r="J33920" s="8"/>
    </row>
    <row r="33921">
      <c r="C33921" s="15"/>
      <c r="E33921" s="8"/>
      <c r="G33921" s="8"/>
      <c r="J33921" s="8"/>
    </row>
    <row r="33922">
      <c r="C33922" s="15"/>
      <c r="E33922" s="8"/>
      <c r="G33922" s="8"/>
      <c r="J33922" s="8"/>
    </row>
    <row r="33923">
      <c r="C33923" s="15"/>
      <c r="E33923" s="8"/>
      <c r="G33923" s="8"/>
      <c r="J33923" s="8"/>
    </row>
    <row r="33924">
      <c r="C33924" s="15"/>
      <c r="E33924" s="8"/>
      <c r="G33924" s="8"/>
      <c r="J33924" s="8"/>
    </row>
    <row r="33925">
      <c r="C33925" s="15"/>
      <c r="E33925" s="8"/>
      <c r="G33925" s="8"/>
      <c r="J33925" s="8"/>
    </row>
    <row r="33926">
      <c r="C33926" s="15"/>
      <c r="E33926" s="8"/>
      <c r="G33926" s="8"/>
      <c r="J33926" s="8"/>
    </row>
    <row r="33927">
      <c r="C33927" s="15"/>
      <c r="E33927" s="8"/>
      <c r="G33927" s="8"/>
      <c r="J33927" s="8"/>
    </row>
    <row r="33928">
      <c r="C33928" s="15"/>
      <c r="E33928" s="8"/>
      <c r="G33928" s="8"/>
      <c r="J33928" s="8"/>
    </row>
    <row r="33929">
      <c r="C33929" s="15"/>
      <c r="E33929" s="8"/>
      <c r="G33929" s="8"/>
      <c r="J33929" s="8"/>
    </row>
    <row r="33930">
      <c r="C33930" s="15"/>
      <c r="E33930" s="8"/>
      <c r="G33930" s="8"/>
      <c r="J33930" s="8"/>
    </row>
    <row r="33931">
      <c r="C33931" s="15"/>
      <c r="E33931" s="8"/>
      <c r="G33931" s="8"/>
      <c r="J33931" s="8"/>
    </row>
    <row r="33932">
      <c r="C33932" s="15"/>
      <c r="E33932" s="8"/>
      <c r="G33932" s="8"/>
      <c r="J33932" s="8"/>
    </row>
    <row r="33933">
      <c r="C33933" s="15"/>
      <c r="E33933" s="8"/>
      <c r="G33933" s="8"/>
      <c r="J33933" s="8"/>
    </row>
    <row r="33934">
      <c r="C33934" s="15"/>
      <c r="E33934" s="8"/>
      <c r="G33934" s="8"/>
      <c r="J33934" s="8"/>
    </row>
    <row r="33935">
      <c r="C33935" s="15"/>
      <c r="E33935" s="8"/>
      <c r="G33935" s="8"/>
      <c r="J33935" s="8"/>
    </row>
    <row r="33936">
      <c r="C33936" s="15"/>
      <c r="E33936" s="8"/>
      <c r="G33936" s="8"/>
      <c r="J33936" s="8"/>
    </row>
    <row r="33937">
      <c r="C33937" s="15"/>
      <c r="E33937" s="8"/>
      <c r="G33937" s="8"/>
      <c r="J33937" s="8"/>
    </row>
    <row r="33938">
      <c r="C33938" s="15"/>
      <c r="E33938" s="8"/>
      <c r="G33938" s="8"/>
      <c r="J33938" s="8"/>
    </row>
    <row r="33939">
      <c r="C33939" s="15"/>
      <c r="E33939" s="8"/>
      <c r="G33939" s="8"/>
      <c r="J33939" s="8"/>
    </row>
    <row r="33940">
      <c r="C33940" s="15"/>
      <c r="E33940" s="8"/>
      <c r="G33940" s="8"/>
      <c r="J33940" s="8"/>
    </row>
    <row r="33941">
      <c r="C33941" s="15"/>
      <c r="E33941" s="8"/>
      <c r="G33941" s="8"/>
      <c r="J33941" s="8"/>
    </row>
    <row r="33942">
      <c r="C33942" s="15"/>
      <c r="E33942" s="8"/>
      <c r="G33942" s="8"/>
      <c r="J33942" s="8"/>
    </row>
    <row r="33943">
      <c r="C33943" s="15"/>
      <c r="E33943" s="8"/>
      <c r="G33943" s="8"/>
      <c r="J33943" s="8"/>
    </row>
    <row r="33944">
      <c r="C33944" s="15"/>
      <c r="E33944" s="8"/>
      <c r="G33944" s="8"/>
      <c r="J33944" s="8"/>
    </row>
    <row r="33945">
      <c r="C33945" s="15"/>
      <c r="E33945" s="8"/>
      <c r="G33945" s="8"/>
      <c r="J33945" s="8"/>
    </row>
    <row r="33946">
      <c r="C33946" s="15"/>
      <c r="E33946" s="8"/>
      <c r="G33946" s="8"/>
      <c r="J33946" s="8"/>
    </row>
    <row r="33947">
      <c r="C33947" s="15"/>
      <c r="E33947" s="8"/>
      <c r="G33947" s="8"/>
      <c r="J33947" s="8"/>
    </row>
    <row r="33948">
      <c r="C33948" s="15"/>
      <c r="E33948" s="8"/>
      <c r="G33948" s="8"/>
      <c r="J33948" s="8"/>
    </row>
    <row r="33949">
      <c r="C33949" s="15"/>
      <c r="E33949" s="8"/>
      <c r="G33949" s="8"/>
      <c r="J33949" s="8"/>
    </row>
    <row r="33950">
      <c r="C33950" s="15"/>
      <c r="E33950" s="8"/>
      <c r="G33950" s="8"/>
      <c r="J33950" s="8"/>
    </row>
    <row r="33951">
      <c r="C33951" s="15"/>
      <c r="E33951" s="8"/>
      <c r="G33951" s="8"/>
      <c r="J33951" s="8"/>
    </row>
    <row r="33952">
      <c r="C33952" s="15"/>
      <c r="E33952" s="8"/>
      <c r="G33952" s="8"/>
      <c r="J33952" s="8"/>
    </row>
    <row r="33953">
      <c r="C33953" s="15"/>
      <c r="E33953" s="8"/>
      <c r="G33953" s="8"/>
      <c r="J33953" s="8"/>
    </row>
    <row r="33954">
      <c r="C33954" s="15"/>
      <c r="E33954" s="8"/>
      <c r="G33954" s="8"/>
      <c r="J33954" s="8"/>
    </row>
    <row r="33955">
      <c r="C33955" s="15"/>
      <c r="E33955" s="8"/>
      <c r="G33955" s="8"/>
      <c r="J33955" s="8"/>
    </row>
    <row r="33956">
      <c r="C33956" s="15"/>
      <c r="E33956" s="8"/>
      <c r="G33956" s="8"/>
      <c r="J33956" s="8"/>
    </row>
    <row r="33957">
      <c r="C33957" s="15"/>
      <c r="E33957" s="8"/>
      <c r="G33957" s="8"/>
      <c r="J33957" s="8"/>
    </row>
    <row r="33958">
      <c r="C33958" s="15"/>
      <c r="E33958" s="8"/>
      <c r="G33958" s="8"/>
      <c r="J33958" s="8"/>
    </row>
    <row r="33959">
      <c r="C33959" s="15"/>
      <c r="E33959" s="8"/>
      <c r="G33959" s="8"/>
      <c r="J33959" s="8"/>
    </row>
    <row r="33960">
      <c r="C33960" s="15"/>
      <c r="E33960" s="8"/>
      <c r="G33960" s="8"/>
      <c r="J33960" s="8"/>
    </row>
    <row r="33961">
      <c r="C33961" s="15"/>
      <c r="E33961" s="8"/>
      <c r="G33961" s="8"/>
      <c r="J33961" s="8"/>
    </row>
    <row r="33962">
      <c r="C33962" s="15"/>
      <c r="E33962" s="8"/>
      <c r="G33962" s="8"/>
      <c r="J33962" s="8"/>
    </row>
    <row r="33963">
      <c r="C33963" s="15"/>
      <c r="E33963" s="8"/>
      <c r="G33963" s="8"/>
      <c r="J33963" s="8"/>
    </row>
    <row r="33964">
      <c r="C33964" s="15"/>
      <c r="E33964" s="8"/>
      <c r="G33964" s="8"/>
      <c r="J33964" s="8"/>
    </row>
    <row r="33965">
      <c r="C33965" s="15"/>
      <c r="E33965" s="8"/>
      <c r="G33965" s="8"/>
      <c r="J33965" s="8"/>
    </row>
    <row r="33966">
      <c r="C33966" s="15"/>
      <c r="E33966" s="8"/>
      <c r="G33966" s="8"/>
      <c r="J33966" s="8"/>
    </row>
    <row r="33967">
      <c r="C33967" s="15"/>
      <c r="E33967" s="8"/>
      <c r="G33967" s="8"/>
      <c r="J33967" s="8"/>
    </row>
    <row r="33968">
      <c r="C33968" s="15"/>
      <c r="E33968" s="8"/>
      <c r="G33968" s="8"/>
      <c r="J33968" s="8"/>
    </row>
    <row r="33969">
      <c r="C33969" s="15"/>
      <c r="E33969" s="8"/>
      <c r="G33969" s="8"/>
      <c r="J33969" s="8"/>
    </row>
    <row r="33970">
      <c r="C33970" s="15"/>
      <c r="E33970" s="8"/>
      <c r="G33970" s="8"/>
      <c r="J33970" s="8"/>
    </row>
    <row r="33971">
      <c r="C33971" s="15"/>
      <c r="E33971" s="8"/>
      <c r="G33971" s="8"/>
      <c r="J33971" s="8"/>
    </row>
    <row r="33972">
      <c r="C33972" s="15"/>
      <c r="E33972" s="8"/>
      <c r="G33972" s="8"/>
      <c r="J33972" s="8"/>
    </row>
    <row r="33973">
      <c r="C33973" s="15"/>
      <c r="E33973" s="8"/>
      <c r="G33973" s="8"/>
      <c r="J33973" s="8"/>
    </row>
    <row r="33974">
      <c r="C33974" s="15"/>
      <c r="E33974" s="8"/>
      <c r="G33974" s="8"/>
      <c r="J33974" s="8"/>
    </row>
    <row r="33975">
      <c r="C33975" s="15"/>
      <c r="E33975" s="8"/>
      <c r="G33975" s="8"/>
      <c r="J33975" s="8"/>
    </row>
    <row r="33976">
      <c r="C33976" s="15"/>
      <c r="E33976" s="8"/>
      <c r="G33976" s="8"/>
      <c r="J33976" s="8"/>
    </row>
    <row r="33977">
      <c r="C33977" s="15"/>
      <c r="E33977" s="8"/>
      <c r="G33977" s="8"/>
      <c r="J33977" s="8"/>
    </row>
    <row r="33978">
      <c r="C33978" s="15"/>
      <c r="E33978" s="8"/>
      <c r="G33978" s="8"/>
      <c r="J33978" s="8"/>
    </row>
    <row r="33979">
      <c r="C33979" s="15"/>
      <c r="E33979" s="8"/>
      <c r="G33979" s="8"/>
      <c r="J33979" s="8"/>
    </row>
    <row r="33980">
      <c r="C33980" s="15"/>
      <c r="E33980" s="8"/>
      <c r="G33980" s="8"/>
      <c r="J33980" s="8"/>
    </row>
    <row r="33981">
      <c r="C33981" s="15"/>
      <c r="E33981" s="8"/>
      <c r="G33981" s="8"/>
      <c r="J33981" s="8"/>
    </row>
    <row r="33982">
      <c r="C33982" s="15"/>
      <c r="E33982" s="8"/>
      <c r="G33982" s="8"/>
      <c r="J33982" s="8"/>
    </row>
    <row r="33983">
      <c r="C33983" s="15"/>
      <c r="E33983" s="8"/>
      <c r="G33983" s="8"/>
      <c r="J33983" s="8"/>
    </row>
    <row r="33984">
      <c r="C33984" s="15"/>
      <c r="E33984" s="8"/>
      <c r="G33984" s="8"/>
      <c r="J33984" s="8"/>
    </row>
    <row r="33985">
      <c r="C33985" s="15"/>
      <c r="E33985" s="8"/>
      <c r="G33985" s="8"/>
      <c r="J33985" s="8"/>
    </row>
    <row r="33986">
      <c r="C33986" s="15"/>
      <c r="E33986" s="8"/>
      <c r="G33986" s="8"/>
      <c r="J33986" s="8"/>
    </row>
    <row r="33987">
      <c r="C33987" s="15"/>
      <c r="E33987" s="8"/>
      <c r="G33987" s="8"/>
      <c r="J33987" s="8"/>
    </row>
    <row r="33988">
      <c r="C33988" s="15"/>
      <c r="E33988" s="8"/>
      <c r="G33988" s="8"/>
      <c r="J33988" s="8"/>
    </row>
    <row r="33989">
      <c r="C33989" s="15"/>
      <c r="E33989" s="8"/>
      <c r="G33989" s="8"/>
      <c r="J33989" s="8"/>
    </row>
    <row r="33990">
      <c r="C33990" s="15"/>
      <c r="E33990" s="8"/>
      <c r="G33990" s="8"/>
      <c r="J33990" s="8"/>
    </row>
    <row r="33991">
      <c r="C33991" s="15"/>
      <c r="E33991" s="8"/>
      <c r="G33991" s="8"/>
      <c r="J33991" s="8"/>
    </row>
    <row r="33992">
      <c r="C33992" s="15"/>
      <c r="E33992" s="8"/>
      <c r="G33992" s="8"/>
      <c r="J33992" s="8"/>
    </row>
    <row r="33993">
      <c r="C33993" s="15"/>
      <c r="E33993" s="8"/>
      <c r="G33993" s="8"/>
      <c r="J33993" s="8"/>
    </row>
    <row r="33994">
      <c r="C33994" s="15"/>
      <c r="E33994" s="8"/>
      <c r="G33994" s="8"/>
      <c r="J33994" s="8"/>
    </row>
    <row r="33995">
      <c r="C33995" s="15"/>
      <c r="E33995" s="8"/>
      <c r="G33995" s="8"/>
      <c r="J33995" s="8"/>
    </row>
    <row r="33996">
      <c r="C33996" s="15"/>
      <c r="E33996" s="8"/>
      <c r="G33996" s="8"/>
      <c r="J33996" s="8"/>
    </row>
    <row r="33997">
      <c r="C33997" s="15"/>
      <c r="E33997" s="8"/>
      <c r="G33997" s="8"/>
      <c r="J33997" s="8"/>
    </row>
    <row r="33998">
      <c r="C33998" s="15"/>
      <c r="E33998" s="8"/>
      <c r="G33998" s="8"/>
      <c r="J33998" s="8"/>
    </row>
    <row r="33999">
      <c r="C33999" s="15"/>
      <c r="E33999" s="8"/>
      <c r="G33999" s="8"/>
      <c r="J33999" s="8"/>
    </row>
    <row r="34000">
      <c r="C34000" s="15"/>
      <c r="E34000" s="8"/>
      <c r="G34000" s="8"/>
      <c r="J34000" s="8"/>
    </row>
    <row r="34001">
      <c r="C34001" s="15"/>
      <c r="E34001" s="8"/>
      <c r="G34001" s="8"/>
      <c r="J34001" s="8"/>
    </row>
    <row r="34002">
      <c r="C34002" s="15"/>
      <c r="E34002" s="8"/>
      <c r="G34002" s="8"/>
      <c r="J34002" s="8"/>
    </row>
    <row r="34003">
      <c r="C34003" s="15"/>
      <c r="E34003" s="8"/>
      <c r="G34003" s="8"/>
      <c r="J34003" s="8"/>
    </row>
    <row r="34004">
      <c r="C34004" s="15"/>
      <c r="E34004" s="8"/>
      <c r="G34004" s="8"/>
      <c r="J34004" s="8"/>
    </row>
    <row r="34005">
      <c r="C34005" s="15"/>
      <c r="E34005" s="8"/>
      <c r="G34005" s="8"/>
      <c r="J34005" s="8"/>
    </row>
    <row r="34006">
      <c r="C34006" s="15"/>
      <c r="E34006" s="8"/>
      <c r="G34006" s="8"/>
      <c r="J34006" s="8"/>
    </row>
    <row r="34007">
      <c r="C34007" s="15"/>
      <c r="E34007" s="8"/>
      <c r="G34007" s="8"/>
      <c r="J34007" s="8"/>
    </row>
    <row r="34008">
      <c r="C34008" s="15"/>
      <c r="E34008" s="8"/>
      <c r="G34008" s="8"/>
      <c r="J34008" s="8"/>
    </row>
    <row r="34009">
      <c r="C34009" s="15"/>
      <c r="E34009" s="8"/>
      <c r="G34009" s="8"/>
      <c r="J34009" s="8"/>
    </row>
    <row r="34010">
      <c r="C34010" s="15"/>
      <c r="E34010" s="8"/>
      <c r="G34010" s="8"/>
      <c r="J34010" s="8"/>
    </row>
    <row r="34011">
      <c r="C34011" s="15"/>
      <c r="E34011" s="8"/>
      <c r="G34011" s="8"/>
      <c r="J34011" s="8"/>
    </row>
    <row r="34012">
      <c r="C34012" s="15"/>
      <c r="E34012" s="8"/>
      <c r="G34012" s="8"/>
      <c r="J34012" s="8"/>
    </row>
    <row r="34013">
      <c r="C34013" s="15"/>
      <c r="E34013" s="8"/>
      <c r="G34013" s="8"/>
      <c r="J34013" s="8"/>
    </row>
    <row r="34014">
      <c r="C34014" s="15"/>
      <c r="E34014" s="8"/>
      <c r="G34014" s="8"/>
      <c r="J34014" s="8"/>
    </row>
    <row r="34015">
      <c r="C34015" s="15"/>
      <c r="E34015" s="8"/>
      <c r="G34015" s="8"/>
      <c r="J34015" s="8"/>
    </row>
    <row r="34016">
      <c r="C34016" s="15"/>
      <c r="E34016" s="8"/>
      <c r="G34016" s="8"/>
      <c r="J34016" s="8"/>
    </row>
    <row r="34017">
      <c r="C34017" s="15"/>
      <c r="E34017" s="8"/>
      <c r="G34017" s="8"/>
      <c r="J34017" s="8"/>
    </row>
    <row r="34018">
      <c r="C34018" s="15"/>
      <c r="E34018" s="8"/>
      <c r="G34018" s="8"/>
      <c r="J34018" s="8"/>
    </row>
    <row r="34019">
      <c r="C34019" s="15"/>
      <c r="E34019" s="8"/>
      <c r="G34019" s="8"/>
      <c r="J34019" s="8"/>
    </row>
    <row r="34020">
      <c r="C34020" s="15"/>
      <c r="E34020" s="8"/>
      <c r="G34020" s="8"/>
      <c r="J34020" s="8"/>
    </row>
    <row r="34021">
      <c r="C34021" s="15"/>
      <c r="E34021" s="8"/>
      <c r="G34021" s="8"/>
      <c r="J34021" s="8"/>
    </row>
    <row r="34022">
      <c r="C34022" s="15"/>
      <c r="E34022" s="8"/>
      <c r="G34022" s="8"/>
      <c r="J34022" s="8"/>
    </row>
    <row r="34023">
      <c r="C34023" s="15"/>
      <c r="E34023" s="8"/>
      <c r="G34023" s="8"/>
      <c r="J34023" s="8"/>
    </row>
    <row r="34024">
      <c r="C34024" s="15"/>
      <c r="E34024" s="8"/>
      <c r="G34024" s="8"/>
      <c r="J34024" s="8"/>
    </row>
    <row r="34025">
      <c r="C34025" s="15"/>
      <c r="E34025" s="8"/>
      <c r="G34025" s="8"/>
      <c r="J34025" s="8"/>
    </row>
    <row r="34026">
      <c r="C34026" s="15"/>
      <c r="E34026" s="8"/>
      <c r="G34026" s="8"/>
      <c r="J34026" s="8"/>
    </row>
    <row r="34027">
      <c r="C34027" s="15"/>
      <c r="E34027" s="8"/>
      <c r="G34027" s="8"/>
      <c r="J34027" s="8"/>
    </row>
    <row r="34028">
      <c r="C34028" s="15"/>
      <c r="E34028" s="8"/>
      <c r="G34028" s="8"/>
      <c r="J34028" s="8"/>
    </row>
    <row r="34029">
      <c r="C34029" s="15"/>
      <c r="E34029" s="8"/>
      <c r="G34029" s="8"/>
      <c r="J34029" s="8"/>
    </row>
    <row r="34030">
      <c r="C34030" s="15"/>
      <c r="E34030" s="8"/>
      <c r="G34030" s="8"/>
      <c r="J34030" s="8"/>
    </row>
    <row r="34031">
      <c r="C34031" s="15"/>
      <c r="E34031" s="8"/>
      <c r="G34031" s="8"/>
      <c r="J34031" s="8"/>
    </row>
    <row r="34032">
      <c r="C34032" s="15"/>
      <c r="E34032" s="8"/>
      <c r="G34032" s="8"/>
      <c r="J34032" s="8"/>
    </row>
    <row r="34033">
      <c r="C34033" s="15"/>
      <c r="E34033" s="8"/>
      <c r="G34033" s="8"/>
      <c r="J34033" s="8"/>
    </row>
    <row r="34034">
      <c r="C34034" s="15"/>
      <c r="E34034" s="8"/>
      <c r="G34034" s="8"/>
      <c r="J34034" s="8"/>
    </row>
    <row r="34035">
      <c r="C34035" s="15"/>
      <c r="E34035" s="8"/>
      <c r="G34035" s="8"/>
      <c r="J34035" s="8"/>
    </row>
    <row r="34036">
      <c r="C34036" s="15"/>
      <c r="E34036" s="8"/>
      <c r="G34036" s="8"/>
      <c r="J34036" s="8"/>
    </row>
    <row r="34037">
      <c r="C34037" s="15"/>
      <c r="E34037" s="8"/>
      <c r="G34037" s="8"/>
      <c r="J34037" s="8"/>
    </row>
    <row r="34038">
      <c r="C34038" s="15"/>
      <c r="E34038" s="8"/>
      <c r="G34038" s="8"/>
      <c r="J34038" s="8"/>
    </row>
    <row r="34039">
      <c r="C34039" s="15"/>
      <c r="E34039" s="8"/>
      <c r="G34039" s="8"/>
      <c r="J34039" s="8"/>
    </row>
    <row r="34040">
      <c r="C34040" s="15"/>
      <c r="E34040" s="8"/>
      <c r="G34040" s="8"/>
      <c r="J34040" s="8"/>
    </row>
    <row r="34041">
      <c r="C34041" s="15"/>
      <c r="E34041" s="8"/>
      <c r="G34041" s="8"/>
      <c r="J34041" s="8"/>
    </row>
    <row r="34042">
      <c r="C34042" s="15"/>
      <c r="E34042" s="8"/>
      <c r="G34042" s="8"/>
      <c r="J34042" s="8"/>
    </row>
    <row r="34043">
      <c r="C34043" s="15"/>
      <c r="E34043" s="8"/>
      <c r="G34043" s="8"/>
      <c r="J34043" s="8"/>
    </row>
    <row r="34044">
      <c r="C34044" s="15"/>
      <c r="E34044" s="8"/>
      <c r="G34044" s="8"/>
      <c r="J34044" s="8"/>
    </row>
    <row r="34045">
      <c r="C34045" s="15"/>
      <c r="E34045" s="8"/>
      <c r="G34045" s="8"/>
      <c r="J34045" s="8"/>
    </row>
    <row r="34046">
      <c r="C34046" s="15"/>
      <c r="E34046" s="8"/>
      <c r="G34046" s="8"/>
      <c r="J34046" s="8"/>
    </row>
    <row r="34047">
      <c r="C34047" s="15"/>
      <c r="E34047" s="8"/>
      <c r="G34047" s="8"/>
      <c r="J34047" s="8"/>
    </row>
    <row r="34048">
      <c r="C34048" s="15"/>
      <c r="E34048" s="8"/>
      <c r="G34048" s="8"/>
      <c r="J34048" s="8"/>
    </row>
    <row r="34049">
      <c r="C34049" s="15"/>
      <c r="E34049" s="8"/>
      <c r="G34049" s="8"/>
      <c r="J34049" s="8"/>
    </row>
    <row r="34050">
      <c r="C34050" s="15"/>
      <c r="E34050" s="8"/>
      <c r="G34050" s="8"/>
      <c r="J34050" s="8"/>
    </row>
    <row r="34051">
      <c r="C34051" s="15"/>
      <c r="E34051" s="8"/>
      <c r="G34051" s="8"/>
      <c r="J34051" s="8"/>
    </row>
    <row r="34052">
      <c r="C34052" s="15"/>
      <c r="E34052" s="8"/>
      <c r="G34052" s="8"/>
      <c r="J34052" s="8"/>
    </row>
    <row r="34053">
      <c r="C34053" s="15"/>
      <c r="E34053" s="8"/>
      <c r="G34053" s="8"/>
      <c r="J34053" s="8"/>
    </row>
    <row r="34054">
      <c r="C34054" s="15"/>
      <c r="E34054" s="8"/>
      <c r="G34054" s="8"/>
      <c r="J34054" s="8"/>
    </row>
    <row r="34055">
      <c r="C34055" s="15"/>
      <c r="E34055" s="8"/>
      <c r="G34055" s="8"/>
      <c r="J34055" s="8"/>
    </row>
    <row r="34056">
      <c r="C34056" s="15"/>
      <c r="E34056" s="8"/>
      <c r="G34056" s="8"/>
      <c r="J34056" s="8"/>
    </row>
    <row r="34057">
      <c r="C34057" s="15"/>
      <c r="E34057" s="8"/>
      <c r="G34057" s="8"/>
      <c r="J34057" s="8"/>
    </row>
    <row r="34058">
      <c r="C34058" s="15"/>
      <c r="E34058" s="8"/>
      <c r="G34058" s="8"/>
      <c r="J34058" s="8"/>
    </row>
    <row r="34059">
      <c r="C34059" s="15"/>
      <c r="E34059" s="8"/>
      <c r="G34059" s="8"/>
      <c r="J34059" s="8"/>
    </row>
    <row r="34060">
      <c r="C34060" s="15"/>
      <c r="E34060" s="8"/>
      <c r="G34060" s="8"/>
      <c r="J34060" s="8"/>
    </row>
    <row r="34061">
      <c r="C34061" s="15"/>
      <c r="E34061" s="8"/>
      <c r="G34061" s="8"/>
      <c r="J34061" s="8"/>
    </row>
    <row r="34062">
      <c r="C34062" s="15"/>
      <c r="E34062" s="8"/>
      <c r="G34062" s="8"/>
      <c r="J34062" s="8"/>
    </row>
    <row r="34063">
      <c r="C34063" s="15"/>
      <c r="E34063" s="8"/>
      <c r="G34063" s="8"/>
      <c r="J34063" s="8"/>
    </row>
    <row r="34064">
      <c r="C34064" s="15"/>
      <c r="E34064" s="8"/>
      <c r="G34064" s="8"/>
      <c r="J34064" s="8"/>
    </row>
    <row r="34065">
      <c r="C34065" s="15"/>
      <c r="E34065" s="8"/>
      <c r="G34065" s="8"/>
      <c r="J34065" s="8"/>
    </row>
    <row r="34066">
      <c r="C34066" s="15"/>
      <c r="E34066" s="8"/>
      <c r="G34066" s="8"/>
      <c r="J34066" s="8"/>
    </row>
    <row r="34067">
      <c r="C34067" s="15"/>
      <c r="E34067" s="8"/>
      <c r="G34067" s="8"/>
      <c r="J34067" s="8"/>
    </row>
    <row r="34068">
      <c r="C34068" s="15"/>
      <c r="E34068" s="8"/>
      <c r="G34068" s="8"/>
      <c r="J34068" s="8"/>
    </row>
    <row r="34069">
      <c r="C34069" s="15"/>
      <c r="E34069" s="8"/>
      <c r="G34069" s="8"/>
      <c r="J34069" s="8"/>
    </row>
    <row r="34070">
      <c r="C34070" s="15"/>
      <c r="E34070" s="8"/>
      <c r="G34070" s="8"/>
      <c r="J34070" s="8"/>
    </row>
    <row r="34071">
      <c r="C34071" s="15"/>
      <c r="E34071" s="8"/>
      <c r="G34071" s="8"/>
      <c r="J34071" s="8"/>
    </row>
    <row r="34072">
      <c r="C34072" s="15"/>
      <c r="E34072" s="8"/>
      <c r="G34072" s="8"/>
      <c r="J34072" s="8"/>
    </row>
    <row r="34073">
      <c r="C34073" s="15"/>
      <c r="E34073" s="8"/>
      <c r="G34073" s="8"/>
      <c r="J34073" s="8"/>
    </row>
    <row r="34074">
      <c r="C34074" s="15"/>
      <c r="E34074" s="8"/>
      <c r="G34074" s="8"/>
      <c r="J34074" s="8"/>
    </row>
    <row r="34075">
      <c r="C34075" s="15"/>
      <c r="E34075" s="8"/>
      <c r="G34075" s="8"/>
      <c r="J34075" s="8"/>
    </row>
    <row r="34076">
      <c r="C34076" s="15"/>
      <c r="E34076" s="8"/>
      <c r="G34076" s="8"/>
      <c r="J34076" s="8"/>
    </row>
    <row r="34077">
      <c r="C34077" s="15"/>
      <c r="E34077" s="8"/>
      <c r="G34077" s="8"/>
      <c r="J34077" s="8"/>
    </row>
    <row r="34078">
      <c r="C34078" s="15"/>
      <c r="E34078" s="8"/>
      <c r="G34078" s="8"/>
      <c r="J34078" s="8"/>
    </row>
    <row r="34079">
      <c r="C34079" s="15"/>
      <c r="E34079" s="8"/>
      <c r="G34079" s="8"/>
      <c r="J34079" s="8"/>
    </row>
    <row r="34080">
      <c r="C34080" s="15"/>
      <c r="E34080" s="8"/>
      <c r="G34080" s="8"/>
      <c r="J34080" s="8"/>
    </row>
    <row r="34081">
      <c r="C34081" s="15"/>
      <c r="E34081" s="8"/>
      <c r="G34081" s="8"/>
      <c r="J34081" s="8"/>
    </row>
    <row r="34082">
      <c r="C34082" s="15"/>
      <c r="E34082" s="8"/>
      <c r="G34082" s="8"/>
      <c r="J34082" s="8"/>
    </row>
    <row r="34083">
      <c r="C34083" s="15"/>
      <c r="E34083" s="8"/>
      <c r="G34083" s="8"/>
      <c r="J34083" s="8"/>
    </row>
    <row r="34084">
      <c r="C34084" s="15"/>
      <c r="E34084" s="8"/>
      <c r="G34084" s="8"/>
      <c r="J34084" s="8"/>
    </row>
    <row r="34085">
      <c r="C34085" s="15"/>
      <c r="E34085" s="8"/>
      <c r="G34085" s="8"/>
      <c r="J34085" s="8"/>
    </row>
    <row r="34086">
      <c r="C34086" s="15"/>
      <c r="E34086" s="8"/>
      <c r="G34086" s="8"/>
      <c r="J34086" s="8"/>
    </row>
    <row r="34087">
      <c r="C34087" s="15"/>
      <c r="E34087" s="8"/>
      <c r="G34087" s="8"/>
      <c r="J34087" s="8"/>
    </row>
    <row r="34088">
      <c r="C34088" s="15"/>
      <c r="E34088" s="8"/>
      <c r="G34088" s="8"/>
      <c r="J34088" s="8"/>
    </row>
    <row r="34089">
      <c r="C34089" s="15"/>
      <c r="E34089" s="8"/>
      <c r="G34089" s="8"/>
      <c r="J34089" s="8"/>
    </row>
    <row r="34090">
      <c r="C34090" s="15"/>
      <c r="E34090" s="8"/>
      <c r="G34090" s="8"/>
      <c r="J34090" s="8"/>
    </row>
    <row r="34091">
      <c r="C34091" s="15"/>
      <c r="E34091" s="8"/>
      <c r="G34091" s="8"/>
      <c r="J34091" s="8"/>
    </row>
    <row r="34092">
      <c r="C34092" s="15"/>
      <c r="E34092" s="8"/>
      <c r="G34092" s="8"/>
      <c r="J34092" s="8"/>
    </row>
    <row r="34093">
      <c r="C34093" s="15"/>
      <c r="E34093" s="8"/>
      <c r="G34093" s="8"/>
      <c r="J34093" s="8"/>
    </row>
    <row r="34094">
      <c r="C34094" s="15"/>
      <c r="E34094" s="8"/>
      <c r="G34094" s="8"/>
      <c r="J34094" s="8"/>
    </row>
    <row r="34095">
      <c r="C34095" s="15"/>
      <c r="E34095" s="8"/>
      <c r="G34095" s="8"/>
      <c r="J34095" s="8"/>
    </row>
    <row r="34096">
      <c r="C34096" s="15"/>
      <c r="E34096" s="8"/>
      <c r="G34096" s="8"/>
      <c r="J34096" s="8"/>
    </row>
    <row r="34097">
      <c r="C34097" s="15"/>
      <c r="E34097" s="8"/>
      <c r="G34097" s="8"/>
      <c r="J34097" s="8"/>
    </row>
    <row r="34098">
      <c r="C34098" s="15"/>
      <c r="E34098" s="8"/>
      <c r="G34098" s="8"/>
      <c r="J34098" s="8"/>
    </row>
    <row r="34099">
      <c r="C34099" s="15"/>
      <c r="E34099" s="8"/>
      <c r="G34099" s="8"/>
      <c r="J34099" s="8"/>
    </row>
    <row r="34100">
      <c r="C34100" s="15"/>
      <c r="E34100" s="8"/>
      <c r="G34100" s="8"/>
      <c r="J34100" s="8"/>
    </row>
    <row r="34101">
      <c r="C34101" s="15"/>
      <c r="E34101" s="8"/>
      <c r="G34101" s="8"/>
      <c r="J34101" s="8"/>
    </row>
    <row r="34102">
      <c r="C34102" s="15"/>
      <c r="E34102" s="8"/>
      <c r="G34102" s="8"/>
      <c r="J34102" s="8"/>
    </row>
    <row r="34103">
      <c r="C34103" s="15"/>
      <c r="E34103" s="8"/>
      <c r="G34103" s="8"/>
      <c r="J34103" s="8"/>
    </row>
    <row r="34104">
      <c r="C34104" s="15"/>
      <c r="E34104" s="8"/>
      <c r="G34104" s="8"/>
      <c r="J34104" s="8"/>
    </row>
    <row r="34105">
      <c r="C34105" s="15"/>
      <c r="E34105" s="8"/>
      <c r="G34105" s="8"/>
      <c r="J34105" s="8"/>
    </row>
    <row r="34106">
      <c r="C34106" s="15"/>
      <c r="E34106" s="8"/>
      <c r="G34106" s="8"/>
      <c r="J34106" s="8"/>
    </row>
    <row r="34107">
      <c r="C34107" s="15"/>
      <c r="E34107" s="8"/>
      <c r="G34107" s="8"/>
      <c r="J34107" s="8"/>
    </row>
    <row r="34108">
      <c r="C34108" s="15"/>
      <c r="E34108" s="8"/>
      <c r="G34108" s="8"/>
      <c r="J34108" s="8"/>
    </row>
    <row r="34109">
      <c r="C34109" s="15"/>
      <c r="E34109" s="8"/>
      <c r="G34109" s="8"/>
      <c r="J34109" s="8"/>
    </row>
    <row r="34110">
      <c r="C34110" s="15"/>
      <c r="E34110" s="8"/>
      <c r="G34110" s="8"/>
      <c r="J34110" s="8"/>
    </row>
    <row r="34111">
      <c r="C34111" s="15"/>
      <c r="E34111" s="8"/>
      <c r="G34111" s="8"/>
      <c r="J34111" s="8"/>
    </row>
    <row r="34112">
      <c r="C34112" s="15"/>
      <c r="E34112" s="8"/>
      <c r="G34112" s="8"/>
      <c r="J34112" s="8"/>
    </row>
    <row r="34113">
      <c r="C34113" s="15"/>
      <c r="E34113" s="8"/>
      <c r="G34113" s="8"/>
      <c r="J34113" s="8"/>
    </row>
    <row r="34114">
      <c r="C34114" s="15"/>
      <c r="E34114" s="8"/>
      <c r="G34114" s="8"/>
      <c r="J34114" s="8"/>
    </row>
    <row r="34115">
      <c r="C34115" s="15"/>
      <c r="E34115" s="8"/>
      <c r="G34115" s="8"/>
      <c r="J34115" s="8"/>
    </row>
    <row r="34116">
      <c r="C34116" s="15"/>
      <c r="E34116" s="8"/>
      <c r="G34116" s="8"/>
      <c r="J34116" s="8"/>
    </row>
    <row r="34117">
      <c r="C34117" s="15"/>
      <c r="E34117" s="8"/>
      <c r="G34117" s="8"/>
      <c r="J34117" s="8"/>
    </row>
    <row r="34118">
      <c r="C34118" s="15"/>
      <c r="E34118" s="8"/>
      <c r="G34118" s="8"/>
      <c r="J34118" s="8"/>
    </row>
    <row r="34119">
      <c r="C34119" s="15"/>
      <c r="E34119" s="8"/>
      <c r="G34119" s="8"/>
      <c r="J34119" s="8"/>
    </row>
    <row r="34120">
      <c r="C34120" s="15"/>
      <c r="E34120" s="8"/>
      <c r="G34120" s="8"/>
      <c r="J34120" s="8"/>
    </row>
    <row r="34121">
      <c r="C34121" s="15"/>
      <c r="E34121" s="8"/>
      <c r="G34121" s="8"/>
      <c r="J34121" s="8"/>
    </row>
    <row r="34122">
      <c r="C34122" s="15"/>
      <c r="E34122" s="8"/>
      <c r="G34122" s="8"/>
      <c r="J34122" s="8"/>
    </row>
    <row r="34123">
      <c r="C34123" s="15"/>
      <c r="E34123" s="8"/>
      <c r="G34123" s="8"/>
      <c r="J34123" s="8"/>
    </row>
    <row r="34124">
      <c r="C34124" s="15"/>
      <c r="E34124" s="8"/>
      <c r="G34124" s="8"/>
      <c r="J34124" s="8"/>
    </row>
    <row r="34125">
      <c r="C34125" s="15"/>
      <c r="E34125" s="8"/>
      <c r="G34125" s="8"/>
      <c r="J34125" s="8"/>
    </row>
    <row r="34126">
      <c r="C34126" s="15"/>
      <c r="E34126" s="8"/>
      <c r="G34126" s="8"/>
      <c r="J34126" s="8"/>
    </row>
    <row r="34127">
      <c r="C34127" s="15"/>
      <c r="E34127" s="8"/>
      <c r="G34127" s="8"/>
      <c r="J34127" s="8"/>
    </row>
    <row r="34128">
      <c r="C34128" s="15"/>
      <c r="E34128" s="8"/>
      <c r="G34128" s="8"/>
      <c r="J34128" s="8"/>
    </row>
    <row r="34129">
      <c r="C34129" s="15"/>
      <c r="E34129" s="8"/>
      <c r="G34129" s="8"/>
      <c r="J34129" s="8"/>
    </row>
    <row r="34130">
      <c r="C34130" s="15"/>
      <c r="E34130" s="8"/>
      <c r="G34130" s="8"/>
      <c r="J34130" s="8"/>
    </row>
    <row r="34131">
      <c r="C34131" s="15"/>
      <c r="E34131" s="8"/>
      <c r="G34131" s="8"/>
      <c r="J34131" s="8"/>
    </row>
    <row r="34132">
      <c r="C34132" s="15"/>
      <c r="E34132" s="8"/>
      <c r="G34132" s="8"/>
      <c r="J34132" s="8"/>
    </row>
    <row r="34133">
      <c r="C34133" s="15"/>
      <c r="E34133" s="8"/>
      <c r="G34133" s="8"/>
      <c r="J34133" s="8"/>
    </row>
    <row r="34134">
      <c r="C34134" s="15"/>
      <c r="E34134" s="8"/>
      <c r="G34134" s="8"/>
      <c r="J34134" s="8"/>
    </row>
    <row r="34135">
      <c r="C34135" s="15"/>
      <c r="E34135" s="8"/>
      <c r="G34135" s="8"/>
      <c r="J34135" s="8"/>
    </row>
    <row r="34136">
      <c r="C34136" s="15"/>
      <c r="E34136" s="8"/>
      <c r="G34136" s="8"/>
      <c r="J34136" s="8"/>
    </row>
    <row r="34137">
      <c r="C34137" s="15"/>
      <c r="E34137" s="8"/>
      <c r="G34137" s="8"/>
      <c r="J34137" s="8"/>
    </row>
    <row r="34138">
      <c r="C34138" s="15"/>
      <c r="E34138" s="8"/>
      <c r="G34138" s="8"/>
      <c r="J34138" s="8"/>
    </row>
    <row r="34139">
      <c r="C34139" s="15"/>
      <c r="E34139" s="8"/>
      <c r="G34139" s="8"/>
      <c r="J34139" s="8"/>
    </row>
    <row r="34140">
      <c r="C34140" s="15"/>
      <c r="E34140" s="8"/>
      <c r="G34140" s="8"/>
      <c r="J34140" s="8"/>
    </row>
    <row r="34141">
      <c r="C34141" s="15"/>
      <c r="E34141" s="8"/>
      <c r="G34141" s="8"/>
      <c r="J34141" s="8"/>
    </row>
    <row r="34142">
      <c r="C34142" s="15"/>
      <c r="E34142" s="8"/>
      <c r="G34142" s="8"/>
      <c r="J34142" s="8"/>
    </row>
    <row r="34143">
      <c r="C34143" s="15"/>
      <c r="E34143" s="8"/>
      <c r="G34143" s="8"/>
      <c r="J34143" s="8"/>
    </row>
    <row r="34144">
      <c r="C34144" s="15"/>
      <c r="E34144" s="8"/>
      <c r="G34144" s="8"/>
      <c r="J34144" s="8"/>
    </row>
    <row r="34145">
      <c r="C34145" s="15"/>
      <c r="E34145" s="8"/>
      <c r="G34145" s="8"/>
      <c r="J34145" s="8"/>
    </row>
    <row r="34146">
      <c r="C34146" s="15"/>
      <c r="E34146" s="8"/>
      <c r="G34146" s="8"/>
      <c r="J34146" s="8"/>
    </row>
    <row r="34147">
      <c r="C34147" s="15"/>
      <c r="E34147" s="8"/>
      <c r="G34147" s="8"/>
      <c r="J34147" s="8"/>
    </row>
    <row r="34148">
      <c r="C34148" s="15"/>
      <c r="E34148" s="8"/>
      <c r="G34148" s="8"/>
      <c r="J34148" s="8"/>
    </row>
    <row r="34149">
      <c r="C34149" s="15"/>
      <c r="E34149" s="8"/>
      <c r="G34149" s="8"/>
      <c r="J34149" s="8"/>
    </row>
    <row r="34150">
      <c r="C34150" s="15"/>
      <c r="E34150" s="8"/>
      <c r="G34150" s="8"/>
      <c r="J34150" s="8"/>
    </row>
    <row r="34151">
      <c r="C34151" s="15"/>
      <c r="E34151" s="8"/>
      <c r="G34151" s="8"/>
      <c r="J34151" s="8"/>
    </row>
    <row r="34152">
      <c r="C34152" s="15"/>
      <c r="E34152" s="8"/>
      <c r="G34152" s="8"/>
      <c r="J34152" s="8"/>
    </row>
    <row r="34153">
      <c r="C34153" s="15"/>
      <c r="E34153" s="8"/>
      <c r="G34153" s="8"/>
      <c r="J34153" s="8"/>
    </row>
    <row r="34154">
      <c r="C34154" s="15"/>
      <c r="E34154" s="8"/>
      <c r="G34154" s="8"/>
      <c r="J34154" s="8"/>
    </row>
    <row r="34155">
      <c r="C34155" s="15"/>
      <c r="E34155" s="8"/>
      <c r="G34155" s="8"/>
      <c r="J34155" s="8"/>
    </row>
    <row r="34156">
      <c r="C34156" s="15"/>
      <c r="E34156" s="8"/>
      <c r="G34156" s="8"/>
      <c r="J34156" s="8"/>
    </row>
    <row r="34157">
      <c r="C34157" s="15"/>
      <c r="E34157" s="8"/>
      <c r="G34157" s="8"/>
      <c r="J34157" s="8"/>
    </row>
    <row r="34158">
      <c r="C34158" s="15"/>
      <c r="E34158" s="8"/>
      <c r="G34158" s="8"/>
      <c r="J34158" s="8"/>
    </row>
    <row r="34159">
      <c r="C34159" s="15"/>
      <c r="E34159" s="8"/>
      <c r="G34159" s="8"/>
      <c r="J34159" s="8"/>
    </row>
    <row r="34160">
      <c r="C34160" s="15"/>
      <c r="E34160" s="8"/>
      <c r="G34160" s="8"/>
      <c r="J34160" s="8"/>
    </row>
    <row r="34161">
      <c r="C34161" s="15"/>
      <c r="E34161" s="8"/>
      <c r="G34161" s="8"/>
      <c r="J34161" s="8"/>
    </row>
    <row r="34162">
      <c r="C34162" s="15"/>
      <c r="E34162" s="8"/>
      <c r="G34162" s="8"/>
      <c r="J34162" s="8"/>
    </row>
    <row r="34163">
      <c r="C34163" s="15"/>
      <c r="E34163" s="8"/>
      <c r="G34163" s="8"/>
      <c r="J34163" s="8"/>
    </row>
    <row r="34164">
      <c r="C34164" s="15"/>
      <c r="E34164" s="8"/>
      <c r="G34164" s="8"/>
      <c r="J34164" s="8"/>
    </row>
    <row r="34165">
      <c r="C34165" s="15"/>
      <c r="E34165" s="8"/>
      <c r="G34165" s="8"/>
      <c r="J34165" s="8"/>
    </row>
    <row r="34166">
      <c r="C34166" s="15"/>
      <c r="E34166" s="8"/>
      <c r="G34166" s="8"/>
      <c r="J34166" s="8"/>
    </row>
    <row r="34167">
      <c r="C34167" s="15"/>
      <c r="E34167" s="8"/>
      <c r="G34167" s="8"/>
      <c r="J34167" s="8"/>
    </row>
    <row r="34168">
      <c r="C34168" s="15"/>
      <c r="E34168" s="8"/>
      <c r="G34168" s="8"/>
      <c r="J34168" s="8"/>
    </row>
    <row r="34169">
      <c r="C34169" s="15"/>
      <c r="E34169" s="8"/>
      <c r="G34169" s="8"/>
      <c r="J34169" s="8"/>
    </row>
    <row r="34170">
      <c r="C34170" s="15"/>
      <c r="E34170" s="8"/>
      <c r="G34170" s="8"/>
      <c r="J34170" s="8"/>
    </row>
    <row r="34171">
      <c r="C34171" s="15"/>
      <c r="E34171" s="8"/>
      <c r="G34171" s="8"/>
      <c r="J34171" s="8"/>
    </row>
    <row r="34172">
      <c r="C34172" s="15"/>
      <c r="E34172" s="8"/>
      <c r="G34172" s="8"/>
      <c r="J34172" s="8"/>
    </row>
    <row r="34173">
      <c r="C34173" s="15"/>
      <c r="E34173" s="8"/>
      <c r="G34173" s="8"/>
      <c r="J34173" s="8"/>
    </row>
    <row r="34174">
      <c r="C34174" s="15"/>
      <c r="E34174" s="8"/>
      <c r="G34174" s="8"/>
      <c r="J34174" s="8"/>
    </row>
    <row r="34175">
      <c r="C34175" s="15"/>
      <c r="E34175" s="8"/>
      <c r="G34175" s="8"/>
      <c r="J34175" s="8"/>
    </row>
    <row r="34176">
      <c r="C34176" s="15"/>
      <c r="E34176" s="8"/>
      <c r="G34176" s="8"/>
      <c r="J34176" s="8"/>
    </row>
    <row r="34177">
      <c r="C34177" s="15"/>
      <c r="E34177" s="8"/>
      <c r="G34177" s="8"/>
      <c r="J34177" s="8"/>
    </row>
    <row r="34178">
      <c r="C34178" s="15"/>
      <c r="E34178" s="8"/>
      <c r="G34178" s="8"/>
      <c r="J34178" s="8"/>
    </row>
    <row r="34179">
      <c r="C34179" s="15"/>
      <c r="E34179" s="8"/>
      <c r="G34179" s="8"/>
      <c r="J34179" s="8"/>
    </row>
    <row r="34180">
      <c r="C34180" s="15"/>
      <c r="E34180" s="8"/>
      <c r="G34180" s="8"/>
      <c r="J34180" s="8"/>
    </row>
    <row r="34181">
      <c r="C34181" s="15"/>
      <c r="E34181" s="8"/>
      <c r="G34181" s="8"/>
      <c r="J34181" s="8"/>
    </row>
    <row r="34182">
      <c r="C34182" s="15"/>
      <c r="E34182" s="8"/>
      <c r="G34182" s="8"/>
      <c r="J34182" s="8"/>
    </row>
    <row r="34183">
      <c r="C34183" s="15"/>
      <c r="E34183" s="8"/>
      <c r="G34183" s="8"/>
      <c r="J34183" s="8"/>
    </row>
    <row r="34184">
      <c r="C34184" s="15"/>
      <c r="E34184" s="8"/>
      <c r="G34184" s="8"/>
      <c r="J34184" s="8"/>
    </row>
    <row r="34185">
      <c r="C34185" s="15"/>
      <c r="E34185" s="8"/>
      <c r="G34185" s="8"/>
      <c r="J34185" s="8"/>
    </row>
    <row r="34186">
      <c r="C34186" s="15"/>
      <c r="E34186" s="8"/>
      <c r="G34186" s="8"/>
      <c r="J34186" s="8"/>
    </row>
    <row r="34187">
      <c r="C34187" s="15"/>
      <c r="E34187" s="8"/>
      <c r="G34187" s="8"/>
      <c r="J34187" s="8"/>
    </row>
    <row r="34188">
      <c r="C34188" s="15"/>
      <c r="E34188" s="8"/>
      <c r="G34188" s="8"/>
      <c r="J34188" s="8"/>
    </row>
    <row r="34189">
      <c r="C34189" s="15"/>
      <c r="E34189" s="8"/>
      <c r="G34189" s="8"/>
      <c r="J34189" s="8"/>
    </row>
    <row r="34190">
      <c r="C34190" s="15"/>
      <c r="E34190" s="8"/>
      <c r="G34190" s="8"/>
      <c r="J34190" s="8"/>
    </row>
    <row r="34191">
      <c r="C34191" s="15"/>
      <c r="E34191" s="8"/>
      <c r="G34191" s="8"/>
      <c r="J34191" s="8"/>
    </row>
    <row r="34192">
      <c r="C34192" s="15"/>
      <c r="E34192" s="8"/>
      <c r="G34192" s="8"/>
      <c r="J34192" s="8"/>
    </row>
    <row r="34193">
      <c r="C34193" s="15"/>
      <c r="E34193" s="8"/>
      <c r="G34193" s="8"/>
      <c r="J34193" s="8"/>
    </row>
    <row r="34194">
      <c r="C34194" s="15"/>
      <c r="E34194" s="8"/>
      <c r="G34194" s="8"/>
      <c r="J34194" s="8"/>
    </row>
    <row r="34195">
      <c r="C34195" s="15"/>
      <c r="E34195" s="8"/>
      <c r="G34195" s="8"/>
      <c r="J34195" s="8"/>
    </row>
    <row r="34196">
      <c r="C34196" s="15"/>
      <c r="E34196" s="8"/>
      <c r="G34196" s="8"/>
      <c r="J34196" s="8"/>
    </row>
    <row r="34197">
      <c r="C34197" s="15"/>
      <c r="E34197" s="8"/>
      <c r="G34197" s="8"/>
      <c r="J34197" s="8"/>
    </row>
    <row r="34198">
      <c r="C34198" s="15"/>
      <c r="E34198" s="8"/>
      <c r="G34198" s="8"/>
      <c r="J34198" s="8"/>
    </row>
    <row r="34199">
      <c r="C34199" s="15"/>
      <c r="E34199" s="8"/>
      <c r="G34199" s="8"/>
      <c r="J34199" s="8"/>
    </row>
    <row r="34200">
      <c r="C34200" s="15"/>
      <c r="E34200" s="8"/>
      <c r="G34200" s="8"/>
      <c r="J34200" s="8"/>
    </row>
    <row r="34201">
      <c r="C34201" s="15"/>
      <c r="E34201" s="8"/>
      <c r="G34201" s="8"/>
      <c r="J34201" s="8"/>
    </row>
    <row r="34202">
      <c r="C34202" s="15"/>
      <c r="E34202" s="8"/>
      <c r="G34202" s="8"/>
      <c r="J34202" s="8"/>
    </row>
    <row r="34203">
      <c r="C34203" s="15"/>
      <c r="E34203" s="8"/>
      <c r="G34203" s="8"/>
      <c r="J34203" s="8"/>
    </row>
    <row r="34204">
      <c r="C34204" s="15"/>
      <c r="E34204" s="8"/>
      <c r="G34204" s="8"/>
      <c r="J34204" s="8"/>
    </row>
    <row r="34205">
      <c r="C34205" s="15"/>
      <c r="E34205" s="8"/>
      <c r="G34205" s="8"/>
      <c r="J34205" s="8"/>
    </row>
    <row r="34206">
      <c r="C34206" s="15"/>
      <c r="E34206" s="8"/>
      <c r="G34206" s="8"/>
      <c r="J34206" s="8"/>
    </row>
    <row r="34207">
      <c r="C34207" s="15"/>
      <c r="E34207" s="8"/>
      <c r="G34207" s="8"/>
      <c r="J34207" s="8"/>
    </row>
    <row r="34208">
      <c r="C34208" s="15"/>
      <c r="E34208" s="8"/>
      <c r="G34208" s="8"/>
      <c r="J34208" s="8"/>
    </row>
    <row r="34209">
      <c r="C34209" s="15"/>
      <c r="E34209" s="8"/>
      <c r="G34209" s="8"/>
      <c r="J34209" s="8"/>
    </row>
    <row r="34210">
      <c r="C34210" s="15"/>
      <c r="E34210" s="8"/>
      <c r="G34210" s="8"/>
      <c r="J34210" s="8"/>
    </row>
    <row r="34211">
      <c r="C34211" s="15"/>
      <c r="E34211" s="8"/>
      <c r="G34211" s="8"/>
      <c r="J34211" s="8"/>
    </row>
    <row r="34212">
      <c r="C34212" s="15"/>
      <c r="E34212" s="8"/>
      <c r="G34212" s="8"/>
      <c r="J34212" s="8"/>
    </row>
    <row r="34213">
      <c r="C34213" s="15"/>
      <c r="E34213" s="8"/>
      <c r="G34213" s="8"/>
      <c r="J34213" s="8"/>
    </row>
    <row r="34214">
      <c r="C34214" s="15"/>
      <c r="E34214" s="8"/>
      <c r="G34214" s="8"/>
      <c r="J34214" s="8"/>
    </row>
    <row r="34215">
      <c r="C34215" s="15"/>
      <c r="E34215" s="8"/>
      <c r="G34215" s="8"/>
      <c r="J34215" s="8"/>
    </row>
    <row r="34216">
      <c r="C34216" s="15"/>
      <c r="E34216" s="8"/>
      <c r="G34216" s="8"/>
      <c r="J34216" s="8"/>
    </row>
    <row r="34217">
      <c r="C34217" s="15"/>
      <c r="E34217" s="8"/>
      <c r="G34217" s="8"/>
      <c r="J34217" s="8"/>
    </row>
    <row r="34218">
      <c r="C34218" s="15"/>
      <c r="E34218" s="8"/>
      <c r="G34218" s="8"/>
      <c r="J34218" s="8"/>
    </row>
    <row r="34219">
      <c r="C34219" s="15"/>
      <c r="E34219" s="8"/>
      <c r="G34219" s="8"/>
      <c r="J34219" s="8"/>
    </row>
    <row r="34220">
      <c r="C34220" s="15"/>
      <c r="E34220" s="8"/>
      <c r="G34220" s="8"/>
      <c r="J34220" s="8"/>
    </row>
    <row r="34221">
      <c r="C34221" s="15"/>
      <c r="E34221" s="8"/>
      <c r="G34221" s="8"/>
      <c r="J34221" s="8"/>
    </row>
    <row r="34222">
      <c r="C34222" s="15"/>
      <c r="E34222" s="8"/>
      <c r="G34222" s="8"/>
      <c r="J34222" s="8"/>
    </row>
    <row r="34223">
      <c r="C34223" s="15"/>
      <c r="E34223" s="8"/>
      <c r="G34223" s="8"/>
      <c r="J34223" s="8"/>
    </row>
    <row r="34224">
      <c r="C34224" s="15"/>
      <c r="E34224" s="8"/>
      <c r="G34224" s="8"/>
      <c r="J34224" s="8"/>
    </row>
    <row r="34225">
      <c r="C34225" s="15"/>
      <c r="E34225" s="8"/>
      <c r="G34225" s="8"/>
      <c r="J34225" s="8"/>
    </row>
    <row r="34226">
      <c r="C34226" s="15"/>
      <c r="E34226" s="8"/>
      <c r="G34226" s="8"/>
      <c r="J34226" s="8"/>
    </row>
    <row r="34227">
      <c r="C34227" s="15"/>
      <c r="E34227" s="8"/>
      <c r="G34227" s="8"/>
      <c r="J34227" s="8"/>
    </row>
    <row r="34228">
      <c r="C34228" s="15"/>
      <c r="E34228" s="8"/>
      <c r="G34228" s="8"/>
      <c r="J34228" s="8"/>
    </row>
    <row r="34229">
      <c r="C34229" s="15"/>
      <c r="E34229" s="8"/>
      <c r="G34229" s="8"/>
      <c r="J34229" s="8"/>
    </row>
    <row r="34230">
      <c r="C34230" s="15"/>
      <c r="E34230" s="8"/>
      <c r="G34230" s="8"/>
      <c r="J34230" s="8"/>
    </row>
    <row r="34231">
      <c r="C34231" s="15"/>
      <c r="E34231" s="8"/>
      <c r="G34231" s="8"/>
      <c r="J34231" s="8"/>
    </row>
    <row r="34232">
      <c r="C34232" s="15"/>
      <c r="E34232" s="8"/>
      <c r="G34232" s="8"/>
      <c r="J34232" s="8"/>
    </row>
    <row r="34233">
      <c r="C34233" s="15"/>
      <c r="E34233" s="8"/>
      <c r="G34233" s="8"/>
      <c r="J34233" s="8"/>
    </row>
    <row r="34234">
      <c r="C34234" s="15"/>
      <c r="E34234" s="8"/>
      <c r="G34234" s="8"/>
      <c r="J34234" s="8"/>
    </row>
    <row r="34235">
      <c r="C34235" s="15"/>
      <c r="E34235" s="8"/>
      <c r="G34235" s="8"/>
      <c r="J34235" s="8"/>
    </row>
    <row r="34236">
      <c r="C34236" s="15"/>
      <c r="E34236" s="8"/>
      <c r="G34236" s="8"/>
      <c r="J34236" s="8"/>
    </row>
    <row r="34237">
      <c r="C34237" s="15"/>
      <c r="E34237" s="8"/>
      <c r="G34237" s="8"/>
      <c r="J34237" s="8"/>
    </row>
    <row r="34238">
      <c r="C34238" s="15"/>
      <c r="E34238" s="8"/>
      <c r="G34238" s="8"/>
      <c r="J34238" s="8"/>
    </row>
    <row r="34239">
      <c r="C34239" s="15"/>
      <c r="E34239" s="8"/>
      <c r="G34239" s="8"/>
      <c r="J34239" s="8"/>
    </row>
    <row r="34240">
      <c r="C34240" s="15"/>
      <c r="E34240" s="8"/>
      <c r="G34240" s="8"/>
      <c r="J34240" s="8"/>
    </row>
    <row r="34241">
      <c r="C34241" s="15"/>
      <c r="E34241" s="8"/>
      <c r="G34241" s="8"/>
      <c r="J34241" s="8"/>
    </row>
    <row r="34242">
      <c r="C34242" s="15"/>
      <c r="E34242" s="8"/>
      <c r="G34242" s="8"/>
      <c r="J34242" s="8"/>
    </row>
    <row r="34243">
      <c r="C34243" s="15"/>
      <c r="E34243" s="8"/>
      <c r="G34243" s="8"/>
      <c r="J34243" s="8"/>
    </row>
    <row r="34244">
      <c r="C34244" s="15"/>
      <c r="E34244" s="8"/>
      <c r="G34244" s="8"/>
      <c r="J34244" s="8"/>
    </row>
    <row r="34245">
      <c r="C34245" s="15"/>
      <c r="E34245" s="8"/>
      <c r="G34245" s="8"/>
      <c r="J34245" s="8"/>
    </row>
    <row r="34246">
      <c r="C34246" s="15"/>
      <c r="E34246" s="8"/>
      <c r="G34246" s="8"/>
      <c r="J34246" s="8"/>
    </row>
    <row r="34247">
      <c r="C34247" s="15"/>
      <c r="E34247" s="8"/>
      <c r="G34247" s="8"/>
      <c r="J34247" s="8"/>
    </row>
    <row r="34248">
      <c r="C34248" s="15"/>
      <c r="E34248" s="8"/>
      <c r="G34248" s="8"/>
      <c r="J34248" s="8"/>
    </row>
    <row r="34249">
      <c r="C34249" s="15"/>
      <c r="E34249" s="8"/>
      <c r="G34249" s="8"/>
      <c r="J34249" s="8"/>
    </row>
    <row r="34250">
      <c r="C34250" s="15"/>
      <c r="E34250" s="8"/>
      <c r="G34250" s="8"/>
      <c r="J34250" s="8"/>
    </row>
    <row r="34251">
      <c r="C34251" s="15"/>
      <c r="E34251" s="8"/>
      <c r="G34251" s="8"/>
      <c r="J34251" s="8"/>
    </row>
    <row r="34252">
      <c r="C34252" s="15"/>
      <c r="E34252" s="8"/>
      <c r="G34252" s="8"/>
      <c r="J34252" s="8"/>
    </row>
    <row r="34253">
      <c r="C34253" s="15"/>
      <c r="E34253" s="8"/>
      <c r="G34253" s="8"/>
      <c r="J34253" s="8"/>
    </row>
    <row r="34254">
      <c r="C34254" s="15"/>
      <c r="E34254" s="8"/>
      <c r="G34254" s="8"/>
      <c r="J34254" s="8"/>
    </row>
    <row r="34255">
      <c r="C34255" s="15"/>
      <c r="E34255" s="8"/>
      <c r="G34255" s="8"/>
      <c r="J34255" s="8"/>
    </row>
    <row r="34256">
      <c r="C34256" s="15"/>
      <c r="E34256" s="8"/>
      <c r="G34256" s="8"/>
      <c r="J34256" s="8"/>
    </row>
    <row r="34257">
      <c r="C34257" s="15"/>
      <c r="E34257" s="8"/>
      <c r="G34257" s="8"/>
      <c r="J34257" s="8"/>
    </row>
    <row r="34258">
      <c r="C34258" s="15"/>
      <c r="E34258" s="8"/>
      <c r="G34258" s="8"/>
      <c r="J34258" s="8"/>
    </row>
    <row r="34259">
      <c r="C34259" s="15"/>
      <c r="E34259" s="8"/>
      <c r="G34259" s="8"/>
      <c r="J34259" s="8"/>
    </row>
    <row r="34260">
      <c r="C34260" s="15"/>
      <c r="E34260" s="8"/>
      <c r="G34260" s="8"/>
      <c r="J34260" s="8"/>
    </row>
    <row r="34261">
      <c r="C34261" s="15"/>
      <c r="E34261" s="8"/>
      <c r="G34261" s="8"/>
      <c r="J34261" s="8"/>
    </row>
    <row r="34262">
      <c r="C34262" s="15"/>
      <c r="E34262" s="8"/>
      <c r="G34262" s="8"/>
      <c r="J34262" s="8"/>
    </row>
    <row r="34263">
      <c r="C34263" s="15"/>
      <c r="E34263" s="8"/>
      <c r="G34263" s="8"/>
      <c r="J34263" s="8"/>
    </row>
    <row r="34264">
      <c r="C34264" s="15"/>
      <c r="E34264" s="8"/>
      <c r="G34264" s="8"/>
      <c r="J34264" s="8"/>
    </row>
    <row r="34265">
      <c r="C34265" s="15"/>
      <c r="E34265" s="8"/>
      <c r="G34265" s="8"/>
      <c r="J34265" s="8"/>
    </row>
    <row r="34266">
      <c r="C34266" s="15"/>
      <c r="E34266" s="8"/>
      <c r="G34266" s="8"/>
      <c r="J34266" s="8"/>
    </row>
    <row r="34267">
      <c r="C34267" s="15"/>
      <c r="E34267" s="8"/>
      <c r="G34267" s="8"/>
      <c r="J34267" s="8"/>
    </row>
    <row r="34268">
      <c r="C34268" s="15"/>
      <c r="E34268" s="8"/>
      <c r="G34268" s="8"/>
      <c r="J34268" s="8"/>
    </row>
    <row r="34269">
      <c r="C34269" s="15"/>
      <c r="E34269" s="8"/>
      <c r="G34269" s="8"/>
      <c r="J34269" s="8"/>
    </row>
    <row r="34270">
      <c r="C34270" s="15"/>
      <c r="E34270" s="8"/>
      <c r="G34270" s="8"/>
      <c r="J34270" s="8"/>
    </row>
    <row r="34271">
      <c r="C34271" s="15"/>
      <c r="E34271" s="8"/>
      <c r="G34271" s="8"/>
      <c r="J34271" s="8"/>
    </row>
    <row r="34272">
      <c r="C34272" s="15"/>
      <c r="E34272" s="8"/>
      <c r="G34272" s="8"/>
      <c r="J34272" s="8"/>
    </row>
    <row r="34273">
      <c r="C34273" s="15"/>
      <c r="E34273" s="8"/>
      <c r="G34273" s="8"/>
      <c r="J34273" s="8"/>
    </row>
    <row r="34274">
      <c r="C34274" s="15"/>
      <c r="E34274" s="8"/>
      <c r="G34274" s="8"/>
      <c r="J34274" s="8"/>
    </row>
    <row r="34275">
      <c r="C34275" s="15"/>
      <c r="E34275" s="8"/>
      <c r="G34275" s="8"/>
      <c r="J34275" s="8"/>
    </row>
    <row r="34276">
      <c r="C34276" s="15"/>
      <c r="E34276" s="8"/>
      <c r="G34276" s="8"/>
      <c r="J34276" s="8"/>
    </row>
    <row r="34277">
      <c r="C34277" s="15"/>
      <c r="E34277" s="8"/>
      <c r="G34277" s="8"/>
      <c r="J34277" s="8"/>
    </row>
    <row r="34278">
      <c r="C34278" s="15"/>
      <c r="E34278" s="8"/>
      <c r="G34278" s="8"/>
      <c r="J34278" s="8"/>
    </row>
    <row r="34279">
      <c r="C34279" s="15"/>
      <c r="E34279" s="8"/>
      <c r="G34279" s="8"/>
      <c r="J34279" s="8"/>
    </row>
    <row r="34280">
      <c r="C34280" s="15"/>
      <c r="E34280" s="8"/>
      <c r="G34280" s="8"/>
      <c r="J34280" s="8"/>
    </row>
    <row r="34281">
      <c r="C34281" s="15"/>
      <c r="E34281" s="8"/>
      <c r="G34281" s="8"/>
      <c r="J34281" s="8"/>
    </row>
    <row r="34282">
      <c r="C34282" s="15"/>
      <c r="E34282" s="8"/>
      <c r="G34282" s="8"/>
      <c r="J34282" s="8"/>
    </row>
    <row r="34283">
      <c r="C34283" s="15"/>
      <c r="E34283" s="8"/>
      <c r="G34283" s="8"/>
      <c r="J34283" s="8"/>
    </row>
    <row r="34284">
      <c r="C34284" s="15"/>
      <c r="E34284" s="8"/>
      <c r="G34284" s="8"/>
      <c r="J34284" s="8"/>
    </row>
    <row r="34285">
      <c r="C34285" s="15"/>
      <c r="E34285" s="8"/>
      <c r="G34285" s="8"/>
      <c r="J34285" s="8"/>
    </row>
    <row r="34286">
      <c r="C34286" s="15"/>
      <c r="E34286" s="8"/>
      <c r="G34286" s="8"/>
      <c r="J34286" s="8"/>
    </row>
    <row r="34287">
      <c r="C34287" s="15"/>
      <c r="E34287" s="8"/>
      <c r="G34287" s="8"/>
      <c r="J34287" s="8"/>
    </row>
    <row r="34288">
      <c r="C34288" s="15"/>
      <c r="E34288" s="8"/>
      <c r="G34288" s="8"/>
      <c r="J34288" s="8"/>
    </row>
    <row r="34289">
      <c r="C34289" s="15"/>
      <c r="E34289" s="8"/>
      <c r="G34289" s="8"/>
      <c r="J34289" s="8"/>
    </row>
    <row r="34290">
      <c r="C34290" s="15"/>
      <c r="E34290" s="8"/>
      <c r="G34290" s="8"/>
      <c r="J34290" s="8"/>
    </row>
    <row r="34291">
      <c r="C34291" s="15"/>
      <c r="E34291" s="8"/>
      <c r="G34291" s="8"/>
      <c r="J34291" s="8"/>
    </row>
    <row r="34292">
      <c r="C34292" s="15"/>
      <c r="E34292" s="8"/>
      <c r="G34292" s="8"/>
      <c r="J34292" s="8"/>
    </row>
    <row r="34293">
      <c r="C34293" s="15"/>
      <c r="E34293" s="8"/>
      <c r="G34293" s="8"/>
      <c r="J34293" s="8"/>
    </row>
    <row r="34294">
      <c r="C34294" s="15"/>
      <c r="E34294" s="8"/>
      <c r="G34294" s="8"/>
      <c r="J34294" s="8"/>
    </row>
    <row r="34295">
      <c r="C34295" s="15"/>
      <c r="E34295" s="8"/>
      <c r="G34295" s="8"/>
      <c r="J34295" s="8"/>
    </row>
    <row r="34296">
      <c r="C34296" s="15"/>
      <c r="E34296" s="8"/>
      <c r="G34296" s="8"/>
      <c r="J34296" s="8"/>
    </row>
    <row r="34297">
      <c r="C34297" s="15"/>
      <c r="E34297" s="8"/>
      <c r="G34297" s="8"/>
      <c r="J34297" s="8"/>
    </row>
    <row r="34298">
      <c r="C34298" s="15"/>
      <c r="E34298" s="8"/>
      <c r="G34298" s="8"/>
      <c r="J34298" s="8"/>
    </row>
    <row r="34299">
      <c r="C34299" s="15"/>
      <c r="E34299" s="8"/>
      <c r="G34299" s="8"/>
      <c r="J34299" s="8"/>
    </row>
    <row r="34300">
      <c r="C34300" s="15"/>
      <c r="E34300" s="8"/>
      <c r="G34300" s="8"/>
      <c r="J34300" s="8"/>
    </row>
    <row r="34301">
      <c r="C34301" s="15"/>
      <c r="E34301" s="8"/>
      <c r="G34301" s="8"/>
      <c r="J34301" s="8"/>
    </row>
    <row r="34302">
      <c r="C34302" s="15"/>
      <c r="E34302" s="8"/>
      <c r="G34302" s="8"/>
      <c r="J34302" s="8"/>
    </row>
    <row r="34303">
      <c r="C34303" s="15"/>
      <c r="E34303" s="8"/>
      <c r="G34303" s="8"/>
      <c r="J34303" s="8"/>
    </row>
    <row r="34304">
      <c r="C34304" s="15"/>
      <c r="E34304" s="8"/>
      <c r="G34304" s="8"/>
      <c r="J34304" s="8"/>
    </row>
    <row r="34305">
      <c r="C34305" s="15"/>
      <c r="E34305" s="8"/>
      <c r="G34305" s="8"/>
      <c r="J34305" s="8"/>
    </row>
    <row r="34306">
      <c r="C34306" s="15"/>
      <c r="E34306" s="8"/>
      <c r="G34306" s="8"/>
      <c r="J34306" s="8"/>
    </row>
    <row r="34307">
      <c r="C34307" s="15"/>
      <c r="E34307" s="8"/>
      <c r="G34307" s="8"/>
      <c r="J34307" s="8"/>
    </row>
    <row r="34308">
      <c r="C34308" s="15"/>
      <c r="E34308" s="8"/>
      <c r="G34308" s="8"/>
      <c r="J34308" s="8"/>
    </row>
    <row r="34309">
      <c r="C34309" s="15"/>
      <c r="E34309" s="8"/>
      <c r="G34309" s="8"/>
      <c r="J34309" s="8"/>
    </row>
    <row r="34310">
      <c r="C34310" s="15"/>
      <c r="E34310" s="8"/>
      <c r="G34310" s="8"/>
      <c r="J34310" s="8"/>
    </row>
    <row r="34311">
      <c r="C34311" s="15"/>
      <c r="E34311" s="8"/>
      <c r="G34311" s="8"/>
      <c r="J34311" s="8"/>
    </row>
    <row r="34312">
      <c r="C34312" s="15"/>
      <c r="E34312" s="8"/>
      <c r="G34312" s="8"/>
      <c r="J34312" s="8"/>
    </row>
    <row r="34313">
      <c r="C34313" s="15"/>
      <c r="E34313" s="8"/>
      <c r="G34313" s="8"/>
      <c r="J34313" s="8"/>
    </row>
    <row r="34314">
      <c r="C34314" s="15"/>
      <c r="E34314" s="8"/>
      <c r="G34314" s="8"/>
      <c r="J34314" s="8"/>
    </row>
    <row r="34315">
      <c r="C34315" s="15"/>
      <c r="E34315" s="8"/>
      <c r="G34315" s="8"/>
      <c r="J34315" s="8"/>
    </row>
    <row r="34316">
      <c r="C34316" s="15"/>
      <c r="E34316" s="8"/>
      <c r="G34316" s="8"/>
      <c r="J34316" s="8"/>
    </row>
    <row r="34317">
      <c r="C34317" s="15"/>
      <c r="E34317" s="8"/>
      <c r="G34317" s="8"/>
      <c r="J34317" s="8"/>
    </row>
    <row r="34318">
      <c r="C34318" s="15"/>
      <c r="E34318" s="8"/>
      <c r="G34318" s="8"/>
      <c r="J34318" s="8"/>
    </row>
    <row r="34319">
      <c r="C34319" s="15"/>
      <c r="E34319" s="8"/>
      <c r="G34319" s="8"/>
      <c r="J34319" s="8"/>
    </row>
    <row r="34320">
      <c r="C34320" s="15"/>
      <c r="E34320" s="8"/>
      <c r="G34320" s="8"/>
      <c r="J34320" s="8"/>
    </row>
    <row r="34321">
      <c r="C34321" s="15"/>
      <c r="E34321" s="8"/>
      <c r="G34321" s="8"/>
      <c r="J34321" s="8"/>
    </row>
    <row r="34322">
      <c r="C34322" s="15"/>
      <c r="E34322" s="8"/>
      <c r="G34322" s="8"/>
      <c r="J34322" s="8"/>
    </row>
    <row r="34323">
      <c r="C34323" s="15"/>
      <c r="E34323" s="8"/>
      <c r="G34323" s="8"/>
      <c r="J34323" s="8"/>
    </row>
    <row r="34324">
      <c r="C34324" s="15"/>
      <c r="E34324" s="8"/>
      <c r="G34324" s="8"/>
      <c r="J34324" s="8"/>
    </row>
    <row r="34325">
      <c r="C34325" s="15"/>
      <c r="E34325" s="8"/>
      <c r="G34325" s="8"/>
      <c r="J34325" s="8"/>
    </row>
    <row r="34326">
      <c r="C34326" s="15"/>
      <c r="E34326" s="8"/>
      <c r="G34326" s="8"/>
      <c r="J34326" s="8"/>
    </row>
    <row r="34327">
      <c r="C34327" s="15"/>
      <c r="E34327" s="8"/>
      <c r="G34327" s="8"/>
      <c r="J34327" s="8"/>
    </row>
    <row r="34328">
      <c r="C34328" s="15"/>
      <c r="E34328" s="8"/>
      <c r="G34328" s="8"/>
      <c r="J34328" s="8"/>
    </row>
    <row r="34329">
      <c r="C34329" s="15"/>
      <c r="E34329" s="8"/>
      <c r="G34329" s="8"/>
      <c r="J34329" s="8"/>
    </row>
    <row r="34330">
      <c r="C34330" s="15"/>
      <c r="E34330" s="8"/>
      <c r="G34330" s="8"/>
      <c r="J34330" s="8"/>
    </row>
    <row r="34331">
      <c r="C34331" s="15"/>
      <c r="E34331" s="8"/>
      <c r="G34331" s="8"/>
      <c r="J34331" s="8"/>
    </row>
    <row r="34332">
      <c r="C34332" s="15"/>
      <c r="E34332" s="8"/>
      <c r="G34332" s="8"/>
      <c r="J34332" s="8"/>
    </row>
    <row r="34333">
      <c r="C34333" s="15"/>
      <c r="E34333" s="8"/>
      <c r="G34333" s="8"/>
      <c r="J34333" s="8"/>
    </row>
    <row r="34334">
      <c r="C34334" s="15"/>
      <c r="E34334" s="8"/>
      <c r="G34334" s="8"/>
      <c r="J34334" s="8"/>
    </row>
    <row r="34335">
      <c r="C34335" s="15"/>
      <c r="E34335" s="8"/>
      <c r="G34335" s="8"/>
      <c r="J34335" s="8"/>
    </row>
    <row r="34336">
      <c r="C34336" s="15"/>
      <c r="E34336" s="8"/>
      <c r="G34336" s="8"/>
      <c r="J34336" s="8"/>
    </row>
    <row r="34337">
      <c r="C34337" s="15"/>
      <c r="E34337" s="8"/>
      <c r="G34337" s="8"/>
      <c r="J34337" s="8"/>
    </row>
    <row r="34338">
      <c r="C34338" s="15"/>
      <c r="E34338" s="8"/>
      <c r="G34338" s="8"/>
      <c r="J34338" s="8"/>
    </row>
    <row r="34339">
      <c r="C34339" s="15"/>
      <c r="E34339" s="8"/>
      <c r="G34339" s="8"/>
      <c r="J34339" s="8"/>
    </row>
    <row r="34340">
      <c r="C34340" s="15"/>
      <c r="E34340" s="8"/>
      <c r="G34340" s="8"/>
      <c r="J34340" s="8"/>
    </row>
    <row r="34341">
      <c r="C34341" s="15"/>
      <c r="E34341" s="8"/>
      <c r="G34341" s="8"/>
      <c r="J34341" s="8"/>
    </row>
    <row r="34342">
      <c r="C34342" s="15"/>
      <c r="E34342" s="8"/>
      <c r="G34342" s="8"/>
      <c r="J34342" s="8"/>
    </row>
    <row r="34343">
      <c r="C34343" s="15"/>
      <c r="E34343" s="8"/>
      <c r="G34343" s="8"/>
      <c r="J34343" s="8"/>
    </row>
    <row r="34344">
      <c r="C34344" s="15"/>
      <c r="E34344" s="8"/>
      <c r="G34344" s="8"/>
      <c r="J34344" s="8"/>
    </row>
    <row r="34345">
      <c r="C34345" s="15"/>
      <c r="E34345" s="8"/>
      <c r="G34345" s="8"/>
      <c r="J34345" s="8"/>
    </row>
    <row r="34346">
      <c r="C34346" s="15"/>
      <c r="E34346" s="8"/>
      <c r="G34346" s="8"/>
      <c r="J34346" s="8"/>
    </row>
    <row r="34347">
      <c r="C34347" s="15"/>
      <c r="E34347" s="8"/>
      <c r="G34347" s="8"/>
      <c r="J34347" s="8"/>
    </row>
    <row r="34348">
      <c r="C34348" s="15"/>
      <c r="E34348" s="8"/>
      <c r="G34348" s="8"/>
      <c r="J34348" s="8"/>
    </row>
    <row r="34349">
      <c r="C34349" s="15"/>
      <c r="E34349" s="8"/>
      <c r="G34349" s="8"/>
      <c r="J34349" s="8"/>
    </row>
    <row r="34350">
      <c r="C34350" s="15"/>
      <c r="E34350" s="8"/>
      <c r="G34350" s="8"/>
      <c r="J34350" s="8"/>
    </row>
    <row r="34351">
      <c r="C34351" s="15"/>
      <c r="E34351" s="8"/>
      <c r="G34351" s="8"/>
      <c r="J34351" s="8"/>
    </row>
    <row r="34352">
      <c r="C34352" s="15"/>
      <c r="E34352" s="8"/>
      <c r="G34352" s="8"/>
      <c r="J34352" s="8"/>
    </row>
    <row r="34353">
      <c r="C34353" s="15"/>
      <c r="E34353" s="8"/>
      <c r="G34353" s="8"/>
      <c r="J34353" s="8"/>
    </row>
    <row r="34354">
      <c r="C34354" s="15"/>
      <c r="E34354" s="8"/>
      <c r="G34354" s="8"/>
      <c r="J34354" s="8"/>
    </row>
    <row r="34355">
      <c r="C34355" s="15"/>
      <c r="E34355" s="8"/>
      <c r="G34355" s="8"/>
      <c r="J34355" s="8"/>
    </row>
    <row r="34356">
      <c r="C34356" s="15"/>
      <c r="E34356" s="8"/>
      <c r="G34356" s="8"/>
      <c r="J34356" s="8"/>
    </row>
    <row r="34357">
      <c r="C34357" s="15"/>
      <c r="E34357" s="8"/>
      <c r="G34357" s="8"/>
      <c r="J34357" s="8"/>
    </row>
    <row r="34358">
      <c r="C34358" s="15"/>
      <c r="E34358" s="8"/>
      <c r="G34358" s="8"/>
      <c r="J34358" s="8"/>
    </row>
    <row r="34359">
      <c r="C34359" s="15"/>
      <c r="E34359" s="8"/>
      <c r="G34359" s="8"/>
      <c r="J34359" s="8"/>
    </row>
    <row r="34360">
      <c r="C34360" s="15"/>
      <c r="E34360" s="8"/>
      <c r="G34360" s="8"/>
      <c r="J34360" s="8"/>
    </row>
    <row r="34361">
      <c r="C34361" s="15"/>
      <c r="E34361" s="8"/>
      <c r="G34361" s="8"/>
      <c r="J34361" s="8"/>
    </row>
    <row r="34362">
      <c r="C34362" s="15"/>
      <c r="E34362" s="8"/>
      <c r="G34362" s="8"/>
      <c r="J34362" s="8"/>
    </row>
    <row r="34363">
      <c r="C34363" s="15"/>
      <c r="E34363" s="8"/>
      <c r="G34363" s="8"/>
      <c r="J34363" s="8"/>
    </row>
    <row r="34364">
      <c r="C34364" s="15"/>
      <c r="E34364" s="8"/>
      <c r="G34364" s="8"/>
      <c r="J34364" s="8"/>
    </row>
    <row r="34365">
      <c r="C34365" s="15"/>
      <c r="E34365" s="8"/>
      <c r="G34365" s="8"/>
      <c r="J34365" s="8"/>
    </row>
    <row r="34366">
      <c r="C34366" s="15"/>
      <c r="E34366" s="8"/>
      <c r="G34366" s="8"/>
      <c r="J34366" s="8"/>
    </row>
    <row r="34367">
      <c r="C34367" s="15"/>
      <c r="E34367" s="8"/>
      <c r="G34367" s="8"/>
      <c r="J34367" s="8"/>
    </row>
    <row r="34368">
      <c r="C34368" s="15"/>
      <c r="E34368" s="8"/>
      <c r="G34368" s="8"/>
      <c r="J34368" s="8"/>
    </row>
    <row r="34369">
      <c r="C34369" s="15"/>
      <c r="E34369" s="8"/>
      <c r="G34369" s="8"/>
      <c r="J34369" s="8"/>
    </row>
    <row r="34370">
      <c r="C34370" s="15"/>
      <c r="E34370" s="8"/>
      <c r="G34370" s="8"/>
      <c r="J34370" s="8"/>
    </row>
    <row r="34371">
      <c r="C34371" s="15"/>
      <c r="E34371" s="8"/>
      <c r="G34371" s="8"/>
      <c r="J34371" s="8"/>
    </row>
    <row r="34372">
      <c r="C34372" s="15"/>
      <c r="E34372" s="8"/>
      <c r="G34372" s="8"/>
      <c r="J34372" s="8"/>
    </row>
    <row r="34373">
      <c r="C34373" s="15"/>
      <c r="E34373" s="8"/>
      <c r="G34373" s="8"/>
      <c r="J34373" s="8"/>
    </row>
    <row r="34374">
      <c r="C34374" s="15"/>
      <c r="E34374" s="8"/>
      <c r="G34374" s="8"/>
      <c r="J34374" s="8"/>
    </row>
    <row r="34375">
      <c r="C34375" s="15"/>
      <c r="E34375" s="8"/>
      <c r="G34375" s="8"/>
      <c r="J34375" s="8"/>
    </row>
    <row r="34376">
      <c r="C34376" s="15"/>
      <c r="E34376" s="8"/>
      <c r="G34376" s="8"/>
      <c r="J34376" s="8"/>
    </row>
    <row r="34377">
      <c r="C34377" s="15"/>
      <c r="E34377" s="8"/>
      <c r="G34377" s="8"/>
      <c r="J34377" s="8"/>
    </row>
    <row r="34378">
      <c r="C34378" s="15"/>
      <c r="E34378" s="8"/>
      <c r="G34378" s="8"/>
      <c r="J34378" s="8"/>
    </row>
    <row r="34379">
      <c r="C34379" s="15"/>
      <c r="E34379" s="8"/>
      <c r="G34379" s="8"/>
      <c r="J34379" s="8"/>
    </row>
    <row r="34380">
      <c r="C34380" s="15"/>
      <c r="E34380" s="8"/>
      <c r="G34380" s="8"/>
      <c r="J34380" s="8"/>
    </row>
    <row r="34381">
      <c r="C34381" s="15"/>
      <c r="E34381" s="8"/>
      <c r="G34381" s="8"/>
      <c r="J34381" s="8"/>
    </row>
    <row r="34382">
      <c r="C34382" s="15"/>
      <c r="E34382" s="8"/>
      <c r="G34382" s="8"/>
      <c r="J34382" s="8"/>
    </row>
    <row r="34383">
      <c r="C34383" s="15"/>
      <c r="E34383" s="8"/>
      <c r="G34383" s="8"/>
      <c r="J34383" s="8"/>
    </row>
    <row r="34384">
      <c r="C34384" s="15"/>
      <c r="E34384" s="8"/>
      <c r="G34384" s="8"/>
      <c r="J34384" s="8"/>
    </row>
    <row r="34385">
      <c r="C34385" s="15"/>
      <c r="E34385" s="8"/>
      <c r="G34385" s="8"/>
      <c r="J34385" s="8"/>
    </row>
    <row r="34386">
      <c r="C34386" s="15"/>
      <c r="E34386" s="8"/>
      <c r="G34386" s="8"/>
      <c r="J34386" s="8"/>
    </row>
    <row r="34387">
      <c r="C34387" s="15"/>
      <c r="E34387" s="8"/>
      <c r="G34387" s="8"/>
      <c r="J34387" s="8"/>
    </row>
    <row r="34388">
      <c r="C34388" s="15"/>
      <c r="E34388" s="8"/>
      <c r="G34388" s="8"/>
      <c r="J34388" s="8"/>
    </row>
    <row r="34389">
      <c r="C34389" s="15"/>
      <c r="E34389" s="8"/>
      <c r="G34389" s="8"/>
      <c r="J34389" s="8"/>
    </row>
    <row r="34390">
      <c r="C34390" s="15"/>
      <c r="E34390" s="8"/>
      <c r="G34390" s="8"/>
      <c r="J34390" s="8"/>
    </row>
    <row r="34391">
      <c r="C34391" s="15"/>
      <c r="E34391" s="8"/>
      <c r="G34391" s="8"/>
      <c r="J34391" s="8"/>
    </row>
    <row r="34392">
      <c r="C34392" s="15"/>
      <c r="E34392" s="8"/>
      <c r="G34392" s="8"/>
      <c r="J34392" s="8"/>
    </row>
    <row r="34393">
      <c r="C34393" s="15"/>
      <c r="E34393" s="8"/>
      <c r="G34393" s="8"/>
      <c r="J34393" s="8"/>
    </row>
    <row r="34394">
      <c r="C34394" s="15"/>
      <c r="E34394" s="8"/>
      <c r="G34394" s="8"/>
      <c r="J34394" s="8"/>
    </row>
    <row r="34395">
      <c r="C34395" s="15"/>
      <c r="E34395" s="8"/>
      <c r="G34395" s="8"/>
      <c r="J34395" s="8"/>
    </row>
    <row r="34396">
      <c r="C34396" s="15"/>
      <c r="E34396" s="8"/>
      <c r="G34396" s="8"/>
      <c r="J34396" s="8"/>
    </row>
    <row r="34397">
      <c r="C34397" s="15"/>
      <c r="E34397" s="8"/>
      <c r="G34397" s="8"/>
      <c r="J34397" s="8"/>
    </row>
    <row r="34398">
      <c r="C34398" s="15"/>
      <c r="E34398" s="8"/>
      <c r="G34398" s="8"/>
      <c r="J34398" s="8"/>
    </row>
    <row r="34399">
      <c r="C34399" s="15"/>
      <c r="E34399" s="8"/>
      <c r="G34399" s="8"/>
      <c r="J34399" s="8"/>
    </row>
    <row r="34400">
      <c r="C34400" s="15"/>
      <c r="E34400" s="8"/>
      <c r="G34400" s="8"/>
      <c r="J34400" s="8"/>
    </row>
    <row r="34401">
      <c r="C34401" s="15"/>
      <c r="E34401" s="8"/>
      <c r="G34401" s="8"/>
      <c r="J34401" s="8"/>
    </row>
    <row r="34402">
      <c r="C34402" s="15"/>
      <c r="E34402" s="8"/>
      <c r="G34402" s="8"/>
      <c r="J34402" s="8"/>
    </row>
    <row r="34403">
      <c r="C34403" s="15"/>
      <c r="E34403" s="8"/>
      <c r="G34403" s="8"/>
      <c r="J34403" s="8"/>
    </row>
    <row r="34404">
      <c r="C34404" s="15"/>
      <c r="E34404" s="8"/>
      <c r="G34404" s="8"/>
      <c r="J34404" s="8"/>
    </row>
    <row r="34405">
      <c r="C34405" s="15"/>
      <c r="E34405" s="8"/>
      <c r="G34405" s="8"/>
      <c r="J34405" s="8"/>
    </row>
    <row r="34406">
      <c r="C34406" s="15"/>
      <c r="E34406" s="8"/>
      <c r="G34406" s="8"/>
      <c r="J34406" s="8"/>
    </row>
    <row r="34407">
      <c r="C34407" s="15"/>
      <c r="E34407" s="8"/>
      <c r="G34407" s="8"/>
      <c r="J34407" s="8"/>
    </row>
    <row r="34408">
      <c r="C34408" s="15"/>
      <c r="E34408" s="8"/>
      <c r="G34408" s="8"/>
      <c r="J34408" s="8"/>
    </row>
    <row r="34409">
      <c r="C34409" s="15"/>
      <c r="E34409" s="8"/>
      <c r="G34409" s="8"/>
      <c r="J34409" s="8"/>
    </row>
    <row r="34410">
      <c r="C34410" s="15"/>
      <c r="E34410" s="8"/>
      <c r="G34410" s="8"/>
      <c r="J34410" s="8"/>
    </row>
    <row r="34411">
      <c r="C34411" s="15"/>
      <c r="E34411" s="8"/>
      <c r="G34411" s="8"/>
      <c r="J34411" s="8"/>
    </row>
    <row r="34412">
      <c r="C34412" s="15"/>
      <c r="E34412" s="8"/>
      <c r="G34412" s="8"/>
      <c r="J34412" s="8"/>
    </row>
    <row r="34413">
      <c r="C34413" s="15"/>
      <c r="E34413" s="8"/>
      <c r="G34413" s="8"/>
      <c r="J34413" s="8"/>
    </row>
    <row r="34414">
      <c r="C34414" s="15"/>
      <c r="E34414" s="8"/>
      <c r="G34414" s="8"/>
      <c r="J34414" s="8"/>
    </row>
    <row r="34415">
      <c r="C34415" s="15"/>
      <c r="E34415" s="8"/>
      <c r="G34415" s="8"/>
      <c r="J34415" s="8"/>
    </row>
    <row r="34416">
      <c r="C34416" s="15"/>
      <c r="E34416" s="8"/>
      <c r="G34416" s="8"/>
      <c r="J34416" s="8"/>
    </row>
    <row r="34417">
      <c r="C34417" s="15"/>
      <c r="E34417" s="8"/>
      <c r="G34417" s="8"/>
      <c r="J34417" s="8"/>
    </row>
    <row r="34418">
      <c r="C34418" s="15"/>
      <c r="E34418" s="8"/>
      <c r="G34418" s="8"/>
      <c r="J34418" s="8"/>
    </row>
    <row r="34419">
      <c r="C34419" s="15"/>
      <c r="E34419" s="8"/>
      <c r="G34419" s="8"/>
      <c r="J34419" s="8"/>
    </row>
    <row r="34420">
      <c r="C34420" s="15"/>
      <c r="E34420" s="8"/>
      <c r="G34420" s="8"/>
      <c r="J34420" s="8"/>
    </row>
    <row r="34421">
      <c r="C34421" s="15"/>
      <c r="E34421" s="8"/>
      <c r="G34421" s="8"/>
      <c r="J34421" s="8"/>
    </row>
    <row r="34422">
      <c r="C34422" s="15"/>
      <c r="E34422" s="8"/>
      <c r="G34422" s="8"/>
      <c r="J34422" s="8"/>
    </row>
    <row r="34423">
      <c r="C34423" s="15"/>
      <c r="E34423" s="8"/>
      <c r="G34423" s="8"/>
      <c r="J34423" s="8"/>
    </row>
    <row r="34424">
      <c r="C34424" s="15"/>
      <c r="E34424" s="8"/>
      <c r="G34424" s="8"/>
      <c r="J34424" s="8"/>
    </row>
    <row r="34425">
      <c r="C34425" s="15"/>
      <c r="E34425" s="8"/>
      <c r="G34425" s="8"/>
      <c r="J34425" s="8"/>
    </row>
    <row r="34426">
      <c r="C34426" s="15"/>
      <c r="E34426" s="8"/>
      <c r="G34426" s="8"/>
      <c r="J34426" s="8"/>
    </row>
    <row r="34427">
      <c r="C34427" s="15"/>
      <c r="E34427" s="8"/>
      <c r="G34427" s="8"/>
      <c r="J34427" s="8"/>
    </row>
    <row r="34428">
      <c r="C34428" s="15"/>
      <c r="E34428" s="8"/>
      <c r="G34428" s="8"/>
      <c r="J34428" s="8"/>
    </row>
    <row r="34429">
      <c r="C34429" s="15"/>
      <c r="E34429" s="8"/>
      <c r="G34429" s="8"/>
      <c r="J34429" s="8"/>
    </row>
    <row r="34430">
      <c r="C34430" s="15"/>
      <c r="E34430" s="8"/>
      <c r="G34430" s="8"/>
      <c r="J34430" s="8"/>
    </row>
    <row r="34431">
      <c r="C34431" s="15"/>
      <c r="E34431" s="8"/>
      <c r="G34431" s="8"/>
      <c r="J34431" s="8"/>
    </row>
    <row r="34432">
      <c r="C34432" s="15"/>
      <c r="E34432" s="8"/>
      <c r="G34432" s="8"/>
      <c r="J34432" s="8"/>
    </row>
    <row r="34433">
      <c r="C34433" s="15"/>
      <c r="E34433" s="8"/>
      <c r="G34433" s="8"/>
      <c r="J34433" s="8"/>
    </row>
    <row r="34434">
      <c r="C34434" s="15"/>
      <c r="E34434" s="8"/>
      <c r="G34434" s="8"/>
      <c r="J34434" s="8"/>
    </row>
    <row r="34435">
      <c r="C34435" s="15"/>
      <c r="E34435" s="8"/>
      <c r="G34435" s="8"/>
      <c r="J34435" s="8"/>
    </row>
    <row r="34436">
      <c r="C34436" s="15"/>
      <c r="E34436" s="8"/>
      <c r="G34436" s="8"/>
      <c r="J34436" s="8"/>
    </row>
    <row r="34437">
      <c r="C34437" s="15"/>
      <c r="E34437" s="8"/>
      <c r="G34437" s="8"/>
      <c r="J34437" s="8"/>
    </row>
    <row r="34438">
      <c r="C34438" s="15"/>
      <c r="E34438" s="8"/>
      <c r="G34438" s="8"/>
      <c r="J34438" s="8"/>
    </row>
    <row r="34439">
      <c r="C34439" s="15"/>
      <c r="E34439" s="8"/>
      <c r="G34439" s="8"/>
      <c r="J34439" s="8"/>
    </row>
    <row r="34440">
      <c r="C34440" s="15"/>
      <c r="E34440" s="8"/>
      <c r="G34440" s="8"/>
      <c r="J34440" s="8"/>
    </row>
    <row r="34441">
      <c r="C34441" s="15"/>
      <c r="E34441" s="8"/>
      <c r="G34441" s="8"/>
      <c r="J34441" s="8"/>
    </row>
    <row r="34442">
      <c r="C34442" s="15"/>
      <c r="E34442" s="8"/>
      <c r="G34442" s="8"/>
      <c r="J34442" s="8"/>
    </row>
    <row r="34443">
      <c r="C34443" s="15"/>
      <c r="E34443" s="8"/>
      <c r="G34443" s="8"/>
      <c r="J34443" s="8"/>
    </row>
    <row r="34444">
      <c r="C34444" s="15"/>
      <c r="E34444" s="8"/>
      <c r="G34444" s="8"/>
      <c r="J34444" s="8"/>
    </row>
    <row r="34445">
      <c r="C34445" s="15"/>
      <c r="E34445" s="8"/>
      <c r="G34445" s="8"/>
      <c r="J34445" s="8"/>
    </row>
    <row r="34446">
      <c r="C34446" s="15"/>
      <c r="E34446" s="8"/>
      <c r="G34446" s="8"/>
      <c r="J34446" s="8"/>
    </row>
    <row r="34447">
      <c r="C34447" s="15"/>
      <c r="E34447" s="8"/>
      <c r="G34447" s="8"/>
      <c r="J34447" s="8"/>
    </row>
    <row r="34448">
      <c r="C34448" s="15"/>
      <c r="E34448" s="8"/>
      <c r="G34448" s="8"/>
      <c r="J34448" s="8"/>
    </row>
    <row r="34449">
      <c r="C34449" s="15"/>
      <c r="E34449" s="8"/>
      <c r="G34449" s="8"/>
      <c r="J34449" s="8"/>
    </row>
    <row r="34450">
      <c r="C34450" s="15"/>
      <c r="E34450" s="8"/>
      <c r="G34450" s="8"/>
      <c r="J34450" s="8"/>
    </row>
    <row r="34451">
      <c r="C34451" s="15"/>
      <c r="E34451" s="8"/>
      <c r="G34451" s="8"/>
      <c r="J34451" s="8"/>
    </row>
    <row r="34452">
      <c r="C34452" s="15"/>
      <c r="E34452" s="8"/>
      <c r="G34452" s="8"/>
      <c r="J34452" s="8"/>
    </row>
    <row r="34453">
      <c r="C34453" s="15"/>
      <c r="E34453" s="8"/>
      <c r="G34453" s="8"/>
      <c r="J34453" s="8"/>
    </row>
    <row r="34454">
      <c r="C34454" s="15"/>
      <c r="E34454" s="8"/>
      <c r="G34454" s="8"/>
      <c r="J34454" s="8"/>
    </row>
    <row r="34455">
      <c r="C34455" s="15"/>
      <c r="E34455" s="8"/>
      <c r="G34455" s="8"/>
      <c r="J34455" s="8"/>
    </row>
    <row r="34456">
      <c r="C34456" s="15"/>
      <c r="E34456" s="8"/>
      <c r="G34456" s="8"/>
      <c r="J34456" s="8"/>
    </row>
    <row r="34457">
      <c r="C34457" s="15"/>
      <c r="E34457" s="8"/>
      <c r="G34457" s="8"/>
      <c r="J34457" s="8"/>
    </row>
    <row r="34458">
      <c r="C34458" s="15"/>
      <c r="E34458" s="8"/>
      <c r="G34458" s="8"/>
      <c r="J34458" s="8"/>
    </row>
    <row r="34459">
      <c r="C34459" s="15"/>
      <c r="E34459" s="8"/>
      <c r="G34459" s="8"/>
      <c r="J34459" s="8"/>
    </row>
    <row r="34460">
      <c r="C34460" s="15"/>
      <c r="E34460" s="8"/>
      <c r="G34460" s="8"/>
      <c r="J34460" s="8"/>
    </row>
    <row r="34461">
      <c r="C34461" s="15"/>
      <c r="E34461" s="8"/>
      <c r="G34461" s="8"/>
      <c r="J34461" s="8"/>
    </row>
    <row r="34462">
      <c r="C34462" s="15"/>
      <c r="E34462" s="8"/>
      <c r="G34462" s="8"/>
      <c r="J34462" s="8"/>
    </row>
    <row r="34463">
      <c r="C34463" s="15"/>
      <c r="E34463" s="8"/>
      <c r="G34463" s="8"/>
      <c r="J34463" s="8"/>
    </row>
    <row r="34464">
      <c r="C34464" s="15"/>
      <c r="E34464" s="8"/>
      <c r="G34464" s="8"/>
      <c r="J34464" s="8"/>
    </row>
    <row r="34465">
      <c r="C34465" s="15"/>
      <c r="E34465" s="8"/>
      <c r="G34465" s="8"/>
      <c r="J34465" s="8"/>
    </row>
    <row r="34466">
      <c r="C34466" s="15"/>
      <c r="E34466" s="8"/>
      <c r="G34466" s="8"/>
      <c r="J34466" s="8"/>
    </row>
    <row r="34467">
      <c r="C34467" s="15"/>
      <c r="E34467" s="8"/>
      <c r="G34467" s="8"/>
      <c r="J34467" s="8"/>
    </row>
    <row r="34468">
      <c r="C34468" s="15"/>
      <c r="E34468" s="8"/>
      <c r="G34468" s="8"/>
      <c r="J34468" s="8"/>
    </row>
    <row r="34469">
      <c r="C34469" s="15"/>
      <c r="E34469" s="8"/>
      <c r="G34469" s="8"/>
      <c r="J34469" s="8"/>
    </row>
    <row r="34470">
      <c r="C34470" s="15"/>
      <c r="E34470" s="8"/>
      <c r="G34470" s="8"/>
      <c r="J34470" s="8"/>
    </row>
    <row r="34471">
      <c r="C34471" s="15"/>
      <c r="E34471" s="8"/>
      <c r="G34471" s="8"/>
      <c r="J34471" s="8"/>
    </row>
    <row r="34472">
      <c r="C34472" s="15"/>
      <c r="E34472" s="8"/>
      <c r="G34472" s="8"/>
      <c r="J34472" s="8"/>
    </row>
    <row r="34473">
      <c r="C34473" s="15"/>
      <c r="E34473" s="8"/>
      <c r="G34473" s="8"/>
      <c r="J34473" s="8"/>
    </row>
    <row r="34474">
      <c r="C34474" s="15"/>
      <c r="E34474" s="8"/>
      <c r="G34474" s="8"/>
      <c r="J34474" s="8"/>
    </row>
    <row r="34475">
      <c r="C34475" s="15"/>
      <c r="E34475" s="8"/>
      <c r="G34475" s="8"/>
      <c r="J34475" s="8"/>
    </row>
    <row r="34476">
      <c r="C34476" s="15"/>
      <c r="E34476" s="8"/>
      <c r="G34476" s="8"/>
      <c r="J34476" s="8"/>
    </row>
    <row r="34477">
      <c r="C34477" s="15"/>
      <c r="E34477" s="8"/>
      <c r="G34477" s="8"/>
      <c r="J34477" s="8"/>
    </row>
    <row r="34478">
      <c r="C34478" s="15"/>
      <c r="E34478" s="8"/>
      <c r="G34478" s="8"/>
      <c r="J34478" s="8"/>
    </row>
    <row r="34479">
      <c r="C34479" s="15"/>
      <c r="E34479" s="8"/>
      <c r="G34479" s="8"/>
      <c r="J34479" s="8"/>
    </row>
    <row r="34480">
      <c r="C34480" s="15"/>
      <c r="E34480" s="8"/>
      <c r="G34480" s="8"/>
      <c r="J34480" s="8"/>
    </row>
    <row r="34481">
      <c r="C34481" s="15"/>
      <c r="E34481" s="8"/>
      <c r="G34481" s="8"/>
      <c r="J34481" s="8"/>
    </row>
    <row r="34482">
      <c r="C34482" s="15"/>
      <c r="E34482" s="8"/>
      <c r="G34482" s="8"/>
      <c r="J34482" s="8"/>
    </row>
    <row r="34483">
      <c r="C34483" s="15"/>
      <c r="E34483" s="8"/>
      <c r="G34483" s="8"/>
      <c r="J34483" s="8"/>
    </row>
    <row r="34484">
      <c r="C34484" s="15"/>
      <c r="E34484" s="8"/>
      <c r="G34484" s="8"/>
      <c r="J34484" s="8"/>
    </row>
    <row r="34485">
      <c r="C34485" s="15"/>
      <c r="E34485" s="8"/>
      <c r="G34485" s="8"/>
      <c r="J34485" s="8"/>
    </row>
    <row r="34486">
      <c r="C34486" s="15"/>
      <c r="E34486" s="8"/>
      <c r="G34486" s="8"/>
      <c r="J34486" s="8"/>
    </row>
    <row r="34487">
      <c r="C34487" s="15"/>
      <c r="E34487" s="8"/>
      <c r="G34487" s="8"/>
      <c r="J34487" s="8"/>
    </row>
    <row r="34488">
      <c r="C34488" s="15"/>
      <c r="E34488" s="8"/>
      <c r="G34488" s="8"/>
      <c r="J34488" s="8"/>
    </row>
    <row r="34489">
      <c r="C34489" s="15"/>
      <c r="E34489" s="8"/>
      <c r="G34489" s="8"/>
      <c r="J34489" s="8"/>
    </row>
    <row r="34490">
      <c r="C34490" s="15"/>
      <c r="E34490" s="8"/>
      <c r="G34490" s="8"/>
      <c r="J34490" s="8"/>
    </row>
    <row r="34491">
      <c r="C34491" s="15"/>
      <c r="E34491" s="8"/>
      <c r="G34491" s="8"/>
      <c r="J34491" s="8"/>
    </row>
    <row r="34492">
      <c r="C34492" s="15"/>
      <c r="E34492" s="8"/>
      <c r="G34492" s="8"/>
      <c r="J34492" s="8"/>
    </row>
    <row r="34493">
      <c r="C34493" s="15"/>
      <c r="E34493" s="8"/>
      <c r="G34493" s="8"/>
      <c r="J34493" s="8"/>
    </row>
    <row r="34494">
      <c r="C34494" s="15"/>
      <c r="E34494" s="8"/>
      <c r="G34494" s="8"/>
      <c r="J34494" s="8"/>
    </row>
    <row r="34495">
      <c r="C34495" s="15"/>
      <c r="E34495" s="8"/>
      <c r="G34495" s="8"/>
      <c r="J34495" s="8"/>
    </row>
    <row r="34496">
      <c r="C34496" s="15"/>
      <c r="E34496" s="8"/>
      <c r="G34496" s="8"/>
      <c r="J34496" s="8"/>
    </row>
    <row r="34497">
      <c r="C34497" s="15"/>
      <c r="E34497" s="8"/>
      <c r="G34497" s="8"/>
      <c r="J34497" s="8"/>
    </row>
    <row r="34498">
      <c r="C34498" s="15"/>
      <c r="E34498" s="8"/>
      <c r="G34498" s="8"/>
      <c r="J34498" s="8"/>
    </row>
    <row r="34499">
      <c r="C34499" s="15"/>
      <c r="E34499" s="8"/>
      <c r="G34499" s="8"/>
      <c r="J34499" s="8"/>
    </row>
    <row r="34500">
      <c r="C34500" s="15"/>
      <c r="E34500" s="8"/>
      <c r="G34500" s="8"/>
      <c r="J34500" s="8"/>
    </row>
    <row r="34501">
      <c r="C34501" s="15"/>
      <c r="E34501" s="8"/>
      <c r="G34501" s="8"/>
      <c r="J34501" s="8"/>
    </row>
    <row r="34502">
      <c r="C34502" s="15"/>
      <c r="E34502" s="8"/>
      <c r="G34502" s="8"/>
      <c r="J34502" s="8"/>
    </row>
    <row r="34503">
      <c r="C34503" s="15"/>
      <c r="E34503" s="8"/>
      <c r="G34503" s="8"/>
      <c r="J34503" s="8"/>
    </row>
    <row r="34504">
      <c r="C34504" s="15"/>
      <c r="E34504" s="8"/>
      <c r="G34504" s="8"/>
      <c r="J34504" s="8"/>
    </row>
    <row r="34505">
      <c r="C34505" s="15"/>
      <c r="E34505" s="8"/>
      <c r="G34505" s="8"/>
      <c r="J34505" s="8"/>
    </row>
    <row r="34506">
      <c r="C34506" s="15"/>
      <c r="E34506" s="8"/>
      <c r="G34506" s="8"/>
      <c r="J34506" s="8"/>
    </row>
    <row r="34507">
      <c r="C34507" s="15"/>
      <c r="E34507" s="8"/>
      <c r="G34507" s="8"/>
      <c r="J34507" s="8"/>
    </row>
    <row r="34508">
      <c r="C34508" s="15"/>
      <c r="E34508" s="8"/>
      <c r="G34508" s="8"/>
      <c r="J34508" s="8"/>
    </row>
    <row r="34509">
      <c r="C34509" s="15"/>
      <c r="E34509" s="8"/>
      <c r="G34509" s="8"/>
      <c r="J34509" s="8"/>
    </row>
    <row r="34510">
      <c r="C34510" s="15"/>
      <c r="E34510" s="8"/>
      <c r="G34510" s="8"/>
      <c r="J34510" s="8"/>
    </row>
    <row r="34511">
      <c r="C34511" s="15"/>
      <c r="E34511" s="8"/>
      <c r="G34511" s="8"/>
      <c r="J34511" s="8"/>
    </row>
    <row r="34512">
      <c r="C34512" s="15"/>
      <c r="E34512" s="8"/>
      <c r="G34512" s="8"/>
      <c r="J34512" s="8"/>
    </row>
    <row r="34513">
      <c r="C34513" s="15"/>
      <c r="E34513" s="8"/>
      <c r="G34513" s="8"/>
      <c r="J34513" s="8"/>
    </row>
    <row r="34514">
      <c r="C34514" s="15"/>
      <c r="E34514" s="8"/>
      <c r="G34514" s="8"/>
      <c r="J34514" s="8"/>
    </row>
    <row r="34515">
      <c r="C34515" s="15"/>
      <c r="E34515" s="8"/>
      <c r="G34515" s="8"/>
      <c r="J34515" s="8"/>
    </row>
    <row r="34516">
      <c r="C34516" s="15"/>
      <c r="E34516" s="8"/>
      <c r="G34516" s="8"/>
      <c r="J34516" s="8"/>
    </row>
    <row r="34517">
      <c r="C34517" s="15"/>
      <c r="E34517" s="8"/>
      <c r="G34517" s="8"/>
      <c r="J34517" s="8"/>
    </row>
    <row r="34518">
      <c r="C34518" s="15"/>
      <c r="E34518" s="8"/>
      <c r="G34518" s="8"/>
      <c r="J34518" s="8"/>
    </row>
    <row r="34519">
      <c r="C34519" s="15"/>
      <c r="E34519" s="8"/>
      <c r="G34519" s="8"/>
      <c r="J34519" s="8"/>
    </row>
    <row r="34520">
      <c r="C34520" s="15"/>
      <c r="E34520" s="8"/>
      <c r="G34520" s="8"/>
      <c r="J34520" s="8"/>
    </row>
    <row r="34521">
      <c r="C34521" s="15"/>
      <c r="E34521" s="8"/>
      <c r="G34521" s="8"/>
      <c r="J34521" s="8"/>
    </row>
    <row r="34522">
      <c r="C34522" s="15"/>
      <c r="E34522" s="8"/>
      <c r="G34522" s="8"/>
      <c r="J34522" s="8"/>
    </row>
    <row r="34523">
      <c r="C34523" s="15"/>
      <c r="E34523" s="8"/>
      <c r="G34523" s="8"/>
      <c r="J34523" s="8"/>
    </row>
    <row r="34524">
      <c r="C34524" s="15"/>
      <c r="E34524" s="8"/>
      <c r="G34524" s="8"/>
      <c r="J34524" s="8"/>
    </row>
    <row r="34525">
      <c r="C34525" s="15"/>
      <c r="E34525" s="8"/>
      <c r="G34525" s="8"/>
      <c r="J34525" s="8"/>
    </row>
    <row r="34526">
      <c r="C34526" s="15"/>
      <c r="E34526" s="8"/>
      <c r="G34526" s="8"/>
      <c r="J34526" s="8"/>
    </row>
    <row r="34527">
      <c r="C34527" s="15"/>
      <c r="E34527" s="8"/>
      <c r="G34527" s="8"/>
      <c r="J34527" s="8"/>
    </row>
    <row r="34528">
      <c r="C34528" s="15"/>
      <c r="E34528" s="8"/>
      <c r="G34528" s="8"/>
      <c r="J34528" s="8"/>
    </row>
    <row r="34529">
      <c r="C34529" s="15"/>
      <c r="E34529" s="8"/>
      <c r="G34529" s="8"/>
      <c r="J34529" s="8"/>
    </row>
    <row r="34530">
      <c r="C34530" s="15"/>
      <c r="E34530" s="8"/>
      <c r="G34530" s="8"/>
      <c r="J34530" s="8"/>
    </row>
    <row r="34531">
      <c r="C34531" s="15"/>
      <c r="E34531" s="8"/>
      <c r="G34531" s="8"/>
      <c r="J34531" s="8"/>
    </row>
    <row r="34532">
      <c r="C34532" s="15"/>
      <c r="E34532" s="8"/>
      <c r="G34532" s="8"/>
      <c r="J34532" s="8"/>
    </row>
    <row r="34533">
      <c r="C34533" s="15"/>
      <c r="E34533" s="8"/>
      <c r="G34533" s="8"/>
      <c r="J34533" s="8"/>
    </row>
    <row r="34534">
      <c r="C34534" s="15"/>
      <c r="E34534" s="8"/>
      <c r="G34534" s="8"/>
      <c r="J34534" s="8"/>
    </row>
    <row r="34535">
      <c r="C34535" s="15"/>
      <c r="E34535" s="8"/>
      <c r="G34535" s="8"/>
      <c r="J34535" s="8"/>
    </row>
    <row r="34536">
      <c r="C34536" s="15"/>
      <c r="E34536" s="8"/>
      <c r="G34536" s="8"/>
      <c r="J34536" s="8"/>
    </row>
    <row r="34537">
      <c r="C34537" s="15"/>
      <c r="E34537" s="8"/>
      <c r="G34537" s="8"/>
      <c r="J34537" s="8"/>
    </row>
    <row r="34538">
      <c r="C34538" s="15"/>
      <c r="E34538" s="8"/>
      <c r="G34538" s="8"/>
      <c r="J34538" s="8"/>
    </row>
    <row r="34539">
      <c r="C34539" s="15"/>
      <c r="E34539" s="8"/>
      <c r="G34539" s="8"/>
      <c r="J34539" s="8"/>
    </row>
    <row r="34540">
      <c r="C34540" s="15"/>
      <c r="E34540" s="8"/>
      <c r="G34540" s="8"/>
      <c r="J34540" s="8"/>
    </row>
    <row r="34541">
      <c r="C34541" s="15"/>
      <c r="E34541" s="8"/>
      <c r="G34541" s="8"/>
      <c r="J34541" s="8"/>
    </row>
    <row r="34542">
      <c r="C34542" s="15"/>
      <c r="E34542" s="8"/>
      <c r="G34542" s="8"/>
      <c r="J34542" s="8"/>
    </row>
    <row r="34543">
      <c r="C34543" s="15"/>
      <c r="E34543" s="8"/>
      <c r="G34543" s="8"/>
      <c r="J34543" s="8"/>
    </row>
    <row r="34544">
      <c r="C34544" s="15"/>
      <c r="E34544" s="8"/>
      <c r="G34544" s="8"/>
      <c r="J34544" s="8"/>
    </row>
    <row r="34545">
      <c r="C34545" s="15"/>
      <c r="E34545" s="8"/>
      <c r="G34545" s="8"/>
      <c r="J34545" s="8"/>
    </row>
    <row r="34546">
      <c r="C34546" s="15"/>
      <c r="E34546" s="8"/>
      <c r="G34546" s="8"/>
      <c r="J34546" s="8"/>
    </row>
    <row r="34547">
      <c r="C34547" s="15"/>
      <c r="E34547" s="8"/>
      <c r="G34547" s="8"/>
      <c r="J34547" s="8"/>
    </row>
    <row r="34548">
      <c r="C34548" s="15"/>
      <c r="E34548" s="8"/>
      <c r="G34548" s="8"/>
      <c r="J34548" s="8"/>
    </row>
    <row r="34549">
      <c r="C34549" s="15"/>
      <c r="E34549" s="8"/>
      <c r="G34549" s="8"/>
      <c r="J34549" s="8"/>
    </row>
    <row r="34550">
      <c r="C34550" s="15"/>
      <c r="E34550" s="8"/>
      <c r="G34550" s="8"/>
      <c r="J34550" s="8"/>
    </row>
    <row r="34551">
      <c r="C34551" s="15"/>
      <c r="E34551" s="8"/>
      <c r="G34551" s="8"/>
      <c r="J34551" s="8"/>
    </row>
    <row r="34552">
      <c r="C34552" s="15"/>
      <c r="E34552" s="8"/>
      <c r="G34552" s="8"/>
      <c r="J34552" s="8"/>
    </row>
    <row r="34553">
      <c r="C34553" s="15"/>
      <c r="E34553" s="8"/>
      <c r="G34553" s="8"/>
      <c r="J34553" s="8"/>
    </row>
    <row r="34554">
      <c r="C34554" s="15"/>
      <c r="E34554" s="8"/>
      <c r="G34554" s="8"/>
      <c r="J34554" s="8"/>
    </row>
    <row r="34555">
      <c r="C34555" s="15"/>
      <c r="E34555" s="8"/>
      <c r="G34555" s="8"/>
      <c r="J34555" s="8"/>
    </row>
    <row r="34556">
      <c r="C34556" s="15"/>
      <c r="E34556" s="8"/>
      <c r="G34556" s="8"/>
      <c r="J34556" s="8"/>
    </row>
    <row r="34557">
      <c r="C34557" s="15"/>
      <c r="E34557" s="8"/>
      <c r="G34557" s="8"/>
      <c r="J34557" s="8"/>
    </row>
    <row r="34558">
      <c r="C34558" s="15"/>
      <c r="E34558" s="8"/>
      <c r="G34558" s="8"/>
      <c r="J34558" s="8"/>
    </row>
    <row r="34559">
      <c r="C34559" s="15"/>
      <c r="E34559" s="8"/>
      <c r="G34559" s="8"/>
      <c r="J34559" s="8"/>
    </row>
    <row r="34560">
      <c r="C34560" s="15"/>
      <c r="E34560" s="8"/>
      <c r="G34560" s="8"/>
      <c r="J34560" s="8"/>
    </row>
    <row r="34561">
      <c r="C34561" s="15"/>
      <c r="E34561" s="8"/>
      <c r="G34561" s="8"/>
      <c r="J34561" s="8"/>
    </row>
    <row r="34562">
      <c r="C34562" s="15"/>
      <c r="E34562" s="8"/>
      <c r="G34562" s="8"/>
      <c r="J34562" s="8"/>
    </row>
    <row r="34563">
      <c r="C34563" s="15"/>
      <c r="E34563" s="8"/>
      <c r="G34563" s="8"/>
      <c r="J34563" s="8"/>
    </row>
    <row r="34564">
      <c r="C34564" s="15"/>
      <c r="E34564" s="8"/>
      <c r="G34564" s="8"/>
      <c r="J34564" s="8"/>
    </row>
    <row r="34565">
      <c r="C34565" s="15"/>
      <c r="E34565" s="8"/>
      <c r="G34565" s="8"/>
      <c r="J34565" s="8"/>
    </row>
    <row r="34566">
      <c r="C34566" s="15"/>
      <c r="E34566" s="8"/>
      <c r="G34566" s="8"/>
      <c r="J34566" s="8"/>
    </row>
    <row r="34567">
      <c r="C34567" s="15"/>
      <c r="E34567" s="8"/>
      <c r="G34567" s="8"/>
      <c r="J34567" s="8"/>
    </row>
    <row r="34568">
      <c r="C34568" s="15"/>
      <c r="E34568" s="8"/>
      <c r="G34568" s="8"/>
      <c r="J34568" s="8"/>
    </row>
    <row r="34569">
      <c r="C34569" s="15"/>
      <c r="E34569" s="8"/>
      <c r="G34569" s="8"/>
      <c r="J34569" s="8"/>
    </row>
    <row r="34570">
      <c r="C34570" s="15"/>
      <c r="E34570" s="8"/>
      <c r="G34570" s="8"/>
      <c r="J34570" s="8"/>
    </row>
    <row r="34571">
      <c r="C34571" s="15"/>
      <c r="E34571" s="8"/>
      <c r="G34571" s="8"/>
      <c r="J34571" s="8"/>
    </row>
    <row r="34572">
      <c r="C34572" s="15"/>
      <c r="E34572" s="8"/>
      <c r="G34572" s="8"/>
      <c r="J34572" s="8"/>
    </row>
    <row r="34573">
      <c r="C34573" s="15"/>
      <c r="E34573" s="8"/>
      <c r="G34573" s="8"/>
      <c r="J34573" s="8"/>
    </row>
    <row r="34574">
      <c r="C34574" s="15"/>
      <c r="E34574" s="8"/>
      <c r="G34574" s="8"/>
      <c r="J34574" s="8"/>
    </row>
    <row r="34575">
      <c r="C34575" s="15"/>
      <c r="E34575" s="8"/>
      <c r="G34575" s="8"/>
      <c r="J34575" s="8"/>
    </row>
    <row r="34576">
      <c r="C34576" s="15"/>
      <c r="E34576" s="8"/>
      <c r="G34576" s="8"/>
      <c r="J34576" s="8"/>
    </row>
    <row r="34577">
      <c r="C34577" s="15"/>
      <c r="E34577" s="8"/>
      <c r="G34577" s="8"/>
      <c r="J34577" s="8"/>
    </row>
    <row r="34578">
      <c r="C34578" s="15"/>
      <c r="E34578" s="8"/>
      <c r="G34578" s="8"/>
      <c r="J34578" s="8"/>
    </row>
    <row r="34579">
      <c r="C34579" s="15"/>
      <c r="E34579" s="8"/>
      <c r="G34579" s="8"/>
      <c r="J34579" s="8"/>
    </row>
    <row r="34580">
      <c r="C34580" s="15"/>
      <c r="E34580" s="8"/>
      <c r="G34580" s="8"/>
      <c r="J34580" s="8"/>
    </row>
    <row r="34581">
      <c r="C34581" s="15"/>
      <c r="E34581" s="8"/>
      <c r="G34581" s="8"/>
      <c r="J34581" s="8"/>
    </row>
    <row r="34582">
      <c r="C34582" s="15"/>
      <c r="E34582" s="8"/>
      <c r="G34582" s="8"/>
      <c r="J34582" s="8"/>
    </row>
    <row r="34583">
      <c r="C34583" s="15"/>
      <c r="E34583" s="8"/>
      <c r="G34583" s="8"/>
      <c r="J34583" s="8"/>
    </row>
    <row r="34584">
      <c r="C34584" s="15"/>
      <c r="E34584" s="8"/>
      <c r="G34584" s="8"/>
      <c r="J34584" s="8"/>
    </row>
    <row r="34585">
      <c r="C34585" s="15"/>
      <c r="E34585" s="8"/>
      <c r="G34585" s="8"/>
      <c r="J34585" s="8"/>
    </row>
    <row r="34586">
      <c r="C34586" s="15"/>
      <c r="E34586" s="8"/>
      <c r="G34586" s="8"/>
      <c r="J34586" s="8"/>
    </row>
    <row r="34587">
      <c r="C34587" s="15"/>
      <c r="E34587" s="8"/>
      <c r="G34587" s="8"/>
      <c r="J34587" s="8"/>
    </row>
    <row r="34588">
      <c r="C34588" s="15"/>
      <c r="E34588" s="8"/>
      <c r="G34588" s="8"/>
      <c r="J34588" s="8"/>
    </row>
    <row r="34589">
      <c r="C34589" s="15"/>
      <c r="E34589" s="8"/>
      <c r="G34589" s="8"/>
      <c r="J34589" s="8"/>
    </row>
    <row r="34590">
      <c r="C34590" s="15"/>
      <c r="E34590" s="8"/>
      <c r="G34590" s="8"/>
      <c r="J34590" s="8"/>
    </row>
    <row r="34591">
      <c r="C34591" s="15"/>
      <c r="E34591" s="8"/>
      <c r="G34591" s="8"/>
      <c r="J34591" s="8"/>
    </row>
    <row r="34592">
      <c r="C34592" s="15"/>
      <c r="E34592" s="8"/>
      <c r="G34592" s="8"/>
      <c r="J34592" s="8"/>
    </row>
    <row r="34593">
      <c r="C34593" s="15"/>
      <c r="E34593" s="8"/>
      <c r="G34593" s="8"/>
      <c r="J34593" s="8"/>
    </row>
    <row r="34594">
      <c r="C34594" s="15"/>
      <c r="E34594" s="8"/>
      <c r="G34594" s="8"/>
      <c r="J34594" s="8"/>
    </row>
    <row r="34595">
      <c r="C34595" s="15"/>
      <c r="E34595" s="8"/>
      <c r="G34595" s="8"/>
      <c r="J34595" s="8"/>
    </row>
    <row r="34596">
      <c r="C34596" s="15"/>
      <c r="E34596" s="8"/>
      <c r="G34596" s="8"/>
      <c r="J34596" s="8"/>
    </row>
    <row r="34597">
      <c r="C34597" s="15"/>
      <c r="E34597" s="8"/>
      <c r="G34597" s="8"/>
      <c r="J34597" s="8"/>
    </row>
    <row r="34598">
      <c r="C34598" s="15"/>
      <c r="E34598" s="8"/>
      <c r="G34598" s="8"/>
      <c r="J34598" s="8"/>
    </row>
    <row r="34599">
      <c r="C34599" s="15"/>
      <c r="E34599" s="8"/>
      <c r="G34599" s="8"/>
      <c r="J34599" s="8"/>
    </row>
    <row r="34600">
      <c r="C34600" s="15"/>
      <c r="E34600" s="8"/>
      <c r="G34600" s="8"/>
      <c r="J34600" s="8"/>
    </row>
    <row r="34601">
      <c r="C34601" s="15"/>
      <c r="E34601" s="8"/>
      <c r="G34601" s="8"/>
      <c r="J34601" s="8"/>
    </row>
    <row r="34602">
      <c r="C34602" s="15"/>
      <c r="E34602" s="8"/>
      <c r="G34602" s="8"/>
      <c r="J34602" s="8"/>
    </row>
    <row r="34603">
      <c r="C34603" s="15"/>
      <c r="E34603" s="8"/>
      <c r="G34603" s="8"/>
      <c r="J34603" s="8"/>
    </row>
    <row r="34604">
      <c r="C34604" s="15"/>
      <c r="E34604" s="8"/>
      <c r="G34604" s="8"/>
      <c r="J34604" s="8"/>
    </row>
    <row r="34605">
      <c r="C34605" s="15"/>
      <c r="E34605" s="8"/>
      <c r="G34605" s="8"/>
      <c r="J34605" s="8"/>
    </row>
    <row r="34606">
      <c r="C34606" s="15"/>
      <c r="E34606" s="8"/>
      <c r="G34606" s="8"/>
      <c r="J34606" s="8"/>
    </row>
    <row r="34607">
      <c r="C34607" s="15"/>
      <c r="E34607" s="8"/>
      <c r="G34607" s="8"/>
      <c r="J34607" s="8"/>
    </row>
    <row r="34608">
      <c r="C34608" s="15"/>
      <c r="E34608" s="8"/>
      <c r="G34608" s="8"/>
      <c r="J34608" s="8"/>
    </row>
    <row r="34609">
      <c r="C34609" s="15"/>
      <c r="E34609" s="8"/>
      <c r="G34609" s="8"/>
      <c r="J34609" s="8"/>
    </row>
    <row r="34610">
      <c r="C34610" s="15"/>
      <c r="E34610" s="8"/>
      <c r="G34610" s="8"/>
      <c r="J34610" s="8"/>
    </row>
    <row r="34611">
      <c r="C34611" s="15"/>
      <c r="E34611" s="8"/>
      <c r="G34611" s="8"/>
      <c r="J34611" s="8"/>
    </row>
    <row r="34612">
      <c r="C34612" s="15"/>
      <c r="E34612" s="8"/>
      <c r="G34612" s="8"/>
      <c r="J34612" s="8"/>
    </row>
    <row r="34613">
      <c r="C34613" s="15"/>
      <c r="E34613" s="8"/>
      <c r="G34613" s="8"/>
      <c r="J34613" s="8"/>
    </row>
    <row r="34614">
      <c r="C34614" s="15"/>
      <c r="E34614" s="8"/>
      <c r="G34614" s="8"/>
      <c r="J34614" s="8"/>
    </row>
    <row r="34615">
      <c r="C34615" s="15"/>
      <c r="E34615" s="8"/>
      <c r="G34615" s="8"/>
      <c r="J34615" s="8"/>
    </row>
    <row r="34616">
      <c r="C34616" s="15"/>
      <c r="E34616" s="8"/>
      <c r="G34616" s="8"/>
      <c r="J34616" s="8"/>
    </row>
    <row r="34617">
      <c r="C34617" s="15"/>
      <c r="E34617" s="8"/>
      <c r="G34617" s="8"/>
      <c r="J34617" s="8"/>
    </row>
    <row r="34618">
      <c r="C34618" s="15"/>
      <c r="E34618" s="8"/>
      <c r="G34618" s="8"/>
      <c r="J34618" s="8"/>
    </row>
    <row r="34619">
      <c r="C34619" s="15"/>
      <c r="E34619" s="8"/>
      <c r="G34619" s="8"/>
      <c r="J34619" s="8"/>
    </row>
    <row r="34620">
      <c r="C34620" s="15"/>
      <c r="E34620" s="8"/>
      <c r="G34620" s="8"/>
      <c r="J34620" s="8"/>
    </row>
    <row r="34621">
      <c r="C34621" s="15"/>
      <c r="E34621" s="8"/>
      <c r="G34621" s="8"/>
      <c r="J34621" s="8"/>
    </row>
    <row r="34622">
      <c r="C34622" s="15"/>
      <c r="E34622" s="8"/>
      <c r="G34622" s="8"/>
      <c r="J34622" s="8"/>
    </row>
    <row r="34623">
      <c r="C34623" s="15"/>
      <c r="E34623" s="8"/>
      <c r="G34623" s="8"/>
      <c r="J34623" s="8"/>
    </row>
    <row r="34624">
      <c r="C34624" s="15"/>
      <c r="E34624" s="8"/>
      <c r="G34624" s="8"/>
      <c r="J34624" s="8"/>
    </row>
    <row r="34625">
      <c r="C34625" s="15"/>
      <c r="E34625" s="8"/>
      <c r="G34625" s="8"/>
      <c r="J34625" s="8"/>
    </row>
    <row r="34626">
      <c r="C34626" s="15"/>
      <c r="E34626" s="8"/>
      <c r="G34626" s="8"/>
      <c r="J34626" s="8"/>
    </row>
    <row r="34627">
      <c r="C34627" s="15"/>
      <c r="E34627" s="8"/>
      <c r="G34627" s="8"/>
      <c r="J34627" s="8"/>
    </row>
    <row r="34628">
      <c r="C34628" s="15"/>
      <c r="E34628" s="8"/>
      <c r="G34628" s="8"/>
      <c r="J34628" s="8"/>
    </row>
    <row r="34629">
      <c r="C34629" s="15"/>
      <c r="E34629" s="8"/>
      <c r="G34629" s="8"/>
      <c r="J34629" s="8"/>
    </row>
    <row r="34630">
      <c r="C34630" s="15"/>
      <c r="E34630" s="8"/>
      <c r="G34630" s="8"/>
      <c r="J34630" s="8"/>
    </row>
    <row r="34631">
      <c r="C34631" s="15"/>
      <c r="E34631" s="8"/>
      <c r="G34631" s="8"/>
      <c r="J34631" s="8"/>
    </row>
    <row r="34632">
      <c r="C34632" s="15"/>
      <c r="E34632" s="8"/>
      <c r="G34632" s="8"/>
      <c r="J34632" s="8"/>
    </row>
    <row r="34633">
      <c r="C34633" s="15"/>
      <c r="E34633" s="8"/>
      <c r="G34633" s="8"/>
      <c r="J34633" s="8"/>
    </row>
    <row r="34634">
      <c r="C34634" s="15"/>
      <c r="E34634" s="8"/>
      <c r="G34634" s="8"/>
      <c r="J34634" s="8"/>
    </row>
    <row r="34635">
      <c r="C34635" s="15"/>
      <c r="E34635" s="8"/>
      <c r="G34635" s="8"/>
      <c r="J34635" s="8"/>
    </row>
    <row r="34636">
      <c r="C34636" s="15"/>
      <c r="E34636" s="8"/>
      <c r="G34636" s="8"/>
      <c r="J34636" s="8"/>
    </row>
    <row r="34637">
      <c r="C34637" s="15"/>
      <c r="E34637" s="8"/>
      <c r="G34637" s="8"/>
      <c r="J34637" s="8"/>
    </row>
    <row r="34638">
      <c r="C34638" s="15"/>
      <c r="E34638" s="8"/>
      <c r="G34638" s="8"/>
      <c r="J34638" s="8"/>
    </row>
    <row r="34639">
      <c r="C34639" s="15"/>
      <c r="E34639" s="8"/>
      <c r="G34639" s="8"/>
      <c r="J34639" s="8"/>
    </row>
    <row r="34640">
      <c r="C34640" s="15"/>
      <c r="E34640" s="8"/>
      <c r="G34640" s="8"/>
      <c r="J34640" s="8"/>
    </row>
    <row r="34641">
      <c r="C34641" s="15"/>
      <c r="E34641" s="8"/>
      <c r="G34641" s="8"/>
      <c r="J34641" s="8"/>
    </row>
    <row r="34642">
      <c r="C34642" s="15"/>
      <c r="E34642" s="8"/>
      <c r="G34642" s="8"/>
      <c r="J34642" s="8"/>
    </row>
    <row r="34643">
      <c r="C34643" s="15"/>
      <c r="E34643" s="8"/>
      <c r="G34643" s="8"/>
      <c r="J34643" s="8"/>
    </row>
    <row r="34644">
      <c r="C34644" s="15"/>
      <c r="E34644" s="8"/>
      <c r="G34644" s="8"/>
      <c r="J34644" s="8"/>
    </row>
    <row r="34645">
      <c r="C34645" s="15"/>
      <c r="E34645" s="8"/>
      <c r="G34645" s="8"/>
      <c r="J34645" s="8"/>
    </row>
    <row r="34646">
      <c r="C34646" s="15"/>
      <c r="E34646" s="8"/>
      <c r="G34646" s="8"/>
      <c r="J34646" s="8"/>
    </row>
    <row r="34647">
      <c r="C34647" s="15"/>
      <c r="E34647" s="8"/>
      <c r="G34647" s="8"/>
      <c r="J34647" s="8"/>
    </row>
    <row r="34648">
      <c r="C34648" s="15"/>
      <c r="E34648" s="8"/>
      <c r="G34648" s="8"/>
      <c r="J34648" s="8"/>
    </row>
    <row r="34649">
      <c r="C34649" s="15"/>
      <c r="E34649" s="8"/>
      <c r="G34649" s="8"/>
      <c r="J34649" s="8"/>
    </row>
    <row r="34650">
      <c r="C34650" s="15"/>
      <c r="E34650" s="8"/>
      <c r="G34650" s="8"/>
      <c r="J34650" s="8"/>
    </row>
    <row r="34651">
      <c r="C34651" s="15"/>
      <c r="E34651" s="8"/>
      <c r="G34651" s="8"/>
      <c r="J34651" s="8"/>
    </row>
    <row r="34652">
      <c r="C34652" s="15"/>
      <c r="E34652" s="8"/>
      <c r="G34652" s="8"/>
      <c r="J34652" s="8"/>
    </row>
    <row r="34653">
      <c r="C34653" s="15"/>
      <c r="E34653" s="8"/>
      <c r="G34653" s="8"/>
      <c r="J34653" s="8"/>
    </row>
    <row r="34654">
      <c r="C34654" s="15"/>
      <c r="E34654" s="8"/>
      <c r="G34654" s="8"/>
      <c r="J34654" s="8"/>
    </row>
    <row r="34655">
      <c r="C34655" s="15"/>
      <c r="E34655" s="8"/>
      <c r="G34655" s="8"/>
      <c r="J34655" s="8"/>
    </row>
    <row r="34656">
      <c r="C34656" s="15"/>
      <c r="E34656" s="8"/>
      <c r="G34656" s="8"/>
      <c r="J34656" s="8"/>
    </row>
    <row r="34657">
      <c r="C34657" s="15"/>
      <c r="E34657" s="8"/>
      <c r="G34657" s="8"/>
      <c r="J34657" s="8"/>
    </row>
    <row r="34658">
      <c r="C34658" s="15"/>
      <c r="E34658" s="8"/>
      <c r="G34658" s="8"/>
      <c r="J34658" s="8"/>
    </row>
    <row r="34659">
      <c r="C34659" s="15"/>
      <c r="E34659" s="8"/>
      <c r="G34659" s="8"/>
      <c r="J34659" s="8"/>
    </row>
    <row r="34660">
      <c r="C34660" s="15"/>
      <c r="E34660" s="8"/>
      <c r="G34660" s="8"/>
      <c r="J34660" s="8"/>
    </row>
    <row r="34661">
      <c r="C34661" s="15"/>
      <c r="E34661" s="8"/>
      <c r="G34661" s="8"/>
      <c r="J34661" s="8"/>
    </row>
    <row r="34662">
      <c r="C34662" s="15"/>
      <c r="E34662" s="8"/>
      <c r="G34662" s="8"/>
      <c r="J34662" s="8"/>
    </row>
    <row r="34663">
      <c r="C34663" s="15"/>
      <c r="E34663" s="8"/>
      <c r="G34663" s="8"/>
      <c r="J34663" s="8"/>
    </row>
    <row r="34664">
      <c r="C34664" s="15"/>
      <c r="E34664" s="8"/>
      <c r="G34664" s="8"/>
      <c r="J34664" s="8"/>
    </row>
    <row r="34665">
      <c r="C34665" s="15"/>
      <c r="E34665" s="8"/>
      <c r="G34665" s="8"/>
      <c r="J34665" s="8"/>
    </row>
    <row r="34666">
      <c r="C34666" s="15"/>
      <c r="E34666" s="8"/>
      <c r="G34666" s="8"/>
      <c r="J34666" s="8"/>
    </row>
    <row r="34667">
      <c r="C34667" s="15"/>
      <c r="E34667" s="8"/>
      <c r="G34667" s="8"/>
      <c r="J34667" s="8"/>
    </row>
    <row r="34668">
      <c r="C34668" s="15"/>
      <c r="E34668" s="8"/>
      <c r="G34668" s="8"/>
      <c r="J34668" s="8"/>
    </row>
    <row r="34669">
      <c r="C34669" s="15"/>
      <c r="E34669" s="8"/>
      <c r="G34669" s="8"/>
      <c r="J34669" s="8"/>
    </row>
    <row r="34670">
      <c r="C34670" s="15"/>
      <c r="E34670" s="8"/>
      <c r="G34670" s="8"/>
      <c r="J34670" s="8"/>
    </row>
    <row r="34671">
      <c r="C34671" s="15"/>
      <c r="E34671" s="8"/>
      <c r="G34671" s="8"/>
      <c r="J34671" s="8"/>
    </row>
    <row r="34672">
      <c r="C34672" s="15"/>
      <c r="E34672" s="8"/>
      <c r="G34672" s="8"/>
      <c r="J34672" s="8"/>
    </row>
    <row r="34673">
      <c r="C34673" s="15"/>
      <c r="E34673" s="8"/>
      <c r="G34673" s="8"/>
      <c r="J34673" s="8"/>
    </row>
    <row r="34674">
      <c r="C34674" s="15"/>
      <c r="E34674" s="8"/>
      <c r="G34674" s="8"/>
      <c r="J34674" s="8"/>
    </row>
    <row r="34675">
      <c r="C34675" s="15"/>
      <c r="E34675" s="8"/>
      <c r="G34675" s="8"/>
      <c r="J34675" s="8"/>
    </row>
    <row r="34676">
      <c r="C34676" s="15"/>
      <c r="E34676" s="8"/>
      <c r="G34676" s="8"/>
      <c r="J34676" s="8"/>
    </row>
    <row r="34677">
      <c r="C34677" s="15"/>
      <c r="E34677" s="8"/>
      <c r="G34677" s="8"/>
      <c r="J34677" s="8"/>
    </row>
    <row r="34678">
      <c r="C34678" s="15"/>
      <c r="E34678" s="8"/>
      <c r="G34678" s="8"/>
      <c r="J34678" s="8"/>
    </row>
    <row r="34679">
      <c r="C34679" s="15"/>
      <c r="E34679" s="8"/>
      <c r="G34679" s="8"/>
      <c r="J34679" s="8"/>
    </row>
    <row r="34680">
      <c r="C34680" s="15"/>
      <c r="E34680" s="8"/>
      <c r="G34680" s="8"/>
      <c r="J34680" s="8"/>
    </row>
    <row r="34681">
      <c r="C34681" s="15"/>
      <c r="E34681" s="8"/>
      <c r="G34681" s="8"/>
      <c r="J34681" s="8"/>
    </row>
    <row r="34682">
      <c r="C34682" s="15"/>
      <c r="E34682" s="8"/>
      <c r="G34682" s="8"/>
      <c r="J34682" s="8"/>
    </row>
    <row r="34683">
      <c r="C34683" s="15"/>
      <c r="E34683" s="8"/>
      <c r="G34683" s="8"/>
      <c r="J34683" s="8"/>
    </row>
    <row r="34684">
      <c r="C34684" s="15"/>
      <c r="E34684" s="8"/>
      <c r="G34684" s="8"/>
      <c r="J34684" s="8"/>
    </row>
    <row r="34685">
      <c r="C34685" s="15"/>
      <c r="E34685" s="8"/>
      <c r="G34685" s="8"/>
      <c r="J34685" s="8"/>
    </row>
    <row r="34686">
      <c r="C34686" s="15"/>
      <c r="E34686" s="8"/>
      <c r="G34686" s="8"/>
      <c r="J34686" s="8"/>
    </row>
    <row r="34687">
      <c r="C34687" s="15"/>
      <c r="E34687" s="8"/>
      <c r="G34687" s="8"/>
      <c r="J34687" s="8"/>
    </row>
    <row r="34688">
      <c r="C34688" s="15"/>
      <c r="E34688" s="8"/>
      <c r="G34688" s="8"/>
      <c r="J34688" s="8"/>
    </row>
    <row r="34689">
      <c r="C34689" s="15"/>
      <c r="E34689" s="8"/>
      <c r="G34689" s="8"/>
      <c r="J34689" s="8"/>
    </row>
    <row r="34690">
      <c r="C34690" s="15"/>
      <c r="E34690" s="8"/>
      <c r="G34690" s="8"/>
      <c r="J34690" s="8"/>
    </row>
    <row r="34691">
      <c r="C34691" s="15"/>
      <c r="E34691" s="8"/>
      <c r="G34691" s="8"/>
      <c r="J34691" s="8"/>
    </row>
    <row r="34692">
      <c r="C34692" s="15"/>
      <c r="E34692" s="8"/>
      <c r="G34692" s="8"/>
      <c r="J34692" s="8"/>
    </row>
    <row r="34693">
      <c r="C34693" s="15"/>
      <c r="E34693" s="8"/>
      <c r="G34693" s="8"/>
      <c r="J34693" s="8"/>
    </row>
    <row r="34694">
      <c r="C34694" s="15"/>
      <c r="E34694" s="8"/>
      <c r="G34694" s="8"/>
      <c r="J34694" s="8"/>
    </row>
    <row r="34695">
      <c r="C34695" s="15"/>
      <c r="E34695" s="8"/>
      <c r="G34695" s="8"/>
      <c r="J34695" s="8"/>
    </row>
    <row r="34696">
      <c r="C34696" s="15"/>
      <c r="E34696" s="8"/>
      <c r="G34696" s="8"/>
      <c r="J34696" s="8"/>
    </row>
    <row r="34697">
      <c r="C34697" s="15"/>
      <c r="E34697" s="8"/>
      <c r="G34697" s="8"/>
      <c r="J34697" s="8"/>
    </row>
    <row r="34698">
      <c r="C34698" s="15"/>
      <c r="E34698" s="8"/>
      <c r="G34698" s="8"/>
      <c r="J34698" s="8"/>
    </row>
    <row r="34699">
      <c r="C34699" s="15"/>
      <c r="E34699" s="8"/>
      <c r="G34699" s="8"/>
      <c r="J34699" s="8"/>
    </row>
    <row r="34700">
      <c r="C34700" s="15"/>
      <c r="E34700" s="8"/>
      <c r="G34700" s="8"/>
      <c r="J34700" s="8"/>
    </row>
    <row r="34701">
      <c r="C34701" s="15"/>
      <c r="E34701" s="8"/>
      <c r="G34701" s="8"/>
      <c r="J34701" s="8"/>
    </row>
    <row r="34702">
      <c r="C34702" s="15"/>
      <c r="E34702" s="8"/>
      <c r="G34702" s="8"/>
      <c r="J34702" s="8"/>
    </row>
    <row r="34703">
      <c r="C34703" s="15"/>
      <c r="E34703" s="8"/>
      <c r="G34703" s="8"/>
      <c r="J34703" s="8"/>
    </row>
    <row r="34704">
      <c r="C34704" s="15"/>
      <c r="E34704" s="8"/>
      <c r="G34704" s="8"/>
      <c r="J34704" s="8"/>
    </row>
    <row r="34705">
      <c r="C34705" s="15"/>
      <c r="E34705" s="8"/>
      <c r="G34705" s="8"/>
      <c r="J34705" s="8"/>
    </row>
    <row r="34706">
      <c r="C34706" s="15"/>
      <c r="E34706" s="8"/>
      <c r="G34706" s="8"/>
      <c r="J34706" s="8"/>
    </row>
    <row r="34707">
      <c r="C34707" s="15"/>
      <c r="E34707" s="8"/>
      <c r="G34707" s="8"/>
      <c r="J34707" s="8"/>
    </row>
    <row r="34708">
      <c r="C34708" s="15"/>
      <c r="E34708" s="8"/>
      <c r="G34708" s="8"/>
      <c r="J34708" s="8"/>
    </row>
    <row r="34709">
      <c r="C34709" s="15"/>
      <c r="E34709" s="8"/>
      <c r="G34709" s="8"/>
      <c r="J34709" s="8"/>
    </row>
    <row r="34710">
      <c r="C34710" s="15"/>
      <c r="E34710" s="8"/>
      <c r="G34710" s="8"/>
      <c r="J34710" s="8"/>
    </row>
    <row r="34711">
      <c r="C34711" s="15"/>
      <c r="E34711" s="8"/>
      <c r="G34711" s="8"/>
      <c r="J34711" s="8"/>
    </row>
    <row r="34712">
      <c r="C34712" s="15"/>
      <c r="E34712" s="8"/>
      <c r="G34712" s="8"/>
      <c r="J34712" s="8"/>
    </row>
    <row r="34713">
      <c r="C34713" s="15"/>
      <c r="E34713" s="8"/>
      <c r="G34713" s="8"/>
      <c r="J34713" s="8"/>
    </row>
    <row r="34714">
      <c r="C34714" s="15"/>
      <c r="E34714" s="8"/>
      <c r="G34714" s="8"/>
      <c r="J34714" s="8"/>
    </row>
    <row r="34715">
      <c r="C34715" s="15"/>
      <c r="E34715" s="8"/>
      <c r="G34715" s="8"/>
      <c r="J34715" s="8"/>
    </row>
    <row r="34716">
      <c r="C34716" s="15"/>
      <c r="E34716" s="8"/>
      <c r="G34716" s="8"/>
      <c r="J34716" s="8"/>
    </row>
    <row r="34717">
      <c r="C34717" s="15"/>
      <c r="E34717" s="8"/>
      <c r="G34717" s="8"/>
      <c r="J34717" s="8"/>
    </row>
    <row r="34718">
      <c r="C34718" s="15"/>
      <c r="E34718" s="8"/>
      <c r="G34718" s="8"/>
      <c r="J34718" s="8"/>
    </row>
    <row r="34719">
      <c r="C34719" s="15"/>
      <c r="E34719" s="8"/>
      <c r="G34719" s="8"/>
      <c r="J34719" s="8"/>
    </row>
    <row r="34720">
      <c r="C34720" s="15"/>
      <c r="E34720" s="8"/>
      <c r="G34720" s="8"/>
      <c r="J34720" s="8"/>
    </row>
    <row r="34721">
      <c r="C34721" s="15"/>
      <c r="E34721" s="8"/>
      <c r="G34721" s="8"/>
      <c r="J34721" s="8"/>
    </row>
    <row r="34722">
      <c r="C34722" s="15"/>
      <c r="E34722" s="8"/>
      <c r="G34722" s="8"/>
      <c r="J34722" s="8"/>
    </row>
    <row r="34723">
      <c r="C34723" s="15"/>
      <c r="E34723" s="8"/>
      <c r="G34723" s="8"/>
      <c r="J34723" s="8"/>
    </row>
    <row r="34724">
      <c r="C34724" s="15"/>
      <c r="E34724" s="8"/>
      <c r="G34724" s="8"/>
      <c r="J34724" s="8"/>
    </row>
    <row r="34725">
      <c r="C34725" s="15"/>
      <c r="E34725" s="8"/>
      <c r="G34725" s="8"/>
      <c r="J34725" s="8"/>
    </row>
    <row r="34726">
      <c r="C34726" s="15"/>
      <c r="E34726" s="8"/>
      <c r="G34726" s="8"/>
      <c r="J34726" s="8"/>
    </row>
    <row r="34727">
      <c r="C34727" s="15"/>
      <c r="E34727" s="8"/>
      <c r="G34727" s="8"/>
      <c r="J34727" s="8"/>
    </row>
    <row r="34728">
      <c r="C34728" s="15"/>
      <c r="E34728" s="8"/>
      <c r="G34728" s="8"/>
      <c r="J34728" s="8"/>
    </row>
    <row r="34729">
      <c r="C34729" s="15"/>
      <c r="E34729" s="8"/>
      <c r="G34729" s="8"/>
      <c r="J34729" s="8"/>
    </row>
    <row r="34730">
      <c r="C34730" s="15"/>
      <c r="E34730" s="8"/>
      <c r="G34730" s="8"/>
      <c r="J34730" s="8"/>
    </row>
    <row r="34731">
      <c r="C34731" s="15"/>
      <c r="E34731" s="8"/>
      <c r="G34731" s="8"/>
      <c r="J34731" s="8"/>
    </row>
    <row r="34732">
      <c r="C34732" s="15"/>
      <c r="E34732" s="8"/>
      <c r="G34732" s="8"/>
      <c r="J34732" s="8"/>
    </row>
    <row r="34733">
      <c r="C34733" s="15"/>
      <c r="E34733" s="8"/>
      <c r="G34733" s="8"/>
      <c r="J34733" s="8"/>
    </row>
    <row r="34734">
      <c r="C34734" s="15"/>
      <c r="E34734" s="8"/>
      <c r="G34734" s="8"/>
      <c r="J34734" s="8"/>
    </row>
    <row r="34735">
      <c r="C34735" s="15"/>
      <c r="E34735" s="8"/>
      <c r="G34735" s="8"/>
      <c r="J34735" s="8"/>
    </row>
    <row r="34736">
      <c r="C34736" s="15"/>
      <c r="E34736" s="8"/>
      <c r="G34736" s="8"/>
      <c r="J34736" s="8"/>
    </row>
    <row r="34737">
      <c r="C34737" s="15"/>
      <c r="E34737" s="8"/>
      <c r="G34737" s="8"/>
      <c r="J34737" s="8"/>
    </row>
    <row r="34738">
      <c r="C34738" s="15"/>
      <c r="E34738" s="8"/>
      <c r="G34738" s="8"/>
      <c r="J34738" s="8"/>
    </row>
    <row r="34739">
      <c r="C34739" s="15"/>
      <c r="E34739" s="8"/>
      <c r="G34739" s="8"/>
      <c r="J34739" s="8"/>
    </row>
    <row r="34740">
      <c r="C34740" s="15"/>
      <c r="E34740" s="8"/>
      <c r="G34740" s="8"/>
      <c r="J34740" s="8"/>
    </row>
    <row r="34741">
      <c r="C34741" s="15"/>
      <c r="E34741" s="8"/>
      <c r="G34741" s="8"/>
      <c r="J34741" s="8"/>
    </row>
    <row r="34742">
      <c r="C34742" s="15"/>
      <c r="E34742" s="8"/>
      <c r="G34742" s="8"/>
      <c r="J34742" s="8"/>
    </row>
    <row r="34743">
      <c r="C34743" s="15"/>
      <c r="E34743" s="8"/>
      <c r="G34743" s="8"/>
      <c r="J34743" s="8"/>
    </row>
    <row r="34744">
      <c r="C34744" s="15"/>
      <c r="E34744" s="8"/>
      <c r="G34744" s="8"/>
      <c r="J34744" s="8"/>
    </row>
    <row r="34745">
      <c r="C34745" s="15"/>
      <c r="E34745" s="8"/>
      <c r="G34745" s="8"/>
      <c r="J34745" s="8"/>
    </row>
    <row r="34746">
      <c r="C34746" s="15"/>
      <c r="E34746" s="8"/>
      <c r="G34746" s="8"/>
      <c r="J34746" s="8"/>
    </row>
    <row r="34747">
      <c r="C34747" s="15"/>
      <c r="E34747" s="8"/>
      <c r="G34747" s="8"/>
      <c r="J34747" s="8"/>
    </row>
    <row r="34748">
      <c r="C34748" s="15"/>
      <c r="E34748" s="8"/>
      <c r="G34748" s="8"/>
      <c r="J34748" s="8"/>
    </row>
    <row r="34749">
      <c r="C34749" s="15"/>
      <c r="E34749" s="8"/>
      <c r="G34749" s="8"/>
      <c r="J34749" s="8"/>
    </row>
    <row r="34750">
      <c r="C34750" s="15"/>
      <c r="E34750" s="8"/>
      <c r="G34750" s="8"/>
      <c r="J34750" s="8"/>
    </row>
    <row r="34751">
      <c r="C34751" s="15"/>
      <c r="E34751" s="8"/>
      <c r="G34751" s="8"/>
      <c r="J34751" s="8"/>
    </row>
    <row r="34752">
      <c r="C34752" s="15"/>
      <c r="E34752" s="8"/>
      <c r="G34752" s="8"/>
      <c r="J34752" s="8"/>
    </row>
    <row r="34753">
      <c r="C34753" s="15"/>
      <c r="E34753" s="8"/>
      <c r="G34753" s="8"/>
      <c r="J34753" s="8"/>
    </row>
    <row r="34754">
      <c r="C34754" s="15"/>
      <c r="E34754" s="8"/>
      <c r="G34754" s="8"/>
      <c r="J34754" s="8"/>
    </row>
    <row r="34755">
      <c r="C34755" s="15"/>
      <c r="E34755" s="8"/>
      <c r="G34755" s="8"/>
      <c r="J34755" s="8"/>
    </row>
    <row r="34756">
      <c r="C34756" s="15"/>
      <c r="E34756" s="8"/>
      <c r="G34756" s="8"/>
      <c r="J34756" s="8"/>
    </row>
    <row r="34757">
      <c r="C34757" s="15"/>
      <c r="E34757" s="8"/>
      <c r="G34757" s="8"/>
      <c r="J34757" s="8"/>
    </row>
    <row r="34758">
      <c r="C34758" s="15"/>
      <c r="E34758" s="8"/>
      <c r="G34758" s="8"/>
      <c r="J34758" s="8"/>
    </row>
    <row r="34759">
      <c r="C34759" s="15"/>
      <c r="E34759" s="8"/>
      <c r="G34759" s="8"/>
      <c r="J34759" s="8"/>
    </row>
    <row r="34760">
      <c r="C34760" s="15"/>
      <c r="E34760" s="8"/>
      <c r="G34760" s="8"/>
      <c r="J34760" s="8"/>
    </row>
    <row r="34761">
      <c r="C34761" s="15"/>
      <c r="E34761" s="8"/>
      <c r="G34761" s="8"/>
      <c r="J34761" s="8"/>
    </row>
    <row r="34762">
      <c r="C34762" s="15"/>
      <c r="E34762" s="8"/>
      <c r="G34762" s="8"/>
      <c r="J34762" s="8"/>
    </row>
    <row r="34763">
      <c r="C34763" s="15"/>
      <c r="E34763" s="8"/>
      <c r="G34763" s="8"/>
      <c r="J34763" s="8"/>
    </row>
    <row r="34764">
      <c r="C34764" s="15"/>
      <c r="E34764" s="8"/>
      <c r="G34764" s="8"/>
      <c r="J34764" s="8"/>
    </row>
    <row r="34765">
      <c r="C34765" s="15"/>
      <c r="E34765" s="8"/>
      <c r="G34765" s="8"/>
      <c r="J34765" s="8"/>
    </row>
    <row r="34766">
      <c r="C34766" s="15"/>
      <c r="E34766" s="8"/>
      <c r="G34766" s="8"/>
      <c r="J34766" s="8"/>
    </row>
    <row r="34767">
      <c r="C34767" s="15"/>
      <c r="E34767" s="8"/>
      <c r="G34767" s="8"/>
      <c r="J34767" s="8"/>
    </row>
    <row r="34768">
      <c r="C34768" s="15"/>
      <c r="E34768" s="8"/>
      <c r="G34768" s="8"/>
      <c r="J34768" s="8"/>
    </row>
    <row r="34769">
      <c r="C34769" s="15"/>
      <c r="E34769" s="8"/>
      <c r="G34769" s="8"/>
      <c r="J34769" s="8"/>
    </row>
    <row r="34770">
      <c r="C34770" s="15"/>
      <c r="E34770" s="8"/>
      <c r="G34770" s="8"/>
      <c r="J34770" s="8"/>
    </row>
    <row r="34771">
      <c r="C34771" s="15"/>
      <c r="E34771" s="8"/>
      <c r="G34771" s="8"/>
      <c r="J34771" s="8"/>
    </row>
    <row r="34772">
      <c r="C34772" s="15"/>
      <c r="E34772" s="8"/>
      <c r="G34772" s="8"/>
      <c r="J34772" s="8"/>
    </row>
    <row r="34773">
      <c r="C34773" s="15"/>
      <c r="E34773" s="8"/>
      <c r="G34773" s="8"/>
      <c r="J34773" s="8"/>
    </row>
    <row r="34774">
      <c r="C34774" s="15"/>
      <c r="E34774" s="8"/>
      <c r="G34774" s="8"/>
      <c r="J34774" s="8"/>
    </row>
    <row r="34775">
      <c r="C34775" s="15"/>
      <c r="E34775" s="8"/>
      <c r="G34775" s="8"/>
      <c r="J34775" s="8"/>
    </row>
    <row r="34776">
      <c r="C34776" s="15"/>
      <c r="E34776" s="8"/>
      <c r="G34776" s="8"/>
      <c r="J34776" s="8"/>
    </row>
    <row r="34777">
      <c r="C34777" s="15"/>
      <c r="E34777" s="8"/>
      <c r="G34777" s="8"/>
      <c r="J34777" s="8"/>
    </row>
    <row r="34778">
      <c r="C34778" s="15"/>
      <c r="E34778" s="8"/>
      <c r="G34778" s="8"/>
      <c r="J34778" s="8"/>
    </row>
    <row r="34779">
      <c r="C34779" s="15"/>
      <c r="E34779" s="8"/>
      <c r="G34779" s="8"/>
      <c r="J34779" s="8"/>
    </row>
    <row r="34780">
      <c r="C34780" s="15"/>
      <c r="E34780" s="8"/>
      <c r="G34780" s="8"/>
      <c r="J34780" s="8"/>
    </row>
    <row r="34781">
      <c r="C34781" s="15"/>
      <c r="E34781" s="8"/>
      <c r="G34781" s="8"/>
      <c r="J34781" s="8"/>
    </row>
    <row r="34782">
      <c r="C34782" s="15"/>
      <c r="E34782" s="8"/>
      <c r="G34782" s="8"/>
      <c r="J34782" s="8"/>
    </row>
    <row r="34783">
      <c r="C34783" s="15"/>
      <c r="E34783" s="8"/>
      <c r="G34783" s="8"/>
      <c r="J34783" s="8"/>
    </row>
    <row r="34784">
      <c r="C34784" s="15"/>
      <c r="E34784" s="8"/>
      <c r="G34784" s="8"/>
      <c r="J34784" s="8"/>
    </row>
    <row r="34785">
      <c r="C34785" s="15"/>
      <c r="E34785" s="8"/>
      <c r="G34785" s="8"/>
      <c r="J34785" s="8"/>
    </row>
    <row r="34786">
      <c r="C34786" s="15"/>
      <c r="E34786" s="8"/>
      <c r="G34786" s="8"/>
      <c r="J34786" s="8"/>
    </row>
    <row r="34787">
      <c r="C34787" s="15"/>
      <c r="E34787" s="8"/>
      <c r="G34787" s="8"/>
      <c r="J34787" s="8"/>
    </row>
    <row r="34788">
      <c r="C34788" s="15"/>
      <c r="E34788" s="8"/>
      <c r="G34788" s="8"/>
      <c r="J34788" s="8"/>
    </row>
    <row r="34789">
      <c r="C34789" s="15"/>
      <c r="E34789" s="8"/>
      <c r="G34789" s="8"/>
      <c r="J34789" s="8"/>
    </row>
    <row r="34790">
      <c r="C34790" s="15"/>
      <c r="E34790" s="8"/>
      <c r="G34790" s="8"/>
      <c r="J34790" s="8"/>
    </row>
    <row r="34791">
      <c r="C34791" s="15"/>
      <c r="E34791" s="8"/>
      <c r="G34791" s="8"/>
      <c r="J34791" s="8"/>
    </row>
    <row r="34792">
      <c r="C34792" s="15"/>
      <c r="E34792" s="8"/>
      <c r="G34792" s="8"/>
      <c r="J34792" s="8"/>
    </row>
    <row r="34793">
      <c r="C34793" s="15"/>
      <c r="E34793" s="8"/>
      <c r="G34793" s="8"/>
      <c r="J34793" s="8"/>
    </row>
    <row r="34794">
      <c r="C34794" s="15"/>
      <c r="E34794" s="8"/>
      <c r="G34794" s="8"/>
      <c r="J34794" s="8"/>
    </row>
    <row r="34795">
      <c r="C34795" s="15"/>
      <c r="E34795" s="8"/>
      <c r="G34795" s="8"/>
      <c r="J34795" s="8"/>
    </row>
    <row r="34796">
      <c r="C34796" s="15"/>
      <c r="E34796" s="8"/>
      <c r="G34796" s="8"/>
      <c r="J34796" s="8"/>
    </row>
    <row r="34797">
      <c r="C34797" s="15"/>
      <c r="E34797" s="8"/>
      <c r="G34797" s="8"/>
      <c r="J34797" s="8"/>
    </row>
    <row r="34798">
      <c r="C34798" s="15"/>
      <c r="E34798" s="8"/>
      <c r="G34798" s="8"/>
      <c r="J34798" s="8"/>
    </row>
    <row r="34799">
      <c r="C34799" s="15"/>
      <c r="E34799" s="8"/>
      <c r="G34799" s="8"/>
      <c r="J34799" s="8"/>
    </row>
    <row r="34800">
      <c r="C34800" s="15"/>
      <c r="E34800" s="8"/>
      <c r="G34800" s="8"/>
      <c r="J34800" s="8"/>
    </row>
    <row r="34801">
      <c r="C34801" s="15"/>
      <c r="E34801" s="8"/>
      <c r="G34801" s="8"/>
      <c r="J34801" s="8"/>
    </row>
    <row r="34802">
      <c r="C34802" s="15"/>
      <c r="E34802" s="8"/>
      <c r="G34802" s="8"/>
      <c r="J34802" s="8"/>
    </row>
    <row r="34803">
      <c r="C34803" s="15"/>
      <c r="E34803" s="8"/>
      <c r="G34803" s="8"/>
      <c r="J34803" s="8"/>
    </row>
    <row r="34804">
      <c r="C34804" s="15"/>
      <c r="E34804" s="8"/>
      <c r="G34804" s="8"/>
      <c r="J34804" s="8"/>
    </row>
    <row r="34805">
      <c r="C34805" s="15"/>
      <c r="E34805" s="8"/>
      <c r="G34805" s="8"/>
      <c r="J34805" s="8"/>
    </row>
    <row r="34806">
      <c r="C34806" s="15"/>
      <c r="E34806" s="8"/>
      <c r="G34806" s="8"/>
      <c r="J34806" s="8"/>
    </row>
    <row r="34807">
      <c r="C34807" s="15"/>
      <c r="E34807" s="8"/>
      <c r="G34807" s="8"/>
      <c r="J34807" s="8"/>
    </row>
    <row r="34808">
      <c r="C34808" s="15"/>
      <c r="E34808" s="8"/>
      <c r="G34808" s="8"/>
      <c r="J34808" s="8"/>
    </row>
    <row r="34809">
      <c r="C34809" s="15"/>
      <c r="E34809" s="8"/>
      <c r="G34809" s="8"/>
      <c r="J34809" s="8"/>
    </row>
    <row r="34810">
      <c r="C34810" s="15"/>
      <c r="E34810" s="8"/>
      <c r="G34810" s="8"/>
      <c r="J34810" s="8"/>
    </row>
    <row r="34811">
      <c r="C34811" s="15"/>
      <c r="E34811" s="8"/>
      <c r="G34811" s="8"/>
      <c r="J34811" s="8"/>
    </row>
    <row r="34812">
      <c r="C34812" s="15"/>
      <c r="E34812" s="8"/>
      <c r="G34812" s="8"/>
      <c r="J34812" s="8"/>
    </row>
    <row r="34813">
      <c r="C34813" s="15"/>
      <c r="E34813" s="8"/>
      <c r="G34813" s="8"/>
      <c r="J34813" s="8"/>
    </row>
    <row r="34814">
      <c r="C34814" s="15"/>
      <c r="E34814" s="8"/>
      <c r="G34814" s="8"/>
      <c r="J34814" s="8"/>
    </row>
    <row r="34815">
      <c r="C34815" s="15"/>
      <c r="E34815" s="8"/>
      <c r="G34815" s="8"/>
      <c r="J34815" s="8"/>
    </row>
    <row r="34816">
      <c r="C34816" s="15"/>
      <c r="E34816" s="8"/>
      <c r="G34816" s="8"/>
      <c r="J34816" s="8"/>
    </row>
    <row r="34817">
      <c r="C34817" s="15"/>
      <c r="E34817" s="8"/>
      <c r="G34817" s="8"/>
      <c r="J34817" s="8"/>
    </row>
    <row r="34818">
      <c r="C34818" s="15"/>
      <c r="E34818" s="8"/>
      <c r="G34818" s="8"/>
      <c r="J34818" s="8"/>
    </row>
    <row r="34819">
      <c r="C34819" s="15"/>
      <c r="E34819" s="8"/>
      <c r="G34819" s="8"/>
      <c r="J34819" s="8"/>
    </row>
    <row r="34820">
      <c r="C34820" s="15"/>
      <c r="E34820" s="8"/>
      <c r="G34820" s="8"/>
      <c r="J34820" s="8"/>
    </row>
    <row r="34821">
      <c r="C34821" s="15"/>
      <c r="E34821" s="8"/>
      <c r="G34821" s="8"/>
      <c r="J34821" s="8"/>
    </row>
    <row r="34822">
      <c r="C34822" s="15"/>
      <c r="E34822" s="8"/>
      <c r="G34822" s="8"/>
      <c r="J34822" s="8"/>
    </row>
    <row r="34823">
      <c r="C34823" s="15"/>
      <c r="E34823" s="8"/>
      <c r="G34823" s="8"/>
      <c r="J34823" s="8"/>
    </row>
    <row r="34824">
      <c r="C34824" s="15"/>
      <c r="E34824" s="8"/>
      <c r="G34824" s="8"/>
      <c r="J34824" s="8"/>
    </row>
    <row r="34825">
      <c r="C34825" s="15"/>
      <c r="E34825" s="8"/>
      <c r="G34825" s="8"/>
      <c r="J34825" s="8"/>
    </row>
    <row r="34826">
      <c r="C34826" s="15"/>
      <c r="E34826" s="8"/>
      <c r="G34826" s="8"/>
      <c r="J34826" s="8"/>
    </row>
    <row r="34827">
      <c r="C34827" s="15"/>
      <c r="E34827" s="8"/>
      <c r="G34827" s="8"/>
      <c r="J34827" s="8"/>
    </row>
    <row r="34828">
      <c r="C34828" s="15"/>
      <c r="E34828" s="8"/>
      <c r="G34828" s="8"/>
      <c r="J34828" s="8"/>
    </row>
    <row r="34829">
      <c r="C34829" s="15"/>
      <c r="E34829" s="8"/>
      <c r="G34829" s="8"/>
      <c r="J34829" s="8"/>
    </row>
    <row r="34830">
      <c r="C34830" s="15"/>
      <c r="E34830" s="8"/>
      <c r="G34830" s="8"/>
      <c r="J34830" s="8"/>
    </row>
    <row r="34831">
      <c r="C34831" s="15"/>
      <c r="E34831" s="8"/>
      <c r="G34831" s="8"/>
      <c r="J34831" s="8"/>
    </row>
    <row r="34832">
      <c r="C34832" s="15"/>
      <c r="E34832" s="8"/>
      <c r="G34832" s="8"/>
      <c r="J34832" s="8"/>
    </row>
    <row r="34833">
      <c r="C34833" s="15"/>
      <c r="E34833" s="8"/>
      <c r="G34833" s="8"/>
      <c r="J34833" s="8"/>
    </row>
    <row r="34834">
      <c r="C34834" s="15"/>
      <c r="E34834" s="8"/>
      <c r="G34834" s="8"/>
      <c r="J34834" s="8"/>
    </row>
    <row r="34835">
      <c r="C34835" s="15"/>
      <c r="E34835" s="8"/>
      <c r="G34835" s="8"/>
      <c r="J34835" s="8"/>
    </row>
    <row r="34836">
      <c r="C34836" s="15"/>
      <c r="E34836" s="8"/>
      <c r="G34836" s="8"/>
      <c r="J34836" s="8"/>
    </row>
    <row r="34837">
      <c r="C34837" s="15"/>
      <c r="E34837" s="8"/>
      <c r="G34837" s="8"/>
      <c r="J34837" s="8"/>
    </row>
    <row r="34838">
      <c r="C34838" s="15"/>
      <c r="E34838" s="8"/>
      <c r="G34838" s="8"/>
      <c r="J34838" s="8"/>
    </row>
    <row r="34839">
      <c r="C34839" s="15"/>
      <c r="E34839" s="8"/>
      <c r="G34839" s="8"/>
      <c r="J34839" s="8"/>
    </row>
    <row r="34840">
      <c r="C34840" s="15"/>
      <c r="E34840" s="8"/>
      <c r="G34840" s="8"/>
      <c r="J34840" s="8"/>
    </row>
    <row r="34841">
      <c r="C34841" s="15"/>
      <c r="E34841" s="8"/>
      <c r="G34841" s="8"/>
      <c r="J34841" s="8"/>
    </row>
    <row r="34842">
      <c r="C34842" s="15"/>
      <c r="E34842" s="8"/>
      <c r="G34842" s="8"/>
      <c r="J34842" s="8"/>
    </row>
    <row r="34843">
      <c r="C34843" s="15"/>
      <c r="E34843" s="8"/>
      <c r="G34843" s="8"/>
      <c r="J34843" s="8"/>
    </row>
    <row r="34844">
      <c r="C34844" s="15"/>
      <c r="E34844" s="8"/>
      <c r="G34844" s="8"/>
      <c r="J34844" s="8"/>
    </row>
    <row r="34845">
      <c r="C34845" s="15"/>
      <c r="E34845" s="8"/>
      <c r="G34845" s="8"/>
      <c r="J34845" s="8"/>
    </row>
    <row r="34846">
      <c r="C34846" s="15"/>
      <c r="E34846" s="8"/>
      <c r="G34846" s="8"/>
      <c r="J34846" s="8"/>
    </row>
    <row r="34847">
      <c r="C34847" s="15"/>
      <c r="E34847" s="8"/>
      <c r="G34847" s="8"/>
      <c r="J34847" s="8"/>
    </row>
    <row r="34848">
      <c r="C34848" s="15"/>
      <c r="E34848" s="8"/>
      <c r="G34848" s="8"/>
      <c r="J34848" s="8"/>
    </row>
    <row r="34849">
      <c r="C34849" s="15"/>
      <c r="E34849" s="8"/>
      <c r="G34849" s="8"/>
      <c r="J34849" s="8"/>
    </row>
    <row r="34850">
      <c r="C34850" s="15"/>
      <c r="E34850" s="8"/>
      <c r="G34850" s="8"/>
      <c r="J34850" s="8"/>
    </row>
    <row r="34851">
      <c r="C34851" s="15"/>
      <c r="E34851" s="8"/>
      <c r="G34851" s="8"/>
      <c r="J34851" s="8"/>
    </row>
    <row r="34852">
      <c r="C34852" s="15"/>
      <c r="E34852" s="8"/>
      <c r="G34852" s="8"/>
      <c r="J34852" s="8"/>
    </row>
    <row r="34853">
      <c r="C34853" s="15"/>
      <c r="E34853" s="8"/>
      <c r="G34853" s="8"/>
      <c r="J34853" s="8"/>
    </row>
    <row r="34854">
      <c r="C34854" s="15"/>
      <c r="E34854" s="8"/>
      <c r="G34854" s="8"/>
      <c r="J34854" s="8"/>
    </row>
    <row r="34855">
      <c r="C34855" s="15"/>
      <c r="E34855" s="8"/>
      <c r="G34855" s="8"/>
      <c r="J34855" s="8"/>
    </row>
    <row r="34856">
      <c r="C34856" s="15"/>
      <c r="E34856" s="8"/>
      <c r="G34856" s="8"/>
      <c r="J34856" s="8"/>
    </row>
    <row r="34857">
      <c r="C34857" s="15"/>
      <c r="E34857" s="8"/>
      <c r="G34857" s="8"/>
      <c r="J34857" s="8"/>
    </row>
    <row r="34858">
      <c r="C34858" s="15"/>
      <c r="E34858" s="8"/>
      <c r="G34858" s="8"/>
      <c r="J34858" s="8"/>
    </row>
    <row r="34859">
      <c r="C34859" s="15"/>
      <c r="E34859" s="8"/>
      <c r="G34859" s="8"/>
      <c r="J34859" s="8"/>
    </row>
    <row r="34860">
      <c r="C34860" s="15"/>
      <c r="E34860" s="8"/>
      <c r="G34860" s="8"/>
      <c r="J34860" s="8"/>
    </row>
    <row r="34861">
      <c r="C34861" s="15"/>
      <c r="E34861" s="8"/>
      <c r="G34861" s="8"/>
      <c r="J34861" s="8"/>
    </row>
    <row r="34862">
      <c r="C34862" s="15"/>
      <c r="E34862" s="8"/>
      <c r="G34862" s="8"/>
      <c r="J34862" s="8"/>
    </row>
    <row r="34863">
      <c r="C34863" s="15"/>
      <c r="E34863" s="8"/>
      <c r="G34863" s="8"/>
      <c r="J34863" s="8"/>
    </row>
    <row r="34864">
      <c r="C34864" s="15"/>
      <c r="E34864" s="8"/>
      <c r="G34864" s="8"/>
      <c r="J34864" s="8"/>
    </row>
    <row r="34865">
      <c r="C34865" s="15"/>
      <c r="E34865" s="8"/>
      <c r="G34865" s="8"/>
      <c r="J34865" s="8"/>
    </row>
    <row r="34866">
      <c r="C34866" s="15"/>
      <c r="E34866" s="8"/>
      <c r="G34866" s="8"/>
      <c r="J34866" s="8"/>
    </row>
    <row r="34867">
      <c r="C34867" s="15"/>
      <c r="E34867" s="8"/>
      <c r="G34867" s="8"/>
      <c r="J34867" s="8"/>
    </row>
    <row r="34868">
      <c r="C34868" s="15"/>
      <c r="E34868" s="8"/>
      <c r="G34868" s="8"/>
      <c r="J34868" s="8"/>
    </row>
    <row r="34869">
      <c r="C34869" s="15"/>
      <c r="E34869" s="8"/>
      <c r="G34869" s="8"/>
      <c r="J34869" s="8"/>
    </row>
    <row r="34870">
      <c r="C34870" s="15"/>
      <c r="E34870" s="8"/>
      <c r="G34870" s="8"/>
      <c r="J34870" s="8"/>
    </row>
    <row r="34871">
      <c r="C34871" s="15"/>
      <c r="E34871" s="8"/>
      <c r="G34871" s="8"/>
      <c r="J34871" s="8"/>
    </row>
    <row r="34872">
      <c r="C34872" s="15"/>
      <c r="E34872" s="8"/>
      <c r="G34872" s="8"/>
      <c r="J34872" s="8"/>
    </row>
    <row r="34873">
      <c r="C34873" s="15"/>
      <c r="E34873" s="8"/>
      <c r="G34873" s="8"/>
      <c r="J34873" s="8"/>
    </row>
    <row r="34874">
      <c r="C34874" s="15"/>
      <c r="E34874" s="8"/>
      <c r="G34874" s="8"/>
      <c r="J34874" s="8"/>
    </row>
    <row r="34875">
      <c r="C34875" s="15"/>
      <c r="E34875" s="8"/>
      <c r="G34875" s="8"/>
      <c r="J34875" s="8"/>
    </row>
    <row r="34876">
      <c r="C34876" s="15"/>
      <c r="E34876" s="8"/>
      <c r="G34876" s="8"/>
      <c r="J34876" s="8"/>
    </row>
    <row r="34877">
      <c r="C34877" s="15"/>
      <c r="E34877" s="8"/>
      <c r="G34877" s="8"/>
      <c r="J34877" s="8"/>
    </row>
    <row r="34878">
      <c r="C34878" s="15"/>
      <c r="E34878" s="8"/>
      <c r="G34878" s="8"/>
      <c r="J34878" s="8"/>
    </row>
    <row r="34879">
      <c r="C34879" s="15"/>
      <c r="E34879" s="8"/>
      <c r="G34879" s="8"/>
      <c r="J34879" s="8"/>
    </row>
    <row r="34880">
      <c r="C34880" s="15"/>
      <c r="E34880" s="8"/>
      <c r="G34880" s="8"/>
      <c r="J34880" s="8"/>
    </row>
    <row r="34881">
      <c r="C34881" s="15"/>
      <c r="E34881" s="8"/>
      <c r="G34881" s="8"/>
      <c r="J34881" s="8"/>
    </row>
    <row r="34882">
      <c r="C34882" s="15"/>
      <c r="E34882" s="8"/>
      <c r="G34882" s="8"/>
      <c r="J34882" s="8"/>
    </row>
    <row r="34883">
      <c r="C34883" s="15"/>
      <c r="E34883" s="8"/>
      <c r="G34883" s="8"/>
      <c r="J34883" s="8"/>
    </row>
    <row r="34884">
      <c r="C34884" s="15"/>
      <c r="E34884" s="8"/>
      <c r="G34884" s="8"/>
      <c r="J34884" s="8"/>
    </row>
    <row r="34885">
      <c r="C34885" s="15"/>
      <c r="E34885" s="8"/>
      <c r="G34885" s="8"/>
      <c r="J34885" s="8"/>
    </row>
    <row r="34886">
      <c r="C34886" s="15"/>
      <c r="E34886" s="8"/>
      <c r="G34886" s="8"/>
      <c r="J34886" s="8"/>
    </row>
    <row r="34887">
      <c r="C34887" s="15"/>
      <c r="E34887" s="8"/>
      <c r="G34887" s="8"/>
      <c r="J34887" s="8"/>
    </row>
    <row r="34888">
      <c r="C34888" s="15"/>
      <c r="E34888" s="8"/>
      <c r="G34888" s="8"/>
      <c r="J34888" s="8"/>
    </row>
    <row r="34889">
      <c r="C34889" s="15"/>
      <c r="E34889" s="8"/>
      <c r="G34889" s="8"/>
      <c r="J34889" s="8"/>
    </row>
    <row r="34890">
      <c r="C34890" s="15"/>
      <c r="E34890" s="8"/>
      <c r="G34890" s="8"/>
      <c r="J34890" s="8"/>
    </row>
    <row r="34891">
      <c r="C34891" s="15"/>
      <c r="E34891" s="8"/>
      <c r="G34891" s="8"/>
      <c r="J34891" s="8"/>
    </row>
    <row r="34892">
      <c r="C34892" s="15"/>
      <c r="E34892" s="8"/>
      <c r="G34892" s="8"/>
      <c r="J34892" s="8"/>
    </row>
    <row r="34893">
      <c r="C34893" s="15"/>
      <c r="E34893" s="8"/>
      <c r="G34893" s="8"/>
      <c r="J34893" s="8"/>
    </row>
    <row r="34894">
      <c r="C34894" s="15"/>
      <c r="E34894" s="8"/>
      <c r="G34894" s="8"/>
      <c r="J34894" s="8"/>
    </row>
    <row r="34895">
      <c r="C34895" s="15"/>
      <c r="E34895" s="8"/>
      <c r="G34895" s="8"/>
      <c r="J34895" s="8"/>
    </row>
    <row r="34896">
      <c r="C34896" s="15"/>
      <c r="E34896" s="8"/>
      <c r="G34896" s="8"/>
      <c r="J34896" s="8"/>
    </row>
    <row r="34897">
      <c r="C34897" s="15"/>
      <c r="E34897" s="8"/>
      <c r="G34897" s="8"/>
      <c r="J34897" s="8"/>
    </row>
    <row r="34898">
      <c r="C34898" s="15"/>
      <c r="E34898" s="8"/>
      <c r="G34898" s="8"/>
      <c r="J34898" s="8"/>
    </row>
    <row r="34899">
      <c r="C34899" s="15"/>
      <c r="E34899" s="8"/>
      <c r="G34899" s="8"/>
      <c r="J34899" s="8"/>
    </row>
    <row r="34900">
      <c r="C34900" s="15"/>
      <c r="E34900" s="8"/>
      <c r="G34900" s="8"/>
      <c r="J34900" s="8"/>
    </row>
    <row r="34901">
      <c r="C34901" s="15"/>
      <c r="E34901" s="8"/>
      <c r="G34901" s="8"/>
      <c r="J34901" s="8"/>
    </row>
    <row r="34902">
      <c r="C34902" s="15"/>
      <c r="E34902" s="8"/>
      <c r="G34902" s="8"/>
      <c r="J34902" s="8"/>
    </row>
    <row r="34903">
      <c r="C34903" s="15"/>
      <c r="E34903" s="8"/>
      <c r="G34903" s="8"/>
      <c r="J34903" s="8"/>
    </row>
    <row r="34904">
      <c r="C34904" s="15"/>
      <c r="E34904" s="8"/>
      <c r="G34904" s="8"/>
      <c r="J34904" s="8"/>
    </row>
    <row r="34905">
      <c r="C34905" s="15"/>
      <c r="E34905" s="8"/>
      <c r="G34905" s="8"/>
      <c r="J34905" s="8"/>
    </row>
    <row r="34906">
      <c r="C34906" s="15"/>
      <c r="E34906" s="8"/>
      <c r="G34906" s="8"/>
      <c r="J34906" s="8"/>
    </row>
    <row r="34907">
      <c r="C34907" s="15"/>
      <c r="E34907" s="8"/>
      <c r="G34907" s="8"/>
      <c r="J34907" s="8"/>
    </row>
    <row r="34908">
      <c r="C34908" s="15"/>
      <c r="E34908" s="8"/>
      <c r="G34908" s="8"/>
      <c r="J34908" s="8"/>
    </row>
    <row r="34909">
      <c r="C34909" s="15"/>
      <c r="E34909" s="8"/>
      <c r="G34909" s="8"/>
      <c r="J34909" s="8"/>
    </row>
    <row r="34910">
      <c r="C34910" s="15"/>
      <c r="E34910" s="8"/>
      <c r="G34910" s="8"/>
      <c r="J34910" s="8"/>
    </row>
    <row r="34911">
      <c r="C34911" s="15"/>
      <c r="E34911" s="8"/>
      <c r="G34911" s="8"/>
      <c r="J34911" s="8"/>
    </row>
    <row r="34912">
      <c r="C34912" s="15"/>
      <c r="E34912" s="8"/>
      <c r="G34912" s="8"/>
      <c r="J34912" s="8"/>
    </row>
    <row r="34913">
      <c r="C34913" s="15"/>
      <c r="E34913" s="8"/>
      <c r="G34913" s="8"/>
      <c r="J34913" s="8"/>
    </row>
    <row r="34914">
      <c r="C34914" s="15"/>
      <c r="E34914" s="8"/>
      <c r="G34914" s="8"/>
      <c r="J34914" s="8"/>
    </row>
    <row r="34915">
      <c r="C34915" s="15"/>
      <c r="E34915" s="8"/>
      <c r="G34915" s="8"/>
      <c r="J34915" s="8"/>
    </row>
    <row r="34916">
      <c r="C34916" s="15"/>
      <c r="E34916" s="8"/>
      <c r="G34916" s="8"/>
      <c r="J34916" s="8"/>
    </row>
    <row r="34917">
      <c r="C34917" s="15"/>
      <c r="E34917" s="8"/>
      <c r="G34917" s="8"/>
      <c r="J34917" s="8"/>
    </row>
    <row r="34918">
      <c r="C34918" s="15"/>
      <c r="E34918" s="8"/>
      <c r="G34918" s="8"/>
      <c r="J34918" s="8"/>
    </row>
    <row r="34919">
      <c r="C34919" s="15"/>
      <c r="E34919" s="8"/>
      <c r="G34919" s="8"/>
      <c r="J34919" s="8"/>
    </row>
    <row r="34920">
      <c r="C34920" s="15"/>
      <c r="E34920" s="8"/>
      <c r="G34920" s="8"/>
      <c r="J34920" s="8"/>
    </row>
    <row r="34921">
      <c r="C34921" s="15"/>
      <c r="E34921" s="8"/>
      <c r="G34921" s="8"/>
      <c r="J34921" s="8"/>
    </row>
    <row r="34922">
      <c r="C34922" s="15"/>
      <c r="E34922" s="8"/>
      <c r="G34922" s="8"/>
      <c r="J34922" s="8"/>
    </row>
    <row r="34923">
      <c r="C34923" s="15"/>
      <c r="E34923" s="8"/>
      <c r="G34923" s="8"/>
      <c r="J34923" s="8"/>
    </row>
    <row r="34924">
      <c r="C34924" s="15"/>
      <c r="E34924" s="8"/>
      <c r="G34924" s="8"/>
      <c r="J34924" s="8"/>
    </row>
    <row r="34925">
      <c r="C34925" s="15"/>
      <c r="E34925" s="8"/>
      <c r="G34925" s="8"/>
      <c r="J34925" s="8"/>
    </row>
    <row r="34926">
      <c r="C34926" s="15"/>
      <c r="E34926" s="8"/>
      <c r="G34926" s="8"/>
      <c r="J34926" s="8"/>
    </row>
    <row r="34927">
      <c r="C34927" s="15"/>
      <c r="E34927" s="8"/>
      <c r="G34927" s="8"/>
      <c r="J34927" s="8"/>
    </row>
    <row r="34928">
      <c r="C34928" s="15"/>
      <c r="E34928" s="8"/>
      <c r="G34928" s="8"/>
      <c r="J34928" s="8"/>
    </row>
    <row r="34929">
      <c r="C34929" s="15"/>
      <c r="E34929" s="8"/>
      <c r="G34929" s="8"/>
      <c r="J34929" s="8"/>
    </row>
    <row r="34930">
      <c r="C34930" s="15"/>
      <c r="E34930" s="8"/>
      <c r="G34930" s="8"/>
      <c r="J34930" s="8"/>
    </row>
    <row r="34931">
      <c r="C34931" s="15"/>
      <c r="E34931" s="8"/>
      <c r="G34931" s="8"/>
      <c r="J34931" s="8"/>
    </row>
    <row r="34932">
      <c r="C34932" s="15"/>
      <c r="E34932" s="8"/>
      <c r="G34932" s="8"/>
      <c r="J34932" s="8"/>
    </row>
    <row r="34933">
      <c r="C34933" s="15"/>
      <c r="E34933" s="8"/>
      <c r="G34933" s="8"/>
      <c r="J34933" s="8"/>
    </row>
    <row r="34934">
      <c r="C34934" s="15"/>
      <c r="E34934" s="8"/>
      <c r="G34934" s="8"/>
      <c r="J34934" s="8"/>
    </row>
    <row r="34935">
      <c r="C34935" s="15"/>
      <c r="E34935" s="8"/>
      <c r="G34935" s="8"/>
      <c r="J34935" s="8"/>
    </row>
    <row r="34936">
      <c r="C34936" s="15"/>
      <c r="E34936" s="8"/>
      <c r="G34936" s="8"/>
      <c r="J34936" s="8"/>
    </row>
    <row r="34937">
      <c r="C34937" s="15"/>
      <c r="E34937" s="8"/>
      <c r="G34937" s="8"/>
      <c r="J34937" s="8"/>
    </row>
    <row r="34938">
      <c r="C34938" s="15"/>
      <c r="E34938" s="8"/>
      <c r="G34938" s="8"/>
      <c r="J34938" s="8"/>
    </row>
    <row r="34939">
      <c r="C34939" s="15"/>
      <c r="E34939" s="8"/>
      <c r="G34939" s="8"/>
      <c r="J34939" s="8"/>
    </row>
    <row r="34940">
      <c r="C34940" s="15"/>
      <c r="E34940" s="8"/>
      <c r="G34940" s="8"/>
      <c r="J34940" s="8"/>
    </row>
    <row r="34941">
      <c r="C34941" s="15"/>
      <c r="E34941" s="8"/>
      <c r="G34941" s="8"/>
      <c r="J34941" s="8"/>
    </row>
    <row r="34942">
      <c r="C34942" s="15"/>
      <c r="E34942" s="8"/>
      <c r="G34942" s="8"/>
      <c r="J34942" s="8"/>
    </row>
    <row r="34943">
      <c r="C34943" s="15"/>
      <c r="E34943" s="8"/>
      <c r="G34943" s="8"/>
      <c r="J34943" s="8"/>
    </row>
    <row r="34944">
      <c r="C34944" s="15"/>
      <c r="E34944" s="8"/>
      <c r="G34944" s="8"/>
      <c r="J34944" s="8"/>
    </row>
    <row r="34945">
      <c r="C34945" s="15"/>
      <c r="E34945" s="8"/>
      <c r="G34945" s="8"/>
      <c r="J34945" s="8"/>
    </row>
    <row r="34946">
      <c r="C34946" s="15"/>
      <c r="E34946" s="8"/>
      <c r="G34946" s="8"/>
      <c r="J34946" s="8"/>
    </row>
    <row r="34947">
      <c r="C34947" s="15"/>
      <c r="E34947" s="8"/>
      <c r="G34947" s="8"/>
      <c r="J34947" s="8"/>
    </row>
    <row r="34948">
      <c r="C34948" s="15"/>
      <c r="E34948" s="8"/>
      <c r="G34948" s="8"/>
      <c r="J34948" s="8"/>
    </row>
    <row r="34949">
      <c r="C34949" s="15"/>
      <c r="E34949" s="8"/>
      <c r="G34949" s="8"/>
      <c r="J34949" s="8"/>
    </row>
    <row r="34950">
      <c r="C34950" s="15"/>
      <c r="E34950" s="8"/>
      <c r="G34950" s="8"/>
      <c r="J34950" s="8"/>
    </row>
    <row r="34951">
      <c r="C34951" s="15"/>
      <c r="E34951" s="8"/>
      <c r="G34951" s="8"/>
      <c r="J34951" s="8"/>
    </row>
    <row r="34952">
      <c r="C34952" s="15"/>
      <c r="E34952" s="8"/>
      <c r="G34952" s="8"/>
      <c r="J34952" s="8"/>
    </row>
    <row r="34953">
      <c r="C34953" s="15"/>
      <c r="E34953" s="8"/>
      <c r="G34953" s="8"/>
      <c r="J34953" s="8"/>
    </row>
    <row r="34954">
      <c r="C34954" s="15"/>
      <c r="E34954" s="8"/>
      <c r="G34954" s="8"/>
      <c r="J34954" s="8"/>
    </row>
    <row r="34955">
      <c r="C34955" s="15"/>
      <c r="E34955" s="8"/>
      <c r="G34955" s="8"/>
      <c r="J34955" s="8"/>
    </row>
    <row r="34956">
      <c r="C34956" s="15"/>
      <c r="E34956" s="8"/>
      <c r="G34956" s="8"/>
      <c r="J34956" s="8"/>
    </row>
    <row r="34957">
      <c r="C34957" s="15"/>
      <c r="E34957" s="8"/>
      <c r="G34957" s="8"/>
      <c r="J34957" s="8"/>
    </row>
    <row r="34958">
      <c r="C34958" s="15"/>
      <c r="E34958" s="8"/>
      <c r="G34958" s="8"/>
      <c r="J34958" s="8"/>
    </row>
    <row r="34959">
      <c r="C34959" s="15"/>
      <c r="E34959" s="8"/>
      <c r="G34959" s="8"/>
      <c r="J34959" s="8"/>
    </row>
    <row r="34960">
      <c r="C34960" s="15"/>
      <c r="E34960" s="8"/>
      <c r="G34960" s="8"/>
      <c r="J34960" s="8"/>
    </row>
    <row r="34961">
      <c r="C34961" s="15"/>
      <c r="E34961" s="8"/>
      <c r="G34961" s="8"/>
      <c r="J34961" s="8"/>
    </row>
    <row r="34962">
      <c r="C34962" s="15"/>
      <c r="E34962" s="8"/>
      <c r="G34962" s="8"/>
      <c r="J34962" s="8"/>
    </row>
    <row r="34963">
      <c r="C34963" s="15"/>
      <c r="E34963" s="8"/>
      <c r="G34963" s="8"/>
      <c r="J34963" s="8"/>
    </row>
    <row r="34964">
      <c r="C34964" s="15"/>
      <c r="E34964" s="8"/>
      <c r="G34964" s="8"/>
      <c r="J34964" s="8"/>
    </row>
    <row r="34965">
      <c r="C34965" s="15"/>
      <c r="E34965" s="8"/>
      <c r="G34965" s="8"/>
      <c r="J34965" s="8"/>
    </row>
    <row r="34966">
      <c r="C34966" s="15"/>
      <c r="E34966" s="8"/>
      <c r="G34966" s="8"/>
      <c r="J34966" s="8"/>
    </row>
    <row r="34967">
      <c r="C34967" s="15"/>
      <c r="E34967" s="8"/>
      <c r="G34967" s="8"/>
      <c r="J34967" s="8"/>
    </row>
    <row r="34968">
      <c r="C34968" s="15"/>
      <c r="E34968" s="8"/>
      <c r="G34968" s="8"/>
      <c r="J34968" s="8"/>
    </row>
    <row r="34969">
      <c r="C34969" s="15"/>
      <c r="E34969" s="8"/>
      <c r="G34969" s="8"/>
      <c r="J34969" s="8"/>
    </row>
    <row r="34970">
      <c r="C34970" s="15"/>
      <c r="E34970" s="8"/>
      <c r="G34970" s="8"/>
      <c r="J34970" s="8"/>
    </row>
    <row r="34971">
      <c r="C34971" s="15"/>
      <c r="E34971" s="8"/>
      <c r="G34971" s="8"/>
      <c r="J34971" s="8"/>
    </row>
    <row r="34972">
      <c r="C34972" s="15"/>
      <c r="E34972" s="8"/>
      <c r="G34972" s="8"/>
      <c r="J34972" s="8"/>
    </row>
    <row r="34973">
      <c r="C34973" s="15"/>
      <c r="E34973" s="8"/>
      <c r="G34973" s="8"/>
      <c r="J34973" s="8"/>
    </row>
    <row r="34974">
      <c r="C34974" s="15"/>
      <c r="E34974" s="8"/>
      <c r="G34974" s="8"/>
      <c r="J34974" s="8"/>
    </row>
    <row r="34975">
      <c r="C34975" s="15"/>
      <c r="E34975" s="8"/>
      <c r="G34975" s="8"/>
      <c r="J34975" s="8"/>
    </row>
    <row r="34976">
      <c r="C34976" s="15"/>
      <c r="E34976" s="8"/>
      <c r="G34976" s="8"/>
      <c r="J34976" s="8"/>
    </row>
    <row r="34977">
      <c r="C34977" s="15"/>
      <c r="E34977" s="8"/>
      <c r="G34977" s="8"/>
      <c r="J34977" s="8"/>
    </row>
    <row r="34978">
      <c r="C34978" s="15"/>
      <c r="E34978" s="8"/>
      <c r="G34978" s="8"/>
      <c r="J34978" s="8"/>
    </row>
    <row r="34979">
      <c r="C34979" s="15"/>
      <c r="E34979" s="8"/>
      <c r="G34979" s="8"/>
      <c r="J34979" s="8"/>
    </row>
    <row r="34980">
      <c r="C34980" s="15"/>
      <c r="E34980" s="8"/>
      <c r="G34980" s="8"/>
      <c r="J34980" s="8"/>
    </row>
    <row r="34981">
      <c r="C34981" s="15"/>
      <c r="E34981" s="8"/>
      <c r="G34981" s="8"/>
      <c r="J34981" s="8"/>
    </row>
    <row r="34982">
      <c r="C34982" s="15"/>
      <c r="E34982" s="8"/>
      <c r="G34982" s="8"/>
      <c r="J34982" s="8"/>
    </row>
    <row r="34983">
      <c r="C34983" s="15"/>
      <c r="E34983" s="8"/>
      <c r="G34983" s="8"/>
      <c r="J34983" s="8"/>
    </row>
    <row r="34984">
      <c r="C34984" s="15"/>
      <c r="E34984" s="8"/>
      <c r="G34984" s="8"/>
      <c r="J34984" s="8"/>
    </row>
    <row r="34985">
      <c r="C34985" s="15"/>
      <c r="E34985" s="8"/>
      <c r="G34985" s="8"/>
      <c r="J34985" s="8"/>
    </row>
    <row r="34986">
      <c r="C34986" s="15"/>
      <c r="E34986" s="8"/>
      <c r="G34986" s="8"/>
      <c r="J34986" s="8"/>
    </row>
    <row r="34987">
      <c r="C34987" s="15"/>
      <c r="E34987" s="8"/>
      <c r="G34987" s="8"/>
      <c r="J34987" s="8"/>
    </row>
    <row r="34988">
      <c r="C34988" s="15"/>
      <c r="E34988" s="8"/>
      <c r="G34988" s="8"/>
      <c r="J34988" s="8"/>
    </row>
    <row r="34989">
      <c r="C34989" s="15"/>
      <c r="E34989" s="8"/>
      <c r="G34989" s="8"/>
      <c r="J34989" s="8"/>
    </row>
    <row r="34990">
      <c r="C34990" s="15"/>
      <c r="E34990" s="8"/>
      <c r="G34990" s="8"/>
      <c r="J34990" s="8"/>
    </row>
    <row r="34991">
      <c r="C34991" s="15"/>
      <c r="E34991" s="8"/>
      <c r="G34991" s="8"/>
      <c r="J34991" s="8"/>
    </row>
    <row r="34992">
      <c r="C34992" s="15"/>
      <c r="E34992" s="8"/>
      <c r="G34992" s="8"/>
      <c r="J34992" s="8"/>
    </row>
    <row r="34993">
      <c r="C34993" s="15"/>
      <c r="E34993" s="8"/>
      <c r="G34993" s="8"/>
      <c r="J34993" s="8"/>
    </row>
    <row r="34994">
      <c r="C34994" s="15"/>
      <c r="E34994" s="8"/>
      <c r="G34994" s="8"/>
      <c r="J34994" s="8"/>
    </row>
    <row r="34995">
      <c r="C34995" s="15"/>
      <c r="E34995" s="8"/>
      <c r="G34995" s="8"/>
      <c r="J34995" s="8"/>
    </row>
    <row r="34996">
      <c r="C34996" s="15"/>
      <c r="E34996" s="8"/>
      <c r="G34996" s="8"/>
      <c r="J34996" s="8"/>
    </row>
    <row r="34997">
      <c r="C34997" s="15"/>
      <c r="E34997" s="8"/>
      <c r="G34997" s="8"/>
      <c r="J34997" s="8"/>
    </row>
    <row r="34998">
      <c r="C34998" s="15"/>
      <c r="E34998" s="8"/>
      <c r="G34998" s="8"/>
      <c r="J34998" s="8"/>
    </row>
    <row r="34999">
      <c r="C34999" s="15"/>
      <c r="E34999" s="8"/>
      <c r="G34999" s="8"/>
      <c r="J34999" s="8"/>
    </row>
    <row r="35000">
      <c r="C35000" s="15"/>
      <c r="E35000" s="8"/>
      <c r="G35000" s="8"/>
      <c r="J35000" s="8"/>
    </row>
    <row r="35001">
      <c r="C35001" s="15"/>
      <c r="E35001" s="8"/>
      <c r="G35001" s="8"/>
      <c r="J35001" s="8"/>
    </row>
    <row r="35002">
      <c r="C35002" s="15"/>
      <c r="E35002" s="8"/>
      <c r="G35002" s="8"/>
      <c r="J35002" s="8"/>
    </row>
    <row r="35003">
      <c r="C35003" s="15"/>
      <c r="E35003" s="8"/>
      <c r="G35003" s="8"/>
      <c r="J35003" s="8"/>
    </row>
    <row r="35004">
      <c r="C35004" s="15"/>
      <c r="E35004" s="8"/>
      <c r="G35004" s="8"/>
      <c r="J35004" s="8"/>
    </row>
    <row r="35005">
      <c r="C35005" s="15"/>
      <c r="E35005" s="8"/>
      <c r="G35005" s="8"/>
      <c r="J35005" s="8"/>
    </row>
    <row r="35006">
      <c r="C35006" s="15"/>
      <c r="E35006" s="8"/>
      <c r="G35006" s="8"/>
      <c r="J35006" s="8"/>
    </row>
    <row r="35007">
      <c r="C35007" s="15"/>
      <c r="E35007" s="8"/>
      <c r="G35007" s="8"/>
      <c r="J35007" s="8"/>
    </row>
    <row r="35008">
      <c r="C35008" s="15"/>
      <c r="E35008" s="8"/>
      <c r="G35008" s="8"/>
      <c r="J35008" s="8"/>
    </row>
    <row r="35009">
      <c r="C35009" s="15"/>
      <c r="E35009" s="8"/>
      <c r="G35009" s="8"/>
      <c r="J35009" s="8"/>
    </row>
    <row r="35010">
      <c r="C35010" s="15"/>
      <c r="E35010" s="8"/>
      <c r="G35010" s="8"/>
      <c r="J35010" s="8"/>
    </row>
    <row r="35011">
      <c r="C35011" s="15"/>
      <c r="E35011" s="8"/>
      <c r="G35011" s="8"/>
      <c r="J35011" s="8"/>
    </row>
    <row r="35012">
      <c r="C35012" s="15"/>
      <c r="E35012" s="8"/>
      <c r="G35012" s="8"/>
      <c r="J35012" s="8"/>
    </row>
    <row r="35013">
      <c r="C35013" s="15"/>
      <c r="E35013" s="8"/>
      <c r="G35013" s="8"/>
      <c r="J35013" s="8"/>
    </row>
    <row r="35014">
      <c r="C35014" s="15"/>
      <c r="E35014" s="8"/>
      <c r="G35014" s="8"/>
      <c r="J35014" s="8"/>
    </row>
    <row r="35015">
      <c r="C35015" s="15"/>
      <c r="E35015" s="8"/>
      <c r="G35015" s="8"/>
      <c r="J35015" s="8"/>
    </row>
    <row r="35016">
      <c r="C35016" s="15"/>
      <c r="E35016" s="8"/>
      <c r="G35016" s="8"/>
      <c r="J35016" s="8"/>
    </row>
    <row r="35017">
      <c r="C35017" s="15"/>
      <c r="E35017" s="8"/>
      <c r="G35017" s="8"/>
      <c r="J35017" s="8"/>
    </row>
    <row r="35018">
      <c r="C35018" s="15"/>
      <c r="E35018" s="8"/>
      <c r="G35018" s="8"/>
      <c r="J35018" s="8"/>
    </row>
    <row r="35019">
      <c r="C35019" s="15"/>
      <c r="E35019" s="8"/>
      <c r="G35019" s="8"/>
      <c r="J35019" s="8"/>
    </row>
    <row r="35020">
      <c r="C35020" s="15"/>
      <c r="E35020" s="8"/>
      <c r="G35020" s="8"/>
      <c r="J35020" s="8"/>
    </row>
    <row r="35021">
      <c r="C35021" s="15"/>
      <c r="E35021" s="8"/>
      <c r="G35021" s="8"/>
      <c r="J35021" s="8"/>
    </row>
    <row r="35022">
      <c r="C35022" s="15"/>
      <c r="E35022" s="8"/>
      <c r="G35022" s="8"/>
      <c r="J35022" s="8"/>
    </row>
    <row r="35023">
      <c r="C35023" s="15"/>
      <c r="E35023" s="8"/>
      <c r="G35023" s="8"/>
      <c r="J35023" s="8"/>
    </row>
    <row r="35024">
      <c r="C35024" s="15"/>
      <c r="E35024" s="8"/>
      <c r="G35024" s="8"/>
      <c r="J35024" s="8"/>
    </row>
    <row r="35025">
      <c r="C35025" s="15"/>
      <c r="E35025" s="8"/>
      <c r="G35025" s="8"/>
      <c r="J35025" s="8"/>
    </row>
    <row r="35026">
      <c r="C35026" s="15"/>
      <c r="E35026" s="8"/>
      <c r="G35026" s="8"/>
      <c r="J35026" s="8"/>
    </row>
    <row r="35027">
      <c r="C35027" s="15"/>
      <c r="E35027" s="8"/>
      <c r="G35027" s="8"/>
      <c r="J35027" s="8"/>
    </row>
    <row r="35028">
      <c r="C35028" s="15"/>
      <c r="E35028" s="8"/>
      <c r="G35028" s="8"/>
      <c r="J35028" s="8"/>
    </row>
    <row r="35029">
      <c r="C35029" s="15"/>
      <c r="E35029" s="8"/>
      <c r="G35029" s="8"/>
      <c r="J35029" s="8"/>
    </row>
    <row r="35030">
      <c r="C35030" s="15"/>
      <c r="E35030" s="8"/>
      <c r="G35030" s="8"/>
      <c r="J35030" s="8"/>
    </row>
    <row r="35031">
      <c r="C35031" s="15"/>
      <c r="E35031" s="8"/>
      <c r="G35031" s="8"/>
      <c r="J35031" s="8"/>
    </row>
    <row r="35032">
      <c r="C35032" s="15"/>
      <c r="E35032" s="8"/>
      <c r="G35032" s="8"/>
      <c r="J35032" s="8"/>
    </row>
    <row r="35033">
      <c r="C35033" s="15"/>
      <c r="E35033" s="8"/>
      <c r="G35033" s="8"/>
      <c r="J35033" s="8"/>
    </row>
    <row r="35034">
      <c r="C35034" s="15"/>
      <c r="E35034" s="8"/>
      <c r="G35034" s="8"/>
      <c r="J35034" s="8"/>
    </row>
    <row r="35035">
      <c r="C35035" s="15"/>
      <c r="E35035" s="8"/>
      <c r="G35035" s="8"/>
      <c r="J35035" s="8"/>
    </row>
    <row r="35036">
      <c r="C35036" s="15"/>
      <c r="E35036" s="8"/>
      <c r="G35036" s="8"/>
      <c r="J35036" s="8"/>
    </row>
    <row r="35037">
      <c r="C35037" s="15"/>
      <c r="E35037" s="8"/>
      <c r="G35037" s="8"/>
      <c r="J35037" s="8"/>
    </row>
    <row r="35038">
      <c r="C35038" s="15"/>
      <c r="E35038" s="8"/>
      <c r="G35038" s="8"/>
      <c r="J35038" s="8"/>
    </row>
    <row r="35039">
      <c r="C35039" s="15"/>
      <c r="E35039" s="8"/>
      <c r="G35039" s="8"/>
      <c r="J35039" s="8"/>
    </row>
    <row r="35040">
      <c r="C35040" s="15"/>
      <c r="E35040" s="8"/>
      <c r="G35040" s="8"/>
      <c r="J35040" s="8"/>
    </row>
    <row r="35041">
      <c r="C35041" s="15"/>
      <c r="E35041" s="8"/>
      <c r="G35041" s="8"/>
      <c r="J35041" s="8"/>
    </row>
    <row r="35042">
      <c r="C35042" s="15"/>
      <c r="E35042" s="8"/>
      <c r="G35042" s="8"/>
      <c r="J35042" s="8"/>
    </row>
    <row r="35043">
      <c r="C35043" s="15"/>
      <c r="E35043" s="8"/>
      <c r="G35043" s="8"/>
      <c r="J35043" s="8"/>
    </row>
    <row r="35044">
      <c r="C35044" s="15"/>
      <c r="E35044" s="8"/>
      <c r="G35044" s="8"/>
      <c r="J35044" s="8"/>
    </row>
    <row r="35045">
      <c r="C35045" s="15"/>
      <c r="E35045" s="8"/>
      <c r="G35045" s="8"/>
      <c r="J35045" s="8"/>
    </row>
    <row r="35046">
      <c r="C35046" s="15"/>
      <c r="E35046" s="8"/>
      <c r="G35046" s="8"/>
      <c r="J35046" s="8"/>
    </row>
    <row r="35047">
      <c r="C35047" s="15"/>
      <c r="E35047" s="8"/>
      <c r="G35047" s="8"/>
      <c r="J35047" s="8"/>
    </row>
    <row r="35048">
      <c r="C35048" s="15"/>
      <c r="E35048" s="8"/>
      <c r="G35048" s="8"/>
      <c r="J35048" s="8"/>
    </row>
    <row r="35049">
      <c r="C35049" s="15"/>
      <c r="E35049" s="8"/>
      <c r="G35049" s="8"/>
      <c r="J35049" s="8"/>
    </row>
    <row r="35050">
      <c r="C35050" s="15"/>
      <c r="E35050" s="8"/>
      <c r="G35050" s="8"/>
      <c r="J35050" s="8"/>
    </row>
    <row r="35051">
      <c r="C35051" s="15"/>
      <c r="E35051" s="8"/>
      <c r="G35051" s="8"/>
      <c r="J35051" s="8"/>
    </row>
    <row r="35052">
      <c r="C35052" s="15"/>
      <c r="E35052" s="8"/>
      <c r="G35052" s="8"/>
      <c r="J35052" s="8"/>
    </row>
    <row r="35053">
      <c r="C35053" s="15"/>
      <c r="E35053" s="8"/>
      <c r="G35053" s="8"/>
      <c r="J35053" s="8"/>
    </row>
    <row r="35054">
      <c r="C35054" s="15"/>
      <c r="E35054" s="8"/>
      <c r="G35054" s="8"/>
      <c r="J35054" s="8"/>
    </row>
    <row r="35055">
      <c r="C35055" s="15"/>
      <c r="E35055" s="8"/>
      <c r="G35055" s="8"/>
      <c r="J35055" s="8"/>
    </row>
    <row r="35056">
      <c r="C35056" s="15"/>
      <c r="E35056" s="8"/>
      <c r="G35056" s="8"/>
      <c r="J35056" s="8"/>
    </row>
    <row r="35057">
      <c r="C35057" s="15"/>
      <c r="E35057" s="8"/>
      <c r="G35057" s="8"/>
      <c r="J35057" s="8"/>
    </row>
    <row r="35058">
      <c r="C35058" s="15"/>
      <c r="E35058" s="8"/>
      <c r="G35058" s="8"/>
      <c r="J35058" s="8"/>
    </row>
    <row r="35059">
      <c r="C35059" s="15"/>
      <c r="E35059" s="8"/>
      <c r="G35059" s="8"/>
      <c r="J35059" s="8"/>
    </row>
    <row r="35060">
      <c r="C35060" s="15"/>
      <c r="E35060" s="8"/>
      <c r="G35060" s="8"/>
      <c r="J35060" s="8"/>
    </row>
    <row r="35061">
      <c r="C35061" s="15"/>
      <c r="E35061" s="8"/>
      <c r="G35061" s="8"/>
      <c r="J35061" s="8"/>
    </row>
    <row r="35062">
      <c r="C35062" s="15"/>
      <c r="E35062" s="8"/>
      <c r="G35062" s="8"/>
      <c r="J35062" s="8"/>
    </row>
    <row r="35063">
      <c r="C35063" s="15"/>
      <c r="E35063" s="8"/>
      <c r="G35063" s="8"/>
      <c r="J35063" s="8"/>
    </row>
    <row r="35064">
      <c r="C35064" s="15"/>
      <c r="E35064" s="8"/>
      <c r="G35064" s="8"/>
      <c r="J35064" s="8"/>
    </row>
    <row r="35065">
      <c r="C35065" s="15"/>
      <c r="E35065" s="8"/>
      <c r="G35065" s="8"/>
      <c r="J35065" s="8"/>
    </row>
    <row r="35066">
      <c r="C35066" s="15"/>
      <c r="E35066" s="8"/>
      <c r="G35066" s="8"/>
      <c r="J35066" s="8"/>
    </row>
    <row r="35067">
      <c r="C35067" s="15"/>
      <c r="E35067" s="8"/>
      <c r="G35067" s="8"/>
      <c r="J35067" s="8"/>
    </row>
    <row r="35068">
      <c r="C35068" s="15"/>
      <c r="E35068" s="8"/>
      <c r="G35068" s="8"/>
      <c r="J35068" s="8"/>
    </row>
    <row r="35069">
      <c r="C35069" s="15"/>
      <c r="E35069" s="8"/>
      <c r="G35069" s="8"/>
      <c r="J35069" s="8"/>
    </row>
    <row r="35070">
      <c r="C35070" s="15"/>
      <c r="E35070" s="8"/>
      <c r="G35070" s="8"/>
      <c r="J35070" s="8"/>
    </row>
    <row r="35071">
      <c r="C35071" s="15"/>
      <c r="E35071" s="8"/>
      <c r="G35071" s="8"/>
      <c r="J35071" s="8"/>
    </row>
    <row r="35072">
      <c r="C35072" s="15"/>
      <c r="E35072" s="8"/>
      <c r="G35072" s="8"/>
      <c r="J35072" s="8"/>
    </row>
    <row r="35073">
      <c r="C35073" s="15"/>
      <c r="E35073" s="8"/>
      <c r="G35073" s="8"/>
      <c r="J35073" s="8"/>
    </row>
    <row r="35074">
      <c r="C35074" s="15"/>
      <c r="E35074" s="8"/>
      <c r="G35074" s="8"/>
      <c r="J35074" s="8"/>
    </row>
    <row r="35075">
      <c r="C35075" s="15"/>
      <c r="E35075" s="8"/>
      <c r="G35075" s="8"/>
      <c r="J35075" s="8"/>
    </row>
    <row r="35076">
      <c r="C35076" s="15"/>
      <c r="E35076" s="8"/>
      <c r="G35076" s="8"/>
      <c r="J35076" s="8"/>
    </row>
    <row r="35077">
      <c r="C35077" s="15"/>
      <c r="E35077" s="8"/>
      <c r="G35077" s="8"/>
      <c r="J35077" s="8"/>
    </row>
    <row r="35078">
      <c r="C35078" s="15"/>
      <c r="E35078" s="8"/>
      <c r="G35078" s="8"/>
      <c r="J35078" s="8"/>
    </row>
    <row r="35079">
      <c r="C35079" s="15"/>
      <c r="E35079" s="8"/>
      <c r="G35079" s="8"/>
      <c r="J35079" s="8"/>
    </row>
    <row r="35080">
      <c r="C35080" s="15"/>
      <c r="E35080" s="8"/>
      <c r="G35080" s="8"/>
      <c r="J35080" s="8"/>
    </row>
    <row r="35081">
      <c r="C35081" s="15"/>
      <c r="E35081" s="8"/>
      <c r="G35081" s="8"/>
      <c r="J35081" s="8"/>
    </row>
    <row r="35082">
      <c r="C35082" s="15"/>
      <c r="E35082" s="8"/>
      <c r="G35082" s="8"/>
      <c r="J35082" s="8"/>
    </row>
    <row r="35083">
      <c r="C35083" s="15"/>
      <c r="E35083" s="8"/>
      <c r="G35083" s="8"/>
      <c r="J35083" s="8"/>
    </row>
    <row r="35084">
      <c r="C35084" s="15"/>
      <c r="E35084" s="8"/>
      <c r="G35084" s="8"/>
      <c r="J35084" s="8"/>
    </row>
    <row r="35085">
      <c r="C35085" s="15"/>
      <c r="E35085" s="8"/>
      <c r="G35085" s="8"/>
      <c r="J35085" s="8"/>
    </row>
    <row r="35086">
      <c r="C35086" s="15"/>
      <c r="E35086" s="8"/>
      <c r="G35086" s="8"/>
      <c r="J35086" s="8"/>
    </row>
    <row r="35087">
      <c r="C35087" s="15"/>
      <c r="E35087" s="8"/>
      <c r="G35087" s="8"/>
      <c r="J35087" s="8"/>
    </row>
    <row r="35088">
      <c r="C35088" s="15"/>
      <c r="E35088" s="8"/>
      <c r="G35088" s="8"/>
      <c r="J35088" s="8"/>
    </row>
    <row r="35089">
      <c r="C35089" s="15"/>
      <c r="E35089" s="8"/>
      <c r="G35089" s="8"/>
      <c r="J35089" s="8"/>
    </row>
    <row r="35090">
      <c r="C35090" s="15"/>
      <c r="E35090" s="8"/>
      <c r="G35090" s="8"/>
      <c r="J35090" s="8"/>
    </row>
    <row r="35091">
      <c r="C35091" s="15"/>
      <c r="E35091" s="8"/>
      <c r="G35091" s="8"/>
      <c r="J35091" s="8"/>
    </row>
    <row r="35092">
      <c r="C35092" s="15"/>
      <c r="E35092" s="8"/>
      <c r="G35092" s="8"/>
      <c r="J35092" s="8"/>
    </row>
    <row r="35093">
      <c r="C35093" s="15"/>
      <c r="E35093" s="8"/>
      <c r="G35093" s="8"/>
      <c r="J35093" s="8"/>
    </row>
    <row r="35094">
      <c r="C35094" s="15"/>
      <c r="E35094" s="8"/>
      <c r="G35094" s="8"/>
      <c r="J35094" s="8"/>
    </row>
    <row r="35095">
      <c r="C35095" s="15"/>
      <c r="E35095" s="8"/>
      <c r="G35095" s="8"/>
      <c r="J35095" s="8"/>
    </row>
    <row r="35096">
      <c r="C35096" s="15"/>
      <c r="E35096" s="8"/>
      <c r="G35096" s="8"/>
      <c r="J35096" s="8"/>
    </row>
    <row r="35097">
      <c r="C35097" s="15"/>
      <c r="E35097" s="8"/>
      <c r="G35097" s="8"/>
      <c r="J35097" s="8"/>
    </row>
    <row r="35098">
      <c r="C35098" s="15"/>
      <c r="E35098" s="8"/>
      <c r="G35098" s="8"/>
      <c r="J35098" s="8"/>
    </row>
    <row r="35099">
      <c r="C35099" s="15"/>
      <c r="E35099" s="8"/>
      <c r="G35099" s="8"/>
      <c r="J35099" s="8"/>
    </row>
    <row r="35100">
      <c r="C35100" s="15"/>
      <c r="E35100" s="8"/>
      <c r="G35100" s="8"/>
      <c r="J35100" s="8"/>
    </row>
    <row r="35101">
      <c r="C35101" s="15"/>
      <c r="E35101" s="8"/>
      <c r="G35101" s="8"/>
      <c r="J35101" s="8"/>
    </row>
    <row r="35102">
      <c r="C35102" s="15"/>
      <c r="E35102" s="8"/>
      <c r="G35102" s="8"/>
      <c r="J35102" s="8"/>
    </row>
    <row r="35103">
      <c r="C35103" s="15"/>
      <c r="E35103" s="8"/>
      <c r="G35103" s="8"/>
      <c r="J35103" s="8"/>
    </row>
    <row r="35104">
      <c r="C35104" s="15"/>
      <c r="E35104" s="8"/>
      <c r="G35104" s="8"/>
      <c r="J35104" s="8"/>
    </row>
    <row r="35105">
      <c r="C35105" s="15"/>
      <c r="E35105" s="8"/>
      <c r="G35105" s="8"/>
      <c r="J35105" s="8"/>
    </row>
    <row r="35106">
      <c r="C35106" s="15"/>
      <c r="E35106" s="8"/>
      <c r="G35106" s="8"/>
      <c r="J35106" s="8"/>
    </row>
    <row r="35107">
      <c r="C35107" s="15"/>
      <c r="E35107" s="8"/>
      <c r="G35107" s="8"/>
      <c r="J35107" s="8"/>
    </row>
    <row r="35108">
      <c r="C35108" s="15"/>
      <c r="E35108" s="8"/>
      <c r="G35108" s="8"/>
      <c r="J35108" s="8"/>
    </row>
    <row r="35109">
      <c r="C35109" s="15"/>
      <c r="E35109" s="8"/>
      <c r="G35109" s="8"/>
      <c r="J35109" s="8"/>
    </row>
    <row r="35110">
      <c r="C35110" s="15"/>
      <c r="E35110" s="8"/>
      <c r="G35110" s="8"/>
      <c r="J35110" s="8"/>
    </row>
    <row r="35111">
      <c r="C35111" s="15"/>
      <c r="E35111" s="8"/>
      <c r="G35111" s="8"/>
      <c r="J35111" s="8"/>
    </row>
    <row r="35112">
      <c r="C35112" s="15"/>
      <c r="E35112" s="8"/>
      <c r="G35112" s="8"/>
      <c r="J35112" s="8"/>
    </row>
    <row r="35113">
      <c r="C35113" s="15"/>
      <c r="E35113" s="8"/>
      <c r="G35113" s="8"/>
      <c r="J35113" s="8"/>
    </row>
    <row r="35114">
      <c r="C35114" s="15"/>
      <c r="E35114" s="8"/>
      <c r="G35114" s="8"/>
      <c r="J35114" s="8"/>
    </row>
    <row r="35115">
      <c r="C35115" s="15"/>
      <c r="E35115" s="8"/>
      <c r="G35115" s="8"/>
      <c r="J35115" s="8"/>
    </row>
    <row r="35116">
      <c r="C35116" s="15"/>
      <c r="E35116" s="8"/>
      <c r="G35116" s="8"/>
      <c r="J35116" s="8"/>
    </row>
    <row r="35117">
      <c r="C35117" s="15"/>
      <c r="E35117" s="8"/>
      <c r="G35117" s="8"/>
      <c r="J35117" s="8"/>
    </row>
    <row r="35118">
      <c r="C35118" s="15"/>
      <c r="E35118" s="8"/>
      <c r="G35118" s="8"/>
      <c r="J35118" s="8"/>
    </row>
    <row r="35119">
      <c r="C35119" s="15"/>
      <c r="E35119" s="8"/>
      <c r="G35119" s="8"/>
      <c r="J35119" s="8"/>
    </row>
    <row r="35120">
      <c r="C35120" s="15"/>
      <c r="E35120" s="8"/>
      <c r="G35120" s="8"/>
      <c r="J35120" s="8"/>
    </row>
    <row r="35121">
      <c r="C35121" s="15"/>
      <c r="E35121" s="8"/>
      <c r="G35121" s="8"/>
      <c r="J35121" s="8"/>
    </row>
    <row r="35122">
      <c r="C35122" s="15"/>
      <c r="E35122" s="8"/>
      <c r="G35122" s="8"/>
      <c r="J35122" s="8"/>
    </row>
    <row r="35123">
      <c r="C35123" s="15"/>
      <c r="E35123" s="8"/>
      <c r="G35123" s="8"/>
      <c r="J35123" s="8"/>
    </row>
    <row r="35124">
      <c r="C35124" s="15"/>
      <c r="E35124" s="8"/>
      <c r="G35124" s="8"/>
      <c r="J35124" s="8"/>
    </row>
    <row r="35125">
      <c r="C35125" s="15"/>
      <c r="E35125" s="8"/>
      <c r="G35125" s="8"/>
      <c r="J35125" s="8"/>
    </row>
    <row r="35126">
      <c r="C35126" s="15"/>
      <c r="E35126" s="8"/>
      <c r="G35126" s="8"/>
      <c r="J35126" s="8"/>
    </row>
    <row r="35127">
      <c r="C35127" s="15"/>
      <c r="E35127" s="8"/>
      <c r="G35127" s="8"/>
      <c r="J35127" s="8"/>
    </row>
    <row r="35128">
      <c r="C35128" s="15"/>
      <c r="E35128" s="8"/>
      <c r="G35128" s="8"/>
      <c r="J35128" s="8"/>
    </row>
    <row r="35129">
      <c r="C35129" s="15"/>
      <c r="E35129" s="8"/>
      <c r="G35129" s="8"/>
      <c r="J35129" s="8"/>
    </row>
    <row r="35130">
      <c r="C35130" s="15"/>
      <c r="E35130" s="8"/>
      <c r="G35130" s="8"/>
      <c r="J35130" s="8"/>
    </row>
    <row r="35131">
      <c r="C35131" s="15"/>
      <c r="E35131" s="8"/>
      <c r="G35131" s="8"/>
      <c r="J35131" s="8"/>
    </row>
    <row r="35132">
      <c r="C35132" s="15"/>
      <c r="E35132" s="8"/>
      <c r="G35132" s="8"/>
      <c r="J35132" s="8"/>
    </row>
    <row r="35133">
      <c r="C35133" s="15"/>
      <c r="E35133" s="8"/>
      <c r="G35133" s="8"/>
      <c r="J35133" s="8"/>
    </row>
    <row r="35134">
      <c r="C35134" s="15"/>
      <c r="E35134" s="8"/>
      <c r="G35134" s="8"/>
      <c r="J35134" s="8"/>
    </row>
    <row r="35135">
      <c r="C35135" s="15"/>
      <c r="E35135" s="8"/>
      <c r="G35135" s="8"/>
      <c r="J35135" s="8"/>
    </row>
    <row r="35136">
      <c r="C35136" s="15"/>
      <c r="E35136" s="8"/>
      <c r="G35136" s="8"/>
      <c r="J35136" s="8"/>
    </row>
    <row r="35137">
      <c r="C35137" s="15"/>
      <c r="E35137" s="8"/>
      <c r="G35137" s="8"/>
      <c r="J35137" s="8"/>
    </row>
    <row r="35138">
      <c r="C35138" s="15"/>
      <c r="E35138" s="8"/>
      <c r="G35138" s="8"/>
      <c r="J35138" s="8"/>
    </row>
    <row r="35139">
      <c r="C35139" s="15"/>
      <c r="E35139" s="8"/>
      <c r="G35139" s="8"/>
      <c r="J35139" s="8"/>
    </row>
    <row r="35140">
      <c r="C35140" s="15"/>
      <c r="E35140" s="8"/>
      <c r="G35140" s="8"/>
      <c r="J35140" s="8"/>
    </row>
    <row r="35141">
      <c r="C35141" s="15"/>
      <c r="E35141" s="8"/>
      <c r="G35141" s="8"/>
      <c r="J35141" s="8"/>
    </row>
    <row r="35142">
      <c r="C35142" s="15"/>
      <c r="E35142" s="8"/>
      <c r="G35142" s="8"/>
      <c r="J35142" s="8"/>
    </row>
    <row r="35143">
      <c r="C35143" s="15"/>
      <c r="E35143" s="8"/>
      <c r="G35143" s="8"/>
      <c r="J35143" s="8"/>
    </row>
    <row r="35144">
      <c r="C35144" s="15"/>
      <c r="E35144" s="8"/>
      <c r="G35144" s="8"/>
      <c r="J35144" s="8"/>
    </row>
    <row r="35145">
      <c r="C35145" s="15"/>
      <c r="E35145" s="8"/>
      <c r="G35145" s="8"/>
      <c r="J35145" s="8"/>
    </row>
    <row r="35146">
      <c r="C35146" s="15"/>
      <c r="E35146" s="8"/>
      <c r="G35146" s="8"/>
      <c r="J35146" s="8"/>
    </row>
    <row r="35147">
      <c r="C35147" s="15"/>
      <c r="E35147" s="8"/>
      <c r="G35147" s="8"/>
      <c r="J35147" s="8"/>
    </row>
    <row r="35148">
      <c r="C35148" s="15"/>
      <c r="E35148" s="8"/>
      <c r="G35148" s="8"/>
      <c r="J35148" s="8"/>
    </row>
    <row r="35149">
      <c r="C35149" s="15"/>
      <c r="E35149" s="8"/>
      <c r="G35149" s="8"/>
      <c r="J35149" s="8"/>
    </row>
    <row r="35150">
      <c r="C35150" s="15"/>
      <c r="E35150" s="8"/>
      <c r="G35150" s="8"/>
      <c r="J35150" s="8"/>
    </row>
    <row r="35151">
      <c r="C35151" s="15"/>
      <c r="E35151" s="8"/>
      <c r="G35151" s="8"/>
      <c r="J35151" s="8"/>
    </row>
    <row r="35152">
      <c r="C35152" s="15"/>
      <c r="E35152" s="8"/>
      <c r="G35152" s="8"/>
      <c r="J35152" s="8"/>
    </row>
    <row r="35153">
      <c r="C35153" s="15"/>
      <c r="E35153" s="8"/>
      <c r="G35153" s="8"/>
      <c r="J35153" s="8"/>
    </row>
    <row r="35154">
      <c r="C35154" s="15"/>
      <c r="E35154" s="8"/>
      <c r="G35154" s="8"/>
      <c r="J35154" s="8"/>
    </row>
    <row r="35155">
      <c r="C35155" s="15"/>
      <c r="E35155" s="8"/>
      <c r="G35155" s="8"/>
      <c r="J35155" s="8"/>
    </row>
    <row r="35156">
      <c r="C35156" s="15"/>
      <c r="E35156" s="8"/>
      <c r="G35156" s="8"/>
      <c r="J35156" s="8"/>
    </row>
    <row r="35157">
      <c r="C35157" s="15"/>
      <c r="E35157" s="8"/>
      <c r="G35157" s="8"/>
      <c r="J35157" s="8"/>
    </row>
    <row r="35158">
      <c r="C35158" s="15"/>
      <c r="E35158" s="8"/>
      <c r="G35158" s="8"/>
      <c r="J35158" s="8"/>
    </row>
    <row r="35159">
      <c r="C35159" s="15"/>
      <c r="E35159" s="8"/>
      <c r="G35159" s="8"/>
      <c r="J35159" s="8"/>
    </row>
    <row r="35160">
      <c r="C35160" s="15"/>
      <c r="E35160" s="8"/>
      <c r="G35160" s="8"/>
      <c r="J35160" s="8"/>
    </row>
    <row r="35161">
      <c r="C35161" s="15"/>
      <c r="E35161" s="8"/>
      <c r="G35161" s="8"/>
      <c r="J35161" s="8"/>
    </row>
    <row r="35162">
      <c r="C35162" s="15"/>
      <c r="E35162" s="8"/>
      <c r="G35162" s="8"/>
      <c r="J35162" s="8"/>
    </row>
    <row r="35163">
      <c r="C35163" s="15"/>
      <c r="E35163" s="8"/>
      <c r="G35163" s="8"/>
      <c r="J35163" s="8"/>
    </row>
    <row r="35164">
      <c r="C35164" s="15"/>
      <c r="E35164" s="8"/>
      <c r="G35164" s="8"/>
      <c r="J35164" s="8"/>
    </row>
    <row r="35165">
      <c r="C35165" s="15"/>
      <c r="E35165" s="8"/>
      <c r="G35165" s="8"/>
      <c r="J35165" s="8"/>
    </row>
    <row r="35166">
      <c r="C35166" s="15"/>
      <c r="E35166" s="8"/>
      <c r="G35166" s="8"/>
      <c r="J35166" s="8"/>
    </row>
    <row r="35167">
      <c r="C35167" s="15"/>
      <c r="E35167" s="8"/>
      <c r="G35167" s="8"/>
      <c r="J35167" s="8"/>
    </row>
    <row r="35168">
      <c r="C35168" s="15"/>
      <c r="E35168" s="8"/>
      <c r="G35168" s="8"/>
      <c r="J35168" s="8"/>
    </row>
    <row r="35169">
      <c r="C35169" s="15"/>
      <c r="E35169" s="8"/>
      <c r="G35169" s="8"/>
      <c r="J35169" s="8"/>
    </row>
    <row r="35170">
      <c r="C35170" s="15"/>
      <c r="E35170" s="8"/>
      <c r="G35170" s="8"/>
      <c r="J35170" s="8"/>
    </row>
    <row r="35171">
      <c r="C35171" s="15"/>
      <c r="E35171" s="8"/>
      <c r="G35171" s="8"/>
      <c r="J35171" s="8"/>
    </row>
    <row r="35172">
      <c r="C35172" s="15"/>
      <c r="E35172" s="8"/>
      <c r="G35172" s="8"/>
      <c r="J35172" s="8"/>
    </row>
    <row r="35173">
      <c r="C35173" s="15"/>
      <c r="E35173" s="8"/>
      <c r="G35173" s="8"/>
      <c r="J35173" s="8"/>
    </row>
    <row r="35174">
      <c r="C35174" s="15"/>
      <c r="E35174" s="8"/>
      <c r="G35174" s="8"/>
      <c r="J35174" s="8"/>
    </row>
    <row r="35175">
      <c r="C35175" s="15"/>
      <c r="E35175" s="8"/>
      <c r="G35175" s="8"/>
      <c r="J35175" s="8"/>
    </row>
    <row r="35176">
      <c r="C35176" s="15"/>
      <c r="E35176" s="8"/>
      <c r="G35176" s="8"/>
      <c r="J35176" s="8"/>
    </row>
    <row r="35177">
      <c r="C35177" s="15"/>
      <c r="E35177" s="8"/>
      <c r="G35177" s="8"/>
      <c r="J35177" s="8"/>
    </row>
    <row r="35178">
      <c r="C35178" s="15"/>
      <c r="E35178" s="8"/>
      <c r="G35178" s="8"/>
      <c r="J35178" s="8"/>
    </row>
    <row r="35179">
      <c r="C35179" s="15"/>
      <c r="E35179" s="8"/>
      <c r="G35179" s="8"/>
      <c r="J35179" s="8"/>
    </row>
    <row r="35180">
      <c r="C35180" s="15"/>
      <c r="E35180" s="8"/>
      <c r="G35180" s="8"/>
      <c r="J35180" s="8"/>
    </row>
    <row r="35181">
      <c r="C35181" s="15"/>
      <c r="E35181" s="8"/>
      <c r="G35181" s="8"/>
      <c r="J35181" s="8"/>
    </row>
    <row r="35182">
      <c r="C35182" s="15"/>
      <c r="E35182" s="8"/>
      <c r="G35182" s="8"/>
      <c r="J35182" s="8"/>
    </row>
    <row r="35183">
      <c r="C35183" s="15"/>
      <c r="E35183" s="8"/>
      <c r="G35183" s="8"/>
      <c r="J35183" s="8"/>
    </row>
    <row r="35184">
      <c r="C35184" s="15"/>
      <c r="E35184" s="8"/>
      <c r="G35184" s="8"/>
      <c r="J35184" s="8"/>
    </row>
    <row r="35185">
      <c r="C35185" s="15"/>
      <c r="E35185" s="8"/>
      <c r="G35185" s="8"/>
      <c r="J35185" s="8"/>
    </row>
    <row r="35186">
      <c r="C35186" s="15"/>
      <c r="E35186" s="8"/>
      <c r="G35186" s="8"/>
      <c r="J35186" s="8"/>
    </row>
    <row r="35187">
      <c r="C35187" s="15"/>
      <c r="E35187" s="8"/>
      <c r="G35187" s="8"/>
      <c r="J35187" s="8"/>
    </row>
    <row r="35188">
      <c r="C35188" s="15"/>
      <c r="E35188" s="8"/>
      <c r="G35188" s="8"/>
      <c r="J35188" s="8"/>
    </row>
    <row r="35189">
      <c r="C35189" s="15"/>
      <c r="E35189" s="8"/>
      <c r="G35189" s="8"/>
      <c r="J35189" s="8"/>
    </row>
    <row r="35190">
      <c r="C35190" s="15"/>
      <c r="E35190" s="8"/>
      <c r="G35190" s="8"/>
      <c r="J35190" s="8"/>
    </row>
    <row r="35191">
      <c r="C35191" s="15"/>
      <c r="E35191" s="8"/>
      <c r="G35191" s="8"/>
      <c r="J35191" s="8"/>
    </row>
    <row r="35192">
      <c r="C35192" s="15"/>
      <c r="E35192" s="8"/>
      <c r="G35192" s="8"/>
      <c r="J35192" s="8"/>
    </row>
    <row r="35193">
      <c r="C35193" s="15"/>
      <c r="E35193" s="8"/>
      <c r="G35193" s="8"/>
      <c r="J35193" s="8"/>
    </row>
    <row r="35194">
      <c r="C35194" s="15"/>
      <c r="E35194" s="8"/>
      <c r="G35194" s="8"/>
      <c r="J35194" s="8"/>
    </row>
    <row r="35195">
      <c r="C35195" s="15"/>
      <c r="E35195" s="8"/>
      <c r="G35195" s="8"/>
      <c r="J35195" s="8"/>
    </row>
    <row r="35196">
      <c r="C35196" s="15"/>
      <c r="E35196" s="8"/>
      <c r="G35196" s="8"/>
      <c r="J35196" s="8"/>
    </row>
    <row r="35197">
      <c r="C35197" s="15"/>
      <c r="E35197" s="8"/>
      <c r="G35197" s="8"/>
      <c r="J35197" s="8"/>
    </row>
    <row r="35198">
      <c r="C35198" s="15"/>
      <c r="E35198" s="8"/>
      <c r="G35198" s="8"/>
      <c r="J35198" s="8"/>
    </row>
    <row r="35199">
      <c r="C35199" s="15"/>
      <c r="E35199" s="8"/>
      <c r="G35199" s="8"/>
      <c r="J35199" s="8"/>
    </row>
    <row r="35200">
      <c r="C35200" s="15"/>
      <c r="E35200" s="8"/>
      <c r="G35200" s="8"/>
      <c r="J35200" s="8"/>
    </row>
    <row r="35201">
      <c r="C35201" s="15"/>
      <c r="E35201" s="8"/>
      <c r="G35201" s="8"/>
      <c r="J35201" s="8"/>
    </row>
    <row r="35202">
      <c r="C35202" s="15"/>
      <c r="E35202" s="8"/>
      <c r="G35202" s="8"/>
      <c r="J35202" s="8"/>
    </row>
    <row r="35203">
      <c r="C35203" s="15"/>
      <c r="E35203" s="8"/>
      <c r="G35203" s="8"/>
      <c r="J35203" s="8"/>
    </row>
    <row r="35204">
      <c r="C35204" s="15"/>
      <c r="E35204" s="8"/>
      <c r="G35204" s="8"/>
      <c r="J35204" s="8"/>
    </row>
    <row r="35205">
      <c r="C35205" s="15"/>
      <c r="E35205" s="8"/>
      <c r="G35205" s="8"/>
      <c r="J35205" s="8"/>
    </row>
    <row r="35206">
      <c r="C35206" s="15"/>
      <c r="E35206" s="8"/>
      <c r="G35206" s="8"/>
      <c r="J35206" s="8"/>
    </row>
    <row r="35207">
      <c r="C35207" s="15"/>
      <c r="E35207" s="8"/>
      <c r="G35207" s="8"/>
      <c r="J35207" s="8"/>
    </row>
    <row r="35208">
      <c r="C35208" s="15"/>
      <c r="E35208" s="8"/>
      <c r="G35208" s="8"/>
      <c r="J35208" s="8"/>
    </row>
    <row r="35209">
      <c r="C35209" s="15"/>
      <c r="E35209" s="8"/>
      <c r="G35209" s="8"/>
      <c r="J35209" s="8"/>
    </row>
    <row r="35210">
      <c r="C35210" s="15"/>
      <c r="E35210" s="8"/>
      <c r="G35210" s="8"/>
      <c r="J35210" s="8"/>
    </row>
    <row r="35211">
      <c r="C35211" s="15"/>
      <c r="E35211" s="8"/>
      <c r="G35211" s="8"/>
      <c r="J35211" s="8"/>
    </row>
    <row r="35212">
      <c r="C35212" s="15"/>
      <c r="E35212" s="8"/>
      <c r="G35212" s="8"/>
      <c r="J35212" s="8"/>
    </row>
    <row r="35213">
      <c r="C35213" s="15"/>
      <c r="E35213" s="8"/>
      <c r="G35213" s="8"/>
      <c r="J35213" s="8"/>
    </row>
    <row r="35214">
      <c r="C35214" s="15"/>
      <c r="E35214" s="8"/>
      <c r="G35214" s="8"/>
      <c r="J35214" s="8"/>
    </row>
    <row r="35215">
      <c r="C35215" s="15"/>
      <c r="E35215" s="8"/>
      <c r="G35215" s="8"/>
      <c r="J35215" s="8"/>
    </row>
    <row r="35216">
      <c r="C35216" s="15"/>
      <c r="E35216" s="8"/>
      <c r="G35216" s="8"/>
      <c r="J35216" s="8"/>
    </row>
    <row r="35217">
      <c r="C35217" s="15"/>
      <c r="E35217" s="8"/>
      <c r="G35217" s="8"/>
      <c r="J35217" s="8"/>
    </row>
    <row r="35218">
      <c r="C35218" s="15"/>
      <c r="E35218" s="8"/>
      <c r="G35218" s="8"/>
      <c r="J35218" s="8"/>
    </row>
    <row r="35219">
      <c r="C35219" s="15"/>
      <c r="E35219" s="8"/>
      <c r="G35219" s="8"/>
      <c r="J35219" s="8"/>
    </row>
    <row r="35220">
      <c r="C35220" s="15"/>
      <c r="E35220" s="8"/>
      <c r="G35220" s="8"/>
      <c r="J35220" s="8"/>
    </row>
    <row r="35221">
      <c r="C35221" s="15"/>
      <c r="E35221" s="8"/>
      <c r="G35221" s="8"/>
      <c r="J35221" s="8"/>
    </row>
    <row r="35222">
      <c r="C35222" s="15"/>
      <c r="E35222" s="8"/>
      <c r="G35222" s="8"/>
      <c r="J35222" s="8"/>
    </row>
    <row r="35223">
      <c r="C35223" s="15"/>
      <c r="E35223" s="8"/>
      <c r="G35223" s="8"/>
      <c r="J35223" s="8"/>
    </row>
    <row r="35224">
      <c r="C35224" s="15"/>
      <c r="E35224" s="8"/>
      <c r="G35224" s="8"/>
      <c r="J35224" s="8"/>
    </row>
    <row r="35225">
      <c r="C35225" s="15"/>
      <c r="E35225" s="8"/>
      <c r="G35225" s="8"/>
      <c r="J35225" s="8"/>
    </row>
    <row r="35226">
      <c r="C35226" s="15"/>
      <c r="E35226" s="8"/>
      <c r="G35226" s="8"/>
      <c r="J35226" s="8"/>
    </row>
    <row r="35227">
      <c r="C35227" s="15"/>
      <c r="E35227" s="8"/>
      <c r="G35227" s="8"/>
      <c r="J35227" s="8"/>
    </row>
    <row r="35228">
      <c r="C35228" s="15"/>
      <c r="E35228" s="8"/>
      <c r="G35228" s="8"/>
      <c r="J35228" s="8"/>
    </row>
    <row r="35229">
      <c r="C35229" s="15"/>
      <c r="E35229" s="8"/>
      <c r="G35229" s="8"/>
      <c r="J35229" s="8"/>
    </row>
    <row r="35230">
      <c r="C35230" s="15"/>
      <c r="E35230" s="8"/>
      <c r="G35230" s="8"/>
      <c r="J35230" s="8"/>
    </row>
    <row r="35231">
      <c r="C35231" s="15"/>
      <c r="E35231" s="8"/>
      <c r="G35231" s="8"/>
      <c r="J35231" s="8"/>
    </row>
    <row r="35232">
      <c r="C35232" s="15"/>
      <c r="E35232" s="8"/>
      <c r="G35232" s="8"/>
      <c r="J35232" s="8"/>
    </row>
    <row r="35233">
      <c r="C35233" s="15"/>
      <c r="E35233" s="8"/>
      <c r="G35233" s="8"/>
      <c r="J35233" s="8"/>
    </row>
    <row r="35234">
      <c r="C35234" s="15"/>
      <c r="E35234" s="8"/>
      <c r="G35234" s="8"/>
      <c r="J35234" s="8"/>
    </row>
    <row r="35235">
      <c r="C35235" s="15"/>
      <c r="E35235" s="8"/>
      <c r="G35235" s="8"/>
      <c r="J35235" s="8"/>
    </row>
    <row r="35236">
      <c r="C35236" s="15"/>
      <c r="E35236" s="8"/>
      <c r="G35236" s="8"/>
      <c r="J35236" s="8"/>
    </row>
    <row r="35237">
      <c r="C35237" s="15"/>
      <c r="E35237" s="8"/>
      <c r="G35237" s="8"/>
      <c r="J35237" s="8"/>
    </row>
    <row r="35238">
      <c r="C35238" s="15"/>
      <c r="E35238" s="8"/>
      <c r="G35238" s="8"/>
      <c r="J35238" s="8"/>
    </row>
    <row r="35239">
      <c r="C35239" s="15"/>
      <c r="E35239" s="8"/>
      <c r="G35239" s="8"/>
      <c r="J35239" s="8"/>
    </row>
    <row r="35240">
      <c r="C35240" s="15"/>
      <c r="E35240" s="8"/>
      <c r="G35240" s="8"/>
      <c r="J35240" s="8"/>
    </row>
    <row r="35241">
      <c r="C35241" s="15"/>
      <c r="E35241" s="8"/>
      <c r="G35241" s="8"/>
      <c r="J35241" s="8"/>
    </row>
    <row r="35242">
      <c r="C35242" s="15"/>
      <c r="E35242" s="8"/>
      <c r="G35242" s="8"/>
      <c r="J35242" s="8"/>
    </row>
    <row r="35243">
      <c r="C35243" s="15"/>
      <c r="E35243" s="8"/>
      <c r="G35243" s="8"/>
      <c r="J35243" s="8"/>
    </row>
    <row r="35244">
      <c r="C35244" s="15"/>
      <c r="E35244" s="8"/>
      <c r="G35244" s="8"/>
      <c r="J35244" s="8"/>
    </row>
    <row r="35245">
      <c r="C35245" s="15"/>
      <c r="E35245" s="8"/>
      <c r="G35245" s="8"/>
      <c r="J35245" s="8"/>
    </row>
    <row r="35246">
      <c r="C35246" s="15"/>
      <c r="E35246" s="8"/>
      <c r="G35246" s="8"/>
      <c r="J35246" s="8"/>
    </row>
    <row r="35247">
      <c r="C35247" s="15"/>
      <c r="E35247" s="8"/>
      <c r="G35247" s="8"/>
      <c r="J35247" s="8"/>
    </row>
    <row r="35248">
      <c r="C35248" s="15"/>
      <c r="E35248" s="8"/>
      <c r="G35248" s="8"/>
      <c r="J35248" s="8"/>
    </row>
    <row r="35249">
      <c r="C35249" s="15"/>
      <c r="E35249" s="8"/>
      <c r="G35249" s="8"/>
      <c r="J35249" s="8"/>
    </row>
    <row r="35250">
      <c r="C35250" s="15"/>
      <c r="E35250" s="8"/>
      <c r="G35250" s="8"/>
      <c r="J35250" s="8"/>
    </row>
    <row r="35251">
      <c r="C35251" s="15"/>
      <c r="E35251" s="8"/>
      <c r="G35251" s="8"/>
      <c r="J35251" s="8"/>
    </row>
    <row r="35252">
      <c r="C35252" s="15"/>
      <c r="E35252" s="8"/>
      <c r="G35252" s="8"/>
      <c r="J35252" s="8"/>
    </row>
    <row r="35253">
      <c r="C35253" s="15"/>
      <c r="E35253" s="8"/>
      <c r="G35253" s="8"/>
      <c r="J35253" s="8"/>
    </row>
    <row r="35254">
      <c r="C35254" s="15"/>
      <c r="E35254" s="8"/>
      <c r="G35254" s="8"/>
      <c r="J35254" s="8"/>
    </row>
    <row r="35255">
      <c r="C35255" s="15"/>
      <c r="E35255" s="8"/>
      <c r="G35255" s="8"/>
      <c r="J35255" s="8"/>
    </row>
    <row r="35256">
      <c r="C35256" s="15"/>
      <c r="E35256" s="8"/>
      <c r="G35256" s="8"/>
      <c r="J35256" s="8"/>
    </row>
    <row r="35257">
      <c r="C35257" s="15"/>
      <c r="E35257" s="8"/>
      <c r="G35257" s="8"/>
      <c r="J35257" s="8"/>
    </row>
    <row r="35258">
      <c r="C35258" s="15"/>
      <c r="E35258" s="8"/>
      <c r="G35258" s="8"/>
      <c r="J35258" s="8"/>
    </row>
    <row r="35259">
      <c r="C35259" s="15"/>
      <c r="E35259" s="8"/>
      <c r="G35259" s="8"/>
      <c r="J35259" s="8"/>
    </row>
    <row r="35260">
      <c r="C35260" s="15"/>
      <c r="E35260" s="8"/>
      <c r="G35260" s="8"/>
      <c r="J35260" s="8"/>
    </row>
    <row r="35261">
      <c r="C35261" s="15"/>
      <c r="E35261" s="8"/>
      <c r="G35261" s="8"/>
      <c r="J35261" s="8"/>
    </row>
    <row r="35262">
      <c r="C35262" s="15"/>
      <c r="E35262" s="8"/>
      <c r="G35262" s="8"/>
      <c r="J35262" s="8"/>
    </row>
    <row r="35263">
      <c r="C35263" s="15"/>
      <c r="E35263" s="8"/>
      <c r="G35263" s="8"/>
      <c r="J35263" s="8"/>
    </row>
    <row r="35264">
      <c r="C35264" s="15"/>
      <c r="E35264" s="8"/>
      <c r="G35264" s="8"/>
      <c r="J35264" s="8"/>
    </row>
    <row r="35265">
      <c r="C35265" s="15"/>
      <c r="E35265" s="8"/>
      <c r="G35265" s="8"/>
      <c r="J35265" s="8"/>
    </row>
    <row r="35266">
      <c r="C35266" s="15"/>
      <c r="E35266" s="8"/>
      <c r="G35266" s="8"/>
      <c r="J35266" s="8"/>
    </row>
    <row r="35267">
      <c r="C35267" s="15"/>
      <c r="E35267" s="8"/>
      <c r="G35267" s="8"/>
      <c r="J35267" s="8"/>
    </row>
    <row r="35268">
      <c r="C35268" s="15"/>
      <c r="E35268" s="8"/>
      <c r="G35268" s="8"/>
      <c r="J35268" s="8"/>
    </row>
    <row r="35269">
      <c r="C35269" s="15"/>
      <c r="E35269" s="8"/>
      <c r="G35269" s="8"/>
      <c r="J35269" s="8"/>
    </row>
    <row r="35270">
      <c r="C35270" s="15"/>
      <c r="E35270" s="8"/>
      <c r="G35270" s="8"/>
      <c r="J35270" s="8"/>
    </row>
    <row r="35271">
      <c r="C35271" s="15"/>
      <c r="E35271" s="8"/>
      <c r="G35271" s="8"/>
      <c r="J35271" s="8"/>
    </row>
    <row r="35272">
      <c r="C35272" s="15"/>
      <c r="E35272" s="8"/>
      <c r="G35272" s="8"/>
      <c r="J35272" s="8"/>
    </row>
    <row r="35273">
      <c r="C35273" s="15"/>
      <c r="E35273" s="8"/>
      <c r="G35273" s="8"/>
      <c r="J35273" s="8"/>
    </row>
    <row r="35274">
      <c r="C35274" s="15"/>
      <c r="E35274" s="8"/>
      <c r="G35274" s="8"/>
      <c r="J35274" s="8"/>
    </row>
    <row r="35275">
      <c r="C35275" s="15"/>
      <c r="E35275" s="8"/>
      <c r="G35275" s="8"/>
      <c r="J35275" s="8"/>
    </row>
    <row r="35276">
      <c r="C35276" s="15"/>
      <c r="E35276" s="8"/>
      <c r="G35276" s="8"/>
      <c r="J35276" s="8"/>
    </row>
    <row r="35277">
      <c r="C35277" s="15"/>
      <c r="E35277" s="8"/>
      <c r="G35277" s="8"/>
      <c r="J35277" s="8"/>
    </row>
    <row r="35278">
      <c r="C35278" s="15"/>
      <c r="E35278" s="8"/>
      <c r="G35278" s="8"/>
      <c r="J35278" s="8"/>
    </row>
    <row r="35279">
      <c r="C35279" s="15"/>
      <c r="E35279" s="8"/>
      <c r="G35279" s="8"/>
      <c r="J35279" s="8"/>
    </row>
    <row r="35280">
      <c r="C35280" s="15"/>
      <c r="E35280" s="8"/>
      <c r="G35280" s="8"/>
      <c r="J35280" s="8"/>
    </row>
    <row r="35281">
      <c r="C35281" s="15"/>
      <c r="E35281" s="8"/>
      <c r="G35281" s="8"/>
      <c r="J35281" s="8"/>
    </row>
    <row r="35282">
      <c r="C35282" s="15"/>
      <c r="E35282" s="8"/>
      <c r="G35282" s="8"/>
      <c r="J35282" s="8"/>
    </row>
    <row r="35283">
      <c r="C35283" s="15"/>
      <c r="E35283" s="8"/>
      <c r="G35283" s="8"/>
      <c r="J35283" s="8"/>
    </row>
    <row r="35284">
      <c r="C35284" s="15"/>
      <c r="E35284" s="8"/>
      <c r="G35284" s="8"/>
      <c r="J35284" s="8"/>
    </row>
    <row r="35285">
      <c r="C35285" s="15"/>
      <c r="E35285" s="8"/>
      <c r="G35285" s="8"/>
      <c r="J35285" s="8"/>
    </row>
    <row r="35286">
      <c r="C35286" s="15"/>
      <c r="E35286" s="8"/>
      <c r="G35286" s="8"/>
      <c r="J35286" s="8"/>
    </row>
    <row r="35287">
      <c r="C35287" s="15"/>
      <c r="E35287" s="8"/>
      <c r="G35287" s="8"/>
      <c r="J35287" s="8"/>
    </row>
    <row r="35288">
      <c r="C35288" s="15"/>
      <c r="E35288" s="8"/>
      <c r="G35288" s="8"/>
      <c r="J35288" s="8"/>
    </row>
    <row r="35289">
      <c r="C35289" s="15"/>
      <c r="E35289" s="8"/>
      <c r="G35289" s="8"/>
      <c r="J35289" s="8"/>
    </row>
    <row r="35290">
      <c r="C35290" s="15"/>
      <c r="E35290" s="8"/>
      <c r="G35290" s="8"/>
      <c r="J35290" s="8"/>
    </row>
    <row r="35291">
      <c r="C35291" s="15"/>
      <c r="E35291" s="8"/>
      <c r="G35291" s="8"/>
      <c r="J35291" s="8"/>
    </row>
    <row r="35292">
      <c r="C35292" s="15"/>
      <c r="E35292" s="8"/>
      <c r="G35292" s="8"/>
      <c r="J35292" s="8"/>
    </row>
    <row r="35293">
      <c r="C35293" s="15"/>
      <c r="E35293" s="8"/>
      <c r="G35293" s="8"/>
      <c r="J35293" s="8"/>
    </row>
    <row r="35294">
      <c r="C35294" s="15"/>
      <c r="E35294" s="8"/>
      <c r="G35294" s="8"/>
      <c r="J35294" s="8"/>
    </row>
    <row r="35295">
      <c r="C35295" s="15"/>
      <c r="E35295" s="8"/>
      <c r="G35295" s="8"/>
      <c r="J35295" s="8"/>
    </row>
    <row r="35296">
      <c r="C35296" s="15"/>
      <c r="E35296" s="8"/>
      <c r="G35296" s="8"/>
      <c r="J35296" s="8"/>
    </row>
    <row r="35297">
      <c r="C35297" s="15"/>
      <c r="E35297" s="8"/>
      <c r="G35297" s="8"/>
      <c r="J35297" s="8"/>
    </row>
    <row r="35298">
      <c r="C35298" s="15"/>
      <c r="E35298" s="8"/>
      <c r="G35298" s="8"/>
      <c r="J35298" s="8"/>
    </row>
    <row r="35299">
      <c r="C35299" s="15"/>
      <c r="E35299" s="8"/>
      <c r="G35299" s="8"/>
      <c r="J35299" s="8"/>
    </row>
    <row r="35300">
      <c r="C35300" s="15"/>
      <c r="E35300" s="8"/>
      <c r="G35300" s="8"/>
      <c r="J35300" s="8"/>
    </row>
    <row r="35301">
      <c r="C35301" s="15"/>
      <c r="E35301" s="8"/>
      <c r="G35301" s="8"/>
      <c r="J35301" s="8"/>
    </row>
    <row r="35302">
      <c r="C35302" s="15"/>
      <c r="E35302" s="8"/>
      <c r="G35302" s="8"/>
      <c r="J35302" s="8"/>
    </row>
    <row r="35303">
      <c r="C35303" s="15"/>
      <c r="E35303" s="8"/>
      <c r="G35303" s="8"/>
      <c r="J35303" s="8"/>
    </row>
    <row r="35304">
      <c r="C35304" s="15"/>
      <c r="E35304" s="8"/>
      <c r="G35304" s="8"/>
      <c r="J35304" s="8"/>
    </row>
    <row r="35305">
      <c r="C35305" s="15"/>
      <c r="E35305" s="8"/>
      <c r="G35305" s="8"/>
      <c r="J35305" s="8"/>
    </row>
    <row r="35306">
      <c r="C35306" s="15"/>
      <c r="E35306" s="8"/>
      <c r="G35306" s="8"/>
      <c r="J35306" s="8"/>
    </row>
    <row r="35307">
      <c r="C35307" s="15"/>
      <c r="E35307" s="8"/>
      <c r="G35307" s="8"/>
      <c r="J35307" s="8"/>
    </row>
    <row r="35308">
      <c r="C35308" s="15"/>
      <c r="E35308" s="8"/>
      <c r="G35308" s="8"/>
      <c r="J35308" s="8"/>
    </row>
    <row r="35309">
      <c r="C35309" s="15"/>
      <c r="E35309" s="8"/>
      <c r="G35309" s="8"/>
      <c r="J35309" s="8"/>
    </row>
    <row r="35310">
      <c r="C35310" s="15"/>
      <c r="E35310" s="8"/>
      <c r="G35310" s="8"/>
      <c r="J35310" s="8"/>
    </row>
    <row r="35311">
      <c r="C35311" s="15"/>
      <c r="E35311" s="8"/>
      <c r="G35311" s="8"/>
      <c r="J35311" s="8"/>
    </row>
    <row r="35312">
      <c r="C35312" s="15"/>
      <c r="E35312" s="8"/>
      <c r="G35312" s="8"/>
      <c r="J35312" s="8"/>
    </row>
    <row r="35313">
      <c r="C35313" s="15"/>
      <c r="E35313" s="8"/>
      <c r="G35313" s="8"/>
      <c r="J35313" s="8"/>
    </row>
    <row r="35314">
      <c r="C35314" s="15"/>
      <c r="E35314" s="8"/>
      <c r="G35314" s="8"/>
      <c r="J35314" s="8"/>
    </row>
    <row r="35315">
      <c r="C35315" s="15"/>
      <c r="E35315" s="8"/>
      <c r="G35315" s="8"/>
      <c r="J35315" s="8"/>
    </row>
    <row r="35316">
      <c r="C35316" s="15"/>
      <c r="E35316" s="8"/>
      <c r="G35316" s="8"/>
      <c r="J35316" s="8"/>
    </row>
    <row r="35317">
      <c r="C35317" s="15"/>
      <c r="E35317" s="8"/>
      <c r="G35317" s="8"/>
      <c r="J35317" s="8"/>
    </row>
    <row r="35318">
      <c r="C35318" s="15"/>
      <c r="E35318" s="8"/>
      <c r="G35318" s="8"/>
      <c r="J35318" s="8"/>
    </row>
    <row r="35319">
      <c r="C35319" s="15"/>
      <c r="E35319" s="8"/>
      <c r="G35319" s="8"/>
      <c r="J35319" s="8"/>
    </row>
    <row r="35320">
      <c r="C35320" s="15"/>
      <c r="E35320" s="8"/>
      <c r="G35320" s="8"/>
      <c r="J35320" s="8"/>
    </row>
    <row r="35321">
      <c r="C35321" s="15"/>
      <c r="E35321" s="8"/>
      <c r="G35321" s="8"/>
      <c r="J35321" s="8"/>
    </row>
    <row r="35322">
      <c r="C35322" s="15"/>
      <c r="E35322" s="8"/>
      <c r="G35322" s="8"/>
      <c r="J35322" s="8"/>
    </row>
    <row r="35323">
      <c r="C35323" s="15"/>
      <c r="E35323" s="8"/>
      <c r="G35323" s="8"/>
      <c r="J35323" s="8"/>
    </row>
    <row r="35324">
      <c r="C35324" s="15"/>
      <c r="E35324" s="8"/>
      <c r="G35324" s="8"/>
      <c r="J35324" s="8"/>
    </row>
    <row r="35325">
      <c r="C35325" s="15"/>
      <c r="E35325" s="8"/>
      <c r="G35325" s="8"/>
      <c r="J35325" s="8"/>
    </row>
    <row r="35326">
      <c r="C35326" s="15"/>
      <c r="E35326" s="8"/>
      <c r="G35326" s="8"/>
      <c r="J35326" s="8"/>
    </row>
    <row r="35327">
      <c r="C35327" s="15"/>
      <c r="E35327" s="8"/>
      <c r="G35327" s="8"/>
      <c r="J35327" s="8"/>
    </row>
    <row r="35328">
      <c r="C35328" s="15"/>
      <c r="E35328" s="8"/>
      <c r="G35328" s="8"/>
      <c r="J35328" s="8"/>
    </row>
    <row r="35329">
      <c r="C35329" s="15"/>
      <c r="E35329" s="8"/>
      <c r="G35329" s="8"/>
      <c r="J35329" s="8"/>
    </row>
    <row r="35330">
      <c r="C35330" s="15"/>
      <c r="E35330" s="8"/>
      <c r="G35330" s="8"/>
      <c r="J35330" s="8"/>
    </row>
    <row r="35331">
      <c r="C35331" s="15"/>
      <c r="E35331" s="8"/>
      <c r="G35331" s="8"/>
      <c r="J35331" s="8"/>
    </row>
    <row r="35332">
      <c r="C35332" s="15"/>
      <c r="E35332" s="8"/>
      <c r="G35332" s="8"/>
      <c r="J35332" s="8"/>
    </row>
    <row r="35333">
      <c r="C35333" s="15"/>
      <c r="E35333" s="8"/>
      <c r="G35333" s="8"/>
      <c r="J35333" s="8"/>
    </row>
    <row r="35334">
      <c r="C35334" s="15"/>
      <c r="E35334" s="8"/>
      <c r="G35334" s="8"/>
      <c r="J35334" s="8"/>
    </row>
    <row r="35335">
      <c r="C35335" s="15"/>
      <c r="E35335" s="8"/>
      <c r="G35335" s="8"/>
      <c r="J35335" s="8"/>
    </row>
    <row r="35336">
      <c r="C35336" s="15"/>
      <c r="E35336" s="8"/>
      <c r="G35336" s="8"/>
      <c r="J35336" s="8"/>
    </row>
    <row r="35337">
      <c r="C35337" s="15"/>
      <c r="E35337" s="8"/>
      <c r="G35337" s="8"/>
      <c r="J35337" s="8"/>
    </row>
    <row r="35338">
      <c r="C35338" s="15"/>
      <c r="E35338" s="8"/>
      <c r="G35338" s="8"/>
      <c r="J35338" s="8"/>
    </row>
    <row r="35339">
      <c r="C35339" s="15"/>
      <c r="E35339" s="8"/>
      <c r="G35339" s="8"/>
      <c r="J35339" s="8"/>
    </row>
    <row r="35340">
      <c r="C35340" s="15"/>
      <c r="E35340" s="8"/>
      <c r="G35340" s="8"/>
      <c r="J35340" s="8"/>
    </row>
    <row r="35341">
      <c r="C35341" s="15"/>
      <c r="E35341" s="8"/>
      <c r="G35341" s="8"/>
      <c r="J35341" s="8"/>
    </row>
    <row r="35342">
      <c r="C35342" s="15"/>
      <c r="E35342" s="8"/>
      <c r="G35342" s="8"/>
      <c r="J35342" s="8"/>
    </row>
    <row r="35343">
      <c r="C35343" s="15"/>
      <c r="E35343" s="8"/>
      <c r="G35343" s="8"/>
      <c r="J35343" s="8"/>
    </row>
    <row r="35344">
      <c r="C35344" s="15"/>
      <c r="E35344" s="8"/>
      <c r="G35344" s="8"/>
      <c r="J35344" s="8"/>
    </row>
    <row r="35345">
      <c r="C35345" s="15"/>
      <c r="E35345" s="8"/>
      <c r="G35345" s="8"/>
      <c r="J35345" s="8"/>
    </row>
    <row r="35346">
      <c r="C35346" s="15"/>
      <c r="E35346" s="8"/>
      <c r="G35346" s="8"/>
      <c r="J35346" s="8"/>
    </row>
    <row r="35347">
      <c r="C35347" s="15"/>
      <c r="E35347" s="8"/>
      <c r="G35347" s="8"/>
      <c r="J35347" s="8"/>
    </row>
    <row r="35348">
      <c r="C35348" s="15"/>
      <c r="E35348" s="8"/>
      <c r="G35348" s="8"/>
      <c r="J35348" s="8"/>
    </row>
    <row r="35349">
      <c r="C35349" s="15"/>
      <c r="E35349" s="8"/>
      <c r="G35349" s="8"/>
      <c r="J35349" s="8"/>
    </row>
    <row r="35350">
      <c r="C35350" s="15"/>
      <c r="E35350" s="8"/>
      <c r="G35350" s="8"/>
      <c r="J35350" s="8"/>
    </row>
    <row r="35351">
      <c r="C35351" s="15"/>
      <c r="E35351" s="8"/>
      <c r="G35351" s="8"/>
      <c r="J35351" s="8"/>
    </row>
    <row r="35352">
      <c r="C35352" s="15"/>
      <c r="E35352" s="8"/>
      <c r="G35352" s="8"/>
      <c r="J35352" s="8"/>
    </row>
    <row r="35353">
      <c r="C35353" s="15"/>
      <c r="E35353" s="8"/>
      <c r="G35353" s="8"/>
      <c r="J35353" s="8"/>
    </row>
    <row r="35354">
      <c r="C35354" s="15"/>
      <c r="E35354" s="8"/>
      <c r="G35354" s="8"/>
      <c r="J35354" s="8"/>
    </row>
    <row r="35355">
      <c r="C35355" s="15"/>
      <c r="E35355" s="8"/>
      <c r="G35355" s="8"/>
      <c r="J35355" s="8"/>
    </row>
    <row r="35356">
      <c r="C35356" s="15"/>
      <c r="E35356" s="8"/>
      <c r="G35356" s="8"/>
      <c r="J35356" s="8"/>
    </row>
    <row r="35357">
      <c r="C35357" s="15"/>
      <c r="E35357" s="8"/>
      <c r="G35357" s="8"/>
      <c r="J35357" s="8"/>
    </row>
    <row r="35358">
      <c r="C35358" s="15"/>
      <c r="E35358" s="8"/>
      <c r="G35358" s="8"/>
      <c r="J35358" s="8"/>
    </row>
    <row r="35359">
      <c r="C35359" s="15"/>
      <c r="E35359" s="8"/>
      <c r="G35359" s="8"/>
      <c r="J35359" s="8"/>
    </row>
    <row r="35360">
      <c r="C35360" s="15"/>
      <c r="E35360" s="8"/>
      <c r="G35360" s="8"/>
      <c r="J35360" s="8"/>
    </row>
    <row r="35361">
      <c r="C35361" s="15"/>
      <c r="E35361" s="8"/>
      <c r="G35361" s="8"/>
      <c r="J35361" s="8"/>
    </row>
    <row r="35362">
      <c r="C35362" s="15"/>
      <c r="E35362" s="8"/>
      <c r="G35362" s="8"/>
      <c r="J35362" s="8"/>
    </row>
    <row r="35363">
      <c r="C35363" s="15"/>
      <c r="E35363" s="8"/>
      <c r="G35363" s="8"/>
      <c r="J35363" s="8"/>
    </row>
    <row r="35364">
      <c r="C35364" s="15"/>
      <c r="E35364" s="8"/>
      <c r="G35364" s="8"/>
      <c r="J35364" s="8"/>
    </row>
    <row r="35365">
      <c r="C35365" s="15"/>
      <c r="E35365" s="8"/>
      <c r="G35365" s="8"/>
      <c r="J35365" s="8"/>
    </row>
    <row r="35366">
      <c r="C35366" s="15"/>
      <c r="E35366" s="8"/>
      <c r="G35366" s="8"/>
      <c r="J35366" s="8"/>
    </row>
    <row r="35367">
      <c r="C35367" s="15"/>
      <c r="E35367" s="8"/>
      <c r="G35367" s="8"/>
      <c r="J35367" s="8"/>
    </row>
    <row r="35368">
      <c r="C35368" s="15"/>
      <c r="E35368" s="8"/>
      <c r="G35368" s="8"/>
      <c r="J35368" s="8"/>
    </row>
    <row r="35369">
      <c r="C35369" s="15"/>
      <c r="E35369" s="8"/>
      <c r="G35369" s="8"/>
      <c r="J35369" s="8"/>
    </row>
    <row r="35370">
      <c r="C35370" s="15"/>
      <c r="E35370" s="8"/>
      <c r="G35370" s="8"/>
      <c r="J35370" s="8"/>
    </row>
    <row r="35371">
      <c r="C35371" s="15"/>
      <c r="E35371" s="8"/>
      <c r="G35371" s="8"/>
      <c r="J35371" s="8"/>
    </row>
    <row r="35372">
      <c r="C35372" s="15"/>
      <c r="E35372" s="8"/>
      <c r="G35372" s="8"/>
      <c r="J35372" s="8"/>
    </row>
    <row r="35373">
      <c r="C35373" s="15"/>
      <c r="E35373" s="8"/>
      <c r="G35373" s="8"/>
      <c r="J35373" s="8"/>
    </row>
    <row r="35374">
      <c r="C35374" s="15"/>
      <c r="E35374" s="8"/>
      <c r="G35374" s="8"/>
      <c r="J35374" s="8"/>
    </row>
    <row r="35375">
      <c r="C35375" s="15"/>
      <c r="E35375" s="8"/>
      <c r="G35375" s="8"/>
      <c r="J35375" s="8"/>
    </row>
    <row r="35376">
      <c r="C35376" s="15"/>
      <c r="E35376" s="8"/>
      <c r="G35376" s="8"/>
      <c r="J35376" s="8"/>
    </row>
    <row r="35377">
      <c r="C35377" s="15"/>
      <c r="E35377" s="8"/>
      <c r="G35377" s="8"/>
      <c r="J35377" s="8"/>
    </row>
    <row r="35378">
      <c r="C35378" s="15"/>
      <c r="E35378" s="8"/>
      <c r="G35378" s="8"/>
      <c r="J35378" s="8"/>
    </row>
    <row r="35379">
      <c r="C35379" s="15"/>
      <c r="E35379" s="8"/>
      <c r="G35379" s="8"/>
      <c r="J35379" s="8"/>
    </row>
    <row r="35380">
      <c r="C35380" s="15"/>
      <c r="E35380" s="8"/>
      <c r="G35380" s="8"/>
      <c r="J35380" s="8"/>
    </row>
    <row r="35381">
      <c r="C35381" s="15"/>
      <c r="E35381" s="8"/>
      <c r="G35381" s="8"/>
      <c r="J35381" s="8"/>
    </row>
    <row r="35382">
      <c r="C35382" s="15"/>
      <c r="E35382" s="8"/>
      <c r="G35382" s="8"/>
      <c r="J35382" s="8"/>
    </row>
    <row r="35383">
      <c r="C35383" s="15"/>
      <c r="E35383" s="8"/>
      <c r="G35383" s="8"/>
      <c r="J35383" s="8"/>
    </row>
    <row r="35384">
      <c r="C35384" s="15"/>
      <c r="E35384" s="8"/>
      <c r="G35384" s="8"/>
      <c r="J35384" s="8"/>
    </row>
    <row r="35385">
      <c r="C35385" s="15"/>
      <c r="E35385" s="8"/>
      <c r="G35385" s="8"/>
      <c r="J35385" s="8"/>
    </row>
    <row r="35386">
      <c r="C35386" s="15"/>
      <c r="E35386" s="8"/>
      <c r="G35386" s="8"/>
      <c r="J35386" s="8"/>
    </row>
    <row r="35387">
      <c r="C35387" s="15"/>
      <c r="E35387" s="8"/>
      <c r="G35387" s="8"/>
      <c r="J35387" s="8"/>
    </row>
    <row r="35388">
      <c r="C35388" s="15"/>
      <c r="E35388" s="8"/>
      <c r="G35388" s="8"/>
      <c r="J35388" s="8"/>
    </row>
    <row r="35389">
      <c r="C35389" s="15"/>
      <c r="E35389" s="8"/>
      <c r="G35389" s="8"/>
      <c r="J35389" s="8"/>
    </row>
    <row r="35390">
      <c r="C35390" s="15"/>
      <c r="E35390" s="8"/>
      <c r="G35390" s="8"/>
      <c r="J35390" s="8"/>
    </row>
    <row r="35391">
      <c r="C35391" s="15"/>
      <c r="E35391" s="8"/>
      <c r="G35391" s="8"/>
      <c r="J35391" s="8"/>
    </row>
    <row r="35392">
      <c r="C35392" s="15"/>
      <c r="E35392" s="8"/>
      <c r="G35392" s="8"/>
      <c r="J35392" s="8"/>
    </row>
    <row r="35393">
      <c r="C35393" s="15"/>
      <c r="E35393" s="8"/>
      <c r="G35393" s="8"/>
      <c r="J35393" s="8"/>
    </row>
    <row r="35394">
      <c r="C35394" s="15"/>
      <c r="E35394" s="8"/>
      <c r="G35394" s="8"/>
      <c r="J35394" s="8"/>
    </row>
    <row r="35395">
      <c r="C35395" s="15"/>
      <c r="E35395" s="8"/>
      <c r="G35395" s="8"/>
      <c r="J35395" s="8"/>
    </row>
    <row r="35396">
      <c r="C35396" s="15"/>
      <c r="E35396" s="8"/>
      <c r="G35396" s="8"/>
      <c r="J35396" s="8"/>
    </row>
    <row r="35397">
      <c r="C35397" s="15"/>
      <c r="E35397" s="8"/>
      <c r="G35397" s="8"/>
      <c r="J35397" s="8"/>
    </row>
    <row r="35398">
      <c r="C35398" s="15"/>
      <c r="E35398" s="8"/>
      <c r="G35398" s="8"/>
      <c r="J35398" s="8"/>
    </row>
    <row r="35399">
      <c r="C35399" s="15"/>
      <c r="E35399" s="8"/>
      <c r="G35399" s="8"/>
      <c r="J35399" s="8"/>
    </row>
    <row r="35400">
      <c r="C35400" s="15"/>
      <c r="E35400" s="8"/>
      <c r="G35400" s="8"/>
      <c r="J35400" s="8"/>
    </row>
    <row r="35401">
      <c r="C35401" s="15"/>
      <c r="E35401" s="8"/>
      <c r="G35401" s="8"/>
      <c r="J35401" s="8"/>
    </row>
    <row r="35402">
      <c r="C35402" s="15"/>
      <c r="E35402" s="8"/>
      <c r="G35402" s="8"/>
      <c r="J35402" s="8"/>
    </row>
    <row r="35403">
      <c r="C35403" s="15"/>
      <c r="E35403" s="8"/>
      <c r="G35403" s="8"/>
      <c r="J35403" s="8"/>
    </row>
    <row r="35404">
      <c r="C35404" s="15"/>
      <c r="E35404" s="8"/>
      <c r="G35404" s="8"/>
      <c r="J35404" s="8"/>
    </row>
    <row r="35405">
      <c r="C35405" s="15"/>
      <c r="E35405" s="8"/>
      <c r="G35405" s="8"/>
      <c r="J35405" s="8"/>
    </row>
    <row r="35406">
      <c r="C35406" s="15"/>
      <c r="E35406" s="8"/>
      <c r="G35406" s="8"/>
      <c r="J35406" s="8"/>
    </row>
    <row r="35407">
      <c r="C35407" s="15"/>
      <c r="E35407" s="8"/>
      <c r="G35407" s="8"/>
      <c r="J35407" s="8"/>
    </row>
    <row r="35408">
      <c r="C35408" s="15"/>
      <c r="E35408" s="8"/>
      <c r="G35408" s="8"/>
      <c r="J35408" s="8"/>
    </row>
    <row r="35409">
      <c r="C35409" s="15"/>
      <c r="E35409" s="8"/>
      <c r="G35409" s="8"/>
      <c r="J35409" s="8"/>
    </row>
    <row r="35410">
      <c r="C35410" s="15"/>
      <c r="E35410" s="8"/>
      <c r="G35410" s="8"/>
      <c r="J35410" s="8"/>
    </row>
    <row r="35411">
      <c r="C35411" s="15"/>
      <c r="E35411" s="8"/>
      <c r="G35411" s="8"/>
      <c r="J35411" s="8"/>
    </row>
    <row r="35412">
      <c r="C35412" s="15"/>
      <c r="E35412" s="8"/>
      <c r="G35412" s="8"/>
      <c r="J35412" s="8"/>
    </row>
    <row r="35413">
      <c r="C35413" s="15"/>
      <c r="E35413" s="8"/>
      <c r="G35413" s="8"/>
      <c r="J35413" s="8"/>
    </row>
    <row r="35414">
      <c r="C35414" s="15"/>
      <c r="E35414" s="8"/>
      <c r="G35414" s="8"/>
      <c r="J35414" s="8"/>
    </row>
    <row r="35415">
      <c r="C35415" s="15"/>
      <c r="E35415" s="8"/>
      <c r="G35415" s="8"/>
      <c r="J35415" s="8"/>
    </row>
    <row r="35416">
      <c r="C35416" s="15"/>
      <c r="E35416" s="8"/>
      <c r="G35416" s="8"/>
      <c r="J35416" s="8"/>
    </row>
    <row r="35417">
      <c r="C35417" s="15"/>
      <c r="E35417" s="8"/>
      <c r="G35417" s="8"/>
      <c r="J35417" s="8"/>
    </row>
    <row r="35418">
      <c r="C35418" s="15"/>
      <c r="E35418" s="8"/>
      <c r="G35418" s="8"/>
      <c r="J35418" s="8"/>
    </row>
    <row r="35419">
      <c r="C35419" s="15"/>
      <c r="E35419" s="8"/>
      <c r="G35419" s="8"/>
      <c r="J35419" s="8"/>
    </row>
    <row r="35420">
      <c r="C35420" s="15"/>
      <c r="E35420" s="8"/>
      <c r="G35420" s="8"/>
      <c r="J35420" s="8"/>
    </row>
    <row r="35421">
      <c r="C35421" s="15"/>
      <c r="E35421" s="8"/>
      <c r="G35421" s="8"/>
      <c r="J35421" s="8"/>
    </row>
    <row r="35422">
      <c r="C35422" s="15"/>
      <c r="E35422" s="8"/>
      <c r="G35422" s="8"/>
      <c r="J35422" s="8"/>
    </row>
    <row r="35423">
      <c r="C35423" s="15"/>
      <c r="E35423" s="8"/>
      <c r="G35423" s="8"/>
      <c r="J35423" s="8"/>
    </row>
    <row r="35424">
      <c r="C35424" s="15"/>
      <c r="E35424" s="8"/>
      <c r="G35424" s="8"/>
      <c r="J35424" s="8"/>
    </row>
    <row r="35425">
      <c r="C35425" s="15"/>
      <c r="E35425" s="8"/>
      <c r="G35425" s="8"/>
      <c r="J35425" s="8"/>
    </row>
    <row r="35426">
      <c r="C35426" s="15"/>
      <c r="E35426" s="8"/>
      <c r="G35426" s="8"/>
      <c r="J35426" s="8"/>
    </row>
    <row r="35427">
      <c r="C35427" s="15"/>
      <c r="E35427" s="8"/>
      <c r="G35427" s="8"/>
      <c r="J35427" s="8"/>
    </row>
    <row r="35428">
      <c r="C35428" s="15"/>
      <c r="E35428" s="8"/>
      <c r="G35428" s="8"/>
      <c r="J35428" s="8"/>
    </row>
    <row r="35429">
      <c r="C35429" s="15"/>
      <c r="E35429" s="8"/>
      <c r="G35429" s="8"/>
      <c r="J35429" s="8"/>
    </row>
    <row r="35430">
      <c r="C35430" s="15"/>
      <c r="E35430" s="8"/>
      <c r="G35430" s="8"/>
      <c r="J35430" s="8"/>
    </row>
    <row r="35431">
      <c r="C35431" s="15"/>
      <c r="E35431" s="8"/>
      <c r="G35431" s="8"/>
      <c r="J35431" s="8"/>
    </row>
    <row r="35432">
      <c r="C35432" s="15"/>
      <c r="E35432" s="8"/>
      <c r="G35432" s="8"/>
      <c r="J35432" s="8"/>
    </row>
    <row r="35433">
      <c r="C35433" s="15"/>
      <c r="E35433" s="8"/>
      <c r="G35433" s="8"/>
      <c r="J35433" s="8"/>
    </row>
    <row r="35434">
      <c r="C35434" s="15"/>
      <c r="E35434" s="8"/>
      <c r="G35434" s="8"/>
      <c r="J35434" s="8"/>
    </row>
    <row r="35435">
      <c r="C35435" s="15"/>
      <c r="E35435" s="8"/>
      <c r="G35435" s="8"/>
      <c r="J35435" s="8"/>
    </row>
    <row r="35436">
      <c r="C35436" s="15"/>
      <c r="E35436" s="8"/>
      <c r="G35436" s="8"/>
      <c r="J35436" s="8"/>
    </row>
    <row r="35437">
      <c r="C35437" s="15"/>
      <c r="E35437" s="8"/>
      <c r="G35437" s="8"/>
      <c r="J35437" s="8"/>
    </row>
    <row r="35438">
      <c r="C35438" s="15"/>
      <c r="E35438" s="8"/>
      <c r="G35438" s="8"/>
      <c r="J35438" s="8"/>
    </row>
    <row r="35439">
      <c r="C35439" s="15"/>
      <c r="E35439" s="8"/>
      <c r="G35439" s="8"/>
      <c r="J35439" s="8"/>
    </row>
    <row r="35440">
      <c r="C35440" s="15"/>
      <c r="E35440" s="8"/>
      <c r="G35440" s="8"/>
      <c r="J35440" s="8"/>
    </row>
    <row r="35441">
      <c r="C35441" s="15"/>
      <c r="E35441" s="8"/>
      <c r="G35441" s="8"/>
      <c r="J35441" s="8"/>
    </row>
    <row r="35442">
      <c r="C35442" s="15"/>
      <c r="E35442" s="8"/>
      <c r="G35442" s="8"/>
      <c r="J35442" s="8"/>
    </row>
    <row r="35443">
      <c r="C35443" s="15"/>
      <c r="E35443" s="8"/>
      <c r="G35443" s="8"/>
      <c r="J35443" s="8"/>
    </row>
    <row r="35444">
      <c r="C35444" s="15"/>
      <c r="E35444" s="8"/>
      <c r="G35444" s="8"/>
      <c r="J35444" s="8"/>
    </row>
    <row r="35445">
      <c r="C35445" s="15"/>
      <c r="E35445" s="8"/>
      <c r="G35445" s="8"/>
      <c r="J35445" s="8"/>
    </row>
    <row r="35446">
      <c r="C35446" s="15"/>
      <c r="E35446" s="8"/>
      <c r="G35446" s="8"/>
      <c r="J35446" s="8"/>
    </row>
    <row r="35447">
      <c r="C35447" s="15"/>
      <c r="E35447" s="8"/>
      <c r="G35447" s="8"/>
      <c r="J35447" s="8"/>
    </row>
    <row r="35448">
      <c r="C35448" s="15"/>
      <c r="E35448" s="8"/>
      <c r="G35448" s="8"/>
      <c r="J35448" s="8"/>
    </row>
    <row r="35449">
      <c r="C35449" s="15"/>
      <c r="E35449" s="8"/>
      <c r="G35449" s="8"/>
      <c r="J35449" s="8"/>
    </row>
    <row r="35450">
      <c r="C35450" s="15"/>
      <c r="E35450" s="8"/>
      <c r="G35450" s="8"/>
      <c r="J35450" s="8"/>
    </row>
    <row r="35451">
      <c r="C35451" s="15"/>
      <c r="E35451" s="8"/>
      <c r="G35451" s="8"/>
      <c r="J35451" s="8"/>
    </row>
    <row r="35452">
      <c r="C35452" s="15"/>
      <c r="E35452" s="8"/>
      <c r="G35452" s="8"/>
      <c r="J35452" s="8"/>
    </row>
    <row r="35453">
      <c r="C35453" s="15"/>
      <c r="E35453" s="8"/>
      <c r="G35453" s="8"/>
      <c r="J35453" s="8"/>
    </row>
    <row r="35454">
      <c r="C35454" s="15"/>
      <c r="E35454" s="8"/>
      <c r="G35454" s="8"/>
      <c r="J35454" s="8"/>
    </row>
    <row r="35455">
      <c r="C35455" s="15"/>
      <c r="E35455" s="8"/>
      <c r="G35455" s="8"/>
      <c r="J35455" s="8"/>
    </row>
    <row r="35456">
      <c r="C35456" s="15"/>
      <c r="E35456" s="8"/>
      <c r="G35456" s="8"/>
      <c r="J35456" s="8"/>
    </row>
    <row r="35457">
      <c r="C35457" s="15"/>
      <c r="E35457" s="8"/>
      <c r="G35457" s="8"/>
      <c r="J35457" s="8"/>
    </row>
    <row r="35458">
      <c r="C35458" s="15"/>
      <c r="E35458" s="8"/>
      <c r="G35458" s="8"/>
      <c r="J35458" s="8"/>
    </row>
    <row r="35459">
      <c r="C35459" s="15"/>
      <c r="E35459" s="8"/>
      <c r="G35459" s="8"/>
      <c r="J35459" s="8"/>
    </row>
    <row r="35460">
      <c r="C35460" s="15"/>
      <c r="E35460" s="8"/>
      <c r="G35460" s="8"/>
      <c r="J35460" s="8"/>
    </row>
    <row r="35461">
      <c r="C35461" s="15"/>
      <c r="E35461" s="8"/>
      <c r="G35461" s="8"/>
      <c r="J35461" s="8"/>
    </row>
    <row r="35462">
      <c r="C35462" s="15"/>
      <c r="E35462" s="8"/>
      <c r="G35462" s="8"/>
      <c r="J35462" s="8"/>
    </row>
    <row r="35463">
      <c r="C35463" s="15"/>
      <c r="E35463" s="8"/>
      <c r="G35463" s="8"/>
      <c r="J35463" s="8"/>
    </row>
    <row r="35464">
      <c r="C35464" s="15"/>
      <c r="E35464" s="8"/>
      <c r="G35464" s="8"/>
      <c r="J35464" s="8"/>
    </row>
    <row r="35465">
      <c r="C35465" s="15"/>
      <c r="E35465" s="8"/>
      <c r="G35465" s="8"/>
      <c r="J35465" s="8"/>
    </row>
    <row r="35466">
      <c r="C35466" s="15"/>
      <c r="E35466" s="8"/>
      <c r="G35466" s="8"/>
      <c r="J35466" s="8"/>
    </row>
    <row r="35467">
      <c r="C35467" s="15"/>
      <c r="E35467" s="8"/>
      <c r="G35467" s="8"/>
      <c r="J35467" s="8"/>
    </row>
    <row r="35468">
      <c r="C35468" s="15"/>
      <c r="E35468" s="8"/>
      <c r="G35468" s="8"/>
      <c r="J35468" s="8"/>
    </row>
    <row r="35469">
      <c r="C35469" s="15"/>
      <c r="E35469" s="8"/>
      <c r="G35469" s="8"/>
      <c r="J35469" s="8"/>
    </row>
    <row r="35470">
      <c r="C35470" s="15"/>
      <c r="E35470" s="8"/>
      <c r="G35470" s="8"/>
      <c r="J35470" s="8"/>
    </row>
    <row r="35471">
      <c r="C35471" s="15"/>
      <c r="E35471" s="8"/>
      <c r="G35471" s="8"/>
      <c r="J35471" s="8"/>
    </row>
    <row r="35472">
      <c r="C35472" s="15"/>
      <c r="E35472" s="8"/>
      <c r="G35472" s="8"/>
      <c r="J35472" s="8"/>
    </row>
    <row r="35473">
      <c r="C35473" s="15"/>
      <c r="E35473" s="8"/>
      <c r="G35473" s="8"/>
      <c r="J35473" s="8"/>
    </row>
    <row r="35474">
      <c r="C35474" s="15"/>
      <c r="E35474" s="8"/>
      <c r="G35474" s="8"/>
      <c r="J35474" s="8"/>
    </row>
    <row r="35475">
      <c r="C35475" s="15"/>
      <c r="E35475" s="8"/>
      <c r="G35475" s="8"/>
      <c r="J35475" s="8"/>
    </row>
    <row r="35476">
      <c r="C35476" s="15"/>
      <c r="E35476" s="8"/>
      <c r="G35476" s="8"/>
      <c r="J35476" s="8"/>
    </row>
    <row r="35477">
      <c r="C35477" s="15"/>
      <c r="E35477" s="8"/>
      <c r="G35477" s="8"/>
      <c r="J35477" s="8"/>
    </row>
    <row r="35478">
      <c r="C35478" s="15"/>
      <c r="E35478" s="8"/>
      <c r="G35478" s="8"/>
      <c r="J35478" s="8"/>
    </row>
    <row r="35479">
      <c r="C35479" s="15"/>
      <c r="E35479" s="8"/>
      <c r="G35479" s="8"/>
      <c r="J35479" s="8"/>
    </row>
    <row r="35480">
      <c r="C35480" s="15"/>
      <c r="E35480" s="8"/>
      <c r="G35480" s="8"/>
      <c r="J35480" s="8"/>
    </row>
    <row r="35481">
      <c r="C35481" s="15"/>
      <c r="E35481" s="8"/>
      <c r="G35481" s="8"/>
      <c r="J35481" s="8"/>
    </row>
    <row r="35482">
      <c r="C35482" s="15"/>
      <c r="E35482" s="8"/>
      <c r="G35482" s="8"/>
      <c r="J35482" s="8"/>
    </row>
    <row r="35483">
      <c r="C35483" s="15"/>
      <c r="E35483" s="8"/>
      <c r="G35483" s="8"/>
      <c r="J35483" s="8"/>
    </row>
    <row r="35484">
      <c r="C35484" s="15"/>
      <c r="E35484" s="8"/>
      <c r="G35484" s="8"/>
      <c r="J35484" s="8"/>
    </row>
    <row r="35485">
      <c r="C35485" s="15"/>
      <c r="E35485" s="8"/>
      <c r="G35485" s="8"/>
      <c r="J35485" s="8"/>
    </row>
    <row r="35486">
      <c r="C35486" s="15"/>
      <c r="E35486" s="8"/>
      <c r="G35486" s="8"/>
      <c r="J35486" s="8"/>
    </row>
    <row r="35487">
      <c r="C35487" s="15"/>
      <c r="E35487" s="8"/>
      <c r="G35487" s="8"/>
      <c r="J35487" s="8"/>
    </row>
    <row r="35488">
      <c r="C35488" s="15"/>
      <c r="E35488" s="8"/>
      <c r="G35488" s="8"/>
      <c r="J35488" s="8"/>
    </row>
    <row r="35489">
      <c r="C35489" s="15"/>
      <c r="E35489" s="8"/>
      <c r="G35489" s="8"/>
      <c r="J35489" s="8"/>
    </row>
    <row r="35490">
      <c r="C35490" s="15"/>
      <c r="E35490" s="8"/>
      <c r="G35490" s="8"/>
      <c r="J35490" s="8"/>
    </row>
    <row r="35491">
      <c r="C35491" s="15"/>
      <c r="E35491" s="8"/>
      <c r="G35491" s="8"/>
      <c r="J35491" s="8"/>
    </row>
    <row r="35492">
      <c r="C35492" s="15"/>
      <c r="E35492" s="8"/>
      <c r="G35492" s="8"/>
      <c r="J35492" s="8"/>
    </row>
    <row r="35493">
      <c r="C35493" s="15"/>
      <c r="E35493" s="8"/>
      <c r="G35493" s="8"/>
      <c r="J35493" s="8"/>
    </row>
    <row r="35494">
      <c r="C35494" s="15"/>
      <c r="E35494" s="8"/>
      <c r="G35494" s="8"/>
      <c r="J35494" s="8"/>
    </row>
    <row r="35495">
      <c r="C35495" s="15"/>
      <c r="E35495" s="8"/>
      <c r="G35495" s="8"/>
      <c r="J35495" s="8"/>
    </row>
    <row r="35496">
      <c r="C35496" s="15"/>
      <c r="E35496" s="8"/>
      <c r="G35496" s="8"/>
      <c r="J35496" s="8"/>
    </row>
    <row r="35497">
      <c r="C35497" s="15"/>
      <c r="E35497" s="8"/>
      <c r="G35497" s="8"/>
      <c r="J35497" s="8"/>
    </row>
    <row r="35498">
      <c r="C35498" s="15"/>
      <c r="E35498" s="8"/>
      <c r="G35498" s="8"/>
      <c r="J35498" s="8"/>
    </row>
    <row r="35499">
      <c r="C35499" s="15"/>
      <c r="E35499" s="8"/>
      <c r="G35499" s="8"/>
      <c r="J35499" s="8"/>
    </row>
    <row r="35500">
      <c r="C35500" s="15"/>
      <c r="E35500" s="8"/>
      <c r="G35500" s="8"/>
      <c r="J35500" s="8"/>
    </row>
    <row r="35501">
      <c r="C35501" s="15"/>
      <c r="E35501" s="8"/>
      <c r="G35501" s="8"/>
      <c r="J35501" s="8"/>
    </row>
    <row r="35502">
      <c r="C35502" s="15"/>
      <c r="E35502" s="8"/>
      <c r="G35502" s="8"/>
      <c r="J35502" s="8"/>
    </row>
    <row r="35503">
      <c r="C35503" s="15"/>
      <c r="E35503" s="8"/>
      <c r="G35503" s="8"/>
      <c r="J35503" s="8"/>
    </row>
    <row r="35504">
      <c r="C35504" s="15"/>
      <c r="E35504" s="8"/>
      <c r="G35504" s="8"/>
      <c r="J35504" s="8"/>
    </row>
    <row r="35505">
      <c r="C35505" s="15"/>
      <c r="E35505" s="8"/>
      <c r="G35505" s="8"/>
      <c r="J35505" s="8"/>
    </row>
    <row r="35506">
      <c r="C35506" s="15"/>
      <c r="E35506" s="8"/>
      <c r="G35506" s="8"/>
      <c r="J35506" s="8"/>
    </row>
    <row r="35507">
      <c r="C35507" s="15"/>
      <c r="E35507" s="8"/>
      <c r="G35507" s="8"/>
      <c r="J35507" s="8"/>
    </row>
    <row r="35508">
      <c r="C35508" s="15"/>
      <c r="E35508" s="8"/>
      <c r="G35508" s="8"/>
      <c r="J35508" s="8"/>
    </row>
    <row r="35509">
      <c r="C35509" s="15"/>
      <c r="E35509" s="8"/>
      <c r="G35509" s="8"/>
      <c r="J35509" s="8"/>
    </row>
    <row r="35510">
      <c r="C35510" s="15"/>
      <c r="E35510" s="8"/>
      <c r="G35510" s="8"/>
      <c r="J35510" s="8"/>
    </row>
    <row r="35511">
      <c r="C35511" s="15"/>
      <c r="E35511" s="8"/>
      <c r="G35511" s="8"/>
      <c r="J35511" s="8"/>
    </row>
    <row r="35512">
      <c r="C35512" s="15"/>
      <c r="E35512" s="8"/>
      <c r="G35512" s="8"/>
      <c r="J35512" s="8"/>
    </row>
    <row r="35513">
      <c r="C35513" s="15"/>
      <c r="E35513" s="8"/>
      <c r="G35513" s="8"/>
      <c r="J35513" s="8"/>
    </row>
    <row r="35514">
      <c r="C35514" s="15"/>
      <c r="E35514" s="8"/>
      <c r="G35514" s="8"/>
      <c r="J35514" s="8"/>
    </row>
    <row r="35515">
      <c r="C35515" s="15"/>
      <c r="E35515" s="8"/>
      <c r="G35515" s="8"/>
      <c r="J35515" s="8"/>
    </row>
    <row r="35516">
      <c r="C35516" s="15"/>
      <c r="E35516" s="8"/>
      <c r="G35516" s="8"/>
      <c r="J35516" s="8"/>
    </row>
    <row r="35517">
      <c r="C35517" s="15"/>
      <c r="E35517" s="8"/>
      <c r="G35517" s="8"/>
      <c r="J35517" s="8"/>
    </row>
    <row r="35518">
      <c r="C35518" s="15"/>
      <c r="E35518" s="8"/>
      <c r="G35518" s="8"/>
      <c r="J35518" s="8"/>
    </row>
    <row r="35519">
      <c r="C35519" s="15"/>
      <c r="E35519" s="8"/>
      <c r="G35519" s="8"/>
      <c r="J35519" s="8"/>
    </row>
    <row r="35520">
      <c r="C35520" s="15"/>
      <c r="E35520" s="8"/>
      <c r="G35520" s="8"/>
      <c r="J35520" s="8"/>
    </row>
    <row r="35521">
      <c r="C35521" s="15"/>
      <c r="E35521" s="8"/>
      <c r="G35521" s="8"/>
      <c r="J35521" s="8"/>
    </row>
    <row r="35522">
      <c r="C35522" s="15"/>
      <c r="E35522" s="8"/>
      <c r="G35522" s="8"/>
      <c r="J35522" s="8"/>
    </row>
    <row r="35523">
      <c r="C35523" s="15"/>
      <c r="E35523" s="8"/>
      <c r="G35523" s="8"/>
      <c r="J35523" s="8"/>
    </row>
    <row r="35524">
      <c r="C35524" s="15"/>
      <c r="E35524" s="8"/>
      <c r="G35524" s="8"/>
      <c r="J35524" s="8"/>
    </row>
    <row r="35525">
      <c r="C35525" s="15"/>
      <c r="E35525" s="8"/>
      <c r="G35525" s="8"/>
      <c r="J35525" s="8"/>
    </row>
    <row r="35526">
      <c r="C35526" s="15"/>
      <c r="E35526" s="8"/>
      <c r="G35526" s="8"/>
      <c r="J35526" s="8"/>
    </row>
    <row r="35527">
      <c r="C35527" s="15"/>
      <c r="E35527" s="8"/>
      <c r="G35527" s="8"/>
      <c r="J35527" s="8"/>
    </row>
    <row r="35528">
      <c r="C35528" s="15"/>
      <c r="E35528" s="8"/>
      <c r="G35528" s="8"/>
      <c r="J35528" s="8"/>
    </row>
    <row r="35529">
      <c r="C35529" s="15"/>
      <c r="E35529" s="8"/>
      <c r="G35529" s="8"/>
      <c r="J35529" s="8"/>
    </row>
    <row r="35530">
      <c r="C35530" s="15"/>
      <c r="E35530" s="8"/>
      <c r="G35530" s="8"/>
      <c r="J35530" s="8"/>
    </row>
    <row r="35531">
      <c r="C35531" s="15"/>
      <c r="E35531" s="8"/>
      <c r="G35531" s="8"/>
      <c r="J35531" s="8"/>
    </row>
    <row r="35532">
      <c r="C35532" s="15"/>
      <c r="E35532" s="8"/>
      <c r="G35532" s="8"/>
      <c r="J35532" s="8"/>
    </row>
    <row r="35533">
      <c r="C35533" s="15"/>
      <c r="E35533" s="8"/>
      <c r="G35533" s="8"/>
      <c r="J35533" s="8"/>
    </row>
    <row r="35534">
      <c r="C35534" s="15"/>
      <c r="E35534" s="8"/>
      <c r="G35534" s="8"/>
      <c r="J35534" s="8"/>
    </row>
    <row r="35535">
      <c r="C35535" s="15"/>
      <c r="E35535" s="8"/>
      <c r="G35535" s="8"/>
      <c r="J35535" s="8"/>
    </row>
    <row r="35536">
      <c r="C35536" s="15"/>
      <c r="E35536" s="8"/>
      <c r="G35536" s="8"/>
      <c r="J35536" s="8"/>
    </row>
    <row r="35537">
      <c r="C35537" s="15"/>
      <c r="E35537" s="8"/>
      <c r="G35537" s="8"/>
      <c r="J35537" s="8"/>
    </row>
    <row r="35538">
      <c r="C35538" s="15"/>
      <c r="E35538" s="8"/>
      <c r="G35538" s="8"/>
      <c r="J35538" s="8"/>
    </row>
    <row r="35539">
      <c r="C35539" s="15"/>
      <c r="E35539" s="8"/>
      <c r="G35539" s="8"/>
      <c r="J35539" s="8"/>
    </row>
    <row r="35540">
      <c r="C35540" s="15"/>
      <c r="E35540" s="8"/>
      <c r="G35540" s="8"/>
      <c r="J35540" s="8"/>
    </row>
    <row r="35541">
      <c r="C35541" s="15"/>
      <c r="E35541" s="8"/>
      <c r="G35541" s="8"/>
      <c r="J35541" s="8"/>
    </row>
    <row r="35542">
      <c r="C35542" s="15"/>
      <c r="E35542" s="8"/>
      <c r="G35542" s="8"/>
      <c r="J35542" s="8"/>
    </row>
    <row r="35543">
      <c r="C35543" s="15"/>
      <c r="E35543" s="8"/>
      <c r="G35543" s="8"/>
      <c r="J35543" s="8"/>
    </row>
    <row r="35544">
      <c r="C35544" s="15"/>
      <c r="E35544" s="8"/>
      <c r="G35544" s="8"/>
      <c r="J35544" s="8"/>
    </row>
    <row r="35545">
      <c r="C35545" s="15"/>
      <c r="E35545" s="8"/>
      <c r="G35545" s="8"/>
      <c r="J35545" s="8"/>
    </row>
    <row r="35546">
      <c r="C35546" s="15"/>
      <c r="E35546" s="8"/>
      <c r="G35546" s="8"/>
      <c r="J35546" s="8"/>
    </row>
    <row r="35547">
      <c r="C35547" s="15"/>
      <c r="E35547" s="8"/>
      <c r="G35547" s="8"/>
      <c r="J35547" s="8"/>
    </row>
    <row r="35548">
      <c r="C35548" s="15"/>
      <c r="E35548" s="8"/>
      <c r="G35548" s="8"/>
      <c r="J35548" s="8"/>
    </row>
    <row r="35549">
      <c r="C35549" s="15"/>
      <c r="E35549" s="8"/>
      <c r="G35549" s="8"/>
      <c r="J35549" s="8"/>
    </row>
    <row r="35550">
      <c r="C35550" s="15"/>
      <c r="E35550" s="8"/>
      <c r="G35550" s="8"/>
      <c r="J35550" s="8"/>
    </row>
    <row r="35551">
      <c r="C35551" s="15"/>
      <c r="E35551" s="8"/>
      <c r="G35551" s="8"/>
      <c r="J35551" s="8"/>
    </row>
    <row r="35552">
      <c r="C35552" s="15"/>
      <c r="E35552" s="8"/>
      <c r="G35552" s="8"/>
      <c r="J35552" s="8"/>
    </row>
    <row r="35553">
      <c r="C35553" s="15"/>
      <c r="E35553" s="8"/>
      <c r="G35553" s="8"/>
      <c r="J35553" s="8"/>
    </row>
    <row r="35554">
      <c r="C35554" s="15"/>
      <c r="E35554" s="8"/>
      <c r="G35554" s="8"/>
      <c r="J35554" s="8"/>
    </row>
    <row r="35555">
      <c r="C35555" s="15"/>
      <c r="E35555" s="8"/>
      <c r="G35555" s="8"/>
      <c r="J35555" s="8"/>
    </row>
    <row r="35556">
      <c r="C35556" s="15"/>
      <c r="E35556" s="8"/>
      <c r="G35556" s="8"/>
      <c r="J35556" s="8"/>
    </row>
    <row r="35557">
      <c r="C35557" s="15"/>
      <c r="E35557" s="8"/>
      <c r="G35557" s="8"/>
      <c r="J35557" s="8"/>
    </row>
    <row r="35558">
      <c r="C35558" s="15"/>
      <c r="E35558" s="8"/>
      <c r="G35558" s="8"/>
      <c r="J35558" s="8"/>
    </row>
    <row r="35559">
      <c r="C35559" s="15"/>
      <c r="E35559" s="8"/>
      <c r="G35559" s="8"/>
      <c r="J35559" s="8"/>
    </row>
    <row r="35560">
      <c r="C35560" s="15"/>
      <c r="E35560" s="8"/>
      <c r="G35560" s="8"/>
      <c r="J35560" s="8"/>
    </row>
    <row r="35561">
      <c r="C35561" s="15"/>
      <c r="E35561" s="8"/>
      <c r="G35561" s="8"/>
      <c r="J35561" s="8"/>
    </row>
    <row r="35562">
      <c r="C35562" s="15"/>
      <c r="E35562" s="8"/>
      <c r="G35562" s="8"/>
      <c r="J35562" s="8"/>
    </row>
    <row r="35563">
      <c r="C35563" s="15"/>
      <c r="E35563" s="8"/>
      <c r="G35563" s="8"/>
      <c r="J35563" s="8"/>
    </row>
    <row r="35564">
      <c r="C35564" s="15"/>
      <c r="E35564" s="8"/>
      <c r="G35564" s="8"/>
      <c r="J35564" s="8"/>
    </row>
    <row r="35565">
      <c r="C35565" s="15"/>
      <c r="E35565" s="8"/>
      <c r="G35565" s="8"/>
      <c r="J35565" s="8"/>
    </row>
    <row r="35566">
      <c r="C35566" s="15"/>
      <c r="E35566" s="8"/>
      <c r="G35566" s="8"/>
      <c r="J35566" s="8"/>
    </row>
    <row r="35567">
      <c r="C35567" s="15"/>
      <c r="E35567" s="8"/>
      <c r="G35567" s="8"/>
      <c r="J35567" s="8"/>
    </row>
    <row r="35568">
      <c r="C35568" s="15"/>
      <c r="E35568" s="8"/>
      <c r="G35568" s="8"/>
      <c r="J35568" s="8"/>
    </row>
    <row r="35569">
      <c r="C35569" s="15"/>
      <c r="E35569" s="8"/>
      <c r="G35569" s="8"/>
      <c r="J35569" s="8"/>
    </row>
    <row r="35570">
      <c r="C35570" s="15"/>
      <c r="E35570" s="8"/>
      <c r="G35570" s="8"/>
      <c r="J35570" s="8"/>
    </row>
    <row r="35571">
      <c r="C35571" s="15"/>
      <c r="E35571" s="8"/>
      <c r="G35571" s="8"/>
      <c r="J35571" s="8"/>
    </row>
    <row r="35572">
      <c r="C35572" s="15"/>
      <c r="E35572" s="8"/>
      <c r="G35572" s="8"/>
      <c r="J35572" s="8"/>
    </row>
    <row r="35573">
      <c r="C35573" s="15"/>
      <c r="E35573" s="8"/>
      <c r="G35573" s="8"/>
      <c r="J35573" s="8"/>
    </row>
    <row r="35574">
      <c r="C35574" s="15"/>
      <c r="E35574" s="8"/>
      <c r="G35574" s="8"/>
      <c r="J35574" s="8"/>
    </row>
    <row r="35575">
      <c r="C35575" s="15"/>
      <c r="E35575" s="8"/>
      <c r="G35575" s="8"/>
      <c r="J35575" s="8"/>
    </row>
    <row r="35576">
      <c r="C35576" s="15"/>
      <c r="E35576" s="8"/>
      <c r="G35576" s="8"/>
      <c r="J35576" s="8"/>
    </row>
    <row r="35577">
      <c r="C35577" s="15"/>
      <c r="E35577" s="8"/>
      <c r="G35577" s="8"/>
      <c r="J35577" s="8"/>
    </row>
    <row r="35578">
      <c r="C35578" s="15"/>
      <c r="E35578" s="8"/>
      <c r="G35578" s="8"/>
      <c r="J35578" s="8"/>
    </row>
    <row r="35579">
      <c r="C35579" s="15"/>
      <c r="E35579" s="8"/>
      <c r="G35579" s="8"/>
      <c r="J35579" s="8"/>
    </row>
    <row r="35580">
      <c r="C35580" s="15"/>
      <c r="E35580" s="8"/>
      <c r="G35580" s="8"/>
      <c r="J35580" s="8"/>
    </row>
    <row r="35581">
      <c r="C35581" s="15"/>
      <c r="E35581" s="8"/>
      <c r="G35581" s="8"/>
      <c r="J35581" s="8"/>
    </row>
    <row r="35582">
      <c r="C35582" s="15"/>
      <c r="E35582" s="8"/>
      <c r="G35582" s="8"/>
      <c r="J35582" s="8"/>
    </row>
    <row r="35583">
      <c r="C35583" s="15"/>
      <c r="E35583" s="8"/>
      <c r="G35583" s="8"/>
      <c r="J35583" s="8"/>
    </row>
    <row r="35584">
      <c r="C35584" s="15"/>
      <c r="E35584" s="8"/>
      <c r="G35584" s="8"/>
      <c r="J35584" s="8"/>
    </row>
    <row r="35585">
      <c r="C35585" s="15"/>
      <c r="E35585" s="8"/>
      <c r="G35585" s="8"/>
      <c r="J35585" s="8"/>
    </row>
    <row r="35586">
      <c r="C35586" s="15"/>
      <c r="E35586" s="8"/>
      <c r="G35586" s="8"/>
      <c r="J35586" s="8"/>
    </row>
    <row r="35587">
      <c r="C35587" s="15"/>
      <c r="E35587" s="8"/>
      <c r="G35587" s="8"/>
      <c r="J35587" s="8"/>
    </row>
    <row r="35588">
      <c r="C35588" s="15"/>
      <c r="E35588" s="8"/>
      <c r="G35588" s="8"/>
      <c r="J35588" s="8"/>
    </row>
    <row r="35589">
      <c r="C35589" s="15"/>
      <c r="E35589" s="8"/>
      <c r="G35589" s="8"/>
      <c r="J35589" s="8"/>
    </row>
    <row r="35590">
      <c r="C35590" s="15"/>
      <c r="E35590" s="8"/>
      <c r="G35590" s="8"/>
      <c r="J35590" s="8"/>
    </row>
    <row r="35591">
      <c r="C35591" s="15"/>
      <c r="E35591" s="8"/>
      <c r="G35591" s="8"/>
      <c r="J35591" s="8"/>
    </row>
    <row r="35592">
      <c r="C35592" s="15"/>
      <c r="E35592" s="8"/>
      <c r="G35592" s="8"/>
      <c r="J35592" s="8"/>
    </row>
    <row r="35593">
      <c r="C35593" s="15"/>
      <c r="E35593" s="8"/>
      <c r="G35593" s="8"/>
      <c r="J35593" s="8"/>
    </row>
    <row r="35594">
      <c r="C35594" s="15"/>
      <c r="E35594" s="8"/>
      <c r="G35594" s="8"/>
      <c r="J35594" s="8"/>
    </row>
    <row r="35595">
      <c r="C35595" s="15"/>
      <c r="E35595" s="8"/>
      <c r="G35595" s="8"/>
      <c r="J35595" s="8"/>
    </row>
    <row r="35596">
      <c r="C35596" s="15"/>
      <c r="E35596" s="8"/>
      <c r="G35596" s="8"/>
      <c r="J35596" s="8"/>
    </row>
    <row r="35597">
      <c r="C35597" s="15"/>
      <c r="E35597" s="8"/>
      <c r="G35597" s="8"/>
      <c r="J35597" s="8"/>
    </row>
    <row r="35598">
      <c r="C35598" s="15"/>
      <c r="E35598" s="8"/>
      <c r="G35598" s="8"/>
      <c r="J35598" s="8"/>
    </row>
    <row r="35599">
      <c r="C35599" s="15"/>
      <c r="E35599" s="8"/>
      <c r="G35599" s="8"/>
      <c r="J35599" s="8"/>
    </row>
    <row r="35600">
      <c r="C35600" s="15"/>
      <c r="E35600" s="8"/>
      <c r="G35600" s="8"/>
      <c r="J35600" s="8"/>
    </row>
    <row r="35601">
      <c r="C35601" s="15"/>
      <c r="E35601" s="8"/>
      <c r="G35601" s="8"/>
      <c r="J35601" s="8"/>
    </row>
    <row r="35602">
      <c r="C35602" s="15"/>
      <c r="E35602" s="8"/>
      <c r="G35602" s="8"/>
      <c r="J35602" s="8"/>
    </row>
    <row r="35603">
      <c r="C35603" s="15"/>
      <c r="E35603" s="8"/>
      <c r="G35603" s="8"/>
      <c r="J35603" s="8"/>
    </row>
    <row r="35604">
      <c r="C35604" s="15"/>
      <c r="E35604" s="8"/>
      <c r="G35604" s="8"/>
      <c r="J35604" s="8"/>
    </row>
    <row r="35605">
      <c r="C35605" s="15"/>
      <c r="E35605" s="8"/>
      <c r="G35605" s="8"/>
      <c r="J35605" s="8"/>
    </row>
    <row r="35606">
      <c r="C35606" s="15"/>
      <c r="E35606" s="8"/>
      <c r="G35606" s="8"/>
      <c r="J35606" s="8"/>
    </row>
    <row r="35607">
      <c r="C35607" s="15"/>
      <c r="E35607" s="8"/>
      <c r="G35607" s="8"/>
      <c r="J35607" s="8"/>
    </row>
    <row r="35608">
      <c r="C35608" s="15"/>
      <c r="E35608" s="8"/>
      <c r="G35608" s="8"/>
      <c r="J35608" s="8"/>
    </row>
    <row r="35609">
      <c r="C35609" s="15"/>
      <c r="E35609" s="8"/>
      <c r="G35609" s="8"/>
      <c r="J35609" s="8"/>
    </row>
    <row r="35610">
      <c r="C35610" s="15"/>
      <c r="E35610" s="8"/>
      <c r="G35610" s="8"/>
      <c r="J35610" s="8"/>
    </row>
    <row r="35611">
      <c r="C35611" s="15"/>
      <c r="E35611" s="8"/>
      <c r="G35611" s="8"/>
      <c r="J35611" s="8"/>
    </row>
    <row r="35612">
      <c r="C35612" s="15"/>
      <c r="E35612" s="8"/>
      <c r="G35612" s="8"/>
      <c r="J35612" s="8"/>
    </row>
    <row r="35613">
      <c r="C35613" s="15"/>
      <c r="E35613" s="8"/>
      <c r="G35613" s="8"/>
      <c r="J35613" s="8"/>
    </row>
    <row r="35614">
      <c r="C35614" s="15"/>
      <c r="E35614" s="8"/>
      <c r="G35614" s="8"/>
      <c r="J35614" s="8"/>
    </row>
    <row r="35615">
      <c r="C35615" s="15"/>
      <c r="E35615" s="8"/>
      <c r="G35615" s="8"/>
      <c r="J35615" s="8"/>
    </row>
    <row r="35616">
      <c r="C35616" s="15"/>
      <c r="E35616" s="8"/>
      <c r="G35616" s="8"/>
      <c r="J35616" s="8"/>
    </row>
    <row r="35617">
      <c r="C35617" s="15"/>
      <c r="E35617" s="8"/>
      <c r="G35617" s="8"/>
      <c r="J35617" s="8"/>
    </row>
    <row r="35618">
      <c r="C35618" s="15"/>
      <c r="E35618" s="8"/>
      <c r="G35618" s="8"/>
      <c r="J35618" s="8"/>
    </row>
    <row r="35619">
      <c r="C35619" s="15"/>
      <c r="E35619" s="8"/>
      <c r="G35619" s="8"/>
      <c r="J35619" s="8"/>
    </row>
    <row r="35620">
      <c r="C35620" s="15"/>
      <c r="E35620" s="8"/>
      <c r="G35620" s="8"/>
      <c r="J35620" s="8"/>
    </row>
    <row r="35621">
      <c r="C35621" s="15"/>
      <c r="E35621" s="8"/>
      <c r="G35621" s="8"/>
      <c r="J35621" s="8"/>
    </row>
    <row r="35622">
      <c r="C35622" s="15"/>
      <c r="E35622" s="8"/>
      <c r="G35622" s="8"/>
      <c r="J35622" s="8"/>
    </row>
    <row r="35623">
      <c r="C35623" s="15"/>
      <c r="E35623" s="8"/>
      <c r="G35623" s="8"/>
      <c r="J35623" s="8"/>
    </row>
    <row r="35624">
      <c r="C35624" s="15"/>
      <c r="E35624" s="8"/>
      <c r="G35624" s="8"/>
      <c r="J35624" s="8"/>
    </row>
    <row r="35625">
      <c r="C35625" s="15"/>
      <c r="E35625" s="8"/>
      <c r="G35625" s="8"/>
      <c r="J35625" s="8"/>
    </row>
    <row r="35626">
      <c r="C35626" s="15"/>
      <c r="E35626" s="8"/>
      <c r="G35626" s="8"/>
      <c r="J35626" s="8"/>
    </row>
    <row r="35627">
      <c r="C35627" s="15"/>
      <c r="E35627" s="8"/>
      <c r="G35627" s="8"/>
      <c r="J35627" s="8"/>
    </row>
    <row r="35628">
      <c r="C35628" s="15"/>
      <c r="E35628" s="8"/>
      <c r="G35628" s="8"/>
      <c r="J35628" s="8"/>
    </row>
    <row r="35629">
      <c r="C35629" s="15"/>
      <c r="E35629" s="8"/>
      <c r="G35629" s="8"/>
      <c r="J35629" s="8"/>
    </row>
    <row r="35630">
      <c r="C35630" s="15"/>
      <c r="E35630" s="8"/>
      <c r="G35630" s="8"/>
      <c r="J35630" s="8"/>
    </row>
    <row r="35631">
      <c r="C35631" s="15"/>
      <c r="E35631" s="8"/>
      <c r="G35631" s="8"/>
      <c r="J35631" s="8"/>
    </row>
    <row r="35632">
      <c r="C35632" s="15"/>
      <c r="E35632" s="8"/>
      <c r="G35632" s="8"/>
      <c r="J35632" s="8"/>
    </row>
    <row r="35633">
      <c r="C35633" s="15"/>
      <c r="E35633" s="8"/>
      <c r="G35633" s="8"/>
      <c r="J35633" s="8"/>
    </row>
    <row r="35634">
      <c r="C35634" s="15"/>
      <c r="E35634" s="8"/>
      <c r="G35634" s="8"/>
      <c r="J35634" s="8"/>
    </row>
    <row r="35635">
      <c r="C35635" s="15"/>
      <c r="E35635" s="8"/>
      <c r="G35635" s="8"/>
      <c r="J35635" s="8"/>
    </row>
    <row r="35636">
      <c r="C35636" s="15"/>
      <c r="E35636" s="8"/>
      <c r="G35636" s="8"/>
      <c r="J35636" s="8"/>
    </row>
    <row r="35637">
      <c r="C35637" s="15"/>
      <c r="E35637" s="8"/>
      <c r="G35637" s="8"/>
      <c r="J35637" s="8"/>
    </row>
    <row r="35638">
      <c r="C35638" s="15"/>
      <c r="E35638" s="8"/>
      <c r="G35638" s="8"/>
      <c r="J35638" s="8"/>
    </row>
    <row r="35639">
      <c r="C35639" s="15"/>
      <c r="E35639" s="8"/>
      <c r="G35639" s="8"/>
      <c r="J35639" s="8"/>
    </row>
    <row r="35640">
      <c r="C35640" s="15"/>
      <c r="E35640" s="8"/>
      <c r="G35640" s="8"/>
      <c r="J35640" s="8"/>
    </row>
    <row r="35641">
      <c r="C35641" s="15"/>
      <c r="E35641" s="8"/>
      <c r="G35641" s="8"/>
      <c r="J35641" s="8"/>
    </row>
    <row r="35642">
      <c r="C35642" s="15"/>
      <c r="E35642" s="8"/>
      <c r="G35642" s="8"/>
      <c r="J35642" s="8"/>
    </row>
    <row r="35643">
      <c r="C35643" s="15"/>
      <c r="E35643" s="8"/>
      <c r="G35643" s="8"/>
      <c r="J35643" s="8"/>
    </row>
    <row r="35644">
      <c r="C35644" s="15"/>
      <c r="E35644" s="8"/>
      <c r="G35644" s="8"/>
      <c r="J35644" s="8"/>
    </row>
    <row r="35645">
      <c r="C35645" s="15"/>
      <c r="E35645" s="8"/>
      <c r="G35645" s="8"/>
      <c r="J35645" s="8"/>
    </row>
    <row r="35646">
      <c r="C35646" s="15"/>
      <c r="E35646" s="8"/>
      <c r="G35646" s="8"/>
      <c r="J35646" s="8"/>
    </row>
    <row r="35647">
      <c r="C35647" s="15"/>
      <c r="E35647" s="8"/>
      <c r="G35647" s="8"/>
      <c r="J35647" s="8"/>
    </row>
    <row r="35648">
      <c r="C35648" s="15"/>
      <c r="E35648" s="8"/>
      <c r="G35648" s="8"/>
      <c r="J35648" s="8"/>
    </row>
    <row r="35649">
      <c r="C35649" s="15"/>
      <c r="E35649" s="8"/>
      <c r="G35649" s="8"/>
      <c r="J35649" s="8"/>
    </row>
    <row r="35650">
      <c r="C35650" s="15"/>
      <c r="E35650" s="8"/>
      <c r="G35650" s="8"/>
      <c r="J35650" s="8"/>
    </row>
    <row r="35651">
      <c r="C35651" s="15"/>
      <c r="E35651" s="8"/>
      <c r="G35651" s="8"/>
      <c r="J35651" s="8"/>
    </row>
    <row r="35652">
      <c r="C35652" s="15"/>
      <c r="E35652" s="8"/>
      <c r="G35652" s="8"/>
      <c r="J35652" s="8"/>
    </row>
    <row r="35653">
      <c r="C35653" s="15"/>
      <c r="E35653" s="8"/>
      <c r="G35653" s="8"/>
      <c r="J35653" s="8"/>
    </row>
    <row r="35654">
      <c r="C35654" s="15"/>
      <c r="E35654" s="8"/>
      <c r="G35654" s="8"/>
      <c r="J35654" s="8"/>
    </row>
    <row r="35655">
      <c r="C35655" s="15"/>
      <c r="E35655" s="8"/>
      <c r="G35655" s="8"/>
      <c r="J35655" s="8"/>
    </row>
    <row r="35656">
      <c r="C35656" s="15"/>
      <c r="E35656" s="8"/>
      <c r="G35656" s="8"/>
      <c r="J35656" s="8"/>
    </row>
    <row r="35657">
      <c r="C35657" s="15"/>
      <c r="E35657" s="8"/>
      <c r="G35657" s="8"/>
      <c r="J35657" s="8"/>
    </row>
    <row r="35658">
      <c r="C35658" s="15"/>
      <c r="E35658" s="8"/>
      <c r="G35658" s="8"/>
      <c r="J35658" s="8"/>
    </row>
    <row r="35659">
      <c r="C35659" s="15"/>
      <c r="E35659" s="8"/>
      <c r="G35659" s="8"/>
      <c r="J35659" s="8"/>
    </row>
    <row r="35660">
      <c r="C35660" s="15"/>
      <c r="E35660" s="8"/>
      <c r="G35660" s="8"/>
      <c r="J35660" s="8"/>
    </row>
    <row r="35661">
      <c r="C35661" s="15"/>
      <c r="E35661" s="8"/>
      <c r="G35661" s="8"/>
      <c r="J35661" s="8"/>
    </row>
    <row r="35662">
      <c r="C35662" s="15"/>
      <c r="E35662" s="8"/>
      <c r="G35662" s="8"/>
      <c r="J35662" s="8"/>
    </row>
    <row r="35663">
      <c r="C35663" s="15"/>
      <c r="E35663" s="8"/>
      <c r="G35663" s="8"/>
      <c r="J35663" s="8"/>
    </row>
    <row r="35664">
      <c r="C35664" s="15"/>
      <c r="E35664" s="8"/>
      <c r="G35664" s="8"/>
      <c r="J35664" s="8"/>
    </row>
    <row r="35665">
      <c r="C35665" s="15"/>
      <c r="E35665" s="8"/>
      <c r="G35665" s="8"/>
      <c r="J35665" s="8"/>
    </row>
    <row r="35666">
      <c r="C35666" s="15"/>
      <c r="E35666" s="8"/>
      <c r="G35666" s="8"/>
      <c r="J35666" s="8"/>
    </row>
    <row r="35667">
      <c r="C35667" s="15"/>
      <c r="E35667" s="8"/>
      <c r="G35667" s="8"/>
      <c r="J35667" s="8"/>
    </row>
    <row r="35668">
      <c r="C35668" s="15"/>
      <c r="E35668" s="8"/>
      <c r="G35668" s="8"/>
      <c r="J35668" s="8"/>
    </row>
    <row r="35669">
      <c r="C35669" s="15"/>
      <c r="E35669" s="8"/>
      <c r="G35669" s="8"/>
      <c r="J35669" s="8"/>
    </row>
    <row r="35670">
      <c r="C35670" s="15"/>
      <c r="E35670" s="8"/>
      <c r="G35670" s="8"/>
      <c r="J35670" s="8"/>
    </row>
    <row r="35671">
      <c r="C35671" s="15"/>
      <c r="E35671" s="8"/>
      <c r="G35671" s="8"/>
      <c r="J35671" s="8"/>
    </row>
    <row r="35672">
      <c r="C35672" s="15"/>
      <c r="E35672" s="8"/>
      <c r="G35672" s="8"/>
      <c r="J35672" s="8"/>
    </row>
    <row r="35673">
      <c r="C35673" s="15"/>
      <c r="E35673" s="8"/>
      <c r="G35673" s="8"/>
      <c r="J35673" s="8"/>
    </row>
    <row r="35674">
      <c r="C35674" s="15"/>
      <c r="E35674" s="8"/>
      <c r="G35674" s="8"/>
      <c r="J35674" s="8"/>
    </row>
    <row r="35675">
      <c r="C35675" s="15"/>
      <c r="E35675" s="8"/>
      <c r="G35675" s="8"/>
      <c r="J35675" s="8"/>
    </row>
    <row r="35676">
      <c r="C35676" s="15"/>
      <c r="E35676" s="8"/>
      <c r="G35676" s="8"/>
      <c r="J35676" s="8"/>
    </row>
    <row r="35677">
      <c r="C35677" s="15"/>
      <c r="E35677" s="8"/>
      <c r="G35677" s="8"/>
      <c r="J35677" s="8"/>
    </row>
    <row r="35678">
      <c r="C35678" s="15"/>
      <c r="E35678" s="8"/>
      <c r="G35678" s="8"/>
      <c r="J35678" s="8"/>
    </row>
    <row r="35679">
      <c r="C35679" s="15"/>
      <c r="E35679" s="8"/>
      <c r="G35679" s="8"/>
      <c r="J35679" s="8"/>
    </row>
    <row r="35680">
      <c r="C35680" s="15"/>
      <c r="E35680" s="8"/>
      <c r="G35680" s="8"/>
      <c r="J35680" s="8"/>
    </row>
    <row r="35681">
      <c r="C35681" s="15"/>
      <c r="E35681" s="8"/>
      <c r="G35681" s="8"/>
      <c r="J35681" s="8"/>
    </row>
    <row r="35682">
      <c r="C35682" s="15"/>
      <c r="E35682" s="8"/>
      <c r="G35682" s="8"/>
      <c r="J35682" s="8"/>
    </row>
    <row r="35683">
      <c r="C35683" s="15"/>
      <c r="E35683" s="8"/>
      <c r="G35683" s="8"/>
      <c r="J35683" s="8"/>
    </row>
    <row r="35684">
      <c r="C35684" s="15"/>
      <c r="E35684" s="8"/>
      <c r="G35684" s="8"/>
      <c r="J35684" s="8"/>
    </row>
    <row r="35685">
      <c r="C35685" s="15"/>
      <c r="E35685" s="8"/>
      <c r="G35685" s="8"/>
      <c r="J35685" s="8"/>
    </row>
    <row r="35686">
      <c r="C35686" s="15"/>
      <c r="E35686" s="8"/>
      <c r="G35686" s="8"/>
      <c r="J35686" s="8"/>
    </row>
    <row r="35687">
      <c r="C35687" s="15"/>
      <c r="E35687" s="8"/>
      <c r="G35687" s="8"/>
      <c r="J35687" s="8"/>
    </row>
    <row r="35688">
      <c r="C35688" s="15"/>
      <c r="E35688" s="8"/>
      <c r="G35688" s="8"/>
      <c r="J35688" s="8"/>
    </row>
    <row r="35689">
      <c r="C35689" s="15"/>
      <c r="E35689" s="8"/>
      <c r="G35689" s="8"/>
      <c r="J35689" s="8"/>
    </row>
    <row r="35690">
      <c r="C35690" s="15"/>
      <c r="E35690" s="8"/>
      <c r="G35690" s="8"/>
      <c r="J35690" s="8"/>
    </row>
    <row r="35691">
      <c r="C35691" s="15"/>
      <c r="E35691" s="8"/>
      <c r="G35691" s="8"/>
      <c r="J35691" s="8"/>
    </row>
    <row r="35692">
      <c r="C35692" s="15"/>
      <c r="E35692" s="8"/>
      <c r="G35692" s="8"/>
      <c r="J35692" s="8"/>
    </row>
    <row r="35693">
      <c r="C35693" s="15"/>
      <c r="E35693" s="8"/>
      <c r="G35693" s="8"/>
      <c r="J35693" s="8"/>
    </row>
    <row r="35694">
      <c r="C35694" s="15"/>
      <c r="E35694" s="8"/>
      <c r="G35694" s="8"/>
      <c r="J35694" s="8"/>
    </row>
    <row r="35695">
      <c r="C35695" s="15"/>
      <c r="E35695" s="8"/>
      <c r="G35695" s="8"/>
      <c r="J35695" s="8"/>
    </row>
    <row r="35696">
      <c r="C35696" s="15"/>
      <c r="E35696" s="8"/>
      <c r="G35696" s="8"/>
      <c r="J35696" s="8"/>
    </row>
    <row r="35697">
      <c r="C35697" s="15"/>
      <c r="E35697" s="8"/>
      <c r="G35697" s="8"/>
      <c r="J35697" s="8"/>
    </row>
    <row r="35698">
      <c r="C35698" s="15"/>
      <c r="E35698" s="8"/>
      <c r="G35698" s="8"/>
      <c r="J35698" s="8"/>
    </row>
    <row r="35699">
      <c r="C35699" s="15"/>
      <c r="E35699" s="8"/>
      <c r="G35699" s="8"/>
      <c r="J35699" s="8"/>
    </row>
    <row r="35700">
      <c r="C35700" s="15"/>
      <c r="E35700" s="8"/>
      <c r="G35700" s="8"/>
      <c r="J35700" s="8"/>
    </row>
    <row r="35701">
      <c r="C35701" s="15"/>
      <c r="E35701" s="8"/>
      <c r="G35701" s="8"/>
      <c r="J35701" s="8"/>
    </row>
    <row r="35702">
      <c r="C35702" s="15"/>
      <c r="E35702" s="8"/>
      <c r="G35702" s="8"/>
      <c r="J35702" s="8"/>
    </row>
    <row r="35703">
      <c r="C35703" s="15"/>
      <c r="E35703" s="8"/>
      <c r="G35703" s="8"/>
      <c r="J35703" s="8"/>
    </row>
    <row r="35704">
      <c r="C35704" s="15"/>
      <c r="E35704" s="8"/>
      <c r="G35704" s="8"/>
      <c r="J35704" s="8"/>
    </row>
    <row r="35705">
      <c r="C35705" s="15"/>
      <c r="E35705" s="8"/>
      <c r="G35705" s="8"/>
      <c r="J35705" s="8"/>
    </row>
    <row r="35706">
      <c r="C35706" s="15"/>
      <c r="E35706" s="8"/>
      <c r="G35706" s="8"/>
      <c r="J35706" s="8"/>
    </row>
    <row r="35707">
      <c r="C35707" s="15"/>
      <c r="E35707" s="8"/>
      <c r="G35707" s="8"/>
      <c r="J35707" s="8"/>
    </row>
    <row r="35708">
      <c r="C35708" s="15"/>
      <c r="E35708" s="8"/>
      <c r="G35708" s="8"/>
      <c r="J35708" s="8"/>
    </row>
    <row r="35709">
      <c r="C35709" s="15"/>
      <c r="E35709" s="8"/>
      <c r="G35709" s="8"/>
      <c r="J35709" s="8"/>
    </row>
    <row r="35710">
      <c r="C35710" s="15"/>
      <c r="E35710" s="8"/>
      <c r="G35710" s="8"/>
      <c r="J35710" s="8"/>
    </row>
    <row r="35711">
      <c r="C35711" s="15"/>
      <c r="E35711" s="8"/>
      <c r="G35711" s="8"/>
      <c r="J35711" s="8"/>
    </row>
    <row r="35712">
      <c r="C35712" s="15"/>
      <c r="E35712" s="8"/>
      <c r="G35712" s="8"/>
      <c r="J35712" s="8"/>
    </row>
    <row r="35713">
      <c r="C35713" s="15"/>
      <c r="E35713" s="8"/>
      <c r="G35713" s="8"/>
      <c r="J35713" s="8"/>
    </row>
    <row r="35714">
      <c r="C35714" s="15"/>
      <c r="E35714" s="8"/>
      <c r="G35714" s="8"/>
      <c r="J35714" s="8"/>
    </row>
    <row r="35715">
      <c r="C35715" s="15"/>
      <c r="E35715" s="8"/>
      <c r="G35715" s="8"/>
      <c r="J35715" s="8"/>
    </row>
    <row r="35716">
      <c r="C35716" s="15"/>
      <c r="E35716" s="8"/>
      <c r="G35716" s="8"/>
      <c r="J35716" s="8"/>
    </row>
    <row r="35717">
      <c r="C35717" s="15"/>
      <c r="E35717" s="8"/>
      <c r="G35717" s="8"/>
      <c r="J35717" s="8"/>
    </row>
    <row r="35718">
      <c r="C35718" s="15"/>
      <c r="E35718" s="8"/>
      <c r="G35718" s="8"/>
      <c r="J35718" s="8"/>
    </row>
    <row r="35719">
      <c r="C35719" s="15"/>
      <c r="E35719" s="8"/>
      <c r="G35719" s="8"/>
      <c r="J35719" s="8"/>
    </row>
    <row r="35720">
      <c r="C35720" s="15"/>
      <c r="E35720" s="8"/>
      <c r="G35720" s="8"/>
      <c r="J35720" s="8"/>
    </row>
    <row r="35721">
      <c r="C35721" s="15"/>
      <c r="E35721" s="8"/>
      <c r="G35721" s="8"/>
      <c r="J35721" s="8"/>
    </row>
    <row r="35722">
      <c r="C35722" s="15"/>
      <c r="E35722" s="8"/>
      <c r="G35722" s="8"/>
      <c r="J35722" s="8"/>
    </row>
    <row r="35723">
      <c r="C35723" s="15"/>
      <c r="E35723" s="8"/>
      <c r="G35723" s="8"/>
      <c r="J35723" s="8"/>
    </row>
    <row r="35724">
      <c r="C35724" s="15"/>
      <c r="E35724" s="8"/>
      <c r="G35724" s="8"/>
      <c r="J35724" s="8"/>
    </row>
    <row r="35725">
      <c r="C35725" s="15"/>
      <c r="E35725" s="8"/>
      <c r="G35725" s="8"/>
      <c r="J35725" s="8"/>
    </row>
    <row r="35726">
      <c r="C35726" s="15"/>
      <c r="E35726" s="8"/>
      <c r="G35726" s="8"/>
      <c r="J35726" s="8"/>
    </row>
    <row r="35727">
      <c r="C35727" s="15"/>
      <c r="E35727" s="8"/>
      <c r="G35727" s="8"/>
      <c r="J35727" s="8"/>
    </row>
    <row r="35728">
      <c r="C35728" s="15"/>
      <c r="E35728" s="8"/>
      <c r="G35728" s="8"/>
      <c r="J35728" s="8"/>
    </row>
    <row r="35729">
      <c r="C35729" s="15"/>
      <c r="E35729" s="8"/>
      <c r="G35729" s="8"/>
      <c r="J35729" s="8"/>
    </row>
    <row r="35730">
      <c r="C35730" s="15"/>
      <c r="E35730" s="8"/>
      <c r="G35730" s="8"/>
      <c r="J35730" s="8"/>
    </row>
    <row r="35731">
      <c r="C35731" s="15"/>
      <c r="E35731" s="8"/>
      <c r="G35731" s="8"/>
      <c r="J35731" s="8"/>
    </row>
    <row r="35732">
      <c r="C35732" s="15"/>
      <c r="E35732" s="8"/>
      <c r="G35732" s="8"/>
      <c r="J35732" s="8"/>
    </row>
    <row r="35733">
      <c r="C35733" s="15"/>
      <c r="E35733" s="8"/>
      <c r="G35733" s="8"/>
      <c r="J35733" s="8"/>
    </row>
    <row r="35734">
      <c r="C35734" s="15"/>
      <c r="E35734" s="8"/>
      <c r="G35734" s="8"/>
      <c r="J35734" s="8"/>
    </row>
    <row r="35735">
      <c r="C35735" s="15"/>
      <c r="E35735" s="8"/>
      <c r="G35735" s="8"/>
      <c r="J35735" s="8"/>
    </row>
    <row r="35736">
      <c r="C35736" s="15"/>
      <c r="E35736" s="8"/>
      <c r="G35736" s="8"/>
      <c r="J35736" s="8"/>
    </row>
    <row r="35737">
      <c r="C35737" s="15"/>
      <c r="E35737" s="8"/>
      <c r="G35737" s="8"/>
      <c r="J35737" s="8"/>
    </row>
    <row r="35738">
      <c r="C35738" s="15"/>
      <c r="E35738" s="8"/>
      <c r="G35738" s="8"/>
      <c r="J35738" s="8"/>
    </row>
    <row r="35739">
      <c r="C35739" s="15"/>
      <c r="E35739" s="8"/>
      <c r="G35739" s="8"/>
      <c r="J35739" s="8"/>
    </row>
    <row r="35740">
      <c r="C35740" s="15"/>
      <c r="E35740" s="8"/>
      <c r="G35740" s="8"/>
      <c r="J35740" s="8"/>
    </row>
    <row r="35741">
      <c r="C35741" s="15"/>
      <c r="E35741" s="8"/>
      <c r="G35741" s="8"/>
      <c r="J35741" s="8"/>
    </row>
    <row r="35742">
      <c r="C35742" s="15"/>
      <c r="E35742" s="8"/>
      <c r="G35742" s="8"/>
      <c r="J35742" s="8"/>
    </row>
    <row r="35743">
      <c r="C35743" s="15"/>
      <c r="E35743" s="8"/>
      <c r="G35743" s="8"/>
      <c r="J35743" s="8"/>
    </row>
    <row r="35744">
      <c r="C35744" s="15"/>
      <c r="E35744" s="8"/>
      <c r="G35744" s="8"/>
      <c r="J35744" s="8"/>
    </row>
    <row r="35745">
      <c r="C35745" s="15"/>
      <c r="E35745" s="8"/>
      <c r="G35745" s="8"/>
      <c r="J35745" s="8"/>
    </row>
    <row r="35746">
      <c r="C35746" s="15"/>
      <c r="E35746" s="8"/>
      <c r="G35746" s="8"/>
      <c r="J35746" s="8"/>
    </row>
    <row r="35747">
      <c r="C35747" s="15"/>
      <c r="E35747" s="8"/>
      <c r="G35747" s="8"/>
      <c r="J35747" s="8"/>
    </row>
    <row r="35748">
      <c r="C35748" s="15"/>
      <c r="E35748" s="8"/>
      <c r="G35748" s="8"/>
      <c r="J35748" s="8"/>
    </row>
    <row r="35749">
      <c r="C35749" s="15"/>
      <c r="E35749" s="8"/>
      <c r="G35749" s="8"/>
      <c r="J35749" s="8"/>
    </row>
    <row r="35750">
      <c r="C35750" s="15"/>
      <c r="E35750" s="8"/>
      <c r="G35750" s="8"/>
      <c r="J35750" s="8"/>
    </row>
    <row r="35751">
      <c r="C35751" s="15"/>
      <c r="E35751" s="8"/>
      <c r="G35751" s="8"/>
      <c r="J35751" s="8"/>
    </row>
    <row r="35752">
      <c r="C35752" s="15"/>
      <c r="E35752" s="8"/>
      <c r="G35752" s="8"/>
      <c r="J35752" s="8"/>
    </row>
    <row r="35753">
      <c r="C35753" s="15"/>
      <c r="E35753" s="8"/>
      <c r="G35753" s="8"/>
      <c r="J35753" s="8"/>
    </row>
    <row r="35754">
      <c r="C35754" s="15"/>
      <c r="E35754" s="8"/>
      <c r="G35754" s="8"/>
      <c r="J35754" s="8"/>
    </row>
    <row r="35755">
      <c r="C35755" s="15"/>
      <c r="E35755" s="8"/>
      <c r="G35755" s="8"/>
      <c r="J35755" s="8"/>
    </row>
    <row r="35756">
      <c r="C35756" s="15"/>
      <c r="E35756" s="8"/>
      <c r="G35756" s="8"/>
      <c r="J35756" s="8"/>
    </row>
    <row r="35757">
      <c r="C35757" s="15"/>
      <c r="E35757" s="8"/>
      <c r="G35757" s="8"/>
      <c r="J35757" s="8"/>
    </row>
    <row r="35758">
      <c r="C35758" s="15"/>
      <c r="E35758" s="8"/>
      <c r="G35758" s="8"/>
      <c r="J35758" s="8"/>
    </row>
    <row r="35759">
      <c r="C35759" s="15"/>
      <c r="E35759" s="8"/>
      <c r="G35759" s="8"/>
      <c r="J35759" s="8"/>
    </row>
    <row r="35760">
      <c r="C35760" s="15"/>
      <c r="E35760" s="8"/>
      <c r="G35760" s="8"/>
      <c r="J35760" s="8"/>
    </row>
    <row r="35761">
      <c r="C35761" s="15"/>
      <c r="E35761" s="8"/>
      <c r="G35761" s="8"/>
      <c r="J35761" s="8"/>
    </row>
    <row r="35762">
      <c r="C35762" s="15"/>
      <c r="E35762" s="8"/>
      <c r="G35762" s="8"/>
      <c r="J35762" s="8"/>
    </row>
    <row r="35763">
      <c r="C35763" s="15"/>
      <c r="E35763" s="8"/>
      <c r="G35763" s="8"/>
      <c r="J35763" s="8"/>
    </row>
    <row r="35764">
      <c r="C35764" s="15"/>
      <c r="E35764" s="8"/>
      <c r="G35764" s="8"/>
      <c r="J35764" s="8"/>
    </row>
    <row r="35765">
      <c r="C35765" s="15"/>
      <c r="E35765" s="8"/>
      <c r="G35765" s="8"/>
      <c r="J35765" s="8"/>
    </row>
    <row r="35766">
      <c r="C35766" s="15"/>
      <c r="E35766" s="8"/>
      <c r="G35766" s="8"/>
      <c r="J35766" s="8"/>
    </row>
    <row r="35767">
      <c r="C35767" s="15"/>
      <c r="E35767" s="8"/>
      <c r="G35767" s="8"/>
      <c r="J35767" s="8"/>
    </row>
    <row r="35768">
      <c r="C35768" s="15"/>
      <c r="E35768" s="8"/>
      <c r="G35768" s="8"/>
      <c r="J35768" s="8"/>
    </row>
    <row r="35769">
      <c r="C35769" s="15"/>
      <c r="E35769" s="8"/>
      <c r="G35769" s="8"/>
      <c r="J35769" s="8"/>
    </row>
    <row r="35770">
      <c r="C35770" s="15"/>
      <c r="E35770" s="8"/>
      <c r="G35770" s="8"/>
      <c r="J35770" s="8"/>
    </row>
    <row r="35771">
      <c r="C35771" s="15"/>
      <c r="E35771" s="8"/>
      <c r="G35771" s="8"/>
      <c r="J35771" s="8"/>
    </row>
    <row r="35772">
      <c r="C35772" s="15"/>
      <c r="E35772" s="8"/>
      <c r="G35772" s="8"/>
      <c r="J35772" s="8"/>
    </row>
    <row r="35773">
      <c r="C35773" s="15"/>
      <c r="E35773" s="8"/>
      <c r="G35773" s="8"/>
      <c r="J35773" s="8"/>
    </row>
    <row r="35774">
      <c r="C35774" s="15"/>
      <c r="E35774" s="8"/>
      <c r="G35774" s="8"/>
      <c r="J35774" s="8"/>
    </row>
    <row r="35775">
      <c r="C35775" s="15"/>
      <c r="E35775" s="8"/>
      <c r="G35775" s="8"/>
      <c r="J35775" s="8"/>
    </row>
    <row r="35776">
      <c r="C35776" s="15"/>
      <c r="E35776" s="8"/>
      <c r="G35776" s="8"/>
      <c r="J35776" s="8"/>
    </row>
    <row r="35777">
      <c r="C35777" s="15"/>
      <c r="E35777" s="8"/>
      <c r="G35777" s="8"/>
      <c r="J35777" s="8"/>
    </row>
    <row r="35778">
      <c r="C35778" s="15"/>
      <c r="E35778" s="8"/>
      <c r="G35778" s="8"/>
      <c r="J35778" s="8"/>
    </row>
    <row r="35779">
      <c r="C35779" s="15"/>
      <c r="E35779" s="8"/>
      <c r="G35779" s="8"/>
      <c r="J35779" s="8"/>
    </row>
    <row r="35780">
      <c r="C35780" s="15"/>
      <c r="E35780" s="8"/>
      <c r="G35780" s="8"/>
      <c r="J35780" s="8"/>
    </row>
    <row r="35781">
      <c r="C35781" s="15"/>
      <c r="E35781" s="8"/>
      <c r="G35781" s="8"/>
      <c r="J35781" s="8"/>
    </row>
    <row r="35782">
      <c r="C35782" s="15"/>
      <c r="E35782" s="8"/>
      <c r="G35782" s="8"/>
      <c r="J35782" s="8"/>
    </row>
    <row r="35783">
      <c r="C35783" s="15"/>
      <c r="E35783" s="8"/>
      <c r="G35783" s="8"/>
      <c r="J35783" s="8"/>
    </row>
    <row r="35784">
      <c r="C35784" s="15"/>
      <c r="E35784" s="8"/>
      <c r="G35784" s="8"/>
      <c r="J35784" s="8"/>
    </row>
    <row r="35785">
      <c r="C35785" s="15"/>
      <c r="E35785" s="8"/>
      <c r="G35785" s="8"/>
      <c r="J35785" s="8"/>
    </row>
    <row r="35786">
      <c r="C35786" s="15"/>
      <c r="E35786" s="8"/>
      <c r="G35786" s="8"/>
      <c r="J35786" s="8"/>
    </row>
    <row r="35787">
      <c r="C35787" s="15"/>
      <c r="E35787" s="8"/>
      <c r="G35787" s="8"/>
      <c r="J35787" s="8"/>
    </row>
    <row r="35788">
      <c r="C35788" s="15"/>
      <c r="E35788" s="8"/>
      <c r="G35788" s="8"/>
      <c r="J35788" s="8"/>
    </row>
    <row r="35789">
      <c r="C35789" s="15"/>
      <c r="E35789" s="8"/>
      <c r="G35789" s="8"/>
      <c r="J35789" s="8"/>
    </row>
    <row r="35790">
      <c r="C35790" s="15"/>
      <c r="E35790" s="8"/>
      <c r="G35790" s="8"/>
      <c r="J35790" s="8"/>
    </row>
    <row r="35791">
      <c r="C35791" s="15"/>
      <c r="E35791" s="8"/>
      <c r="G35791" s="8"/>
      <c r="J35791" s="8"/>
    </row>
    <row r="35792">
      <c r="C35792" s="15"/>
      <c r="E35792" s="8"/>
      <c r="G35792" s="8"/>
      <c r="J35792" s="8"/>
    </row>
    <row r="35793">
      <c r="C35793" s="15"/>
      <c r="E35793" s="8"/>
      <c r="G35793" s="8"/>
      <c r="J35793" s="8"/>
    </row>
    <row r="35794">
      <c r="C35794" s="15"/>
      <c r="E35794" s="8"/>
      <c r="G35794" s="8"/>
      <c r="J35794" s="8"/>
    </row>
    <row r="35795">
      <c r="C35795" s="15"/>
      <c r="E35795" s="8"/>
      <c r="G35795" s="8"/>
      <c r="J35795" s="8"/>
    </row>
    <row r="35796">
      <c r="C35796" s="15"/>
      <c r="E35796" s="8"/>
      <c r="G35796" s="8"/>
      <c r="J35796" s="8"/>
    </row>
    <row r="35797">
      <c r="C35797" s="15"/>
      <c r="E35797" s="8"/>
      <c r="G35797" s="8"/>
      <c r="J35797" s="8"/>
    </row>
    <row r="35798">
      <c r="C35798" s="15"/>
      <c r="E35798" s="8"/>
      <c r="G35798" s="8"/>
      <c r="J35798" s="8"/>
    </row>
    <row r="35799">
      <c r="C35799" s="15"/>
      <c r="E35799" s="8"/>
      <c r="G35799" s="8"/>
      <c r="J35799" s="8"/>
    </row>
    <row r="35800">
      <c r="C35800" s="15"/>
      <c r="E35800" s="8"/>
      <c r="G35800" s="8"/>
      <c r="J35800" s="8"/>
    </row>
    <row r="35801">
      <c r="C35801" s="15"/>
      <c r="E35801" s="8"/>
      <c r="G35801" s="8"/>
      <c r="J35801" s="8"/>
    </row>
    <row r="35802">
      <c r="C35802" s="15"/>
      <c r="E35802" s="8"/>
      <c r="G35802" s="8"/>
      <c r="J35802" s="8"/>
    </row>
    <row r="35803">
      <c r="C35803" s="15"/>
      <c r="E35803" s="8"/>
      <c r="G35803" s="8"/>
      <c r="J35803" s="8"/>
    </row>
    <row r="35804">
      <c r="C35804" s="15"/>
      <c r="E35804" s="8"/>
      <c r="G35804" s="8"/>
      <c r="J35804" s="8"/>
    </row>
    <row r="35805">
      <c r="C35805" s="15"/>
      <c r="E35805" s="8"/>
      <c r="G35805" s="8"/>
      <c r="J35805" s="8"/>
    </row>
    <row r="35806">
      <c r="C35806" s="15"/>
      <c r="E35806" s="8"/>
      <c r="G35806" s="8"/>
      <c r="J35806" s="8"/>
    </row>
    <row r="35807">
      <c r="C35807" s="15"/>
      <c r="E35807" s="8"/>
      <c r="G35807" s="8"/>
      <c r="J35807" s="8"/>
    </row>
    <row r="35808">
      <c r="C35808" s="15"/>
      <c r="E35808" s="8"/>
      <c r="G35808" s="8"/>
      <c r="J35808" s="8"/>
    </row>
    <row r="35809">
      <c r="C35809" s="15"/>
      <c r="E35809" s="8"/>
      <c r="G35809" s="8"/>
      <c r="J35809" s="8"/>
    </row>
    <row r="35810">
      <c r="C35810" s="15"/>
      <c r="E35810" s="8"/>
      <c r="G35810" s="8"/>
      <c r="J35810" s="8"/>
    </row>
    <row r="35811">
      <c r="C35811" s="15"/>
      <c r="E35811" s="8"/>
      <c r="G35811" s="8"/>
      <c r="J35811" s="8"/>
    </row>
    <row r="35812">
      <c r="C35812" s="15"/>
      <c r="E35812" s="8"/>
      <c r="G35812" s="8"/>
      <c r="J35812" s="8"/>
    </row>
    <row r="35813">
      <c r="C35813" s="15"/>
      <c r="E35813" s="8"/>
      <c r="G35813" s="8"/>
      <c r="J35813" s="8"/>
    </row>
    <row r="35814">
      <c r="C35814" s="15"/>
      <c r="E35814" s="8"/>
      <c r="G35814" s="8"/>
      <c r="J35814" s="8"/>
    </row>
    <row r="35815">
      <c r="C35815" s="15"/>
      <c r="E35815" s="8"/>
      <c r="G35815" s="8"/>
      <c r="J35815" s="8"/>
    </row>
    <row r="35816">
      <c r="C35816" s="15"/>
      <c r="E35816" s="8"/>
      <c r="G35816" s="8"/>
      <c r="J35816" s="8"/>
    </row>
    <row r="35817">
      <c r="C35817" s="15"/>
      <c r="E35817" s="8"/>
      <c r="G35817" s="8"/>
      <c r="J35817" s="8"/>
    </row>
    <row r="35818">
      <c r="C35818" s="15"/>
      <c r="E35818" s="8"/>
      <c r="G35818" s="8"/>
      <c r="J35818" s="8"/>
    </row>
    <row r="35819">
      <c r="C35819" s="15"/>
      <c r="E35819" s="8"/>
      <c r="G35819" s="8"/>
      <c r="J35819" s="8"/>
    </row>
    <row r="35820">
      <c r="C35820" s="15"/>
      <c r="E35820" s="8"/>
      <c r="G35820" s="8"/>
      <c r="J35820" s="8"/>
    </row>
    <row r="35821">
      <c r="C35821" s="15"/>
      <c r="E35821" s="8"/>
      <c r="G35821" s="8"/>
      <c r="J35821" s="8"/>
    </row>
    <row r="35822">
      <c r="C35822" s="15"/>
      <c r="E35822" s="8"/>
      <c r="G35822" s="8"/>
      <c r="J35822" s="8"/>
    </row>
    <row r="35823">
      <c r="C35823" s="15"/>
      <c r="E35823" s="8"/>
      <c r="G35823" s="8"/>
      <c r="J35823" s="8"/>
    </row>
    <row r="35824">
      <c r="C35824" s="15"/>
      <c r="E35824" s="8"/>
      <c r="G35824" s="8"/>
      <c r="J35824" s="8"/>
    </row>
    <row r="35825">
      <c r="C35825" s="15"/>
      <c r="E35825" s="8"/>
      <c r="G35825" s="8"/>
      <c r="J35825" s="8"/>
    </row>
    <row r="35826">
      <c r="C35826" s="15"/>
      <c r="E35826" s="8"/>
      <c r="G35826" s="8"/>
      <c r="J35826" s="8"/>
    </row>
    <row r="35827">
      <c r="C35827" s="15"/>
      <c r="E35827" s="8"/>
      <c r="G35827" s="8"/>
      <c r="J35827" s="8"/>
    </row>
    <row r="35828">
      <c r="C35828" s="15"/>
      <c r="E35828" s="8"/>
      <c r="G35828" s="8"/>
      <c r="J35828" s="8"/>
    </row>
    <row r="35829">
      <c r="C35829" s="15"/>
      <c r="E35829" s="8"/>
      <c r="G35829" s="8"/>
      <c r="J35829" s="8"/>
    </row>
    <row r="35830">
      <c r="C35830" s="15"/>
      <c r="E35830" s="8"/>
      <c r="G35830" s="8"/>
      <c r="J35830" s="8"/>
    </row>
    <row r="35831">
      <c r="C35831" s="15"/>
      <c r="E35831" s="8"/>
      <c r="G35831" s="8"/>
      <c r="J35831" s="8"/>
    </row>
    <row r="35832">
      <c r="C35832" s="15"/>
      <c r="E35832" s="8"/>
      <c r="G35832" s="8"/>
      <c r="J35832" s="8"/>
    </row>
    <row r="35833">
      <c r="C35833" s="15"/>
      <c r="E35833" s="8"/>
      <c r="G35833" s="8"/>
      <c r="J35833" s="8"/>
    </row>
    <row r="35834">
      <c r="C35834" s="15"/>
      <c r="E35834" s="8"/>
      <c r="G35834" s="8"/>
      <c r="J35834" s="8"/>
    </row>
    <row r="35835">
      <c r="C35835" s="15"/>
      <c r="E35835" s="8"/>
      <c r="G35835" s="8"/>
      <c r="J35835" s="8"/>
    </row>
    <row r="35836">
      <c r="C35836" s="15"/>
      <c r="E35836" s="8"/>
      <c r="G35836" s="8"/>
      <c r="J35836" s="8"/>
    </row>
    <row r="35837">
      <c r="C35837" s="15"/>
      <c r="E35837" s="8"/>
      <c r="G35837" s="8"/>
      <c r="J35837" s="8"/>
    </row>
    <row r="35838">
      <c r="C35838" s="15"/>
      <c r="E35838" s="8"/>
      <c r="G35838" s="8"/>
      <c r="J35838" s="8"/>
    </row>
    <row r="35839">
      <c r="C35839" s="15"/>
      <c r="E35839" s="8"/>
      <c r="G35839" s="8"/>
      <c r="J35839" s="8"/>
    </row>
    <row r="35840">
      <c r="C35840" s="15"/>
      <c r="E35840" s="8"/>
      <c r="G35840" s="8"/>
      <c r="J35840" s="8"/>
    </row>
    <row r="35841">
      <c r="C35841" s="15"/>
      <c r="E35841" s="8"/>
      <c r="G35841" s="8"/>
      <c r="J35841" s="8"/>
    </row>
    <row r="35842">
      <c r="C35842" s="15"/>
      <c r="E35842" s="8"/>
      <c r="G35842" s="8"/>
      <c r="J35842" s="8"/>
    </row>
    <row r="35843">
      <c r="C35843" s="15"/>
      <c r="E35843" s="8"/>
      <c r="G35843" s="8"/>
      <c r="J35843" s="8"/>
    </row>
    <row r="35844">
      <c r="C35844" s="15"/>
      <c r="E35844" s="8"/>
      <c r="G35844" s="8"/>
      <c r="J35844" s="8"/>
    </row>
    <row r="35845">
      <c r="C35845" s="15"/>
      <c r="E35845" s="8"/>
      <c r="G35845" s="8"/>
      <c r="J35845" s="8"/>
    </row>
    <row r="35846">
      <c r="C35846" s="15"/>
      <c r="E35846" s="8"/>
      <c r="G35846" s="8"/>
      <c r="J35846" s="8"/>
    </row>
    <row r="35847">
      <c r="C35847" s="15"/>
      <c r="E35847" s="8"/>
      <c r="G35847" s="8"/>
      <c r="J35847" s="8"/>
    </row>
    <row r="35848">
      <c r="C35848" s="15"/>
      <c r="E35848" s="8"/>
      <c r="G35848" s="8"/>
      <c r="J35848" s="8"/>
    </row>
    <row r="35849">
      <c r="C35849" s="15"/>
      <c r="E35849" s="8"/>
      <c r="G35849" s="8"/>
      <c r="J35849" s="8"/>
    </row>
    <row r="35850">
      <c r="C35850" s="15"/>
      <c r="E35850" s="8"/>
      <c r="G35850" s="8"/>
      <c r="J35850" s="8"/>
    </row>
    <row r="35851">
      <c r="C35851" s="15"/>
      <c r="E35851" s="8"/>
      <c r="G35851" s="8"/>
      <c r="J35851" s="8"/>
    </row>
    <row r="35852">
      <c r="C35852" s="15"/>
      <c r="E35852" s="8"/>
      <c r="G35852" s="8"/>
      <c r="J35852" s="8"/>
    </row>
    <row r="35853">
      <c r="C35853" s="15"/>
      <c r="E35853" s="8"/>
      <c r="G35853" s="8"/>
      <c r="J35853" s="8"/>
    </row>
    <row r="35854">
      <c r="C35854" s="15"/>
      <c r="E35854" s="8"/>
      <c r="G35854" s="8"/>
      <c r="J35854" s="8"/>
    </row>
    <row r="35855">
      <c r="C35855" s="15"/>
      <c r="E35855" s="8"/>
      <c r="G35855" s="8"/>
      <c r="J35855" s="8"/>
    </row>
    <row r="35856">
      <c r="C35856" s="15"/>
      <c r="E35856" s="8"/>
      <c r="G35856" s="8"/>
      <c r="J35856" s="8"/>
    </row>
    <row r="35857">
      <c r="C35857" s="15"/>
      <c r="E35857" s="8"/>
      <c r="G35857" s="8"/>
      <c r="J35857" s="8"/>
    </row>
    <row r="35858">
      <c r="C35858" s="15"/>
      <c r="E35858" s="8"/>
      <c r="G35858" s="8"/>
      <c r="J35858" s="8"/>
    </row>
    <row r="35859">
      <c r="C35859" s="15"/>
      <c r="E35859" s="8"/>
      <c r="G35859" s="8"/>
      <c r="J35859" s="8"/>
    </row>
    <row r="35860">
      <c r="C35860" s="15"/>
      <c r="E35860" s="8"/>
      <c r="G35860" s="8"/>
      <c r="J35860" s="8"/>
    </row>
    <row r="35861">
      <c r="C35861" s="15"/>
      <c r="E35861" s="8"/>
      <c r="G35861" s="8"/>
      <c r="J35861" s="8"/>
    </row>
    <row r="35862">
      <c r="C35862" s="15"/>
      <c r="E35862" s="8"/>
      <c r="G35862" s="8"/>
      <c r="J35862" s="8"/>
    </row>
    <row r="35863">
      <c r="C35863" s="15"/>
      <c r="E35863" s="8"/>
      <c r="G35863" s="8"/>
      <c r="J35863" s="8"/>
    </row>
    <row r="35864">
      <c r="C35864" s="15"/>
      <c r="E35864" s="8"/>
      <c r="G35864" s="8"/>
      <c r="J35864" s="8"/>
    </row>
    <row r="35865">
      <c r="C35865" s="15"/>
      <c r="E35865" s="8"/>
      <c r="G35865" s="8"/>
      <c r="J35865" s="8"/>
    </row>
    <row r="35866">
      <c r="C35866" s="15"/>
      <c r="E35866" s="8"/>
      <c r="G35866" s="8"/>
      <c r="J35866" s="8"/>
    </row>
    <row r="35867">
      <c r="C35867" s="15"/>
      <c r="E35867" s="8"/>
      <c r="G35867" s="8"/>
      <c r="J35867" s="8"/>
    </row>
    <row r="35868">
      <c r="C35868" s="15"/>
      <c r="E35868" s="8"/>
      <c r="G35868" s="8"/>
      <c r="J35868" s="8"/>
    </row>
    <row r="35869">
      <c r="C35869" s="15"/>
      <c r="E35869" s="8"/>
      <c r="G35869" s="8"/>
      <c r="J35869" s="8"/>
    </row>
    <row r="35870">
      <c r="C35870" s="15"/>
      <c r="E35870" s="8"/>
      <c r="G35870" s="8"/>
      <c r="J35870" s="8"/>
    </row>
    <row r="35871">
      <c r="C35871" s="15"/>
      <c r="E35871" s="8"/>
      <c r="G35871" s="8"/>
      <c r="J35871" s="8"/>
    </row>
    <row r="35872">
      <c r="C35872" s="15"/>
      <c r="E35872" s="8"/>
      <c r="G35872" s="8"/>
      <c r="J35872" s="8"/>
    </row>
    <row r="35873">
      <c r="C35873" s="15"/>
      <c r="E35873" s="8"/>
      <c r="G35873" s="8"/>
      <c r="J35873" s="8"/>
    </row>
    <row r="35874">
      <c r="C35874" s="15"/>
      <c r="E35874" s="8"/>
      <c r="G35874" s="8"/>
      <c r="J35874" s="8"/>
    </row>
    <row r="35875">
      <c r="C35875" s="15"/>
      <c r="E35875" s="8"/>
      <c r="G35875" s="8"/>
      <c r="J35875" s="8"/>
    </row>
    <row r="35876">
      <c r="C35876" s="15"/>
      <c r="E35876" s="8"/>
      <c r="G35876" s="8"/>
      <c r="J35876" s="8"/>
    </row>
    <row r="35877">
      <c r="C35877" s="15"/>
      <c r="E35877" s="8"/>
      <c r="G35877" s="8"/>
      <c r="J35877" s="8"/>
    </row>
    <row r="35878">
      <c r="C35878" s="15"/>
      <c r="E35878" s="8"/>
      <c r="G35878" s="8"/>
      <c r="J35878" s="8"/>
    </row>
    <row r="35879">
      <c r="C35879" s="15"/>
      <c r="E35879" s="8"/>
      <c r="G35879" s="8"/>
      <c r="J35879" s="8"/>
    </row>
    <row r="35880">
      <c r="C35880" s="15"/>
      <c r="E35880" s="8"/>
      <c r="G35880" s="8"/>
      <c r="J35880" s="8"/>
    </row>
    <row r="35881">
      <c r="C35881" s="15"/>
      <c r="E35881" s="8"/>
      <c r="G35881" s="8"/>
      <c r="J35881" s="8"/>
    </row>
    <row r="35882">
      <c r="C35882" s="15"/>
      <c r="E35882" s="8"/>
      <c r="G35882" s="8"/>
      <c r="J35882" s="8"/>
    </row>
    <row r="35883">
      <c r="C35883" s="15"/>
      <c r="E35883" s="8"/>
      <c r="G35883" s="8"/>
      <c r="J35883" s="8"/>
    </row>
    <row r="35884">
      <c r="C35884" s="15"/>
      <c r="E35884" s="8"/>
      <c r="G35884" s="8"/>
      <c r="J35884" s="8"/>
    </row>
    <row r="35885">
      <c r="C35885" s="15"/>
      <c r="E35885" s="8"/>
      <c r="G35885" s="8"/>
      <c r="J35885" s="8"/>
    </row>
    <row r="35886">
      <c r="C35886" s="15"/>
      <c r="E35886" s="8"/>
      <c r="G35886" s="8"/>
      <c r="J35886" s="8"/>
    </row>
    <row r="35887">
      <c r="C35887" s="15"/>
      <c r="E35887" s="8"/>
      <c r="G35887" s="8"/>
      <c r="J35887" s="8"/>
    </row>
    <row r="35888">
      <c r="C35888" s="15"/>
      <c r="E35888" s="8"/>
      <c r="G35888" s="8"/>
      <c r="J35888" s="8"/>
    </row>
    <row r="35889">
      <c r="C35889" s="15"/>
      <c r="E35889" s="8"/>
      <c r="G35889" s="8"/>
      <c r="J35889" s="8"/>
    </row>
    <row r="35890">
      <c r="C35890" s="15"/>
      <c r="E35890" s="8"/>
      <c r="G35890" s="8"/>
      <c r="J35890" s="8"/>
    </row>
    <row r="35891">
      <c r="C35891" s="15"/>
      <c r="E35891" s="8"/>
      <c r="G35891" s="8"/>
      <c r="J35891" s="8"/>
    </row>
    <row r="35892">
      <c r="C35892" s="15"/>
      <c r="E35892" s="8"/>
      <c r="G35892" s="8"/>
      <c r="J35892" s="8"/>
    </row>
    <row r="35893">
      <c r="C35893" s="15"/>
      <c r="E35893" s="8"/>
      <c r="G35893" s="8"/>
      <c r="J35893" s="8"/>
    </row>
    <row r="35894">
      <c r="C35894" s="15"/>
      <c r="E35894" s="8"/>
      <c r="G35894" s="8"/>
      <c r="J35894" s="8"/>
    </row>
    <row r="35895">
      <c r="C35895" s="15"/>
      <c r="E35895" s="8"/>
      <c r="G35895" s="8"/>
      <c r="J35895" s="8"/>
    </row>
    <row r="35896">
      <c r="C35896" s="15"/>
      <c r="E35896" s="8"/>
      <c r="G35896" s="8"/>
      <c r="J35896" s="8"/>
    </row>
    <row r="35897">
      <c r="C35897" s="15"/>
      <c r="E35897" s="8"/>
      <c r="G35897" s="8"/>
      <c r="J35897" s="8"/>
    </row>
    <row r="35898">
      <c r="C35898" s="15"/>
      <c r="E35898" s="8"/>
      <c r="G35898" s="8"/>
      <c r="J35898" s="8"/>
    </row>
    <row r="35899">
      <c r="C35899" s="15"/>
      <c r="E35899" s="8"/>
      <c r="G35899" s="8"/>
      <c r="J35899" s="8"/>
    </row>
    <row r="35900">
      <c r="C35900" s="15"/>
      <c r="E35900" s="8"/>
      <c r="G35900" s="8"/>
      <c r="J35900" s="8"/>
    </row>
    <row r="35901">
      <c r="C35901" s="15"/>
      <c r="E35901" s="8"/>
      <c r="G35901" s="8"/>
      <c r="J35901" s="8"/>
    </row>
    <row r="35902">
      <c r="C35902" s="15"/>
      <c r="E35902" s="8"/>
      <c r="G35902" s="8"/>
      <c r="J35902" s="8"/>
    </row>
    <row r="35903">
      <c r="C35903" s="15"/>
      <c r="E35903" s="8"/>
      <c r="G35903" s="8"/>
      <c r="J35903" s="8"/>
    </row>
    <row r="35904">
      <c r="C35904" s="15"/>
      <c r="E35904" s="8"/>
      <c r="G35904" s="8"/>
      <c r="J35904" s="8"/>
    </row>
    <row r="35905">
      <c r="C35905" s="15"/>
      <c r="E35905" s="8"/>
      <c r="G35905" s="8"/>
      <c r="J35905" s="8"/>
    </row>
    <row r="35906">
      <c r="C35906" s="15"/>
      <c r="E35906" s="8"/>
      <c r="G35906" s="8"/>
      <c r="J35906" s="8"/>
    </row>
    <row r="35907">
      <c r="C35907" s="15"/>
      <c r="E35907" s="8"/>
      <c r="G35907" s="8"/>
      <c r="J35907" s="8"/>
    </row>
    <row r="35908">
      <c r="C35908" s="15"/>
      <c r="E35908" s="8"/>
      <c r="G35908" s="8"/>
      <c r="J35908" s="8"/>
    </row>
    <row r="35909">
      <c r="C35909" s="15"/>
      <c r="E35909" s="8"/>
      <c r="G35909" s="8"/>
      <c r="J35909" s="8"/>
    </row>
    <row r="35910">
      <c r="C35910" s="15"/>
      <c r="E35910" s="8"/>
      <c r="G35910" s="8"/>
      <c r="J35910" s="8"/>
    </row>
    <row r="35911">
      <c r="C35911" s="15"/>
      <c r="E35911" s="8"/>
      <c r="G35911" s="8"/>
      <c r="J35911" s="8"/>
    </row>
    <row r="35912">
      <c r="C35912" s="15"/>
      <c r="E35912" s="8"/>
      <c r="G35912" s="8"/>
      <c r="J35912" s="8"/>
    </row>
    <row r="35913">
      <c r="C35913" s="15"/>
      <c r="E35913" s="8"/>
      <c r="G35913" s="8"/>
      <c r="J35913" s="8"/>
    </row>
    <row r="35914">
      <c r="C35914" s="15"/>
      <c r="E35914" s="8"/>
      <c r="G35914" s="8"/>
      <c r="J35914" s="8"/>
    </row>
    <row r="35915">
      <c r="C35915" s="15"/>
      <c r="E35915" s="8"/>
      <c r="G35915" s="8"/>
      <c r="J35915" s="8"/>
    </row>
    <row r="35916">
      <c r="C35916" s="15"/>
      <c r="E35916" s="8"/>
      <c r="G35916" s="8"/>
      <c r="J35916" s="8"/>
    </row>
    <row r="35917">
      <c r="C35917" s="15"/>
      <c r="E35917" s="8"/>
      <c r="G35917" s="8"/>
      <c r="J35917" s="8"/>
    </row>
    <row r="35918">
      <c r="C35918" s="15"/>
      <c r="E35918" s="8"/>
      <c r="G35918" s="8"/>
      <c r="J35918" s="8"/>
    </row>
    <row r="35919">
      <c r="C35919" s="15"/>
      <c r="E35919" s="8"/>
      <c r="G35919" s="8"/>
      <c r="J35919" s="8"/>
    </row>
    <row r="35920">
      <c r="C35920" s="15"/>
      <c r="E35920" s="8"/>
      <c r="G35920" s="8"/>
      <c r="J35920" s="8"/>
    </row>
    <row r="35921">
      <c r="C35921" s="15"/>
      <c r="E35921" s="8"/>
      <c r="G35921" s="8"/>
      <c r="J35921" s="8"/>
    </row>
    <row r="35922">
      <c r="C35922" s="15"/>
      <c r="E35922" s="8"/>
      <c r="G35922" s="8"/>
      <c r="J35922" s="8"/>
    </row>
    <row r="35923">
      <c r="C35923" s="15"/>
      <c r="E35923" s="8"/>
      <c r="G35923" s="8"/>
      <c r="J35923" s="8"/>
    </row>
    <row r="35924">
      <c r="C35924" s="15"/>
      <c r="E35924" s="8"/>
      <c r="G35924" s="8"/>
      <c r="J35924" s="8"/>
    </row>
    <row r="35925">
      <c r="C35925" s="15"/>
      <c r="E35925" s="8"/>
      <c r="G35925" s="8"/>
      <c r="J35925" s="8"/>
    </row>
    <row r="35926">
      <c r="C35926" s="15"/>
      <c r="E35926" s="8"/>
      <c r="G35926" s="8"/>
      <c r="J35926" s="8"/>
    </row>
    <row r="35927">
      <c r="C35927" s="15"/>
      <c r="E35927" s="8"/>
      <c r="G35927" s="8"/>
      <c r="J35927" s="8"/>
    </row>
    <row r="35928">
      <c r="C35928" s="15"/>
      <c r="E35928" s="8"/>
      <c r="G35928" s="8"/>
      <c r="J35928" s="8"/>
    </row>
    <row r="35929">
      <c r="C35929" s="15"/>
      <c r="E35929" s="8"/>
      <c r="G35929" s="8"/>
      <c r="J35929" s="8"/>
    </row>
    <row r="35930">
      <c r="C35930" s="15"/>
      <c r="E35930" s="8"/>
      <c r="G35930" s="8"/>
      <c r="J35930" s="8"/>
    </row>
    <row r="35931">
      <c r="C35931" s="15"/>
      <c r="E35931" s="8"/>
      <c r="G35931" s="8"/>
      <c r="J35931" s="8"/>
    </row>
    <row r="35932">
      <c r="C35932" s="15"/>
      <c r="E35932" s="8"/>
      <c r="G35932" s="8"/>
      <c r="J35932" s="8"/>
    </row>
    <row r="35933">
      <c r="C35933" s="15"/>
      <c r="E35933" s="8"/>
      <c r="G35933" s="8"/>
      <c r="J35933" s="8"/>
    </row>
    <row r="35934">
      <c r="C35934" s="15"/>
      <c r="E35934" s="8"/>
      <c r="G35934" s="8"/>
      <c r="J35934" s="8"/>
    </row>
    <row r="35935">
      <c r="C35935" s="15"/>
      <c r="E35935" s="8"/>
      <c r="G35935" s="8"/>
      <c r="J35935" s="8"/>
    </row>
    <row r="35936">
      <c r="C35936" s="15"/>
      <c r="E35936" s="8"/>
      <c r="G35936" s="8"/>
      <c r="J35936" s="8"/>
    </row>
    <row r="35937">
      <c r="C35937" s="15"/>
      <c r="E35937" s="8"/>
      <c r="G35937" s="8"/>
      <c r="J35937" s="8"/>
    </row>
    <row r="35938">
      <c r="C35938" s="15"/>
      <c r="E35938" s="8"/>
      <c r="G35938" s="8"/>
      <c r="J35938" s="8"/>
    </row>
    <row r="35939">
      <c r="C35939" s="15"/>
      <c r="E35939" s="8"/>
      <c r="G35939" s="8"/>
      <c r="J35939" s="8"/>
    </row>
    <row r="35940">
      <c r="C35940" s="15"/>
      <c r="E35940" s="8"/>
      <c r="G35940" s="8"/>
      <c r="J35940" s="8"/>
    </row>
    <row r="35941">
      <c r="C35941" s="15"/>
      <c r="E35941" s="8"/>
      <c r="G35941" s="8"/>
      <c r="J35941" s="8"/>
    </row>
    <row r="35942">
      <c r="C35942" s="15"/>
      <c r="E35942" s="8"/>
      <c r="G35942" s="8"/>
      <c r="J35942" s="8"/>
    </row>
    <row r="35943">
      <c r="C35943" s="15"/>
      <c r="E35943" s="8"/>
      <c r="G35943" s="8"/>
      <c r="J35943" s="8"/>
    </row>
    <row r="35944">
      <c r="C35944" s="15"/>
      <c r="E35944" s="8"/>
      <c r="G35944" s="8"/>
      <c r="J35944" s="8"/>
    </row>
    <row r="35945">
      <c r="C35945" s="15"/>
      <c r="E35945" s="8"/>
      <c r="G35945" s="8"/>
      <c r="J35945" s="8"/>
    </row>
    <row r="35946">
      <c r="C35946" s="15"/>
      <c r="E35946" s="8"/>
      <c r="G35946" s="8"/>
      <c r="J35946" s="8"/>
    </row>
    <row r="35947">
      <c r="C35947" s="15"/>
      <c r="E35947" s="8"/>
      <c r="G35947" s="8"/>
      <c r="J35947" s="8"/>
    </row>
    <row r="35948">
      <c r="C35948" s="15"/>
      <c r="E35948" s="8"/>
      <c r="G35948" s="8"/>
      <c r="J35948" s="8"/>
    </row>
    <row r="35949">
      <c r="C35949" s="15"/>
      <c r="E35949" s="8"/>
      <c r="G35949" s="8"/>
      <c r="J35949" s="8"/>
    </row>
    <row r="35950">
      <c r="C35950" s="15"/>
      <c r="E35950" s="8"/>
      <c r="G35950" s="8"/>
      <c r="J35950" s="8"/>
    </row>
    <row r="35951">
      <c r="C35951" s="15"/>
      <c r="E35951" s="8"/>
      <c r="G35951" s="8"/>
      <c r="J35951" s="8"/>
    </row>
    <row r="35952">
      <c r="C35952" s="15"/>
      <c r="E35952" s="8"/>
      <c r="G35952" s="8"/>
      <c r="J35952" s="8"/>
    </row>
    <row r="35953">
      <c r="C35953" s="15"/>
      <c r="E35953" s="8"/>
      <c r="G35953" s="8"/>
      <c r="J35953" s="8"/>
    </row>
    <row r="35954">
      <c r="C35954" s="15"/>
      <c r="E35954" s="8"/>
      <c r="G35954" s="8"/>
      <c r="J35954" s="8"/>
    </row>
    <row r="35955">
      <c r="C35955" s="15"/>
      <c r="E35955" s="8"/>
      <c r="G35955" s="8"/>
      <c r="J35955" s="8"/>
    </row>
    <row r="35956">
      <c r="C35956" s="15"/>
      <c r="E35956" s="8"/>
      <c r="G35956" s="8"/>
      <c r="J35956" s="8"/>
    </row>
    <row r="35957">
      <c r="C35957" s="15"/>
      <c r="E35957" s="8"/>
      <c r="G35957" s="8"/>
      <c r="J35957" s="8"/>
    </row>
    <row r="35958">
      <c r="C35958" s="15"/>
      <c r="E35958" s="8"/>
      <c r="G35958" s="8"/>
      <c r="J35958" s="8"/>
    </row>
    <row r="35959">
      <c r="C35959" s="15"/>
      <c r="E35959" s="8"/>
      <c r="G35959" s="8"/>
      <c r="J35959" s="8"/>
    </row>
    <row r="35960">
      <c r="C35960" s="15"/>
      <c r="E35960" s="8"/>
      <c r="G35960" s="8"/>
      <c r="J35960" s="8"/>
    </row>
    <row r="35961">
      <c r="C35961" s="15"/>
      <c r="E35961" s="8"/>
      <c r="G35961" s="8"/>
      <c r="J35961" s="8"/>
    </row>
    <row r="35962">
      <c r="C35962" s="15"/>
      <c r="E35962" s="8"/>
      <c r="G35962" s="8"/>
      <c r="J35962" s="8"/>
    </row>
    <row r="35963">
      <c r="C35963" s="15"/>
      <c r="E35963" s="8"/>
      <c r="G35963" s="8"/>
      <c r="J35963" s="8"/>
    </row>
    <row r="35964">
      <c r="C35964" s="15"/>
      <c r="E35964" s="8"/>
      <c r="G35964" s="8"/>
      <c r="J35964" s="8"/>
    </row>
    <row r="35965">
      <c r="C35965" s="15"/>
      <c r="E35965" s="8"/>
      <c r="G35965" s="8"/>
      <c r="J35965" s="8"/>
    </row>
    <row r="35966">
      <c r="C35966" s="15"/>
      <c r="E35966" s="8"/>
      <c r="G35966" s="8"/>
      <c r="J35966" s="8"/>
    </row>
    <row r="35967">
      <c r="C35967" s="15"/>
      <c r="E35967" s="8"/>
      <c r="G35967" s="8"/>
      <c r="J35967" s="8"/>
    </row>
    <row r="35968">
      <c r="C35968" s="15"/>
      <c r="E35968" s="8"/>
      <c r="G35968" s="8"/>
      <c r="J35968" s="8"/>
    </row>
    <row r="35969">
      <c r="C35969" s="15"/>
      <c r="E35969" s="8"/>
      <c r="G35969" s="8"/>
      <c r="J35969" s="8"/>
    </row>
    <row r="35970">
      <c r="C35970" s="15"/>
      <c r="E35970" s="8"/>
      <c r="G35970" s="8"/>
      <c r="J35970" s="8"/>
    </row>
    <row r="35971">
      <c r="C35971" s="15"/>
      <c r="E35971" s="8"/>
      <c r="G35971" s="8"/>
      <c r="J35971" s="8"/>
    </row>
    <row r="35972">
      <c r="C35972" s="15"/>
      <c r="E35972" s="8"/>
      <c r="G35972" s="8"/>
      <c r="J35972" s="8"/>
    </row>
    <row r="35973">
      <c r="C35973" s="15"/>
      <c r="E35973" s="8"/>
      <c r="G35973" s="8"/>
      <c r="J35973" s="8"/>
    </row>
    <row r="35974">
      <c r="C35974" s="15"/>
      <c r="E35974" s="8"/>
      <c r="G35974" s="8"/>
      <c r="J35974" s="8"/>
    </row>
    <row r="35975">
      <c r="C35975" s="15"/>
      <c r="E35975" s="8"/>
      <c r="G35975" s="8"/>
      <c r="J35975" s="8"/>
    </row>
    <row r="35976">
      <c r="C35976" s="15"/>
      <c r="E35976" s="8"/>
      <c r="G35976" s="8"/>
      <c r="J35976" s="8"/>
    </row>
    <row r="35977">
      <c r="C35977" s="15"/>
      <c r="E35977" s="8"/>
      <c r="G35977" s="8"/>
      <c r="J35977" s="8"/>
    </row>
    <row r="35978">
      <c r="C35978" s="15"/>
      <c r="E35978" s="8"/>
      <c r="G35978" s="8"/>
      <c r="J35978" s="8"/>
    </row>
    <row r="35979">
      <c r="C35979" s="15"/>
      <c r="E35979" s="8"/>
      <c r="G35979" s="8"/>
      <c r="J35979" s="8"/>
    </row>
    <row r="35980">
      <c r="C35980" s="15"/>
      <c r="E35980" s="8"/>
      <c r="G35980" s="8"/>
      <c r="J35980" s="8"/>
    </row>
    <row r="35981">
      <c r="C35981" s="15"/>
      <c r="E35981" s="8"/>
      <c r="G35981" s="8"/>
      <c r="J35981" s="8"/>
    </row>
    <row r="35982">
      <c r="C35982" s="15"/>
      <c r="E35982" s="8"/>
      <c r="G35982" s="8"/>
      <c r="J35982" s="8"/>
    </row>
    <row r="35983">
      <c r="C35983" s="15"/>
      <c r="E35983" s="8"/>
      <c r="G35983" s="8"/>
      <c r="J35983" s="8"/>
    </row>
    <row r="35984">
      <c r="C35984" s="15"/>
      <c r="E35984" s="8"/>
      <c r="G35984" s="8"/>
      <c r="J35984" s="8"/>
    </row>
    <row r="35985">
      <c r="C35985" s="15"/>
      <c r="E35985" s="8"/>
      <c r="G35985" s="8"/>
      <c r="J35985" s="8"/>
    </row>
    <row r="35986">
      <c r="C35986" s="15"/>
      <c r="E35986" s="8"/>
      <c r="G35986" s="8"/>
      <c r="J35986" s="8"/>
    </row>
    <row r="35987">
      <c r="C35987" s="15"/>
      <c r="E35987" s="8"/>
      <c r="G35987" s="8"/>
      <c r="J35987" s="8"/>
    </row>
    <row r="35988">
      <c r="C35988" s="15"/>
      <c r="E35988" s="8"/>
      <c r="G35988" s="8"/>
      <c r="J35988" s="8"/>
    </row>
    <row r="35989">
      <c r="C35989" s="15"/>
      <c r="E35989" s="8"/>
      <c r="G35989" s="8"/>
      <c r="J35989" s="8"/>
    </row>
    <row r="35990">
      <c r="C35990" s="15"/>
      <c r="E35990" s="8"/>
      <c r="G35990" s="8"/>
      <c r="J35990" s="8"/>
    </row>
    <row r="35991">
      <c r="C35991" s="15"/>
      <c r="E35991" s="8"/>
      <c r="G35991" s="8"/>
      <c r="J35991" s="8"/>
    </row>
    <row r="35992">
      <c r="C35992" s="15"/>
      <c r="E35992" s="8"/>
      <c r="G35992" s="8"/>
      <c r="J35992" s="8"/>
    </row>
    <row r="35993">
      <c r="C35993" s="15"/>
      <c r="E35993" s="8"/>
      <c r="G35993" s="8"/>
      <c r="J35993" s="8"/>
    </row>
    <row r="35994">
      <c r="C35994" s="15"/>
      <c r="E35994" s="8"/>
      <c r="G35994" s="8"/>
      <c r="J35994" s="8"/>
    </row>
    <row r="35995">
      <c r="C35995" s="15"/>
      <c r="E35995" s="8"/>
      <c r="G35995" s="8"/>
      <c r="J35995" s="8"/>
    </row>
    <row r="35996">
      <c r="C35996" s="15"/>
      <c r="E35996" s="8"/>
      <c r="G35996" s="8"/>
      <c r="J35996" s="8"/>
    </row>
    <row r="35997">
      <c r="C35997" s="15"/>
      <c r="E35997" s="8"/>
      <c r="G35997" s="8"/>
      <c r="J35997" s="8"/>
    </row>
    <row r="35998">
      <c r="C35998" s="15"/>
      <c r="E35998" s="8"/>
      <c r="G35998" s="8"/>
      <c r="J35998" s="8"/>
    </row>
    <row r="35999">
      <c r="C35999" s="15"/>
      <c r="E35999" s="8"/>
      <c r="G35999" s="8"/>
      <c r="J35999" s="8"/>
    </row>
    <row r="36000">
      <c r="C36000" s="15"/>
      <c r="E36000" s="8"/>
      <c r="G36000" s="8"/>
      <c r="J36000" s="8"/>
    </row>
    <row r="36001">
      <c r="C36001" s="15"/>
      <c r="E36001" s="8"/>
      <c r="G36001" s="8"/>
      <c r="J36001" s="8"/>
    </row>
    <row r="36002">
      <c r="C36002" s="15"/>
      <c r="E36002" s="8"/>
      <c r="G36002" s="8"/>
      <c r="J36002" s="8"/>
    </row>
    <row r="36003">
      <c r="C36003" s="15"/>
      <c r="E36003" s="8"/>
      <c r="G36003" s="8"/>
      <c r="J36003" s="8"/>
    </row>
    <row r="36004">
      <c r="C36004" s="15"/>
      <c r="E36004" s="8"/>
      <c r="G36004" s="8"/>
      <c r="J36004" s="8"/>
    </row>
    <row r="36005">
      <c r="C36005" s="15"/>
      <c r="E36005" s="8"/>
      <c r="G36005" s="8"/>
      <c r="J36005" s="8"/>
    </row>
    <row r="36006">
      <c r="C36006" s="15"/>
      <c r="E36006" s="8"/>
      <c r="G36006" s="8"/>
      <c r="J36006" s="8"/>
    </row>
    <row r="36007">
      <c r="C36007" s="15"/>
      <c r="E36007" s="8"/>
      <c r="G36007" s="8"/>
      <c r="J36007" s="8"/>
    </row>
    <row r="36008">
      <c r="C36008" s="15"/>
      <c r="E36008" s="8"/>
      <c r="G36008" s="8"/>
      <c r="J36008" s="8"/>
    </row>
    <row r="36009">
      <c r="C36009" s="15"/>
      <c r="E36009" s="8"/>
      <c r="G36009" s="8"/>
      <c r="J36009" s="8"/>
    </row>
    <row r="36010">
      <c r="C36010" s="15"/>
      <c r="E36010" s="8"/>
      <c r="G36010" s="8"/>
      <c r="J36010" s="8"/>
    </row>
    <row r="36011">
      <c r="C36011" s="15"/>
      <c r="E36011" s="8"/>
      <c r="G36011" s="8"/>
      <c r="J36011" s="8"/>
    </row>
    <row r="36012">
      <c r="C36012" s="15"/>
      <c r="E36012" s="8"/>
      <c r="G36012" s="8"/>
      <c r="J36012" s="8"/>
    </row>
    <row r="36013">
      <c r="C36013" s="15"/>
      <c r="E36013" s="8"/>
      <c r="G36013" s="8"/>
      <c r="J36013" s="8"/>
    </row>
    <row r="36014">
      <c r="C36014" s="15"/>
      <c r="E36014" s="8"/>
      <c r="G36014" s="8"/>
      <c r="J36014" s="8"/>
    </row>
    <row r="36015">
      <c r="C36015" s="15"/>
      <c r="E36015" s="8"/>
      <c r="G36015" s="8"/>
      <c r="J36015" s="8"/>
    </row>
    <row r="36016">
      <c r="C36016" s="15"/>
      <c r="E36016" s="8"/>
      <c r="G36016" s="8"/>
      <c r="J36016" s="8"/>
    </row>
    <row r="36017">
      <c r="C36017" s="15"/>
      <c r="E36017" s="8"/>
      <c r="G36017" s="8"/>
      <c r="J36017" s="8"/>
    </row>
    <row r="36018">
      <c r="C36018" s="15"/>
      <c r="E36018" s="8"/>
      <c r="G36018" s="8"/>
      <c r="J36018" s="8"/>
    </row>
    <row r="36019">
      <c r="C36019" s="15"/>
      <c r="E36019" s="8"/>
      <c r="G36019" s="8"/>
      <c r="J36019" s="8"/>
    </row>
    <row r="36020">
      <c r="C36020" s="15"/>
      <c r="E36020" s="8"/>
      <c r="G36020" s="8"/>
      <c r="J36020" s="8"/>
    </row>
    <row r="36021">
      <c r="C36021" s="15"/>
      <c r="E36021" s="8"/>
      <c r="G36021" s="8"/>
      <c r="J36021" s="8"/>
    </row>
    <row r="36022">
      <c r="C36022" s="15"/>
      <c r="E36022" s="8"/>
      <c r="G36022" s="8"/>
      <c r="J36022" s="8"/>
    </row>
    <row r="36023">
      <c r="C36023" s="15"/>
      <c r="E36023" s="8"/>
      <c r="G36023" s="8"/>
      <c r="J36023" s="8"/>
    </row>
    <row r="36024">
      <c r="C36024" s="15"/>
      <c r="E36024" s="8"/>
      <c r="G36024" s="8"/>
      <c r="J36024" s="8"/>
    </row>
    <row r="36025">
      <c r="C36025" s="15"/>
      <c r="E36025" s="8"/>
      <c r="G36025" s="8"/>
      <c r="J36025" s="8"/>
    </row>
    <row r="36026">
      <c r="C36026" s="15"/>
      <c r="E36026" s="8"/>
      <c r="G36026" s="8"/>
      <c r="J36026" s="8"/>
    </row>
    <row r="36027">
      <c r="C36027" s="15"/>
      <c r="E36027" s="8"/>
      <c r="G36027" s="8"/>
      <c r="J36027" s="8"/>
    </row>
    <row r="36028">
      <c r="C36028" s="15"/>
      <c r="E36028" s="8"/>
      <c r="G36028" s="8"/>
      <c r="J36028" s="8"/>
    </row>
    <row r="36029">
      <c r="C36029" s="15"/>
      <c r="E36029" s="8"/>
      <c r="G36029" s="8"/>
      <c r="J36029" s="8"/>
    </row>
    <row r="36030">
      <c r="C36030" s="15"/>
      <c r="E36030" s="8"/>
      <c r="G36030" s="8"/>
      <c r="J36030" s="8"/>
    </row>
    <row r="36031">
      <c r="C36031" s="15"/>
      <c r="E36031" s="8"/>
      <c r="G36031" s="8"/>
      <c r="J36031" s="8"/>
    </row>
    <row r="36032">
      <c r="C36032" s="15"/>
      <c r="E36032" s="8"/>
      <c r="G36032" s="8"/>
      <c r="J36032" s="8"/>
    </row>
    <row r="36033">
      <c r="C36033" s="15"/>
      <c r="E36033" s="8"/>
      <c r="G36033" s="8"/>
      <c r="J36033" s="8"/>
    </row>
    <row r="36034">
      <c r="C36034" s="15"/>
      <c r="E36034" s="8"/>
      <c r="G36034" s="8"/>
      <c r="J36034" s="8"/>
    </row>
    <row r="36035">
      <c r="C36035" s="15"/>
      <c r="E36035" s="8"/>
      <c r="G36035" s="8"/>
      <c r="J36035" s="8"/>
    </row>
    <row r="36036">
      <c r="C36036" s="15"/>
      <c r="E36036" s="8"/>
      <c r="G36036" s="8"/>
      <c r="J36036" s="8"/>
    </row>
    <row r="36037">
      <c r="C36037" s="15"/>
      <c r="E36037" s="8"/>
      <c r="G36037" s="8"/>
      <c r="J36037" s="8"/>
    </row>
    <row r="36038">
      <c r="C36038" s="15"/>
      <c r="E36038" s="8"/>
      <c r="G36038" s="8"/>
      <c r="J36038" s="8"/>
    </row>
    <row r="36039">
      <c r="C36039" s="15"/>
      <c r="E36039" s="8"/>
      <c r="G36039" s="8"/>
      <c r="J36039" s="8"/>
    </row>
    <row r="36040">
      <c r="C36040" s="15"/>
      <c r="E36040" s="8"/>
      <c r="G36040" s="8"/>
      <c r="J36040" s="8"/>
    </row>
    <row r="36041">
      <c r="C36041" s="15"/>
      <c r="E36041" s="8"/>
      <c r="G36041" s="8"/>
      <c r="J36041" s="8"/>
    </row>
    <row r="36042">
      <c r="C36042" s="15"/>
      <c r="E36042" s="8"/>
      <c r="G36042" s="8"/>
      <c r="J36042" s="8"/>
    </row>
    <row r="36043">
      <c r="C36043" s="15"/>
      <c r="E36043" s="8"/>
      <c r="G36043" s="8"/>
      <c r="J36043" s="8"/>
    </row>
    <row r="36044">
      <c r="C36044" s="15"/>
      <c r="E36044" s="8"/>
      <c r="G36044" s="8"/>
      <c r="J36044" s="8"/>
    </row>
    <row r="36045">
      <c r="C36045" s="15"/>
      <c r="E36045" s="8"/>
      <c r="G36045" s="8"/>
      <c r="J36045" s="8"/>
    </row>
    <row r="36046">
      <c r="C36046" s="15"/>
      <c r="E36046" s="8"/>
      <c r="G36046" s="8"/>
      <c r="J36046" s="8"/>
    </row>
    <row r="36047">
      <c r="C36047" s="15"/>
      <c r="E36047" s="8"/>
      <c r="G36047" s="8"/>
      <c r="J36047" s="8"/>
    </row>
    <row r="36048">
      <c r="C36048" s="15"/>
      <c r="E36048" s="8"/>
      <c r="G36048" s="8"/>
      <c r="J36048" s="8"/>
    </row>
    <row r="36049">
      <c r="C36049" s="15"/>
      <c r="E36049" s="8"/>
      <c r="G36049" s="8"/>
      <c r="J36049" s="8"/>
    </row>
    <row r="36050">
      <c r="C36050" s="15"/>
      <c r="E36050" s="8"/>
      <c r="G36050" s="8"/>
      <c r="J36050" s="8"/>
    </row>
    <row r="36051">
      <c r="C36051" s="15"/>
      <c r="E36051" s="8"/>
      <c r="G36051" s="8"/>
      <c r="J36051" s="8"/>
    </row>
    <row r="36052">
      <c r="C36052" s="15"/>
      <c r="E36052" s="8"/>
      <c r="G36052" s="8"/>
      <c r="J36052" s="8"/>
    </row>
    <row r="36053">
      <c r="C36053" s="15"/>
      <c r="E36053" s="8"/>
      <c r="G36053" s="8"/>
      <c r="J36053" s="8"/>
    </row>
    <row r="36054">
      <c r="C36054" s="15"/>
      <c r="E36054" s="8"/>
      <c r="G36054" s="8"/>
      <c r="J36054" s="8"/>
    </row>
    <row r="36055">
      <c r="C36055" s="15"/>
      <c r="E36055" s="8"/>
      <c r="G36055" s="8"/>
      <c r="J36055" s="8"/>
    </row>
    <row r="36056">
      <c r="C36056" s="15"/>
      <c r="E36056" s="8"/>
      <c r="G36056" s="8"/>
      <c r="J36056" s="8"/>
    </row>
    <row r="36057">
      <c r="C36057" s="15"/>
      <c r="E36057" s="8"/>
      <c r="G36057" s="8"/>
      <c r="J36057" s="8"/>
    </row>
    <row r="36058">
      <c r="C36058" s="15"/>
      <c r="E36058" s="8"/>
      <c r="G36058" s="8"/>
      <c r="J36058" s="8"/>
    </row>
    <row r="36059">
      <c r="C36059" s="15"/>
      <c r="E36059" s="8"/>
      <c r="G36059" s="8"/>
      <c r="J36059" s="8"/>
    </row>
    <row r="36060">
      <c r="C36060" s="15"/>
      <c r="E36060" s="8"/>
      <c r="G36060" s="8"/>
      <c r="J36060" s="8"/>
    </row>
    <row r="36061">
      <c r="C36061" s="15"/>
      <c r="E36061" s="8"/>
      <c r="G36061" s="8"/>
      <c r="J36061" s="8"/>
    </row>
    <row r="36062">
      <c r="C36062" s="15"/>
      <c r="E36062" s="8"/>
      <c r="G36062" s="8"/>
      <c r="J36062" s="8"/>
    </row>
    <row r="36063">
      <c r="C36063" s="15"/>
      <c r="E36063" s="8"/>
      <c r="G36063" s="8"/>
      <c r="J36063" s="8"/>
    </row>
    <row r="36064">
      <c r="C36064" s="15"/>
      <c r="E36064" s="8"/>
      <c r="G36064" s="8"/>
      <c r="J36064" s="8"/>
    </row>
    <row r="36065">
      <c r="C36065" s="15"/>
      <c r="E36065" s="8"/>
      <c r="G36065" s="8"/>
      <c r="J36065" s="8"/>
    </row>
    <row r="36066">
      <c r="C36066" s="15"/>
      <c r="E36066" s="8"/>
      <c r="G36066" s="8"/>
      <c r="J36066" s="8"/>
    </row>
    <row r="36067">
      <c r="C36067" s="15"/>
      <c r="E36067" s="8"/>
      <c r="G36067" s="8"/>
      <c r="J36067" s="8"/>
    </row>
    <row r="36068">
      <c r="C36068" s="15"/>
      <c r="E36068" s="8"/>
      <c r="G36068" s="8"/>
      <c r="J36068" s="8"/>
    </row>
    <row r="36069">
      <c r="C36069" s="15"/>
      <c r="E36069" s="8"/>
      <c r="G36069" s="8"/>
      <c r="J36069" s="8"/>
    </row>
    <row r="36070">
      <c r="C36070" s="15"/>
      <c r="E36070" s="8"/>
      <c r="G36070" s="8"/>
      <c r="J36070" s="8"/>
    </row>
    <row r="36071">
      <c r="C36071" s="15"/>
      <c r="E36071" s="8"/>
      <c r="G36071" s="8"/>
      <c r="J36071" s="8"/>
    </row>
    <row r="36072">
      <c r="C36072" s="15"/>
      <c r="E36072" s="8"/>
      <c r="G36072" s="8"/>
      <c r="J36072" s="8"/>
    </row>
    <row r="36073">
      <c r="C36073" s="15"/>
      <c r="E36073" s="8"/>
      <c r="G36073" s="8"/>
      <c r="J36073" s="8"/>
    </row>
    <row r="36074">
      <c r="C36074" s="15"/>
      <c r="E36074" s="8"/>
      <c r="G36074" s="8"/>
      <c r="J36074" s="8"/>
    </row>
    <row r="36075">
      <c r="C36075" s="15"/>
      <c r="E36075" s="8"/>
      <c r="G36075" s="8"/>
      <c r="J36075" s="8"/>
    </row>
    <row r="36076">
      <c r="C36076" s="15"/>
      <c r="E36076" s="8"/>
      <c r="G36076" s="8"/>
      <c r="J36076" s="8"/>
    </row>
    <row r="36077">
      <c r="C36077" s="15"/>
      <c r="E36077" s="8"/>
      <c r="G36077" s="8"/>
      <c r="J36077" s="8"/>
    </row>
    <row r="36078">
      <c r="C36078" s="15"/>
      <c r="E36078" s="8"/>
      <c r="G36078" s="8"/>
      <c r="J36078" s="8"/>
    </row>
    <row r="36079">
      <c r="C36079" s="15"/>
      <c r="E36079" s="8"/>
      <c r="G36079" s="8"/>
      <c r="J36079" s="8"/>
    </row>
    <row r="36080">
      <c r="C36080" s="15"/>
      <c r="E36080" s="8"/>
      <c r="G36080" s="8"/>
      <c r="J36080" s="8"/>
    </row>
    <row r="36081">
      <c r="C36081" s="15"/>
      <c r="E36081" s="8"/>
      <c r="G36081" s="8"/>
      <c r="J36081" s="8"/>
    </row>
    <row r="36082">
      <c r="C36082" s="15"/>
      <c r="E36082" s="8"/>
      <c r="G36082" s="8"/>
      <c r="J36082" s="8"/>
    </row>
    <row r="36083">
      <c r="C36083" s="15"/>
      <c r="E36083" s="8"/>
      <c r="G36083" s="8"/>
      <c r="J36083" s="8"/>
    </row>
    <row r="36084">
      <c r="C36084" s="15"/>
      <c r="E36084" s="8"/>
      <c r="G36084" s="8"/>
      <c r="J36084" s="8"/>
    </row>
    <row r="36085">
      <c r="C36085" s="15"/>
      <c r="E36085" s="8"/>
      <c r="G36085" s="8"/>
      <c r="J36085" s="8"/>
    </row>
    <row r="36086">
      <c r="C36086" s="15"/>
      <c r="E36086" s="8"/>
      <c r="G36086" s="8"/>
      <c r="J36086" s="8"/>
    </row>
    <row r="36087">
      <c r="C36087" s="15"/>
      <c r="E36087" s="8"/>
      <c r="G36087" s="8"/>
      <c r="J36087" s="8"/>
    </row>
    <row r="36088">
      <c r="C36088" s="15"/>
      <c r="E36088" s="8"/>
      <c r="G36088" s="8"/>
      <c r="J36088" s="8"/>
    </row>
    <row r="36089">
      <c r="C36089" s="15"/>
      <c r="E36089" s="8"/>
      <c r="G36089" s="8"/>
      <c r="J36089" s="8"/>
    </row>
    <row r="36090">
      <c r="C36090" s="15"/>
      <c r="E36090" s="8"/>
      <c r="G36090" s="8"/>
      <c r="J36090" s="8"/>
    </row>
    <row r="36091">
      <c r="C36091" s="15"/>
      <c r="E36091" s="8"/>
      <c r="G36091" s="8"/>
      <c r="J36091" s="8"/>
    </row>
    <row r="36092">
      <c r="C36092" s="15"/>
      <c r="E36092" s="8"/>
      <c r="G36092" s="8"/>
      <c r="J36092" s="8"/>
    </row>
    <row r="36093">
      <c r="C36093" s="15"/>
      <c r="E36093" s="8"/>
      <c r="G36093" s="8"/>
      <c r="J36093" s="8"/>
    </row>
    <row r="36094">
      <c r="C36094" s="15"/>
      <c r="E36094" s="8"/>
      <c r="G36094" s="8"/>
      <c r="J36094" s="8"/>
    </row>
    <row r="36095">
      <c r="C36095" s="15"/>
      <c r="E36095" s="8"/>
      <c r="G36095" s="8"/>
      <c r="J36095" s="8"/>
    </row>
    <row r="36096">
      <c r="C36096" s="15"/>
      <c r="E36096" s="8"/>
      <c r="G36096" s="8"/>
      <c r="J36096" s="8"/>
    </row>
    <row r="36097">
      <c r="C36097" s="15"/>
      <c r="E36097" s="8"/>
      <c r="G36097" s="8"/>
      <c r="J36097" s="8"/>
    </row>
    <row r="36098">
      <c r="C36098" s="15"/>
      <c r="E36098" s="8"/>
      <c r="G36098" s="8"/>
      <c r="J36098" s="8"/>
    </row>
    <row r="36099">
      <c r="C36099" s="15"/>
      <c r="E36099" s="8"/>
      <c r="G36099" s="8"/>
      <c r="J36099" s="8"/>
    </row>
    <row r="36100">
      <c r="C36100" s="15"/>
      <c r="E36100" s="8"/>
      <c r="G36100" s="8"/>
      <c r="J36100" s="8"/>
    </row>
    <row r="36101">
      <c r="C36101" s="15"/>
      <c r="E36101" s="8"/>
      <c r="G36101" s="8"/>
      <c r="J36101" s="8"/>
    </row>
    <row r="36102">
      <c r="C36102" s="15"/>
      <c r="E36102" s="8"/>
      <c r="G36102" s="8"/>
      <c r="J36102" s="8"/>
    </row>
    <row r="36103">
      <c r="C36103" s="15"/>
      <c r="E36103" s="8"/>
      <c r="G36103" s="8"/>
      <c r="J36103" s="8"/>
    </row>
    <row r="36104">
      <c r="C36104" s="15"/>
      <c r="E36104" s="8"/>
      <c r="G36104" s="8"/>
      <c r="J36104" s="8"/>
    </row>
    <row r="36105">
      <c r="C36105" s="15"/>
      <c r="E36105" s="8"/>
      <c r="G36105" s="8"/>
      <c r="J36105" s="8"/>
    </row>
    <row r="36106">
      <c r="C36106" s="15"/>
      <c r="E36106" s="8"/>
      <c r="G36106" s="8"/>
      <c r="J36106" s="8"/>
    </row>
    <row r="36107">
      <c r="C36107" s="15"/>
      <c r="E36107" s="8"/>
      <c r="G36107" s="8"/>
      <c r="J36107" s="8"/>
    </row>
    <row r="36108">
      <c r="C36108" s="15"/>
      <c r="E36108" s="8"/>
      <c r="G36108" s="8"/>
      <c r="J36108" s="8"/>
    </row>
    <row r="36109">
      <c r="C36109" s="15"/>
      <c r="E36109" s="8"/>
      <c r="G36109" s="8"/>
      <c r="J36109" s="8"/>
    </row>
    <row r="36110">
      <c r="C36110" s="15"/>
      <c r="E36110" s="8"/>
      <c r="G36110" s="8"/>
      <c r="J36110" s="8"/>
    </row>
    <row r="36111">
      <c r="C36111" s="15"/>
      <c r="E36111" s="8"/>
      <c r="G36111" s="8"/>
      <c r="J36111" s="8"/>
    </row>
    <row r="36112">
      <c r="C36112" s="15"/>
      <c r="E36112" s="8"/>
      <c r="G36112" s="8"/>
      <c r="J36112" s="8"/>
    </row>
    <row r="36113">
      <c r="C36113" s="15"/>
      <c r="E36113" s="8"/>
      <c r="G36113" s="8"/>
      <c r="J36113" s="8"/>
    </row>
    <row r="36114">
      <c r="C36114" s="15"/>
      <c r="E36114" s="8"/>
      <c r="G36114" s="8"/>
      <c r="J36114" s="8"/>
    </row>
    <row r="36115">
      <c r="C36115" s="15"/>
      <c r="E36115" s="8"/>
      <c r="G36115" s="8"/>
      <c r="J36115" s="8"/>
    </row>
    <row r="36116">
      <c r="C36116" s="15"/>
      <c r="E36116" s="8"/>
      <c r="G36116" s="8"/>
      <c r="J36116" s="8"/>
    </row>
    <row r="36117">
      <c r="C36117" s="15"/>
      <c r="E36117" s="8"/>
      <c r="G36117" s="8"/>
      <c r="J36117" s="8"/>
    </row>
    <row r="36118">
      <c r="C36118" s="15"/>
      <c r="E36118" s="8"/>
      <c r="G36118" s="8"/>
      <c r="J36118" s="8"/>
    </row>
    <row r="36119">
      <c r="C36119" s="15"/>
      <c r="E36119" s="8"/>
      <c r="G36119" s="8"/>
      <c r="J36119" s="8"/>
    </row>
    <row r="36120">
      <c r="C36120" s="15"/>
      <c r="E36120" s="8"/>
      <c r="G36120" s="8"/>
      <c r="J36120" s="8"/>
    </row>
    <row r="36121">
      <c r="C36121" s="15"/>
      <c r="E36121" s="8"/>
      <c r="G36121" s="8"/>
      <c r="J36121" s="8"/>
    </row>
    <row r="36122">
      <c r="C36122" s="15"/>
      <c r="E36122" s="8"/>
      <c r="G36122" s="8"/>
      <c r="J36122" s="8"/>
    </row>
    <row r="36123">
      <c r="C36123" s="15"/>
      <c r="E36123" s="8"/>
      <c r="G36123" s="8"/>
      <c r="J36123" s="8"/>
    </row>
    <row r="36124">
      <c r="C36124" s="15"/>
      <c r="E36124" s="8"/>
      <c r="G36124" s="8"/>
      <c r="J36124" s="8"/>
    </row>
    <row r="36125">
      <c r="C36125" s="15"/>
      <c r="E36125" s="8"/>
      <c r="G36125" s="8"/>
      <c r="J36125" s="8"/>
    </row>
    <row r="36126">
      <c r="C36126" s="15"/>
      <c r="E36126" s="8"/>
      <c r="G36126" s="8"/>
      <c r="J36126" s="8"/>
    </row>
    <row r="36127">
      <c r="C36127" s="15"/>
      <c r="E36127" s="8"/>
      <c r="G36127" s="8"/>
      <c r="J36127" s="8"/>
    </row>
    <row r="36128">
      <c r="C36128" s="15"/>
      <c r="E36128" s="8"/>
      <c r="G36128" s="8"/>
      <c r="J36128" s="8"/>
    </row>
    <row r="36129">
      <c r="C36129" s="15"/>
      <c r="E36129" s="8"/>
      <c r="G36129" s="8"/>
      <c r="J36129" s="8"/>
    </row>
    <row r="36130">
      <c r="C36130" s="15"/>
      <c r="E36130" s="8"/>
      <c r="G36130" s="8"/>
      <c r="J36130" s="8"/>
    </row>
    <row r="36131">
      <c r="C36131" s="15"/>
      <c r="E36131" s="8"/>
      <c r="G36131" s="8"/>
      <c r="J36131" s="8"/>
    </row>
    <row r="36132">
      <c r="C36132" s="15"/>
      <c r="E36132" s="8"/>
      <c r="G36132" s="8"/>
      <c r="J36132" s="8"/>
    </row>
    <row r="36133">
      <c r="C36133" s="15"/>
      <c r="E36133" s="8"/>
      <c r="G36133" s="8"/>
      <c r="J36133" s="8"/>
    </row>
    <row r="36134">
      <c r="C36134" s="15"/>
      <c r="E36134" s="8"/>
      <c r="G36134" s="8"/>
      <c r="J36134" s="8"/>
    </row>
    <row r="36135">
      <c r="C36135" s="15"/>
      <c r="E36135" s="8"/>
      <c r="G36135" s="8"/>
      <c r="J36135" s="8"/>
    </row>
    <row r="36136">
      <c r="C36136" s="15"/>
      <c r="E36136" s="8"/>
      <c r="G36136" s="8"/>
      <c r="J36136" s="8"/>
    </row>
    <row r="36137">
      <c r="C36137" s="15"/>
      <c r="E36137" s="8"/>
      <c r="G36137" s="8"/>
      <c r="J36137" s="8"/>
    </row>
    <row r="36138">
      <c r="C36138" s="15"/>
      <c r="E36138" s="8"/>
      <c r="G36138" s="8"/>
      <c r="J36138" s="8"/>
    </row>
    <row r="36139">
      <c r="C36139" s="15"/>
      <c r="E36139" s="8"/>
      <c r="G36139" s="8"/>
      <c r="J36139" s="8"/>
    </row>
    <row r="36140">
      <c r="C36140" s="15"/>
      <c r="E36140" s="8"/>
      <c r="G36140" s="8"/>
      <c r="J36140" s="8"/>
    </row>
    <row r="36141">
      <c r="C36141" s="15"/>
      <c r="E36141" s="8"/>
      <c r="G36141" s="8"/>
      <c r="J36141" s="8"/>
    </row>
    <row r="36142">
      <c r="C36142" s="15"/>
      <c r="E36142" s="8"/>
      <c r="G36142" s="8"/>
      <c r="J36142" s="8"/>
    </row>
    <row r="36143">
      <c r="C36143" s="15"/>
      <c r="E36143" s="8"/>
      <c r="G36143" s="8"/>
      <c r="J36143" s="8"/>
    </row>
    <row r="36144">
      <c r="C36144" s="15"/>
      <c r="E36144" s="8"/>
      <c r="G36144" s="8"/>
      <c r="J36144" s="8"/>
    </row>
    <row r="36145">
      <c r="C36145" s="15"/>
      <c r="E36145" s="8"/>
      <c r="G36145" s="8"/>
      <c r="J36145" s="8"/>
    </row>
    <row r="36146">
      <c r="C36146" s="15"/>
      <c r="E36146" s="8"/>
      <c r="G36146" s="8"/>
      <c r="J36146" s="8"/>
    </row>
    <row r="36147">
      <c r="C36147" s="15"/>
      <c r="E36147" s="8"/>
      <c r="G36147" s="8"/>
      <c r="J36147" s="8"/>
    </row>
    <row r="36148">
      <c r="C36148" s="15"/>
      <c r="E36148" s="8"/>
      <c r="G36148" s="8"/>
      <c r="J36148" s="8"/>
    </row>
    <row r="36149">
      <c r="C36149" s="15"/>
      <c r="E36149" s="8"/>
      <c r="G36149" s="8"/>
      <c r="J36149" s="8"/>
    </row>
    <row r="36150">
      <c r="C36150" s="15"/>
      <c r="E36150" s="8"/>
      <c r="G36150" s="8"/>
      <c r="J36150" s="8"/>
    </row>
    <row r="36151">
      <c r="C36151" s="15"/>
      <c r="E36151" s="8"/>
      <c r="G36151" s="8"/>
      <c r="J36151" s="8"/>
    </row>
    <row r="36152">
      <c r="C36152" s="15"/>
      <c r="E36152" s="8"/>
      <c r="G36152" s="8"/>
      <c r="J36152" s="8"/>
    </row>
    <row r="36153">
      <c r="C36153" s="15"/>
      <c r="E36153" s="8"/>
      <c r="G36153" s="8"/>
      <c r="J36153" s="8"/>
    </row>
    <row r="36154">
      <c r="C36154" s="15"/>
      <c r="E36154" s="8"/>
      <c r="G36154" s="8"/>
      <c r="J36154" s="8"/>
    </row>
    <row r="36155">
      <c r="C36155" s="15"/>
      <c r="E36155" s="8"/>
      <c r="G36155" s="8"/>
      <c r="J36155" s="8"/>
    </row>
    <row r="36156">
      <c r="C36156" s="15"/>
      <c r="E36156" s="8"/>
      <c r="G36156" s="8"/>
      <c r="J36156" s="8"/>
    </row>
    <row r="36157">
      <c r="C36157" s="15"/>
      <c r="E36157" s="8"/>
      <c r="G36157" s="8"/>
      <c r="J36157" s="8"/>
    </row>
    <row r="36158">
      <c r="C36158" s="15"/>
      <c r="E36158" s="8"/>
      <c r="G36158" s="8"/>
      <c r="J36158" s="8"/>
    </row>
    <row r="36159">
      <c r="C36159" s="15"/>
      <c r="E36159" s="8"/>
      <c r="G36159" s="8"/>
      <c r="J36159" s="8"/>
    </row>
    <row r="36160">
      <c r="C36160" s="15"/>
      <c r="E36160" s="8"/>
      <c r="G36160" s="8"/>
      <c r="J36160" s="8"/>
    </row>
    <row r="36161">
      <c r="C36161" s="15"/>
      <c r="E36161" s="8"/>
      <c r="G36161" s="8"/>
      <c r="J36161" s="8"/>
    </row>
    <row r="36162">
      <c r="C36162" s="15"/>
      <c r="E36162" s="8"/>
      <c r="G36162" s="8"/>
      <c r="J36162" s="8"/>
    </row>
    <row r="36163">
      <c r="C36163" s="15"/>
      <c r="E36163" s="8"/>
      <c r="G36163" s="8"/>
      <c r="J36163" s="8"/>
    </row>
    <row r="36164">
      <c r="C36164" s="15"/>
      <c r="E36164" s="8"/>
      <c r="G36164" s="8"/>
      <c r="J36164" s="8"/>
    </row>
    <row r="36165">
      <c r="C36165" s="15"/>
      <c r="E36165" s="8"/>
      <c r="G36165" s="8"/>
      <c r="J36165" s="8"/>
    </row>
    <row r="36166">
      <c r="C36166" s="15"/>
      <c r="E36166" s="8"/>
      <c r="G36166" s="8"/>
      <c r="J36166" s="8"/>
    </row>
    <row r="36167">
      <c r="C36167" s="15"/>
      <c r="E36167" s="8"/>
      <c r="G36167" s="8"/>
      <c r="J36167" s="8"/>
    </row>
    <row r="36168">
      <c r="C36168" s="15"/>
      <c r="E36168" s="8"/>
      <c r="G36168" s="8"/>
      <c r="J36168" s="8"/>
    </row>
    <row r="36169">
      <c r="C36169" s="15"/>
      <c r="E36169" s="8"/>
      <c r="G36169" s="8"/>
      <c r="J36169" s="8"/>
    </row>
    <row r="36170">
      <c r="C36170" s="15"/>
      <c r="E36170" s="8"/>
      <c r="G36170" s="8"/>
      <c r="J36170" s="8"/>
    </row>
    <row r="36171">
      <c r="C36171" s="15"/>
      <c r="E36171" s="8"/>
      <c r="G36171" s="8"/>
      <c r="J36171" s="8"/>
    </row>
    <row r="36172">
      <c r="C36172" s="15"/>
      <c r="E36172" s="8"/>
      <c r="G36172" s="8"/>
      <c r="J36172" s="8"/>
    </row>
    <row r="36173">
      <c r="C36173" s="15"/>
      <c r="E36173" s="8"/>
      <c r="G36173" s="8"/>
      <c r="J36173" s="8"/>
    </row>
    <row r="36174">
      <c r="C36174" s="15"/>
      <c r="E36174" s="8"/>
      <c r="G36174" s="8"/>
      <c r="J36174" s="8"/>
    </row>
    <row r="36175">
      <c r="C36175" s="15"/>
      <c r="E36175" s="8"/>
      <c r="G36175" s="8"/>
      <c r="J36175" s="8"/>
    </row>
    <row r="36176">
      <c r="C36176" s="15"/>
      <c r="E36176" s="8"/>
      <c r="G36176" s="8"/>
      <c r="J36176" s="8"/>
    </row>
    <row r="36177">
      <c r="C36177" s="15"/>
      <c r="E36177" s="8"/>
      <c r="G36177" s="8"/>
      <c r="J36177" s="8"/>
    </row>
    <row r="36178">
      <c r="C36178" s="15"/>
      <c r="E36178" s="8"/>
      <c r="G36178" s="8"/>
      <c r="J36178" s="8"/>
    </row>
    <row r="36179">
      <c r="C36179" s="15"/>
      <c r="E36179" s="8"/>
      <c r="G36179" s="8"/>
      <c r="J36179" s="8"/>
    </row>
    <row r="36180">
      <c r="C36180" s="15"/>
      <c r="E36180" s="8"/>
      <c r="G36180" s="8"/>
      <c r="J36180" s="8"/>
    </row>
    <row r="36181">
      <c r="C36181" s="15"/>
      <c r="E36181" s="8"/>
      <c r="G36181" s="8"/>
      <c r="J36181" s="8"/>
    </row>
    <row r="36182">
      <c r="C36182" s="15"/>
      <c r="E36182" s="8"/>
      <c r="G36182" s="8"/>
      <c r="J36182" s="8"/>
    </row>
    <row r="36183">
      <c r="C36183" s="15"/>
      <c r="E36183" s="8"/>
      <c r="G36183" s="8"/>
      <c r="J36183" s="8"/>
    </row>
    <row r="36184">
      <c r="C36184" s="15"/>
      <c r="E36184" s="8"/>
      <c r="G36184" s="8"/>
      <c r="J36184" s="8"/>
    </row>
    <row r="36185">
      <c r="C36185" s="15"/>
      <c r="E36185" s="8"/>
      <c r="G36185" s="8"/>
      <c r="J36185" s="8"/>
    </row>
    <row r="36186">
      <c r="C36186" s="15"/>
      <c r="E36186" s="8"/>
      <c r="G36186" s="8"/>
      <c r="J36186" s="8"/>
    </row>
    <row r="36187">
      <c r="C36187" s="15"/>
      <c r="E36187" s="8"/>
      <c r="G36187" s="8"/>
      <c r="J36187" s="8"/>
    </row>
    <row r="36188">
      <c r="C36188" s="15"/>
      <c r="E36188" s="8"/>
      <c r="G36188" s="8"/>
      <c r="J36188" s="8"/>
    </row>
    <row r="36189">
      <c r="C36189" s="15"/>
      <c r="E36189" s="8"/>
      <c r="G36189" s="8"/>
      <c r="J36189" s="8"/>
    </row>
    <row r="36190">
      <c r="C36190" s="15"/>
      <c r="E36190" s="8"/>
      <c r="G36190" s="8"/>
      <c r="J36190" s="8"/>
    </row>
    <row r="36191">
      <c r="C36191" s="15"/>
      <c r="E36191" s="8"/>
      <c r="G36191" s="8"/>
      <c r="J36191" s="8"/>
    </row>
    <row r="36192">
      <c r="C36192" s="15"/>
      <c r="E36192" s="8"/>
      <c r="G36192" s="8"/>
      <c r="J36192" s="8"/>
    </row>
    <row r="36193">
      <c r="C36193" s="15"/>
      <c r="E36193" s="8"/>
      <c r="G36193" s="8"/>
      <c r="J36193" s="8"/>
    </row>
    <row r="36194">
      <c r="C36194" s="15"/>
      <c r="E36194" s="8"/>
      <c r="G36194" s="8"/>
      <c r="J36194" s="8"/>
    </row>
    <row r="36195">
      <c r="C36195" s="15"/>
      <c r="E36195" s="8"/>
      <c r="G36195" s="8"/>
      <c r="J36195" s="8"/>
    </row>
    <row r="36196">
      <c r="C36196" s="15"/>
      <c r="E36196" s="8"/>
      <c r="G36196" s="8"/>
      <c r="J36196" s="8"/>
    </row>
    <row r="36197">
      <c r="C36197" s="15"/>
      <c r="E36197" s="8"/>
      <c r="G36197" s="8"/>
      <c r="J36197" s="8"/>
    </row>
    <row r="36198">
      <c r="C36198" s="15"/>
      <c r="E36198" s="8"/>
      <c r="G36198" s="8"/>
      <c r="J36198" s="8"/>
    </row>
    <row r="36199">
      <c r="C36199" s="15"/>
      <c r="E36199" s="8"/>
      <c r="G36199" s="8"/>
      <c r="J36199" s="8"/>
    </row>
    <row r="36200">
      <c r="C36200" s="15"/>
      <c r="E36200" s="8"/>
      <c r="G36200" s="8"/>
      <c r="J36200" s="8"/>
    </row>
    <row r="36201">
      <c r="C36201" s="15"/>
      <c r="E36201" s="8"/>
      <c r="G36201" s="8"/>
      <c r="J36201" s="8"/>
    </row>
    <row r="36202">
      <c r="C36202" s="15"/>
      <c r="E36202" s="8"/>
      <c r="G36202" s="8"/>
      <c r="J36202" s="8"/>
    </row>
    <row r="36203">
      <c r="C36203" s="15"/>
      <c r="E36203" s="8"/>
      <c r="G36203" s="8"/>
      <c r="J36203" s="8"/>
    </row>
    <row r="36204">
      <c r="C36204" s="15"/>
      <c r="E36204" s="8"/>
      <c r="G36204" s="8"/>
      <c r="J36204" s="8"/>
    </row>
    <row r="36205">
      <c r="C36205" s="15"/>
      <c r="E36205" s="8"/>
      <c r="G36205" s="8"/>
      <c r="J36205" s="8"/>
    </row>
    <row r="36206">
      <c r="C36206" s="15"/>
      <c r="E36206" s="8"/>
      <c r="G36206" s="8"/>
      <c r="J36206" s="8"/>
    </row>
    <row r="36207">
      <c r="C36207" s="15"/>
      <c r="E36207" s="8"/>
      <c r="G36207" s="8"/>
      <c r="J36207" s="8"/>
    </row>
    <row r="36208">
      <c r="C36208" s="15"/>
      <c r="E36208" s="8"/>
      <c r="G36208" s="8"/>
      <c r="J36208" s="8"/>
    </row>
    <row r="36209">
      <c r="C36209" s="15"/>
      <c r="E36209" s="8"/>
      <c r="G36209" s="8"/>
      <c r="J36209" s="8"/>
    </row>
    <row r="36210">
      <c r="C36210" s="15"/>
      <c r="E36210" s="8"/>
      <c r="G36210" s="8"/>
      <c r="J36210" s="8"/>
    </row>
    <row r="36211">
      <c r="C36211" s="15"/>
      <c r="E36211" s="8"/>
      <c r="G36211" s="8"/>
      <c r="J36211" s="8"/>
    </row>
    <row r="36212">
      <c r="C36212" s="15"/>
      <c r="E36212" s="8"/>
      <c r="G36212" s="8"/>
      <c r="J36212" s="8"/>
    </row>
    <row r="36213">
      <c r="C36213" s="15"/>
      <c r="E36213" s="8"/>
      <c r="G36213" s="8"/>
      <c r="J36213" s="8"/>
    </row>
    <row r="36214">
      <c r="C36214" s="15"/>
      <c r="E36214" s="8"/>
      <c r="G36214" s="8"/>
      <c r="J36214" s="8"/>
    </row>
    <row r="36215">
      <c r="C36215" s="15"/>
      <c r="E36215" s="8"/>
      <c r="G36215" s="8"/>
      <c r="J36215" s="8"/>
    </row>
    <row r="36216">
      <c r="C36216" s="15"/>
      <c r="E36216" s="8"/>
      <c r="G36216" s="8"/>
      <c r="J36216" s="8"/>
    </row>
    <row r="36217">
      <c r="C36217" s="15"/>
      <c r="E36217" s="8"/>
      <c r="G36217" s="8"/>
      <c r="J36217" s="8"/>
    </row>
    <row r="36218">
      <c r="C36218" s="15"/>
      <c r="E36218" s="8"/>
      <c r="G36218" s="8"/>
      <c r="J36218" s="8"/>
    </row>
    <row r="36219">
      <c r="C36219" s="15"/>
      <c r="E36219" s="8"/>
      <c r="G36219" s="8"/>
      <c r="J36219" s="8"/>
    </row>
    <row r="36220">
      <c r="C36220" s="15"/>
      <c r="E36220" s="8"/>
      <c r="G36220" s="8"/>
      <c r="J36220" s="8"/>
    </row>
    <row r="36221">
      <c r="C36221" s="15"/>
      <c r="E36221" s="8"/>
      <c r="G36221" s="8"/>
      <c r="J36221" s="8"/>
    </row>
    <row r="36222">
      <c r="C36222" s="15"/>
      <c r="E36222" s="8"/>
      <c r="G36222" s="8"/>
      <c r="J36222" s="8"/>
    </row>
    <row r="36223">
      <c r="C36223" s="15"/>
      <c r="E36223" s="8"/>
      <c r="G36223" s="8"/>
      <c r="J36223" s="8"/>
    </row>
    <row r="36224">
      <c r="C36224" s="15"/>
      <c r="E36224" s="8"/>
      <c r="G36224" s="8"/>
      <c r="J36224" s="8"/>
    </row>
    <row r="36225">
      <c r="C36225" s="15"/>
      <c r="E36225" s="8"/>
      <c r="G36225" s="8"/>
      <c r="J36225" s="8"/>
    </row>
    <row r="36226">
      <c r="C36226" s="15"/>
      <c r="E36226" s="8"/>
      <c r="G36226" s="8"/>
      <c r="J36226" s="8"/>
    </row>
    <row r="36227">
      <c r="C36227" s="15"/>
      <c r="E36227" s="8"/>
      <c r="G36227" s="8"/>
      <c r="J36227" s="8"/>
    </row>
    <row r="36228">
      <c r="C36228" s="15"/>
      <c r="E36228" s="8"/>
      <c r="G36228" s="8"/>
      <c r="J36228" s="8"/>
    </row>
    <row r="36229">
      <c r="C36229" s="15"/>
      <c r="E36229" s="8"/>
      <c r="G36229" s="8"/>
      <c r="J36229" s="8"/>
    </row>
    <row r="36230">
      <c r="C36230" s="15"/>
      <c r="E36230" s="8"/>
      <c r="G36230" s="8"/>
      <c r="J36230" s="8"/>
    </row>
    <row r="36231">
      <c r="C36231" s="15"/>
      <c r="E36231" s="8"/>
      <c r="G36231" s="8"/>
      <c r="J36231" s="8"/>
    </row>
    <row r="36232">
      <c r="C36232" s="15"/>
      <c r="E36232" s="8"/>
      <c r="G36232" s="8"/>
      <c r="J36232" s="8"/>
    </row>
    <row r="36233">
      <c r="C36233" s="15"/>
      <c r="E36233" s="8"/>
      <c r="G36233" s="8"/>
      <c r="J36233" s="8"/>
    </row>
    <row r="36234">
      <c r="C36234" s="15"/>
      <c r="E36234" s="8"/>
      <c r="G36234" s="8"/>
      <c r="J36234" s="8"/>
    </row>
    <row r="36235">
      <c r="C36235" s="15"/>
      <c r="E36235" s="8"/>
      <c r="G36235" s="8"/>
      <c r="J36235" s="8"/>
    </row>
    <row r="36236">
      <c r="C36236" s="15"/>
      <c r="E36236" s="8"/>
      <c r="G36236" s="8"/>
      <c r="J36236" s="8"/>
    </row>
    <row r="36237">
      <c r="C36237" s="15"/>
      <c r="E36237" s="8"/>
      <c r="G36237" s="8"/>
      <c r="J36237" s="8"/>
    </row>
    <row r="36238">
      <c r="C36238" s="15"/>
      <c r="E36238" s="8"/>
      <c r="G36238" s="8"/>
      <c r="J36238" s="8"/>
    </row>
    <row r="36239">
      <c r="C36239" s="15"/>
      <c r="E36239" s="8"/>
      <c r="G36239" s="8"/>
      <c r="J36239" s="8"/>
    </row>
    <row r="36240">
      <c r="C36240" s="15"/>
      <c r="E36240" s="8"/>
      <c r="G36240" s="8"/>
      <c r="J36240" s="8"/>
    </row>
    <row r="36241">
      <c r="C36241" s="15"/>
      <c r="E36241" s="8"/>
      <c r="G36241" s="8"/>
      <c r="J36241" s="8"/>
    </row>
    <row r="36242">
      <c r="C36242" s="15"/>
      <c r="E36242" s="8"/>
      <c r="G36242" s="8"/>
      <c r="J36242" s="8"/>
    </row>
    <row r="36243">
      <c r="C36243" s="15"/>
      <c r="E36243" s="8"/>
      <c r="G36243" s="8"/>
      <c r="J36243" s="8"/>
    </row>
    <row r="36244">
      <c r="C36244" s="15"/>
      <c r="E36244" s="8"/>
      <c r="G36244" s="8"/>
      <c r="J36244" s="8"/>
    </row>
    <row r="36245">
      <c r="C36245" s="15"/>
      <c r="E36245" s="8"/>
      <c r="G36245" s="8"/>
      <c r="J36245" s="8"/>
    </row>
    <row r="36246">
      <c r="C36246" s="15"/>
      <c r="E36246" s="8"/>
      <c r="G36246" s="8"/>
      <c r="J36246" s="8"/>
    </row>
    <row r="36247">
      <c r="C36247" s="15"/>
      <c r="E36247" s="8"/>
      <c r="G36247" s="8"/>
      <c r="J36247" s="8"/>
    </row>
    <row r="36248">
      <c r="C36248" s="15"/>
      <c r="E36248" s="8"/>
      <c r="G36248" s="8"/>
      <c r="J36248" s="8"/>
    </row>
    <row r="36249">
      <c r="C36249" s="15"/>
      <c r="E36249" s="8"/>
      <c r="G36249" s="8"/>
      <c r="J36249" s="8"/>
    </row>
    <row r="36250">
      <c r="C36250" s="15"/>
      <c r="E36250" s="8"/>
      <c r="G36250" s="8"/>
      <c r="J36250" s="8"/>
    </row>
    <row r="36251">
      <c r="C36251" s="15"/>
      <c r="E36251" s="8"/>
      <c r="G36251" s="8"/>
      <c r="J36251" s="8"/>
    </row>
    <row r="36252">
      <c r="C36252" s="15"/>
      <c r="E36252" s="8"/>
      <c r="G36252" s="8"/>
      <c r="J36252" s="8"/>
    </row>
    <row r="36253">
      <c r="C36253" s="15"/>
      <c r="E36253" s="8"/>
      <c r="G36253" s="8"/>
      <c r="J36253" s="8"/>
    </row>
    <row r="36254">
      <c r="C36254" s="15"/>
      <c r="E36254" s="8"/>
      <c r="G36254" s="8"/>
      <c r="J36254" s="8"/>
    </row>
    <row r="36255">
      <c r="C36255" s="15"/>
      <c r="E36255" s="8"/>
      <c r="G36255" s="8"/>
      <c r="J36255" s="8"/>
    </row>
    <row r="36256">
      <c r="C36256" s="15"/>
      <c r="E36256" s="8"/>
      <c r="G36256" s="8"/>
      <c r="J36256" s="8"/>
    </row>
    <row r="36257">
      <c r="C36257" s="15"/>
      <c r="E36257" s="8"/>
      <c r="G36257" s="8"/>
      <c r="J36257" s="8"/>
    </row>
    <row r="36258">
      <c r="C36258" s="15"/>
      <c r="E36258" s="8"/>
      <c r="G36258" s="8"/>
      <c r="J36258" s="8"/>
    </row>
    <row r="36259">
      <c r="C36259" s="15"/>
      <c r="E36259" s="8"/>
      <c r="G36259" s="8"/>
      <c r="J36259" s="8"/>
    </row>
    <row r="36260">
      <c r="C36260" s="15"/>
      <c r="E36260" s="8"/>
      <c r="G36260" s="8"/>
      <c r="J36260" s="8"/>
    </row>
    <row r="36261">
      <c r="C36261" s="15"/>
      <c r="E36261" s="8"/>
      <c r="G36261" s="8"/>
      <c r="J36261" s="8"/>
    </row>
    <row r="36262">
      <c r="C36262" s="15"/>
      <c r="E36262" s="8"/>
      <c r="G36262" s="8"/>
      <c r="J36262" s="8"/>
    </row>
    <row r="36263">
      <c r="C36263" s="15"/>
      <c r="E36263" s="8"/>
      <c r="G36263" s="8"/>
      <c r="J36263" s="8"/>
    </row>
    <row r="36264">
      <c r="C36264" s="15"/>
      <c r="E36264" s="8"/>
      <c r="G36264" s="8"/>
      <c r="J36264" s="8"/>
    </row>
    <row r="36265">
      <c r="C36265" s="15"/>
      <c r="E36265" s="8"/>
      <c r="G36265" s="8"/>
      <c r="J36265" s="8"/>
    </row>
    <row r="36266">
      <c r="C36266" s="15"/>
      <c r="E36266" s="8"/>
      <c r="G36266" s="8"/>
      <c r="J36266" s="8"/>
    </row>
    <row r="36267">
      <c r="C36267" s="15"/>
      <c r="E36267" s="8"/>
      <c r="G36267" s="8"/>
      <c r="J36267" s="8"/>
    </row>
    <row r="36268">
      <c r="C36268" s="15"/>
      <c r="E36268" s="8"/>
      <c r="G36268" s="8"/>
      <c r="J36268" s="8"/>
    </row>
    <row r="36269">
      <c r="C36269" s="15"/>
      <c r="E36269" s="8"/>
      <c r="G36269" s="8"/>
      <c r="J36269" s="8"/>
    </row>
    <row r="36270">
      <c r="C36270" s="15"/>
      <c r="E36270" s="8"/>
      <c r="G36270" s="8"/>
      <c r="J36270" s="8"/>
    </row>
    <row r="36271">
      <c r="C36271" s="15"/>
      <c r="E36271" s="8"/>
      <c r="G36271" s="8"/>
      <c r="J36271" s="8"/>
    </row>
    <row r="36272">
      <c r="C36272" s="15"/>
      <c r="E36272" s="8"/>
      <c r="G36272" s="8"/>
      <c r="J36272" s="8"/>
    </row>
    <row r="36273">
      <c r="C36273" s="15"/>
      <c r="E36273" s="8"/>
      <c r="G36273" s="8"/>
      <c r="J36273" s="8"/>
    </row>
    <row r="36274">
      <c r="C36274" s="15"/>
      <c r="E36274" s="8"/>
      <c r="G36274" s="8"/>
      <c r="J36274" s="8"/>
    </row>
    <row r="36275">
      <c r="C36275" s="15"/>
      <c r="E36275" s="8"/>
      <c r="G36275" s="8"/>
      <c r="J36275" s="8"/>
    </row>
    <row r="36276">
      <c r="C36276" s="15"/>
      <c r="E36276" s="8"/>
      <c r="G36276" s="8"/>
      <c r="J36276" s="8"/>
    </row>
    <row r="36277">
      <c r="C36277" s="15"/>
      <c r="E36277" s="8"/>
      <c r="G36277" s="8"/>
      <c r="J36277" s="8"/>
    </row>
    <row r="36278">
      <c r="C36278" s="15"/>
      <c r="E36278" s="8"/>
      <c r="G36278" s="8"/>
      <c r="J36278" s="8"/>
    </row>
    <row r="36279">
      <c r="C36279" s="15"/>
      <c r="E36279" s="8"/>
      <c r="G36279" s="8"/>
      <c r="J36279" s="8"/>
    </row>
    <row r="36280">
      <c r="C36280" s="15"/>
      <c r="E36280" s="8"/>
      <c r="G36280" s="8"/>
      <c r="J36280" s="8"/>
    </row>
    <row r="36281">
      <c r="C36281" s="15"/>
      <c r="E36281" s="8"/>
      <c r="G36281" s="8"/>
      <c r="J36281" s="8"/>
    </row>
    <row r="36282">
      <c r="C36282" s="15"/>
      <c r="E36282" s="8"/>
      <c r="G36282" s="8"/>
      <c r="J36282" s="8"/>
    </row>
    <row r="36283">
      <c r="C36283" s="15"/>
      <c r="E36283" s="8"/>
      <c r="G36283" s="8"/>
      <c r="J36283" s="8"/>
    </row>
    <row r="36284">
      <c r="C36284" s="15"/>
      <c r="E36284" s="8"/>
      <c r="G36284" s="8"/>
      <c r="J36284" s="8"/>
    </row>
    <row r="36285">
      <c r="C36285" s="15"/>
      <c r="E36285" s="8"/>
      <c r="G36285" s="8"/>
      <c r="J36285" s="8"/>
    </row>
    <row r="36286">
      <c r="C36286" s="15"/>
      <c r="E36286" s="8"/>
      <c r="G36286" s="8"/>
      <c r="J36286" s="8"/>
    </row>
    <row r="36287">
      <c r="C36287" s="15"/>
      <c r="E36287" s="8"/>
      <c r="G36287" s="8"/>
      <c r="J36287" s="8"/>
    </row>
    <row r="36288">
      <c r="C36288" s="15"/>
      <c r="E36288" s="8"/>
      <c r="G36288" s="8"/>
      <c r="J36288" s="8"/>
    </row>
    <row r="36289">
      <c r="C36289" s="15"/>
      <c r="E36289" s="8"/>
      <c r="G36289" s="8"/>
      <c r="J36289" s="8"/>
    </row>
    <row r="36290">
      <c r="C36290" s="15"/>
      <c r="E36290" s="8"/>
      <c r="G36290" s="8"/>
      <c r="J36290" s="8"/>
    </row>
    <row r="36291">
      <c r="C36291" s="15"/>
      <c r="E36291" s="8"/>
      <c r="G36291" s="8"/>
      <c r="J36291" s="8"/>
    </row>
    <row r="36292">
      <c r="C36292" s="15"/>
      <c r="E36292" s="8"/>
      <c r="G36292" s="8"/>
      <c r="J36292" s="8"/>
    </row>
    <row r="36293">
      <c r="C36293" s="15"/>
      <c r="E36293" s="8"/>
      <c r="G36293" s="8"/>
      <c r="J36293" s="8"/>
    </row>
    <row r="36294">
      <c r="C36294" s="15"/>
      <c r="E36294" s="8"/>
      <c r="G36294" s="8"/>
      <c r="J36294" s="8"/>
    </row>
    <row r="36295">
      <c r="C36295" s="15"/>
      <c r="E36295" s="8"/>
      <c r="G36295" s="8"/>
      <c r="J36295" s="8"/>
    </row>
    <row r="36296">
      <c r="C36296" s="15"/>
      <c r="E36296" s="8"/>
      <c r="G36296" s="8"/>
      <c r="J36296" s="8"/>
    </row>
    <row r="36297">
      <c r="C36297" s="15"/>
      <c r="E36297" s="8"/>
      <c r="G36297" s="8"/>
      <c r="J36297" s="8"/>
    </row>
    <row r="36298">
      <c r="C36298" s="15"/>
      <c r="E36298" s="8"/>
      <c r="G36298" s="8"/>
      <c r="J36298" s="8"/>
    </row>
    <row r="36299">
      <c r="C36299" s="15"/>
      <c r="E36299" s="8"/>
      <c r="G36299" s="8"/>
      <c r="J36299" s="8"/>
    </row>
    <row r="36300">
      <c r="C36300" s="15"/>
      <c r="E36300" s="8"/>
      <c r="G36300" s="8"/>
      <c r="J36300" s="8"/>
    </row>
    <row r="36301">
      <c r="C36301" s="15"/>
      <c r="E36301" s="8"/>
      <c r="G36301" s="8"/>
      <c r="J36301" s="8"/>
    </row>
    <row r="36302">
      <c r="C36302" s="15"/>
      <c r="E36302" s="8"/>
      <c r="G36302" s="8"/>
      <c r="J36302" s="8"/>
    </row>
    <row r="36303">
      <c r="C36303" s="15"/>
      <c r="E36303" s="8"/>
      <c r="G36303" s="8"/>
      <c r="J36303" s="8"/>
    </row>
    <row r="36304">
      <c r="C36304" s="15"/>
      <c r="E36304" s="8"/>
      <c r="G36304" s="8"/>
      <c r="J36304" s="8"/>
    </row>
    <row r="36305">
      <c r="C36305" s="15"/>
      <c r="E36305" s="8"/>
      <c r="G36305" s="8"/>
      <c r="J36305" s="8"/>
    </row>
    <row r="36306">
      <c r="C36306" s="15"/>
      <c r="E36306" s="8"/>
      <c r="G36306" s="8"/>
      <c r="J36306" s="8"/>
    </row>
    <row r="36307">
      <c r="C36307" s="15"/>
      <c r="E36307" s="8"/>
      <c r="G36307" s="8"/>
      <c r="J36307" s="8"/>
    </row>
    <row r="36308">
      <c r="C36308" s="15"/>
      <c r="E36308" s="8"/>
      <c r="G36308" s="8"/>
      <c r="J36308" s="8"/>
    </row>
    <row r="36309">
      <c r="C36309" s="15"/>
      <c r="E36309" s="8"/>
      <c r="G36309" s="8"/>
      <c r="J36309" s="8"/>
    </row>
    <row r="36310">
      <c r="C36310" s="15"/>
      <c r="E36310" s="8"/>
      <c r="G36310" s="8"/>
      <c r="J36310" s="8"/>
    </row>
    <row r="36311">
      <c r="C36311" s="15"/>
      <c r="E36311" s="8"/>
      <c r="G36311" s="8"/>
      <c r="J36311" s="8"/>
    </row>
    <row r="36312">
      <c r="C36312" s="15"/>
      <c r="E36312" s="8"/>
      <c r="G36312" s="8"/>
      <c r="J36312" s="8"/>
    </row>
    <row r="36313">
      <c r="C36313" s="15"/>
      <c r="E36313" s="8"/>
      <c r="G36313" s="8"/>
      <c r="J36313" s="8"/>
    </row>
    <row r="36314">
      <c r="C36314" s="15"/>
      <c r="E36314" s="8"/>
      <c r="G36314" s="8"/>
      <c r="J36314" s="8"/>
    </row>
    <row r="36315">
      <c r="C36315" s="15"/>
      <c r="E36315" s="8"/>
      <c r="G36315" s="8"/>
      <c r="J36315" s="8"/>
    </row>
    <row r="36316">
      <c r="C36316" s="15"/>
      <c r="E36316" s="8"/>
      <c r="G36316" s="8"/>
      <c r="J36316" s="8"/>
    </row>
    <row r="36317">
      <c r="C36317" s="15"/>
      <c r="E36317" s="8"/>
      <c r="G36317" s="8"/>
      <c r="J36317" s="8"/>
    </row>
    <row r="36318">
      <c r="C36318" s="15"/>
      <c r="E36318" s="8"/>
      <c r="G36318" s="8"/>
      <c r="J36318" s="8"/>
    </row>
    <row r="36319">
      <c r="C36319" s="15"/>
      <c r="E36319" s="8"/>
      <c r="G36319" s="8"/>
      <c r="J36319" s="8"/>
    </row>
    <row r="36320">
      <c r="C36320" s="15"/>
      <c r="E36320" s="8"/>
      <c r="G36320" s="8"/>
      <c r="J36320" s="8"/>
    </row>
    <row r="36321">
      <c r="C36321" s="15"/>
      <c r="E36321" s="8"/>
      <c r="G36321" s="8"/>
      <c r="J36321" s="8"/>
    </row>
    <row r="36322">
      <c r="C36322" s="15"/>
      <c r="E36322" s="8"/>
      <c r="G36322" s="8"/>
      <c r="J36322" s="8"/>
    </row>
    <row r="36323">
      <c r="C36323" s="15"/>
      <c r="E36323" s="8"/>
      <c r="G36323" s="8"/>
      <c r="J36323" s="8"/>
    </row>
    <row r="36324">
      <c r="C36324" s="15"/>
      <c r="E36324" s="8"/>
      <c r="G36324" s="8"/>
      <c r="J36324" s="8"/>
    </row>
    <row r="36325">
      <c r="C36325" s="15"/>
      <c r="E36325" s="8"/>
      <c r="G36325" s="8"/>
      <c r="J36325" s="8"/>
    </row>
    <row r="36326">
      <c r="C36326" s="15"/>
      <c r="E36326" s="8"/>
      <c r="G36326" s="8"/>
      <c r="J36326" s="8"/>
    </row>
    <row r="36327">
      <c r="C36327" s="15"/>
      <c r="E36327" s="8"/>
      <c r="G36327" s="8"/>
      <c r="J36327" s="8"/>
    </row>
    <row r="36328">
      <c r="C36328" s="15"/>
      <c r="E36328" s="8"/>
      <c r="G36328" s="8"/>
      <c r="J36328" s="8"/>
    </row>
    <row r="36329">
      <c r="C36329" s="15"/>
      <c r="E36329" s="8"/>
      <c r="G36329" s="8"/>
      <c r="J36329" s="8"/>
    </row>
    <row r="36330">
      <c r="C36330" s="15"/>
      <c r="E36330" s="8"/>
      <c r="G36330" s="8"/>
      <c r="J36330" s="8"/>
    </row>
    <row r="36331">
      <c r="C36331" s="15"/>
      <c r="E36331" s="8"/>
      <c r="G36331" s="8"/>
      <c r="J36331" s="8"/>
    </row>
    <row r="36332">
      <c r="C36332" s="15"/>
      <c r="E36332" s="8"/>
      <c r="G36332" s="8"/>
      <c r="J36332" s="8"/>
    </row>
    <row r="36333">
      <c r="C36333" s="15"/>
      <c r="E36333" s="8"/>
      <c r="G36333" s="8"/>
      <c r="J36333" s="8"/>
    </row>
    <row r="36334">
      <c r="C36334" s="15"/>
      <c r="E36334" s="8"/>
      <c r="G36334" s="8"/>
      <c r="J36334" s="8"/>
    </row>
    <row r="36335">
      <c r="C36335" s="15"/>
      <c r="E36335" s="8"/>
      <c r="G36335" s="8"/>
      <c r="J36335" s="8"/>
    </row>
    <row r="36336">
      <c r="C36336" s="15"/>
      <c r="E36336" s="8"/>
      <c r="G36336" s="8"/>
      <c r="J36336" s="8"/>
    </row>
    <row r="36337">
      <c r="C36337" s="15"/>
      <c r="E36337" s="8"/>
      <c r="G36337" s="8"/>
      <c r="J36337" s="8"/>
    </row>
    <row r="36338">
      <c r="C36338" s="15"/>
      <c r="E36338" s="8"/>
      <c r="G36338" s="8"/>
      <c r="J36338" s="8"/>
    </row>
    <row r="36339">
      <c r="C36339" s="15"/>
      <c r="E36339" s="8"/>
      <c r="G36339" s="8"/>
      <c r="J36339" s="8"/>
    </row>
    <row r="36340">
      <c r="C36340" s="15"/>
      <c r="E36340" s="8"/>
      <c r="G36340" s="8"/>
      <c r="J36340" s="8"/>
    </row>
    <row r="36341">
      <c r="C36341" s="15"/>
      <c r="E36341" s="8"/>
      <c r="G36341" s="8"/>
      <c r="J36341" s="8"/>
    </row>
    <row r="36342">
      <c r="C36342" s="15"/>
      <c r="E36342" s="8"/>
      <c r="G36342" s="8"/>
      <c r="J36342" s="8"/>
    </row>
    <row r="36343">
      <c r="C36343" s="15"/>
      <c r="E36343" s="8"/>
      <c r="G36343" s="8"/>
      <c r="J36343" s="8"/>
    </row>
    <row r="36344">
      <c r="C36344" s="15"/>
      <c r="E36344" s="8"/>
      <c r="G36344" s="8"/>
      <c r="J36344" s="8"/>
    </row>
    <row r="36345">
      <c r="C36345" s="15"/>
      <c r="E36345" s="8"/>
      <c r="G36345" s="8"/>
      <c r="J36345" s="8"/>
    </row>
    <row r="36346">
      <c r="C36346" s="15"/>
      <c r="E36346" s="8"/>
      <c r="G36346" s="8"/>
      <c r="J36346" s="8"/>
    </row>
    <row r="36347">
      <c r="C36347" s="15"/>
      <c r="E36347" s="8"/>
      <c r="G36347" s="8"/>
      <c r="J36347" s="8"/>
    </row>
    <row r="36348">
      <c r="C36348" s="15"/>
      <c r="E36348" s="8"/>
      <c r="G36348" s="8"/>
      <c r="J36348" s="8"/>
    </row>
    <row r="36349">
      <c r="C36349" s="15"/>
      <c r="E36349" s="8"/>
      <c r="G36349" s="8"/>
      <c r="J36349" s="8"/>
    </row>
    <row r="36350">
      <c r="C36350" s="15"/>
      <c r="E36350" s="8"/>
      <c r="G36350" s="8"/>
      <c r="J36350" s="8"/>
    </row>
    <row r="36351">
      <c r="C36351" s="15"/>
      <c r="E36351" s="8"/>
      <c r="G36351" s="8"/>
      <c r="J36351" s="8"/>
    </row>
    <row r="36352">
      <c r="C36352" s="15"/>
      <c r="E36352" s="8"/>
      <c r="G36352" s="8"/>
      <c r="J36352" s="8"/>
    </row>
    <row r="36353">
      <c r="C36353" s="15"/>
      <c r="E36353" s="8"/>
      <c r="G36353" s="8"/>
      <c r="J36353" s="8"/>
    </row>
    <row r="36354">
      <c r="C36354" s="15"/>
      <c r="E36354" s="8"/>
      <c r="G36354" s="8"/>
      <c r="J36354" s="8"/>
    </row>
    <row r="36355">
      <c r="C36355" s="15"/>
      <c r="E36355" s="8"/>
      <c r="G36355" s="8"/>
      <c r="J36355" s="8"/>
    </row>
    <row r="36356">
      <c r="C36356" s="15"/>
      <c r="E36356" s="8"/>
      <c r="G36356" s="8"/>
      <c r="J36356" s="8"/>
    </row>
    <row r="36357">
      <c r="C36357" s="15"/>
      <c r="E36357" s="8"/>
      <c r="G36357" s="8"/>
      <c r="J36357" s="8"/>
    </row>
    <row r="36358">
      <c r="C36358" s="15"/>
      <c r="E36358" s="8"/>
      <c r="G36358" s="8"/>
      <c r="J36358" s="8"/>
    </row>
    <row r="36359">
      <c r="C36359" s="15"/>
      <c r="E36359" s="8"/>
      <c r="G36359" s="8"/>
      <c r="J36359" s="8"/>
    </row>
    <row r="36360">
      <c r="C36360" s="15"/>
      <c r="E36360" s="8"/>
      <c r="G36360" s="8"/>
      <c r="J36360" s="8"/>
    </row>
    <row r="36361">
      <c r="C36361" s="15"/>
      <c r="E36361" s="8"/>
      <c r="G36361" s="8"/>
      <c r="J36361" s="8"/>
    </row>
    <row r="36362">
      <c r="C36362" s="15"/>
      <c r="E36362" s="8"/>
      <c r="G36362" s="8"/>
      <c r="J36362" s="8"/>
    </row>
    <row r="36363">
      <c r="C36363" s="15"/>
      <c r="E36363" s="8"/>
      <c r="G36363" s="8"/>
      <c r="J36363" s="8"/>
    </row>
    <row r="36364">
      <c r="C36364" s="15"/>
      <c r="E36364" s="8"/>
      <c r="G36364" s="8"/>
      <c r="J36364" s="8"/>
    </row>
    <row r="36365">
      <c r="C36365" s="15"/>
      <c r="E36365" s="8"/>
      <c r="G36365" s="8"/>
      <c r="J36365" s="8"/>
    </row>
    <row r="36366">
      <c r="C36366" s="15"/>
      <c r="E36366" s="8"/>
      <c r="G36366" s="8"/>
      <c r="J36366" s="8"/>
    </row>
    <row r="36367">
      <c r="C36367" s="15"/>
      <c r="E36367" s="8"/>
      <c r="G36367" s="8"/>
      <c r="J36367" s="8"/>
    </row>
    <row r="36368">
      <c r="C36368" s="15"/>
      <c r="E36368" s="8"/>
      <c r="G36368" s="8"/>
      <c r="J36368" s="8"/>
    </row>
    <row r="36369">
      <c r="C36369" s="15"/>
      <c r="E36369" s="8"/>
      <c r="G36369" s="8"/>
      <c r="J36369" s="8"/>
    </row>
    <row r="36370">
      <c r="C36370" s="15"/>
      <c r="E36370" s="8"/>
      <c r="G36370" s="8"/>
      <c r="J36370" s="8"/>
    </row>
    <row r="36371">
      <c r="C36371" s="15"/>
      <c r="E36371" s="8"/>
      <c r="G36371" s="8"/>
      <c r="J36371" s="8"/>
    </row>
    <row r="36372">
      <c r="C36372" s="15"/>
      <c r="E36372" s="8"/>
      <c r="G36372" s="8"/>
      <c r="J36372" s="8"/>
    </row>
    <row r="36373">
      <c r="C36373" s="15"/>
      <c r="E36373" s="8"/>
      <c r="G36373" s="8"/>
      <c r="J36373" s="8"/>
    </row>
    <row r="36374">
      <c r="C36374" s="15"/>
      <c r="E36374" s="8"/>
      <c r="G36374" s="8"/>
      <c r="J36374" s="8"/>
    </row>
    <row r="36375">
      <c r="C36375" s="15"/>
      <c r="E36375" s="8"/>
      <c r="G36375" s="8"/>
      <c r="J36375" s="8"/>
    </row>
    <row r="36376">
      <c r="C36376" s="15"/>
      <c r="E36376" s="8"/>
      <c r="G36376" s="8"/>
      <c r="J36376" s="8"/>
    </row>
    <row r="36377">
      <c r="C36377" s="15"/>
      <c r="E36377" s="8"/>
      <c r="G36377" s="8"/>
      <c r="J36377" s="8"/>
    </row>
    <row r="36378">
      <c r="C36378" s="15"/>
      <c r="E36378" s="8"/>
      <c r="G36378" s="8"/>
      <c r="J36378" s="8"/>
    </row>
    <row r="36379">
      <c r="C36379" s="15"/>
      <c r="E36379" s="8"/>
      <c r="G36379" s="8"/>
      <c r="J36379" s="8"/>
    </row>
    <row r="36380">
      <c r="C36380" s="15"/>
      <c r="E36380" s="8"/>
      <c r="G36380" s="8"/>
      <c r="J36380" s="8"/>
    </row>
    <row r="36381">
      <c r="C36381" s="15"/>
      <c r="E36381" s="8"/>
      <c r="G36381" s="8"/>
      <c r="J36381" s="8"/>
    </row>
    <row r="36382">
      <c r="C36382" s="15"/>
      <c r="E36382" s="8"/>
      <c r="G36382" s="8"/>
      <c r="J36382" s="8"/>
    </row>
    <row r="36383">
      <c r="C36383" s="15"/>
      <c r="E36383" s="8"/>
      <c r="G36383" s="8"/>
      <c r="J36383" s="8"/>
    </row>
    <row r="36384">
      <c r="C36384" s="15"/>
      <c r="E36384" s="8"/>
      <c r="G36384" s="8"/>
      <c r="J36384" s="8"/>
    </row>
    <row r="36385">
      <c r="C36385" s="15"/>
      <c r="E36385" s="8"/>
      <c r="G36385" s="8"/>
      <c r="J36385" s="8"/>
    </row>
    <row r="36386">
      <c r="C36386" s="15"/>
      <c r="E36386" s="8"/>
      <c r="G36386" s="8"/>
      <c r="J36386" s="8"/>
    </row>
    <row r="36387">
      <c r="C36387" s="15"/>
      <c r="E36387" s="8"/>
      <c r="G36387" s="8"/>
      <c r="J36387" s="8"/>
    </row>
    <row r="36388">
      <c r="C36388" s="15"/>
      <c r="E36388" s="8"/>
      <c r="G36388" s="8"/>
      <c r="J36388" s="8"/>
    </row>
    <row r="36389">
      <c r="C36389" s="15"/>
      <c r="E36389" s="8"/>
      <c r="G36389" s="8"/>
      <c r="J36389" s="8"/>
    </row>
    <row r="36390">
      <c r="C36390" s="15"/>
      <c r="E36390" s="8"/>
      <c r="G36390" s="8"/>
      <c r="J36390" s="8"/>
    </row>
    <row r="36391">
      <c r="C36391" s="15"/>
      <c r="E36391" s="8"/>
      <c r="G36391" s="8"/>
      <c r="J36391" s="8"/>
    </row>
    <row r="36392">
      <c r="C36392" s="15"/>
      <c r="E36392" s="8"/>
      <c r="G36392" s="8"/>
      <c r="J36392" s="8"/>
    </row>
    <row r="36393">
      <c r="C36393" s="15"/>
      <c r="E36393" s="8"/>
      <c r="G36393" s="8"/>
      <c r="J36393" s="8"/>
    </row>
    <row r="36394">
      <c r="C36394" s="15"/>
      <c r="E36394" s="8"/>
      <c r="G36394" s="8"/>
      <c r="J36394" s="8"/>
    </row>
    <row r="36395">
      <c r="C36395" s="15"/>
      <c r="E36395" s="8"/>
      <c r="G36395" s="8"/>
      <c r="J36395" s="8"/>
    </row>
    <row r="36396">
      <c r="C36396" s="15"/>
      <c r="E36396" s="8"/>
      <c r="G36396" s="8"/>
      <c r="J36396" s="8"/>
    </row>
    <row r="36397">
      <c r="C36397" s="15"/>
      <c r="E36397" s="8"/>
      <c r="G36397" s="8"/>
      <c r="J36397" s="8"/>
    </row>
    <row r="36398">
      <c r="C36398" s="15"/>
      <c r="E36398" s="8"/>
      <c r="G36398" s="8"/>
      <c r="J36398" s="8"/>
    </row>
    <row r="36399">
      <c r="C36399" s="15"/>
      <c r="E36399" s="8"/>
      <c r="G36399" s="8"/>
      <c r="J36399" s="8"/>
    </row>
    <row r="36400">
      <c r="C36400" s="15"/>
      <c r="E36400" s="8"/>
      <c r="G36400" s="8"/>
      <c r="J36400" s="8"/>
    </row>
    <row r="36401">
      <c r="C36401" s="15"/>
      <c r="E36401" s="8"/>
      <c r="G36401" s="8"/>
      <c r="J36401" s="8"/>
    </row>
    <row r="36402">
      <c r="C36402" s="15"/>
      <c r="E36402" s="8"/>
      <c r="G36402" s="8"/>
      <c r="J36402" s="8"/>
    </row>
    <row r="36403">
      <c r="C36403" s="15"/>
      <c r="E36403" s="8"/>
      <c r="G36403" s="8"/>
      <c r="J36403" s="8"/>
    </row>
    <row r="36404">
      <c r="C36404" s="15"/>
      <c r="E36404" s="8"/>
      <c r="G36404" s="8"/>
      <c r="J36404" s="8"/>
    </row>
    <row r="36405">
      <c r="C36405" s="15"/>
      <c r="E36405" s="8"/>
      <c r="G36405" s="8"/>
      <c r="J36405" s="8"/>
    </row>
    <row r="36406">
      <c r="C36406" s="15"/>
      <c r="E36406" s="8"/>
      <c r="G36406" s="8"/>
      <c r="J36406" s="8"/>
    </row>
    <row r="36407">
      <c r="C36407" s="15"/>
      <c r="E36407" s="8"/>
      <c r="G36407" s="8"/>
      <c r="J36407" s="8"/>
    </row>
    <row r="36408">
      <c r="C36408" s="15"/>
      <c r="E36408" s="8"/>
      <c r="G36408" s="8"/>
      <c r="J36408" s="8"/>
    </row>
    <row r="36409">
      <c r="C36409" s="15"/>
      <c r="E36409" s="8"/>
      <c r="G36409" s="8"/>
      <c r="J36409" s="8"/>
    </row>
    <row r="36410">
      <c r="C36410" s="15"/>
      <c r="E36410" s="8"/>
      <c r="G36410" s="8"/>
      <c r="J36410" s="8"/>
    </row>
    <row r="36411">
      <c r="C36411" s="15"/>
      <c r="E36411" s="8"/>
      <c r="G36411" s="8"/>
      <c r="J36411" s="8"/>
    </row>
    <row r="36412">
      <c r="C36412" s="15"/>
      <c r="E36412" s="8"/>
      <c r="G36412" s="8"/>
      <c r="J36412" s="8"/>
    </row>
    <row r="36413">
      <c r="C36413" s="15"/>
      <c r="E36413" s="8"/>
      <c r="G36413" s="8"/>
      <c r="J36413" s="8"/>
    </row>
    <row r="36414">
      <c r="C36414" s="15"/>
      <c r="E36414" s="8"/>
      <c r="G36414" s="8"/>
      <c r="J36414" s="8"/>
    </row>
    <row r="36415">
      <c r="C36415" s="15"/>
      <c r="E36415" s="8"/>
      <c r="G36415" s="8"/>
      <c r="J36415" s="8"/>
    </row>
    <row r="36416">
      <c r="C36416" s="15"/>
      <c r="E36416" s="8"/>
      <c r="G36416" s="8"/>
      <c r="J36416" s="8"/>
    </row>
    <row r="36417">
      <c r="C36417" s="15"/>
      <c r="E36417" s="8"/>
      <c r="G36417" s="8"/>
      <c r="J36417" s="8"/>
    </row>
    <row r="36418">
      <c r="C36418" s="15"/>
      <c r="E36418" s="8"/>
      <c r="G36418" s="8"/>
      <c r="J36418" s="8"/>
    </row>
    <row r="36419">
      <c r="C36419" s="15"/>
      <c r="E36419" s="8"/>
      <c r="G36419" s="8"/>
      <c r="J36419" s="8"/>
    </row>
    <row r="36420">
      <c r="C36420" s="15"/>
      <c r="E36420" s="8"/>
      <c r="G36420" s="8"/>
      <c r="J36420" s="8"/>
    </row>
    <row r="36421">
      <c r="C36421" s="15"/>
      <c r="E36421" s="8"/>
      <c r="G36421" s="8"/>
      <c r="J36421" s="8"/>
    </row>
    <row r="36422">
      <c r="C36422" s="15"/>
      <c r="E36422" s="8"/>
      <c r="G36422" s="8"/>
      <c r="J36422" s="8"/>
    </row>
    <row r="36423">
      <c r="C36423" s="15"/>
      <c r="E36423" s="8"/>
      <c r="G36423" s="8"/>
      <c r="J36423" s="8"/>
    </row>
    <row r="36424">
      <c r="C36424" s="15"/>
      <c r="E36424" s="8"/>
      <c r="G36424" s="8"/>
      <c r="J36424" s="8"/>
    </row>
    <row r="36425">
      <c r="C36425" s="15"/>
      <c r="E36425" s="8"/>
      <c r="G36425" s="8"/>
      <c r="J36425" s="8"/>
    </row>
    <row r="36426">
      <c r="C36426" s="15"/>
      <c r="E36426" s="8"/>
      <c r="G36426" s="8"/>
      <c r="J36426" s="8"/>
    </row>
    <row r="36427">
      <c r="C36427" s="15"/>
      <c r="E36427" s="8"/>
      <c r="G36427" s="8"/>
      <c r="J36427" s="8"/>
    </row>
    <row r="36428">
      <c r="C36428" s="15"/>
      <c r="E36428" s="8"/>
      <c r="G36428" s="8"/>
      <c r="J36428" s="8"/>
    </row>
    <row r="36429">
      <c r="C36429" s="15"/>
      <c r="E36429" s="8"/>
      <c r="G36429" s="8"/>
      <c r="J36429" s="8"/>
    </row>
    <row r="36430">
      <c r="C36430" s="15"/>
      <c r="E36430" s="8"/>
      <c r="G36430" s="8"/>
      <c r="J36430" s="8"/>
    </row>
    <row r="36431">
      <c r="C36431" s="15"/>
      <c r="E36431" s="8"/>
      <c r="G36431" s="8"/>
      <c r="J36431" s="8"/>
    </row>
    <row r="36432">
      <c r="C36432" s="15"/>
      <c r="E36432" s="8"/>
      <c r="G36432" s="8"/>
      <c r="J36432" s="8"/>
    </row>
    <row r="36433">
      <c r="C36433" s="15"/>
      <c r="E36433" s="8"/>
      <c r="G36433" s="8"/>
      <c r="J36433" s="8"/>
    </row>
    <row r="36434">
      <c r="C36434" s="15"/>
      <c r="E36434" s="8"/>
      <c r="G36434" s="8"/>
      <c r="J36434" s="8"/>
    </row>
    <row r="36435">
      <c r="C36435" s="15"/>
      <c r="E36435" s="8"/>
      <c r="G36435" s="8"/>
      <c r="J36435" s="8"/>
    </row>
    <row r="36436">
      <c r="C36436" s="15"/>
      <c r="E36436" s="8"/>
      <c r="G36436" s="8"/>
      <c r="J36436" s="8"/>
    </row>
    <row r="36437">
      <c r="C36437" s="15"/>
      <c r="E36437" s="8"/>
      <c r="G36437" s="8"/>
      <c r="J36437" s="8"/>
    </row>
    <row r="36438">
      <c r="C36438" s="15"/>
      <c r="E36438" s="8"/>
      <c r="G36438" s="8"/>
      <c r="J36438" s="8"/>
    </row>
    <row r="36439">
      <c r="C36439" s="15"/>
      <c r="E36439" s="8"/>
      <c r="G36439" s="8"/>
      <c r="J36439" s="8"/>
    </row>
    <row r="36440">
      <c r="C36440" s="15"/>
      <c r="E36440" s="8"/>
      <c r="G36440" s="8"/>
      <c r="J36440" s="8"/>
    </row>
    <row r="36441">
      <c r="C36441" s="15"/>
      <c r="E36441" s="8"/>
      <c r="G36441" s="8"/>
      <c r="J36441" s="8"/>
    </row>
    <row r="36442">
      <c r="C36442" s="15"/>
      <c r="E36442" s="8"/>
      <c r="G36442" s="8"/>
      <c r="J36442" s="8"/>
    </row>
    <row r="36443">
      <c r="C36443" s="15"/>
      <c r="E36443" s="8"/>
      <c r="G36443" s="8"/>
      <c r="J36443" s="8"/>
    </row>
    <row r="36444">
      <c r="C36444" s="15"/>
      <c r="E36444" s="8"/>
      <c r="G36444" s="8"/>
      <c r="J36444" s="8"/>
    </row>
    <row r="36445">
      <c r="C36445" s="15"/>
      <c r="E36445" s="8"/>
      <c r="G36445" s="8"/>
      <c r="J36445" s="8"/>
    </row>
    <row r="36446">
      <c r="C36446" s="15"/>
      <c r="E36446" s="8"/>
      <c r="G36446" s="8"/>
      <c r="J36446" s="8"/>
    </row>
    <row r="36447">
      <c r="C36447" s="15"/>
      <c r="E36447" s="8"/>
      <c r="G36447" s="8"/>
      <c r="J36447" s="8"/>
    </row>
    <row r="36448">
      <c r="C36448" s="15"/>
      <c r="E36448" s="8"/>
      <c r="G36448" s="8"/>
      <c r="J36448" s="8"/>
    </row>
    <row r="36449">
      <c r="C36449" s="15"/>
      <c r="E36449" s="8"/>
      <c r="G36449" s="8"/>
      <c r="J36449" s="8"/>
    </row>
    <row r="36450">
      <c r="C36450" s="15"/>
      <c r="E36450" s="8"/>
      <c r="G36450" s="8"/>
      <c r="J36450" s="8"/>
    </row>
    <row r="36451">
      <c r="C36451" s="15"/>
      <c r="E36451" s="8"/>
      <c r="G36451" s="8"/>
      <c r="J36451" s="8"/>
    </row>
    <row r="36452">
      <c r="C36452" s="15"/>
      <c r="E36452" s="8"/>
      <c r="G36452" s="8"/>
      <c r="J36452" s="8"/>
    </row>
    <row r="36453">
      <c r="C36453" s="15"/>
      <c r="E36453" s="8"/>
      <c r="G36453" s="8"/>
      <c r="J36453" s="8"/>
    </row>
    <row r="36454">
      <c r="C36454" s="15"/>
      <c r="E36454" s="8"/>
      <c r="G36454" s="8"/>
      <c r="J36454" s="8"/>
    </row>
    <row r="36455">
      <c r="C36455" s="15"/>
      <c r="E36455" s="8"/>
      <c r="G36455" s="8"/>
      <c r="J36455" s="8"/>
    </row>
    <row r="36456">
      <c r="C36456" s="15"/>
      <c r="E36456" s="8"/>
      <c r="G36456" s="8"/>
      <c r="J36456" s="8"/>
    </row>
    <row r="36457">
      <c r="C36457" s="15"/>
      <c r="E36457" s="8"/>
      <c r="G36457" s="8"/>
      <c r="J36457" s="8"/>
    </row>
    <row r="36458">
      <c r="C36458" s="15"/>
      <c r="E36458" s="8"/>
      <c r="G36458" s="8"/>
      <c r="J36458" s="8"/>
    </row>
    <row r="36459">
      <c r="C36459" s="15"/>
      <c r="E36459" s="8"/>
      <c r="G36459" s="8"/>
      <c r="J36459" s="8"/>
    </row>
    <row r="36460">
      <c r="C36460" s="15"/>
      <c r="E36460" s="8"/>
      <c r="G36460" s="8"/>
      <c r="J36460" s="8"/>
    </row>
    <row r="36461">
      <c r="C36461" s="15"/>
      <c r="E36461" s="8"/>
      <c r="G36461" s="8"/>
      <c r="J36461" s="8"/>
    </row>
    <row r="36462">
      <c r="C36462" s="15"/>
      <c r="E36462" s="8"/>
      <c r="G36462" s="8"/>
      <c r="J36462" s="8"/>
    </row>
    <row r="36463">
      <c r="C36463" s="15"/>
      <c r="E36463" s="8"/>
      <c r="G36463" s="8"/>
      <c r="J36463" s="8"/>
    </row>
    <row r="36464">
      <c r="C36464" s="15"/>
      <c r="E36464" s="8"/>
      <c r="G36464" s="8"/>
      <c r="J36464" s="8"/>
    </row>
    <row r="36465">
      <c r="C36465" s="15"/>
      <c r="E36465" s="8"/>
      <c r="G36465" s="8"/>
      <c r="J36465" s="8"/>
    </row>
    <row r="36466">
      <c r="C36466" s="15"/>
      <c r="E36466" s="8"/>
      <c r="G36466" s="8"/>
      <c r="J36466" s="8"/>
    </row>
    <row r="36467">
      <c r="C36467" s="15"/>
      <c r="E36467" s="8"/>
      <c r="G36467" s="8"/>
      <c r="J36467" s="8"/>
    </row>
    <row r="36468">
      <c r="C36468" s="15"/>
      <c r="E36468" s="8"/>
      <c r="G36468" s="8"/>
      <c r="J36468" s="8"/>
    </row>
    <row r="36469">
      <c r="C36469" s="15"/>
      <c r="E36469" s="8"/>
      <c r="G36469" s="8"/>
      <c r="J36469" s="8"/>
    </row>
    <row r="36470">
      <c r="C36470" s="15"/>
      <c r="E36470" s="8"/>
      <c r="G36470" s="8"/>
      <c r="J36470" s="8"/>
    </row>
    <row r="36471">
      <c r="C36471" s="15"/>
      <c r="E36471" s="8"/>
      <c r="G36471" s="8"/>
      <c r="J36471" s="8"/>
    </row>
    <row r="36472">
      <c r="C36472" s="15"/>
      <c r="E36472" s="8"/>
      <c r="G36472" s="8"/>
      <c r="J36472" s="8"/>
    </row>
    <row r="36473">
      <c r="C36473" s="15"/>
      <c r="E36473" s="8"/>
      <c r="G36473" s="8"/>
      <c r="J36473" s="8"/>
    </row>
    <row r="36474">
      <c r="C36474" s="15"/>
      <c r="E36474" s="8"/>
      <c r="G36474" s="8"/>
      <c r="J36474" s="8"/>
    </row>
    <row r="36475">
      <c r="C36475" s="15"/>
      <c r="E36475" s="8"/>
      <c r="G36475" s="8"/>
      <c r="J36475" s="8"/>
    </row>
    <row r="36476">
      <c r="C36476" s="15"/>
      <c r="E36476" s="8"/>
      <c r="G36476" s="8"/>
      <c r="J36476" s="8"/>
    </row>
    <row r="36477">
      <c r="C36477" s="15"/>
      <c r="E36477" s="8"/>
      <c r="G36477" s="8"/>
      <c r="J36477" s="8"/>
    </row>
    <row r="36478">
      <c r="C36478" s="15"/>
      <c r="E36478" s="8"/>
      <c r="G36478" s="8"/>
      <c r="J36478" s="8"/>
    </row>
    <row r="36479">
      <c r="C36479" s="15"/>
      <c r="E36479" s="8"/>
      <c r="G36479" s="8"/>
      <c r="J36479" s="8"/>
    </row>
    <row r="36480">
      <c r="C36480" s="15"/>
      <c r="E36480" s="8"/>
      <c r="G36480" s="8"/>
      <c r="J36480" s="8"/>
    </row>
    <row r="36481">
      <c r="C36481" s="15"/>
      <c r="E36481" s="8"/>
      <c r="G36481" s="8"/>
      <c r="J36481" s="8"/>
    </row>
    <row r="36482">
      <c r="C36482" s="15"/>
      <c r="E36482" s="8"/>
      <c r="G36482" s="8"/>
      <c r="J36482" s="8"/>
    </row>
    <row r="36483">
      <c r="C36483" s="15"/>
      <c r="E36483" s="8"/>
      <c r="G36483" s="8"/>
      <c r="J36483" s="8"/>
    </row>
    <row r="36484">
      <c r="C36484" s="15"/>
      <c r="E36484" s="8"/>
      <c r="G36484" s="8"/>
      <c r="J36484" s="8"/>
    </row>
    <row r="36485">
      <c r="C36485" s="15"/>
      <c r="E36485" s="8"/>
      <c r="G36485" s="8"/>
      <c r="J36485" s="8"/>
    </row>
    <row r="36486">
      <c r="C36486" s="15"/>
      <c r="E36486" s="8"/>
      <c r="G36486" s="8"/>
      <c r="J36486" s="8"/>
    </row>
    <row r="36487">
      <c r="C36487" s="15"/>
      <c r="E36487" s="8"/>
      <c r="G36487" s="8"/>
      <c r="J36487" s="8"/>
    </row>
    <row r="36488">
      <c r="C36488" s="15"/>
      <c r="E36488" s="8"/>
      <c r="G36488" s="8"/>
      <c r="J36488" s="8"/>
    </row>
    <row r="36489">
      <c r="C36489" s="15"/>
      <c r="E36489" s="8"/>
      <c r="G36489" s="8"/>
      <c r="J36489" s="8"/>
    </row>
    <row r="36490">
      <c r="C36490" s="15"/>
      <c r="E36490" s="8"/>
      <c r="G36490" s="8"/>
      <c r="J36490" s="8"/>
    </row>
    <row r="36491">
      <c r="C36491" s="15"/>
      <c r="E36491" s="8"/>
      <c r="G36491" s="8"/>
      <c r="J36491" s="8"/>
    </row>
    <row r="36492">
      <c r="C36492" s="15"/>
      <c r="E36492" s="8"/>
      <c r="G36492" s="8"/>
      <c r="J36492" s="8"/>
    </row>
    <row r="36493">
      <c r="C36493" s="15"/>
      <c r="E36493" s="8"/>
      <c r="G36493" s="8"/>
      <c r="J36493" s="8"/>
    </row>
    <row r="36494">
      <c r="C36494" s="15"/>
      <c r="E36494" s="8"/>
      <c r="G36494" s="8"/>
      <c r="J36494" s="8"/>
    </row>
    <row r="36495">
      <c r="C36495" s="15"/>
      <c r="E36495" s="8"/>
      <c r="G36495" s="8"/>
      <c r="J36495" s="8"/>
    </row>
    <row r="36496">
      <c r="C36496" s="15"/>
      <c r="E36496" s="8"/>
      <c r="G36496" s="8"/>
      <c r="J36496" s="8"/>
    </row>
    <row r="36497">
      <c r="C36497" s="15"/>
      <c r="E36497" s="8"/>
      <c r="G36497" s="8"/>
      <c r="J36497" s="8"/>
    </row>
    <row r="36498">
      <c r="C36498" s="15"/>
      <c r="E36498" s="8"/>
      <c r="G36498" s="8"/>
      <c r="J36498" s="8"/>
    </row>
    <row r="36499">
      <c r="C36499" s="15"/>
      <c r="E36499" s="8"/>
      <c r="G36499" s="8"/>
      <c r="J36499" s="8"/>
    </row>
    <row r="36500">
      <c r="C36500" s="15"/>
      <c r="E36500" s="8"/>
      <c r="G36500" s="8"/>
      <c r="J36500" s="8"/>
    </row>
    <row r="36501">
      <c r="C36501" s="15"/>
      <c r="E36501" s="8"/>
      <c r="G36501" s="8"/>
      <c r="J36501" s="8"/>
    </row>
    <row r="36502">
      <c r="C36502" s="15"/>
      <c r="E36502" s="8"/>
      <c r="G36502" s="8"/>
      <c r="J36502" s="8"/>
    </row>
    <row r="36503">
      <c r="C36503" s="15"/>
      <c r="E36503" s="8"/>
      <c r="G36503" s="8"/>
      <c r="J36503" s="8"/>
    </row>
    <row r="36504">
      <c r="C36504" s="15"/>
      <c r="E36504" s="8"/>
      <c r="G36504" s="8"/>
      <c r="J36504" s="8"/>
    </row>
    <row r="36505">
      <c r="C36505" s="15"/>
      <c r="E36505" s="8"/>
      <c r="G36505" s="8"/>
      <c r="J36505" s="8"/>
    </row>
    <row r="36506">
      <c r="C36506" s="15"/>
      <c r="E36506" s="8"/>
      <c r="G36506" s="8"/>
      <c r="J36506" s="8"/>
    </row>
    <row r="36507">
      <c r="C36507" s="15"/>
      <c r="E36507" s="8"/>
      <c r="G36507" s="8"/>
      <c r="J36507" s="8"/>
    </row>
    <row r="36508">
      <c r="C36508" s="15"/>
      <c r="E36508" s="8"/>
      <c r="G36508" s="8"/>
      <c r="J36508" s="8"/>
    </row>
    <row r="36509">
      <c r="C36509" s="15"/>
      <c r="E36509" s="8"/>
      <c r="G36509" s="8"/>
      <c r="J36509" s="8"/>
    </row>
    <row r="36510">
      <c r="C36510" s="15"/>
      <c r="E36510" s="8"/>
      <c r="G36510" s="8"/>
      <c r="J36510" s="8"/>
    </row>
    <row r="36511">
      <c r="C36511" s="15"/>
      <c r="E36511" s="8"/>
      <c r="G36511" s="8"/>
      <c r="J36511" s="8"/>
    </row>
    <row r="36512">
      <c r="C36512" s="15"/>
      <c r="E36512" s="8"/>
      <c r="G36512" s="8"/>
      <c r="J36512" s="8"/>
    </row>
    <row r="36513">
      <c r="C36513" s="15"/>
      <c r="E36513" s="8"/>
      <c r="G36513" s="8"/>
      <c r="J36513" s="8"/>
    </row>
    <row r="36514">
      <c r="C36514" s="15"/>
      <c r="E36514" s="8"/>
      <c r="G36514" s="8"/>
      <c r="J36514" s="8"/>
    </row>
    <row r="36515">
      <c r="C36515" s="15"/>
      <c r="E36515" s="8"/>
      <c r="G36515" s="8"/>
      <c r="J36515" s="8"/>
    </row>
    <row r="36516">
      <c r="C36516" s="15"/>
      <c r="E36516" s="8"/>
      <c r="G36516" s="8"/>
      <c r="J36516" s="8"/>
    </row>
    <row r="36517">
      <c r="C36517" s="15"/>
      <c r="E36517" s="8"/>
      <c r="G36517" s="8"/>
      <c r="J36517" s="8"/>
    </row>
    <row r="36518">
      <c r="C36518" s="15"/>
      <c r="E36518" s="8"/>
      <c r="G36518" s="8"/>
      <c r="J36518" s="8"/>
    </row>
    <row r="36519">
      <c r="C36519" s="15"/>
      <c r="E36519" s="8"/>
      <c r="G36519" s="8"/>
      <c r="J36519" s="8"/>
    </row>
    <row r="36520">
      <c r="C36520" s="15"/>
      <c r="E36520" s="8"/>
      <c r="G36520" s="8"/>
      <c r="J36520" s="8"/>
    </row>
    <row r="36521">
      <c r="C36521" s="15"/>
      <c r="E36521" s="8"/>
      <c r="G36521" s="8"/>
      <c r="J36521" s="8"/>
    </row>
    <row r="36522">
      <c r="C36522" s="15"/>
      <c r="E36522" s="8"/>
      <c r="G36522" s="8"/>
      <c r="J36522" s="8"/>
    </row>
    <row r="36523">
      <c r="C36523" s="15"/>
      <c r="E36523" s="8"/>
      <c r="G36523" s="8"/>
      <c r="J36523" s="8"/>
    </row>
    <row r="36524">
      <c r="C36524" s="15"/>
      <c r="E36524" s="8"/>
      <c r="G36524" s="8"/>
      <c r="J36524" s="8"/>
    </row>
    <row r="36525">
      <c r="C36525" s="15"/>
      <c r="E36525" s="8"/>
      <c r="G36525" s="8"/>
      <c r="J36525" s="8"/>
    </row>
    <row r="36526">
      <c r="C36526" s="15"/>
      <c r="E36526" s="8"/>
      <c r="G36526" s="8"/>
      <c r="J36526" s="8"/>
    </row>
    <row r="36527">
      <c r="C36527" s="15"/>
      <c r="E36527" s="8"/>
      <c r="G36527" s="8"/>
      <c r="J36527" s="8"/>
    </row>
    <row r="36528">
      <c r="C36528" s="15"/>
      <c r="E36528" s="8"/>
      <c r="G36528" s="8"/>
      <c r="J36528" s="8"/>
    </row>
    <row r="36529">
      <c r="C36529" s="15"/>
      <c r="E36529" s="8"/>
      <c r="G36529" s="8"/>
      <c r="J36529" s="8"/>
    </row>
    <row r="36530">
      <c r="C36530" s="15"/>
      <c r="E36530" s="8"/>
      <c r="G36530" s="8"/>
      <c r="J36530" s="8"/>
    </row>
    <row r="36531">
      <c r="C36531" s="15"/>
      <c r="E36531" s="8"/>
      <c r="G36531" s="8"/>
      <c r="J36531" s="8"/>
    </row>
    <row r="36532">
      <c r="C36532" s="15"/>
      <c r="E36532" s="8"/>
      <c r="G36532" s="8"/>
      <c r="J36532" s="8"/>
    </row>
    <row r="36533">
      <c r="C36533" s="15"/>
      <c r="E36533" s="8"/>
      <c r="G36533" s="8"/>
      <c r="J36533" s="8"/>
    </row>
    <row r="36534">
      <c r="C36534" s="15"/>
      <c r="E36534" s="8"/>
      <c r="G36534" s="8"/>
      <c r="J36534" s="8"/>
    </row>
    <row r="36535">
      <c r="C36535" s="15"/>
      <c r="E36535" s="8"/>
      <c r="G36535" s="8"/>
      <c r="J36535" s="8"/>
    </row>
    <row r="36536">
      <c r="C36536" s="15"/>
      <c r="E36536" s="8"/>
      <c r="G36536" s="8"/>
      <c r="J36536" s="8"/>
    </row>
    <row r="36537">
      <c r="C36537" s="15"/>
      <c r="E36537" s="8"/>
      <c r="G36537" s="8"/>
      <c r="J36537" s="8"/>
    </row>
    <row r="36538">
      <c r="C36538" s="15"/>
      <c r="E36538" s="8"/>
      <c r="G36538" s="8"/>
      <c r="J36538" s="8"/>
    </row>
    <row r="36539">
      <c r="C36539" s="15"/>
      <c r="E36539" s="8"/>
      <c r="G36539" s="8"/>
      <c r="J36539" s="8"/>
    </row>
    <row r="36540">
      <c r="C36540" s="15"/>
      <c r="E36540" s="8"/>
      <c r="G36540" s="8"/>
      <c r="J36540" s="8"/>
    </row>
    <row r="36541">
      <c r="C36541" s="15"/>
      <c r="E36541" s="8"/>
      <c r="G36541" s="8"/>
      <c r="J36541" s="8"/>
    </row>
    <row r="36542">
      <c r="C36542" s="15"/>
      <c r="E36542" s="8"/>
      <c r="G36542" s="8"/>
      <c r="J36542" s="8"/>
    </row>
    <row r="36543">
      <c r="C36543" s="15"/>
      <c r="E36543" s="8"/>
      <c r="G36543" s="8"/>
      <c r="J36543" s="8"/>
    </row>
    <row r="36544">
      <c r="C36544" s="15"/>
      <c r="E36544" s="8"/>
      <c r="G36544" s="8"/>
      <c r="J36544" s="8"/>
    </row>
    <row r="36545">
      <c r="C36545" s="15"/>
      <c r="E36545" s="8"/>
      <c r="G36545" s="8"/>
      <c r="J36545" s="8"/>
    </row>
    <row r="36546">
      <c r="C36546" s="15"/>
      <c r="E36546" s="8"/>
      <c r="G36546" s="8"/>
      <c r="J36546" s="8"/>
    </row>
    <row r="36547">
      <c r="C36547" s="15"/>
      <c r="E36547" s="8"/>
      <c r="G36547" s="8"/>
      <c r="J36547" s="8"/>
    </row>
    <row r="36548">
      <c r="C36548" s="15"/>
      <c r="E36548" s="8"/>
      <c r="G36548" s="8"/>
      <c r="J36548" s="8"/>
    </row>
    <row r="36549">
      <c r="C36549" s="15"/>
      <c r="E36549" s="8"/>
      <c r="G36549" s="8"/>
      <c r="J36549" s="8"/>
    </row>
    <row r="36550">
      <c r="C36550" s="15"/>
      <c r="E36550" s="8"/>
      <c r="G36550" s="8"/>
      <c r="J36550" s="8"/>
    </row>
    <row r="36551">
      <c r="C36551" s="15"/>
      <c r="E36551" s="8"/>
      <c r="G36551" s="8"/>
      <c r="J36551" s="8"/>
    </row>
    <row r="36552">
      <c r="C36552" s="15"/>
      <c r="E36552" s="8"/>
      <c r="G36552" s="8"/>
      <c r="J36552" s="8"/>
    </row>
    <row r="36553">
      <c r="C36553" s="15"/>
      <c r="E36553" s="8"/>
      <c r="G36553" s="8"/>
      <c r="J36553" s="8"/>
    </row>
    <row r="36554">
      <c r="C36554" s="15"/>
      <c r="E36554" s="8"/>
      <c r="G36554" s="8"/>
      <c r="J36554" s="8"/>
    </row>
    <row r="36555">
      <c r="C36555" s="15"/>
      <c r="E36555" s="8"/>
      <c r="G36555" s="8"/>
      <c r="J36555" s="8"/>
    </row>
    <row r="36556">
      <c r="C36556" s="15"/>
      <c r="E36556" s="8"/>
      <c r="G36556" s="8"/>
      <c r="J36556" s="8"/>
    </row>
    <row r="36557">
      <c r="C36557" s="15"/>
      <c r="E36557" s="8"/>
      <c r="G36557" s="8"/>
      <c r="J36557" s="8"/>
    </row>
    <row r="36558">
      <c r="C36558" s="15"/>
      <c r="E36558" s="8"/>
      <c r="G36558" s="8"/>
      <c r="J36558" s="8"/>
    </row>
    <row r="36559">
      <c r="C36559" s="15"/>
      <c r="E36559" s="8"/>
      <c r="G36559" s="8"/>
      <c r="J36559" s="8"/>
    </row>
    <row r="36560">
      <c r="C36560" s="15"/>
      <c r="E36560" s="8"/>
      <c r="G36560" s="8"/>
      <c r="J36560" s="8"/>
    </row>
    <row r="36561">
      <c r="C36561" s="15"/>
      <c r="E36561" s="8"/>
      <c r="G36561" s="8"/>
      <c r="J36561" s="8"/>
    </row>
    <row r="36562">
      <c r="C36562" s="15"/>
      <c r="E36562" s="8"/>
      <c r="G36562" s="8"/>
      <c r="J36562" s="8"/>
    </row>
    <row r="36563">
      <c r="C36563" s="15"/>
      <c r="E36563" s="8"/>
      <c r="G36563" s="8"/>
      <c r="J36563" s="8"/>
    </row>
    <row r="36564">
      <c r="C36564" s="15"/>
      <c r="E36564" s="8"/>
      <c r="G36564" s="8"/>
      <c r="J36564" s="8"/>
    </row>
    <row r="36565">
      <c r="C36565" s="15"/>
      <c r="E36565" s="8"/>
      <c r="G36565" s="8"/>
      <c r="J36565" s="8"/>
    </row>
    <row r="36566">
      <c r="C36566" s="15"/>
      <c r="E36566" s="8"/>
      <c r="G36566" s="8"/>
      <c r="J36566" s="8"/>
    </row>
    <row r="36567">
      <c r="C36567" s="15"/>
      <c r="E36567" s="8"/>
      <c r="G36567" s="8"/>
      <c r="J36567" s="8"/>
    </row>
    <row r="36568">
      <c r="C36568" s="15"/>
      <c r="E36568" s="8"/>
      <c r="G36568" s="8"/>
      <c r="J36568" s="8"/>
    </row>
    <row r="36569">
      <c r="C36569" s="15"/>
      <c r="E36569" s="8"/>
      <c r="G36569" s="8"/>
      <c r="J36569" s="8"/>
    </row>
    <row r="36570">
      <c r="C36570" s="15"/>
      <c r="E36570" s="8"/>
      <c r="G36570" s="8"/>
      <c r="J36570" s="8"/>
    </row>
    <row r="36571">
      <c r="C36571" s="15"/>
      <c r="E36571" s="8"/>
      <c r="G36571" s="8"/>
      <c r="J36571" s="8"/>
    </row>
    <row r="36572">
      <c r="C36572" s="15"/>
      <c r="E36572" s="8"/>
      <c r="G36572" s="8"/>
      <c r="J36572" s="8"/>
    </row>
    <row r="36573">
      <c r="C36573" s="15"/>
      <c r="E36573" s="8"/>
      <c r="G36573" s="8"/>
      <c r="J36573" s="8"/>
    </row>
    <row r="36574">
      <c r="C36574" s="15"/>
      <c r="E36574" s="8"/>
      <c r="G36574" s="8"/>
      <c r="J36574" s="8"/>
    </row>
    <row r="36575">
      <c r="C36575" s="15"/>
      <c r="E36575" s="8"/>
      <c r="G36575" s="8"/>
      <c r="J36575" s="8"/>
    </row>
    <row r="36576">
      <c r="C36576" s="15"/>
      <c r="E36576" s="8"/>
      <c r="G36576" s="8"/>
      <c r="J36576" s="8"/>
    </row>
    <row r="36577">
      <c r="C36577" s="15"/>
      <c r="E36577" s="8"/>
      <c r="G36577" s="8"/>
      <c r="J36577" s="8"/>
    </row>
    <row r="36578">
      <c r="C36578" s="15"/>
      <c r="E36578" s="8"/>
      <c r="G36578" s="8"/>
      <c r="J36578" s="8"/>
    </row>
    <row r="36579">
      <c r="C36579" s="15"/>
      <c r="E36579" s="8"/>
      <c r="G36579" s="8"/>
      <c r="J36579" s="8"/>
    </row>
    <row r="36580">
      <c r="C36580" s="15"/>
      <c r="E36580" s="8"/>
      <c r="G36580" s="8"/>
      <c r="J36580" s="8"/>
    </row>
    <row r="36581">
      <c r="C36581" s="15"/>
      <c r="E36581" s="8"/>
      <c r="G36581" s="8"/>
      <c r="J36581" s="8"/>
    </row>
    <row r="36582">
      <c r="C36582" s="15"/>
      <c r="E36582" s="8"/>
      <c r="G36582" s="8"/>
      <c r="J36582" s="8"/>
    </row>
    <row r="36583">
      <c r="C36583" s="15"/>
      <c r="E36583" s="8"/>
      <c r="G36583" s="8"/>
      <c r="J36583" s="8"/>
    </row>
    <row r="36584">
      <c r="C36584" s="15"/>
      <c r="E36584" s="8"/>
      <c r="G36584" s="8"/>
      <c r="J36584" s="8"/>
    </row>
    <row r="36585">
      <c r="C36585" s="15"/>
      <c r="E36585" s="8"/>
      <c r="G36585" s="8"/>
      <c r="J36585" s="8"/>
    </row>
    <row r="36586">
      <c r="C36586" s="15"/>
      <c r="E36586" s="8"/>
      <c r="G36586" s="8"/>
      <c r="J36586" s="8"/>
    </row>
    <row r="36587">
      <c r="C36587" s="15"/>
      <c r="E36587" s="8"/>
      <c r="G36587" s="8"/>
      <c r="J36587" s="8"/>
    </row>
    <row r="36588">
      <c r="C36588" s="15"/>
      <c r="E36588" s="8"/>
      <c r="G36588" s="8"/>
      <c r="J36588" s="8"/>
    </row>
    <row r="36589">
      <c r="C36589" s="15"/>
      <c r="E36589" s="8"/>
      <c r="G36589" s="8"/>
      <c r="J36589" s="8"/>
    </row>
    <row r="36590">
      <c r="C36590" s="15"/>
      <c r="E36590" s="8"/>
      <c r="G36590" s="8"/>
      <c r="J36590" s="8"/>
    </row>
    <row r="36591">
      <c r="C36591" s="15"/>
      <c r="E36591" s="8"/>
      <c r="G36591" s="8"/>
      <c r="J36591" s="8"/>
    </row>
    <row r="36592">
      <c r="C36592" s="15"/>
      <c r="E36592" s="8"/>
      <c r="G36592" s="8"/>
      <c r="J36592" s="8"/>
    </row>
    <row r="36593">
      <c r="C36593" s="15"/>
      <c r="E36593" s="8"/>
      <c r="G36593" s="8"/>
      <c r="J36593" s="8"/>
    </row>
    <row r="36594">
      <c r="C36594" s="15"/>
      <c r="E36594" s="8"/>
      <c r="G36594" s="8"/>
      <c r="J36594" s="8"/>
    </row>
    <row r="36595">
      <c r="C36595" s="15"/>
      <c r="E36595" s="8"/>
      <c r="G36595" s="8"/>
      <c r="J36595" s="8"/>
    </row>
    <row r="36596">
      <c r="C36596" s="15"/>
      <c r="E36596" s="8"/>
      <c r="G36596" s="8"/>
      <c r="J36596" s="8"/>
    </row>
    <row r="36597">
      <c r="C36597" s="15"/>
      <c r="E36597" s="8"/>
      <c r="G36597" s="8"/>
      <c r="J36597" s="8"/>
    </row>
    <row r="36598">
      <c r="C36598" s="15"/>
      <c r="E36598" s="8"/>
      <c r="G36598" s="8"/>
      <c r="J36598" s="8"/>
    </row>
    <row r="36599">
      <c r="C36599" s="15"/>
      <c r="E36599" s="8"/>
      <c r="G36599" s="8"/>
      <c r="J36599" s="8"/>
    </row>
    <row r="36600">
      <c r="C36600" s="15"/>
      <c r="E36600" s="8"/>
      <c r="G36600" s="8"/>
      <c r="J36600" s="8"/>
    </row>
    <row r="36601">
      <c r="C36601" s="15"/>
      <c r="E36601" s="8"/>
      <c r="G36601" s="8"/>
      <c r="J36601" s="8"/>
    </row>
    <row r="36602">
      <c r="C36602" s="15"/>
      <c r="E36602" s="8"/>
      <c r="G36602" s="8"/>
      <c r="J36602" s="8"/>
    </row>
    <row r="36603">
      <c r="C36603" s="15"/>
      <c r="E36603" s="8"/>
      <c r="G36603" s="8"/>
      <c r="J36603" s="8"/>
    </row>
    <row r="36604">
      <c r="C36604" s="15"/>
      <c r="E36604" s="8"/>
      <c r="G36604" s="8"/>
      <c r="J36604" s="8"/>
    </row>
    <row r="36605">
      <c r="C36605" s="15"/>
      <c r="E36605" s="8"/>
      <c r="G36605" s="8"/>
      <c r="J36605" s="8"/>
    </row>
    <row r="36606">
      <c r="C36606" s="15"/>
      <c r="E36606" s="8"/>
      <c r="G36606" s="8"/>
      <c r="J36606" s="8"/>
    </row>
    <row r="36607">
      <c r="C36607" s="15"/>
      <c r="E36607" s="8"/>
      <c r="G36607" s="8"/>
      <c r="J36607" s="8"/>
    </row>
    <row r="36608">
      <c r="C36608" s="15"/>
      <c r="E36608" s="8"/>
      <c r="G36608" s="8"/>
      <c r="J36608" s="8"/>
    </row>
    <row r="36609">
      <c r="C36609" s="15"/>
      <c r="E36609" s="8"/>
      <c r="G36609" s="8"/>
      <c r="J36609" s="8"/>
    </row>
    <row r="36610">
      <c r="C36610" s="15"/>
      <c r="E36610" s="8"/>
      <c r="G36610" s="8"/>
      <c r="J36610" s="8"/>
    </row>
    <row r="36611">
      <c r="C36611" s="15"/>
      <c r="E36611" s="8"/>
      <c r="G36611" s="8"/>
      <c r="J36611" s="8"/>
    </row>
    <row r="36612">
      <c r="C36612" s="15"/>
      <c r="E36612" s="8"/>
      <c r="G36612" s="8"/>
      <c r="J36612" s="8"/>
    </row>
    <row r="36613">
      <c r="C36613" s="15"/>
      <c r="E36613" s="8"/>
      <c r="G36613" s="8"/>
      <c r="J36613" s="8"/>
    </row>
    <row r="36614">
      <c r="C36614" s="15"/>
      <c r="E36614" s="8"/>
      <c r="G36614" s="8"/>
      <c r="J36614" s="8"/>
    </row>
    <row r="36615">
      <c r="C36615" s="15"/>
      <c r="E36615" s="8"/>
      <c r="G36615" s="8"/>
      <c r="J36615" s="8"/>
    </row>
    <row r="36616">
      <c r="C36616" s="15"/>
      <c r="E36616" s="8"/>
      <c r="G36616" s="8"/>
      <c r="J36616" s="8"/>
    </row>
    <row r="36617">
      <c r="C36617" s="15"/>
      <c r="E36617" s="8"/>
      <c r="G36617" s="8"/>
      <c r="J36617" s="8"/>
    </row>
    <row r="36618">
      <c r="C36618" s="15"/>
      <c r="E36618" s="8"/>
      <c r="G36618" s="8"/>
      <c r="J36618" s="8"/>
    </row>
    <row r="36619">
      <c r="C36619" s="15"/>
      <c r="E36619" s="8"/>
      <c r="G36619" s="8"/>
      <c r="J36619" s="8"/>
    </row>
    <row r="36620">
      <c r="C36620" s="15"/>
      <c r="E36620" s="8"/>
      <c r="G36620" s="8"/>
      <c r="J36620" s="8"/>
    </row>
    <row r="36621">
      <c r="C36621" s="15"/>
      <c r="E36621" s="8"/>
      <c r="G36621" s="8"/>
      <c r="J36621" s="8"/>
    </row>
    <row r="36622">
      <c r="C36622" s="15"/>
      <c r="E36622" s="8"/>
      <c r="G36622" s="8"/>
      <c r="J36622" s="8"/>
    </row>
    <row r="36623">
      <c r="C36623" s="15"/>
      <c r="E36623" s="8"/>
      <c r="G36623" s="8"/>
      <c r="J36623" s="8"/>
    </row>
    <row r="36624">
      <c r="C36624" s="15"/>
      <c r="E36624" s="8"/>
      <c r="G36624" s="8"/>
      <c r="J36624" s="8"/>
    </row>
    <row r="36625">
      <c r="C36625" s="15"/>
      <c r="E36625" s="8"/>
      <c r="G36625" s="8"/>
      <c r="J36625" s="8"/>
    </row>
    <row r="36626">
      <c r="C36626" s="15"/>
      <c r="E36626" s="8"/>
      <c r="G36626" s="8"/>
      <c r="J36626" s="8"/>
    </row>
    <row r="36627">
      <c r="C36627" s="15"/>
      <c r="E36627" s="8"/>
      <c r="G36627" s="8"/>
      <c r="J36627" s="8"/>
    </row>
    <row r="36628">
      <c r="C36628" s="15"/>
      <c r="E36628" s="8"/>
      <c r="G36628" s="8"/>
      <c r="J36628" s="8"/>
    </row>
    <row r="36629">
      <c r="C36629" s="15"/>
      <c r="E36629" s="8"/>
      <c r="G36629" s="8"/>
      <c r="J36629" s="8"/>
    </row>
    <row r="36630">
      <c r="C36630" s="15"/>
      <c r="E36630" s="8"/>
      <c r="G36630" s="8"/>
      <c r="J36630" s="8"/>
    </row>
    <row r="36631">
      <c r="C36631" s="15"/>
      <c r="E36631" s="8"/>
      <c r="G36631" s="8"/>
      <c r="J36631" s="8"/>
    </row>
    <row r="36632">
      <c r="C36632" s="15"/>
      <c r="E36632" s="8"/>
      <c r="G36632" s="8"/>
      <c r="J36632" s="8"/>
    </row>
    <row r="36633">
      <c r="C36633" s="15"/>
      <c r="E36633" s="8"/>
      <c r="G36633" s="8"/>
      <c r="J36633" s="8"/>
    </row>
    <row r="36634">
      <c r="C36634" s="15"/>
      <c r="E36634" s="8"/>
      <c r="G36634" s="8"/>
      <c r="J36634" s="8"/>
    </row>
    <row r="36635">
      <c r="C36635" s="15"/>
      <c r="E36635" s="8"/>
      <c r="G36635" s="8"/>
      <c r="J36635" s="8"/>
    </row>
    <row r="36636">
      <c r="C36636" s="15"/>
      <c r="E36636" s="8"/>
      <c r="G36636" s="8"/>
      <c r="J36636" s="8"/>
    </row>
    <row r="36637">
      <c r="C36637" s="15"/>
      <c r="E36637" s="8"/>
      <c r="G36637" s="8"/>
      <c r="J36637" s="8"/>
    </row>
    <row r="36638">
      <c r="C36638" s="15"/>
      <c r="E36638" s="8"/>
      <c r="G36638" s="8"/>
      <c r="J36638" s="8"/>
    </row>
    <row r="36639">
      <c r="C36639" s="15"/>
      <c r="E36639" s="8"/>
      <c r="G36639" s="8"/>
      <c r="J36639" s="8"/>
    </row>
    <row r="36640">
      <c r="C36640" s="15"/>
      <c r="E36640" s="8"/>
      <c r="G36640" s="8"/>
      <c r="J36640" s="8"/>
    </row>
    <row r="36641">
      <c r="C36641" s="15"/>
      <c r="E36641" s="8"/>
      <c r="G36641" s="8"/>
      <c r="J36641" s="8"/>
    </row>
    <row r="36642">
      <c r="C36642" s="15"/>
      <c r="E36642" s="8"/>
      <c r="G36642" s="8"/>
      <c r="J36642" s="8"/>
    </row>
    <row r="36643">
      <c r="C36643" s="15"/>
      <c r="E36643" s="8"/>
      <c r="G36643" s="8"/>
      <c r="J36643" s="8"/>
    </row>
    <row r="36644">
      <c r="C36644" s="15"/>
      <c r="E36644" s="8"/>
      <c r="G36644" s="8"/>
      <c r="J36644" s="8"/>
    </row>
    <row r="36645">
      <c r="C36645" s="15"/>
      <c r="E36645" s="8"/>
      <c r="G36645" s="8"/>
      <c r="J36645" s="8"/>
    </row>
    <row r="36646">
      <c r="C36646" s="15"/>
      <c r="E36646" s="8"/>
      <c r="G36646" s="8"/>
      <c r="J36646" s="8"/>
    </row>
    <row r="36647">
      <c r="C36647" s="15"/>
      <c r="E36647" s="8"/>
      <c r="G36647" s="8"/>
      <c r="J36647" s="8"/>
    </row>
    <row r="36648">
      <c r="C36648" s="15"/>
      <c r="E36648" s="8"/>
      <c r="G36648" s="8"/>
      <c r="J36648" s="8"/>
    </row>
    <row r="36649">
      <c r="C36649" s="15"/>
      <c r="E36649" s="8"/>
      <c r="G36649" s="8"/>
      <c r="J36649" s="8"/>
    </row>
    <row r="36650">
      <c r="C36650" s="15"/>
      <c r="E36650" s="8"/>
      <c r="G36650" s="8"/>
      <c r="J36650" s="8"/>
    </row>
    <row r="36651">
      <c r="C36651" s="15"/>
      <c r="E36651" s="8"/>
      <c r="G36651" s="8"/>
      <c r="J36651" s="8"/>
    </row>
    <row r="36652">
      <c r="C36652" s="15"/>
      <c r="E36652" s="8"/>
      <c r="G36652" s="8"/>
      <c r="J36652" s="8"/>
    </row>
    <row r="36653">
      <c r="C36653" s="15"/>
      <c r="E36653" s="8"/>
      <c r="G36653" s="8"/>
      <c r="J36653" s="8"/>
    </row>
    <row r="36654">
      <c r="C36654" s="15"/>
      <c r="E36654" s="8"/>
      <c r="G36654" s="8"/>
      <c r="J36654" s="8"/>
    </row>
    <row r="36655">
      <c r="C36655" s="15"/>
      <c r="E36655" s="8"/>
      <c r="G36655" s="8"/>
      <c r="J36655" s="8"/>
    </row>
    <row r="36656">
      <c r="C36656" s="15"/>
      <c r="E36656" s="8"/>
      <c r="G36656" s="8"/>
      <c r="J36656" s="8"/>
    </row>
    <row r="36657">
      <c r="C36657" s="15"/>
      <c r="E36657" s="8"/>
      <c r="G36657" s="8"/>
      <c r="J36657" s="8"/>
    </row>
    <row r="36658">
      <c r="C36658" s="15"/>
      <c r="E36658" s="8"/>
      <c r="G36658" s="8"/>
      <c r="J36658" s="8"/>
    </row>
    <row r="36659">
      <c r="C36659" s="15"/>
      <c r="E36659" s="8"/>
      <c r="G36659" s="8"/>
      <c r="J36659" s="8"/>
    </row>
    <row r="36660">
      <c r="C36660" s="15"/>
      <c r="E36660" s="8"/>
      <c r="G36660" s="8"/>
      <c r="J36660" s="8"/>
    </row>
    <row r="36661">
      <c r="C36661" s="15"/>
      <c r="E36661" s="8"/>
      <c r="G36661" s="8"/>
      <c r="J36661" s="8"/>
    </row>
    <row r="36662">
      <c r="C36662" s="15"/>
      <c r="E36662" s="8"/>
      <c r="G36662" s="8"/>
      <c r="J36662" s="8"/>
    </row>
    <row r="36663">
      <c r="C36663" s="15"/>
      <c r="E36663" s="8"/>
      <c r="G36663" s="8"/>
      <c r="J36663" s="8"/>
    </row>
    <row r="36664">
      <c r="C36664" s="15"/>
      <c r="E36664" s="8"/>
      <c r="G36664" s="8"/>
      <c r="J36664" s="8"/>
    </row>
    <row r="36665">
      <c r="C36665" s="15"/>
      <c r="E36665" s="8"/>
      <c r="G36665" s="8"/>
      <c r="J36665" s="8"/>
    </row>
    <row r="36666">
      <c r="C36666" s="15"/>
      <c r="E36666" s="8"/>
      <c r="G36666" s="8"/>
      <c r="J36666" s="8"/>
    </row>
    <row r="36667">
      <c r="C36667" s="15"/>
      <c r="E36667" s="8"/>
      <c r="G36667" s="8"/>
      <c r="J36667" s="8"/>
    </row>
    <row r="36668">
      <c r="C36668" s="15"/>
      <c r="E36668" s="8"/>
      <c r="G36668" s="8"/>
      <c r="J36668" s="8"/>
    </row>
    <row r="36669">
      <c r="C36669" s="15"/>
      <c r="E36669" s="8"/>
      <c r="G36669" s="8"/>
      <c r="J36669" s="8"/>
    </row>
    <row r="36670">
      <c r="C36670" s="15"/>
      <c r="E36670" s="8"/>
      <c r="G36670" s="8"/>
      <c r="J36670" s="8"/>
    </row>
    <row r="36671">
      <c r="C36671" s="15"/>
      <c r="E36671" s="8"/>
      <c r="G36671" s="8"/>
      <c r="J36671" s="8"/>
    </row>
    <row r="36672">
      <c r="C36672" s="15"/>
      <c r="E36672" s="8"/>
      <c r="G36672" s="8"/>
      <c r="J36672" s="8"/>
    </row>
    <row r="36673">
      <c r="C36673" s="15"/>
      <c r="E36673" s="8"/>
      <c r="G36673" s="8"/>
      <c r="J36673" s="8"/>
    </row>
    <row r="36674">
      <c r="C36674" s="15"/>
      <c r="E36674" s="8"/>
      <c r="G36674" s="8"/>
      <c r="J36674" s="8"/>
    </row>
    <row r="36675">
      <c r="C36675" s="15"/>
      <c r="E36675" s="8"/>
      <c r="G36675" s="8"/>
      <c r="J36675" s="8"/>
    </row>
    <row r="36676">
      <c r="C36676" s="15"/>
      <c r="E36676" s="8"/>
      <c r="G36676" s="8"/>
      <c r="J36676" s="8"/>
    </row>
    <row r="36677">
      <c r="C36677" s="15"/>
      <c r="E36677" s="8"/>
      <c r="G36677" s="8"/>
      <c r="J36677" s="8"/>
    </row>
    <row r="36678">
      <c r="C36678" s="15"/>
      <c r="E36678" s="8"/>
      <c r="G36678" s="8"/>
      <c r="J36678" s="8"/>
    </row>
    <row r="36679">
      <c r="C36679" s="15"/>
      <c r="E36679" s="8"/>
      <c r="G36679" s="8"/>
      <c r="J36679" s="8"/>
    </row>
    <row r="36680">
      <c r="C36680" s="15"/>
      <c r="E36680" s="8"/>
      <c r="G36680" s="8"/>
      <c r="J36680" s="8"/>
    </row>
    <row r="36681">
      <c r="C36681" s="15"/>
      <c r="E36681" s="8"/>
      <c r="G36681" s="8"/>
      <c r="J36681" s="8"/>
    </row>
    <row r="36682">
      <c r="C36682" s="15"/>
      <c r="E36682" s="8"/>
      <c r="G36682" s="8"/>
      <c r="J36682" s="8"/>
    </row>
    <row r="36683">
      <c r="C36683" s="15"/>
      <c r="E36683" s="8"/>
      <c r="G36683" s="8"/>
      <c r="J36683" s="8"/>
    </row>
    <row r="36684">
      <c r="C36684" s="15"/>
      <c r="E36684" s="8"/>
      <c r="G36684" s="8"/>
      <c r="J36684" s="8"/>
    </row>
    <row r="36685">
      <c r="C36685" s="15"/>
      <c r="E36685" s="8"/>
      <c r="G36685" s="8"/>
      <c r="J36685" s="8"/>
    </row>
    <row r="36686">
      <c r="C36686" s="15"/>
      <c r="E36686" s="8"/>
      <c r="G36686" s="8"/>
      <c r="J36686" s="8"/>
    </row>
    <row r="36687">
      <c r="C36687" s="15"/>
      <c r="E36687" s="8"/>
      <c r="G36687" s="8"/>
      <c r="J36687" s="8"/>
    </row>
    <row r="36688">
      <c r="C36688" s="15"/>
      <c r="E36688" s="8"/>
      <c r="G36688" s="8"/>
      <c r="J36688" s="8"/>
    </row>
    <row r="36689">
      <c r="C36689" s="15"/>
      <c r="E36689" s="8"/>
      <c r="G36689" s="8"/>
      <c r="J36689" s="8"/>
    </row>
    <row r="36690">
      <c r="C36690" s="15"/>
      <c r="E36690" s="8"/>
      <c r="G36690" s="8"/>
      <c r="J36690" s="8"/>
    </row>
    <row r="36691">
      <c r="C36691" s="15"/>
      <c r="E36691" s="8"/>
      <c r="G36691" s="8"/>
      <c r="J36691" s="8"/>
    </row>
    <row r="36692">
      <c r="C36692" s="15"/>
      <c r="E36692" s="8"/>
      <c r="G36692" s="8"/>
      <c r="J36692" s="8"/>
    </row>
    <row r="36693">
      <c r="C36693" s="15"/>
      <c r="E36693" s="8"/>
      <c r="G36693" s="8"/>
      <c r="J36693" s="8"/>
    </row>
    <row r="36694">
      <c r="C36694" s="15"/>
      <c r="E36694" s="8"/>
      <c r="G36694" s="8"/>
      <c r="J36694" s="8"/>
    </row>
    <row r="36695">
      <c r="C36695" s="15"/>
      <c r="E36695" s="8"/>
      <c r="G36695" s="8"/>
      <c r="J36695" s="8"/>
    </row>
    <row r="36696">
      <c r="C36696" s="15"/>
      <c r="E36696" s="8"/>
      <c r="G36696" s="8"/>
      <c r="J36696" s="8"/>
    </row>
    <row r="36697">
      <c r="C36697" s="15"/>
      <c r="E36697" s="8"/>
      <c r="G36697" s="8"/>
      <c r="J36697" s="8"/>
    </row>
    <row r="36698">
      <c r="C36698" s="15"/>
      <c r="E36698" s="8"/>
      <c r="G36698" s="8"/>
      <c r="J36698" s="8"/>
    </row>
    <row r="36699">
      <c r="C36699" s="15"/>
      <c r="E36699" s="8"/>
      <c r="G36699" s="8"/>
      <c r="J36699" s="8"/>
    </row>
    <row r="36700">
      <c r="C36700" s="15"/>
      <c r="E36700" s="8"/>
      <c r="G36700" s="8"/>
      <c r="J36700" s="8"/>
    </row>
    <row r="36701">
      <c r="C36701" s="15"/>
      <c r="E36701" s="8"/>
      <c r="G36701" s="8"/>
      <c r="J36701" s="8"/>
    </row>
    <row r="36702">
      <c r="C36702" s="15"/>
      <c r="E36702" s="8"/>
      <c r="G36702" s="8"/>
      <c r="J36702" s="8"/>
    </row>
    <row r="36703">
      <c r="C36703" s="15"/>
      <c r="E36703" s="8"/>
      <c r="G36703" s="8"/>
      <c r="J36703" s="8"/>
    </row>
    <row r="36704">
      <c r="C36704" s="15"/>
      <c r="E36704" s="8"/>
      <c r="G36704" s="8"/>
      <c r="J36704" s="8"/>
    </row>
    <row r="36705">
      <c r="C36705" s="15"/>
      <c r="E36705" s="8"/>
      <c r="G36705" s="8"/>
      <c r="J36705" s="8"/>
    </row>
    <row r="36706">
      <c r="C36706" s="15"/>
      <c r="E36706" s="8"/>
      <c r="G36706" s="8"/>
      <c r="J36706" s="8"/>
    </row>
    <row r="36707">
      <c r="C36707" s="15"/>
      <c r="E36707" s="8"/>
      <c r="G36707" s="8"/>
      <c r="J36707" s="8"/>
    </row>
    <row r="36708">
      <c r="C36708" s="15"/>
      <c r="E36708" s="8"/>
      <c r="G36708" s="8"/>
      <c r="J36708" s="8"/>
    </row>
    <row r="36709">
      <c r="C36709" s="15"/>
      <c r="E36709" s="8"/>
      <c r="G36709" s="8"/>
      <c r="J36709" s="8"/>
    </row>
    <row r="36710">
      <c r="C36710" s="15"/>
      <c r="E36710" s="8"/>
      <c r="G36710" s="8"/>
      <c r="J36710" s="8"/>
    </row>
    <row r="36711">
      <c r="C36711" s="15"/>
      <c r="E36711" s="8"/>
      <c r="G36711" s="8"/>
      <c r="J36711" s="8"/>
    </row>
    <row r="36712">
      <c r="C36712" s="15"/>
      <c r="E36712" s="8"/>
      <c r="G36712" s="8"/>
      <c r="J36712" s="8"/>
    </row>
    <row r="36713">
      <c r="C36713" s="15"/>
      <c r="E36713" s="8"/>
      <c r="G36713" s="8"/>
      <c r="J36713" s="8"/>
    </row>
    <row r="36714">
      <c r="C36714" s="15"/>
      <c r="E36714" s="8"/>
      <c r="G36714" s="8"/>
      <c r="J36714" s="8"/>
    </row>
    <row r="36715">
      <c r="C36715" s="15"/>
      <c r="E36715" s="8"/>
      <c r="G36715" s="8"/>
      <c r="J36715" s="8"/>
    </row>
    <row r="36716">
      <c r="C36716" s="15"/>
      <c r="E36716" s="8"/>
      <c r="G36716" s="8"/>
      <c r="J36716" s="8"/>
    </row>
    <row r="36717">
      <c r="C36717" s="15"/>
      <c r="E36717" s="8"/>
      <c r="G36717" s="8"/>
      <c r="J36717" s="8"/>
    </row>
    <row r="36718">
      <c r="C36718" s="15"/>
      <c r="E36718" s="8"/>
      <c r="G36718" s="8"/>
      <c r="J36718" s="8"/>
    </row>
    <row r="36719">
      <c r="C36719" s="15"/>
      <c r="E36719" s="8"/>
      <c r="G36719" s="8"/>
      <c r="J36719" s="8"/>
    </row>
    <row r="36720">
      <c r="C36720" s="15"/>
      <c r="E36720" s="8"/>
      <c r="G36720" s="8"/>
      <c r="J36720" s="8"/>
    </row>
    <row r="36721">
      <c r="C36721" s="15"/>
      <c r="E36721" s="8"/>
      <c r="G36721" s="8"/>
      <c r="J36721" s="8"/>
    </row>
    <row r="36722">
      <c r="C36722" s="15"/>
      <c r="E36722" s="8"/>
      <c r="G36722" s="8"/>
      <c r="J36722" s="8"/>
    </row>
    <row r="36723">
      <c r="C36723" s="15"/>
      <c r="E36723" s="8"/>
      <c r="G36723" s="8"/>
      <c r="J36723" s="8"/>
    </row>
    <row r="36724">
      <c r="C36724" s="15"/>
      <c r="E36724" s="8"/>
      <c r="G36724" s="8"/>
      <c r="J36724" s="8"/>
    </row>
    <row r="36725">
      <c r="C36725" s="15"/>
      <c r="E36725" s="8"/>
      <c r="G36725" s="8"/>
      <c r="J36725" s="8"/>
    </row>
    <row r="36726">
      <c r="C36726" s="15"/>
      <c r="E36726" s="8"/>
      <c r="G36726" s="8"/>
      <c r="J36726" s="8"/>
    </row>
    <row r="36727">
      <c r="C36727" s="15"/>
      <c r="E36727" s="8"/>
      <c r="G36727" s="8"/>
      <c r="J36727" s="8"/>
    </row>
    <row r="36728">
      <c r="C36728" s="15"/>
      <c r="E36728" s="8"/>
      <c r="G36728" s="8"/>
      <c r="J36728" s="8"/>
    </row>
    <row r="36729">
      <c r="C36729" s="15"/>
      <c r="E36729" s="8"/>
      <c r="G36729" s="8"/>
      <c r="J36729" s="8"/>
    </row>
    <row r="36730">
      <c r="C36730" s="15"/>
      <c r="E36730" s="8"/>
      <c r="G36730" s="8"/>
      <c r="J36730" s="8"/>
    </row>
    <row r="36731">
      <c r="C36731" s="15"/>
      <c r="E36731" s="8"/>
      <c r="G36731" s="8"/>
      <c r="J36731" s="8"/>
    </row>
    <row r="36732">
      <c r="C36732" s="15"/>
      <c r="E36732" s="8"/>
      <c r="G36732" s="8"/>
      <c r="J36732" s="8"/>
    </row>
    <row r="36733">
      <c r="C36733" s="15"/>
      <c r="E36733" s="8"/>
      <c r="G36733" s="8"/>
      <c r="J36733" s="8"/>
    </row>
    <row r="36734">
      <c r="C36734" s="15"/>
      <c r="E36734" s="8"/>
      <c r="G36734" s="8"/>
      <c r="J36734" s="8"/>
    </row>
    <row r="36735">
      <c r="C36735" s="15"/>
      <c r="E36735" s="8"/>
      <c r="G36735" s="8"/>
      <c r="J36735" s="8"/>
    </row>
    <row r="36736">
      <c r="C36736" s="15"/>
      <c r="E36736" s="8"/>
      <c r="G36736" s="8"/>
      <c r="J36736" s="8"/>
    </row>
    <row r="36737">
      <c r="C36737" s="15"/>
      <c r="E36737" s="8"/>
      <c r="G36737" s="8"/>
      <c r="J36737" s="8"/>
    </row>
    <row r="36738">
      <c r="C36738" s="15"/>
      <c r="E36738" s="8"/>
      <c r="G36738" s="8"/>
      <c r="J36738" s="8"/>
    </row>
    <row r="36739">
      <c r="C36739" s="15"/>
      <c r="E36739" s="8"/>
      <c r="G36739" s="8"/>
      <c r="J36739" s="8"/>
    </row>
    <row r="36740">
      <c r="C36740" s="15"/>
      <c r="E36740" s="8"/>
      <c r="G36740" s="8"/>
      <c r="J36740" s="8"/>
    </row>
    <row r="36741">
      <c r="C36741" s="15"/>
      <c r="E36741" s="8"/>
      <c r="G36741" s="8"/>
      <c r="J36741" s="8"/>
    </row>
    <row r="36742">
      <c r="C36742" s="15"/>
      <c r="E36742" s="8"/>
      <c r="G36742" s="8"/>
      <c r="J36742" s="8"/>
    </row>
    <row r="36743">
      <c r="C36743" s="15"/>
      <c r="E36743" s="8"/>
      <c r="G36743" s="8"/>
      <c r="J36743" s="8"/>
    </row>
    <row r="36744">
      <c r="C36744" s="15"/>
      <c r="E36744" s="8"/>
      <c r="G36744" s="8"/>
      <c r="J36744" s="8"/>
    </row>
    <row r="36745">
      <c r="C36745" s="15"/>
      <c r="E36745" s="8"/>
      <c r="G36745" s="8"/>
      <c r="J36745" s="8"/>
    </row>
    <row r="36746">
      <c r="C36746" s="15"/>
      <c r="E36746" s="8"/>
      <c r="G36746" s="8"/>
      <c r="J36746" s="8"/>
    </row>
    <row r="36747">
      <c r="C36747" s="15"/>
      <c r="E36747" s="8"/>
      <c r="G36747" s="8"/>
      <c r="J36747" s="8"/>
    </row>
    <row r="36748">
      <c r="C36748" s="15"/>
      <c r="E36748" s="8"/>
      <c r="G36748" s="8"/>
      <c r="J36748" s="8"/>
    </row>
    <row r="36749">
      <c r="C36749" s="15"/>
      <c r="E36749" s="8"/>
      <c r="G36749" s="8"/>
      <c r="J36749" s="8"/>
    </row>
    <row r="36750">
      <c r="C36750" s="15"/>
      <c r="E36750" s="8"/>
      <c r="G36750" s="8"/>
      <c r="J36750" s="8"/>
    </row>
    <row r="36751">
      <c r="C36751" s="15"/>
      <c r="E36751" s="8"/>
      <c r="G36751" s="8"/>
      <c r="J36751" s="8"/>
    </row>
    <row r="36752">
      <c r="C36752" s="15"/>
      <c r="E36752" s="8"/>
      <c r="G36752" s="8"/>
      <c r="J36752" s="8"/>
    </row>
    <row r="36753">
      <c r="C36753" s="15"/>
      <c r="E36753" s="8"/>
      <c r="G36753" s="8"/>
      <c r="J36753" s="8"/>
    </row>
    <row r="36754">
      <c r="C36754" s="15"/>
      <c r="E36754" s="8"/>
      <c r="G36754" s="8"/>
      <c r="J36754" s="8"/>
    </row>
    <row r="36755">
      <c r="C36755" s="15"/>
      <c r="E36755" s="8"/>
      <c r="G36755" s="8"/>
      <c r="J36755" s="8"/>
    </row>
    <row r="36756">
      <c r="C36756" s="15"/>
      <c r="E36756" s="8"/>
      <c r="G36756" s="8"/>
      <c r="J36756" s="8"/>
    </row>
    <row r="36757">
      <c r="C36757" s="15"/>
      <c r="E36757" s="8"/>
      <c r="G36757" s="8"/>
      <c r="J36757" s="8"/>
    </row>
    <row r="36758">
      <c r="C36758" s="15"/>
      <c r="E36758" s="8"/>
      <c r="G36758" s="8"/>
      <c r="J36758" s="8"/>
    </row>
    <row r="36759">
      <c r="C36759" s="15"/>
      <c r="E36759" s="8"/>
      <c r="G36759" s="8"/>
      <c r="J36759" s="8"/>
    </row>
    <row r="36760">
      <c r="C36760" s="15"/>
      <c r="E36760" s="8"/>
      <c r="G36760" s="8"/>
      <c r="J36760" s="8"/>
    </row>
    <row r="36761">
      <c r="C36761" s="15"/>
      <c r="E36761" s="8"/>
      <c r="G36761" s="8"/>
      <c r="J36761" s="8"/>
    </row>
    <row r="36762">
      <c r="C36762" s="15"/>
      <c r="E36762" s="8"/>
      <c r="G36762" s="8"/>
      <c r="J36762" s="8"/>
    </row>
    <row r="36763">
      <c r="C36763" s="15"/>
      <c r="E36763" s="8"/>
      <c r="G36763" s="8"/>
      <c r="J36763" s="8"/>
    </row>
    <row r="36764">
      <c r="C36764" s="15"/>
      <c r="E36764" s="8"/>
      <c r="G36764" s="8"/>
      <c r="J36764" s="8"/>
    </row>
    <row r="36765">
      <c r="C36765" s="15"/>
      <c r="E36765" s="8"/>
      <c r="G36765" s="8"/>
      <c r="J36765" s="8"/>
    </row>
    <row r="36766">
      <c r="C36766" s="15"/>
      <c r="E36766" s="8"/>
      <c r="G36766" s="8"/>
      <c r="J36766" s="8"/>
    </row>
    <row r="36767">
      <c r="C36767" s="15"/>
      <c r="E36767" s="8"/>
      <c r="G36767" s="8"/>
      <c r="J36767" s="8"/>
    </row>
    <row r="36768">
      <c r="C36768" s="15"/>
      <c r="E36768" s="8"/>
      <c r="G36768" s="8"/>
      <c r="J36768" s="8"/>
    </row>
    <row r="36769">
      <c r="C36769" s="15"/>
      <c r="E36769" s="8"/>
      <c r="G36769" s="8"/>
      <c r="J36769" s="8"/>
    </row>
    <row r="36770">
      <c r="C36770" s="15"/>
      <c r="E36770" s="8"/>
      <c r="G36770" s="8"/>
      <c r="J36770" s="8"/>
    </row>
    <row r="36771">
      <c r="C36771" s="15"/>
      <c r="E36771" s="8"/>
      <c r="G36771" s="8"/>
      <c r="J36771" s="8"/>
    </row>
    <row r="36772">
      <c r="C36772" s="15"/>
      <c r="E36772" s="8"/>
      <c r="G36772" s="8"/>
      <c r="J36772" s="8"/>
    </row>
    <row r="36773">
      <c r="C36773" s="15"/>
      <c r="E36773" s="8"/>
      <c r="G36773" s="8"/>
      <c r="J36773" s="8"/>
    </row>
    <row r="36774">
      <c r="C36774" s="15"/>
      <c r="E36774" s="8"/>
      <c r="G36774" s="8"/>
      <c r="J36774" s="8"/>
    </row>
    <row r="36775">
      <c r="C36775" s="15"/>
      <c r="E36775" s="8"/>
      <c r="G36775" s="8"/>
      <c r="J36775" s="8"/>
    </row>
    <row r="36776">
      <c r="C36776" s="15"/>
      <c r="E36776" s="8"/>
      <c r="G36776" s="8"/>
      <c r="J36776" s="8"/>
    </row>
    <row r="36777">
      <c r="C36777" s="15"/>
      <c r="E36777" s="8"/>
      <c r="G36777" s="8"/>
      <c r="J36777" s="8"/>
    </row>
    <row r="36778">
      <c r="C36778" s="15"/>
      <c r="E36778" s="8"/>
      <c r="G36778" s="8"/>
      <c r="J36778" s="8"/>
    </row>
    <row r="36779">
      <c r="C36779" s="15"/>
      <c r="E36779" s="8"/>
      <c r="G36779" s="8"/>
      <c r="J36779" s="8"/>
    </row>
    <row r="36780">
      <c r="C36780" s="15"/>
      <c r="E36780" s="8"/>
      <c r="G36780" s="8"/>
      <c r="J36780" s="8"/>
    </row>
    <row r="36781">
      <c r="C36781" s="15"/>
      <c r="E36781" s="8"/>
      <c r="G36781" s="8"/>
      <c r="J36781" s="8"/>
    </row>
    <row r="36782">
      <c r="C36782" s="15"/>
      <c r="E36782" s="8"/>
      <c r="G36782" s="8"/>
      <c r="J36782" s="8"/>
    </row>
    <row r="36783">
      <c r="C36783" s="15"/>
      <c r="E36783" s="8"/>
      <c r="G36783" s="8"/>
      <c r="J36783" s="8"/>
    </row>
    <row r="36784">
      <c r="C36784" s="15"/>
      <c r="E36784" s="8"/>
      <c r="G36784" s="8"/>
      <c r="J36784" s="8"/>
    </row>
    <row r="36785">
      <c r="C36785" s="15"/>
      <c r="E36785" s="8"/>
      <c r="G36785" s="8"/>
      <c r="J36785" s="8"/>
    </row>
    <row r="36786">
      <c r="C36786" s="15"/>
      <c r="E36786" s="8"/>
      <c r="G36786" s="8"/>
      <c r="J36786" s="8"/>
    </row>
    <row r="36787">
      <c r="C36787" s="15"/>
      <c r="E36787" s="8"/>
      <c r="G36787" s="8"/>
      <c r="J36787" s="8"/>
    </row>
    <row r="36788">
      <c r="C36788" s="15"/>
      <c r="E36788" s="8"/>
      <c r="G36788" s="8"/>
      <c r="J36788" s="8"/>
    </row>
    <row r="36789">
      <c r="C36789" s="15"/>
      <c r="E36789" s="8"/>
      <c r="G36789" s="8"/>
      <c r="J36789" s="8"/>
    </row>
    <row r="36790">
      <c r="C36790" s="15"/>
      <c r="E36790" s="8"/>
      <c r="G36790" s="8"/>
      <c r="J36790" s="8"/>
    </row>
    <row r="36791">
      <c r="C36791" s="15"/>
      <c r="E36791" s="8"/>
      <c r="G36791" s="8"/>
      <c r="J36791" s="8"/>
    </row>
    <row r="36792">
      <c r="C36792" s="15"/>
      <c r="E36792" s="8"/>
      <c r="G36792" s="8"/>
      <c r="J36792" s="8"/>
    </row>
    <row r="36793">
      <c r="C36793" s="15"/>
      <c r="E36793" s="8"/>
      <c r="G36793" s="8"/>
      <c r="J36793" s="8"/>
    </row>
    <row r="36794">
      <c r="C36794" s="15"/>
      <c r="E36794" s="8"/>
      <c r="G36794" s="8"/>
      <c r="J36794" s="8"/>
    </row>
    <row r="36795">
      <c r="C36795" s="15"/>
      <c r="E36795" s="8"/>
      <c r="G36795" s="8"/>
      <c r="J36795" s="8"/>
    </row>
    <row r="36796">
      <c r="C36796" s="15"/>
      <c r="E36796" s="8"/>
      <c r="G36796" s="8"/>
      <c r="J36796" s="8"/>
    </row>
    <row r="36797">
      <c r="C36797" s="15"/>
      <c r="E36797" s="8"/>
      <c r="G36797" s="8"/>
      <c r="J36797" s="8"/>
    </row>
    <row r="36798">
      <c r="C36798" s="15"/>
      <c r="E36798" s="8"/>
      <c r="G36798" s="8"/>
      <c r="J36798" s="8"/>
    </row>
    <row r="36799">
      <c r="C36799" s="15"/>
      <c r="E36799" s="8"/>
      <c r="G36799" s="8"/>
      <c r="J36799" s="8"/>
    </row>
    <row r="36800">
      <c r="C36800" s="15"/>
      <c r="E36800" s="8"/>
      <c r="G36800" s="8"/>
      <c r="J36800" s="8"/>
    </row>
    <row r="36801">
      <c r="C36801" s="15"/>
      <c r="E36801" s="8"/>
      <c r="G36801" s="8"/>
      <c r="J36801" s="8"/>
    </row>
    <row r="36802">
      <c r="C36802" s="15"/>
      <c r="E36802" s="8"/>
      <c r="G36802" s="8"/>
      <c r="J36802" s="8"/>
    </row>
    <row r="36803">
      <c r="C36803" s="15"/>
      <c r="E36803" s="8"/>
      <c r="G36803" s="8"/>
      <c r="J36803" s="8"/>
    </row>
    <row r="36804">
      <c r="C36804" s="15"/>
      <c r="E36804" s="8"/>
      <c r="G36804" s="8"/>
      <c r="J36804" s="8"/>
    </row>
    <row r="36805">
      <c r="C36805" s="15"/>
      <c r="E36805" s="8"/>
      <c r="G36805" s="8"/>
      <c r="J36805" s="8"/>
    </row>
    <row r="36806">
      <c r="C36806" s="15"/>
      <c r="E36806" s="8"/>
      <c r="G36806" s="8"/>
      <c r="J36806" s="8"/>
    </row>
    <row r="36807">
      <c r="C36807" s="15"/>
      <c r="E36807" s="8"/>
      <c r="G36807" s="8"/>
      <c r="J36807" s="8"/>
    </row>
    <row r="36808">
      <c r="C36808" s="15"/>
      <c r="E36808" s="8"/>
      <c r="G36808" s="8"/>
      <c r="J36808" s="8"/>
    </row>
    <row r="36809">
      <c r="C36809" s="15"/>
      <c r="E36809" s="8"/>
      <c r="G36809" s="8"/>
      <c r="J36809" s="8"/>
    </row>
    <row r="36810">
      <c r="C36810" s="15"/>
      <c r="E36810" s="8"/>
      <c r="G36810" s="8"/>
      <c r="J36810" s="8"/>
    </row>
    <row r="36811">
      <c r="C36811" s="15"/>
      <c r="E36811" s="8"/>
      <c r="G36811" s="8"/>
      <c r="J36811" s="8"/>
    </row>
    <row r="36812">
      <c r="C36812" s="15"/>
      <c r="E36812" s="8"/>
      <c r="G36812" s="8"/>
      <c r="J36812" s="8"/>
    </row>
    <row r="36813">
      <c r="C36813" s="15"/>
      <c r="E36813" s="8"/>
      <c r="G36813" s="8"/>
      <c r="J36813" s="8"/>
    </row>
    <row r="36814">
      <c r="C36814" s="15"/>
      <c r="E36814" s="8"/>
      <c r="G36814" s="8"/>
      <c r="J36814" s="8"/>
    </row>
    <row r="36815">
      <c r="C36815" s="15"/>
      <c r="E36815" s="8"/>
      <c r="G36815" s="8"/>
      <c r="J36815" s="8"/>
    </row>
    <row r="36816">
      <c r="C36816" s="15"/>
      <c r="E36816" s="8"/>
      <c r="G36816" s="8"/>
      <c r="J36816" s="8"/>
    </row>
    <row r="36817">
      <c r="C36817" s="15"/>
      <c r="E36817" s="8"/>
      <c r="G36817" s="8"/>
      <c r="J36817" s="8"/>
    </row>
    <row r="36818">
      <c r="C36818" s="15"/>
      <c r="E36818" s="8"/>
      <c r="G36818" s="8"/>
      <c r="J36818" s="8"/>
    </row>
    <row r="36819">
      <c r="C36819" s="15"/>
      <c r="E36819" s="8"/>
      <c r="G36819" s="8"/>
      <c r="J36819" s="8"/>
    </row>
    <row r="36820">
      <c r="C36820" s="15"/>
      <c r="E36820" s="8"/>
      <c r="G36820" s="8"/>
      <c r="J36820" s="8"/>
    </row>
    <row r="36821">
      <c r="C36821" s="15"/>
      <c r="E36821" s="8"/>
      <c r="G36821" s="8"/>
      <c r="J36821" s="8"/>
    </row>
    <row r="36822">
      <c r="C36822" s="15"/>
      <c r="E36822" s="8"/>
      <c r="G36822" s="8"/>
      <c r="J36822" s="8"/>
    </row>
    <row r="36823">
      <c r="C36823" s="15"/>
      <c r="E36823" s="8"/>
      <c r="G36823" s="8"/>
      <c r="J36823" s="8"/>
    </row>
    <row r="36824">
      <c r="C36824" s="15"/>
      <c r="E36824" s="8"/>
      <c r="G36824" s="8"/>
      <c r="J36824" s="8"/>
    </row>
    <row r="36825">
      <c r="C36825" s="15"/>
      <c r="E36825" s="8"/>
      <c r="G36825" s="8"/>
      <c r="J36825" s="8"/>
    </row>
    <row r="36826">
      <c r="C36826" s="15"/>
      <c r="E36826" s="8"/>
      <c r="G36826" s="8"/>
      <c r="J36826" s="8"/>
    </row>
    <row r="36827">
      <c r="C36827" s="15"/>
      <c r="E36827" s="8"/>
      <c r="G36827" s="8"/>
      <c r="J36827" s="8"/>
    </row>
    <row r="36828">
      <c r="C36828" s="15"/>
      <c r="E36828" s="8"/>
      <c r="G36828" s="8"/>
      <c r="J36828" s="8"/>
    </row>
    <row r="36829">
      <c r="C36829" s="15"/>
      <c r="E36829" s="8"/>
      <c r="G36829" s="8"/>
      <c r="J36829" s="8"/>
    </row>
    <row r="36830">
      <c r="C36830" s="15"/>
      <c r="E36830" s="8"/>
      <c r="G36830" s="8"/>
      <c r="J36830" s="8"/>
    </row>
    <row r="36831">
      <c r="C36831" s="15"/>
      <c r="E36831" s="8"/>
      <c r="G36831" s="8"/>
      <c r="J36831" s="8"/>
    </row>
    <row r="36832">
      <c r="C36832" s="15"/>
      <c r="E36832" s="8"/>
      <c r="G36832" s="8"/>
      <c r="J36832" s="8"/>
    </row>
    <row r="36833">
      <c r="C36833" s="15"/>
      <c r="E36833" s="8"/>
      <c r="G36833" s="8"/>
      <c r="J36833" s="8"/>
    </row>
    <row r="36834">
      <c r="C36834" s="15"/>
      <c r="E36834" s="8"/>
      <c r="G36834" s="8"/>
      <c r="J36834" s="8"/>
    </row>
    <row r="36835">
      <c r="C36835" s="15"/>
      <c r="E36835" s="8"/>
      <c r="G36835" s="8"/>
      <c r="J36835" s="8"/>
    </row>
    <row r="36836">
      <c r="C36836" s="15"/>
      <c r="E36836" s="8"/>
      <c r="G36836" s="8"/>
      <c r="J36836" s="8"/>
    </row>
    <row r="36837">
      <c r="C36837" s="15"/>
      <c r="E36837" s="8"/>
      <c r="G36837" s="8"/>
      <c r="J36837" s="8"/>
    </row>
    <row r="36838">
      <c r="C36838" s="15"/>
      <c r="E36838" s="8"/>
      <c r="G36838" s="8"/>
      <c r="J36838" s="8"/>
    </row>
    <row r="36839">
      <c r="C36839" s="15"/>
      <c r="E36839" s="8"/>
      <c r="G36839" s="8"/>
      <c r="J36839" s="8"/>
    </row>
    <row r="36840">
      <c r="C36840" s="15"/>
      <c r="E36840" s="8"/>
      <c r="G36840" s="8"/>
      <c r="J36840" s="8"/>
    </row>
    <row r="36841">
      <c r="C36841" s="15"/>
      <c r="E36841" s="8"/>
      <c r="G36841" s="8"/>
      <c r="J36841" s="8"/>
    </row>
    <row r="36842">
      <c r="C36842" s="15"/>
      <c r="E36842" s="8"/>
      <c r="G36842" s="8"/>
      <c r="J36842" s="8"/>
    </row>
    <row r="36843">
      <c r="C36843" s="15"/>
      <c r="E36843" s="8"/>
      <c r="G36843" s="8"/>
      <c r="J36843" s="8"/>
    </row>
    <row r="36844">
      <c r="C36844" s="15"/>
      <c r="E36844" s="8"/>
      <c r="G36844" s="8"/>
      <c r="J36844" s="8"/>
    </row>
    <row r="36845">
      <c r="C36845" s="15"/>
      <c r="E36845" s="8"/>
      <c r="G36845" s="8"/>
      <c r="J36845" s="8"/>
    </row>
    <row r="36846">
      <c r="C36846" s="15"/>
      <c r="E36846" s="8"/>
      <c r="G36846" s="8"/>
      <c r="J36846" s="8"/>
    </row>
    <row r="36847">
      <c r="C36847" s="15"/>
      <c r="E36847" s="8"/>
      <c r="G36847" s="8"/>
      <c r="J36847" s="8"/>
    </row>
    <row r="36848">
      <c r="C36848" s="15"/>
      <c r="E36848" s="8"/>
      <c r="G36848" s="8"/>
      <c r="J36848" s="8"/>
    </row>
    <row r="36849">
      <c r="C36849" s="15"/>
      <c r="E36849" s="8"/>
      <c r="G36849" s="8"/>
      <c r="J36849" s="8"/>
    </row>
    <row r="36850">
      <c r="C36850" s="15"/>
      <c r="E36850" s="8"/>
      <c r="G36850" s="8"/>
      <c r="J36850" s="8"/>
    </row>
    <row r="36851">
      <c r="C36851" s="15"/>
      <c r="E36851" s="8"/>
      <c r="G36851" s="8"/>
      <c r="J36851" s="8"/>
    </row>
    <row r="36852">
      <c r="C36852" s="15"/>
      <c r="E36852" s="8"/>
      <c r="G36852" s="8"/>
      <c r="J36852" s="8"/>
    </row>
    <row r="36853">
      <c r="C36853" s="15"/>
      <c r="E36853" s="8"/>
      <c r="G36853" s="8"/>
      <c r="J36853" s="8"/>
    </row>
    <row r="36854">
      <c r="C36854" s="15"/>
      <c r="E36854" s="8"/>
      <c r="G36854" s="8"/>
      <c r="J36854" s="8"/>
    </row>
    <row r="36855">
      <c r="C36855" s="15"/>
      <c r="E36855" s="8"/>
      <c r="G36855" s="8"/>
      <c r="J36855" s="8"/>
    </row>
    <row r="36856">
      <c r="C36856" s="15"/>
      <c r="E36856" s="8"/>
      <c r="G36856" s="8"/>
      <c r="J36856" s="8"/>
    </row>
    <row r="36857">
      <c r="C36857" s="15"/>
      <c r="E36857" s="8"/>
      <c r="G36857" s="8"/>
      <c r="J36857" s="8"/>
    </row>
    <row r="36858">
      <c r="C36858" s="15"/>
      <c r="E36858" s="8"/>
      <c r="G36858" s="8"/>
      <c r="J36858" s="8"/>
    </row>
    <row r="36859">
      <c r="C36859" s="15"/>
      <c r="E36859" s="8"/>
      <c r="G36859" s="8"/>
      <c r="J36859" s="8"/>
    </row>
    <row r="36860">
      <c r="C36860" s="15"/>
      <c r="E36860" s="8"/>
      <c r="G36860" s="8"/>
      <c r="J36860" s="8"/>
    </row>
    <row r="36861">
      <c r="C36861" s="15"/>
      <c r="E36861" s="8"/>
      <c r="G36861" s="8"/>
      <c r="J36861" s="8"/>
    </row>
    <row r="36862">
      <c r="C36862" s="15"/>
      <c r="E36862" s="8"/>
      <c r="G36862" s="8"/>
      <c r="J36862" s="8"/>
    </row>
    <row r="36863">
      <c r="C36863" s="15"/>
      <c r="E36863" s="8"/>
      <c r="G36863" s="8"/>
      <c r="J36863" s="8"/>
    </row>
    <row r="36864">
      <c r="C36864" s="15"/>
      <c r="E36864" s="8"/>
      <c r="G36864" s="8"/>
      <c r="J36864" s="8"/>
    </row>
    <row r="36865">
      <c r="C36865" s="15"/>
      <c r="E36865" s="8"/>
      <c r="G36865" s="8"/>
      <c r="J36865" s="8"/>
    </row>
    <row r="36866">
      <c r="C36866" s="15"/>
      <c r="E36866" s="8"/>
      <c r="G36866" s="8"/>
      <c r="J36866" s="8"/>
    </row>
    <row r="36867">
      <c r="C36867" s="15"/>
      <c r="E36867" s="8"/>
      <c r="G36867" s="8"/>
      <c r="J36867" s="8"/>
    </row>
    <row r="36868">
      <c r="C36868" s="15"/>
      <c r="E36868" s="8"/>
      <c r="G36868" s="8"/>
      <c r="J36868" s="8"/>
    </row>
    <row r="36869">
      <c r="C36869" s="15"/>
      <c r="E36869" s="8"/>
      <c r="G36869" s="8"/>
      <c r="J36869" s="8"/>
    </row>
    <row r="36870">
      <c r="C36870" s="15"/>
      <c r="E36870" s="8"/>
      <c r="G36870" s="8"/>
      <c r="J36870" s="8"/>
    </row>
    <row r="36871">
      <c r="C36871" s="15"/>
      <c r="E36871" s="8"/>
      <c r="G36871" s="8"/>
      <c r="J36871" s="8"/>
    </row>
    <row r="36872">
      <c r="C36872" s="15"/>
      <c r="E36872" s="8"/>
      <c r="G36872" s="8"/>
      <c r="J36872" s="8"/>
    </row>
    <row r="36873">
      <c r="C36873" s="15"/>
      <c r="E36873" s="8"/>
      <c r="G36873" s="8"/>
      <c r="J36873" s="8"/>
    </row>
    <row r="36874">
      <c r="C36874" s="15"/>
      <c r="E36874" s="8"/>
      <c r="G36874" s="8"/>
      <c r="J36874" s="8"/>
    </row>
    <row r="36875">
      <c r="C36875" s="15"/>
      <c r="E36875" s="8"/>
      <c r="G36875" s="8"/>
      <c r="J36875" s="8"/>
    </row>
    <row r="36876">
      <c r="C36876" s="15"/>
      <c r="E36876" s="8"/>
      <c r="G36876" s="8"/>
      <c r="J36876" s="8"/>
    </row>
    <row r="36877">
      <c r="C36877" s="15"/>
      <c r="E36877" s="8"/>
      <c r="G36877" s="8"/>
      <c r="J36877" s="8"/>
    </row>
    <row r="36878">
      <c r="C36878" s="15"/>
      <c r="E36878" s="8"/>
      <c r="G36878" s="8"/>
      <c r="J36878" s="8"/>
    </row>
    <row r="36879">
      <c r="C36879" s="15"/>
      <c r="E36879" s="8"/>
      <c r="G36879" s="8"/>
      <c r="J36879" s="8"/>
    </row>
    <row r="36880">
      <c r="C36880" s="15"/>
      <c r="E36880" s="8"/>
      <c r="G36880" s="8"/>
      <c r="J36880" s="8"/>
    </row>
    <row r="36881">
      <c r="C36881" s="15"/>
      <c r="E36881" s="8"/>
      <c r="G36881" s="8"/>
      <c r="J36881" s="8"/>
    </row>
    <row r="36882">
      <c r="C36882" s="15"/>
      <c r="E36882" s="8"/>
      <c r="G36882" s="8"/>
      <c r="J36882" s="8"/>
    </row>
    <row r="36883">
      <c r="C36883" s="15"/>
      <c r="E36883" s="8"/>
      <c r="G36883" s="8"/>
      <c r="J36883" s="8"/>
    </row>
    <row r="36884">
      <c r="C36884" s="15"/>
      <c r="E36884" s="8"/>
      <c r="G36884" s="8"/>
      <c r="J36884" s="8"/>
    </row>
    <row r="36885">
      <c r="C36885" s="15"/>
      <c r="E36885" s="8"/>
      <c r="G36885" s="8"/>
      <c r="J36885" s="8"/>
    </row>
    <row r="36886">
      <c r="C36886" s="15"/>
      <c r="E36886" s="8"/>
      <c r="G36886" s="8"/>
      <c r="J36886" s="8"/>
    </row>
    <row r="36887">
      <c r="C36887" s="15"/>
      <c r="E36887" s="8"/>
      <c r="G36887" s="8"/>
      <c r="J36887" s="8"/>
    </row>
    <row r="36888">
      <c r="C36888" s="15"/>
      <c r="E36888" s="8"/>
      <c r="G36888" s="8"/>
      <c r="J36888" s="8"/>
    </row>
    <row r="36889">
      <c r="C36889" s="15"/>
      <c r="E36889" s="8"/>
      <c r="G36889" s="8"/>
      <c r="J36889" s="8"/>
    </row>
    <row r="36890">
      <c r="C36890" s="15"/>
      <c r="E36890" s="8"/>
      <c r="G36890" s="8"/>
      <c r="J36890" s="8"/>
    </row>
    <row r="36891">
      <c r="C36891" s="15"/>
      <c r="E36891" s="8"/>
      <c r="G36891" s="8"/>
      <c r="J36891" s="8"/>
    </row>
    <row r="36892">
      <c r="C36892" s="15"/>
      <c r="E36892" s="8"/>
      <c r="G36892" s="8"/>
      <c r="J36892" s="8"/>
    </row>
    <row r="36893">
      <c r="C36893" s="15"/>
      <c r="E36893" s="8"/>
      <c r="G36893" s="8"/>
      <c r="J36893" s="8"/>
    </row>
    <row r="36894">
      <c r="C36894" s="15"/>
      <c r="E36894" s="8"/>
      <c r="G36894" s="8"/>
      <c r="J36894" s="8"/>
    </row>
    <row r="36895">
      <c r="C36895" s="15"/>
      <c r="E36895" s="8"/>
      <c r="G36895" s="8"/>
      <c r="J36895" s="8"/>
    </row>
    <row r="36896">
      <c r="C36896" s="15"/>
      <c r="E36896" s="8"/>
      <c r="G36896" s="8"/>
      <c r="J36896" s="8"/>
    </row>
    <row r="36897">
      <c r="C36897" s="15"/>
      <c r="E36897" s="8"/>
      <c r="G36897" s="8"/>
      <c r="J36897" s="8"/>
    </row>
    <row r="36898">
      <c r="C36898" s="15"/>
      <c r="E36898" s="8"/>
      <c r="G36898" s="8"/>
      <c r="J36898" s="8"/>
    </row>
    <row r="36899">
      <c r="C36899" s="15"/>
      <c r="E36899" s="8"/>
      <c r="G36899" s="8"/>
      <c r="J36899" s="8"/>
    </row>
    <row r="36900">
      <c r="C36900" s="15"/>
      <c r="E36900" s="8"/>
      <c r="G36900" s="8"/>
      <c r="J36900" s="8"/>
    </row>
    <row r="36901">
      <c r="C36901" s="15"/>
      <c r="E36901" s="8"/>
      <c r="G36901" s="8"/>
      <c r="J36901" s="8"/>
    </row>
    <row r="36902">
      <c r="C36902" s="15"/>
      <c r="E36902" s="8"/>
      <c r="G36902" s="8"/>
      <c r="J36902" s="8"/>
    </row>
    <row r="36903">
      <c r="C36903" s="15"/>
      <c r="E36903" s="8"/>
      <c r="G36903" s="8"/>
      <c r="J36903" s="8"/>
    </row>
    <row r="36904">
      <c r="C36904" s="15"/>
      <c r="E36904" s="8"/>
      <c r="G36904" s="8"/>
      <c r="J36904" s="8"/>
    </row>
    <row r="36905">
      <c r="C36905" s="15"/>
      <c r="E36905" s="8"/>
      <c r="G36905" s="8"/>
      <c r="J36905" s="8"/>
    </row>
    <row r="36906">
      <c r="C36906" s="15"/>
      <c r="E36906" s="8"/>
      <c r="G36906" s="8"/>
      <c r="J36906" s="8"/>
    </row>
    <row r="36907">
      <c r="C36907" s="15"/>
      <c r="E36907" s="8"/>
      <c r="G36907" s="8"/>
      <c r="J36907" s="8"/>
    </row>
    <row r="36908">
      <c r="C36908" s="15"/>
      <c r="E36908" s="8"/>
      <c r="G36908" s="8"/>
      <c r="J36908" s="8"/>
    </row>
    <row r="36909">
      <c r="C36909" s="15"/>
      <c r="E36909" s="8"/>
      <c r="G36909" s="8"/>
      <c r="J36909" s="8"/>
    </row>
    <row r="36910">
      <c r="C36910" s="15"/>
      <c r="E36910" s="8"/>
      <c r="G36910" s="8"/>
      <c r="J36910" s="8"/>
    </row>
    <row r="36911">
      <c r="C36911" s="15"/>
      <c r="E36911" s="8"/>
      <c r="G36911" s="8"/>
      <c r="J36911" s="8"/>
    </row>
    <row r="36912">
      <c r="C36912" s="15"/>
      <c r="E36912" s="8"/>
      <c r="G36912" s="8"/>
      <c r="J36912" s="8"/>
    </row>
    <row r="36913">
      <c r="C36913" s="15"/>
      <c r="E36913" s="8"/>
      <c r="G36913" s="8"/>
      <c r="J36913" s="8"/>
    </row>
    <row r="36914">
      <c r="C36914" s="15"/>
      <c r="E36914" s="8"/>
      <c r="G36914" s="8"/>
      <c r="J36914" s="8"/>
    </row>
    <row r="36915">
      <c r="C36915" s="15"/>
      <c r="E36915" s="8"/>
      <c r="G36915" s="8"/>
      <c r="J36915" s="8"/>
    </row>
    <row r="36916">
      <c r="C36916" s="15"/>
      <c r="E36916" s="8"/>
      <c r="G36916" s="8"/>
      <c r="J36916" s="8"/>
    </row>
    <row r="36917">
      <c r="C36917" s="15"/>
      <c r="E36917" s="8"/>
      <c r="G36917" s="8"/>
      <c r="J36917" s="8"/>
    </row>
    <row r="36918">
      <c r="C36918" s="15"/>
      <c r="E36918" s="8"/>
      <c r="G36918" s="8"/>
      <c r="J36918" s="8"/>
    </row>
    <row r="36919">
      <c r="C36919" s="15"/>
      <c r="E36919" s="8"/>
      <c r="G36919" s="8"/>
      <c r="J36919" s="8"/>
    </row>
    <row r="36920">
      <c r="C36920" s="15"/>
      <c r="E36920" s="8"/>
      <c r="G36920" s="8"/>
      <c r="J36920" s="8"/>
    </row>
    <row r="36921">
      <c r="C36921" s="15"/>
      <c r="E36921" s="8"/>
      <c r="G36921" s="8"/>
      <c r="J36921" s="8"/>
    </row>
    <row r="36922">
      <c r="C36922" s="15"/>
      <c r="E36922" s="8"/>
      <c r="G36922" s="8"/>
      <c r="J36922" s="8"/>
    </row>
    <row r="36923">
      <c r="C36923" s="15"/>
      <c r="E36923" s="8"/>
      <c r="G36923" s="8"/>
      <c r="J36923" s="8"/>
    </row>
    <row r="36924">
      <c r="C36924" s="15"/>
      <c r="E36924" s="8"/>
      <c r="G36924" s="8"/>
      <c r="J36924" s="8"/>
    </row>
    <row r="36925">
      <c r="C36925" s="15"/>
      <c r="E36925" s="8"/>
      <c r="G36925" s="8"/>
      <c r="J36925" s="8"/>
    </row>
    <row r="36926">
      <c r="C36926" s="15"/>
      <c r="E36926" s="8"/>
      <c r="G36926" s="8"/>
      <c r="J36926" s="8"/>
    </row>
    <row r="36927">
      <c r="C36927" s="15"/>
      <c r="E36927" s="8"/>
      <c r="G36927" s="8"/>
      <c r="J36927" s="8"/>
    </row>
    <row r="36928">
      <c r="C36928" s="15"/>
      <c r="E36928" s="8"/>
      <c r="G36928" s="8"/>
      <c r="J36928" s="8"/>
    </row>
    <row r="36929">
      <c r="C36929" s="15"/>
      <c r="E36929" s="8"/>
      <c r="G36929" s="8"/>
      <c r="J36929" s="8"/>
    </row>
    <row r="36930">
      <c r="C36930" s="15"/>
      <c r="E36930" s="8"/>
      <c r="G36930" s="8"/>
      <c r="J36930" s="8"/>
    </row>
    <row r="36931">
      <c r="C36931" s="15"/>
      <c r="E36931" s="8"/>
      <c r="G36931" s="8"/>
      <c r="J36931" s="8"/>
    </row>
    <row r="36932">
      <c r="C36932" s="15"/>
      <c r="E36932" s="8"/>
      <c r="G36932" s="8"/>
      <c r="J36932" s="8"/>
    </row>
    <row r="36933">
      <c r="C36933" s="15"/>
      <c r="E36933" s="8"/>
      <c r="G36933" s="8"/>
      <c r="J36933" s="8"/>
    </row>
    <row r="36934">
      <c r="C36934" s="15"/>
      <c r="E36934" s="8"/>
      <c r="G36934" s="8"/>
      <c r="J36934" s="8"/>
    </row>
    <row r="36935">
      <c r="C36935" s="15"/>
      <c r="E36935" s="8"/>
      <c r="G36935" s="8"/>
      <c r="J36935" s="8"/>
    </row>
    <row r="36936">
      <c r="C36936" s="15"/>
      <c r="E36936" s="8"/>
      <c r="G36936" s="8"/>
      <c r="J36936" s="8"/>
    </row>
    <row r="36937">
      <c r="C36937" s="15"/>
      <c r="E36937" s="8"/>
      <c r="G36937" s="8"/>
      <c r="J36937" s="8"/>
    </row>
    <row r="36938">
      <c r="C36938" s="15"/>
      <c r="E36938" s="8"/>
      <c r="G36938" s="8"/>
      <c r="J36938" s="8"/>
    </row>
    <row r="36939">
      <c r="C36939" s="15"/>
      <c r="E36939" s="8"/>
      <c r="G36939" s="8"/>
      <c r="J36939" s="8"/>
    </row>
    <row r="36940">
      <c r="C36940" s="15"/>
      <c r="E36940" s="8"/>
      <c r="G36940" s="8"/>
      <c r="J36940" s="8"/>
    </row>
    <row r="36941">
      <c r="C36941" s="15"/>
      <c r="E36941" s="8"/>
      <c r="G36941" s="8"/>
      <c r="J36941" s="8"/>
    </row>
    <row r="36942">
      <c r="C36942" s="15"/>
      <c r="E36942" s="8"/>
      <c r="G36942" s="8"/>
      <c r="J36942" s="8"/>
    </row>
    <row r="36943">
      <c r="C36943" s="15"/>
      <c r="E36943" s="8"/>
      <c r="G36943" s="8"/>
      <c r="J36943" s="8"/>
    </row>
    <row r="36944">
      <c r="C36944" s="15"/>
      <c r="E36944" s="8"/>
      <c r="G36944" s="8"/>
      <c r="J36944" s="8"/>
    </row>
    <row r="36945">
      <c r="C36945" s="15"/>
      <c r="E36945" s="8"/>
      <c r="G36945" s="8"/>
      <c r="J36945" s="8"/>
    </row>
    <row r="36946">
      <c r="C36946" s="15"/>
      <c r="E36946" s="8"/>
      <c r="G36946" s="8"/>
      <c r="J36946" s="8"/>
    </row>
    <row r="36947">
      <c r="C36947" s="15"/>
      <c r="E36947" s="8"/>
      <c r="G36947" s="8"/>
      <c r="J36947" s="8"/>
    </row>
    <row r="36948">
      <c r="C36948" s="15"/>
      <c r="E36948" s="8"/>
      <c r="G36948" s="8"/>
      <c r="J36948" s="8"/>
    </row>
    <row r="36949">
      <c r="C36949" s="15"/>
      <c r="E36949" s="8"/>
      <c r="G36949" s="8"/>
      <c r="J36949" s="8"/>
    </row>
    <row r="36950">
      <c r="C36950" s="15"/>
      <c r="E36950" s="8"/>
      <c r="G36950" s="8"/>
      <c r="J36950" s="8"/>
    </row>
    <row r="36951">
      <c r="C36951" s="15"/>
      <c r="E36951" s="8"/>
      <c r="G36951" s="8"/>
      <c r="J36951" s="8"/>
    </row>
    <row r="36952">
      <c r="C36952" s="15"/>
      <c r="E36952" s="8"/>
      <c r="G36952" s="8"/>
      <c r="J36952" s="8"/>
    </row>
    <row r="36953">
      <c r="C36953" s="15"/>
      <c r="E36953" s="8"/>
      <c r="G36953" s="8"/>
      <c r="J36953" s="8"/>
    </row>
    <row r="36954">
      <c r="C36954" s="15"/>
      <c r="E36954" s="8"/>
      <c r="G36954" s="8"/>
      <c r="J36954" s="8"/>
    </row>
    <row r="36955">
      <c r="C36955" s="15"/>
      <c r="E36955" s="8"/>
      <c r="G36955" s="8"/>
      <c r="J36955" s="8"/>
    </row>
    <row r="36956">
      <c r="C36956" s="15"/>
      <c r="E36956" s="8"/>
      <c r="G36956" s="8"/>
      <c r="J36956" s="8"/>
    </row>
    <row r="36957">
      <c r="C36957" s="15"/>
      <c r="E36957" s="8"/>
      <c r="G36957" s="8"/>
      <c r="J36957" s="8"/>
    </row>
    <row r="36958">
      <c r="C36958" s="15"/>
      <c r="E36958" s="8"/>
      <c r="G36958" s="8"/>
      <c r="J36958" s="8"/>
    </row>
    <row r="36959">
      <c r="C36959" s="15"/>
      <c r="E36959" s="8"/>
      <c r="G36959" s="8"/>
      <c r="J36959" s="8"/>
    </row>
    <row r="36960">
      <c r="C36960" s="15"/>
      <c r="E36960" s="8"/>
      <c r="G36960" s="8"/>
      <c r="J36960" s="8"/>
    </row>
    <row r="36961">
      <c r="C36961" s="15"/>
      <c r="E36961" s="8"/>
      <c r="G36961" s="8"/>
      <c r="J36961" s="8"/>
    </row>
    <row r="36962">
      <c r="C36962" s="15"/>
      <c r="E36962" s="8"/>
      <c r="G36962" s="8"/>
      <c r="J36962" s="8"/>
    </row>
    <row r="36963">
      <c r="C36963" s="15"/>
      <c r="E36963" s="8"/>
      <c r="G36963" s="8"/>
      <c r="J36963" s="8"/>
    </row>
    <row r="36964">
      <c r="C36964" s="15"/>
      <c r="E36964" s="8"/>
      <c r="G36964" s="8"/>
      <c r="J36964" s="8"/>
    </row>
    <row r="36965">
      <c r="C36965" s="15"/>
      <c r="E36965" s="8"/>
      <c r="G36965" s="8"/>
      <c r="J36965" s="8"/>
    </row>
    <row r="36966">
      <c r="C36966" s="15"/>
      <c r="E36966" s="8"/>
      <c r="G36966" s="8"/>
      <c r="J36966" s="8"/>
    </row>
    <row r="36967">
      <c r="C36967" s="15"/>
      <c r="E36967" s="8"/>
      <c r="G36967" s="8"/>
      <c r="J36967" s="8"/>
    </row>
    <row r="36968">
      <c r="C36968" s="15"/>
      <c r="E36968" s="8"/>
      <c r="G36968" s="8"/>
      <c r="J36968" s="8"/>
    </row>
    <row r="36969">
      <c r="C36969" s="15"/>
      <c r="E36969" s="8"/>
      <c r="G36969" s="8"/>
      <c r="J36969" s="8"/>
    </row>
    <row r="36970">
      <c r="C36970" s="15"/>
      <c r="E36970" s="8"/>
      <c r="G36970" s="8"/>
      <c r="J36970" s="8"/>
    </row>
    <row r="36971">
      <c r="C36971" s="15"/>
      <c r="E36971" s="8"/>
      <c r="G36971" s="8"/>
      <c r="J36971" s="8"/>
    </row>
    <row r="36972">
      <c r="C36972" s="15"/>
      <c r="E36972" s="8"/>
      <c r="G36972" s="8"/>
      <c r="J36972" s="8"/>
    </row>
    <row r="36973">
      <c r="C36973" s="15"/>
      <c r="E36973" s="8"/>
      <c r="G36973" s="8"/>
      <c r="J36973" s="8"/>
    </row>
    <row r="36974">
      <c r="C36974" s="15"/>
      <c r="E36974" s="8"/>
      <c r="G36974" s="8"/>
      <c r="J36974" s="8"/>
    </row>
    <row r="36975">
      <c r="C36975" s="15"/>
      <c r="E36975" s="8"/>
      <c r="G36975" s="8"/>
      <c r="J36975" s="8"/>
    </row>
    <row r="36976">
      <c r="C36976" s="15"/>
      <c r="E36976" s="8"/>
      <c r="G36976" s="8"/>
      <c r="J36976" s="8"/>
    </row>
    <row r="36977">
      <c r="C36977" s="15"/>
      <c r="E36977" s="8"/>
      <c r="G36977" s="8"/>
      <c r="J36977" s="8"/>
    </row>
    <row r="36978">
      <c r="C36978" s="15"/>
      <c r="E36978" s="8"/>
      <c r="G36978" s="8"/>
      <c r="J36978" s="8"/>
    </row>
    <row r="36979">
      <c r="C36979" s="15"/>
      <c r="E36979" s="8"/>
      <c r="G36979" s="8"/>
      <c r="J36979" s="8"/>
    </row>
    <row r="36980">
      <c r="C36980" s="15"/>
      <c r="E36980" s="8"/>
      <c r="G36980" s="8"/>
      <c r="J36980" s="8"/>
    </row>
    <row r="36981">
      <c r="C36981" s="15"/>
      <c r="E36981" s="8"/>
      <c r="G36981" s="8"/>
      <c r="J36981" s="8"/>
    </row>
    <row r="36982">
      <c r="C36982" s="15"/>
      <c r="E36982" s="8"/>
      <c r="G36982" s="8"/>
      <c r="J36982" s="8"/>
    </row>
    <row r="36983">
      <c r="C36983" s="15"/>
      <c r="E36983" s="8"/>
      <c r="G36983" s="8"/>
      <c r="J36983" s="8"/>
    </row>
    <row r="36984">
      <c r="C36984" s="15"/>
      <c r="E36984" s="8"/>
      <c r="G36984" s="8"/>
      <c r="J36984" s="8"/>
    </row>
    <row r="36985">
      <c r="C36985" s="15"/>
      <c r="E36985" s="8"/>
      <c r="G36985" s="8"/>
      <c r="J36985" s="8"/>
    </row>
    <row r="36986">
      <c r="C36986" s="15"/>
      <c r="E36986" s="8"/>
      <c r="G36986" s="8"/>
      <c r="J36986" s="8"/>
    </row>
    <row r="36987">
      <c r="C36987" s="15"/>
      <c r="E36987" s="8"/>
      <c r="G36987" s="8"/>
      <c r="J36987" s="8"/>
    </row>
    <row r="36988">
      <c r="C36988" s="15"/>
      <c r="E36988" s="8"/>
      <c r="G36988" s="8"/>
      <c r="J36988" s="8"/>
    </row>
    <row r="36989">
      <c r="C36989" s="15"/>
      <c r="E36989" s="8"/>
      <c r="G36989" s="8"/>
      <c r="J36989" s="8"/>
    </row>
    <row r="36990">
      <c r="C36990" s="15"/>
      <c r="E36990" s="8"/>
      <c r="G36990" s="8"/>
      <c r="J36990" s="8"/>
    </row>
    <row r="36991">
      <c r="C36991" s="15"/>
      <c r="E36991" s="8"/>
      <c r="G36991" s="8"/>
      <c r="J36991" s="8"/>
    </row>
    <row r="36992">
      <c r="C36992" s="15"/>
      <c r="E36992" s="8"/>
      <c r="G36992" s="8"/>
      <c r="J36992" s="8"/>
    </row>
    <row r="36993">
      <c r="C36993" s="15"/>
      <c r="E36993" s="8"/>
      <c r="G36993" s="8"/>
      <c r="J36993" s="8"/>
    </row>
    <row r="36994">
      <c r="C36994" s="15"/>
      <c r="E36994" s="8"/>
      <c r="G36994" s="8"/>
      <c r="J36994" s="8"/>
    </row>
    <row r="36995">
      <c r="C36995" s="15"/>
      <c r="E36995" s="8"/>
      <c r="G36995" s="8"/>
      <c r="J36995" s="8"/>
    </row>
    <row r="36996">
      <c r="C36996" s="15"/>
      <c r="E36996" s="8"/>
      <c r="G36996" s="8"/>
      <c r="J36996" s="8"/>
    </row>
    <row r="36997">
      <c r="C36997" s="15"/>
      <c r="E36997" s="8"/>
      <c r="G36997" s="8"/>
      <c r="J36997" s="8"/>
    </row>
    <row r="36998">
      <c r="C36998" s="15"/>
      <c r="E36998" s="8"/>
      <c r="G36998" s="8"/>
      <c r="J36998" s="8"/>
    </row>
    <row r="36999">
      <c r="C36999" s="15"/>
      <c r="E36999" s="8"/>
      <c r="G36999" s="8"/>
      <c r="J36999" s="8"/>
    </row>
    <row r="37000">
      <c r="C37000" s="15"/>
      <c r="E37000" s="8"/>
      <c r="G37000" s="8"/>
      <c r="J37000" s="8"/>
    </row>
    <row r="37001">
      <c r="C37001" s="15"/>
      <c r="E37001" s="8"/>
      <c r="G37001" s="8"/>
      <c r="J37001" s="8"/>
    </row>
    <row r="37002">
      <c r="C37002" s="15"/>
      <c r="E37002" s="8"/>
      <c r="G37002" s="8"/>
      <c r="J37002" s="8"/>
    </row>
    <row r="37003">
      <c r="C37003" s="15"/>
      <c r="E37003" s="8"/>
      <c r="G37003" s="8"/>
      <c r="J37003" s="8"/>
    </row>
    <row r="37004">
      <c r="C37004" s="15"/>
      <c r="E37004" s="8"/>
      <c r="G37004" s="8"/>
      <c r="J37004" s="8"/>
    </row>
    <row r="37005">
      <c r="C37005" s="15"/>
      <c r="E37005" s="8"/>
      <c r="G37005" s="8"/>
      <c r="J37005" s="8"/>
    </row>
    <row r="37006">
      <c r="C37006" s="15"/>
      <c r="E37006" s="8"/>
      <c r="G37006" s="8"/>
      <c r="J37006" s="8"/>
    </row>
    <row r="37007">
      <c r="C37007" s="15"/>
      <c r="E37007" s="8"/>
      <c r="G37007" s="8"/>
      <c r="J37007" s="8"/>
    </row>
    <row r="37008">
      <c r="C37008" s="15"/>
      <c r="E37008" s="8"/>
      <c r="G37008" s="8"/>
      <c r="J37008" s="8"/>
    </row>
    <row r="37009">
      <c r="C37009" s="15"/>
      <c r="E37009" s="8"/>
      <c r="G37009" s="8"/>
      <c r="J37009" s="8"/>
    </row>
    <row r="37010">
      <c r="C37010" s="15"/>
      <c r="E37010" s="8"/>
      <c r="G37010" s="8"/>
      <c r="J37010" s="8"/>
    </row>
    <row r="37011">
      <c r="C37011" s="15"/>
      <c r="E37011" s="8"/>
      <c r="G37011" s="8"/>
      <c r="J37011" s="8"/>
    </row>
    <row r="37012">
      <c r="C37012" s="15"/>
      <c r="E37012" s="8"/>
      <c r="G37012" s="8"/>
      <c r="J37012" s="8"/>
    </row>
    <row r="37013">
      <c r="C37013" s="15"/>
      <c r="E37013" s="8"/>
      <c r="G37013" s="8"/>
      <c r="J37013" s="8"/>
    </row>
    <row r="37014">
      <c r="C37014" s="15"/>
      <c r="E37014" s="8"/>
      <c r="G37014" s="8"/>
      <c r="J37014" s="8"/>
    </row>
    <row r="37015">
      <c r="C37015" s="15"/>
      <c r="E37015" s="8"/>
      <c r="G37015" s="8"/>
      <c r="J37015" s="8"/>
    </row>
    <row r="37016">
      <c r="C37016" s="15"/>
      <c r="E37016" s="8"/>
      <c r="G37016" s="8"/>
      <c r="J37016" s="8"/>
    </row>
    <row r="37017">
      <c r="C37017" s="15"/>
      <c r="E37017" s="8"/>
      <c r="G37017" s="8"/>
      <c r="J37017" s="8"/>
    </row>
    <row r="37018">
      <c r="C37018" s="15"/>
      <c r="E37018" s="8"/>
      <c r="G37018" s="8"/>
      <c r="J37018" s="8"/>
    </row>
    <row r="37019">
      <c r="C37019" s="15"/>
      <c r="E37019" s="8"/>
      <c r="G37019" s="8"/>
      <c r="J37019" s="8"/>
    </row>
    <row r="37020">
      <c r="C37020" s="15"/>
      <c r="E37020" s="8"/>
      <c r="G37020" s="8"/>
      <c r="J37020" s="8"/>
    </row>
    <row r="37021">
      <c r="C37021" s="15"/>
      <c r="E37021" s="8"/>
      <c r="G37021" s="8"/>
      <c r="J37021" s="8"/>
    </row>
    <row r="37022">
      <c r="C37022" s="15"/>
      <c r="E37022" s="8"/>
      <c r="G37022" s="8"/>
      <c r="J37022" s="8"/>
    </row>
    <row r="37023">
      <c r="C37023" s="15"/>
      <c r="E37023" s="8"/>
      <c r="G37023" s="8"/>
      <c r="J37023" s="8"/>
    </row>
    <row r="37024">
      <c r="C37024" s="15"/>
      <c r="E37024" s="8"/>
      <c r="G37024" s="8"/>
      <c r="J37024" s="8"/>
    </row>
    <row r="37025">
      <c r="C37025" s="15"/>
      <c r="E37025" s="8"/>
      <c r="G37025" s="8"/>
      <c r="J37025" s="8"/>
    </row>
    <row r="37026">
      <c r="C37026" s="15"/>
      <c r="E37026" s="8"/>
      <c r="G37026" s="8"/>
      <c r="J37026" s="8"/>
    </row>
    <row r="37027">
      <c r="C37027" s="15"/>
      <c r="E37027" s="8"/>
      <c r="G37027" s="8"/>
      <c r="J37027" s="8"/>
    </row>
    <row r="37028">
      <c r="C37028" s="15"/>
      <c r="E37028" s="8"/>
      <c r="G37028" s="8"/>
      <c r="J37028" s="8"/>
    </row>
    <row r="37029">
      <c r="C37029" s="15"/>
      <c r="E37029" s="8"/>
      <c r="G37029" s="8"/>
      <c r="J37029" s="8"/>
    </row>
    <row r="37030">
      <c r="C37030" s="15"/>
      <c r="E37030" s="8"/>
      <c r="G37030" s="8"/>
      <c r="J37030" s="8"/>
    </row>
    <row r="37031">
      <c r="C37031" s="15"/>
      <c r="E37031" s="8"/>
      <c r="G37031" s="8"/>
      <c r="J37031" s="8"/>
    </row>
    <row r="37032">
      <c r="C37032" s="15"/>
      <c r="E37032" s="8"/>
      <c r="G37032" s="8"/>
      <c r="J37032" s="8"/>
    </row>
    <row r="37033">
      <c r="C37033" s="15"/>
      <c r="E37033" s="8"/>
      <c r="G37033" s="8"/>
      <c r="J37033" s="8"/>
    </row>
    <row r="37034">
      <c r="C37034" s="15"/>
      <c r="E37034" s="8"/>
      <c r="G37034" s="8"/>
      <c r="J37034" s="8"/>
    </row>
    <row r="37035">
      <c r="C37035" s="15"/>
      <c r="E37035" s="8"/>
      <c r="G37035" s="8"/>
      <c r="J37035" s="8"/>
    </row>
    <row r="37036">
      <c r="C37036" s="15"/>
      <c r="E37036" s="8"/>
      <c r="G37036" s="8"/>
      <c r="J37036" s="8"/>
    </row>
    <row r="37037">
      <c r="C37037" s="15"/>
      <c r="E37037" s="8"/>
      <c r="G37037" s="8"/>
      <c r="J37037" s="8"/>
    </row>
    <row r="37038">
      <c r="C37038" s="15"/>
      <c r="E37038" s="8"/>
      <c r="G37038" s="8"/>
      <c r="J37038" s="8"/>
    </row>
    <row r="37039">
      <c r="C37039" s="15"/>
      <c r="E37039" s="8"/>
      <c r="G37039" s="8"/>
      <c r="J37039" s="8"/>
    </row>
    <row r="37040">
      <c r="C37040" s="15"/>
      <c r="E37040" s="8"/>
      <c r="G37040" s="8"/>
      <c r="J37040" s="8"/>
    </row>
    <row r="37041">
      <c r="C37041" s="15"/>
      <c r="E37041" s="8"/>
      <c r="G37041" s="8"/>
      <c r="J37041" s="8"/>
    </row>
    <row r="37042">
      <c r="C37042" s="15"/>
      <c r="E37042" s="8"/>
      <c r="G37042" s="8"/>
      <c r="J37042" s="8"/>
    </row>
    <row r="37043">
      <c r="C37043" s="15"/>
      <c r="E37043" s="8"/>
      <c r="G37043" s="8"/>
      <c r="J37043" s="8"/>
    </row>
    <row r="37044">
      <c r="C37044" s="15"/>
      <c r="E37044" s="8"/>
      <c r="G37044" s="8"/>
      <c r="J37044" s="8"/>
    </row>
    <row r="37045">
      <c r="C37045" s="15"/>
      <c r="E37045" s="8"/>
      <c r="G37045" s="8"/>
      <c r="J37045" s="8"/>
    </row>
    <row r="37046">
      <c r="C37046" s="15"/>
      <c r="E37046" s="8"/>
      <c r="G37046" s="8"/>
      <c r="J37046" s="8"/>
    </row>
    <row r="37047">
      <c r="C37047" s="15"/>
      <c r="E37047" s="8"/>
      <c r="G37047" s="8"/>
      <c r="J37047" s="8"/>
    </row>
    <row r="37048">
      <c r="C37048" s="15"/>
      <c r="E37048" s="8"/>
      <c r="G37048" s="8"/>
      <c r="J37048" s="8"/>
    </row>
    <row r="37049">
      <c r="C37049" s="15"/>
      <c r="E37049" s="8"/>
      <c r="G37049" s="8"/>
      <c r="J37049" s="8"/>
    </row>
    <row r="37050">
      <c r="C37050" s="15"/>
      <c r="E37050" s="8"/>
      <c r="G37050" s="8"/>
      <c r="J37050" s="8"/>
    </row>
    <row r="37051">
      <c r="C37051" s="15"/>
      <c r="E37051" s="8"/>
      <c r="G37051" s="8"/>
      <c r="J37051" s="8"/>
    </row>
    <row r="37052">
      <c r="C37052" s="15"/>
      <c r="E37052" s="8"/>
      <c r="G37052" s="8"/>
      <c r="J37052" s="8"/>
    </row>
    <row r="37053">
      <c r="C37053" s="15"/>
      <c r="E37053" s="8"/>
      <c r="G37053" s="8"/>
      <c r="J37053" s="8"/>
    </row>
    <row r="37054">
      <c r="C37054" s="15"/>
      <c r="E37054" s="8"/>
      <c r="G37054" s="8"/>
      <c r="J37054" s="8"/>
    </row>
    <row r="37055">
      <c r="C37055" s="15"/>
      <c r="E37055" s="8"/>
      <c r="G37055" s="8"/>
      <c r="J37055" s="8"/>
    </row>
    <row r="37056">
      <c r="C37056" s="15"/>
      <c r="E37056" s="8"/>
      <c r="G37056" s="8"/>
      <c r="J37056" s="8"/>
    </row>
    <row r="37057">
      <c r="C37057" s="15"/>
      <c r="E37057" s="8"/>
      <c r="G37057" s="8"/>
      <c r="J37057" s="8"/>
    </row>
    <row r="37058">
      <c r="C37058" s="15"/>
      <c r="E37058" s="8"/>
      <c r="G37058" s="8"/>
      <c r="J37058" s="8"/>
    </row>
    <row r="37059">
      <c r="C37059" s="15"/>
      <c r="E37059" s="8"/>
      <c r="G37059" s="8"/>
      <c r="J37059" s="8"/>
    </row>
    <row r="37060">
      <c r="C37060" s="15"/>
      <c r="E37060" s="8"/>
      <c r="G37060" s="8"/>
      <c r="J37060" s="8"/>
    </row>
    <row r="37061">
      <c r="C37061" s="15"/>
      <c r="E37061" s="8"/>
      <c r="G37061" s="8"/>
      <c r="J37061" s="8"/>
    </row>
    <row r="37062">
      <c r="C37062" s="15"/>
      <c r="E37062" s="8"/>
      <c r="G37062" s="8"/>
      <c r="J37062" s="8"/>
    </row>
    <row r="37063">
      <c r="C37063" s="15"/>
      <c r="E37063" s="8"/>
      <c r="G37063" s="8"/>
      <c r="J37063" s="8"/>
    </row>
    <row r="37064">
      <c r="C37064" s="15"/>
      <c r="E37064" s="8"/>
      <c r="G37064" s="8"/>
      <c r="J37064" s="8"/>
    </row>
    <row r="37065">
      <c r="C37065" s="15"/>
      <c r="E37065" s="8"/>
      <c r="G37065" s="8"/>
      <c r="J37065" s="8"/>
    </row>
    <row r="37066">
      <c r="C37066" s="15"/>
      <c r="E37066" s="8"/>
      <c r="G37066" s="8"/>
      <c r="J37066" s="8"/>
    </row>
    <row r="37067">
      <c r="C37067" s="15"/>
      <c r="E37067" s="8"/>
      <c r="G37067" s="8"/>
      <c r="J37067" s="8"/>
    </row>
    <row r="37068">
      <c r="C37068" s="15"/>
      <c r="E37068" s="8"/>
      <c r="G37068" s="8"/>
      <c r="J37068" s="8"/>
    </row>
    <row r="37069">
      <c r="C37069" s="15"/>
      <c r="E37069" s="8"/>
      <c r="G37069" s="8"/>
      <c r="J37069" s="8"/>
    </row>
    <row r="37070">
      <c r="C37070" s="15"/>
      <c r="E37070" s="8"/>
      <c r="G37070" s="8"/>
      <c r="J37070" s="8"/>
    </row>
    <row r="37071">
      <c r="C37071" s="15"/>
      <c r="E37071" s="8"/>
      <c r="G37071" s="8"/>
      <c r="J37071" s="8"/>
    </row>
    <row r="37072">
      <c r="C37072" s="15"/>
      <c r="E37072" s="8"/>
      <c r="G37072" s="8"/>
      <c r="J37072" s="8"/>
    </row>
    <row r="37073">
      <c r="C37073" s="15"/>
      <c r="E37073" s="8"/>
      <c r="G37073" s="8"/>
      <c r="J37073" s="8"/>
    </row>
    <row r="37074">
      <c r="C37074" s="15"/>
      <c r="E37074" s="8"/>
      <c r="G37074" s="8"/>
      <c r="J37074" s="8"/>
    </row>
    <row r="37075">
      <c r="C37075" s="15"/>
      <c r="E37075" s="8"/>
      <c r="G37075" s="8"/>
      <c r="J37075" s="8"/>
    </row>
    <row r="37076">
      <c r="C37076" s="15"/>
      <c r="E37076" s="8"/>
      <c r="G37076" s="8"/>
      <c r="J37076" s="8"/>
    </row>
    <row r="37077">
      <c r="C37077" s="15"/>
      <c r="E37077" s="8"/>
      <c r="G37077" s="8"/>
      <c r="J37077" s="8"/>
    </row>
    <row r="37078">
      <c r="C37078" s="15"/>
      <c r="E37078" s="8"/>
      <c r="G37078" s="8"/>
      <c r="J37078" s="8"/>
    </row>
    <row r="37079">
      <c r="C37079" s="15"/>
      <c r="E37079" s="8"/>
      <c r="G37079" s="8"/>
      <c r="J37079" s="8"/>
    </row>
    <row r="37080">
      <c r="C37080" s="15"/>
      <c r="E37080" s="8"/>
      <c r="G37080" s="8"/>
      <c r="J37080" s="8"/>
    </row>
    <row r="37081">
      <c r="C37081" s="15"/>
      <c r="E37081" s="8"/>
      <c r="G37081" s="8"/>
      <c r="J37081" s="8"/>
    </row>
    <row r="37082">
      <c r="C37082" s="15"/>
      <c r="E37082" s="8"/>
      <c r="G37082" s="8"/>
      <c r="J37082" s="8"/>
    </row>
    <row r="37083">
      <c r="C37083" s="15"/>
      <c r="E37083" s="8"/>
      <c r="G37083" s="8"/>
      <c r="J37083" s="8"/>
    </row>
    <row r="37084">
      <c r="C37084" s="15"/>
      <c r="E37084" s="8"/>
      <c r="G37084" s="8"/>
      <c r="J37084" s="8"/>
    </row>
    <row r="37085">
      <c r="C37085" s="15"/>
      <c r="E37085" s="8"/>
      <c r="G37085" s="8"/>
      <c r="J37085" s="8"/>
    </row>
    <row r="37086">
      <c r="C37086" s="15"/>
      <c r="E37086" s="8"/>
      <c r="G37086" s="8"/>
      <c r="J37086" s="8"/>
    </row>
    <row r="37087">
      <c r="C37087" s="15"/>
      <c r="E37087" s="8"/>
      <c r="G37087" s="8"/>
      <c r="J37087" s="8"/>
    </row>
    <row r="37088">
      <c r="C37088" s="15"/>
      <c r="E37088" s="8"/>
      <c r="G37088" s="8"/>
      <c r="J37088" s="8"/>
    </row>
    <row r="37089">
      <c r="C37089" s="15"/>
      <c r="E37089" s="8"/>
      <c r="G37089" s="8"/>
      <c r="J37089" s="8"/>
    </row>
    <row r="37090">
      <c r="C37090" s="15"/>
      <c r="E37090" s="8"/>
      <c r="G37090" s="8"/>
      <c r="J37090" s="8"/>
    </row>
    <row r="37091">
      <c r="C37091" s="15"/>
      <c r="E37091" s="8"/>
      <c r="G37091" s="8"/>
      <c r="J37091" s="8"/>
    </row>
    <row r="37092">
      <c r="C37092" s="15"/>
      <c r="E37092" s="8"/>
      <c r="G37092" s="8"/>
      <c r="J37092" s="8"/>
    </row>
    <row r="37093">
      <c r="C37093" s="15"/>
      <c r="E37093" s="8"/>
      <c r="G37093" s="8"/>
      <c r="J37093" s="8"/>
    </row>
    <row r="37094">
      <c r="C37094" s="15"/>
      <c r="E37094" s="8"/>
      <c r="G37094" s="8"/>
      <c r="J37094" s="8"/>
    </row>
    <row r="37095">
      <c r="C37095" s="15"/>
      <c r="E37095" s="8"/>
      <c r="G37095" s="8"/>
      <c r="J37095" s="8"/>
    </row>
    <row r="37096">
      <c r="C37096" s="15"/>
      <c r="E37096" s="8"/>
      <c r="G37096" s="8"/>
      <c r="J37096" s="8"/>
    </row>
    <row r="37097">
      <c r="C37097" s="15"/>
      <c r="E37097" s="8"/>
      <c r="G37097" s="8"/>
      <c r="J37097" s="8"/>
    </row>
    <row r="37098">
      <c r="C37098" s="15"/>
      <c r="E37098" s="8"/>
      <c r="G37098" s="8"/>
      <c r="J37098" s="8"/>
    </row>
    <row r="37099">
      <c r="C37099" s="15"/>
      <c r="E37099" s="8"/>
      <c r="G37099" s="8"/>
      <c r="J37099" s="8"/>
    </row>
    <row r="37100">
      <c r="C37100" s="15"/>
      <c r="E37100" s="8"/>
      <c r="G37100" s="8"/>
      <c r="J37100" s="8"/>
    </row>
    <row r="37101">
      <c r="C37101" s="15"/>
      <c r="E37101" s="8"/>
      <c r="G37101" s="8"/>
      <c r="J37101" s="8"/>
    </row>
    <row r="37102">
      <c r="C37102" s="15"/>
      <c r="E37102" s="8"/>
      <c r="G37102" s="8"/>
      <c r="J37102" s="8"/>
    </row>
    <row r="37103">
      <c r="C37103" s="15"/>
      <c r="E37103" s="8"/>
      <c r="G37103" s="8"/>
      <c r="J37103" s="8"/>
    </row>
    <row r="37104">
      <c r="C37104" s="15"/>
      <c r="E37104" s="8"/>
      <c r="G37104" s="8"/>
      <c r="J37104" s="8"/>
    </row>
    <row r="37105">
      <c r="C37105" s="15"/>
      <c r="E37105" s="8"/>
      <c r="G37105" s="8"/>
      <c r="J37105" s="8"/>
    </row>
    <row r="37106">
      <c r="C37106" s="15"/>
      <c r="E37106" s="8"/>
      <c r="G37106" s="8"/>
      <c r="J37106" s="8"/>
    </row>
    <row r="37107">
      <c r="C37107" s="15"/>
      <c r="E37107" s="8"/>
      <c r="G37107" s="8"/>
      <c r="J37107" s="8"/>
    </row>
    <row r="37108">
      <c r="C37108" s="15"/>
      <c r="E37108" s="8"/>
      <c r="G37108" s="8"/>
      <c r="J37108" s="8"/>
    </row>
    <row r="37109">
      <c r="C37109" s="15"/>
      <c r="E37109" s="8"/>
      <c r="G37109" s="8"/>
      <c r="J37109" s="8"/>
    </row>
    <row r="37110">
      <c r="C37110" s="15"/>
      <c r="E37110" s="8"/>
      <c r="G37110" s="8"/>
      <c r="J37110" s="8"/>
    </row>
    <row r="37111">
      <c r="C37111" s="15"/>
      <c r="E37111" s="8"/>
      <c r="G37111" s="8"/>
      <c r="J37111" s="8"/>
    </row>
    <row r="37112">
      <c r="C37112" s="15"/>
      <c r="E37112" s="8"/>
      <c r="G37112" s="8"/>
      <c r="J37112" s="8"/>
    </row>
    <row r="37113">
      <c r="C37113" s="15"/>
      <c r="E37113" s="8"/>
      <c r="G37113" s="8"/>
      <c r="J37113" s="8"/>
    </row>
    <row r="37114">
      <c r="C37114" s="15"/>
      <c r="E37114" s="8"/>
      <c r="G37114" s="8"/>
      <c r="J37114" s="8"/>
    </row>
    <row r="37115">
      <c r="C37115" s="15"/>
      <c r="E37115" s="8"/>
      <c r="G37115" s="8"/>
      <c r="J37115" s="8"/>
    </row>
    <row r="37116">
      <c r="C37116" s="15"/>
      <c r="E37116" s="8"/>
      <c r="G37116" s="8"/>
      <c r="J37116" s="8"/>
    </row>
    <row r="37117">
      <c r="C37117" s="15"/>
      <c r="E37117" s="8"/>
      <c r="G37117" s="8"/>
      <c r="J37117" s="8"/>
    </row>
    <row r="37118">
      <c r="C37118" s="15"/>
      <c r="E37118" s="8"/>
      <c r="G37118" s="8"/>
      <c r="J37118" s="8"/>
    </row>
    <row r="37119">
      <c r="C37119" s="15"/>
      <c r="E37119" s="8"/>
      <c r="G37119" s="8"/>
      <c r="J37119" s="8"/>
    </row>
    <row r="37120">
      <c r="C37120" s="15"/>
      <c r="E37120" s="8"/>
      <c r="G37120" s="8"/>
      <c r="J37120" s="8"/>
    </row>
    <row r="37121">
      <c r="C37121" s="15"/>
      <c r="E37121" s="8"/>
      <c r="G37121" s="8"/>
      <c r="J37121" s="8"/>
    </row>
    <row r="37122">
      <c r="C37122" s="15"/>
      <c r="E37122" s="8"/>
      <c r="G37122" s="8"/>
      <c r="J37122" s="8"/>
    </row>
    <row r="37123">
      <c r="C37123" s="15"/>
      <c r="E37123" s="8"/>
      <c r="G37123" s="8"/>
      <c r="J37123" s="8"/>
    </row>
    <row r="37124">
      <c r="C37124" s="15"/>
      <c r="E37124" s="8"/>
      <c r="G37124" s="8"/>
      <c r="J37124" s="8"/>
    </row>
    <row r="37125">
      <c r="C37125" s="15"/>
      <c r="E37125" s="8"/>
      <c r="G37125" s="8"/>
      <c r="J37125" s="8"/>
    </row>
    <row r="37126">
      <c r="C37126" s="15"/>
      <c r="E37126" s="8"/>
      <c r="G37126" s="8"/>
      <c r="J37126" s="8"/>
    </row>
    <row r="37127">
      <c r="C37127" s="15"/>
      <c r="E37127" s="8"/>
      <c r="G37127" s="8"/>
      <c r="J37127" s="8"/>
    </row>
    <row r="37128">
      <c r="C37128" s="15"/>
      <c r="E37128" s="8"/>
      <c r="G37128" s="8"/>
      <c r="J37128" s="8"/>
    </row>
    <row r="37129">
      <c r="C37129" s="15"/>
      <c r="E37129" s="8"/>
      <c r="G37129" s="8"/>
      <c r="J37129" s="8"/>
    </row>
    <row r="37130">
      <c r="C37130" s="15"/>
      <c r="E37130" s="8"/>
      <c r="G37130" s="8"/>
      <c r="J37130" s="8"/>
    </row>
    <row r="37131">
      <c r="C37131" s="15"/>
      <c r="E37131" s="8"/>
      <c r="G37131" s="8"/>
      <c r="J37131" s="8"/>
    </row>
    <row r="37132">
      <c r="C37132" s="15"/>
      <c r="E37132" s="8"/>
      <c r="G37132" s="8"/>
      <c r="J37132" s="8"/>
    </row>
    <row r="37133">
      <c r="C37133" s="15"/>
      <c r="E37133" s="8"/>
      <c r="G37133" s="8"/>
      <c r="J37133" s="8"/>
    </row>
    <row r="37134">
      <c r="C37134" s="15"/>
      <c r="E37134" s="8"/>
      <c r="G37134" s="8"/>
      <c r="J37134" s="8"/>
    </row>
    <row r="37135">
      <c r="C37135" s="15"/>
      <c r="E37135" s="8"/>
      <c r="G37135" s="8"/>
      <c r="J37135" s="8"/>
    </row>
    <row r="37136">
      <c r="C37136" s="15"/>
      <c r="E37136" s="8"/>
      <c r="G37136" s="8"/>
      <c r="J37136" s="8"/>
    </row>
    <row r="37137">
      <c r="C37137" s="15"/>
      <c r="E37137" s="8"/>
      <c r="G37137" s="8"/>
      <c r="J37137" s="8"/>
    </row>
    <row r="37138">
      <c r="C37138" s="15"/>
      <c r="E37138" s="8"/>
      <c r="G37138" s="8"/>
      <c r="J37138" s="8"/>
    </row>
    <row r="37139">
      <c r="C37139" s="15"/>
      <c r="E37139" s="8"/>
      <c r="G37139" s="8"/>
      <c r="J37139" s="8"/>
    </row>
    <row r="37140">
      <c r="C37140" s="15"/>
      <c r="E37140" s="8"/>
      <c r="G37140" s="8"/>
      <c r="J37140" s="8"/>
    </row>
    <row r="37141">
      <c r="C37141" s="15"/>
      <c r="E37141" s="8"/>
      <c r="G37141" s="8"/>
      <c r="J37141" s="8"/>
    </row>
    <row r="37142">
      <c r="C37142" s="15"/>
      <c r="E37142" s="8"/>
      <c r="G37142" s="8"/>
      <c r="J37142" s="8"/>
    </row>
    <row r="37143">
      <c r="C37143" s="15"/>
      <c r="E37143" s="8"/>
      <c r="G37143" s="8"/>
      <c r="J37143" s="8"/>
    </row>
    <row r="37144">
      <c r="C37144" s="15"/>
      <c r="E37144" s="8"/>
      <c r="G37144" s="8"/>
      <c r="J37144" s="8"/>
    </row>
    <row r="37145">
      <c r="C37145" s="15"/>
      <c r="E37145" s="8"/>
      <c r="G37145" s="8"/>
      <c r="J37145" s="8"/>
    </row>
    <row r="37146">
      <c r="C37146" s="15"/>
      <c r="E37146" s="8"/>
      <c r="G37146" s="8"/>
      <c r="J37146" s="8"/>
    </row>
    <row r="37147">
      <c r="C37147" s="15"/>
      <c r="E37147" s="8"/>
      <c r="G37147" s="8"/>
      <c r="J37147" s="8"/>
    </row>
    <row r="37148">
      <c r="C37148" s="15"/>
      <c r="E37148" s="8"/>
      <c r="G37148" s="8"/>
      <c r="J37148" s="8"/>
    </row>
    <row r="37149">
      <c r="C37149" s="15"/>
      <c r="E37149" s="8"/>
      <c r="G37149" s="8"/>
      <c r="J37149" s="8"/>
    </row>
    <row r="37150">
      <c r="C37150" s="15"/>
      <c r="E37150" s="8"/>
      <c r="G37150" s="8"/>
      <c r="J37150" s="8"/>
    </row>
    <row r="37151">
      <c r="C37151" s="15"/>
      <c r="E37151" s="8"/>
      <c r="G37151" s="8"/>
      <c r="J37151" s="8"/>
    </row>
    <row r="37152">
      <c r="C37152" s="15"/>
      <c r="E37152" s="8"/>
      <c r="G37152" s="8"/>
      <c r="J37152" s="8"/>
    </row>
    <row r="37153">
      <c r="C37153" s="15"/>
      <c r="E37153" s="8"/>
      <c r="G37153" s="8"/>
      <c r="J37153" s="8"/>
    </row>
    <row r="37154">
      <c r="C37154" s="15"/>
      <c r="E37154" s="8"/>
      <c r="G37154" s="8"/>
      <c r="J37154" s="8"/>
    </row>
    <row r="37155">
      <c r="C37155" s="15"/>
      <c r="E37155" s="8"/>
      <c r="G37155" s="8"/>
      <c r="J37155" s="8"/>
    </row>
    <row r="37156">
      <c r="C37156" s="15"/>
      <c r="E37156" s="8"/>
      <c r="G37156" s="8"/>
      <c r="J37156" s="8"/>
    </row>
    <row r="37157">
      <c r="C37157" s="15"/>
      <c r="E37157" s="8"/>
      <c r="G37157" s="8"/>
      <c r="J37157" s="8"/>
    </row>
    <row r="37158">
      <c r="C37158" s="15"/>
      <c r="E37158" s="8"/>
      <c r="G37158" s="8"/>
      <c r="J37158" s="8"/>
    </row>
    <row r="37159">
      <c r="C37159" s="15"/>
      <c r="E37159" s="8"/>
      <c r="G37159" s="8"/>
      <c r="J37159" s="8"/>
    </row>
    <row r="37160">
      <c r="C37160" s="15"/>
      <c r="E37160" s="8"/>
      <c r="G37160" s="8"/>
      <c r="J37160" s="8"/>
    </row>
    <row r="37161">
      <c r="C37161" s="15"/>
      <c r="E37161" s="8"/>
      <c r="G37161" s="8"/>
      <c r="J37161" s="8"/>
    </row>
    <row r="37162">
      <c r="C37162" s="15"/>
      <c r="E37162" s="8"/>
      <c r="G37162" s="8"/>
      <c r="J37162" s="8"/>
    </row>
    <row r="37163">
      <c r="C37163" s="15"/>
      <c r="E37163" s="8"/>
      <c r="G37163" s="8"/>
      <c r="J37163" s="8"/>
    </row>
    <row r="37164">
      <c r="C37164" s="15"/>
      <c r="E37164" s="8"/>
      <c r="G37164" s="8"/>
      <c r="J37164" s="8"/>
    </row>
    <row r="37165">
      <c r="C37165" s="15"/>
      <c r="E37165" s="8"/>
      <c r="G37165" s="8"/>
      <c r="J37165" s="8"/>
    </row>
    <row r="37166">
      <c r="C37166" s="15"/>
      <c r="E37166" s="8"/>
      <c r="G37166" s="8"/>
      <c r="J37166" s="8"/>
    </row>
    <row r="37167">
      <c r="C37167" s="15"/>
      <c r="E37167" s="8"/>
      <c r="G37167" s="8"/>
      <c r="J37167" s="8"/>
    </row>
    <row r="37168">
      <c r="C37168" s="15"/>
      <c r="E37168" s="8"/>
      <c r="G37168" s="8"/>
      <c r="J37168" s="8"/>
    </row>
    <row r="37169">
      <c r="C37169" s="15"/>
      <c r="E37169" s="8"/>
      <c r="G37169" s="8"/>
      <c r="J37169" s="8"/>
    </row>
    <row r="37170">
      <c r="C37170" s="15"/>
      <c r="E37170" s="8"/>
      <c r="G37170" s="8"/>
      <c r="J37170" s="8"/>
    </row>
    <row r="37171">
      <c r="C37171" s="15"/>
      <c r="E37171" s="8"/>
      <c r="G37171" s="8"/>
      <c r="J37171" s="8"/>
    </row>
    <row r="37172">
      <c r="C37172" s="15"/>
      <c r="E37172" s="8"/>
      <c r="G37172" s="8"/>
      <c r="J37172" s="8"/>
    </row>
    <row r="37173">
      <c r="C37173" s="15"/>
      <c r="E37173" s="8"/>
      <c r="G37173" s="8"/>
      <c r="J37173" s="8"/>
    </row>
    <row r="37174">
      <c r="C37174" s="15"/>
      <c r="E37174" s="8"/>
      <c r="G37174" s="8"/>
      <c r="J37174" s="8"/>
    </row>
    <row r="37175">
      <c r="C37175" s="15"/>
      <c r="E37175" s="8"/>
      <c r="G37175" s="8"/>
      <c r="J37175" s="8"/>
    </row>
    <row r="37176">
      <c r="C37176" s="15"/>
      <c r="E37176" s="8"/>
      <c r="G37176" s="8"/>
      <c r="J37176" s="8"/>
    </row>
    <row r="37177">
      <c r="C37177" s="15"/>
      <c r="E37177" s="8"/>
      <c r="G37177" s="8"/>
      <c r="J37177" s="8"/>
    </row>
    <row r="37178">
      <c r="C37178" s="15"/>
      <c r="E37178" s="8"/>
      <c r="G37178" s="8"/>
      <c r="J37178" s="8"/>
    </row>
    <row r="37179">
      <c r="C37179" s="15"/>
      <c r="E37179" s="8"/>
      <c r="G37179" s="8"/>
      <c r="J37179" s="8"/>
    </row>
    <row r="37180">
      <c r="C37180" s="15"/>
      <c r="E37180" s="8"/>
      <c r="G37180" s="8"/>
      <c r="J37180" s="8"/>
    </row>
    <row r="37181">
      <c r="C37181" s="15"/>
      <c r="E37181" s="8"/>
      <c r="G37181" s="8"/>
      <c r="J37181" s="8"/>
    </row>
    <row r="37182">
      <c r="C37182" s="15"/>
      <c r="E37182" s="8"/>
      <c r="G37182" s="8"/>
      <c r="J37182" s="8"/>
    </row>
    <row r="37183">
      <c r="C37183" s="15"/>
      <c r="E37183" s="8"/>
      <c r="G37183" s="8"/>
      <c r="J37183" s="8"/>
    </row>
    <row r="37184">
      <c r="C37184" s="15"/>
      <c r="E37184" s="8"/>
      <c r="G37184" s="8"/>
      <c r="J37184" s="8"/>
    </row>
    <row r="37185">
      <c r="C37185" s="15"/>
      <c r="E37185" s="8"/>
      <c r="G37185" s="8"/>
      <c r="J37185" s="8"/>
    </row>
    <row r="37186">
      <c r="C37186" s="15"/>
      <c r="E37186" s="8"/>
      <c r="G37186" s="8"/>
      <c r="J37186" s="8"/>
    </row>
    <row r="37187">
      <c r="C37187" s="15"/>
      <c r="E37187" s="8"/>
      <c r="G37187" s="8"/>
      <c r="J37187" s="8"/>
    </row>
    <row r="37188">
      <c r="C37188" s="15"/>
      <c r="E37188" s="8"/>
      <c r="G37188" s="8"/>
      <c r="J37188" s="8"/>
    </row>
    <row r="37189">
      <c r="C37189" s="15"/>
      <c r="E37189" s="8"/>
      <c r="G37189" s="8"/>
      <c r="J37189" s="8"/>
    </row>
    <row r="37190">
      <c r="C37190" s="15"/>
      <c r="E37190" s="8"/>
      <c r="G37190" s="8"/>
      <c r="J37190" s="8"/>
    </row>
    <row r="37191">
      <c r="C37191" s="15"/>
      <c r="E37191" s="8"/>
      <c r="G37191" s="8"/>
      <c r="J37191" s="8"/>
    </row>
    <row r="37192">
      <c r="C37192" s="15"/>
      <c r="E37192" s="8"/>
      <c r="G37192" s="8"/>
      <c r="J37192" s="8"/>
    </row>
    <row r="37193">
      <c r="C37193" s="15"/>
      <c r="E37193" s="8"/>
      <c r="G37193" s="8"/>
      <c r="J37193" s="8"/>
    </row>
    <row r="37194">
      <c r="C37194" s="15"/>
      <c r="E37194" s="8"/>
      <c r="G37194" s="8"/>
      <c r="J37194" s="8"/>
    </row>
    <row r="37195">
      <c r="C37195" s="15"/>
      <c r="E37195" s="8"/>
      <c r="G37195" s="8"/>
      <c r="J37195" s="8"/>
    </row>
    <row r="37196">
      <c r="C37196" s="15"/>
      <c r="E37196" s="8"/>
      <c r="G37196" s="8"/>
      <c r="J37196" s="8"/>
    </row>
    <row r="37197">
      <c r="C37197" s="15"/>
      <c r="E37197" s="8"/>
      <c r="G37197" s="8"/>
      <c r="J37197" s="8"/>
    </row>
    <row r="37198">
      <c r="C37198" s="15"/>
      <c r="E37198" s="8"/>
      <c r="G37198" s="8"/>
      <c r="J37198" s="8"/>
    </row>
    <row r="37199">
      <c r="C37199" s="15"/>
      <c r="E37199" s="8"/>
      <c r="G37199" s="8"/>
      <c r="J37199" s="8"/>
    </row>
    <row r="37200">
      <c r="C37200" s="15"/>
      <c r="E37200" s="8"/>
      <c r="G37200" s="8"/>
      <c r="J37200" s="8"/>
    </row>
    <row r="37201">
      <c r="C37201" s="15"/>
      <c r="E37201" s="8"/>
      <c r="G37201" s="8"/>
      <c r="J37201" s="8"/>
    </row>
    <row r="37202">
      <c r="C37202" s="15"/>
      <c r="E37202" s="8"/>
      <c r="G37202" s="8"/>
      <c r="J37202" s="8"/>
    </row>
    <row r="37203">
      <c r="C37203" s="15"/>
      <c r="E37203" s="8"/>
      <c r="G37203" s="8"/>
      <c r="J37203" s="8"/>
    </row>
    <row r="37204">
      <c r="C37204" s="15"/>
      <c r="E37204" s="8"/>
      <c r="G37204" s="8"/>
      <c r="J37204" s="8"/>
    </row>
    <row r="37205">
      <c r="C37205" s="15"/>
      <c r="E37205" s="8"/>
      <c r="G37205" s="8"/>
      <c r="J37205" s="8"/>
    </row>
    <row r="37206">
      <c r="C37206" s="15"/>
      <c r="E37206" s="8"/>
      <c r="G37206" s="8"/>
      <c r="J37206" s="8"/>
    </row>
    <row r="37207">
      <c r="C37207" s="15"/>
      <c r="E37207" s="8"/>
      <c r="G37207" s="8"/>
      <c r="J37207" s="8"/>
    </row>
    <row r="37208">
      <c r="C37208" s="15"/>
      <c r="E37208" s="8"/>
      <c r="G37208" s="8"/>
      <c r="J37208" s="8"/>
    </row>
    <row r="37209">
      <c r="C37209" s="15"/>
      <c r="E37209" s="8"/>
      <c r="G37209" s="8"/>
      <c r="J37209" s="8"/>
    </row>
    <row r="37210">
      <c r="C37210" s="15"/>
      <c r="E37210" s="8"/>
      <c r="G37210" s="8"/>
      <c r="J37210" s="8"/>
    </row>
    <row r="37211">
      <c r="C37211" s="15"/>
      <c r="E37211" s="8"/>
      <c r="G37211" s="8"/>
      <c r="J37211" s="8"/>
    </row>
    <row r="37212">
      <c r="C37212" s="15"/>
      <c r="E37212" s="8"/>
      <c r="G37212" s="8"/>
      <c r="J37212" s="8"/>
    </row>
    <row r="37213">
      <c r="C37213" s="15"/>
      <c r="E37213" s="8"/>
      <c r="G37213" s="8"/>
      <c r="J37213" s="8"/>
    </row>
    <row r="37214">
      <c r="C37214" s="15"/>
      <c r="E37214" s="8"/>
      <c r="G37214" s="8"/>
      <c r="J37214" s="8"/>
    </row>
    <row r="37215">
      <c r="C37215" s="15"/>
      <c r="E37215" s="8"/>
      <c r="G37215" s="8"/>
      <c r="J37215" s="8"/>
    </row>
    <row r="37216">
      <c r="C37216" s="15"/>
      <c r="E37216" s="8"/>
      <c r="G37216" s="8"/>
      <c r="J37216" s="8"/>
    </row>
    <row r="37217">
      <c r="C37217" s="15"/>
      <c r="E37217" s="8"/>
      <c r="G37217" s="8"/>
      <c r="J37217" s="8"/>
    </row>
    <row r="37218">
      <c r="C37218" s="15"/>
      <c r="E37218" s="8"/>
      <c r="G37218" s="8"/>
      <c r="J37218" s="8"/>
    </row>
    <row r="37219">
      <c r="C37219" s="15"/>
      <c r="E37219" s="8"/>
      <c r="G37219" s="8"/>
      <c r="J37219" s="8"/>
    </row>
    <row r="37220">
      <c r="C37220" s="15"/>
      <c r="E37220" s="8"/>
      <c r="G37220" s="8"/>
      <c r="J37220" s="8"/>
    </row>
    <row r="37221">
      <c r="C37221" s="15"/>
      <c r="E37221" s="8"/>
      <c r="G37221" s="8"/>
      <c r="J37221" s="8"/>
    </row>
    <row r="37222">
      <c r="C37222" s="15"/>
      <c r="E37222" s="8"/>
      <c r="G37222" s="8"/>
      <c r="J37222" s="8"/>
    </row>
    <row r="37223">
      <c r="C37223" s="15"/>
      <c r="E37223" s="8"/>
      <c r="G37223" s="8"/>
      <c r="J37223" s="8"/>
    </row>
    <row r="37224">
      <c r="C37224" s="15"/>
      <c r="E37224" s="8"/>
      <c r="G37224" s="8"/>
      <c r="J37224" s="8"/>
    </row>
    <row r="37225">
      <c r="C37225" s="15"/>
      <c r="E37225" s="8"/>
      <c r="G37225" s="8"/>
      <c r="J37225" s="8"/>
    </row>
    <row r="37226">
      <c r="C37226" s="15"/>
      <c r="E37226" s="8"/>
      <c r="G37226" s="8"/>
      <c r="J37226" s="8"/>
    </row>
    <row r="37227">
      <c r="C37227" s="15"/>
      <c r="E37227" s="8"/>
      <c r="G37227" s="8"/>
      <c r="J37227" s="8"/>
    </row>
    <row r="37228">
      <c r="C37228" s="15"/>
      <c r="E37228" s="8"/>
      <c r="G37228" s="8"/>
      <c r="J37228" s="8"/>
    </row>
    <row r="37229">
      <c r="C37229" s="15"/>
      <c r="E37229" s="8"/>
      <c r="G37229" s="8"/>
      <c r="J37229" s="8"/>
    </row>
    <row r="37230">
      <c r="C37230" s="15"/>
      <c r="E37230" s="8"/>
      <c r="G37230" s="8"/>
      <c r="J37230" s="8"/>
    </row>
    <row r="37231">
      <c r="C37231" s="15"/>
      <c r="E37231" s="8"/>
      <c r="G37231" s="8"/>
      <c r="J37231" s="8"/>
    </row>
    <row r="37232">
      <c r="C37232" s="15"/>
      <c r="E37232" s="8"/>
      <c r="G37232" s="8"/>
      <c r="J37232" s="8"/>
    </row>
    <row r="37233">
      <c r="C37233" s="15"/>
      <c r="E37233" s="8"/>
      <c r="G37233" s="8"/>
      <c r="J37233" s="8"/>
    </row>
    <row r="37234">
      <c r="C37234" s="15"/>
      <c r="E37234" s="8"/>
      <c r="G37234" s="8"/>
      <c r="J37234" s="8"/>
    </row>
    <row r="37235">
      <c r="C37235" s="15"/>
      <c r="E37235" s="8"/>
      <c r="G37235" s="8"/>
      <c r="J37235" s="8"/>
    </row>
    <row r="37236">
      <c r="C37236" s="15"/>
      <c r="E37236" s="8"/>
      <c r="G37236" s="8"/>
      <c r="J37236" s="8"/>
    </row>
    <row r="37237">
      <c r="C37237" s="15"/>
      <c r="E37237" s="8"/>
      <c r="G37237" s="8"/>
      <c r="J37237" s="8"/>
    </row>
    <row r="37238">
      <c r="C37238" s="15"/>
      <c r="E37238" s="8"/>
      <c r="G37238" s="8"/>
      <c r="J37238" s="8"/>
    </row>
    <row r="37239">
      <c r="C37239" s="15"/>
      <c r="E37239" s="8"/>
      <c r="G37239" s="8"/>
      <c r="J37239" s="8"/>
    </row>
    <row r="37240">
      <c r="C37240" s="15"/>
      <c r="E37240" s="8"/>
      <c r="G37240" s="8"/>
      <c r="J37240" s="8"/>
    </row>
    <row r="37241">
      <c r="C37241" s="15"/>
      <c r="E37241" s="8"/>
      <c r="G37241" s="8"/>
      <c r="J37241" s="8"/>
    </row>
    <row r="37242">
      <c r="C37242" s="15"/>
      <c r="E37242" s="8"/>
      <c r="G37242" s="8"/>
      <c r="J37242" s="8"/>
    </row>
    <row r="37243">
      <c r="C37243" s="15"/>
      <c r="E37243" s="8"/>
      <c r="G37243" s="8"/>
      <c r="J37243" s="8"/>
    </row>
    <row r="37244">
      <c r="C37244" s="15"/>
      <c r="E37244" s="8"/>
      <c r="G37244" s="8"/>
      <c r="J37244" s="8"/>
    </row>
    <row r="37245">
      <c r="C37245" s="15"/>
      <c r="E37245" s="8"/>
      <c r="G37245" s="8"/>
      <c r="J37245" s="8"/>
    </row>
    <row r="37246">
      <c r="C37246" s="15"/>
      <c r="E37246" s="8"/>
      <c r="G37246" s="8"/>
      <c r="J37246" s="8"/>
    </row>
    <row r="37247">
      <c r="C37247" s="15"/>
      <c r="E37247" s="8"/>
      <c r="G37247" s="8"/>
      <c r="J37247" s="8"/>
    </row>
    <row r="37248">
      <c r="C37248" s="15"/>
      <c r="E37248" s="8"/>
      <c r="G37248" s="8"/>
      <c r="J37248" s="8"/>
    </row>
    <row r="37249">
      <c r="C37249" s="15"/>
      <c r="E37249" s="8"/>
      <c r="G37249" s="8"/>
      <c r="J37249" s="8"/>
    </row>
    <row r="37250">
      <c r="C37250" s="15"/>
      <c r="E37250" s="8"/>
      <c r="G37250" s="8"/>
      <c r="J37250" s="8"/>
    </row>
    <row r="37251">
      <c r="C37251" s="15"/>
      <c r="E37251" s="8"/>
      <c r="G37251" s="8"/>
      <c r="J37251" s="8"/>
    </row>
    <row r="37252">
      <c r="C37252" s="15"/>
      <c r="E37252" s="8"/>
      <c r="G37252" s="8"/>
      <c r="J37252" s="8"/>
    </row>
    <row r="37253">
      <c r="C37253" s="15"/>
      <c r="E37253" s="8"/>
      <c r="G37253" s="8"/>
      <c r="J37253" s="8"/>
    </row>
    <row r="37254">
      <c r="C37254" s="15"/>
      <c r="E37254" s="8"/>
      <c r="G37254" s="8"/>
      <c r="J37254" s="8"/>
    </row>
    <row r="37255">
      <c r="C37255" s="15"/>
      <c r="E37255" s="8"/>
      <c r="G37255" s="8"/>
      <c r="J37255" s="8"/>
    </row>
    <row r="37256">
      <c r="C37256" s="15"/>
      <c r="E37256" s="8"/>
      <c r="G37256" s="8"/>
      <c r="J37256" s="8"/>
    </row>
    <row r="37257">
      <c r="C37257" s="15"/>
      <c r="E37257" s="8"/>
      <c r="G37257" s="8"/>
      <c r="J37257" s="8"/>
    </row>
    <row r="37258">
      <c r="C37258" s="15"/>
      <c r="E37258" s="8"/>
      <c r="G37258" s="8"/>
      <c r="J37258" s="8"/>
    </row>
    <row r="37259">
      <c r="C37259" s="15"/>
      <c r="E37259" s="8"/>
      <c r="G37259" s="8"/>
      <c r="J37259" s="8"/>
    </row>
    <row r="37260">
      <c r="C37260" s="15"/>
      <c r="E37260" s="8"/>
      <c r="G37260" s="8"/>
      <c r="J37260" s="8"/>
    </row>
    <row r="37261">
      <c r="C37261" s="15"/>
      <c r="E37261" s="8"/>
      <c r="G37261" s="8"/>
      <c r="J37261" s="8"/>
    </row>
    <row r="37262">
      <c r="C37262" s="15"/>
      <c r="E37262" s="8"/>
      <c r="G37262" s="8"/>
      <c r="J37262" s="8"/>
    </row>
    <row r="37263">
      <c r="C37263" s="15"/>
      <c r="E37263" s="8"/>
      <c r="G37263" s="8"/>
      <c r="J37263" s="8"/>
    </row>
    <row r="37264">
      <c r="C37264" s="15"/>
      <c r="E37264" s="8"/>
      <c r="G37264" s="8"/>
      <c r="J37264" s="8"/>
    </row>
    <row r="37265">
      <c r="C37265" s="15"/>
      <c r="E37265" s="8"/>
      <c r="G37265" s="8"/>
      <c r="J37265" s="8"/>
    </row>
    <row r="37266">
      <c r="C37266" s="15"/>
      <c r="E37266" s="8"/>
      <c r="G37266" s="8"/>
      <c r="J37266" s="8"/>
    </row>
    <row r="37267">
      <c r="C37267" s="15"/>
      <c r="E37267" s="8"/>
      <c r="G37267" s="8"/>
      <c r="J37267" s="8"/>
    </row>
    <row r="37268">
      <c r="C37268" s="15"/>
      <c r="E37268" s="8"/>
      <c r="G37268" s="8"/>
      <c r="J37268" s="8"/>
    </row>
    <row r="37269">
      <c r="C37269" s="15"/>
      <c r="E37269" s="8"/>
      <c r="G37269" s="8"/>
      <c r="J37269" s="8"/>
    </row>
    <row r="37270">
      <c r="C37270" s="15"/>
      <c r="E37270" s="8"/>
      <c r="G37270" s="8"/>
      <c r="J37270" s="8"/>
    </row>
    <row r="37271">
      <c r="C37271" s="15"/>
      <c r="E37271" s="8"/>
      <c r="G37271" s="8"/>
      <c r="J37271" s="8"/>
    </row>
    <row r="37272">
      <c r="C37272" s="15"/>
      <c r="E37272" s="8"/>
      <c r="G37272" s="8"/>
      <c r="J37272" s="8"/>
    </row>
    <row r="37273">
      <c r="C37273" s="15"/>
      <c r="E37273" s="8"/>
      <c r="G37273" s="8"/>
      <c r="J37273" s="8"/>
    </row>
    <row r="37274">
      <c r="C37274" s="15"/>
      <c r="E37274" s="8"/>
      <c r="G37274" s="8"/>
      <c r="J37274" s="8"/>
    </row>
    <row r="37275">
      <c r="C37275" s="15"/>
      <c r="E37275" s="8"/>
      <c r="G37275" s="8"/>
      <c r="J37275" s="8"/>
    </row>
    <row r="37276">
      <c r="C37276" s="15"/>
      <c r="E37276" s="8"/>
      <c r="G37276" s="8"/>
      <c r="J37276" s="8"/>
    </row>
    <row r="37277">
      <c r="C37277" s="15"/>
      <c r="E37277" s="8"/>
      <c r="G37277" s="8"/>
      <c r="J37277" s="8"/>
    </row>
    <row r="37278">
      <c r="C37278" s="15"/>
      <c r="E37278" s="8"/>
      <c r="G37278" s="8"/>
      <c r="J37278" s="8"/>
    </row>
    <row r="37279">
      <c r="C37279" s="15"/>
      <c r="E37279" s="8"/>
      <c r="G37279" s="8"/>
      <c r="J37279" s="8"/>
    </row>
    <row r="37280">
      <c r="C37280" s="15"/>
      <c r="E37280" s="8"/>
      <c r="G37280" s="8"/>
      <c r="J37280" s="8"/>
    </row>
    <row r="37281">
      <c r="C37281" s="15"/>
      <c r="E37281" s="8"/>
      <c r="G37281" s="8"/>
      <c r="J37281" s="8"/>
    </row>
    <row r="37282">
      <c r="C37282" s="15"/>
      <c r="E37282" s="8"/>
      <c r="G37282" s="8"/>
      <c r="J37282" s="8"/>
    </row>
    <row r="37283">
      <c r="C37283" s="15"/>
      <c r="E37283" s="8"/>
      <c r="G37283" s="8"/>
      <c r="J37283" s="8"/>
    </row>
    <row r="37284">
      <c r="C37284" s="15"/>
      <c r="E37284" s="8"/>
      <c r="G37284" s="8"/>
      <c r="J37284" s="8"/>
    </row>
    <row r="37285">
      <c r="C37285" s="15"/>
      <c r="E37285" s="8"/>
      <c r="G37285" s="8"/>
      <c r="J37285" s="8"/>
    </row>
    <row r="37286">
      <c r="C37286" s="15"/>
      <c r="E37286" s="8"/>
      <c r="G37286" s="8"/>
      <c r="J37286" s="8"/>
    </row>
    <row r="37287">
      <c r="C37287" s="15"/>
      <c r="E37287" s="8"/>
      <c r="G37287" s="8"/>
      <c r="J37287" s="8"/>
    </row>
    <row r="37288">
      <c r="C37288" s="15"/>
      <c r="E37288" s="8"/>
      <c r="G37288" s="8"/>
      <c r="J37288" s="8"/>
    </row>
    <row r="37289">
      <c r="C37289" s="15"/>
      <c r="E37289" s="8"/>
      <c r="G37289" s="8"/>
      <c r="J37289" s="8"/>
    </row>
    <row r="37290">
      <c r="C37290" s="15"/>
      <c r="E37290" s="8"/>
      <c r="G37290" s="8"/>
      <c r="J37290" s="8"/>
    </row>
    <row r="37291">
      <c r="C37291" s="15"/>
      <c r="E37291" s="8"/>
      <c r="G37291" s="8"/>
      <c r="J37291" s="8"/>
    </row>
    <row r="37292">
      <c r="C37292" s="15"/>
      <c r="E37292" s="8"/>
      <c r="G37292" s="8"/>
      <c r="J37292" s="8"/>
    </row>
    <row r="37293">
      <c r="C37293" s="15"/>
      <c r="E37293" s="8"/>
      <c r="G37293" s="8"/>
      <c r="J37293" s="8"/>
    </row>
    <row r="37294">
      <c r="C37294" s="15"/>
      <c r="E37294" s="8"/>
      <c r="G37294" s="8"/>
      <c r="J37294" s="8"/>
    </row>
    <row r="37295">
      <c r="C37295" s="15"/>
      <c r="E37295" s="8"/>
      <c r="G37295" s="8"/>
      <c r="J37295" s="8"/>
    </row>
    <row r="37296">
      <c r="C37296" s="15"/>
      <c r="E37296" s="8"/>
      <c r="G37296" s="8"/>
      <c r="J37296" s="8"/>
    </row>
    <row r="37297">
      <c r="C37297" s="15"/>
      <c r="E37297" s="8"/>
      <c r="G37297" s="8"/>
      <c r="J37297" s="8"/>
    </row>
    <row r="37298">
      <c r="C37298" s="15"/>
      <c r="E37298" s="8"/>
      <c r="G37298" s="8"/>
      <c r="J37298" s="8"/>
    </row>
    <row r="37299">
      <c r="C37299" s="15"/>
      <c r="E37299" s="8"/>
      <c r="G37299" s="8"/>
      <c r="J37299" s="8"/>
    </row>
    <row r="37300">
      <c r="C37300" s="15"/>
      <c r="E37300" s="8"/>
      <c r="G37300" s="8"/>
      <c r="J37300" s="8"/>
    </row>
    <row r="37301">
      <c r="C37301" s="15"/>
      <c r="E37301" s="8"/>
      <c r="G37301" s="8"/>
      <c r="J37301" s="8"/>
    </row>
    <row r="37302">
      <c r="C37302" s="15"/>
      <c r="E37302" s="8"/>
      <c r="G37302" s="8"/>
      <c r="J37302" s="8"/>
    </row>
    <row r="37303">
      <c r="C37303" s="15"/>
      <c r="E37303" s="8"/>
      <c r="G37303" s="8"/>
      <c r="J37303" s="8"/>
    </row>
    <row r="37304">
      <c r="C37304" s="15"/>
      <c r="E37304" s="8"/>
      <c r="G37304" s="8"/>
      <c r="J37304" s="8"/>
    </row>
    <row r="37305">
      <c r="C37305" s="15"/>
      <c r="E37305" s="8"/>
      <c r="G37305" s="8"/>
      <c r="J37305" s="8"/>
    </row>
    <row r="37306">
      <c r="C37306" s="15"/>
      <c r="E37306" s="8"/>
      <c r="G37306" s="8"/>
      <c r="J37306" s="8"/>
    </row>
    <row r="37307">
      <c r="C37307" s="15"/>
      <c r="E37307" s="8"/>
      <c r="G37307" s="8"/>
      <c r="J37307" s="8"/>
    </row>
    <row r="37308">
      <c r="C37308" s="15"/>
      <c r="E37308" s="8"/>
      <c r="G37308" s="8"/>
      <c r="J37308" s="8"/>
    </row>
    <row r="37309">
      <c r="C37309" s="15"/>
      <c r="E37309" s="8"/>
      <c r="G37309" s="8"/>
      <c r="J37309" s="8"/>
    </row>
    <row r="37310">
      <c r="C37310" s="15"/>
      <c r="E37310" s="8"/>
      <c r="G37310" s="8"/>
      <c r="J37310" s="8"/>
    </row>
    <row r="37311">
      <c r="C37311" s="15"/>
      <c r="E37311" s="8"/>
      <c r="G37311" s="8"/>
      <c r="J37311" s="8"/>
    </row>
    <row r="37312">
      <c r="C37312" s="15"/>
      <c r="E37312" s="8"/>
      <c r="G37312" s="8"/>
      <c r="J37312" s="8"/>
    </row>
    <row r="37313">
      <c r="C37313" s="15"/>
      <c r="E37313" s="8"/>
      <c r="G37313" s="8"/>
      <c r="J37313" s="8"/>
    </row>
    <row r="37314">
      <c r="C37314" s="15"/>
      <c r="E37314" s="8"/>
      <c r="G37314" s="8"/>
      <c r="J37314" s="8"/>
    </row>
    <row r="37315">
      <c r="C37315" s="15"/>
      <c r="E37315" s="8"/>
      <c r="G37315" s="8"/>
      <c r="J37315" s="8"/>
    </row>
    <row r="37316">
      <c r="C37316" s="15"/>
      <c r="E37316" s="8"/>
      <c r="G37316" s="8"/>
      <c r="J37316" s="8"/>
    </row>
    <row r="37317">
      <c r="C37317" s="15"/>
      <c r="E37317" s="8"/>
      <c r="G37317" s="8"/>
      <c r="J37317" s="8"/>
    </row>
    <row r="37318">
      <c r="C37318" s="15"/>
      <c r="E37318" s="8"/>
      <c r="G37318" s="8"/>
      <c r="J37318" s="8"/>
    </row>
    <row r="37319">
      <c r="C37319" s="15"/>
      <c r="E37319" s="8"/>
      <c r="G37319" s="8"/>
      <c r="J37319" s="8"/>
    </row>
    <row r="37320">
      <c r="C37320" s="15"/>
      <c r="E37320" s="8"/>
      <c r="G37320" s="8"/>
      <c r="J37320" s="8"/>
    </row>
    <row r="37321">
      <c r="C37321" s="15"/>
      <c r="E37321" s="8"/>
      <c r="G37321" s="8"/>
      <c r="J37321" s="8"/>
    </row>
    <row r="37322">
      <c r="C37322" s="15"/>
      <c r="E37322" s="8"/>
      <c r="G37322" s="8"/>
      <c r="J37322" s="8"/>
    </row>
    <row r="37323">
      <c r="C37323" s="15"/>
      <c r="E37323" s="8"/>
      <c r="G37323" s="8"/>
      <c r="J37323" s="8"/>
    </row>
    <row r="37324">
      <c r="C37324" s="15"/>
      <c r="E37324" s="8"/>
      <c r="G37324" s="8"/>
      <c r="J37324" s="8"/>
    </row>
    <row r="37325">
      <c r="C37325" s="15"/>
      <c r="E37325" s="8"/>
      <c r="G37325" s="8"/>
      <c r="J37325" s="8"/>
    </row>
    <row r="37326">
      <c r="C37326" s="15"/>
      <c r="E37326" s="8"/>
      <c r="G37326" s="8"/>
      <c r="J37326" s="8"/>
    </row>
    <row r="37327">
      <c r="C37327" s="15"/>
      <c r="E37327" s="8"/>
      <c r="G37327" s="8"/>
      <c r="J37327" s="8"/>
    </row>
    <row r="37328">
      <c r="C37328" s="15"/>
      <c r="E37328" s="8"/>
      <c r="G37328" s="8"/>
      <c r="J37328" s="8"/>
    </row>
    <row r="37329">
      <c r="C37329" s="15"/>
      <c r="E37329" s="8"/>
      <c r="G37329" s="8"/>
      <c r="J37329" s="8"/>
    </row>
    <row r="37330">
      <c r="C37330" s="15"/>
      <c r="E37330" s="8"/>
      <c r="G37330" s="8"/>
      <c r="J37330" s="8"/>
    </row>
    <row r="37331">
      <c r="C37331" s="15"/>
      <c r="E37331" s="8"/>
      <c r="G37331" s="8"/>
      <c r="J37331" s="8"/>
    </row>
    <row r="37332">
      <c r="C37332" s="15"/>
      <c r="E37332" s="8"/>
      <c r="G37332" s="8"/>
      <c r="J37332" s="8"/>
    </row>
    <row r="37333">
      <c r="C37333" s="15"/>
      <c r="E37333" s="8"/>
      <c r="G37333" s="8"/>
      <c r="J37333" s="8"/>
    </row>
    <row r="37334">
      <c r="C37334" s="15"/>
      <c r="E37334" s="8"/>
      <c r="G37334" s="8"/>
      <c r="J37334" s="8"/>
    </row>
    <row r="37335">
      <c r="C37335" s="15"/>
      <c r="E37335" s="8"/>
      <c r="G37335" s="8"/>
      <c r="J37335" s="8"/>
    </row>
    <row r="37336">
      <c r="C37336" s="15"/>
      <c r="E37336" s="8"/>
      <c r="G37336" s="8"/>
      <c r="J37336" s="8"/>
    </row>
    <row r="37337">
      <c r="C37337" s="15"/>
      <c r="E37337" s="8"/>
      <c r="G37337" s="8"/>
      <c r="J37337" s="8"/>
    </row>
    <row r="37338">
      <c r="C37338" s="15"/>
      <c r="E37338" s="8"/>
      <c r="G37338" s="8"/>
      <c r="J37338" s="8"/>
    </row>
    <row r="37339">
      <c r="C37339" s="15"/>
      <c r="E37339" s="8"/>
      <c r="G37339" s="8"/>
      <c r="J37339" s="8"/>
    </row>
    <row r="37340">
      <c r="C37340" s="15"/>
      <c r="E37340" s="8"/>
      <c r="G37340" s="8"/>
      <c r="J37340" s="8"/>
    </row>
    <row r="37341">
      <c r="C37341" s="15"/>
      <c r="E37341" s="8"/>
      <c r="G37341" s="8"/>
      <c r="J37341" s="8"/>
    </row>
    <row r="37342">
      <c r="C37342" s="15"/>
      <c r="E37342" s="8"/>
      <c r="G37342" s="8"/>
      <c r="J37342" s="8"/>
    </row>
    <row r="37343">
      <c r="C37343" s="15"/>
      <c r="E37343" s="8"/>
      <c r="G37343" s="8"/>
      <c r="J37343" s="8"/>
    </row>
    <row r="37344">
      <c r="C37344" s="15"/>
      <c r="E37344" s="8"/>
      <c r="G37344" s="8"/>
      <c r="J37344" s="8"/>
    </row>
    <row r="37345">
      <c r="C37345" s="15"/>
      <c r="E37345" s="8"/>
      <c r="G37345" s="8"/>
      <c r="J37345" s="8"/>
    </row>
    <row r="37346">
      <c r="C37346" s="15"/>
      <c r="E37346" s="8"/>
      <c r="G37346" s="8"/>
      <c r="J37346" s="8"/>
    </row>
    <row r="37347">
      <c r="C37347" s="15"/>
      <c r="E37347" s="8"/>
      <c r="G37347" s="8"/>
      <c r="J37347" s="8"/>
    </row>
    <row r="37348">
      <c r="C37348" s="15"/>
      <c r="E37348" s="8"/>
      <c r="G37348" s="8"/>
      <c r="J37348" s="8"/>
    </row>
    <row r="37349">
      <c r="C37349" s="15"/>
      <c r="E37349" s="8"/>
      <c r="G37349" s="8"/>
      <c r="J37349" s="8"/>
    </row>
    <row r="37350">
      <c r="C37350" s="15"/>
      <c r="E37350" s="8"/>
      <c r="G37350" s="8"/>
      <c r="J37350" s="8"/>
    </row>
    <row r="37351">
      <c r="C37351" s="15"/>
      <c r="E37351" s="8"/>
      <c r="G37351" s="8"/>
      <c r="J37351" s="8"/>
    </row>
    <row r="37352">
      <c r="C37352" s="15"/>
      <c r="E37352" s="8"/>
      <c r="G37352" s="8"/>
      <c r="J37352" s="8"/>
    </row>
    <row r="37353">
      <c r="C37353" s="15"/>
      <c r="E37353" s="8"/>
      <c r="G37353" s="8"/>
      <c r="J37353" s="8"/>
    </row>
    <row r="37354">
      <c r="C37354" s="15"/>
      <c r="E37354" s="8"/>
      <c r="G37354" s="8"/>
      <c r="J37354" s="8"/>
    </row>
    <row r="37355">
      <c r="C37355" s="15"/>
      <c r="E37355" s="8"/>
      <c r="G37355" s="8"/>
      <c r="J37355" s="8"/>
    </row>
    <row r="37356">
      <c r="C37356" s="15"/>
      <c r="E37356" s="8"/>
      <c r="G37356" s="8"/>
      <c r="J37356" s="8"/>
    </row>
    <row r="37357">
      <c r="C37357" s="15"/>
      <c r="E37357" s="8"/>
      <c r="G37357" s="8"/>
      <c r="J37357" s="8"/>
    </row>
    <row r="37358">
      <c r="C37358" s="15"/>
      <c r="E37358" s="8"/>
      <c r="G37358" s="8"/>
      <c r="J37358" s="8"/>
    </row>
    <row r="37359">
      <c r="C37359" s="15"/>
      <c r="E37359" s="8"/>
      <c r="G37359" s="8"/>
      <c r="J37359" s="8"/>
    </row>
    <row r="37360">
      <c r="C37360" s="15"/>
      <c r="E37360" s="8"/>
      <c r="G37360" s="8"/>
      <c r="J37360" s="8"/>
    </row>
    <row r="37361">
      <c r="C37361" s="15"/>
      <c r="E37361" s="8"/>
      <c r="G37361" s="8"/>
      <c r="J37361" s="8"/>
    </row>
    <row r="37362">
      <c r="C37362" s="15"/>
      <c r="E37362" s="8"/>
      <c r="G37362" s="8"/>
      <c r="J37362" s="8"/>
    </row>
    <row r="37363">
      <c r="C37363" s="15"/>
      <c r="E37363" s="8"/>
      <c r="G37363" s="8"/>
      <c r="J37363" s="8"/>
    </row>
    <row r="37364">
      <c r="C37364" s="15"/>
      <c r="E37364" s="8"/>
      <c r="G37364" s="8"/>
      <c r="J37364" s="8"/>
    </row>
    <row r="37365">
      <c r="C37365" s="15"/>
      <c r="E37365" s="8"/>
      <c r="G37365" s="8"/>
      <c r="J37365" s="8"/>
    </row>
    <row r="37366">
      <c r="C37366" s="15"/>
      <c r="E37366" s="8"/>
      <c r="G37366" s="8"/>
      <c r="J37366" s="8"/>
    </row>
    <row r="37367">
      <c r="C37367" s="15"/>
      <c r="E37367" s="8"/>
      <c r="G37367" s="8"/>
      <c r="J37367" s="8"/>
    </row>
    <row r="37368">
      <c r="C37368" s="15"/>
      <c r="E37368" s="8"/>
      <c r="G37368" s="8"/>
      <c r="J37368" s="8"/>
    </row>
    <row r="37369">
      <c r="C37369" s="15"/>
      <c r="E37369" s="8"/>
      <c r="G37369" s="8"/>
      <c r="J37369" s="8"/>
    </row>
    <row r="37370">
      <c r="C37370" s="15"/>
      <c r="E37370" s="8"/>
      <c r="G37370" s="8"/>
      <c r="J37370" s="8"/>
    </row>
    <row r="37371">
      <c r="C37371" s="15"/>
      <c r="E37371" s="8"/>
      <c r="G37371" s="8"/>
      <c r="J37371" s="8"/>
    </row>
    <row r="37372">
      <c r="C37372" s="15"/>
      <c r="E37372" s="8"/>
      <c r="G37372" s="8"/>
      <c r="J37372" s="8"/>
    </row>
    <row r="37373">
      <c r="C37373" s="15"/>
      <c r="E37373" s="8"/>
      <c r="G37373" s="8"/>
      <c r="J37373" s="8"/>
    </row>
    <row r="37374">
      <c r="C37374" s="15"/>
      <c r="E37374" s="8"/>
      <c r="G37374" s="8"/>
      <c r="J37374" s="8"/>
    </row>
    <row r="37375">
      <c r="C37375" s="15"/>
      <c r="E37375" s="8"/>
      <c r="G37375" s="8"/>
      <c r="J37375" s="8"/>
    </row>
    <row r="37376">
      <c r="C37376" s="15"/>
      <c r="E37376" s="8"/>
      <c r="G37376" s="8"/>
      <c r="J37376" s="8"/>
    </row>
    <row r="37377">
      <c r="C37377" s="15"/>
      <c r="E37377" s="8"/>
      <c r="G37377" s="8"/>
      <c r="J37377" s="8"/>
    </row>
    <row r="37378">
      <c r="C37378" s="15"/>
      <c r="E37378" s="8"/>
      <c r="G37378" s="8"/>
      <c r="J37378" s="8"/>
    </row>
    <row r="37379">
      <c r="C37379" s="15"/>
      <c r="E37379" s="8"/>
      <c r="G37379" s="8"/>
      <c r="J37379" s="8"/>
    </row>
    <row r="37380">
      <c r="C37380" s="15"/>
      <c r="E37380" s="8"/>
      <c r="G37380" s="8"/>
      <c r="J37380" s="8"/>
    </row>
    <row r="37381">
      <c r="C37381" s="15"/>
      <c r="E37381" s="8"/>
      <c r="G37381" s="8"/>
      <c r="J37381" s="8"/>
    </row>
    <row r="37382">
      <c r="C37382" s="15"/>
      <c r="E37382" s="8"/>
      <c r="G37382" s="8"/>
      <c r="J37382" s="8"/>
    </row>
    <row r="37383">
      <c r="C37383" s="15"/>
      <c r="E37383" s="8"/>
      <c r="G37383" s="8"/>
      <c r="J37383" s="8"/>
    </row>
    <row r="37384">
      <c r="C37384" s="15"/>
      <c r="E37384" s="8"/>
      <c r="G37384" s="8"/>
      <c r="J37384" s="8"/>
    </row>
    <row r="37385">
      <c r="C37385" s="15"/>
      <c r="E37385" s="8"/>
      <c r="G37385" s="8"/>
      <c r="J37385" s="8"/>
    </row>
    <row r="37386">
      <c r="C37386" s="15"/>
      <c r="E37386" s="8"/>
      <c r="G37386" s="8"/>
      <c r="J37386" s="8"/>
    </row>
    <row r="37387">
      <c r="C37387" s="15"/>
      <c r="E37387" s="8"/>
      <c r="G37387" s="8"/>
      <c r="J37387" s="8"/>
    </row>
    <row r="37388">
      <c r="C37388" s="15"/>
      <c r="E37388" s="8"/>
      <c r="G37388" s="8"/>
      <c r="J37388" s="8"/>
    </row>
    <row r="37389">
      <c r="C37389" s="15"/>
      <c r="E37389" s="8"/>
      <c r="G37389" s="8"/>
      <c r="J37389" s="8"/>
    </row>
    <row r="37390">
      <c r="C37390" s="15"/>
      <c r="E37390" s="8"/>
      <c r="G37390" s="8"/>
      <c r="J37390" s="8"/>
    </row>
    <row r="37391">
      <c r="C37391" s="15"/>
      <c r="E37391" s="8"/>
      <c r="G37391" s="8"/>
      <c r="J37391" s="8"/>
    </row>
    <row r="37392">
      <c r="C37392" s="15"/>
      <c r="E37392" s="8"/>
      <c r="G37392" s="8"/>
      <c r="J37392" s="8"/>
    </row>
    <row r="37393">
      <c r="C37393" s="15"/>
      <c r="E37393" s="8"/>
      <c r="G37393" s="8"/>
      <c r="J37393" s="8"/>
    </row>
    <row r="37394">
      <c r="C37394" s="15"/>
      <c r="E37394" s="8"/>
      <c r="G37394" s="8"/>
      <c r="J37394" s="8"/>
    </row>
    <row r="37395">
      <c r="C37395" s="15"/>
      <c r="E37395" s="8"/>
      <c r="G37395" s="8"/>
      <c r="J37395" s="8"/>
    </row>
    <row r="37396">
      <c r="C37396" s="15"/>
      <c r="E37396" s="8"/>
      <c r="G37396" s="8"/>
      <c r="J37396" s="8"/>
    </row>
    <row r="37397">
      <c r="C37397" s="15"/>
      <c r="E37397" s="8"/>
      <c r="G37397" s="8"/>
      <c r="J37397" s="8"/>
    </row>
    <row r="37398">
      <c r="C37398" s="15"/>
      <c r="E37398" s="8"/>
      <c r="G37398" s="8"/>
      <c r="J37398" s="8"/>
    </row>
    <row r="37399">
      <c r="C37399" s="15"/>
      <c r="E37399" s="8"/>
      <c r="G37399" s="8"/>
      <c r="J37399" s="8"/>
    </row>
    <row r="37400">
      <c r="C37400" s="15"/>
      <c r="E37400" s="8"/>
      <c r="G37400" s="8"/>
      <c r="J37400" s="8"/>
    </row>
    <row r="37401">
      <c r="C37401" s="15"/>
      <c r="E37401" s="8"/>
      <c r="G37401" s="8"/>
      <c r="J37401" s="8"/>
    </row>
    <row r="37402">
      <c r="C37402" s="15"/>
      <c r="E37402" s="8"/>
      <c r="G37402" s="8"/>
      <c r="J37402" s="8"/>
    </row>
    <row r="37403">
      <c r="C37403" s="15"/>
      <c r="E37403" s="8"/>
      <c r="G37403" s="8"/>
      <c r="J37403" s="8"/>
    </row>
    <row r="37404">
      <c r="C37404" s="15"/>
      <c r="E37404" s="8"/>
      <c r="G37404" s="8"/>
      <c r="J37404" s="8"/>
    </row>
    <row r="37405">
      <c r="C37405" s="15"/>
      <c r="E37405" s="8"/>
      <c r="G37405" s="8"/>
      <c r="J37405" s="8"/>
    </row>
    <row r="37406">
      <c r="C37406" s="15"/>
      <c r="E37406" s="8"/>
      <c r="G37406" s="8"/>
      <c r="J37406" s="8"/>
    </row>
    <row r="37407">
      <c r="C37407" s="15"/>
      <c r="E37407" s="8"/>
      <c r="G37407" s="8"/>
      <c r="J37407" s="8"/>
    </row>
    <row r="37408">
      <c r="C37408" s="15"/>
      <c r="E37408" s="8"/>
      <c r="G37408" s="8"/>
      <c r="J37408" s="8"/>
    </row>
    <row r="37409">
      <c r="C37409" s="15"/>
      <c r="E37409" s="8"/>
      <c r="G37409" s="8"/>
      <c r="J37409" s="8"/>
    </row>
    <row r="37410">
      <c r="C37410" s="15"/>
      <c r="E37410" s="8"/>
      <c r="G37410" s="8"/>
      <c r="J37410" s="8"/>
    </row>
    <row r="37411">
      <c r="C37411" s="15"/>
      <c r="E37411" s="8"/>
      <c r="G37411" s="8"/>
      <c r="J37411" s="8"/>
    </row>
    <row r="37412">
      <c r="C37412" s="15"/>
      <c r="E37412" s="8"/>
      <c r="G37412" s="8"/>
      <c r="J37412" s="8"/>
    </row>
    <row r="37413">
      <c r="C37413" s="15"/>
      <c r="E37413" s="8"/>
      <c r="G37413" s="8"/>
      <c r="J37413" s="8"/>
    </row>
    <row r="37414">
      <c r="C37414" s="15"/>
      <c r="E37414" s="8"/>
      <c r="G37414" s="8"/>
      <c r="J37414" s="8"/>
    </row>
    <row r="37415">
      <c r="C37415" s="15"/>
      <c r="E37415" s="8"/>
      <c r="G37415" s="8"/>
      <c r="J37415" s="8"/>
    </row>
    <row r="37416">
      <c r="C37416" s="15"/>
      <c r="E37416" s="8"/>
      <c r="G37416" s="8"/>
      <c r="J37416" s="8"/>
    </row>
    <row r="37417">
      <c r="C37417" s="15"/>
      <c r="E37417" s="8"/>
      <c r="G37417" s="8"/>
      <c r="J37417" s="8"/>
    </row>
    <row r="37418">
      <c r="C37418" s="15"/>
      <c r="E37418" s="8"/>
      <c r="G37418" s="8"/>
      <c r="J37418" s="8"/>
    </row>
    <row r="37419">
      <c r="C37419" s="15"/>
      <c r="E37419" s="8"/>
      <c r="G37419" s="8"/>
      <c r="J37419" s="8"/>
    </row>
    <row r="37420">
      <c r="C37420" s="15"/>
      <c r="E37420" s="8"/>
      <c r="G37420" s="8"/>
      <c r="J37420" s="8"/>
    </row>
    <row r="37421">
      <c r="C37421" s="15"/>
      <c r="E37421" s="8"/>
      <c r="G37421" s="8"/>
      <c r="J37421" s="8"/>
    </row>
    <row r="37422">
      <c r="C37422" s="15"/>
      <c r="E37422" s="8"/>
      <c r="G37422" s="8"/>
      <c r="J37422" s="8"/>
    </row>
    <row r="37423">
      <c r="C37423" s="15"/>
      <c r="E37423" s="8"/>
      <c r="G37423" s="8"/>
      <c r="J37423" s="8"/>
    </row>
    <row r="37424">
      <c r="C37424" s="15"/>
      <c r="E37424" s="8"/>
      <c r="G37424" s="8"/>
      <c r="J37424" s="8"/>
    </row>
    <row r="37425">
      <c r="C37425" s="15"/>
      <c r="E37425" s="8"/>
      <c r="G37425" s="8"/>
      <c r="J37425" s="8"/>
    </row>
    <row r="37426">
      <c r="C37426" s="15"/>
      <c r="E37426" s="8"/>
      <c r="G37426" s="8"/>
      <c r="J37426" s="8"/>
    </row>
    <row r="37427">
      <c r="C37427" s="15"/>
      <c r="E37427" s="8"/>
      <c r="G37427" s="8"/>
      <c r="J37427" s="8"/>
    </row>
    <row r="37428">
      <c r="C37428" s="15"/>
      <c r="E37428" s="8"/>
      <c r="G37428" s="8"/>
      <c r="J37428" s="8"/>
    </row>
    <row r="37429">
      <c r="C37429" s="15"/>
      <c r="E37429" s="8"/>
      <c r="G37429" s="8"/>
      <c r="J37429" s="8"/>
    </row>
    <row r="37430">
      <c r="C37430" s="15"/>
      <c r="E37430" s="8"/>
      <c r="G37430" s="8"/>
      <c r="J37430" s="8"/>
    </row>
    <row r="37431">
      <c r="C37431" s="15"/>
      <c r="E37431" s="8"/>
      <c r="G37431" s="8"/>
      <c r="J37431" s="8"/>
    </row>
    <row r="37432">
      <c r="C37432" s="15"/>
      <c r="E37432" s="8"/>
      <c r="G37432" s="8"/>
      <c r="J37432" s="8"/>
    </row>
    <row r="37433">
      <c r="C37433" s="15"/>
      <c r="E37433" s="8"/>
      <c r="G37433" s="8"/>
      <c r="J37433" s="8"/>
    </row>
    <row r="37434">
      <c r="C37434" s="15"/>
      <c r="E37434" s="8"/>
      <c r="G37434" s="8"/>
      <c r="J37434" s="8"/>
    </row>
    <row r="37435">
      <c r="C37435" s="15"/>
      <c r="E37435" s="8"/>
      <c r="G37435" s="8"/>
      <c r="J37435" s="8"/>
    </row>
    <row r="37436">
      <c r="C37436" s="15"/>
      <c r="E37436" s="8"/>
      <c r="G37436" s="8"/>
      <c r="J37436" s="8"/>
    </row>
    <row r="37437">
      <c r="C37437" s="15"/>
      <c r="E37437" s="8"/>
      <c r="G37437" s="8"/>
      <c r="J37437" s="8"/>
    </row>
    <row r="37438">
      <c r="C37438" s="15"/>
      <c r="E37438" s="8"/>
      <c r="G37438" s="8"/>
      <c r="J37438" s="8"/>
    </row>
    <row r="37439">
      <c r="C37439" s="15"/>
      <c r="E37439" s="8"/>
      <c r="G37439" s="8"/>
      <c r="J37439" s="8"/>
    </row>
    <row r="37440">
      <c r="C37440" s="15"/>
      <c r="E37440" s="8"/>
      <c r="G37440" s="8"/>
      <c r="J37440" s="8"/>
    </row>
    <row r="37441">
      <c r="C37441" s="15"/>
      <c r="E37441" s="8"/>
      <c r="G37441" s="8"/>
      <c r="J37441" s="8"/>
    </row>
    <row r="37442">
      <c r="C37442" s="15"/>
      <c r="E37442" s="8"/>
      <c r="G37442" s="8"/>
      <c r="J37442" s="8"/>
    </row>
    <row r="37443">
      <c r="C37443" s="15"/>
      <c r="E37443" s="8"/>
      <c r="G37443" s="8"/>
      <c r="J37443" s="8"/>
    </row>
    <row r="37444">
      <c r="C37444" s="15"/>
      <c r="E37444" s="8"/>
      <c r="G37444" s="8"/>
      <c r="J37444" s="8"/>
    </row>
    <row r="37445">
      <c r="C37445" s="15"/>
      <c r="E37445" s="8"/>
      <c r="G37445" s="8"/>
      <c r="J37445" s="8"/>
    </row>
    <row r="37446">
      <c r="C37446" s="15"/>
      <c r="E37446" s="8"/>
      <c r="G37446" s="8"/>
      <c r="J37446" s="8"/>
    </row>
    <row r="37447">
      <c r="C37447" s="15"/>
      <c r="E37447" s="8"/>
      <c r="G37447" s="8"/>
      <c r="J37447" s="8"/>
    </row>
    <row r="37448">
      <c r="C37448" s="15"/>
      <c r="E37448" s="8"/>
      <c r="G37448" s="8"/>
      <c r="J37448" s="8"/>
    </row>
    <row r="37449">
      <c r="C37449" s="15"/>
      <c r="E37449" s="8"/>
      <c r="G37449" s="8"/>
      <c r="J37449" s="8"/>
    </row>
    <row r="37450">
      <c r="C37450" s="15"/>
      <c r="E37450" s="8"/>
      <c r="G37450" s="8"/>
      <c r="J37450" s="8"/>
    </row>
    <row r="37451">
      <c r="C37451" s="15"/>
      <c r="E37451" s="8"/>
      <c r="G37451" s="8"/>
      <c r="J37451" s="8"/>
    </row>
    <row r="37452">
      <c r="C37452" s="15"/>
      <c r="E37452" s="8"/>
      <c r="G37452" s="8"/>
      <c r="J37452" s="8"/>
    </row>
    <row r="37453">
      <c r="C37453" s="15"/>
      <c r="E37453" s="8"/>
      <c r="G37453" s="8"/>
      <c r="J37453" s="8"/>
    </row>
    <row r="37454">
      <c r="C37454" s="15"/>
      <c r="E37454" s="8"/>
      <c r="G37454" s="8"/>
      <c r="J37454" s="8"/>
    </row>
    <row r="37455">
      <c r="C37455" s="15"/>
      <c r="E37455" s="8"/>
      <c r="G37455" s="8"/>
      <c r="J37455" s="8"/>
    </row>
    <row r="37456">
      <c r="C37456" s="15"/>
      <c r="E37456" s="8"/>
      <c r="G37456" s="8"/>
      <c r="J37456" s="8"/>
    </row>
    <row r="37457">
      <c r="C37457" s="15"/>
      <c r="E37457" s="8"/>
      <c r="G37457" s="8"/>
      <c r="J37457" s="8"/>
    </row>
    <row r="37458">
      <c r="C37458" s="15"/>
      <c r="E37458" s="8"/>
      <c r="G37458" s="8"/>
      <c r="J37458" s="8"/>
    </row>
    <row r="37459">
      <c r="C37459" s="15"/>
      <c r="E37459" s="8"/>
      <c r="G37459" s="8"/>
      <c r="J37459" s="8"/>
    </row>
    <row r="37460">
      <c r="C37460" s="15"/>
      <c r="E37460" s="8"/>
      <c r="G37460" s="8"/>
      <c r="J37460" s="8"/>
    </row>
    <row r="37461">
      <c r="C37461" s="15"/>
      <c r="E37461" s="8"/>
      <c r="G37461" s="8"/>
      <c r="J37461" s="8"/>
    </row>
    <row r="37462">
      <c r="C37462" s="15"/>
      <c r="E37462" s="8"/>
      <c r="G37462" s="8"/>
      <c r="J37462" s="8"/>
    </row>
    <row r="37463">
      <c r="C37463" s="15"/>
      <c r="E37463" s="8"/>
      <c r="G37463" s="8"/>
      <c r="J37463" s="8"/>
    </row>
    <row r="37464">
      <c r="C37464" s="15"/>
      <c r="E37464" s="8"/>
      <c r="G37464" s="8"/>
      <c r="J37464" s="8"/>
    </row>
    <row r="37465">
      <c r="C37465" s="15"/>
      <c r="E37465" s="8"/>
      <c r="G37465" s="8"/>
      <c r="J37465" s="8"/>
    </row>
    <row r="37466">
      <c r="C37466" s="15"/>
      <c r="E37466" s="8"/>
      <c r="G37466" s="8"/>
      <c r="J37466" s="8"/>
    </row>
    <row r="37467">
      <c r="C37467" s="15"/>
      <c r="E37467" s="8"/>
      <c r="G37467" s="8"/>
      <c r="J37467" s="8"/>
    </row>
    <row r="37468">
      <c r="C37468" s="15"/>
      <c r="E37468" s="8"/>
      <c r="G37468" s="8"/>
      <c r="J37468" s="8"/>
    </row>
    <row r="37469">
      <c r="C37469" s="15"/>
      <c r="E37469" s="8"/>
      <c r="G37469" s="8"/>
      <c r="J37469" s="8"/>
    </row>
    <row r="37470">
      <c r="C37470" s="15"/>
      <c r="E37470" s="8"/>
      <c r="G37470" s="8"/>
      <c r="J37470" s="8"/>
    </row>
    <row r="37471">
      <c r="C37471" s="15"/>
      <c r="E37471" s="8"/>
      <c r="G37471" s="8"/>
      <c r="J37471" s="8"/>
    </row>
    <row r="37472">
      <c r="C37472" s="15"/>
      <c r="E37472" s="8"/>
      <c r="G37472" s="8"/>
      <c r="J37472" s="8"/>
    </row>
    <row r="37473">
      <c r="C37473" s="15"/>
      <c r="E37473" s="8"/>
      <c r="G37473" s="8"/>
      <c r="J37473" s="8"/>
    </row>
    <row r="37474">
      <c r="C37474" s="15"/>
      <c r="E37474" s="8"/>
      <c r="G37474" s="8"/>
      <c r="J37474" s="8"/>
    </row>
    <row r="37475">
      <c r="C37475" s="15"/>
      <c r="E37475" s="8"/>
      <c r="G37475" s="8"/>
      <c r="J37475" s="8"/>
    </row>
    <row r="37476">
      <c r="C37476" s="15"/>
      <c r="E37476" s="8"/>
      <c r="G37476" s="8"/>
      <c r="J37476" s="8"/>
    </row>
    <row r="37477">
      <c r="C37477" s="15"/>
      <c r="E37477" s="8"/>
      <c r="G37477" s="8"/>
      <c r="J37477" s="8"/>
    </row>
    <row r="37478">
      <c r="C37478" s="15"/>
      <c r="E37478" s="8"/>
      <c r="G37478" s="8"/>
      <c r="J37478" s="8"/>
    </row>
    <row r="37479">
      <c r="C37479" s="15"/>
      <c r="E37479" s="8"/>
      <c r="G37479" s="8"/>
      <c r="J37479" s="8"/>
    </row>
    <row r="37480">
      <c r="C37480" s="15"/>
      <c r="E37480" s="8"/>
      <c r="G37480" s="8"/>
      <c r="J37480" s="8"/>
    </row>
    <row r="37481">
      <c r="C37481" s="15"/>
      <c r="E37481" s="8"/>
      <c r="G37481" s="8"/>
      <c r="J37481" s="8"/>
    </row>
    <row r="37482">
      <c r="C37482" s="15"/>
      <c r="E37482" s="8"/>
      <c r="G37482" s="8"/>
      <c r="J37482" s="8"/>
    </row>
    <row r="37483">
      <c r="C37483" s="15"/>
      <c r="E37483" s="8"/>
      <c r="G37483" s="8"/>
      <c r="J37483" s="8"/>
    </row>
    <row r="37484">
      <c r="C37484" s="15"/>
      <c r="E37484" s="8"/>
      <c r="G37484" s="8"/>
      <c r="J37484" s="8"/>
    </row>
    <row r="37485">
      <c r="C37485" s="15"/>
      <c r="E37485" s="8"/>
      <c r="G37485" s="8"/>
      <c r="J37485" s="8"/>
    </row>
    <row r="37486">
      <c r="C37486" s="15"/>
      <c r="E37486" s="8"/>
      <c r="G37486" s="8"/>
      <c r="J37486" s="8"/>
    </row>
    <row r="37487">
      <c r="C37487" s="15"/>
      <c r="E37487" s="8"/>
      <c r="G37487" s="8"/>
      <c r="J37487" s="8"/>
    </row>
    <row r="37488">
      <c r="C37488" s="15"/>
      <c r="E37488" s="8"/>
      <c r="G37488" s="8"/>
      <c r="J37488" s="8"/>
    </row>
    <row r="37489">
      <c r="C37489" s="15"/>
      <c r="E37489" s="8"/>
      <c r="G37489" s="8"/>
      <c r="J37489" s="8"/>
    </row>
    <row r="37490">
      <c r="C37490" s="15"/>
      <c r="E37490" s="8"/>
      <c r="G37490" s="8"/>
      <c r="J37490" s="8"/>
    </row>
    <row r="37491">
      <c r="C37491" s="15"/>
      <c r="E37491" s="8"/>
      <c r="G37491" s="8"/>
      <c r="J37491" s="8"/>
    </row>
    <row r="37492">
      <c r="C37492" s="15"/>
      <c r="E37492" s="8"/>
      <c r="G37492" s="8"/>
      <c r="J37492" s="8"/>
    </row>
    <row r="37493">
      <c r="C37493" s="15"/>
      <c r="E37493" s="8"/>
      <c r="G37493" s="8"/>
      <c r="J37493" s="8"/>
    </row>
    <row r="37494">
      <c r="C37494" s="15"/>
      <c r="E37494" s="8"/>
      <c r="G37494" s="8"/>
      <c r="J37494" s="8"/>
    </row>
    <row r="37495">
      <c r="C37495" s="15"/>
      <c r="E37495" s="8"/>
      <c r="G37495" s="8"/>
      <c r="J37495" s="8"/>
    </row>
    <row r="37496">
      <c r="C37496" s="15"/>
      <c r="E37496" s="8"/>
      <c r="G37496" s="8"/>
      <c r="J37496" s="8"/>
    </row>
    <row r="37497">
      <c r="C37497" s="15"/>
      <c r="E37497" s="8"/>
      <c r="G37497" s="8"/>
      <c r="J37497" s="8"/>
    </row>
    <row r="37498">
      <c r="C37498" s="15"/>
      <c r="E37498" s="8"/>
      <c r="G37498" s="8"/>
      <c r="J37498" s="8"/>
    </row>
    <row r="37499">
      <c r="C37499" s="15"/>
      <c r="E37499" s="8"/>
      <c r="G37499" s="8"/>
      <c r="J37499" s="8"/>
    </row>
    <row r="37500">
      <c r="C37500" s="15"/>
      <c r="E37500" s="8"/>
      <c r="G37500" s="8"/>
      <c r="J37500" s="8"/>
    </row>
    <row r="37501">
      <c r="C37501" s="15"/>
      <c r="E37501" s="8"/>
      <c r="G37501" s="8"/>
      <c r="J37501" s="8"/>
    </row>
    <row r="37502">
      <c r="C37502" s="15"/>
      <c r="E37502" s="8"/>
      <c r="G37502" s="8"/>
      <c r="J37502" s="8"/>
    </row>
    <row r="37503">
      <c r="C37503" s="15"/>
      <c r="E37503" s="8"/>
      <c r="G37503" s="8"/>
      <c r="J37503" s="8"/>
    </row>
    <row r="37504">
      <c r="C37504" s="15"/>
      <c r="E37504" s="8"/>
      <c r="G37504" s="8"/>
      <c r="J37504" s="8"/>
    </row>
    <row r="37505">
      <c r="C37505" s="15"/>
      <c r="E37505" s="8"/>
      <c r="G37505" s="8"/>
      <c r="J37505" s="8"/>
    </row>
    <row r="37506">
      <c r="C37506" s="15"/>
      <c r="E37506" s="8"/>
      <c r="G37506" s="8"/>
      <c r="J37506" s="8"/>
    </row>
    <row r="37507">
      <c r="C37507" s="15"/>
      <c r="E37507" s="8"/>
      <c r="G37507" s="8"/>
      <c r="J37507" s="8"/>
    </row>
    <row r="37508">
      <c r="C37508" s="15"/>
      <c r="E37508" s="8"/>
      <c r="G37508" s="8"/>
      <c r="J37508" s="8"/>
    </row>
    <row r="37509">
      <c r="C37509" s="15"/>
      <c r="E37509" s="8"/>
      <c r="G37509" s="8"/>
      <c r="J37509" s="8"/>
    </row>
    <row r="37510">
      <c r="C37510" s="15"/>
      <c r="E37510" s="8"/>
      <c r="G37510" s="8"/>
      <c r="J37510" s="8"/>
    </row>
    <row r="37511">
      <c r="C37511" s="15"/>
      <c r="E37511" s="8"/>
      <c r="G37511" s="8"/>
      <c r="J37511" s="8"/>
    </row>
    <row r="37512">
      <c r="C37512" s="15"/>
      <c r="E37512" s="8"/>
      <c r="G37512" s="8"/>
      <c r="J37512" s="8"/>
    </row>
    <row r="37513">
      <c r="C37513" s="15"/>
      <c r="E37513" s="8"/>
      <c r="G37513" s="8"/>
      <c r="J37513" s="8"/>
    </row>
    <row r="37514">
      <c r="C37514" s="15"/>
      <c r="E37514" s="8"/>
      <c r="G37514" s="8"/>
      <c r="J37514" s="8"/>
    </row>
    <row r="37515">
      <c r="C37515" s="15"/>
      <c r="E37515" s="8"/>
      <c r="G37515" s="8"/>
      <c r="J37515" s="8"/>
    </row>
    <row r="37516">
      <c r="C37516" s="15"/>
      <c r="E37516" s="8"/>
      <c r="G37516" s="8"/>
      <c r="J37516" s="8"/>
    </row>
    <row r="37517">
      <c r="C37517" s="15"/>
      <c r="E37517" s="8"/>
      <c r="G37517" s="8"/>
      <c r="J37517" s="8"/>
    </row>
    <row r="37518">
      <c r="C37518" s="15"/>
      <c r="E37518" s="8"/>
      <c r="G37518" s="8"/>
      <c r="J37518" s="8"/>
    </row>
    <row r="37519">
      <c r="C37519" s="15"/>
      <c r="E37519" s="8"/>
      <c r="G37519" s="8"/>
      <c r="J37519" s="8"/>
    </row>
    <row r="37520">
      <c r="C37520" s="15"/>
      <c r="E37520" s="8"/>
      <c r="G37520" s="8"/>
      <c r="J37520" s="8"/>
    </row>
    <row r="37521">
      <c r="C37521" s="15"/>
      <c r="E37521" s="8"/>
      <c r="G37521" s="8"/>
      <c r="J37521" s="8"/>
    </row>
    <row r="37522">
      <c r="C37522" s="15"/>
      <c r="E37522" s="8"/>
      <c r="G37522" s="8"/>
      <c r="J37522" s="8"/>
    </row>
    <row r="37523">
      <c r="C37523" s="15"/>
      <c r="E37523" s="8"/>
      <c r="G37523" s="8"/>
      <c r="J37523" s="8"/>
    </row>
    <row r="37524">
      <c r="C37524" s="15"/>
      <c r="E37524" s="8"/>
      <c r="G37524" s="8"/>
      <c r="J37524" s="8"/>
    </row>
    <row r="37525">
      <c r="C37525" s="15"/>
      <c r="E37525" s="8"/>
      <c r="G37525" s="8"/>
      <c r="J37525" s="8"/>
    </row>
    <row r="37526">
      <c r="C37526" s="15"/>
      <c r="E37526" s="8"/>
      <c r="G37526" s="8"/>
      <c r="J37526" s="8"/>
    </row>
    <row r="37527">
      <c r="C37527" s="15"/>
      <c r="E37527" s="8"/>
      <c r="G37527" s="8"/>
      <c r="J37527" s="8"/>
    </row>
    <row r="37528">
      <c r="C37528" s="15"/>
      <c r="E37528" s="8"/>
      <c r="G37528" s="8"/>
      <c r="J37528" s="8"/>
    </row>
    <row r="37529">
      <c r="C37529" s="15"/>
      <c r="E37529" s="8"/>
      <c r="G37529" s="8"/>
      <c r="J37529" s="8"/>
    </row>
    <row r="37530">
      <c r="C37530" s="15"/>
      <c r="E37530" s="8"/>
      <c r="G37530" s="8"/>
      <c r="J37530" s="8"/>
    </row>
    <row r="37531">
      <c r="C37531" s="15"/>
      <c r="E37531" s="8"/>
      <c r="G37531" s="8"/>
      <c r="J37531" s="8"/>
    </row>
    <row r="37532">
      <c r="C37532" s="15"/>
      <c r="E37532" s="8"/>
      <c r="G37532" s="8"/>
      <c r="J37532" s="8"/>
    </row>
    <row r="37533">
      <c r="C37533" s="15"/>
      <c r="E37533" s="8"/>
      <c r="G37533" s="8"/>
      <c r="J37533" s="8"/>
    </row>
    <row r="37534">
      <c r="C37534" s="15"/>
      <c r="E37534" s="8"/>
      <c r="G37534" s="8"/>
      <c r="J37534" s="8"/>
    </row>
    <row r="37535">
      <c r="C37535" s="15"/>
      <c r="E37535" s="8"/>
      <c r="G37535" s="8"/>
      <c r="J37535" s="8"/>
    </row>
    <row r="37536">
      <c r="C37536" s="15"/>
      <c r="E37536" s="8"/>
      <c r="G37536" s="8"/>
      <c r="J37536" s="8"/>
    </row>
    <row r="37537">
      <c r="C37537" s="15"/>
      <c r="E37537" s="8"/>
      <c r="G37537" s="8"/>
      <c r="J37537" s="8"/>
    </row>
    <row r="37538">
      <c r="C37538" s="15"/>
      <c r="E37538" s="8"/>
      <c r="G37538" s="8"/>
      <c r="J37538" s="8"/>
    </row>
    <row r="37539">
      <c r="C37539" s="15"/>
      <c r="E37539" s="8"/>
      <c r="G37539" s="8"/>
      <c r="J37539" s="8"/>
    </row>
    <row r="37540">
      <c r="C37540" s="15"/>
      <c r="E37540" s="8"/>
      <c r="G37540" s="8"/>
      <c r="J37540" s="8"/>
    </row>
    <row r="37541">
      <c r="C37541" s="15"/>
      <c r="E37541" s="8"/>
      <c r="G37541" s="8"/>
      <c r="J37541" s="8"/>
    </row>
    <row r="37542">
      <c r="C37542" s="15"/>
      <c r="E37542" s="8"/>
      <c r="G37542" s="8"/>
      <c r="J37542" s="8"/>
    </row>
    <row r="37543">
      <c r="C37543" s="15"/>
      <c r="E37543" s="8"/>
      <c r="G37543" s="8"/>
      <c r="J37543" s="8"/>
    </row>
    <row r="37544">
      <c r="C37544" s="15"/>
      <c r="E37544" s="8"/>
      <c r="G37544" s="8"/>
      <c r="J37544" s="8"/>
    </row>
    <row r="37545">
      <c r="C37545" s="15"/>
      <c r="E37545" s="8"/>
      <c r="G37545" s="8"/>
      <c r="J37545" s="8"/>
    </row>
    <row r="37546">
      <c r="C37546" s="15"/>
      <c r="E37546" s="8"/>
      <c r="G37546" s="8"/>
      <c r="J37546" s="8"/>
    </row>
    <row r="37547">
      <c r="C37547" s="15"/>
      <c r="E37547" s="8"/>
      <c r="G37547" s="8"/>
      <c r="J37547" s="8"/>
    </row>
    <row r="37548">
      <c r="C37548" s="15"/>
      <c r="E37548" s="8"/>
      <c r="G37548" s="8"/>
      <c r="J37548" s="8"/>
    </row>
    <row r="37549">
      <c r="C37549" s="15"/>
      <c r="E37549" s="8"/>
      <c r="G37549" s="8"/>
      <c r="J37549" s="8"/>
    </row>
    <row r="37550">
      <c r="C37550" s="15"/>
      <c r="E37550" s="8"/>
      <c r="G37550" s="8"/>
      <c r="J37550" s="8"/>
    </row>
    <row r="37551">
      <c r="C37551" s="15"/>
      <c r="E37551" s="8"/>
      <c r="G37551" s="8"/>
      <c r="J37551" s="8"/>
    </row>
    <row r="37552">
      <c r="C37552" s="15"/>
      <c r="E37552" s="8"/>
      <c r="G37552" s="8"/>
      <c r="J37552" s="8"/>
    </row>
    <row r="37553">
      <c r="C37553" s="15"/>
      <c r="E37553" s="8"/>
      <c r="G37553" s="8"/>
      <c r="J37553" s="8"/>
    </row>
    <row r="37554">
      <c r="C37554" s="15"/>
      <c r="E37554" s="8"/>
      <c r="G37554" s="8"/>
      <c r="J37554" s="8"/>
    </row>
    <row r="37555">
      <c r="C37555" s="15"/>
      <c r="E37555" s="8"/>
      <c r="G37555" s="8"/>
      <c r="J37555" s="8"/>
    </row>
    <row r="37556">
      <c r="C37556" s="15"/>
      <c r="E37556" s="8"/>
      <c r="G37556" s="8"/>
      <c r="J37556" s="8"/>
    </row>
    <row r="37557">
      <c r="C37557" s="15"/>
      <c r="E37557" s="8"/>
      <c r="G37557" s="8"/>
      <c r="J37557" s="8"/>
    </row>
    <row r="37558">
      <c r="C37558" s="15"/>
      <c r="E37558" s="8"/>
      <c r="G37558" s="8"/>
      <c r="J37558" s="8"/>
    </row>
    <row r="37559">
      <c r="C37559" s="15"/>
      <c r="E37559" s="8"/>
      <c r="G37559" s="8"/>
      <c r="J37559" s="8"/>
    </row>
    <row r="37560">
      <c r="C37560" s="15"/>
      <c r="E37560" s="8"/>
      <c r="G37560" s="8"/>
      <c r="J37560" s="8"/>
    </row>
    <row r="37561">
      <c r="C37561" s="15"/>
      <c r="E37561" s="8"/>
      <c r="G37561" s="8"/>
      <c r="J37561" s="8"/>
    </row>
    <row r="37562">
      <c r="C37562" s="15"/>
      <c r="E37562" s="8"/>
      <c r="G37562" s="8"/>
      <c r="J37562" s="8"/>
    </row>
    <row r="37563">
      <c r="C37563" s="15"/>
      <c r="E37563" s="8"/>
      <c r="G37563" s="8"/>
      <c r="J37563" s="8"/>
    </row>
    <row r="37564">
      <c r="C37564" s="15"/>
      <c r="E37564" s="8"/>
      <c r="G37564" s="8"/>
      <c r="J37564" s="8"/>
    </row>
    <row r="37565">
      <c r="C37565" s="15"/>
      <c r="E37565" s="8"/>
      <c r="G37565" s="8"/>
      <c r="J37565" s="8"/>
    </row>
    <row r="37566">
      <c r="C37566" s="15"/>
      <c r="E37566" s="8"/>
      <c r="G37566" s="8"/>
      <c r="J37566" s="8"/>
    </row>
    <row r="37567">
      <c r="C37567" s="15"/>
      <c r="E37567" s="8"/>
      <c r="G37567" s="8"/>
      <c r="J37567" s="8"/>
    </row>
    <row r="37568">
      <c r="C37568" s="15"/>
      <c r="E37568" s="8"/>
      <c r="G37568" s="8"/>
      <c r="J37568" s="8"/>
    </row>
    <row r="37569">
      <c r="C37569" s="15"/>
      <c r="E37569" s="8"/>
      <c r="G37569" s="8"/>
      <c r="J37569" s="8"/>
    </row>
    <row r="37570">
      <c r="C37570" s="15"/>
      <c r="E37570" s="8"/>
      <c r="G37570" s="8"/>
      <c r="J37570" s="8"/>
    </row>
    <row r="37571">
      <c r="C37571" s="15"/>
      <c r="E37571" s="8"/>
      <c r="G37571" s="8"/>
      <c r="J37571" s="8"/>
    </row>
    <row r="37572">
      <c r="C37572" s="15"/>
      <c r="E37572" s="8"/>
      <c r="G37572" s="8"/>
      <c r="J37572" s="8"/>
    </row>
    <row r="37573">
      <c r="C37573" s="15"/>
      <c r="E37573" s="8"/>
      <c r="G37573" s="8"/>
      <c r="J37573" s="8"/>
    </row>
    <row r="37574">
      <c r="C37574" s="15"/>
      <c r="E37574" s="8"/>
      <c r="G37574" s="8"/>
      <c r="J37574" s="8"/>
    </row>
    <row r="37575">
      <c r="C37575" s="15"/>
      <c r="E37575" s="8"/>
      <c r="G37575" s="8"/>
      <c r="J37575" s="8"/>
    </row>
    <row r="37576">
      <c r="C37576" s="15"/>
      <c r="E37576" s="8"/>
      <c r="G37576" s="8"/>
      <c r="J37576" s="8"/>
    </row>
    <row r="37577">
      <c r="C37577" s="15"/>
      <c r="E37577" s="8"/>
      <c r="G37577" s="8"/>
      <c r="J37577" s="8"/>
    </row>
    <row r="37578">
      <c r="C37578" s="15"/>
      <c r="E37578" s="8"/>
      <c r="G37578" s="8"/>
      <c r="J37578" s="8"/>
    </row>
    <row r="37579">
      <c r="C37579" s="15"/>
      <c r="E37579" s="8"/>
      <c r="G37579" s="8"/>
      <c r="J37579" s="8"/>
    </row>
    <row r="37580">
      <c r="C37580" s="15"/>
      <c r="E37580" s="8"/>
      <c r="G37580" s="8"/>
      <c r="J37580" s="8"/>
    </row>
    <row r="37581">
      <c r="C37581" s="15"/>
      <c r="E37581" s="8"/>
      <c r="G37581" s="8"/>
      <c r="J37581" s="8"/>
    </row>
    <row r="37582">
      <c r="C37582" s="15"/>
      <c r="E37582" s="8"/>
      <c r="G37582" s="8"/>
      <c r="J37582" s="8"/>
    </row>
    <row r="37583">
      <c r="C37583" s="15"/>
      <c r="E37583" s="8"/>
      <c r="G37583" s="8"/>
      <c r="J37583" s="8"/>
    </row>
    <row r="37584">
      <c r="C37584" s="15"/>
      <c r="E37584" s="8"/>
      <c r="G37584" s="8"/>
      <c r="J37584" s="8"/>
    </row>
    <row r="37585">
      <c r="C37585" s="15"/>
      <c r="E37585" s="8"/>
      <c r="G37585" s="8"/>
      <c r="J37585" s="8"/>
    </row>
    <row r="37586">
      <c r="C37586" s="15"/>
      <c r="E37586" s="8"/>
      <c r="G37586" s="8"/>
      <c r="J37586" s="8"/>
    </row>
    <row r="37587">
      <c r="C37587" s="15"/>
      <c r="E37587" s="8"/>
      <c r="G37587" s="8"/>
      <c r="J37587" s="8"/>
    </row>
    <row r="37588">
      <c r="C37588" s="15"/>
      <c r="E37588" s="8"/>
      <c r="G37588" s="8"/>
      <c r="J37588" s="8"/>
    </row>
    <row r="37589">
      <c r="C37589" s="15"/>
      <c r="E37589" s="8"/>
      <c r="G37589" s="8"/>
      <c r="J37589" s="8"/>
    </row>
    <row r="37590">
      <c r="C37590" s="15"/>
      <c r="E37590" s="8"/>
      <c r="G37590" s="8"/>
      <c r="J37590" s="8"/>
    </row>
    <row r="37591">
      <c r="C37591" s="15"/>
      <c r="E37591" s="8"/>
      <c r="G37591" s="8"/>
      <c r="J37591" s="8"/>
    </row>
    <row r="37592">
      <c r="C37592" s="15"/>
      <c r="E37592" s="8"/>
      <c r="G37592" s="8"/>
      <c r="J37592" s="8"/>
    </row>
    <row r="37593">
      <c r="C37593" s="15"/>
      <c r="E37593" s="8"/>
      <c r="G37593" s="8"/>
      <c r="J37593" s="8"/>
    </row>
    <row r="37594">
      <c r="C37594" s="15"/>
      <c r="E37594" s="8"/>
      <c r="G37594" s="8"/>
      <c r="J37594" s="8"/>
    </row>
    <row r="37595">
      <c r="C37595" s="15"/>
      <c r="E37595" s="8"/>
      <c r="G37595" s="8"/>
      <c r="J37595" s="8"/>
    </row>
    <row r="37596">
      <c r="C37596" s="15"/>
      <c r="E37596" s="8"/>
      <c r="G37596" s="8"/>
      <c r="J37596" s="8"/>
    </row>
    <row r="37597">
      <c r="C37597" s="15"/>
      <c r="E37597" s="8"/>
      <c r="G37597" s="8"/>
      <c r="J37597" s="8"/>
    </row>
    <row r="37598">
      <c r="C37598" s="15"/>
      <c r="E37598" s="8"/>
      <c r="G37598" s="8"/>
      <c r="J37598" s="8"/>
    </row>
    <row r="37599">
      <c r="C37599" s="15"/>
      <c r="E37599" s="8"/>
      <c r="G37599" s="8"/>
      <c r="J37599" s="8"/>
    </row>
    <row r="37600">
      <c r="C37600" s="15"/>
      <c r="E37600" s="8"/>
      <c r="G37600" s="8"/>
      <c r="J37600" s="8"/>
    </row>
    <row r="37601">
      <c r="C37601" s="15"/>
      <c r="E37601" s="8"/>
      <c r="G37601" s="8"/>
      <c r="J37601" s="8"/>
    </row>
    <row r="37602">
      <c r="C37602" s="15"/>
      <c r="E37602" s="8"/>
      <c r="G37602" s="8"/>
      <c r="J37602" s="8"/>
    </row>
    <row r="37603">
      <c r="C37603" s="15"/>
      <c r="E37603" s="8"/>
      <c r="G37603" s="8"/>
      <c r="J37603" s="8"/>
    </row>
    <row r="37604">
      <c r="C37604" s="15"/>
      <c r="E37604" s="8"/>
      <c r="G37604" s="8"/>
      <c r="J37604" s="8"/>
    </row>
    <row r="37605">
      <c r="C37605" s="15"/>
      <c r="E37605" s="8"/>
      <c r="G37605" s="8"/>
      <c r="J37605" s="8"/>
    </row>
    <row r="37606">
      <c r="C37606" s="15"/>
      <c r="E37606" s="8"/>
      <c r="G37606" s="8"/>
      <c r="J37606" s="8"/>
    </row>
    <row r="37607">
      <c r="C37607" s="15"/>
      <c r="E37607" s="8"/>
      <c r="G37607" s="8"/>
      <c r="J37607" s="8"/>
    </row>
    <row r="37608">
      <c r="C37608" s="15"/>
      <c r="E37608" s="8"/>
      <c r="G37608" s="8"/>
      <c r="J37608" s="8"/>
    </row>
    <row r="37609">
      <c r="C37609" s="15"/>
      <c r="E37609" s="8"/>
      <c r="G37609" s="8"/>
      <c r="J37609" s="8"/>
    </row>
    <row r="37610">
      <c r="C37610" s="15"/>
      <c r="E37610" s="8"/>
      <c r="G37610" s="8"/>
      <c r="J37610" s="8"/>
    </row>
    <row r="37611">
      <c r="C37611" s="15"/>
      <c r="E37611" s="8"/>
      <c r="G37611" s="8"/>
      <c r="J37611" s="8"/>
    </row>
    <row r="37612">
      <c r="C37612" s="15"/>
      <c r="E37612" s="8"/>
      <c r="G37612" s="8"/>
      <c r="J37612" s="8"/>
    </row>
    <row r="37613">
      <c r="C37613" s="15"/>
      <c r="E37613" s="8"/>
      <c r="G37613" s="8"/>
      <c r="J37613" s="8"/>
    </row>
    <row r="37614">
      <c r="C37614" s="15"/>
      <c r="E37614" s="8"/>
      <c r="G37614" s="8"/>
      <c r="J37614" s="8"/>
    </row>
    <row r="37615">
      <c r="C37615" s="15"/>
      <c r="E37615" s="8"/>
      <c r="G37615" s="8"/>
      <c r="J37615" s="8"/>
    </row>
    <row r="37616">
      <c r="C37616" s="15"/>
      <c r="E37616" s="8"/>
      <c r="G37616" s="8"/>
      <c r="J37616" s="8"/>
    </row>
    <row r="37617">
      <c r="C37617" s="15"/>
      <c r="E37617" s="8"/>
      <c r="G37617" s="8"/>
      <c r="J37617" s="8"/>
    </row>
    <row r="37618">
      <c r="C37618" s="15"/>
      <c r="E37618" s="8"/>
      <c r="G37618" s="8"/>
      <c r="J37618" s="8"/>
    </row>
    <row r="37619">
      <c r="C37619" s="15"/>
      <c r="E37619" s="8"/>
      <c r="G37619" s="8"/>
      <c r="J37619" s="8"/>
    </row>
    <row r="37620">
      <c r="C37620" s="15"/>
      <c r="E37620" s="8"/>
      <c r="G37620" s="8"/>
      <c r="J37620" s="8"/>
    </row>
    <row r="37621">
      <c r="C37621" s="15"/>
      <c r="E37621" s="8"/>
      <c r="G37621" s="8"/>
      <c r="J37621" s="8"/>
    </row>
    <row r="37622">
      <c r="C37622" s="15"/>
      <c r="E37622" s="8"/>
      <c r="G37622" s="8"/>
      <c r="J37622" s="8"/>
    </row>
    <row r="37623">
      <c r="C37623" s="15"/>
      <c r="E37623" s="8"/>
      <c r="G37623" s="8"/>
      <c r="J37623" s="8"/>
    </row>
    <row r="37624">
      <c r="C37624" s="15"/>
      <c r="E37624" s="8"/>
      <c r="G37624" s="8"/>
      <c r="J37624" s="8"/>
    </row>
    <row r="37625">
      <c r="C37625" s="15"/>
      <c r="E37625" s="8"/>
      <c r="G37625" s="8"/>
      <c r="J37625" s="8"/>
    </row>
    <row r="37626">
      <c r="C37626" s="15"/>
      <c r="E37626" s="8"/>
      <c r="G37626" s="8"/>
      <c r="J37626" s="8"/>
    </row>
    <row r="37627">
      <c r="C37627" s="15"/>
      <c r="E37627" s="8"/>
      <c r="G37627" s="8"/>
      <c r="J37627" s="8"/>
    </row>
    <row r="37628">
      <c r="C37628" s="15"/>
      <c r="E37628" s="8"/>
      <c r="G37628" s="8"/>
      <c r="J37628" s="8"/>
    </row>
    <row r="37629">
      <c r="C37629" s="15"/>
      <c r="E37629" s="8"/>
      <c r="G37629" s="8"/>
      <c r="J37629" s="8"/>
    </row>
    <row r="37630">
      <c r="C37630" s="15"/>
      <c r="E37630" s="8"/>
      <c r="G37630" s="8"/>
      <c r="J37630" s="8"/>
    </row>
    <row r="37631">
      <c r="C37631" s="15"/>
      <c r="E37631" s="8"/>
      <c r="G37631" s="8"/>
      <c r="J37631" s="8"/>
    </row>
    <row r="37632">
      <c r="C37632" s="15"/>
      <c r="E37632" s="8"/>
      <c r="G37632" s="8"/>
      <c r="J37632" s="8"/>
    </row>
    <row r="37633">
      <c r="C37633" s="15"/>
      <c r="E37633" s="8"/>
      <c r="G37633" s="8"/>
      <c r="J37633" s="8"/>
    </row>
    <row r="37634">
      <c r="C37634" s="15"/>
      <c r="E37634" s="8"/>
      <c r="G37634" s="8"/>
      <c r="J37634" s="8"/>
    </row>
    <row r="37635">
      <c r="C37635" s="15"/>
      <c r="E37635" s="8"/>
      <c r="G37635" s="8"/>
      <c r="J37635" s="8"/>
    </row>
    <row r="37636">
      <c r="C37636" s="15"/>
      <c r="E37636" s="8"/>
      <c r="G37636" s="8"/>
      <c r="J37636" s="8"/>
    </row>
    <row r="37637">
      <c r="C37637" s="15"/>
      <c r="E37637" s="8"/>
      <c r="G37637" s="8"/>
      <c r="J37637" s="8"/>
    </row>
    <row r="37638">
      <c r="C37638" s="15"/>
      <c r="E37638" s="8"/>
      <c r="G37638" s="8"/>
      <c r="J37638" s="8"/>
    </row>
    <row r="37639">
      <c r="C37639" s="15"/>
      <c r="E37639" s="8"/>
      <c r="G37639" s="8"/>
      <c r="J37639" s="8"/>
    </row>
    <row r="37640">
      <c r="C37640" s="15"/>
      <c r="E37640" s="8"/>
      <c r="G37640" s="8"/>
      <c r="J37640" s="8"/>
    </row>
    <row r="37641">
      <c r="C37641" s="15"/>
      <c r="E37641" s="8"/>
      <c r="G37641" s="8"/>
      <c r="J37641" s="8"/>
    </row>
    <row r="37642">
      <c r="C37642" s="15"/>
      <c r="E37642" s="8"/>
      <c r="G37642" s="8"/>
      <c r="J37642" s="8"/>
    </row>
    <row r="37643">
      <c r="C37643" s="15"/>
      <c r="E37643" s="8"/>
      <c r="G37643" s="8"/>
      <c r="J37643" s="8"/>
    </row>
    <row r="37644">
      <c r="C37644" s="15"/>
      <c r="E37644" s="8"/>
      <c r="G37644" s="8"/>
      <c r="J37644" s="8"/>
    </row>
    <row r="37645">
      <c r="C37645" s="15"/>
      <c r="E37645" s="8"/>
      <c r="G37645" s="8"/>
      <c r="J37645" s="8"/>
    </row>
    <row r="37646">
      <c r="C37646" s="15"/>
      <c r="E37646" s="8"/>
      <c r="G37646" s="8"/>
      <c r="J37646" s="8"/>
    </row>
    <row r="37647">
      <c r="C37647" s="15"/>
      <c r="E37647" s="8"/>
      <c r="G37647" s="8"/>
      <c r="J37647" s="8"/>
    </row>
    <row r="37648">
      <c r="C37648" s="15"/>
      <c r="E37648" s="8"/>
      <c r="G37648" s="8"/>
      <c r="J37648" s="8"/>
    </row>
    <row r="37649">
      <c r="C37649" s="15"/>
      <c r="E37649" s="8"/>
      <c r="G37649" s="8"/>
      <c r="J37649" s="8"/>
    </row>
    <row r="37650">
      <c r="C37650" s="15"/>
      <c r="E37650" s="8"/>
      <c r="G37650" s="8"/>
      <c r="J37650" s="8"/>
    </row>
    <row r="37651">
      <c r="C37651" s="15"/>
      <c r="E37651" s="8"/>
      <c r="G37651" s="8"/>
      <c r="J37651" s="8"/>
    </row>
    <row r="37652">
      <c r="C37652" s="15"/>
      <c r="E37652" s="8"/>
      <c r="G37652" s="8"/>
      <c r="J37652" s="8"/>
    </row>
    <row r="37653">
      <c r="C37653" s="15"/>
      <c r="E37653" s="8"/>
      <c r="G37653" s="8"/>
      <c r="J37653" s="8"/>
    </row>
    <row r="37654">
      <c r="C37654" s="15"/>
      <c r="E37654" s="8"/>
      <c r="G37654" s="8"/>
      <c r="J37654" s="8"/>
    </row>
    <row r="37655">
      <c r="C37655" s="15"/>
      <c r="E37655" s="8"/>
      <c r="G37655" s="8"/>
      <c r="J37655" s="8"/>
    </row>
    <row r="37656">
      <c r="C37656" s="15"/>
      <c r="E37656" s="8"/>
      <c r="G37656" s="8"/>
      <c r="J37656" s="8"/>
    </row>
    <row r="37657">
      <c r="C37657" s="15"/>
      <c r="E37657" s="8"/>
      <c r="G37657" s="8"/>
      <c r="J37657" s="8"/>
    </row>
    <row r="37658">
      <c r="C37658" s="15"/>
      <c r="E37658" s="8"/>
      <c r="G37658" s="8"/>
      <c r="J37658" s="8"/>
    </row>
    <row r="37659">
      <c r="C37659" s="15"/>
      <c r="E37659" s="8"/>
      <c r="G37659" s="8"/>
      <c r="J37659" s="8"/>
    </row>
    <row r="37660">
      <c r="C37660" s="15"/>
      <c r="E37660" s="8"/>
      <c r="G37660" s="8"/>
      <c r="J37660" s="8"/>
    </row>
    <row r="37661">
      <c r="C37661" s="15"/>
      <c r="E37661" s="8"/>
      <c r="G37661" s="8"/>
      <c r="J37661" s="8"/>
    </row>
    <row r="37662">
      <c r="C37662" s="15"/>
      <c r="E37662" s="8"/>
      <c r="G37662" s="8"/>
      <c r="J37662" s="8"/>
    </row>
    <row r="37663">
      <c r="C37663" s="15"/>
      <c r="E37663" s="8"/>
      <c r="G37663" s="8"/>
      <c r="J37663" s="8"/>
    </row>
    <row r="37664">
      <c r="C37664" s="15"/>
      <c r="E37664" s="8"/>
      <c r="G37664" s="8"/>
      <c r="J37664" s="8"/>
    </row>
    <row r="37665">
      <c r="C37665" s="15"/>
      <c r="E37665" s="8"/>
      <c r="G37665" s="8"/>
      <c r="J37665" s="8"/>
    </row>
    <row r="37666">
      <c r="C37666" s="15"/>
      <c r="E37666" s="8"/>
      <c r="G37666" s="8"/>
      <c r="J37666" s="8"/>
    </row>
    <row r="37667">
      <c r="C37667" s="15"/>
      <c r="E37667" s="8"/>
      <c r="G37667" s="8"/>
      <c r="J37667" s="8"/>
    </row>
    <row r="37668">
      <c r="C37668" s="15"/>
      <c r="E37668" s="8"/>
      <c r="G37668" s="8"/>
      <c r="J37668" s="8"/>
    </row>
    <row r="37669">
      <c r="C37669" s="15"/>
      <c r="E37669" s="8"/>
      <c r="G37669" s="8"/>
      <c r="J37669" s="8"/>
    </row>
    <row r="37670">
      <c r="C37670" s="15"/>
      <c r="E37670" s="8"/>
      <c r="G37670" s="8"/>
      <c r="J37670" s="8"/>
    </row>
    <row r="37671">
      <c r="C37671" s="15"/>
      <c r="E37671" s="8"/>
      <c r="G37671" s="8"/>
      <c r="J37671" s="8"/>
    </row>
    <row r="37672">
      <c r="C37672" s="15"/>
      <c r="E37672" s="8"/>
      <c r="G37672" s="8"/>
      <c r="J37672" s="8"/>
    </row>
    <row r="37673">
      <c r="C37673" s="15"/>
      <c r="E37673" s="8"/>
      <c r="G37673" s="8"/>
      <c r="J37673" s="8"/>
    </row>
    <row r="37674">
      <c r="C37674" s="15"/>
      <c r="E37674" s="8"/>
      <c r="G37674" s="8"/>
      <c r="J37674" s="8"/>
    </row>
    <row r="37675">
      <c r="C37675" s="15"/>
      <c r="E37675" s="8"/>
      <c r="G37675" s="8"/>
      <c r="J37675" s="8"/>
    </row>
    <row r="37676">
      <c r="C37676" s="15"/>
      <c r="E37676" s="8"/>
      <c r="G37676" s="8"/>
      <c r="J37676" s="8"/>
    </row>
    <row r="37677">
      <c r="C37677" s="15"/>
      <c r="E37677" s="8"/>
      <c r="G37677" s="8"/>
      <c r="J37677" s="8"/>
    </row>
    <row r="37678">
      <c r="C37678" s="15"/>
      <c r="E37678" s="8"/>
      <c r="G37678" s="8"/>
      <c r="J37678" s="8"/>
    </row>
    <row r="37679">
      <c r="C37679" s="15"/>
      <c r="E37679" s="8"/>
      <c r="G37679" s="8"/>
      <c r="J37679" s="8"/>
    </row>
    <row r="37680">
      <c r="C37680" s="15"/>
      <c r="E37680" s="8"/>
      <c r="G37680" s="8"/>
      <c r="J37680" s="8"/>
    </row>
    <row r="37681">
      <c r="C37681" s="15"/>
      <c r="E37681" s="8"/>
      <c r="G37681" s="8"/>
      <c r="J37681" s="8"/>
    </row>
    <row r="37682">
      <c r="C37682" s="15"/>
      <c r="E37682" s="8"/>
      <c r="G37682" s="8"/>
      <c r="J37682" s="8"/>
    </row>
    <row r="37683">
      <c r="C37683" s="15"/>
      <c r="E37683" s="8"/>
      <c r="G37683" s="8"/>
      <c r="J37683" s="8"/>
    </row>
    <row r="37684">
      <c r="C37684" s="15"/>
      <c r="E37684" s="8"/>
      <c r="G37684" s="8"/>
      <c r="J37684" s="8"/>
    </row>
    <row r="37685">
      <c r="C37685" s="15"/>
      <c r="E37685" s="8"/>
      <c r="G37685" s="8"/>
      <c r="J37685" s="8"/>
    </row>
    <row r="37686">
      <c r="C37686" s="15"/>
      <c r="E37686" s="8"/>
      <c r="G37686" s="8"/>
      <c r="J37686" s="8"/>
    </row>
    <row r="37687">
      <c r="C37687" s="15"/>
      <c r="E37687" s="8"/>
      <c r="G37687" s="8"/>
      <c r="J37687" s="8"/>
    </row>
    <row r="37688">
      <c r="C37688" s="15"/>
      <c r="E37688" s="8"/>
      <c r="G37688" s="8"/>
      <c r="J37688" s="8"/>
    </row>
    <row r="37689">
      <c r="C37689" s="15"/>
      <c r="E37689" s="8"/>
      <c r="G37689" s="8"/>
      <c r="J37689" s="8"/>
    </row>
    <row r="37690">
      <c r="C37690" s="15"/>
      <c r="E37690" s="8"/>
      <c r="G37690" s="8"/>
      <c r="J37690" s="8"/>
    </row>
    <row r="37691">
      <c r="C37691" s="15"/>
      <c r="E37691" s="8"/>
      <c r="G37691" s="8"/>
      <c r="J37691" s="8"/>
    </row>
    <row r="37692">
      <c r="C37692" s="15"/>
      <c r="E37692" s="8"/>
      <c r="G37692" s="8"/>
      <c r="J37692" s="8"/>
    </row>
    <row r="37693">
      <c r="C37693" s="15"/>
      <c r="E37693" s="8"/>
      <c r="G37693" s="8"/>
      <c r="J37693" s="8"/>
    </row>
    <row r="37694">
      <c r="C37694" s="15"/>
      <c r="E37694" s="8"/>
      <c r="G37694" s="8"/>
      <c r="J37694" s="8"/>
    </row>
    <row r="37695">
      <c r="C37695" s="15"/>
      <c r="E37695" s="8"/>
      <c r="G37695" s="8"/>
      <c r="J37695" s="8"/>
    </row>
    <row r="37696">
      <c r="C37696" s="15"/>
      <c r="E37696" s="8"/>
      <c r="G37696" s="8"/>
      <c r="J37696" s="8"/>
    </row>
    <row r="37697">
      <c r="C37697" s="15"/>
      <c r="E37697" s="8"/>
      <c r="G37697" s="8"/>
      <c r="J37697" s="8"/>
    </row>
    <row r="37698">
      <c r="C37698" s="15"/>
      <c r="E37698" s="8"/>
      <c r="G37698" s="8"/>
      <c r="J37698" s="8"/>
    </row>
    <row r="37699">
      <c r="C37699" s="15"/>
      <c r="E37699" s="8"/>
      <c r="G37699" s="8"/>
      <c r="J37699" s="8"/>
    </row>
    <row r="37700">
      <c r="C37700" s="15"/>
      <c r="E37700" s="8"/>
      <c r="G37700" s="8"/>
      <c r="J37700" s="8"/>
    </row>
    <row r="37701">
      <c r="C37701" s="15"/>
      <c r="E37701" s="8"/>
      <c r="G37701" s="8"/>
      <c r="J37701" s="8"/>
    </row>
    <row r="37702">
      <c r="C37702" s="15"/>
      <c r="E37702" s="8"/>
      <c r="G37702" s="8"/>
      <c r="J37702" s="8"/>
    </row>
    <row r="37703">
      <c r="C37703" s="15"/>
      <c r="E37703" s="8"/>
      <c r="G37703" s="8"/>
      <c r="J37703" s="8"/>
    </row>
    <row r="37704">
      <c r="C37704" s="15"/>
      <c r="E37704" s="8"/>
      <c r="G37704" s="8"/>
      <c r="J37704" s="8"/>
    </row>
    <row r="37705">
      <c r="C37705" s="15"/>
      <c r="E37705" s="8"/>
      <c r="G37705" s="8"/>
      <c r="J37705" s="8"/>
    </row>
    <row r="37706">
      <c r="C37706" s="15"/>
      <c r="E37706" s="8"/>
      <c r="G37706" s="8"/>
      <c r="J37706" s="8"/>
    </row>
    <row r="37707">
      <c r="C37707" s="15"/>
      <c r="E37707" s="8"/>
      <c r="G37707" s="8"/>
      <c r="J37707" s="8"/>
    </row>
    <row r="37708">
      <c r="C37708" s="15"/>
      <c r="E37708" s="8"/>
      <c r="G37708" s="8"/>
      <c r="J37708" s="8"/>
    </row>
    <row r="37709">
      <c r="C37709" s="15"/>
      <c r="E37709" s="8"/>
      <c r="G37709" s="8"/>
      <c r="J37709" s="8"/>
    </row>
    <row r="37710">
      <c r="C37710" s="15"/>
      <c r="E37710" s="8"/>
      <c r="G37710" s="8"/>
      <c r="J37710" s="8"/>
    </row>
    <row r="37711">
      <c r="C37711" s="15"/>
      <c r="E37711" s="8"/>
      <c r="G37711" s="8"/>
      <c r="J37711" s="8"/>
    </row>
    <row r="37712">
      <c r="C37712" s="15"/>
      <c r="E37712" s="8"/>
      <c r="G37712" s="8"/>
      <c r="J37712" s="8"/>
    </row>
    <row r="37713">
      <c r="C37713" s="15"/>
      <c r="E37713" s="8"/>
      <c r="G37713" s="8"/>
      <c r="J37713" s="8"/>
    </row>
    <row r="37714">
      <c r="C37714" s="15"/>
      <c r="E37714" s="8"/>
      <c r="G37714" s="8"/>
      <c r="J37714" s="8"/>
    </row>
    <row r="37715">
      <c r="C37715" s="15"/>
      <c r="E37715" s="8"/>
      <c r="G37715" s="8"/>
      <c r="J37715" s="8"/>
    </row>
    <row r="37716">
      <c r="C37716" s="15"/>
      <c r="E37716" s="8"/>
      <c r="G37716" s="8"/>
      <c r="J37716" s="8"/>
    </row>
    <row r="37717">
      <c r="C37717" s="15"/>
      <c r="E37717" s="8"/>
      <c r="G37717" s="8"/>
      <c r="J37717" s="8"/>
    </row>
    <row r="37718">
      <c r="C37718" s="15"/>
      <c r="E37718" s="8"/>
      <c r="G37718" s="8"/>
      <c r="J37718" s="8"/>
    </row>
    <row r="37719">
      <c r="C37719" s="15"/>
      <c r="E37719" s="8"/>
      <c r="G37719" s="8"/>
      <c r="J37719" s="8"/>
    </row>
    <row r="37720">
      <c r="C37720" s="15"/>
      <c r="E37720" s="8"/>
      <c r="G37720" s="8"/>
      <c r="J37720" s="8"/>
    </row>
    <row r="37721">
      <c r="C37721" s="15"/>
      <c r="E37721" s="8"/>
      <c r="G37721" s="8"/>
      <c r="J37721" s="8"/>
    </row>
    <row r="37722">
      <c r="C37722" s="15"/>
      <c r="E37722" s="8"/>
      <c r="G37722" s="8"/>
      <c r="J37722" s="8"/>
    </row>
    <row r="37723">
      <c r="C37723" s="15"/>
      <c r="E37723" s="8"/>
      <c r="G37723" s="8"/>
      <c r="J37723" s="8"/>
    </row>
    <row r="37724">
      <c r="C37724" s="15"/>
      <c r="E37724" s="8"/>
      <c r="G37724" s="8"/>
      <c r="J37724" s="8"/>
    </row>
    <row r="37725">
      <c r="C37725" s="15"/>
      <c r="E37725" s="8"/>
      <c r="G37725" s="8"/>
      <c r="J37725" s="8"/>
    </row>
    <row r="37726">
      <c r="C37726" s="15"/>
      <c r="E37726" s="8"/>
      <c r="G37726" s="8"/>
      <c r="J37726" s="8"/>
    </row>
    <row r="37727">
      <c r="C37727" s="15"/>
      <c r="E37727" s="8"/>
      <c r="G37727" s="8"/>
      <c r="J37727" s="8"/>
    </row>
    <row r="37728">
      <c r="C37728" s="15"/>
      <c r="E37728" s="8"/>
      <c r="G37728" s="8"/>
      <c r="J37728" s="8"/>
    </row>
    <row r="37729">
      <c r="C37729" s="15"/>
      <c r="E37729" s="8"/>
      <c r="G37729" s="8"/>
      <c r="J37729" s="8"/>
    </row>
    <row r="37730">
      <c r="C37730" s="15"/>
      <c r="E37730" s="8"/>
      <c r="G37730" s="8"/>
      <c r="J37730" s="8"/>
    </row>
    <row r="37731">
      <c r="C37731" s="15"/>
      <c r="E37731" s="8"/>
      <c r="G37731" s="8"/>
      <c r="J37731" s="8"/>
    </row>
    <row r="37732">
      <c r="C37732" s="15"/>
      <c r="E37732" s="8"/>
      <c r="G37732" s="8"/>
      <c r="J37732" s="8"/>
    </row>
    <row r="37733">
      <c r="C37733" s="15"/>
      <c r="E37733" s="8"/>
      <c r="G37733" s="8"/>
      <c r="J37733" s="8"/>
    </row>
    <row r="37734">
      <c r="C37734" s="15"/>
      <c r="E37734" s="8"/>
      <c r="G37734" s="8"/>
      <c r="J37734" s="8"/>
    </row>
    <row r="37735">
      <c r="C37735" s="15"/>
      <c r="E37735" s="8"/>
      <c r="G37735" s="8"/>
      <c r="J37735" s="8"/>
    </row>
    <row r="37736">
      <c r="C37736" s="15"/>
      <c r="E37736" s="8"/>
      <c r="G37736" s="8"/>
      <c r="J37736" s="8"/>
    </row>
    <row r="37737">
      <c r="C37737" s="15"/>
      <c r="E37737" s="8"/>
      <c r="G37737" s="8"/>
      <c r="J37737" s="8"/>
    </row>
    <row r="37738">
      <c r="C37738" s="15"/>
      <c r="E37738" s="8"/>
      <c r="G37738" s="8"/>
      <c r="J37738" s="8"/>
    </row>
    <row r="37739">
      <c r="C37739" s="15"/>
      <c r="E37739" s="8"/>
      <c r="G37739" s="8"/>
      <c r="J37739" s="8"/>
    </row>
    <row r="37740">
      <c r="C37740" s="15"/>
      <c r="E37740" s="8"/>
      <c r="G37740" s="8"/>
      <c r="J37740" s="8"/>
    </row>
    <row r="37741">
      <c r="C37741" s="15"/>
      <c r="E37741" s="8"/>
      <c r="G37741" s="8"/>
      <c r="J37741" s="8"/>
    </row>
    <row r="37742">
      <c r="C37742" s="15"/>
      <c r="E37742" s="8"/>
      <c r="G37742" s="8"/>
      <c r="J37742" s="8"/>
    </row>
    <row r="37743">
      <c r="C37743" s="15"/>
      <c r="E37743" s="8"/>
      <c r="G37743" s="8"/>
      <c r="J37743" s="8"/>
    </row>
    <row r="37744">
      <c r="C37744" s="15"/>
      <c r="E37744" s="8"/>
      <c r="G37744" s="8"/>
      <c r="J37744" s="8"/>
    </row>
    <row r="37745">
      <c r="C37745" s="15"/>
      <c r="E37745" s="8"/>
      <c r="G37745" s="8"/>
      <c r="J37745" s="8"/>
    </row>
    <row r="37746">
      <c r="C37746" s="15"/>
      <c r="E37746" s="8"/>
      <c r="G37746" s="8"/>
      <c r="J37746" s="8"/>
    </row>
    <row r="37747">
      <c r="C37747" s="15"/>
      <c r="E37747" s="8"/>
      <c r="G37747" s="8"/>
      <c r="J37747" s="8"/>
    </row>
    <row r="37748">
      <c r="C37748" s="15"/>
      <c r="E37748" s="8"/>
      <c r="G37748" s="8"/>
      <c r="J37748" s="8"/>
    </row>
    <row r="37749">
      <c r="C37749" s="15"/>
      <c r="E37749" s="8"/>
      <c r="G37749" s="8"/>
      <c r="J37749" s="8"/>
    </row>
    <row r="37750">
      <c r="C37750" s="15"/>
      <c r="E37750" s="8"/>
      <c r="G37750" s="8"/>
      <c r="J37750" s="8"/>
    </row>
    <row r="37751">
      <c r="C37751" s="15"/>
      <c r="E37751" s="8"/>
      <c r="G37751" s="8"/>
      <c r="J37751" s="8"/>
    </row>
    <row r="37752">
      <c r="C37752" s="15"/>
      <c r="E37752" s="8"/>
      <c r="G37752" s="8"/>
      <c r="J37752" s="8"/>
    </row>
    <row r="37753">
      <c r="C37753" s="15"/>
      <c r="E37753" s="8"/>
      <c r="G37753" s="8"/>
      <c r="J37753" s="8"/>
    </row>
    <row r="37754">
      <c r="C37754" s="15"/>
      <c r="E37754" s="8"/>
      <c r="G37754" s="8"/>
      <c r="J37754" s="8"/>
    </row>
    <row r="37755">
      <c r="C37755" s="15"/>
      <c r="E37755" s="8"/>
      <c r="G37755" s="8"/>
      <c r="J37755" s="8"/>
    </row>
    <row r="37756">
      <c r="C37756" s="15"/>
      <c r="E37756" s="8"/>
      <c r="G37756" s="8"/>
      <c r="J37756" s="8"/>
    </row>
    <row r="37757">
      <c r="C37757" s="15"/>
      <c r="E37757" s="8"/>
      <c r="G37757" s="8"/>
      <c r="J37757" s="8"/>
    </row>
    <row r="37758">
      <c r="C37758" s="15"/>
      <c r="E37758" s="8"/>
      <c r="G37758" s="8"/>
      <c r="J37758" s="8"/>
    </row>
    <row r="37759">
      <c r="C37759" s="15"/>
      <c r="E37759" s="8"/>
      <c r="G37759" s="8"/>
      <c r="J37759" s="8"/>
    </row>
    <row r="37760">
      <c r="C37760" s="15"/>
      <c r="E37760" s="8"/>
      <c r="G37760" s="8"/>
      <c r="J37760" s="8"/>
    </row>
    <row r="37761">
      <c r="C37761" s="15"/>
      <c r="E37761" s="8"/>
      <c r="G37761" s="8"/>
      <c r="J37761" s="8"/>
    </row>
    <row r="37762">
      <c r="C37762" s="15"/>
      <c r="E37762" s="8"/>
      <c r="G37762" s="8"/>
      <c r="J37762" s="8"/>
    </row>
    <row r="37763">
      <c r="C37763" s="15"/>
      <c r="E37763" s="8"/>
      <c r="G37763" s="8"/>
      <c r="J37763" s="8"/>
    </row>
    <row r="37764">
      <c r="C37764" s="15"/>
      <c r="E37764" s="8"/>
      <c r="G37764" s="8"/>
      <c r="J37764" s="8"/>
    </row>
    <row r="37765">
      <c r="C37765" s="15"/>
      <c r="E37765" s="8"/>
      <c r="G37765" s="8"/>
      <c r="J37765" s="8"/>
    </row>
    <row r="37766">
      <c r="C37766" s="15"/>
      <c r="E37766" s="8"/>
      <c r="G37766" s="8"/>
      <c r="J37766" s="8"/>
    </row>
    <row r="37767">
      <c r="C37767" s="15"/>
      <c r="E37767" s="8"/>
      <c r="G37767" s="8"/>
      <c r="J37767" s="8"/>
    </row>
    <row r="37768">
      <c r="C37768" s="15"/>
      <c r="E37768" s="8"/>
      <c r="G37768" s="8"/>
      <c r="J37768" s="8"/>
    </row>
    <row r="37769">
      <c r="C37769" s="15"/>
      <c r="E37769" s="8"/>
      <c r="G37769" s="8"/>
      <c r="J37769" s="8"/>
    </row>
    <row r="37770">
      <c r="C37770" s="15"/>
      <c r="E37770" s="8"/>
      <c r="G37770" s="8"/>
      <c r="J37770" s="8"/>
    </row>
    <row r="37771">
      <c r="C37771" s="15"/>
      <c r="E37771" s="8"/>
      <c r="G37771" s="8"/>
      <c r="J37771" s="8"/>
    </row>
    <row r="37772">
      <c r="C37772" s="15"/>
      <c r="E37772" s="8"/>
      <c r="G37772" s="8"/>
      <c r="J37772" s="8"/>
    </row>
    <row r="37773">
      <c r="C37773" s="15"/>
      <c r="E37773" s="8"/>
      <c r="G37773" s="8"/>
      <c r="J37773" s="8"/>
    </row>
    <row r="37774">
      <c r="C37774" s="15"/>
      <c r="E37774" s="8"/>
      <c r="G37774" s="8"/>
      <c r="J37774" s="8"/>
    </row>
    <row r="37775">
      <c r="C37775" s="15"/>
      <c r="E37775" s="8"/>
      <c r="G37775" s="8"/>
      <c r="J37775" s="8"/>
    </row>
    <row r="37776">
      <c r="C37776" s="15"/>
      <c r="E37776" s="8"/>
      <c r="G37776" s="8"/>
      <c r="J37776" s="8"/>
    </row>
    <row r="37777">
      <c r="C37777" s="15"/>
      <c r="E37777" s="8"/>
      <c r="G37777" s="8"/>
      <c r="J37777" s="8"/>
    </row>
    <row r="37778">
      <c r="C37778" s="15"/>
      <c r="E37778" s="8"/>
      <c r="G37778" s="8"/>
      <c r="J37778" s="8"/>
    </row>
    <row r="37779">
      <c r="C37779" s="15"/>
      <c r="E37779" s="8"/>
      <c r="G37779" s="8"/>
      <c r="J37779" s="8"/>
    </row>
    <row r="37780">
      <c r="C37780" s="15"/>
      <c r="E37780" s="8"/>
      <c r="G37780" s="8"/>
      <c r="J37780" s="8"/>
    </row>
    <row r="37781">
      <c r="C37781" s="15"/>
      <c r="E37781" s="8"/>
      <c r="G37781" s="8"/>
      <c r="J37781" s="8"/>
    </row>
    <row r="37782">
      <c r="C37782" s="15"/>
      <c r="E37782" s="8"/>
      <c r="G37782" s="8"/>
      <c r="J37782" s="8"/>
    </row>
    <row r="37783">
      <c r="C37783" s="15"/>
      <c r="E37783" s="8"/>
      <c r="G37783" s="8"/>
      <c r="J37783" s="8"/>
    </row>
    <row r="37784">
      <c r="C37784" s="15"/>
      <c r="E37784" s="8"/>
      <c r="G37784" s="8"/>
      <c r="J37784" s="8"/>
    </row>
    <row r="37785">
      <c r="C37785" s="15"/>
      <c r="E37785" s="8"/>
      <c r="G37785" s="8"/>
      <c r="J37785" s="8"/>
    </row>
    <row r="37786">
      <c r="C37786" s="15"/>
      <c r="E37786" s="8"/>
      <c r="G37786" s="8"/>
      <c r="J37786" s="8"/>
    </row>
    <row r="37787">
      <c r="C37787" s="15"/>
      <c r="E37787" s="8"/>
      <c r="G37787" s="8"/>
      <c r="J37787" s="8"/>
    </row>
    <row r="37788">
      <c r="C37788" s="15"/>
      <c r="E37788" s="8"/>
      <c r="G37788" s="8"/>
      <c r="J37788" s="8"/>
    </row>
    <row r="37789">
      <c r="C37789" s="15"/>
      <c r="E37789" s="8"/>
      <c r="G37789" s="8"/>
      <c r="J37789" s="8"/>
    </row>
    <row r="37790">
      <c r="C37790" s="15"/>
      <c r="E37790" s="8"/>
      <c r="G37790" s="8"/>
      <c r="J37790" s="8"/>
    </row>
    <row r="37791">
      <c r="C37791" s="15"/>
      <c r="E37791" s="8"/>
      <c r="G37791" s="8"/>
      <c r="J37791" s="8"/>
    </row>
    <row r="37792">
      <c r="C37792" s="15"/>
      <c r="E37792" s="8"/>
      <c r="G37792" s="8"/>
      <c r="J37792" s="8"/>
    </row>
    <row r="37793">
      <c r="C37793" s="15"/>
      <c r="E37793" s="8"/>
      <c r="G37793" s="8"/>
      <c r="J37793" s="8"/>
    </row>
    <row r="37794">
      <c r="C37794" s="15"/>
      <c r="E37794" s="8"/>
      <c r="G37794" s="8"/>
      <c r="J37794" s="8"/>
    </row>
    <row r="37795">
      <c r="C37795" s="15"/>
      <c r="E37795" s="8"/>
      <c r="G37795" s="8"/>
      <c r="J37795" s="8"/>
    </row>
    <row r="37796">
      <c r="C37796" s="15"/>
      <c r="E37796" s="8"/>
      <c r="G37796" s="8"/>
      <c r="J37796" s="8"/>
    </row>
    <row r="37797">
      <c r="C37797" s="15"/>
      <c r="E37797" s="8"/>
      <c r="G37797" s="8"/>
      <c r="J37797" s="8"/>
    </row>
    <row r="37798">
      <c r="C37798" s="15"/>
      <c r="E37798" s="8"/>
      <c r="G37798" s="8"/>
      <c r="J37798" s="8"/>
    </row>
    <row r="37799">
      <c r="C37799" s="15"/>
      <c r="E37799" s="8"/>
      <c r="G37799" s="8"/>
      <c r="J37799" s="8"/>
    </row>
    <row r="37800">
      <c r="C37800" s="15"/>
      <c r="E37800" s="8"/>
      <c r="G37800" s="8"/>
      <c r="J37800" s="8"/>
    </row>
    <row r="37801">
      <c r="C37801" s="15"/>
      <c r="E37801" s="8"/>
      <c r="G37801" s="8"/>
      <c r="J37801" s="8"/>
    </row>
    <row r="37802">
      <c r="C37802" s="15"/>
      <c r="E37802" s="8"/>
      <c r="G37802" s="8"/>
      <c r="J37802" s="8"/>
    </row>
    <row r="37803">
      <c r="C37803" s="15"/>
      <c r="E37803" s="8"/>
      <c r="G37803" s="8"/>
      <c r="J37803" s="8"/>
    </row>
    <row r="37804">
      <c r="C37804" s="15"/>
      <c r="E37804" s="8"/>
      <c r="G37804" s="8"/>
      <c r="J37804" s="8"/>
    </row>
    <row r="37805">
      <c r="C37805" s="15"/>
      <c r="E37805" s="8"/>
      <c r="G37805" s="8"/>
      <c r="J37805" s="8"/>
    </row>
    <row r="37806">
      <c r="C37806" s="15"/>
      <c r="E37806" s="8"/>
      <c r="G37806" s="8"/>
      <c r="J37806" s="8"/>
    </row>
    <row r="37807">
      <c r="C37807" s="15"/>
      <c r="E37807" s="8"/>
      <c r="G37807" s="8"/>
      <c r="J37807" s="8"/>
    </row>
    <row r="37808">
      <c r="C37808" s="15"/>
      <c r="E37808" s="8"/>
      <c r="G37808" s="8"/>
      <c r="J37808" s="8"/>
    </row>
    <row r="37809">
      <c r="C37809" s="15"/>
      <c r="E37809" s="8"/>
      <c r="G37809" s="8"/>
      <c r="J37809" s="8"/>
    </row>
    <row r="37810">
      <c r="C37810" s="15"/>
      <c r="E37810" s="8"/>
      <c r="G37810" s="8"/>
      <c r="J37810" s="8"/>
    </row>
    <row r="37811">
      <c r="C37811" s="15"/>
      <c r="E37811" s="8"/>
      <c r="G37811" s="8"/>
      <c r="J37811" s="8"/>
    </row>
    <row r="37812">
      <c r="C37812" s="15"/>
      <c r="E37812" s="8"/>
      <c r="G37812" s="8"/>
      <c r="J37812" s="8"/>
    </row>
    <row r="37813">
      <c r="C37813" s="15"/>
      <c r="E37813" s="8"/>
      <c r="G37813" s="8"/>
      <c r="J37813" s="8"/>
    </row>
    <row r="37814">
      <c r="C37814" s="15"/>
      <c r="E37814" s="8"/>
      <c r="G37814" s="8"/>
      <c r="J37814" s="8"/>
    </row>
    <row r="37815">
      <c r="C37815" s="15"/>
      <c r="E37815" s="8"/>
      <c r="G37815" s="8"/>
      <c r="J37815" s="8"/>
    </row>
    <row r="37816">
      <c r="C37816" s="15"/>
      <c r="E37816" s="8"/>
      <c r="G37816" s="8"/>
      <c r="J37816" s="8"/>
    </row>
    <row r="37817">
      <c r="C37817" s="15"/>
      <c r="E37817" s="8"/>
      <c r="G37817" s="8"/>
      <c r="J37817" s="8"/>
    </row>
    <row r="37818">
      <c r="C37818" s="15"/>
      <c r="E37818" s="8"/>
      <c r="G37818" s="8"/>
      <c r="J37818" s="8"/>
    </row>
    <row r="37819">
      <c r="C37819" s="15"/>
      <c r="E37819" s="8"/>
      <c r="G37819" s="8"/>
      <c r="J37819" s="8"/>
    </row>
    <row r="37820">
      <c r="C37820" s="15"/>
      <c r="E37820" s="8"/>
      <c r="G37820" s="8"/>
      <c r="J37820" s="8"/>
    </row>
    <row r="37821">
      <c r="C37821" s="15"/>
      <c r="E37821" s="8"/>
      <c r="G37821" s="8"/>
      <c r="J37821" s="8"/>
    </row>
    <row r="37822">
      <c r="C37822" s="15"/>
      <c r="E37822" s="8"/>
      <c r="G37822" s="8"/>
      <c r="J37822" s="8"/>
    </row>
    <row r="37823">
      <c r="C37823" s="15"/>
      <c r="E37823" s="8"/>
      <c r="G37823" s="8"/>
      <c r="J37823" s="8"/>
    </row>
    <row r="37824">
      <c r="C37824" s="15"/>
      <c r="E37824" s="8"/>
      <c r="G37824" s="8"/>
      <c r="J37824" s="8"/>
    </row>
    <row r="37825">
      <c r="C37825" s="15"/>
      <c r="E37825" s="8"/>
      <c r="G37825" s="8"/>
      <c r="J37825" s="8"/>
    </row>
    <row r="37826">
      <c r="C37826" s="15"/>
      <c r="E37826" s="8"/>
      <c r="G37826" s="8"/>
      <c r="J37826" s="8"/>
    </row>
    <row r="37827">
      <c r="C37827" s="15"/>
      <c r="E37827" s="8"/>
      <c r="G37827" s="8"/>
      <c r="J37827" s="8"/>
    </row>
    <row r="37828">
      <c r="C37828" s="15"/>
      <c r="E37828" s="8"/>
      <c r="G37828" s="8"/>
      <c r="J37828" s="8"/>
    </row>
    <row r="37829">
      <c r="C37829" s="15"/>
      <c r="E37829" s="8"/>
      <c r="G37829" s="8"/>
      <c r="J37829" s="8"/>
    </row>
    <row r="37830">
      <c r="C37830" s="15"/>
      <c r="E37830" s="8"/>
      <c r="G37830" s="8"/>
      <c r="J37830" s="8"/>
    </row>
    <row r="37831">
      <c r="C37831" s="15"/>
      <c r="E37831" s="8"/>
      <c r="G37831" s="8"/>
      <c r="J37831" s="8"/>
    </row>
    <row r="37832">
      <c r="C37832" s="15"/>
      <c r="E37832" s="8"/>
      <c r="G37832" s="8"/>
      <c r="J37832" s="8"/>
    </row>
    <row r="37833">
      <c r="C37833" s="15"/>
      <c r="E37833" s="8"/>
      <c r="G37833" s="8"/>
      <c r="J37833" s="8"/>
    </row>
    <row r="37834">
      <c r="C37834" s="15"/>
      <c r="E37834" s="8"/>
      <c r="G37834" s="8"/>
      <c r="J37834" s="8"/>
    </row>
    <row r="37835">
      <c r="C37835" s="15"/>
      <c r="E37835" s="8"/>
      <c r="G37835" s="8"/>
      <c r="J37835" s="8"/>
    </row>
    <row r="37836">
      <c r="C37836" s="15"/>
      <c r="E37836" s="8"/>
      <c r="G37836" s="8"/>
      <c r="J37836" s="8"/>
    </row>
    <row r="37837">
      <c r="C37837" s="15"/>
      <c r="E37837" s="8"/>
      <c r="G37837" s="8"/>
      <c r="J37837" s="8"/>
    </row>
    <row r="37838">
      <c r="C37838" s="15"/>
      <c r="E37838" s="8"/>
      <c r="G37838" s="8"/>
      <c r="J37838" s="8"/>
    </row>
    <row r="37839">
      <c r="C37839" s="15"/>
      <c r="E37839" s="8"/>
      <c r="G37839" s="8"/>
      <c r="J37839" s="8"/>
    </row>
    <row r="37840">
      <c r="C37840" s="15"/>
      <c r="E37840" s="8"/>
      <c r="G37840" s="8"/>
      <c r="J37840" s="8"/>
    </row>
    <row r="37841">
      <c r="C37841" s="15"/>
      <c r="E37841" s="8"/>
      <c r="G37841" s="8"/>
      <c r="J37841" s="8"/>
    </row>
    <row r="37842">
      <c r="C37842" s="15"/>
      <c r="E37842" s="8"/>
      <c r="G37842" s="8"/>
      <c r="J37842" s="8"/>
    </row>
    <row r="37843">
      <c r="C37843" s="15"/>
      <c r="E37843" s="8"/>
      <c r="G37843" s="8"/>
      <c r="J37843" s="8"/>
    </row>
    <row r="37844">
      <c r="C37844" s="15"/>
      <c r="E37844" s="8"/>
      <c r="G37844" s="8"/>
      <c r="J37844" s="8"/>
    </row>
    <row r="37845">
      <c r="C37845" s="15"/>
      <c r="E37845" s="8"/>
      <c r="G37845" s="8"/>
      <c r="J37845" s="8"/>
    </row>
    <row r="37846">
      <c r="C37846" s="15"/>
      <c r="E37846" s="8"/>
      <c r="G37846" s="8"/>
      <c r="J37846" s="8"/>
    </row>
    <row r="37847">
      <c r="C37847" s="15"/>
      <c r="E37847" s="8"/>
      <c r="G37847" s="8"/>
      <c r="J37847" s="8"/>
    </row>
    <row r="37848">
      <c r="C37848" s="15"/>
      <c r="E37848" s="8"/>
      <c r="G37848" s="8"/>
      <c r="J37848" s="8"/>
    </row>
    <row r="37849">
      <c r="C37849" s="15"/>
      <c r="E37849" s="8"/>
      <c r="G37849" s="8"/>
      <c r="J37849" s="8"/>
    </row>
    <row r="37850">
      <c r="C37850" s="15"/>
      <c r="E37850" s="8"/>
      <c r="G37850" s="8"/>
      <c r="J37850" s="8"/>
    </row>
    <row r="37851">
      <c r="C37851" s="15"/>
      <c r="E37851" s="8"/>
      <c r="G37851" s="8"/>
      <c r="J37851" s="8"/>
    </row>
    <row r="37852">
      <c r="C37852" s="15"/>
      <c r="E37852" s="8"/>
      <c r="G37852" s="8"/>
      <c r="J37852" s="8"/>
    </row>
    <row r="37853">
      <c r="C37853" s="15"/>
      <c r="E37853" s="8"/>
      <c r="G37853" s="8"/>
      <c r="J37853" s="8"/>
    </row>
    <row r="37854">
      <c r="C37854" s="15"/>
      <c r="E37854" s="8"/>
      <c r="G37854" s="8"/>
      <c r="J37854" s="8"/>
    </row>
    <row r="37855">
      <c r="C37855" s="15"/>
      <c r="E37855" s="8"/>
      <c r="G37855" s="8"/>
      <c r="J37855" s="8"/>
    </row>
    <row r="37856">
      <c r="C37856" s="15"/>
      <c r="E37856" s="8"/>
      <c r="G37856" s="8"/>
      <c r="J37856" s="8"/>
    </row>
    <row r="37857">
      <c r="C37857" s="15"/>
      <c r="E37857" s="8"/>
      <c r="G37857" s="8"/>
      <c r="J37857" s="8"/>
    </row>
    <row r="37858">
      <c r="C37858" s="15"/>
      <c r="E37858" s="8"/>
      <c r="G37858" s="8"/>
      <c r="J37858" s="8"/>
    </row>
    <row r="37859">
      <c r="C37859" s="15"/>
      <c r="E37859" s="8"/>
      <c r="G37859" s="8"/>
      <c r="J37859" s="8"/>
    </row>
    <row r="37860">
      <c r="C37860" s="15"/>
      <c r="E37860" s="8"/>
      <c r="G37860" s="8"/>
      <c r="J37860" s="8"/>
    </row>
    <row r="37861">
      <c r="C37861" s="15"/>
      <c r="E37861" s="8"/>
      <c r="G37861" s="8"/>
      <c r="J37861" s="8"/>
    </row>
    <row r="37862">
      <c r="C37862" s="15"/>
      <c r="E37862" s="8"/>
      <c r="G37862" s="8"/>
      <c r="J37862" s="8"/>
    </row>
    <row r="37863">
      <c r="C37863" s="15"/>
      <c r="E37863" s="8"/>
      <c r="G37863" s="8"/>
      <c r="J37863" s="8"/>
    </row>
    <row r="37864">
      <c r="C37864" s="15"/>
      <c r="E37864" s="8"/>
      <c r="G37864" s="8"/>
      <c r="J37864" s="8"/>
    </row>
    <row r="37865">
      <c r="C37865" s="15"/>
      <c r="E37865" s="8"/>
      <c r="G37865" s="8"/>
      <c r="J37865" s="8"/>
    </row>
    <row r="37866">
      <c r="C37866" s="15"/>
      <c r="E37866" s="8"/>
      <c r="G37866" s="8"/>
      <c r="J37866" s="8"/>
    </row>
    <row r="37867">
      <c r="C37867" s="15"/>
      <c r="E37867" s="8"/>
      <c r="G37867" s="8"/>
      <c r="J37867" s="8"/>
    </row>
    <row r="37868">
      <c r="C37868" s="15"/>
      <c r="E37868" s="8"/>
      <c r="G37868" s="8"/>
      <c r="J37868" s="8"/>
    </row>
    <row r="37869">
      <c r="C37869" s="15"/>
      <c r="E37869" s="8"/>
      <c r="G37869" s="8"/>
      <c r="J37869" s="8"/>
    </row>
    <row r="37870">
      <c r="C37870" s="15"/>
      <c r="E37870" s="8"/>
      <c r="G37870" s="8"/>
      <c r="J37870" s="8"/>
    </row>
    <row r="37871">
      <c r="C37871" s="15"/>
      <c r="E37871" s="8"/>
      <c r="G37871" s="8"/>
      <c r="J37871" s="8"/>
    </row>
    <row r="37872">
      <c r="C37872" s="15"/>
      <c r="E37872" s="8"/>
      <c r="G37872" s="8"/>
      <c r="J37872" s="8"/>
    </row>
    <row r="37873">
      <c r="C37873" s="15"/>
      <c r="E37873" s="8"/>
      <c r="G37873" s="8"/>
      <c r="J37873" s="8"/>
    </row>
    <row r="37874">
      <c r="C37874" s="15"/>
      <c r="E37874" s="8"/>
      <c r="G37874" s="8"/>
      <c r="J37874" s="8"/>
    </row>
    <row r="37875">
      <c r="C37875" s="15"/>
      <c r="E37875" s="8"/>
      <c r="G37875" s="8"/>
      <c r="J37875" s="8"/>
    </row>
    <row r="37876">
      <c r="C37876" s="15"/>
      <c r="E37876" s="8"/>
      <c r="G37876" s="8"/>
      <c r="J37876" s="8"/>
    </row>
    <row r="37877">
      <c r="C37877" s="15"/>
      <c r="E37877" s="8"/>
      <c r="G37877" s="8"/>
      <c r="J37877" s="8"/>
    </row>
    <row r="37878">
      <c r="C37878" s="15"/>
      <c r="E37878" s="8"/>
      <c r="G37878" s="8"/>
      <c r="J37878" s="8"/>
    </row>
    <row r="37879">
      <c r="C37879" s="15"/>
      <c r="E37879" s="8"/>
      <c r="G37879" s="8"/>
      <c r="J37879" s="8"/>
    </row>
    <row r="37880">
      <c r="C37880" s="15"/>
      <c r="E37880" s="8"/>
      <c r="G37880" s="8"/>
      <c r="J37880" s="8"/>
    </row>
    <row r="37881">
      <c r="C37881" s="15"/>
      <c r="E37881" s="8"/>
      <c r="G37881" s="8"/>
      <c r="J37881" s="8"/>
    </row>
    <row r="37882">
      <c r="C37882" s="15"/>
      <c r="E37882" s="8"/>
      <c r="G37882" s="8"/>
      <c r="J37882" s="8"/>
    </row>
    <row r="37883">
      <c r="C37883" s="15"/>
      <c r="E37883" s="8"/>
      <c r="G37883" s="8"/>
      <c r="J37883" s="8"/>
    </row>
    <row r="37884">
      <c r="C37884" s="15"/>
      <c r="E37884" s="8"/>
      <c r="G37884" s="8"/>
      <c r="J37884" s="8"/>
    </row>
    <row r="37885">
      <c r="C37885" s="15"/>
      <c r="E37885" s="8"/>
      <c r="G37885" s="8"/>
      <c r="J37885" s="8"/>
    </row>
    <row r="37886">
      <c r="C37886" s="15"/>
      <c r="E37886" s="8"/>
      <c r="G37886" s="8"/>
      <c r="J37886" s="8"/>
    </row>
    <row r="37887">
      <c r="C37887" s="15"/>
      <c r="E37887" s="8"/>
      <c r="G37887" s="8"/>
      <c r="J37887" s="8"/>
    </row>
    <row r="37888">
      <c r="C37888" s="15"/>
      <c r="E37888" s="8"/>
      <c r="G37888" s="8"/>
      <c r="J37888" s="8"/>
    </row>
    <row r="37889">
      <c r="C37889" s="15"/>
      <c r="E37889" s="8"/>
      <c r="G37889" s="8"/>
      <c r="J37889" s="8"/>
    </row>
    <row r="37890">
      <c r="C37890" s="15"/>
      <c r="E37890" s="8"/>
      <c r="G37890" s="8"/>
      <c r="J37890" s="8"/>
    </row>
    <row r="37891">
      <c r="C37891" s="15"/>
      <c r="E37891" s="8"/>
      <c r="G37891" s="8"/>
      <c r="J37891" s="8"/>
    </row>
    <row r="37892">
      <c r="C37892" s="15"/>
      <c r="E37892" s="8"/>
      <c r="G37892" s="8"/>
      <c r="J37892" s="8"/>
    </row>
    <row r="37893">
      <c r="C37893" s="15"/>
      <c r="E37893" s="8"/>
      <c r="G37893" s="8"/>
      <c r="J37893" s="8"/>
    </row>
    <row r="37894">
      <c r="C37894" s="15"/>
      <c r="E37894" s="8"/>
      <c r="G37894" s="8"/>
      <c r="J37894" s="8"/>
    </row>
    <row r="37895">
      <c r="C37895" s="15"/>
      <c r="E37895" s="8"/>
      <c r="G37895" s="8"/>
      <c r="J37895" s="8"/>
    </row>
    <row r="37896">
      <c r="C37896" s="15"/>
      <c r="E37896" s="8"/>
      <c r="G37896" s="8"/>
      <c r="J37896" s="8"/>
    </row>
    <row r="37897">
      <c r="C37897" s="15"/>
      <c r="E37897" s="8"/>
      <c r="G37897" s="8"/>
      <c r="J37897" s="8"/>
    </row>
    <row r="37898">
      <c r="C37898" s="15"/>
      <c r="E37898" s="8"/>
      <c r="G37898" s="8"/>
      <c r="J37898" s="8"/>
    </row>
    <row r="37899">
      <c r="C37899" s="15"/>
      <c r="E37899" s="8"/>
      <c r="G37899" s="8"/>
      <c r="J37899" s="8"/>
    </row>
    <row r="37900">
      <c r="C37900" s="15"/>
      <c r="E37900" s="8"/>
      <c r="G37900" s="8"/>
      <c r="J37900" s="8"/>
    </row>
    <row r="37901">
      <c r="C37901" s="15"/>
      <c r="E37901" s="8"/>
      <c r="G37901" s="8"/>
      <c r="J37901" s="8"/>
    </row>
    <row r="37902">
      <c r="C37902" s="15"/>
      <c r="E37902" s="8"/>
      <c r="G37902" s="8"/>
      <c r="J37902" s="8"/>
    </row>
    <row r="37903">
      <c r="C37903" s="15"/>
      <c r="E37903" s="8"/>
      <c r="G37903" s="8"/>
      <c r="J37903" s="8"/>
    </row>
    <row r="37904">
      <c r="C37904" s="15"/>
      <c r="E37904" s="8"/>
      <c r="G37904" s="8"/>
      <c r="J37904" s="8"/>
    </row>
    <row r="37905">
      <c r="C37905" s="15"/>
      <c r="E37905" s="8"/>
      <c r="G37905" s="8"/>
      <c r="J37905" s="8"/>
    </row>
    <row r="37906">
      <c r="C37906" s="15"/>
      <c r="E37906" s="8"/>
      <c r="G37906" s="8"/>
      <c r="J37906" s="8"/>
    </row>
    <row r="37907">
      <c r="C37907" s="15"/>
      <c r="E37907" s="8"/>
      <c r="G37907" s="8"/>
      <c r="J37907" s="8"/>
    </row>
    <row r="37908">
      <c r="C37908" s="15"/>
      <c r="E37908" s="8"/>
      <c r="G37908" s="8"/>
      <c r="J37908" s="8"/>
    </row>
    <row r="37909">
      <c r="C37909" s="15"/>
      <c r="E37909" s="8"/>
      <c r="G37909" s="8"/>
      <c r="J37909" s="8"/>
    </row>
    <row r="37910">
      <c r="C37910" s="15"/>
      <c r="E37910" s="8"/>
      <c r="G37910" s="8"/>
      <c r="J37910" s="8"/>
    </row>
    <row r="37911">
      <c r="C37911" s="15"/>
      <c r="E37911" s="8"/>
      <c r="G37911" s="8"/>
      <c r="J37911" s="8"/>
    </row>
    <row r="37912">
      <c r="C37912" s="15"/>
      <c r="E37912" s="8"/>
      <c r="G37912" s="8"/>
      <c r="J37912" s="8"/>
    </row>
    <row r="37913">
      <c r="C37913" s="15"/>
      <c r="E37913" s="8"/>
      <c r="G37913" s="8"/>
      <c r="J37913" s="8"/>
    </row>
    <row r="37914">
      <c r="C37914" s="15"/>
      <c r="E37914" s="8"/>
      <c r="G37914" s="8"/>
      <c r="J37914" s="8"/>
    </row>
    <row r="37915">
      <c r="C37915" s="15"/>
      <c r="E37915" s="8"/>
      <c r="G37915" s="8"/>
      <c r="J37915" s="8"/>
    </row>
    <row r="37916">
      <c r="C37916" s="15"/>
      <c r="E37916" s="8"/>
      <c r="G37916" s="8"/>
      <c r="J37916" s="8"/>
    </row>
    <row r="37917">
      <c r="C37917" s="15"/>
      <c r="E37917" s="8"/>
      <c r="G37917" s="8"/>
      <c r="J37917" s="8"/>
    </row>
    <row r="37918">
      <c r="C37918" s="15"/>
      <c r="E37918" s="8"/>
      <c r="G37918" s="8"/>
      <c r="J37918" s="8"/>
    </row>
    <row r="37919">
      <c r="C37919" s="15"/>
      <c r="E37919" s="8"/>
      <c r="G37919" s="8"/>
      <c r="J37919" s="8"/>
    </row>
    <row r="37920">
      <c r="C37920" s="15"/>
      <c r="E37920" s="8"/>
      <c r="G37920" s="8"/>
      <c r="J37920" s="8"/>
    </row>
    <row r="37921">
      <c r="C37921" s="15"/>
      <c r="E37921" s="8"/>
      <c r="G37921" s="8"/>
      <c r="J37921" s="8"/>
    </row>
    <row r="37922">
      <c r="C37922" s="15"/>
      <c r="E37922" s="8"/>
      <c r="G37922" s="8"/>
      <c r="J37922" s="8"/>
    </row>
    <row r="37923">
      <c r="C37923" s="15"/>
      <c r="E37923" s="8"/>
      <c r="G37923" s="8"/>
      <c r="J37923" s="8"/>
    </row>
    <row r="37924">
      <c r="C37924" s="15"/>
      <c r="E37924" s="8"/>
      <c r="G37924" s="8"/>
      <c r="J37924" s="8"/>
    </row>
    <row r="37925">
      <c r="C37925" s="15"/>
      <c r="E37925" s="8"/>
      <c r="G37925" s="8"/>
      <c r="J37925" s="8"/>
    </row>
    <row r="37926">
      <c r="C37926" s="15"/>
      <c r="E37926" s="8"/>
      <c r="G37926" s="8"/>
      <c r="J37926" s="8"/>
    </row>
    <row r="37927">
      <c r="C37927" s="15"/>
      <c r="E37927" s="8"/>
      <c r="G37927" s="8"/>
      <c r="J37927" s="8"/>
    </row>
    <row r="37928">
      <c r="C37928" s="15"/>
      <c r="E37928" s="8"/>
      <c r="G37928" s="8"/>
      <c r="J37928" s="8"/>
    </row>
    <row r="37929">
      <c r="C37929" s="15"/>
      <c r="E37929" s="8"/>
      <c r="G37929" s="8"/>
      <c r="J37929" s="8"/>
    </row>
    <row r="37930">
      <c r="C37930" s="15"/>
      <c r="E37930" s="8"/>
      <c r="G37930" s="8"/>
      <c r="J37930" s="8"/>
    </row>
    <row r="37931">
      <c r="C37931" s="15"/>
      <c r="E37931" s="8"/>
      <c r="G37931" s="8"/>
      <c r="J37931" s="8"/>
    </row>
    <row r="37932">
      <c r="C37932" s="15"/>
      <c r="E37932" s="8"/>
      <c r="G37932" s="8"/>
      <c r="J37932" s="8"/>
    </row>
    <row r="37933">
      <c r="C37933" s="15"/>
      <c r="E37933" s="8"/>
      <c r="G37933" s="8"/>
      <c r="J37933" s="8"/>
    </row>
    <row r="37934">
      <c r="C37934" s="15"/>
      <c r="E37934" s="8"/>
      <c r="G37934" s="8"/>
      <c r="J37934" s="8"/>
    </row>
    <row r="37935">
      <c r="C37935" s="15"/>
      <c r="E37935" s="8"/>
      <c r="G37935" s="8"/>
      <c r="J37935" s="8"/>
    </row>
    <row r="37936">
      <c r="C37936" s="15"/>
      <c r="E37936" s="8"/>
      <c r="G37936" s="8"/>
      <c r="J37936" s="8"/>
    </row>
    <row r="37937">
      <c r="C37937" s="15"/>
      <c r="E37937" s="8"/>
      <c r="G37937" s="8"/>
      <c r="J37937" s="8"/>
    </row>
    <row r="37938">
      <c r="C37938" s="15"/>
      <c r="E37938" s="8"/>
      <c r="G37938" s="8"/>
      <c r="J37938" s="8"/>
    </row>
    <row r="37939">
      <c r="C37939" s="15"/>
      <c r="E37939" s="8"/>
      <c r="G37939" s="8"/>
      <c r="J37939" s="8"/>
    </row>
    <row r="37940">
      <c r="C37940" s="15"/>
      <c r="E37940" s="8"/>
      <c r="G37940" s="8"/>
      <c r="J37940" s="8"/>
    </row>
    <row r="37941">
      <c r="C37941" s="15"/>
      <c r="E37941" s="8"/>
      <c r="G37941" s="8"/>
      <c r="J37941" s="8"/>
    </row>
    <row r="37942">
      <c r="C37942" s="15"/>
      <c r="E37942" s="8"/>
      <c r="G37942" s="8"/>
      <c r="J37942" s="8"/>
    </row>
    <row r="37943">
      <c r="C37943" s="15"/>
      <c r="E37943" s="8"/>
      <c r="G37943" s="8"/>
      <c r="J37943" s="8"/>
    </row>
    <row r="37944">
      <c r="C37944" s="15"/>
      <c r="E37944" s="8"/>
      <c r="G37944" s="8"/>
      <c r="J37944" s="8"/>
    </row>
    <row r="37945">
      <c r="C37945" s="15"/>
      <c r="E37945" s="8"/>
      <c r="G37945" s="8"/>
      <c r="J37945" s="8"/>
    </row>
    <row r="37946">
      <c r="C37946" s="15"/>
      <c r="E37946" s="8"/>
      <c r="G37946" s="8"/>
      <c r="J37946" s="8"/>
    </row>
    <row r="37947">
      <c r="C37947" s="15"/>
      <c r="E37947" s="8"/>
      <c r="G37947" s="8"/>
      <c r="J37947" s="8"/>
    </row>
    <row r="37948">
      <c r="C37948" s="15"/>
      <c r="E37948" s="8"/>
      <c r="G37948" s="8"/>
      <c r="J37948" s="8"/>
    </row>
    <row r="37949">
      <c r="C37949" s="15"/>
      <c r="E37949" s="8"/>
      <c r="G37949" s="8"/>
      <c r="J37949" s="8"/>
    </row>
    <row r="37950">
      <c r="C37950" s="15"/>
      <c r="E37950" s="8"/>
      <c r="G37950" s="8"/>
      <c r="J37950" s="8"/>
    </row>
    <row r="37951">
      <c r="C37951" s="15"/>
      <c r="E37951" s="8"/>
      <c r="G37951" s="8"/>
      <c r="J37951" s="8"/>
    </row>
    <row r="37952">
      <c r="C37952" s="15"/>
      <c r="E37952" s="8"/>
      <c r="G37952" s="8"/>
      <c r="J37952" s="8"/>
    </row>
    <row r="37953">
      <c r="C37953" s="15"/>
      <c r="E37953" s="8"/>
      <c r="G37953" s="8"/>
      <c r="J37953" s="8"/>
    </row>
    <row r="37954">
      <c r="C37954" s="15"/>
      <c r="E37954" s="8"/>
      <c r="G37954" s="8"/>
      <c r="J37954" s="8"/>
    </row>
    <row r="37955">
      <c r="C37955" s="15"/>
      <c r="E37955" s="8"/>
      <c r="G37955" s="8"/>
      <c r="J37955" s="8"/>
    </row>
    <row r="37956">
      <c r="C37956" s="15"/>
      <c r="E37956" s="8"/>
      <c r="G37956" s="8"/>
      <c r="J37956" s="8"/>
    </row>
    <row r="37957">
      <c r="C37957" s="15"/>
      <c r="E37957" s="8"/>
      <c r="G37957" s="8"/>
      <c r="J37957" s="8"/>
    </row>
    <row r="37958">
      <c r="C37958" s="15"/>
      <c r="E37958" s="8"/>
      <c r="G37958" s="8"/>
      <c r="J37958" s="8"/>
    </row>
    <row r="37959">
      <c r="C37959" s="15"/>
      <c r="E37959" s="8"/>
      <c r="G37959" s="8"/>
      <c r="J37959" s="8"/>
    </row>
    <row r="37960">
      <c r="C37960" s="15"/>
      <c r="E37960" s="8"/>
      <c r="G37960" s="8"/>
      <c r="J37960" s="8"/>
    </row>
    <row r="37961">
      <c r="C37961" s="15"/>
      <c r="E37961" s="8"/>
      <c r="G37961" s="8"/>
      <c r="J37961" s="8"/>
    </row>
    <row r="37962">
      <c r="C37962" s="15"/>
      <c r="E37962" s="8"/>
      <c r="G37962" s="8"/>
      <c r="J37962" s="8"/>
    </row>
    <row r="37963">
      <c r="C37963" s="15"/>
      <c r="E37963" s="8"/>
      <c r="G37963" s="8"/>
      <c r="J37963" s="8"/>
    </row>
    <row r="37964">
      <c r="C37964" s="15"/>
      <c r="E37964" s="8"/>
      <c r="G37964" s="8"/>
      <c r="J37964" s="8"/>
    </row>
    <row r="37965">
      <c r="C37965" s="15"/>
      <c r="E37965" s="8"/>
      <c r="G37965" s="8"/>
      <c r="J37965" s="8"/>
    </row>
    <row r="37966">
      <c r="C37966" s="15"/>
      <c r="E37966" s="8"/>
      <c r="G37966" s="8"/>
      <c r="J37966" s="8"/>
    </row>
    <row r="37967">
      <c r="C37967" s="15"/>
      <c r="E37967" s="8"/>
      <c r="G37967" s="8"/>
      <c r="J37967" s="8"/>
    </row>
    <row r="37968">
      <c r="C37968" s="15"/>
      <c r="E37968" s="8"/>
      <c r="G37968" s="8"/>
      <c r="J37968" s="8"/>
    </row>
    <row r="37969">
      <c r="C37969" s="15"/>
      <c r="E37969" s="8"/>
      <c r="G37969" s="8"/>
      <c r="J37969" s="8"/>
    </row>
    <row r="37970">
      <c r="C37970" s="15"/>
      <c r="E37970" s="8"/>
      <c r="G37970" s="8"/>
      <c r="J37970" s="8"/>
    </row>
    <row r="37971">
      <c r="C37971" s="15"/>
      <c r="E37971" s="8"/>
      <c r="G37971" s="8"/>
      <c r="J37971" s="8"/>
    </row>
    <row r="37972">
      <c r="C37972" s="15"/>
      <c r="E37972" s="8"/>
      <c r="G37972" s="8"/>
      <c r="J37972" s="8"/>
    </row>
    <row r="37973">
      <c r="C37973" s="15"/>
      <c r="E37973" s="8"/>
      <c r="G37973" s="8"/>
      <c r="J37973" s="8"/>
    </row>
    <row r="37974">
      <c r="C37974" s="15"/>
      <c r="E37974" s="8"/>
      <c r="G37974" s="8"/>
      <c r="J37974" s="8"/>
    </row>
    <row r="37975">
      <c r="C37975" s="15"/>
      <c r="E37975" s="8"/>
      <c r="G37975" s="8"/>
      <c r="J37975" s="8"/>
    </row>
    <row r="37976">
      <c r="C37976" s="15"/>
      <c r="E37976" s="8"/>
      <c r="G37976" s="8"/>
      <c r="J37976" s="8"/>
    </row>
    <row r="37977">
      <c r="C37977" s="15"/>
      <c r="E37977" s="8"/>
      <c r="G37977" s="8"/>
      <c r="J37977" s="8"/>
    </row>
    <row r="37978">
      <c r="C37978" s="15"/>
      <c r="E37978" s="8"/>
      <c r="G37978" s="8"/>
      <c r="J37978" s="8"/>
    </row>
    <row r="37979">
      <c r="C37979" s="15"/>
      <c r="E37979" s="8"/>
      <c r="G37979" s="8"/>
      <c r="J37979" s="8"/>
    </row>
    <row r="37980">
      <c r="C37980" s="15"/>
      <c r="E37980" s="8"/>
      <c r="G37980" s="8"/>
      <c r="J37980" s="8"/>
    </row>
    <row r="37981">
      <c r="C37981" s="15"/>
      <c r="E37981" s="8"/>
      <c r="G37981" s="8"/>
      <c r="J37981" s="8"/>
    </row>
    <row r="37982">
      <c r="C37982" s="15"/>
      <c r="E37982" s="8"/>
      <c r="G37982" s="8"/>
      <c r="J37982" s="8"/>
    </row>
    <row r="37983">
      <c r="C37983" s="15"/>
      <c r="E37983" s="8"/>
      <c r="G37983" s="8"/>
      <c r="J37983" s="8"/>
    </row>
    <row r="37984">
      <c r="C37984" s="15"/>
      <c r="E37984" s="8"/>
      <c r="G37984" s="8"/>
      <c r="J37984" s="8"/>
    </row>
    <row r="37985">
      <c r="C37985" s="15"/>
      <c r="E37985" s="8"/>
      <c r="G37985" s="8"/>
      <c r="J37985" s="8"/>
    </row>
    <row r="37986">
      <c r="C37986" s="15"/>
      <c r="E37986" s="8"/>
      <c r="G37986" s="8"/>
      <c r="J37986" s="8"/>
    </row>
    <row r="37987">
      <c r="C37987" s="15"/>
      <c r="E37987" s="8"/>
      <c r="G37987" s="8"/>
      <c r="J37987" s="8"/>
    </row>
    <row r="37988">
      <c r="C37988" s="15"/>
      <c r="E37988" s="8"/>
      <c r="G37988" s="8"/>
      <c r="J37988" s="8"/>
    </row>
    <row r="37989">
      <c r="C37989" s="15"/>
      <c r="E37989" s="8"/>
      <c r="G37989" s="8"/>
      <c r="J37989" s="8"/>
    </row>
    <row r="37990">
      <c r="C37990" s="15"/>
      <c r="E37990" s="8"/>
      <c r="G37990" s="8"/>
      <c r="J37990" s="8"/>
    </row>
    <row r="37991">
      <c r="C37991" s="15"/>
      <c r="E37991" s="8"/>
      <c r="G37991" s="8"/>
      <c r="J37991" s="8"/>
    </row>
    <row r="37992">
      <c r="C37992" s="15"/>
      <c r="E37992" s="8"/>
      <c r="G37992" s="8"/>
      <c r="J37992" s="8"/>
    </row>
    <row r="37993">
      <c r="C37993" s="15"/>
      <c r="E37993" s="8"/>
      <c r="G37993" s="8"/>
      <c r="J37993" s="8"/>
    </row>
    <row r="37994">
      <c r="C37994" s="15"/>
      <c r="E37994" s="8"/>
      <c r="G37994" s="8"/>
      <c r="J37994" s="8"/>
    </row>
    <row r="37995">
      <c r="C37995" s="15"/>
      <c r="E37995" s="8"/>
      <c r="G37995" s="8"/>
      <c r="J37995" s="8"/>
    </row>
    <row r="37996">
      <c r="C37996" s="15"/>
      <c r="E37996" s="8"/>
      <c r="G37996" s="8"/>
      <c r="J37996" s="8"/>
    </row>
    <row r="37997">
      <c r="C37997" s="15"/>
      <c r="E37997" s="8"/>
      <c r="G37997" s="8"/>
      <c r="J37997" s="8"/>
    </row>
    <row r="37998">
      <c r="C37998" s="15"/>
      <c r="E37998" s="8"/>
      <c r="G37998" s="8"/>
      <c r="J37998" s="8"/>
    </row>
    <row r="37999">
      <c r="C37999" s="15"/>
      <c r="E37999" s="8"/>
      <c r="G37999" s="8"/>
      <c r="J37999" s="8"/>
    </row>
    <row r="38000">
      <c r="C38000" s="15"/>
      <c r="E38000" s="8"/>
      <c r="G38000" s="8"/>
      <c r="J38000" s="8"/>
    </row>
    <row r="38001">
      <c r="C38001" s="15"/>
      <c r="E38001" s="8"/>
      <c r="G38001" s="8"/>
      <c r="J38001" s="8"/>
    </row>
    <row r="38002">
      <c r="C38002" s="15"/>
      <c r="E38002" s="8"/>
      <c r="G38002" s="8"/>
      <c r="J38002" s="8"/>
    </row>
    <row r="38003">
      <c r="C38003" s="15"/>
      <c r="E38003" s="8"/>
      <c r="G38003" s="8"/>
      <c r="J38003" s="8"/>
    </row>
    <row r="38004">
      <c r="C38004" s="15"/>
      <c r="E38004" s="8"/>
      <c r="G38004" s="8"/>
      <c r="J38004" s="8"/>
    </row>
    <row r="38005">
      <c r="C38005" s="15"/>
      <c r="E38005" s="8"/>
      <c r="G38005" s="8"/>
      <c r="J38005" s="8"/>
    </row>
    <row r="38006">
      <c r="C38006" s="15"/>
      <c r="E38006" s="8"/>
      <c r="G38006" s="8"/>
      <c r="J38006" s="8"/>
    </row>
    <row r="38007">
      <c r="C38007" s="15"/>
      <c r="E38007" s="8"/>
      <c r="G38007" s="8"/>
      <c r="J38007" s="8"/>
    </row>
    <row r="38008">
      <c r="C38008" s="15"/>
      <c r="E38008" s="8"/>
      <c r="G38008" s="8"/>
      <c r="J38008" s="8"/>
    </row>
    <row r="38009">
      <c r="C38009" s="15"/>
      <c r="E38009" s="8"/>
      <c r="G38009" s="8"/>
      <c r="J38009" s="8"/>
    </row>
    <row r="38010">
      <c r="C38010" s="15"/>
      <c r="E38010" s="8"/>
      <c r="G38010" s="8"/>
      <c r="J38010" s="8"/>
    </row>
    <row r="38011">
      <c r="C38011" s="15"/>
      <c r="E38011" s="8"/>
      <c r="G38011" s="8"/>
      <c r="J38011" s="8"/>
    </row>
    <row r="38012">
      <c r="C38012" s="15"/>
      <c r="E38012" s="8"/>
      <c r="G38012" s="8"/>
      <c r="J38012" s="8"/>
    </row>
    <row r="38013">
      <c r="C38013" s="15"/>
      <c r="E38013" s="8"/>
      <c r="G38013" s="8"/>
      <c r="J38013" s="8"/>
    </row>
    <row r="38014">
      <c r="C38014" s="15"/>
      <c r="E38014" s="8"/>
      <c r="G38014" s="8"/>
      <c r="J38014" s="8"/>
    </row>
    <row r="38015">
      <c r="C38015" s="15"/>
      <c r="E38015" s="8"/>
      <c r="G38015" s="8"/>
      <c r="J38015" s="8"/>
    </row>
    <row r="38016">
      <c r="C38016" s="15"/>
      <c r="E38016" s="8"/>
      <c r="G38016" s="8"/>
      <c r="J38016" s="8"/>
    </row>
    <row r="38017">
      <c r="C38017" s="15"/>
      <c r="E38017" s="8"/>
      <c r="G38017" s="8"/>
      <c r="J38017" s="8"/>
    </row>
    <row r="38018">
      <c r="C38018" s="15"/>
      <c r="E38018" s="8"/>
      <c r="G38018" s="8"/>
      <c r="J38018" s="8"/>
    </row>
    <row r="38019">
      <c r="C38019" s="15"/>
      <c r="E38019" s="8"/>
      <c r="G38019" s="8"/>
      <c r="J38019" s="8"/>
    </row>
    <row r="38020">
      <c r="C38020" s="15"/>
      <c r="E38020" s="8"/>
      <c r="G38020" s="8"/>
      <c r="J38020" s="8"/>
    </row>
    <row r="38021">
      <c r="C38021" s="15"/>
      <c r="E38021" s="8"/>
      <c r="G38021" s="8"/>
      <c r="J38021" s="8"/>
    </row>
    <row r="38022">
      <c r="C38022" s="15"/>
      <c r="E38022" s="8"/>
      <c r="G38022" s="8"/>
      <c r="J38022" s="8"/>
    </row>
    <row r="38023">
      <c r="C38023" s="15"/>
      <c r="E38023" s="8"/>
      <c r="G38023" s="8"/>
      <c r="J38023" s="8"/>
    </row>
    <row r="38024">
      <c r="C38024" s="15"/>
      <c r="E38024" s="8"/>
      <c r="G38024" s="8"/>
      <c r="J38024" s="8"/>
    </row>
    <row r="38025">
      <c r="C38025" s="15"/>
      <c r="E38025" s="8"/>
      <c r="G38025" s="8"/>
      <c r="J38025" s="8"/>
    </row>
    <row r="38026">
      <c r="C38026" s="15"/>
      <c r="E38026" s="8"/>
      <c r="G38026" s="8"/>
      <c r="J38026" s="8"/>
    </row>
    <row r="38027">
      <c r="C38027" s="15"/>
      <c r="E38027" s="8"/>
      <c r="G38027" s="8"/>
      <c r="J38027" s="8"/>
    </row>
    <row r="38028">
      <c r="C38028" s="15"/>
      <c r="E38028" s="8"/>
      <c r="G38028" s="8"/>
      <c r="J38028" s="8"/>
    </row>
    <row r="38029">
      <c r="C38029" s="15"/>
      <c r="E38029" s="8"/>
      <c r="G38029" s="8"/>
      <c r="J38029" s="8"/>
    </row>
    <row r="38030">
      <c r="C38030" s="15"/>
      <c r="E38030" s="8"/>
      <c r="G38030" s="8"/>
      <c r="J38030" s="8"/>
    </row>
    <row r="38031">
      <c r="C38031" s="15"/>
      <c r="E38031" s="8"/>
      <c r="G38031" s="8"/>
      <c r="J38031" s="8"/>
    </row>
    <row r="38032">
      <c r="C38032" s="15"/>
      <c r="E38032" s="8"/>
      <c r="G38032" s="8"/>
      <c r="J38032" s="8"/>
    </row>
    <row r="38033">
      <c r="C38033" s="15"/>
      <c r="E38033" s="8"/>
      <c r="G38033" s="8"/>
      <c r="J38033" s="8"/>
    </row>
    <row r="38034">
      <c r="C38034" s="15"/>
      <c r="E38034" s="8"/>
      <c r="G38034" s="8"/>
      <c r="J38034" s="8"/>
    </row>
    <row r="38035">
      <c r="C38035" s="15"/>
      <c r="E38035" s="8"/>
      <c r="G38035" s="8"/>
      <c r="J38035" s="8"/>
    </row>
    <row r="38036">
      <c r="C38036" s="15"/>
      <c r="E38036" s="8"/>
      <c r="G38036" s="8"/>
      <c r="J38036" s="8"/>
    </row>
    <row r="38037">
      <c r="C38037" s="15"/>
      <c r="E38037" s="8"/>
      <c r="G38037" s="8"/>
      <c r="J38037" s="8"/>
    </row>
    <row r="38038">
      <c r="C38038" s="15"/>
      <c r="E38038" s="8"/>
      <c r="G38038" s="8"/>
      <c r="J38038" s="8"/>
    </row>
    <row r="38039">
      <c r="C38039" s="15"/>
      <c r="E38039" s="8"/>
      <c r="G38039" s="8"/>
      <c r="J38039" s="8"/>
    </row>
    <row r="38040">
      <c r="C38040" s="15"/>
      <c r="E38040" s="8"/>
      <c r="G38040" s="8"/>
      <c r="J38040" s="8"/>
    </row>
    <row r="38041">
      <c r="C38041" s="15"/>
      <c r="E38041" s="8"/>
      <c r="G38041" s="8"/>
      <c r="J38041" s="8"/>
    </row>
    <row r="38042">
      <c r="C38042" s="15"/>
      <c r="E38042" s="8"/>
      <c r="G38042" s="8"/>
      <c r="J38042" s="8"/>
    </row>
    <row r="38043">
      <c r="C38043" s="15"/>
      <c r="E38043" s="8"/>
      <c r="G38043" s="8"/>
      <c r="J38043" s="8"/>
    </row>
    <row r="38044">
      <c r="C38044" s="15"/>
      <c r="E38044" s="8"/>
      <c r="G38044" s="8"/>
      <c r="J38044" s="8"/>
    </row>
    <row r="38045">
      <c r="C38045" s="15"/>
      <c r="E38045" s="8"/>
      <c r="G38045" s="8"/>
      <c r="J38045" s="8"/>
    </row>
    <row r="38046">
      <c r="C38046" s="15"/>
      <c r="E38046" s="8"/>
      <c r="G38046" s="8"/>
      <c r="J38046" s="8"/>
    </row>
    <row r="38047">
      <c r="C38047" s="15"/>
      <c r="E38047" s="8"/>
      <c r="G38047" s="8"/>
      <c r="J38047" s="8"/>
    </row>
    <row r="38048">
      <c r="C38048" s="15"/>
      <c r="E38048" s="8"/>
      <c r="G38048" s="8"/>
      <c r="J38048" s="8"/>
    </row>
    <row r="38049">
      <c r="C38049" s="15"/>
      <c r="E38049" s="8"/>
      <c r="G38049" s="8"/>
      <c r="J38049" s="8"/>
    </row>
    <row r="38050">
      <c r="C38050" s="15"/>
      <c r="E38050" s="8"/>
      <c r="G38050" s="8"/>
      <c r="J38050" s="8"/>
    </row>
    <row r="38051">
      <c r="C38051" s="15"/>
      <c r="E38051" s="8"/>
      <c r="G38051" s="8"/>
      <c r="J38051" s="8"/>
    </row>
    <row r="38052">
      <c r="C38052" s="15"/>
      <c r="E38052" s="8"/>
      <c r="G38052" s="8"/>
      <c r="J38052" s="8"/>
    </row>
    <row r="38053">
      <c r="C38053" s="15"/>
      <c r="E38053" s="8"/>
      <c r="G38053" s="8"/>
      <c r="J38053" s="8"/>
    </row>
    <row r="38054">
      <c r="C38054" s="15"/>
      <c r="E38054" s="8"/>
      <c r="G38054" s="8"/>
      <c r="J38054" s="8"/>
    </row>
    <row r="38055">
      <c r="C38055" s="15"/>
      <c r="E38055" s="8"/>
      <c r="G38055" s="8"/>
      <c r="J38055" s="8"/>
    </row>
    <row r="38056">
      <c r="C38056" s="15"/>
      <c r="E38056" s="8"/>
      <c r="G38056" s="8"/>
      <c r="J38056" s="8"/>
    </row>
    <row r="38057">
      <c r="C38057" s="15"/>
      <c r="E38057" s="8"/>
      <c r="G38057" s="8"/>
      <c r="J38057" s="8"/>
    </row>
    <row r="38058">
      <c r="C38058" s="15"/>
      <c r="E38058" s="8"/>
      <c r="G38058" s="8"/>
      <c r="J38058" s="8"/>
    </row>
    <row r="38059">
      <c r="C38059" s="15"/>
      <c r="E38059" s="8"/>
      <c r="G38059" s="8"/>
      <c r="J38059" s="8"/>
    </row>
    <row r="38060">
      <c r="C38060" s="15"/>
      <c r="E38060" s="8"/>
      <c r="G38060" s="8"/>
      <c r="J38060" s="8"/>
    </row>
    <row r="38061">
      <c r="C38061" s="15"/>
      <c r="E38061" s="8"/>
      <c r="G38061" s="8"/>
      <c r="J38061" s="8"/>
    </row>
    <row r="38062">
      <c r="C38062" s="15"/>
      <c r="E38062" s="8"/>
      <c r="G38062" s="8"/>
      <c r="J38062" s="8"/>
    </row>
    <row r="38063">
      <c r="C38063" s="15"/>
      <c r="E38063" s="8"/>
      <c r="G38063" s="8"/>
      <c r="J38063" s="8"/>
    </row>
    <row r="38064">
      <c r="C38064" s="15"/>
      <c r="E38064" s="8"/>
      <c r="G38064" s="8"/>
      <c r="J38064" s="8"/>
    </row>
    <row r="38065">
      <c r="C38065" s="15"/>
      <c r="E38065" s="8"/>
      <c r="G38065" s="8"/>
      <c r="J38065" s="8"/>
    </row>
    <row r="38066">
      <c r="C38066" s="15"/>
      <c r="E38066" s="8"/>
      <c r="G38066" s="8"/>
      <c r="J38066" s="8"/>
    </row>
    <row r="38067">
      <c r="C38067" s="15"/>
      <c r="E38067" s="8"/>
      <c r="G38067" s="8"/>
      <c r="J38067" s="8"/>
    </row>
    <row r="38068">
      <c r="C38068" s="15"/>
      <c r="E38068" s="8"/>
      <c r="G38068" s="8"/>
      <c r="J38068" s="8"/>
    </row>
    <row r="38069">
      <c r="C38069" s="15"/>
      <c r="E38069" s="8"/>
      <c r="G38069" s="8"/>
      <c r="J38069" s="8"/>
    </row>
    <row r="38070">
      <c r="C38070" s="15"/>
      <c r="E38070" s="8"/>
      <c r="G38070" s="8"/>
      <c r="J38070" s="8"/>
    </row>
    <row r="38071">
      <c r="C38071" s="15"/>
      <c r="E38071" s="8"/>
      <c r="G38071" s="8"/>
      <c r="J38071" s="8"/>
    </row>
    <row r="38072">
      <c r="C38072" s="15"/>
      <c r="E38072" s="8"/>
      <c r="G38072" s="8"/>
      <c r="J38072" s="8"/>
    </row>
    <row r="38073">
      <c r="C38073" s="15"/>
      <c r="E38073" s="8"/>
      <c r="G38073" s="8"/>
      <c r="J38073" s="8"/>
    </row>
    <row r="38074">
      <c r="C38074" s="15"/>
      <c r="E38074" s="8"/>
      <c r="G38074" s="8"/>
      <c r="J38074" s="8"/>
    </row>
    <row r="38075">
      <c r="C38075" s="15"/>
      <c r="E38075" s="8"/>
      <c r="G38075" s="8"/>
      <c r="J38075" s="8"/>
    </row>
    <row r="38076">
      <c r="C38076" s="15"/>
      <c r="E38076" s="8"/>
      <c r="G38076" s="8"/>
      <c r="J38076" s="8"/>
    </row>
    <row r="38077">
      <c r="C38077" s="15"/>
      <c r="E38077" s="8"/>
      <c r="G38077" s="8"/>
      <c r="J38077" s="8"/>
    </row>
    <row r="38078">
      <c r="C38078" s="15"/>
      <c r="E38078" s="8"/>
      <c r="G38078" s="8"/>
      <c r="J38078" s="8"/>
    </row>
    <row r="38079">
      <c r="C38079" s="15"/>
      <c r="E38079" s="8"/>
      <c r="G38079" s="8"/>
      <c r="J38079" s="8"/>
    </row>
    <row r="38080">
      <c r="C38080" s="15"/>
      <c r="E38080" s="8"/>
      <c r="G38080" s="8"/>
      <c r="J38080" s="8"/>
    </row>
    <row r="38081">
      <c r="C38081" s="15"/>
      <c r="E38081" s="8"/>
      <c r="G38081" s="8"/>
      <c r="J38081" s="8"/>
    </row>
    <row r="38082">
      <c r="C38082" s="15"/>
      <c r="E38082" s="8"/>
      <c r="G38082" s="8"/>
      <c r="J38082" s="8"/>
    </row>
    <row r="38083">
      <c r="C38083" s="15"/>
      <c r="E38083" s="8"/>
      <c r="G38083" s="8"/>
      <c r="J38083" s="8"/>
    </row>
    <row r="38084">
      <c r="C38084" s="15"/>
      <c r="E38084" s="8"/>
      <c r="G38084" s="8"/>
      <c r="J38084" s="8"/>
    </row>
    <row r="38085">
      <c r="C38085" s="15"/>
      <c r="E38085" s="8"/>
      <c r="G38085" s="8"/>
      <c r="J38085" s="8"/>
    </row>
    <row r="38086">
      <c r="C38086" s="15"/>
      <c r="E38086" s="8"/>
      <c r="G38086" s="8"/>
      <c r="J38086" s="8"/>
    </row>
    <row r="38087">
      <c r="C38087" s="15"/>
      <c r="E38087" s="8"/>
      <c r="G38087" s="8"/>
      <c r="J38087" s="8"/>
    </row>
    <row r="38088">
      <c r="C38088" s="15"/>
      <c r="E38088" s="8"/>
      <c r="G38088" s="8"/>
      <c r="J38088" s="8"/>
    </row>
    <row r="38089">
      <c r="C38089" s="15"/>
      <c r="E38089" s="8"/>
      <c r="G38089" s="8"/>
      <c r="J38089" s="8"/>
    </row>
    <row r="38090">
      <c r="C38090" s="15"/>
      <c r="E38090" s="8"/>
      <c r="G38090" s="8"/>
      <c r="J38090" s="8"/>
    </row>
    <row r="38091">
      <c r="C38091" s="15"/>
      <c r="E38091" s="8"/>
      <c r="G38091" s="8"/>
      <c r="J38091" s="8"/>
    </row>
    <row r="38092">
      <c r="C38092" s="15"/>
      <c r="E38092" s="8"/>
      <c r="G38092" s="8"/>
      <c r="J38092" s="8"/>
    </row>
    <row r="38093">
      <c r="C38093" s="15"/>
      <c r="E38093" s="8"/>
      <c r="G38093" s="8"/>
      <c r="J38093" s="8"/>
    </row>
    <row r="38094">
      <c r="C38094" s="15"/>
      <c r="E38094" s="8"/>
      <c r="G38094" s="8"/>
      <c r="J38094" s="8"/>
    </row>
    <row r="38095">
      <c r="C38095" s="15"/>
      <c r="E38095" s="8"/>
      <c r="G38095" s="8"/>
      <c r="J38095" s="8"/>
    </row>
    <row r="38096">
      <c r="C38096" s="15"/>
      <c r="E38096" s="8"/>
      <c r="G38096" s="8"/>
      <c r="J38096" s="8"/>
    </row>
    <row r="38097">
      <c r="C38097" s="15"/>
      <c r="E38097" s="8"/>
      <c r="G38097" s="8"/>
      <c r="J38097" s="8"/>
    </row>
    <row r="38098">
      <c r="C38098" s="15"/>
      <c r="E38098" s="8"/>
      <c r="G38098" s="8"/>
      <c r="J38098" s="8"/>
    </row>
    <row r="38099">
      <c r="C38099" s="15"/>
      <c r="E38099" s="8"/>
      <c r="G38099" s="8"/>
      <c r="J38099" s="8"/>
    </row>
    <row r="38100">
      <c r="C38100" s="15"/>
      <c r="E38100" s="8"/>
      <c r="G38100" s="8"/>
      <c r="J38100" s="8"/>
    </row>
    <row r="38101">
      <c r="C38101" s="15"/>
      <c r="E38101" s="8"/>
      <c r="G38101" s="8"/>
      <c r="J38101" s="8"/>
    </row>
    <row r="38102">
      <c r="C38102" s="15"/>
      <c r="E38102" s="8"/>
      <c r="G38102" s="8"/>
      <c r="J38102" s="8"/>
    </row>
    <row r="38103">
      <c r="C38103" s="15"/>
      <c r="E38103" s="8"/>
      <c r="G38103" s="8"/>
      <c r="J38103" s="8"/>
    </row>
    <row r="38104">
      <c r="C38104" s="15"/>
      <c r="E38104" s="8"/>
      <c r="G38104" s="8"/>
      <c r="J38104" s="8"/>
    </row>
    <row r="38105">
      <c r="C38105" s="15"/>
      <c r="E38105" s="8"/>
      <c r="G38105" s="8"/>
      <c r="J38105" s="8"/>
    </row>
    <row r="38106">
      <c r="C38106" s="15"/>
      <c r="E38106" s="8"/>
      <c r="G38106" s="8"/>
      <c r="J38106" s="8"/>
    </row>
    <row r="38107">
      <c r="C38107" s="15"/>
      <c r="E38107" s="8"/>
      <c r="G38107" s="8"/>
      <c r="J38107" s="8"/>
    </row>
    <row r="38108">
      <c r="C38108" s="15"/>
      <c r="E38108" s="8"/>
      <c r="G38108" s="8"/>
      <c r="J38108" s="8"/>
    </row>
    <row r="38109">
      <c r="C38109" s="15"/>
      <c r="E38109" s="8"/>
      <c r="G38109" s="8"/>
      <c r="J38109" s="8"/>
    </row>
    <row r="38110">
      <c r="C38110" s="15"/>
      <c r="E38110" s="8"/>
      <c r="G38110" s="8"/>
      <c r="J38110" s="8"/>
    </row>
    <row r="38111">
      <c r="C38111" s="15"/>
      <c r="E38111" s="8"/>
      <c r="G38111" s="8"/>
      <c r="J38111" s="8"/>
    </row>
    <row r="38112">
      <c r="C38112" s="15"/>
      <c r="E38112" s="8"/>
      <c r="G38112" s="8"/>
      <c r="J38112" s="8"/>
    </row>
    <row r="38113">
      <c r="C38113" s="15"/>
      <c r="E38113" s="8"/>
      <c r="G38113" s="8"/>
      <c r="J38113" s="8"/>
    </row>
    <row r="38114">
      <c r="C38114" s="15"/>
      <c r="E38114" s="8"/>
      <c r="G38114" s="8"/>
      <c r="J38114" s="8"/>
    </row>
    <row r="38115">
      <c r="C38115" s="15"/>
      <c r="E38115" s="8"/>
      <c r="G38115" s="8"/>
      <c r="J38115" s="8"/>
    </row>
    <row r="38116">
      <c r="C38116" s="15"/>
      <c r="E38116" s="8"/>
      <c r="G38116" s="8"/>
      <c r="J38116" s="8"/>
    </row>
    <row r="38117">
      <c r="C38117" s="15"/>
      <c r="E38117" s="8"/>
      <c r="G38117" s="8"/>
      <c r="J38117" s="8"/>
    </row>
    <row r="38118">
      <c r="C38118" s="15"/>
      <c r="E38118" s="8"/>
      <c r="G38118" s="8"/>
      <c r="J38118" s="8"/>
    </row>
    <row r="38119">
      <c r="C38119" s="15"/>
      <c r="E38119" s="8"/>
      <c r="G38119" s="8"/>
      <c r="J38119" s="8"/>
    </row>
    <row r="38120">
      <c r="C38120" s="15"/>
      <c r="E38120" s="8"/>
      <c r="G38120" s="8"/>
      <c r="J38120" s="8"/>
    </row>
    <row r="38121">
      <c r="C38121" s="15"/>
      <c r="E38121" s="8"/>
      <c r="G38121" s="8"/>
      <c r="J38121" s="8"/>
    </row>
    <row r="38122">
      <c r="C38122" s="15"/>
      <c r="E38122" s="8"/>
      <c r="G38122" s="8"/>
      <c r="J38122" s="8"/>
    </row>
    <row r="38123">
      <c r="C38123" s="15"/>
      <c r="E38123" s="8"/>
      <c r="G38123" s="8"/>
      <c r="J38123" s="8"/>
    </row>
    <row r="38124">
      <c r="C38124" s="15"/>
      <c r="E38124" s="8"/>
      <c r="G38124" s="8"/>
      <c r="J38124" s="8"/>
    </row>
    <row r="38125">
      <c r="C38125" s="15"/>
      <c r="E38125" s="8"/>
      <c r="G38125" s="8"/>
      <c r="J38125" s="8"/>
    </row>
    <row r="38126">
      <c r="C38126" s="15"/>
      <c r="E38126" s="8"/>
      <c r="G38126" s="8"/>
      <c r="J38126" s="8"/>
    </row>
    <row r="38127">
      <c r="C38127" s="15"/>
      <c r="E38127" s="8"/>
      <c r="G38127" s="8"/>
      <c r="J38127" s="8"/>
    </row>
    <row r="38128">
      <c r="C38128" s="15"/>
      <c r="E38128" s="8"/>
      <c r="G38128" s="8"/>
      <c r="J38128" s="8"/>
    </row>
    <row r="38129">
      <c r="C38129" s="15"/>
      <c r="E38129" s="8"/>
      <c r="G38129" s="8"/>
      <c r="J38129" s="8"/>
    </row>
    <row r="38130">
      <c r="C38130" s="15"/>
      <c r="E38130" s="8"/>
      <c r="G38130" s="8"/>
      <c r="J38130" s="8"/>
    </row>
    <row r="38131">
      <c r="C38131" s="15"/>
      <c r="E38131" s="8"/>
      <c r="G38131" s="8"/>
      <c r="J38131" s="8"/>
    </row>
    <row r="38132">
      <c r="C38132" s="15"/>
      <c r="E38132" s="8"/>
      <c r="G38132" s="8"/>
      <c r="J38132" s="8"/>
    </row>
    <row r="38133">
      <c r="C38133" s="15"/>
      <c r="E38133" s="8"/>
      <c r="G38133" s="8"/>
      <c r="J38133" s="8"/>
    </row>
    <row r="38134">
      <c r="C38134" s="15"/>
      <c r="E38134" s="8"/>
      <c r="G38134" s="8"/>
      <c r="J38134" s="8"/>
    </row>
    <row r="38135">
      <c r="C38135" s="15"/>
      <c r="E38135" s="8"/>
      <c r="G38135" s="8"/>
      <c r="J38135" s="8"/>
    </row>
    <row r="38136">
      <c r="C38136" s="15"/>
      <c r="E38136" s="8"/>
      <c r="G38136" s="8"/>
      <c r="J38136" s="8"/>
    </row>
    <row r="38137">
      <c r="C38137" s="15"/>
      <c r="E38137" s="8"/>
      <c r="G38137" s="8"/>
      <c r="J38137" s="8"/>
    </row>
    <row r="38138">
      <c r="C38138" s="15"/>
      <c r="E38138" s="8"/>
      <c r="G38138" s="8"/>
      <c r="J38138" s="8"/>
    </row>
    <row r="38139">
      <c r="C38139" s="15"/>
      <c r="E38139" s="8"/>
      <c r="G38139" s="8"/>
      <c r="J38139" s="8"/>
    </row>
    <row r="38140">
      <c r="C38140" s="15"/>
      <c r="E38140" s="8"/>
      <c r="G38140" s="8"/>
      <c r="J38140" s="8"/>
    </row>
    <row r="38141">
      <c r="C38141" s="15"/>
      <c r="E38141" s="8"/>
      <c r="G38141" s="8"/>
      <c r="J38141" s="8"/>
    </row>
    <row r="38142">
      <c r="C38142" s="15"/>
      <c r="E38142" s="8"/>
      <c r="G38142" s="8"/>
      <c r="J38142" s="8"/>
    </row>
    <row r="38143">
      <c r="C38143" s="15"/>
      <c r="E38143" s="8"/>
      <c r="G38143" s="8"/>
      <c r="J38143" s="8"/>
    </row>
    <row r="38144">
      <c r="C38144" s="15"/>
      <c r="E38144" s="8"/>
      <c r="G38144" s="8"/>
      <c r="J38144" s="8"/>
    </row>
    <row r="38145">
      <c r="C38145" s="15"/>
      <c r="E38145" s="8"/>
      <c r="G38145" s="8"/>
      <c r="J38145" s="8"/>
    </row>
    <row r="38146">
      <c r="C38146" s="15"/>
      <c r="E38146" s="8"/>
      <c r="G38146" s="8"/>
      <c r="J38146" s="8"/>
    </row>
    <row r="38147">
      <c r="C38147" s="15"/>
      <c r="E38147" s="8"/>
      <c r="G38147" s="8"/>
      <c r="J38147" s="8"/>
    </row>
    <row r="38148">
      <c r="C38148" s="15"/>
      <c r="E38148" s="8"/>
      <c r="G38148" s="8"/>
      <c r="J38148" s="8"/>
    </row>
    <row r="38149">
      <c r="C38149" s="15"/>
      <c r="E38149" s="8"/>
      <c r="G38149" s="8"/>
      <c r="J38149" s="8"/>
    </row>
    <row r="38150">
      <c r="C38150" s="15"/>
      <c r="E38150" s="8"/>
      <c r="G38150" s="8"/>
      <c r="J38150" s="8"/>
    </row>
    <row r="38151">
      <c r="C38151" s="15"/>
      <c r="E38151" s="8"/>
      <c r="G38151" s="8"/>
      <c r="J38151" s="8"/>
    </row>
    <row r="38152">
      <c r="C38152" s="15"/>
      <c r="E38152" s="8"/>
      <c r="G38152" s="8"/>
      <c r="J38152" s="8"/>
    </row>
    <row r="38153">
      <c r="C38153" s="15"/>
      <c r="E38153" s="8"/>
      <c r="G38153" s="8"/>
      <c r="J38153" s="8"/>
    </row>
    <row r="38154">
      <c r="C38154" s="15"/>
      <c r="E38154" s="8"/>
      <c r="G38154" s="8"/>
      <c r="J38154" s="8"/>
    </row>
    <row r="38155">
      <c r="C38155" s="15"/>
      <c r="E38155" s="8"/>
      <c r="G38155" s="8"/>
      <c r="J38155" s="8"/>
    </row>
    <row r="38156">
      <c r="C38156" s="15"/>
      <c r="E38156" s="8"/>
      <c r="G38156" s="8"/>
      <c r="J38156" s="8"/>
    </row>
    <row r="38157">
      <c r="C38157" s="15"/>
      <c r="E38157" s="8"/>
      <c r="G38157" s="8"/>
      <c r="J38157" s="8"/>
    </row>
    <row r="38158">
      <c r="C38158" s="15"/>
      <c r="E38158" s="8"/>
      <c r="G38158" s="8"/>
      <c r="J38158" s="8"/>
    </row>
    <row r="38159">
      <c r="C38159" s="15"/>
      <c r="E38159" s="8"/>
      <c r="G38159" s="8"/>
      <c r="J38159" s="8"/>
    </row>
    <row r="38160">
      <c r="C38160" s="15"/>
      <c r="E38160" s="8"/>
      <c r="G38160" s="8"/>
      <c r="J38160" s="8"/>
    </row>
    <row r="38161">
      <c r="C38161" s="15"/>
      <c r="E38161" s="8"/>
      <c r="G38161" s="8"/>
      <c r="J38161" s="8"/>
    </row>
    <row r="38162">
      <c r="C38162" s="15"/>
      <c r="E38162" s="8"/>
      <c r="G38162" s="8"/>
      <c r="J38162" s="8"/>
    </row>
    <row r="38163">
      <c r="C38163" s="15"/>
      <c r="E38163" s="8"/>
      <c r="G38163" s="8"/>
      <c r="J38163" s="8"/>
    </row>
    <row r="38164">
      <c r="C38164" s="15"/>
      <c r="E38164" s="8"/>
      <c r="G38164" s="8"/>
      <c r="J38164" s="8"/>
    </row>
    <row r="38165">
      <c r="C38165" s="15"/>
      <c r="E38165" s="8"/>
      <c r="G38165" s="8"/>
      <c r="J38165" s="8"/>
    </row>
    <row r="38166">
      <c r="C38166" s="15"/>
      <c r="E38166" s="8"/>
      <c r="G38166" s="8"/>
      <c r="J38166" s="8"/>
    </row>
    <row r="38167">
      <c r="C38167" s="15"/>
      <c r="E38167" s="8"/>
      <c r="G38167" s="8"/>
      <c r="J38167" s="8"/>
    </row>
    <row r="38168">
      <c r="C38168" s="15"/>
      <c r="E38168" s="8"/>
      <c r="G38168" s="8"/>
      <c r="J38168" s="8"/>
    </row>
    <row r="38169">
      <c r="C38169" s="15"/>
      <c r="E38169" s="8"/>
      <c r="G38169" s="8"/>
      <c r="J38169" s="8"/>
    </row>
    <row r="38170">
      <c r="C38170" s="15"/>
      <c r="E38170" s="8"/>
      <c r="G38170" s="8"/>
      <c r="J38170" s="8"/>
    </row>
    <row r="38171">
      <c r="C38171" s="15"/>
      <c r="E38171" s="8"/>
      <c r="G38171" s="8"/>
      <c r="J38171" s="8"/>
    </row>
    <row r="38172">
      <c r="C38172" s="15"/>
      <c r="E38172" s="8"/>
      <c r="G38172" s="8"/>
      <c r="J38172" s="8"/>
    </row>
    <row r="38173">
      <c r="C38173" s="15"/>
      <c r="E38173" s="8"/>
      <c r="G38173" s="8"/>
      <c r="J38173" s="8"/>
    </row>
    <row r="38174">
      <c r="C38174" s="15"/>
      <c r="E38174" s="8"/>
      <c r="G38174" s="8"/>
      <c r="J38174" s="8"/>
    </row>
    <row r="38175">
      <c r="C38175" s="15"/>
      <c r="E38175" s="8"/>
      <c r="G38175" s="8"/>
      <c r="J38175" s="8"/>
    </row>
    <row r="38176">
      <c r="C38176" s="15"/>
      <c r="E38176" s="8"/>
      <c r="G38176" s="8"/>
      <c r="J38176" s="8"/>
    </row>
    <row r="38177">
      <c r="C38177" s="15"/>
      <c r="E38177" s="8"/>
      <c r="G38177" s="8"/>
      <c r="J38177" s="8"/>
    </row>
    <row r="38178">
      <c r="C38178" s="15"/>
      <c r="E38178" s="8"/>
      <c r="G38178" s="8"/>
      <c r="J38178" s="8"/>
    </row>
    <row r="38179">
      <c r="C38179" s="15"/>
      <c r="E38179" s="8"/>
      <c r="G38179" s="8"/>
      <c r="J38179" s="8"/>
    </row>
    <row r="38180">
      <c r="C38180" s="15"/>
      <c r="E38180" s="8"/>
      <c r="G38180" s="8"/>
      <c r="J38180" s="8"/>
    </row>
    <row r="38181">
      <c r="C38181" s="15"/>
      <c r="E38181" s="8"/>
      <c r="G38181" s="8"/>
      <c r="J38181" s="8"/>
    </row>
    <row r="38182">
      <c r="C38182" s="15"/>
      <c r="E38182" s="8"/>
      <c r="G38182" s="8"/>
      <c r="J38182" s="8"/>
    </row>
    <row r="38183">
      <c r="C38183" s="15"/>
      <c r="E38183" s="8"/>
      <c r="G38183" s="8"/>
      <c r="J38183" s="8"/>
    </row>
    <row r="38184">
      <c r="C38184" s="15"/>
      <c r="E38184" s="8"/>
      <c r="G38184" s="8"/>
      <c r="J38184" s="8"/>
    </row>
    <row r="38185">
      <c r="C38185" s="15"/>
      <c r="E38185" s="8"/>
      <c r="G38185" s="8"/>
      <c r="J38185" s="8"/>
    </row>
    <row r="38186">
      <c r="C38186" s="15"/>
      <c r="E38186" s="8"/>
      <c r="G38186" s="8"/>
      <c r="J38186" s="8"/>
    </row>
    <row r="38187">
      <c r="C38187" s="15"/>
      <c r="E38187" s="8"/>
      <c r="G38187" s="8"/>
      <c r="J38187" s="8"/>
    </row>
    <row r="38188">
      <c r="C38188" s="15"/>
      <c r="E38188" s="8"/>
      <c r="G38188" s="8"/>
      <c r="J38188" s="8"/>
    </row>
    <row r="38189">
      <c r="C38189" s="15"/>
      <c r="E38189" s="8"/>
      <c r="G38189" s="8"/>
      <c r="J38189" s="8"/>
    </row>
    <row r="38190">
      <c r="C38190" s="15"/>
      <c r="E38190" s="8"/>
      <c r="G38190" s="8"/>
      <c r="J38190" s="8"/>
    </row>
    <row r="38191">
      <c r="C38191" s="15"/>
      <c r="E38191" s="8"/>
      <c r="G38191" s="8"/>
      <c r="J38191" s="8"/>
    </row>
    <row r="38192">
      <c r="C38192" s="15"/>
      <c r="E38192" s="8"/>
      <c r="G38192" s="8"/>
      <c r="J38192" s="8"/>
    </row>
    <row r="38193">
      <c r="C38193" s="15"/>
      <c r="E38193" s="8"/>
      <c r="G38193" s="8"/>
      <c r="J38193" s="8"/>
    </row>
    <row r="38194">
      <c r="C38194" s="15"/>
      <c r="E38194" s="8"/>
      <c r="G38194" s="8"/>
      <c r="J38194" s="8"/>
    </row>
    <row r="38195">
      <c r="C38195" s="15"/>
      <c r="E38195" s="8"/>
      <c r="G38195" s="8"/>
      <c r="J38195" s="8"/>
    </row>
    <row r="38196">
      <c r="C38196" s="15"/>
      <c r="E38196" s="8"/>
      <c r="G38196" s="8"/>
      <c r="J38196" s="8"/>
    </row>
    <row r="38197">
      <c r="C38197" s="15"/>
      <c r="E38197" s="8"/>
      <c r="G38197" s="8"/>
      <c r="J38197" s="8"/>
    </row>
    <row r="38198">
      <c r="C38198" s="15"/>
      <c r="E38198" s="8"/>
      <c r="G38198" s="8"/>
      <c r="J38198" s="8"/>
    </row>
    <row r="38199">
      <c r="C38199" s="15"/>
      <c r="E38199" s="8"/>
      <c r="G38199" s="8"/>
      <c r="J38199" s="8"/>
    </row>
    <row r="38200">
      <c r="C38200" s="15"/>
      <c r="E38200" s="8"/>
      <c r="G38200" s="8"/>
      <c r="J38200" s="8"/>
    </row>
    <row r="38201">
      <c r="C38201" s="15"/>
      <c r="E38201" s="8"/>
      <c r="G38201" s="8"/>
      <c r="J38201" s="8"/>
    </row>
    <row r="38202">
      <c r="C38202" s="15"/>
      <c r="E38202" s="8"/>
      <c r="G38202" s="8"/>
      <c r="J38202" s="8"/>
    </row>
    <row r="38203">
      <c r="C38203" s="15"/>
      <c r="E38203" s="8"/>
      <c r="G38203" s="8"/>
      <c r="J38203" s="8"/>
    </row>
    <row r="38204">
      <c r="C38204" s="15"/>
      <c r="E38204" s="8"/>
      <c r="G38204" s="8"/>
      <c r="J38204" s="8"/>
    </row>
    <row r="38205">
      <c r="C38205" s="15"/>
      <c r="E38205" s="8"/>
      <c r="G38205" s="8"/>
      <c r="J38205" s="8"/>
    </row>
    <row r="38206">
      <c r="C38206" s="15"/>
      <c r="E38206" s="8"/>
      <c r="G38206" s="8"/>
      <c r="J38206" s="8"/>
    </row>
    <row r="38207">
      <c r="C38207" s="15"/>
      <c r="E38207" s="8"/>
      <c r="G38207" s="8"/>
      <c r="J38207" s="8"/>
    </row>
    <row r="38208">
      <c r="C38208" s="15"/>
      <c r="E38208" s="8"/>
      <c r="G38208" s="8"/>
      <c r="J38208" s="8"/>
    </row>
    <row r="38209">
      <c r="C38209" s="15"/>
      <c r="E38209" s="8"/>
      <c r="G38209" s="8"/>
      <c r="J38209" s="8"/>
    </row>
    <row r="38210">
      <c r="C38210" s="15"/>
      <c r="E38210" s="8"/>
      <c r="G38210" s="8"/>
      <c r="J38210" s="8"/>
    </row>
    <row r="38211">
      <c r="C38211" s="15"/>
      <c r="E38211" s="8"/>
      <c r="G38211" s="8"/>
      <c r="J38211" s="8"/>
    </row>
    <row r="38212">
      <c r="C38212" s="15"/>
      <c r="E38212" s="8"/>
      <c r="G38212" s="8"/>
      <c r="J38212" s="8"/>
    </row>
    <row r="38213">
      <c r="C38213" s="15"/>
      <c r="E38213" s="8"/>
      <c r="G38213" s="8"/>
      <c r="J38213" s="8"/>
    </row>
    <row r="38214">
      <c r="C38214" s="15"/>
      <c r="E38214" s="8"/>
      <c r="G38214" s="8"/>
      <c r="J38214" s="8"/>
    </row>
    <row r="38215">
      <c r="C38215" s="15"/>
      <c r="E38215" s="8"/>
      <c r="G38215" s="8"/>
      <c r="J38215" s="8"/>
    </row>
    <row r="38216">
      <c r="C38216" s="15"/>
      <c r="E38216" s="8"/>
      <c r="G38216" s="8"/>
      <c r="J38216" s="8"/>
    </row>
    <row r="38217">
      <c r="C38217" s="15"/>
      <c r="E38217" s="8"/>
      <c r="G38217" s="8"/>
      <c r="J38217" s="8"/>
    </row>
    <row r="38218">
      <c r="C38218" s="15"/>
      <c r="E38218" s="8"/>
      <c r="G38218" s="8"/>
      <c r="J38218" s="8"/>
    </row>
    <row r="38219">
      <c r="C38219" s="15"/>
      <c r="E38219" s="8"/>
      <c r="G38219" s="8"/>
      <c r="J38219" s="8"/>
    </row>
    <row r="38220">
      <c r="C38220" s="15"/>
      <c r="E38220" s="8"/>
      <c r="G38220" s="8"/>
      <c r="J38220" s="8"/>
    </row>
    <row r="38221">
      <c r="C38221" s="15"/>
      <c r="E38221" s="8"/>
      <c r="G38221" s="8"/>
      <c r="J38221" s="8"/>
    </row>
    <row r="38222">
      <c r="C38222" s="15"/>
      <c r="E38222" s="8"/>
      <c r="G38222" s="8"/>
      <c r="J38222" s="8"/>
    </row>
    <row r="38223">
      <c r="C38223" s="15"/>
      <c r="E38223" s="8"/>
      <c r="G38223" s="8"/>
      <c r="J38223" s="8"/>
    </row>
    <row r="38224">
      <c r="C38224" s="15"/>
      <c r="E38224" s="8"/>
      <c r="G38224" s="8"/>
      <c r="J38224" s="8"/>
    </row>
    <row r="38225">
      <c r="C38225" s="15"/>
      <c r="E38225" s="8"/>
      <c r="G38225" s="8"/>
      <c r="J38225" s="8"/>
    </row>
    <row r="38226">
      <c r="C38226" s="15"/>
      <c r="E38226" s="8"/>
      <c r="G38226" s="8"/>
      <c r="J38226" s="8"/>
    </row>
    <row r="38227">
      <c r="C38227" s="15"/>
      <c r="E38227" s="8"/>
      <c r="G38227" s="8"/>
      <c r="J38227" s="8"/>
    </row>
    <row r="38228">
      <c r="C38228" s="15"/>
      <c r="E38228" s="8"/>
      <c r="G38228" s="8"/>
      <c r="J38228" s="8"/>
    </row>
    <row r="38229">
      <c r="C38229" s="15"/>
      <c r="E38229" s="8"/>
      <c r="G38229" s="8"/>
      <c r="J38229" s="8"/>
    </row>
    <row r="38230">
      <c r="C38230" s="15"/>
      <c r="E38230" s="8"/>
      <c r="G38230" s="8"/>
      <c r="J38230" s="8"/>
    </row>
    <row r="38231">
      <c r="C38231" s="15"/>
      <c r="E38231" s="8"/>
      <c r="G38231" s="8"/>
      <c r="J38231" s="8"/>
    </row>
    <row r="38232">
      <c r="C38232" s="15"/>
      <c r="E38232" s="8"/>
      <c r="G38232" s="8"/>
      <c r="J38232" s="8"/>
    </row>
    <row r="38233">
      <c r="C38233" s="15"/>
      <c r="E38233" s="8"/>
      <c r="G38233" s="8"/>
      <c r="J38233" s="8"/>
    </row>
    <row r="38234">
      <c r="C38234" s="15"/>
      <c r="E38234" s="8"/>
      <c r="G38234" s="8"/>
      <c r="J38234" s="8"/>
    </row>
    <row r="38235">
      <c r="C38235" s="15"/>
      <c r="E38235" s="8"/>
      <c r="G38235" s="8"/>
      <c r="J38235" s="8"/>
    </row>
    <row r="38236">
      <c r="C38236" s="15"/>
      <c r="E38236" s="8"/>
      <c r="G38236" s="8"/>
      <c r="J38236" s="8"/>
    </row>
    <row r="38237">
      <c r="C38237" s="15"/>
      <c r="E38237" s="8"/>
      <c r="G38237" s="8"/>
      <c r="J38237" s="8"/>
    </row>
    <row r="38238">
      <c r="C38238" s="15"/>
      <c r="E38238" s="8"/>
      <c r="G38238" s="8"/>
      <c r="J38238" s="8"/>
    </row>
    <row r="38239">
      <c r="C38239" s="15"/>
      <c r="E38239" s="8"/>
      <c r="G38239" s="8"/>
      <c r="J38239" s="8"/>
    </row>
    <row r="38240">
      <c r="C38240" s="15"/>
      <c r="E38240" s="8"/>
      <c r="G38240" s="8"/>
      <c r="J38240" s="8"/>
    </row>
    <row r="38241">
      <c r="C38241" s="15"/>
      <c r="E38241" s="8"/>
      <c r="G38241" s="8"/>
      <c r="J38241" s="8"/>
    </row>
    <row r="38242">
      <c r="C38242" s="15"/>
      <c r="E38242" s="8"/>
      <c r="G38242" s="8"/>
      <c r="J38242" s="8"/>
    </row>
    <row r="38243">
      <c r="C38243" s="15"/>
      <c r="E38243" s="8"/>
      <c r="G38243" s="8"/>
      <c r="J38243" s="8"/>
    </row>
    <row r="38244">
      <c r="C38244" s="15"/>
      <c r="E38244" s="8"/>
      <c r="G38244" s="8"/>
      <c r="J38244" s="8"/>
    </row>
    <row r="38245">
      <c r="C38245" s="15"/>
      <c r="E38245" s="8"/>
      <c r="G38245" s="8"/>
      <c r="J38245" s="8"/>
    </row>
    <row r="38246">
      <c r="C38246" s="15"/>
      <c r="E38246" s="8"/>
      <c r="G38246" s="8"/>
      <c r="J38246" s="8"/>
    </row>
    <row r="38247">
      <c r="C38247" s="15"/>
      <c r="E38247" s="8"/>
      <c r="G38247" s="8"/>
      <c r="J38247" s="8"/>
    </row>
    <row r="38248">
      <c r="C38248" s="15"/>
      <c r="E38248" s="8"/>
      <c r="G38248" s="8"/>
      <c r="J38248" s="8"/>
    </row>
    <row r="38249">
      <c r="C38249" s="15"/>
      <c r="E38249" s="8"/>
      <c r="G38249" s="8"/>
      <c r="J38249" s="8"/>
    </row>
    <row r="38250">
      <c r="C38250" s="15"/>
      <c r="E38250" s="8"/>
      <c r="G38250" s="8"/>
      <c r="J38250" s="8"/>
    </row>
    <row r="38251">
      <c r="C38251" s="15"/>
      <c r="E38251" s="8"/>
      <c r="G38251" s="8"/>
      <c r="J38251" s="8"/>
    </row>
    <row r="38252">
      <c r="C38252" s="15"/>
      <c r="E38252" s="8"/>
      <c r="G38252" s="8"/>
      <c r="J38252" s="8"/>
    </row>
    <row r="38253">
      <c r="C38253" s="15"/>
      <c r="E38253" s="8"/>
      <c r="G38253" s="8"/>
      <c r="J38253" s="8"/>
    </row>
    <row r="38254">
      <c r="C38254" s="15"/>
      <c r="E38254" s="8"/>
      <c r="G38254" s="8"/>
      <c r="J38254" s="8"/>
    </row>
    <row r="38255">
      <c r="C38255" s="15"/>
      <c r="E38255" s="8"/>
      <c r="G38255" s="8"/>
      <c r="J38255" s="8"/>
    </row>
    <row r="38256">
      <c r="C38256" s="15"/>
      <c r="E38256" s="8"/>
      <c r="G38256" s="8"/>
      <c r="J38256" s="8"/>
    </row>
    <row r="38257">
      <c r="C38257" s="15"/>
      <c r="E38257" s="8"/>
      <c r="G38257" s="8"/>
      <c r="J38257" s="8"/>
    </row>
    <row r="38258">
      <c r="C38258" s="15"/>
      <c r="E38258" s="8"/>
      <c r="G38258" s="8"/>
      <c r="J38258" s="8"/>
    </row>
    <row r="38259">
      <c r="C38259" s="15"/>
      <c r="E38259" s="8"/>
      <c r="G38259" s="8"/>
      <c r="J38259" s="8"/>
    </row>
    <row r="38260">
      <c r="C38260" s="15"/>
      <c r="E38260" s="8"/>
      <c r="G38260" s="8"/>
      <c r="J38260" s="8"/>
    </row>
    <row r="38261">
      <c r="C38261" s="15"/>
      <c r="E38261" s="8"/>
      <c r="G38261" s="8"/>
      <c r="J38261" s="8"/>
    </row>
    <row r="38262">
      <c r="C38262" s="15"/>
      <c r="E38262" s="8"/>
      <c r="G38262" s="8"/>
      <c r="J38262" s="8"/>
    </row>
    <row r="38263">
      <c r="C38263" s="15"/>
      <c r="E38263" s="8"/>
      <c r="G38263" s="8"/>
      <c r="J38263" s="8"/>
    </row>
    <row r="38264">
      <c r="C38264" s="15"/>
      <c r="E38264" s="8"/>
      <c r="G38264" s="8"/>
      <c r="J38264" s="8"/>
    </row>
    <row r="38265">
      <c r="C38265" s="15"/>
      <c r="E38265" s="8"/>
      <c r="G38265" s="8"/>
      <c r="J38265" s="8"/>
    </row>
    <row r="38266">
      <c r="C38266" s="15"/>
      <c r="E38266" s="8"/>
      <c r="G38266" s="8"/>
      <c r="J38266" s="8"/>
    </row>
    <row r="38267">
      <c r="C38267" s="15"/>
      <c r="E38267" s="8"/>
      <c r="G38267" s="8"/>
      <c r="J38267" s="8"/>
    </row>
    <row r="38268">
      <c r="C38268" s="15"/>
      <c r="E38268" s="8"/>
      <c r="G38268" s="8"/>
      <c r="J38268" s="8"/>
    </row>
    <row r="38269">
      <c r="C38269" s="15"/>
      <c r="E38269" s="8"/>
      <c r="G38269" s="8"/>
      <c r="J38269" s="8"/>
    </row>
    <row r="38270">
      <c r="C38270" s="15"/>
      <c r="E38270" s="8"/>
      <c r="G38270" s="8"/>
      <c r="J38270" s="8"/>
    </row>
    <row r="38271">
      <c r="C38271" s="15"/>
      <c r="E38271" s="8"/>
      <c r="G38271" s="8"/>
      <c r="J38271" s="8"/>
    </row>
    <row r="38272">
      <c r="C38272" s="15"/>
      <c r="E38272" s="8"/>
      <c r="G38272" s="8"/>
      <c r="J38272" s="8"/>
    </row>
    <row r="38273">
      <c r="C38273" s="15"/>
      <c r="E38273" s="8"/>
      <c r="G38273" s="8"/>
      <c r="J38273" s="8"/>
    </row>
    <row r="38274">
      <c r="C38274" s="15"/>
      <c r="E38274" s="8"/>
      <c r="G38274" s="8"/>
      <c r="J38274" s="8"/>
    </row>
    <row r="38275">
      <c r="C38275" s="15"/>
      <c r="E38275" s="8"/>
      <c r="G38275" s="8"/>
      <c r="J38275" s="8"/>
    </row>
    <row r="38276">
      <c r="C38276" s="15"/>
      <c r="E38276" s="8"/>
      <c r="G38276" s="8"/>
      <c r="J38276" s="8"/>
    </row>
    <row r="38277">
      <c r="C38277" s="15"/>
      <c r="E38277" s="8"/>
      <c r="G38277" s="8"/>
      <c r="J38277" s="8"/>
    </row>
    <row r="38278">
      <c r="C38278" s="15"/>
      <c r="E38278" s="8"/>
      <c r="G38278" s="8"/>
      <c r="J38278" s="8"/>
    </row>
    <row r="38279">
      <c r="C38279" s="15"/>
      <c r="E38279" s="8"/>
      <c r="G38279" s="8"/>
      <c r="J38279" s="8"/>
    </row>
    <row r="38280">
      <c r="C38280" s="15"/>
      <c r="E38280" s="8"/>
      <c r="G38280" s="8"/>
      <c r="J38280" s="8"/>
    </row>
    <row r="38281">
      <c r="C38281" s="15"/>
      <c r="E38281" s="8"/>
      <c r="G38281" s="8"/>
      <c r="J38281" s="8"/>
    </row>
    <row r="38282">
      <c r="C38282" s="15"/>
      <c r="E38282" s="8"/>
      <c r="G38282" s="8"/>
      <c r="J38282" s="8"/>
    </row>
    <row r="38283">
      <c r="C38283" s="15"/>
      <c r="E38283" s="8"/>
      <c r="G38283" s="8"/>
      <c r="J38283" s="8"/>
    </row>
    <row r="38284">
      <c r="C38284" s="15"/>
      <c r="E38284" s="8"/>
      <c r="G38284" s="8"/>
      <c r="J38284" s="8"/>
    </row>
    <row r="38285">
      <c r="C38285" s="15"/>
      <c r="E38285" s="8"/>
      <c r="G38285" s="8"/>
      <c r="J38285" s="8"/>
    </row>
    <row r="38286">
      <c r="C38286" s="15"/>
      <c r="E38286" s="8"/>
      <c r="G38286" s="8"/>
      <c r="J38286" s="8"/>
    </row>
    <row r="38287">
      <c r="C38287" s="15"/>
      <c r="E38287" s="8"/>
      <c r="G38287" s="8"/>
      <c r="J38287" s="8"/>
    </row>
    <row r="38288">
      <c r="C38288" s="15"/>
      <c r="E38288" s="8"/>
      <c r="G38288" s="8"/>
      <c r="J38288" s="8"/>
    </row>
    <row r="38289">
      <c r="C38289" s="15"/>
      <c r="E38289" s="8"/>
      <c r="G38289" s="8"/>
      <c r="J38289" s="8"/>
    </row>
    <row r="38290">
      <c r="C38290" s="15"/>
      <c r="E38290" s="8"/>
      <c r="G38290" s="8"/>
      <c r="J38290" s="8"/>
    </row>
    <row r="38291">
      <c r="C38291" s="15"/>
      <c r="E38291" s="8"/>
      <c r="G38291" s="8"/>
      <c r="J38291" s="8"/>
    </row>
    <row r="38292">
      <c r="C38292" s="15"/>
      <c r="E38292" s="8"/>
      <c r="G38292" s="8"/>
      <c r="J38292" s="8"/>
    </row>
    <row r="38293">
      <c r="C38293" s="15"/>
      <c r="E38293" s="8"/>
      <c r="G38293" s="8"/>
      <c r="J38293" s="8"/>
    </row>
    <row r="38294">
      <c r="C38294" s="15"/>
      <c r="E38294" s="8"/>
      <c r="G38294" s="8"/>
      <c r="J38294" s="8"/>
    </row>
    <row r="38295">
      <c r="C38295" s="15"/>
      <c r="E38295" s="8"/>
      <c r="G38295" s="8"/>
      <c r="J38295" s="8"/>
    </row>
    <row r="38296">
      <c r="C38296" s="15"/>
      <c r="E38296" s="8"/>
      <c r="G38296" s="8"/>
      <c r="J38296" s="8"/>
    </row>
    <row r="38297">
      <c r="C38297" s="15"/>
      <c r="E38297" s="8"/>
      <c r="G38297" s="8"/>
      <c r="J38297" s="8"/>
    </row>
    <row r="38298">
      <c r="C38298" s="15"/>
      <c r="E38298" s="8"/>
      <c r="G38298" s="8"/>
      <c r="J38298" s="8"/>
    </row>
    <row r="38299">
      <c r="C38299" s="15"/>
      <c r="E38299" s="8"/>
      <c r="G38299" s="8"/>
      <c r="J38299" s="8"/>
    </row>
    <row r="38300">
      <c r="C38300" s="15"/>
      <c r="E38300" s="8"/>
      <c r="G38300" s="8"/>
      <c r="J38300" s="8"/>
    </row>
    <row r="38301">
      <c r="C38301" s="15"/>
      <c r="E38301" s="8"/>
      <c r="G38301" s="8"/>
      <c r="J38301" s="8"/>
    </row>
    <row r="38302">
      <c r="C38302" s="15"/>
      <c r="E38302" s="8"/>
      <c r="G38302" s="8"/>
      <c r="J38302" s="8"/>
    </row>
    <row r="38303">
      <c r="C38303" s="15"/>
      <c r="E38303" s="8"/>
      <c r="G38303" s="8"/>
      <c r="J38303" s="8"/>
    </row>
    <row r="38304">
      <c r="C38304" s="15"/>
      <c r="E38304" s="8"/>
      <c r="G38304" s="8"/>
      <c r="J38304" s="8"/>
    </row>
    <row r="38305">
      <c r="C38305" s="15"/>
      <c r="E38305" s="8"/>
      <c r="G38305" s="8"/>
      <c r="J38305" s="8"/>
    </row>
    <row r="38306">
      <c r="C38306" s="15"/>
      <c r="E38306" s="8"/>
      <c r="G38306" s="8"/>
      <c r="J38306" s="8"/>
    </row>
    <row r="38307">
      <c r="C38307" s="15"/>
      <c r="E38307" s="8"/>
      <c r="G38307" s="8"/>
      <c r="J38307" s="8"/>
    </row>
    <row r="38308">
      <c r="C38308" s="15"/>
      <c r="E38308" s="8"/>
      <c r="G38308" s="8"/>
      <c r="J38308" s="8"/>
    </row>
    <row r="38309">
      <c r="C38309" s="15"/>
      <c r="E38309" s="8"/>
      <c r="G38309" s="8"/>
      <c r="J38309" s="8"/>
    </row>
    <row r="38310">
      <c r="C38310" s="15"/>
      <c r="E38310" s="8"/>
      <c r="G38310" s="8"/>
      <c r="J38310" s="8"/>
    </row>
    <row r="38311">
      <c r="C38311" s="15"/>
      <c r="E38311" s="8"/>
      <c r="G38311" s="8"/>
      <c r="J38311" s="8"/>
    </row>
    <row r="38312">
      <c r="C38312" s="15"/>
      <c r="E38312" s="8"/>
      <c r="G38312" s="8"/>
      <c r="J38312" s="8"/>
    </row>
    <row r="38313">
      <c r="C38313" s="15"/>
      <c r="E38313" s="8"/>
      <c r="G38313" s="8"/>
      <c r="J38313" s="8"/>
    </row>
    <row r="38314">
      <c r="C38314" s="15"/>
      <c r="E38314" s="8"/>
      <c r="G38314" s="8"/>
      <c r="J38314" s="8"/>
    </row>
    <row r="38315">
      <c r="C38315" s="15"/>
      <c r="E38315" s="8"/>
      <c r="G38315" s="8"/>
      <c r="J38315" s="8"/>
    </row>
    <row r="38316">
      <c r="C38316" s="15"/>
      <c r="E38316" s="8"/>
      <c r="G38316" s="8"/>
      <c r="J38316" s="8"/>
    </row>
    <row r="38317">
      <c r="C38317" s="15"/>
      <c r="E38317" s="8"/>
      <c r="G38317" s="8"/>
      <c r="J38317" s="8"/>
    </row>
    <row r="38318">
      <c r="C38318" s="15"/>
      <c r="E38318" s="8"/>
      <c r="G38318" s="8"/>
      <c r="J38318" s="8"/>
    </row>
    <row r="38319">
      <c r="C38319" s="15"/>
      <c r="E38319" s="8"/>
      <c r="G38319" s="8"/>
      <c r="J38319" s="8"/>
    </row>
    <row r="38320">
      <c r="C38320" s="15"/>
      <c r="E38320" s="8"/>
      <c r="G38320" s="8"/>
      <c r="J38320" s="8"/>
    </row>
    <row r="38321">
      <c r="C38321" s="15"/>
      <c r="E38321" s="8"/>
      <c r="G38321" s="8"/>
      <c r="J38321" s="8"/>
    </row>
    <row r="38322">
      <c r="C38322" s="15"/>
      <c r="E38322" s="8"/>
      <c r="G38322" s="8"/>
      <c r="J38322" s="8"/>
    </row>
    <row r="38323">
      <c r="C38323" s="15"/>
      <c r="E38323" s="8"/>
      <c r="G38323" s="8"/>
      <c r="J38323" s="8"/>
    </row>
    <row r="38324">
      <c r="C38324" s="15"/>
      <c r="E38324" s="8"/>
      <c r="G38324" s="8"/>
      <c r="J38324" s="8"/>
    </row>
    <row r="38325">
      <c r="C38325" s="15"/>
      <c r="E38325" s="8"/>
      <c r="G38325" s="8"/>
      <c r="J38325" s="8"/>
    </row>
    <row r="38326">
      <c r="C38326" s="15"/>
      <c r="E38326" s="8"/>
      <c r="G38326" s="8"/>
      <c r="J38326" s="8"/>
    </row>
    <row r="38327">
      <c r="C38327" s="15"/>
      <c r="E38327" s="8"/>
      <c r="G38327" s="8"/>
      <c r="J38327" s="8"/>
    </row>
    <row r="38328">
      <c r="C38328" s="15"/>
      <c r="E38328" s="8"/>
      <c r="G38328" s="8"/>
      <c r="J38328" s="8"/>
    </row>
    <row r="38329">
      <c r="C38329" s="15"/>
      <c r="E38329" s="8"/>
      <c r="G38329" s="8"/>
      <c r="J38329" s="8"/>
    </row>
    <row r="38330">
      <c r="C38330" s="15"/>
      <c r="E38330" s="8"/>
      <c r="G38330" s="8"/>
      <c r="J38330" s="8"/>
    </row>
    <row r="38331">
      <c r="C38331" s="15"/>
      <c r="E38331" s="8"/>
      <c r="G38331" s="8"/>
      <c r="J38331" s="8"/>
    </row>
    <row r="38332">
      <c r="C38332" s="15"/>
      <c r="E38332" s="8"/>
      <c r="G38332" s="8"/>
      <c r="J38332" s="8"/>
    </row>
    <row r="38333">
      <c r="C38333" s="15"/>
      <c r="E38333" s="8"/>
      <c r="G38333" s="8"/>
      <c r="J38333" s="8"/>
    </row>
    <row r="38334">
      <c r="C38334" s="15"/>
      <c r="E38334" s="8"/>
      <c r="G38334" s="8"/>
      <c r="J38334" s="8"/>
    </row>
    <row r="38335">
      <c r="C38335" s="15"/>
      <c r="E38335" s="8"/>
      <c r="G38335" s="8"/>
      <c r="J38335" s="8"/>
    </row>
    <row r="38336">
      <c r="C38336" s="15"/>
      <c r="E38336" s="8"/>
      <c r="G38336" s="8"/>
      <c r="J38336" s="8"/>
    </row>
    <row r="38337">
      <c r="C38337" s="15"/>
      <c r="E38337" s="8"/>
      <c r="G38337" s="8"/>
      <c r="J38337" s="8"/>
    </row>
    <row r="38338">
      <c r="C38338" s="15"/>
      <c r="E38338" s="8"/>
      <c r="G38338" s="8"/>
      <c r="J38338" s="8"/>
    </row>
    <row r="38339">
      <c r="C38339" s="15"/>
      <c r="E38339" s="8"/>
      <c r="G38339" s="8"/>
      <c r="J38339" s="8"/>
    </row>
    <row r="38340">
      <c r="C38340" s="15"/>
      <c r="E38340" s="8"/>
      <c r="G38340" s="8"/>
      <c r="J38340" s="8"/>
    </row>
    <row r="38341">
      <c r="C38341" s="15"/>
      <c r="E38341" s="8"/>
      <c r="G38341" s="8"/>
      <c r="J38341" s="8"/>
    </row>
    <row r="38342">
      <c r="C38342" s="15"/>
      <c r="E38342" s="8"/>
      <c r="G38342" s="8"/>
      <c r="J38342" s="8"/>
    </row>
    <row r="38343">
      <c r="C38343" s="15"/>
      <c r="E38343" s="8"/>
      <c r="G38343" s="8"/>
      <c r="J38343" s="8"/>
    </row>
    <row r="38344">
      <c r="C38344" s="15"/>
      <c r="E38344" s="8"/>
      <c r="G38344" s="8"/>
      <c r="J38344" s="8"/>
    </row>
    <row r="38345">
      <c r="C38345" s="15"/>
      <c r="E38345" s="8"/>
      <c r="G38345" s="8"/>
      <c r="J38345" s="8"/>
    </row>
    <row r="38346">
      <c r="C38346" s="15"/>
      <c r="E38346" s="8"/>
      <c r="G38346" s="8"/>
      <c r="J38346" s="8"/>
    </row>
    <row r="38347">
      <c r="C38347" s="15"/>
      <c r="E38347" s="8"/>
      <c r="G38347" s="8"/>
      <c r="J38347" s="8"/>
    </row>
    <row r="38348">
      <c r="C38348" s="15"/>
      <c r="E38348" s="8"/>
      <c r="G38348" s="8"/>
      <c r="J38348" s="8"/>
    </row>
    <row r="38349">
      <c r="C38349" s="15"/>
      <c r="E38349" s="8"/>
      <c r="G38349" s="8"/>
      <c r="J38349" s="8"/>
    </row>
    <row r="38350">
      <c r="C38350" s="15"/>
      <c r="E38350" s="8"/>
      <c r="G38350" s="8"/>
      <c r="J38350" s="8"/>
    </row>
    <row r="38351">
      <c r="C38351" s="15"/>
      <c r="E38351" s="8"/>
      <c r="G38351" s="8"/>
      <c r="J38351" s="8"/>
    </row>
    <row r="38352">
      <c r="C38352" s="15"/>
      <c r="E38352" s="8"/>
      <c r="G38352" s="8"/>
      <c r="J38352" s="8"/>
    </row>
    <row r="38353">
      <c r="C38353" s="15"/>
      <c r="E38353" s="8"/>
      <c r="G38353" s="8"/>
      <c r="J38353" s="8"/>
    </row>
    <row r="38354">
      <c r="C38354" s="15"/>
      <c r="E38354" s="8"/>
      <c r="G38354" s="8"/>
      <c r="J38354" s="8"/>
    </row>
    <row r="38355">
      <c r="C38355" s="15"/>
      <c r="E38355" s="8"/>
      <c r="G38355" s="8"/>
      <c r="J38355" s="8"/>
    </row>
    <row r="38356">
      <c r="C38356" s="15"/>
      <c r="E38356" s="8"/>
      <c r="G38356" s="8"/>
      <c r="J38356" s="8"/>
    </row>
    <row r="38357">
      <c r="C38357" s="15"/>
      <c r="E38357" s="8"/>
      <c r="G38357" s="8"/>
      <c r="J38357" s="8"/>
    </row>
    <row r="38358">
      <c r="C38358" s="15"/>
      <c r="E38358" s="8"/>
      <c r="G38358" s="8"/>
      <c r="J38358" s="8"/>
    </row>
    <row r="38359">
      <c r="C38359" s="15"/>
      <c r="E38359" s="8"/>
      <c r="G38359" s="8"/>
      <c r="J38359" s="8"/>
    </row>
    <row r="38360">
      <c r="C38360" s="15"/>
      <c r="E38360" s="8"/>
      <c r="G38360" s="8"/>
      <c r="J38360" s="8"/>
    </row>
    <row r="38361">
      <c r="C38361" s="15"/>
      <c r="E38361" s="8"/>
      <c r="G38361" s="8"/>
      <c r="J38361" s="8"/>
    </row>
    <row r="38362">
      <c r="C38362" s="15"/>
      <c r="E38362" s="8"/>
      <c r="G38362" s="8"/>
      <c r="J38362" s="8"/>
    </row>
    <row r="38363">
      <c r="C38363" s="15"/>
      <c r="E38363" s="8"/>
      <c r="G38363" s="8"/>
      <c r="J38363" s="8"/>
    </row>
    <row r="38364">
      <c r="C38364" s="15"/>
      <c r="E38364" s="8"/>
      <c r="G38364" s="8"/>
      <c r="J38364" s="8"/>
    </row>
    <row r="38365">
      <c r="C38365" s="15"/>
      <c r="E38365" s="8"/>
      <c r="G38365" s="8"/>
      <c r="J38365" s="8"/>
    </row>
    <row r="38366">
      <c r="C38366" s="15"/>
      <c r="E38366" s="8"/>
      <c r="G38366" s="8"/>
      <c r="J38366" s="8"/>
    </row>
    <row r="38367">
      <c r="C38367" s="15"/>
      <c r="E38367" s="8"/>
      <c r="G38367" s="8"/>
      <c r="J38367" s="8"/>
    </row>
    <row r="38368">
      <c r="C38368" s="15"/>
      <c r="E38368" s="8"/>
      <c r="G38368" s="8"/>
      <c r="J38368" s="8"/>
    </row>
    <row r="38369">
      <c r="C38369" s="15"/>
      <c r="E38369" s="8"/>
      <c r="G38369" s="8"/>
      <c r="J38369" s="8"/>
    </row>
    <row r="38370">
      <c r="C38370" s="15"/>
      <c r="E38370" s="8"/>
      <c r="G38370" s="8"/>
      <c r="J38370" s="8"/>
    </row>
    <row r="38371">
      <c r="C38371" s="15"/>
      <c r="E38371" s="8"/>
      <c r="G38371" s="8"/>
      <c r="J38371" s="8"/>
    </row>
    <row r="38372">
      <c r="C38372" s="15"/>
      <c r="E38372" s="8"/>
      <c r="G38372" s="8"/>
      <c r="J38372" s="8"/>
    </row>
    <row r="38373">
      <c r="C38373" s="15"/>
      <c r="E38373" s="8"/>
      <c r="G38373" s="8"/>
      <c r="J38373" s="8"/>
    </row>
    <row r="38374">
      <c r="C38374" s="15"/>
      <c r="E38374" s="8"/>
      <c r="G38374" s="8"/>
      <c r="J38374" s="8"/>
    </row>
    <row r="38375">
      <c r="C38375" s="15"/>
      <c r="E38375" s="8"/>
      <c r="G38375" s="8"/>
      <c r="J38375" s="8"/>
    </row>
    <row r="38376">
      <c r="C38376" s="15"/>
      <c r="E38376" s="8"/>
      <c r="G38376" s="8"/>
      <c r="J38376" s="8"/>
    </row>
    <row r="38377">
      <c r="C38377" s="15"/>
      <c r="E38377" s="8"/>
      <c r="G38377" s="8"/>
      <c r="J38377" s="8"/>
    </row>
    <row r="38378">
      <c r="C38378" s="15"/>
      <c r="E38378" s="8"/>
      <c r="G38378" s="8"/>
      <c r="J38378" s="8"/>
    </row>
    <row r="38379">
      <c r="C38379" s="15"/>
      <c r="E38379" s="8"/>
      <c r="G38379" s="8"/>
      <c r="J38379" s="8"/>
    </row>
    <row r="38380">
      <c r="C38380" s="15"/>
      <c r="E38380" s="8"/>
      <c r="G38380" s="8"/>
      <c r="J38380" s="8"/>
    </row>
    <row r="38381">
      <c r="C38381" s="15"/>
      <c r="E38381" s="8"/>
      <c r="G38381" s="8"/>
      <c r="J38381" s="8"/>
    </row>
    <row r="38382">
      <c r="C38382" s="15"/>
      <c r="E38382" s="8"/>
      <c r="G38382" s="8"/>
      <c r="J38382" s="8"/>
    </row>
    <row r="38383">
      <c r="C38383" s="15"/>
      <c r="E38383" s="8"/>
      <c r="G38383" s="8"/>
      <c r="J38383" s="8"/>
    </row>
    <row r="38384">
      <c r="C38384" s="15"/>
      <c r="E38384" s="8"/>
      <c r="G38384" s="8"/>
      <c r="J38384" s="8"/>
    </row>
    <row r="38385">
      <c r="C38385" s="15"/>
      <c r="E38385" s="8"/>
      <c r="G38385" s="8"/>
      <c r="J38385" s="8"/>
    </row>
    <row r="38386">
      <c r="C38386" s="15"/>
      <c r="E38386" s="8"/>
      <c r="G38386" s="8"/>
      <c r="J38386" s="8"/>
    </row>
    <row r="38387">
      <c r="C38387" s="15"/>
      <c r="E38387" s="8"/>
      <c r="G38387" s="8"/>
      <c r="J38387" s="8"/>
    </row>
    <row r="38388">
      <c r="C38388" s="15"/>
      <c r="E38388" s="8"/>
      <c r="G38388" s="8"/>
      <c r="J38388" s="8"/>
    </row>
    <row r="38389">
      <c r="C38389" s="15"/>
      <c r="E38389" s="8"/>
      <c r="G38389" s="8"/>
      <c r="J38389" s="8"/>
    </row>
    <row r="38390">
      <c r="C38390" s="15"/>
      <c r="E38390" s="8"/>
      <c r="G38390" s="8"/>
      <c r="J38390" s="8"/>
    </row>
    <row r="38391">
      <c r="C38391" s="15"/>
      <c r="E38391" s="8"/>
      <c r="G38391" s="8"/>
      <c r="J38391" s="8"/>
    </row>
    <row r="38392">
      <c r="C38392" s="15"/>
      <c r="E38392" s="8"/>
      <c r="G38392" s="8"/>
      <c r="J38392" s="8"/>
    </row>
    <row r="38393">
      <c r="C38393" s="15"/>
      <c r="E38393" s="8"/>
      <c r="G38393" s="8"/>
      <c r="J38393" s="8"/>
    </row>
    <row r="38394">
      <c r="C38394" s="15"/>
      <c r="E38394" s="8"/>
      <c r="G38394" s="8"/>
      <c r="J38394" s="8"/>
    </row>
    <row r="38395">
      <c r="C38395" s="15"/>
      <c r="E38395" s="8"/>
      <c r="G38395" s="8"/>
      <c r="J38395" s="8"/>
    </row>
    <row r="38396">
      <c r="C38396" s="15"/>
      <c r="E38396" s="8"/>
      <c r="G38396" s="8"/>
      <c r="J38396" s="8"/>
    </row>
    <row r="38397">
      <c r="C38397" s="15"/>
      <c r="E38397" s="8"/>
      <c r="G38397" s="8"/>
      <c r="J38397" s="8"/>
    </row>
    <row r="38398">
      <c r="C38398" s="15"/>
      <c r="E38398" s="8"/>
      <c r="G38398" s="8"/>
      <c r="J38398" s="8"/>
    </row>
    <row r="38399">
      <c r="C38399" s="15"/>
      <c r="E38399" s="8"/>
      <c r="G38399" s="8"/>
      <c r="J38399" s="8"/>
    </row>
    <row r="38400">
      <c r="C38400" s="15"/>
      <c r="E38400" s="8"/>
      <c r="G38400" s="8"/>
      <c r="J38400" s="8"/>
    </row>
    <row r="38401">
      <c r="C38401" s="15"/>
      <c r="E38401" s="8"/>
      <c r="G38401" s="8"/>
      <c r="J38401" s="8"/>
    </row>
    <row r="38402">
      <c r="C38402" s="15"/>
      <c r="E38402" s="8"/>
      <c r="G38402" s="8"/>
      <c r="J38402" s="8"/>
    </row>
    <row r="38403">
      <c r="C38403" s="15"/>
      <c r="E38403" s="8"/>
      <c r="G38403" s="8"/>
      <c r="J38403" s="8"/>
    </row>
    <row r="38404">
      <c r="C38404" s="15"/>
      <c r="E38404" s="8"/>
      <c r="G38404" s="8"/>
      <c r="J38404" s="8"/>
    </row>
    <row r="38405">
      <c r="C38405" s="15"/>
      <c r="E38405" s="8"/>
      <c r="G38405" s="8"/>
      <c r="J38405" s="8"/>
    </row>
    <row r="38406">
      <c r="C38406" s="15"/>
      <c r="E38406" s="8"/>
      <c r="G38406" s="8"/>
      <c r="J38406" s="8"/>
    </row>
    <row r="38407">
      <c r="C38407" s="15"/>
      <c r="E38407" s="8"/>
      <c r="G38407" s="8"/>
      <c r="J38407" s="8"/>
    </row>
    <row r="38408">
      <c r="C38408" s="15"/>
      <c r="E38408" s="8"/>
      <c r="G38408" s="8"/>
      <c r="J38408" s="8"/>
    </row>
    <row r="38409">
      <c r="C38409" s="15"/>
      <c r="E38409" s="8"/>
      <c r="G38409" s="8"/>
      <c r="J38409" s="8"/>
    </row>
    <row r="38410">
      <c r="C38410" s="15"/>
      <c r="E38410" s="8"/>
      <c r="G38410" s="8"/>
      <c r="J38410" s="8"/>
    </row>
    <row r="38411">
      <c r="C38411" s="15"/>
      <c r="E38411" s="8"/>
      <c r="G38411" s="8"/>
      <c r="J38411" s="8"/>
    </row>
    <row r="38412">
      <c r="C38412" s="15"/>
      <c r="E38412" s="8"/>
      <c r="G38412" s="8"/>
      <c r="J38412" s="8"/>
    </row>
    <row r="38413">
      <c r="C38413" s="15"/>
      <c r="E38413" s="8"/>
      <c r="G38413" s="8"/>
      <c r="J38413" s="8"/>
    </row>
    <row r="38414">
      <c r="C38414" s="15"/>
      <c r="E38414" s="8"/>
      <c r="G38414" s="8"/>
      <c r="J38414" s="8"/>
    </row>
    <row r="38415">
      <c r="C38415" s="15"/>
      <c r="E38415" s="8"/>
      <c r="G38415" s="8"/>
      <c r="J38415" s="8"/>
    </row>
    <row r="38416">
      <c r="C38416" s="15"/>
      <c r="E38416" s="8"/>
      <c r="G38416" s="8"/>
      <c r="J38416" s="8"/>
    </row>
    <row r="38417">
      <c r="C38417" s="15"/>
      <c r="E38417" s="8"/>
      <c r="G38417" s="8"/>
      <c r="J38417" s="8"/>
    </row>
    <row r="38418">
      <c r="C38418" s="15"/>
      <c r="E38418" s="8"/>
      <c r="G38418" s="8"/>
      <c r="J38418" s="8"/>
    </row>
    <row r="38419">
      <c r="C38419" s="15"/>
      <c r="E38419" s="8"/>
      <c r="G38419" s="8"/>
      <c r="J38419" s="8"/>
    </row>
    <row r="38420">
      <c r="C38420" s="15"/>
      <c r="E38420" s="8"/>
      <c r="G38420" s="8"/>
      <c r="J38420" s="8"/>
    </row>
    <row r="38421">
      <c r="C38421" s="15"/>
      <c r="E38421" s="8"/>
      <c r="G38421" s="8"/>
      <c r="J38421" s="8"/>
    </row>
    <row r="38422">
      <c r="C38422" s="15"/>
      <c r="E38422" s="8"/>
      <c r="G38422" s="8"/>
      <c r="J38422" s="8"/>
    </row>
    <row r="38423">
      <c r="C38423" s="15"/>
      <c r="E38423" s="8"/>
      <c r="G38423" s="8"/>
      <c r="J38423" s="8"/>
    </row>
    <row r="38424">
      <c r="C38424" s="15"/>
      <c r="E38424" s="8"/>
      <c r="G38424" s="8"/>
      <c r="J38424" s="8"/>
    </row>
    <row r="38425">
      <c r="C38425" s="15"/>
      <c r="E38425" s="8"/>
      <c r="G38425" s="8"/>
      <c r="J38425" s="8"/>
    </row>
    <row r="38426">
      <c r="C38426" s="15"/>
      <c r="E38426" s="8"/>
      <c r="G38426" s="8"/>
      <c r="J38426" s="8"/>
    </row>
    <row r="38427">
      <c r="C38427" s="15"/>
      <c r="E38427" s="8"/>
      <c r="G38427" s="8"/>
      <c r="J38427" s="8"/>
    </row>
    <row r="38428">
      <c r="C38428" s="15"/>
      <c r="E38428" s="8"/>
      <c r="G38428" s="8"/>
      <c r="J38428" s="8"/>
    </row>
    <row r="38429">
      <c r="C38429" s="15"/>
      <c r="E38429" s="8"/>
      <c r="G38429" s="8"/>
      <c r="J38429" s="8"/>
    </row>
    <row r="38430">
      <c r="C38430" s="15"/>
      <c r="E38430" s="8"/>
      <c r="G38430" s="8"/>
      <c r="J38430" s="8"/>
    </row>
    <row r="38431">
      <c r="C38431" s="15"/>
      <c r="E38431" s="8"/>
      <c r="G38431" s="8"/>
      <c r="J38431" s="8"/>
    </row>
    <row r="38432">
      <c r="C38432" s="15"/>
      <c r="E38432" s="8"/>
      <c r="G38432" s="8"/>
      <c r="J38432" s="8"/>
    </row>
    <row r="38433">
      <c r="C38433" s="15"/>
      <c r="E38433" s="8"/>
      <c r="G38433" s="8"/>
      <c r="J38433" s="8"/>
    </row>
    <row r="38434">
      <c r="C38434" s="15"/>
      <c r="E38434" s="8"/>
      <c r="G38434" s="8"/>
      <c r="J38434" s="8"/>
    </row>
    <row r="38435">
      <c r="C38435" s="15"/>
      <c r="E38435" s="8"/>
      <c r="G38435" s="8"/>
      <c r="J38435" s="8"/>
    </row>
    <row r="38436">
      <c r="C38436" s="15"/>
      <c r="E38436" s="8"/>
      <c r="G38436" s="8"/>
      <c r="J38436" s="8"/>
    </row>
    <row r="38437">
      <c r="C38437" s="15"/>
      <c r="E38437" s="8"/>
      <c r="G38437" s="8"/>
      <c r="J38437" s="8"/>
    </row>
    <row r="38438">
      <c r="C38438" s="15"/>
      <c r="E38438" s="8"/>
      <c r="G38438" s="8"/>
      <c r="J38438" s="8"/>
    </row>
    <row r="38439">
      <c r="C38439" s="15"/>
      <c r="E38439" s="8"/>
      <c r="G38439" s="8"/>
      <c r="J38439" s="8"/>
    </row>
    <row r="38440">
      <c r="C38440" s="15"/>
      <c r="E38440" s="8"/>
      <c r="G38440" s="8"/>
      <c r="J38440" s="8"/>
    </row>
    <row r="38441">
      <c r="C38441" s="15"/>
      <c r="E38441" s="8"/>
      <c r="G38441" s="8"/>
      <c r="J38441" s="8"/>
    </row>
    <row r="38442">
      <c r="C38442" s="15"/>
      <c r="E38442" s="8"/>
      <c r="G38442" s="8"/>
      <c r="J38442" s="8"/>
    </row>
    <row r="38443">
      <c r="C38443" s="15"/>
      <c r="E38443" s="8"/>
      <c r="G38443" s="8"/>
      <c r="J38443" s="8"/>
    </row>
    <row r="38444">
      <c r="C38444" s="15"/>
      <c r="E38444" s="8"/>
      <c r="G38444" s="8"/>
      <c r="J38444" s="8"/>
    </row>
    <row r="38445">
      <c r="C38445" s="15"/>
      <c r="E38445" s="8"/>
      <c r="G38445" s="8"/>
      <c r="J38445" s="8"/>
    </row>
    <row r="38446">
      <c r="C38446" s="15"/>
      <c r="E38446" s="8"/>
      <c r="G38446" s="8"/>
      <c r="J38446" s="8"/>
    </row>
    <row r="38447">
      <c r="C38447" s="15"/>
      <c r="E38447" s="8"/>
      <c r="G38447" s="8"/>
      <c r="J38447" s="8"/>
    </row>
    <row r="38448">
      <c r="C38448" s="15"/>
      <c r="E38448" s="8"/>
      <c r="G38448" s="8"/>
      <c r="J38448" s="8"/>
    </row>
    <row r="38449">
      <c r="C38449" s="15"/>
      <c r="E38449" s="8"/>
      <c r="G38449" s="8"/>
      <c r="J38449" s="8"/>
    </row>
    <row r="38450">
      <c r="C38450" s="15"/>
      <c r="E38450" s="8"/>
      <c r="G38450" s="8"/>
      <c r="J38450" s="8"/>
    </row>
    <row r="38451">
      <c r="C38451" s="15"/>
      <c r="E38451" s="8"/>
      <c r="G38451" s="8"/>
      <c r="J38451" s="8"/>
    </row>
    <row r="38452">
      <c r="C38452" s="15"/>
      <c r="E38452" s="8"/>
      <c r="G38452" s="8"/>
      <c r="J38452" s="8"/>
    </row>
    <row r="38453">
      <c r="C38453" s="15"/>
      <c r="E38453" s="8"/>
      <c r="G38453" s="8"/>
      <c r="J38453" s="8"/>
    </row>
    <row r="38454">
      <c r="C38454" s="15"/>
      <c r="E38454" s="8"/>
      <c r="G38454" s="8"/>
      <c r="J38454" s="8"/>
    </row>
    <row r="38455">
      <c r="C38455" s="15"/>
      <c r="E38455" s="8"/>
      <c r="G38455" s="8"/>
      <c r="J38455" s="8"/>
    </row>
    <row r="38456">
      <c r="C38456" s="15"/>
      <c r="E38456" s="8"/>
      <c r="G38456" s="8"/>
      <c r="J38456" s="8"/>
    </row>
    <row r="38457">
      <c r="C38457" s="15"/>
      <c r="E38457" s="8"/>
      <c r="G38457" s="8"/>
      <c r="J38457" s="8"/>
    </row>
    <row r="38458">
      <c r="C38458" s="15"/>
      <c r="E38458" s="8"/>
      <c r="G38458" s="8"/>
      <c r="J38458" s="8"/>
    </row>
    <row r="38459">
      <c r="C38459" s="15"/>
      <c r="E38459" s="8"/>
      <c r="G38459" s="8"/>
      <c r="J38459" s="8"/>
    </row>
    <row r="38460">
      <c r="C38460" s="15"/>
      <c r="E38460" s="8"/>
      <c r="G38460" s="8"/>
      <c r="J38460" s="8"/>
    </row>
    <row r="38461">
      <c r="C38461" s="15"/>
      <c r="E38461" s="8"/>
      <c r="G38461" s="8"/>
      <c r="J38461" s="8"/>
    </row>
    <row r="38462">
      <c r="C38462" s="15"/>
      <c r="E38462" s="8"/>
      <c r="G38462" s="8"/>
      <c r="J38462" s="8"/>
    </row>
    <row r="38463">
      <c r="C38463" s="15"/>
      <c r="E38463" s="8"/>
      <c r="G38463" s="8"/>
      <c r="J38463" s="8"/>
    </row>
    <row r="38464">
      <c r="C38464" s="15"/>
      <c r="E38464" s="8"/>
      <c r="G38464" s="8"/>
      <c r="J38464" s="8"/>
    </row>
    <row r="38465">
      <c r="C38465" s="15"/>
      <c r="E38465" s="8"/>
      <c r="G38465" s="8"/>
      <c r="J38465" s="8"/>
    </row>
    <row r="38466">
      <c r="C38466" s="15"/>
      <c r="E38466" s="8"/>
      <c r="G38466" s="8"/>
      <c r="J38466" s="8"/>
    </row>
    <row r="38467">
      <c r="C38467" s="15"/>
      <c r="E38467" s="8"/>
      <c r="G38467" s="8"/>
      <c r="J38467" s="8"/>
    </row>
    <row r="38468">
      <c r="C38468" s="15"/>
      <c r="E38468" s="8"/>
      <c r="G38468" s="8"/>
      <c r="J38468" s="8"/>
    </row>
    <row r="38469">
      <c r="C38469" s="15"/>
      <c r="E38469" s="8"/>
      <c r="G38469" s="8"/>
      <c r="J38469" s="8"/>
    </row>
    <row r="38470">
      <c r="C38470" s="15"/>
      <c r="E38470" s="8"/>
      <c r="G38470" s="8"/>
      <c r="J38470" s="8"/>
    </row>
    <row r="38471">
      <c r="C38471" s="15"/>
      <c r="E38471" s="8"/>
      <c r="G38471" s="8"/>
      <c r="J38471" s="8"/>
    </row>
    <row r="38472">
      <c r="C38472" s="15"/>
      <c r="E38472" s="8"/>
      <c r="G38472" s="8"/>
      <c r="J38472" s="8"/>
    </row>
    <row r="38473">
      <c r="C38473" s="15"/>
      <c r="E38473" s="8"/>
      <c r="G38473" s="8"/>
      <c r="J38473" s="8"/>
    </row>
    <row r="38474">
      <c r="C38474" s="15"/>
      <c r="E38474" s="8"/>
      <c r="G38474" s="8"/>
      <c r="J38474" s="8"/>
    </row>
    <row r="38475">
      <c r="C38475" s="15"/>
      <c r="E38475" s="8"/>
      <c r="G38475" s="8"/>
      <c r="J38475" s="8"/>
    </row>
    <row r="38476">
      <c r="C38476" s="15"/>
      <c r="E38476" s="8"/>
      <c r="G38476" s="8"/>
      <c r="J38476" s="8"/>
    </row>
    <row r="38477">
      <c r="C38477" s="15"/>
      <c r="E38477" s="8"/>
      <c r="G38477" s="8"/>
      <c r="J38477" s="8"/>
    </row>
    <row r="38478">
      <c r="C38478" s="15"/>
      <c r="E38478" s="8"/>
      <c r="G38478" s="8"/>
      <c r="J38478" s="8"/>
    </row>
    <row r="38479">
      <c r="C38479" s="15"/>
      <c r="E38479" s="8"/>
      <c r="G38479" s="8"/>
      <c r="J38479" s="8"/>
    </row>
    <row r="38480">
      <c r="C38480" s="15"/>
      <c r="E38480" s="8"/>
      <c r="G38480" s="8"/>
      <c r="J38480" s="8"/>
    </row>
    <row r="38481">
      <c r="C38481" s="15"/>
      <c r="E38481" s="8"/>
      <c r="G38481" s="8"/>
      <c r="J38481" s="8"/>
    </row>
    <row r="38482">
      <c r="C38482" s="15"/>
      <c r="E38482" s="8"/>
      <c r="G38482" s="8"/>
      <c r="J38482" s="8"/>
    </row>
    <row r="38483">
      <c r="C38483" s="15"/>
      <c r="E38483" s="8"/>
      <c r="G38483" s="8"/>
      <c r="J38483" s="8"/>
    </row>
    <row r="38484">
      <c r="C38484" s="15"/>
      <c r="E38484" s="8"/>
      <c r="G38484" s="8"/>
      <c r="J38484" s="8"/>
    </row>
    <row r="38485">
      <c r="C38485" s="15"/>
      <c r="E38485" s="8"/>
      <c r="G38485" s="8"/>
      <c r="J38485" s="8"/>
    </row>
    <row r="38486">
      <c r="C38486" s="15"/>
      <c r="E38486" s="8"/>
      <c r="G38486" s="8"/>
      <c r="J38486" s="8"/>
    </row>
    <row r="38487">
      <c r="C38487" s="15"/>
      <c r="E38487" s="8"/>
      <c r="G38487" s="8"/>
      <c r="J38487" s="8"/>
    </row>
    <row r="38488">
      <c r="C38488" s="15"/>
      <c r="E38488" s="8"/>
      <c r="G38488" s="8"/>
      <c r="J38488" s="8"/>
    </row>
    <row r="38489">
      <c r="C38489" s="15"/>
      <c r="E38489" s="8"/>
      <c r="G38489" s="8"/>
      <c r="J38489" s="8"/>
    </row>
    <row r="38490">
      <c r="C38490" s="15"/>
      <c r="E38490" s="8"/>
      <c r="G38490" s="8"/>
      <c r="J38490" s="8"/>
    </row>
    <row r="38491">
      <c r="C38491" s="15"/>
      <c r="E38491" s="8"/>
      <c r="G38491" s="8"/>
      <c r="J38491" s="8"/>
    </row>
    <row r="38492">
      <c r="C38492" s="15"/>
      <c r="E38492" s="8"/>
      <c r="G38492" s="8"/>
      <c r="J38492" s="8"/>
    </row>
    <row r="38493">
      <c r="C38493" s="15"/>
      <c r="E38493" s="8"/>
      <c r="G38493" s="8"/>
      <c r="J38493" s="8"/>
    </row>
    <row r="38494">
      <c r="C38494" s="15"/>
      <c r="E38494" s="8"/>
      <c r="G38494" s="8"/>
      <c r="J38494" s="8"/>
    </row>
    <row r="38495">
      <c r="C38495" s="15"/>
      <c r="E38495" s="8"/>
      <c r="G38495" s="8"/>
      <c r="J38495" s="8"/>
    </row>
    <row r="38496">
      <c r="C38496" s="15"/>
      <c r="E38496" s="8"/>
      <c r="G38496" s="8"/>
      <c r="J38496" s="8"/>
    </row>
    <row r="38497">
      <c r="C38497" s="15"/>
      <c r="E38497" s="8"/>
      <c r="G38497" s="8"/>
      <c r="J38497" s="8"/>
    </row>
    <row r="38498">
      <c r="C38498" s="15"/>
      <c r="E38498" s="8"/>
      <c r="G38498" s="8"/>
      <c r="J38498" s="8"/>
    </row>
    <row r="38499">
      <c r="C38499" s="15"/>
      <c r="E38499" s="8"/>
      <c r="G38499" s="8"/>
      <c r="J38499" s="8"/>
    </row>
    <row r="38500">
      <c r="C38500" s="15"/>
      <c r="E38500" s="8"/>
      <c r="G38500" s="8"/>
      <c r="J38500" s="8"/>
    </row>
    <row r="38501">
      <c r="C38501" s="15"/>
      <c r="E38501" s="8"/>
      <c r="G38501" s="8"/>
      <c r="J38501" s="8"/>
    </row>
    <row r="38502">
      <c r="C38502" s="15"/>
      <c r="E38502" s="8"/>
      <c r="G38502" s="8"/>
      <c r="J38502" s="8"/>
    </row>
    <row r="38503">
      <c r="C38503" s="15"/>
      <c r="E38503" s="8"/>
      <c r="G38503" s="8"/>
      <c r="J38503" s="8"/>
    </row>
    <row r="38504">
      <c r="C38504" s="15"/>
      <c r="E38504" s="8"/>
      <c r="G38504" s="8"/>
      <c r="J38504" s="8"/>
    </row>
    <row r="38505">
      <c r="C38505" s="15"/>
      <c r="E38505" s="8"/>
      <c r="G38505" s="8"/>
      <c r="J38505" s="8"/>
    </row>
    <row r="38506">
      <c r="C38506" s="15"/>
      <c r="E38506" s="8"/>
      <c r="G38506" s="8"/>
      <c r="J38506" s="8"/>
    </row>
    <row r="38507">
      <c r="C38507" s="15"/>
      <c r="E38507" s="8"/>
      <c r="G38507" s="8"/>
      <c r="J38507" s="8"/>
    </row>
    <row r="38508">
      <c r="C38508" s="15"/>
      <c r="E38508" s="8"/>
      <c r="G38508" s="8"/>
      <c r="J38508" s="8"/>
    </row>
    <row r="38509">
      <c r="C38509" s="15"/>
      <c r="E38509" s="8"/>
      <c r="G38509" s="8"/>
      <c r="J38509" s="8"/>
    </row>
    <row r="38510">
      <c r="C38510" s="15"/>
      <c r="E38510" s="8"/>
      <c r="G38510" s="8"/>
      <c r="J38510" s="8"/>
    </row>
    <row r="38511">
      <c r="C38511" s="15"/>
      <c r="E38511" s="8"/>
      <c r="G38511" s="8"/>
      <c r="J38511" s="8"/>
    </row>
    <row r="38512">
      <c r="C38512" s="15"/>
      <c r="E38512" s="8"/>
      <c r="G38512" s="8"/>
      <c r="J38512" s="8"/>
    </row>
    <row r="38513">
      <c r="C38513" s="15"/>
      <c r="E38513" s="8"/>
      <c r="G38513" s="8"/>
      <c r="J38513" s="8"/>
    </row>
    <row r="38514">
      <c r="C38514" s="15"/>
      <c r="E38514" s="8"/>
      <c r="G38514" s="8"/>
      <c r="J38514" s="8"/>
    </row>
    <row r="38515">
      <c r="C38515" s="15"/>
      <c r="E38515" s="8"/>
      <c r="G38515" s="8"/>
      <c r="J38515" s="8"/>
    </row>
    <row r="38516">
      <c r="C38516" s="15"/>
      <c r="E38516" s="8"/>
      <c r="G38516" s="8"/>
      <c r="J38516" s="8"/>
    </row>
    <row r="38517">
      <c r="C38517" s="15"/>
      <c r="E38517" s="8"/>
      <c r="G38517" s="8"/>
      <c r="J38517" s="8"/>
    </row>
    <row r="38518">
      <c r="C38518" s="15"/>
      <c r="E38518" s="8"/>
      <c r="G38518" s="8"/>
      <c r="J38518" s="8"/>
    </row>
    <row r="38519">
      <c r="C38519" s="15"/>
      <c r="E38519" s="8"/>
      <c r="G38519" s="8"/>
      <c r="J38519" s="8"/>
    </row>
    <row r="38520">
      <c r="C38520" s="15"/>
      <c r="E38520" s="8"/>
      <c r="G38520" s="8"/>
      <c r="J38520" s="8"/>
    </row>
    <row r="38521">
      <c r="C38521" s="15"/>
      <c r="E38521" s="8"/>
      <c r="G38521" s="8"/>
      <c r="J38521" s="8"/>
    </row>
    <row r="38522">
      <c r="C38522" s="15"/>
      <c r="E38522" s="8"/>
      <c r="G38522" s="8"/>
      <c r="J38522" s="8"/>
    </row>
    <row r="38523">
      <c r="C38523" s="15"/>
      <c r="E38523" s="8"/>
      <c r="G38523" s="8"/>
      <c r="J38523" s="8"/>
    </row>
    <row r="38524">
      <c r="C38524" s="15"/>
      <c r="E38524" s="8"/>
      <c r="G38524" s="8"/>
      <c r="J38524" s="8"/>
    </row>
    <row r="38525">
      <c r="C38525" s="15"/>
      <c r="E38525" s="8"/>
      <c r="G38525" s="8"/>
      <c r="J38525" s="8"/>
    </row>
    <row r="38526">
      <c r="C38526" s="15"/>
      <c r="E38526" s="8"/>
      <c r="G38526" s="8"/>
      <c r="J38526" s="8"/>
    </row>
    <row r="38527">
      <c r="C38527" s="15"/>
      <c r="E38527" s="8"/>
      <c r="G38527" s="8"/>
      <c r="J38527" s="8"/>
    </row>
    <row r="38528">
      <c r="C38528" s="15"/>
      <c r="E38528" s="8"/>
      <c r="G38528" s="8"/>
      <c r="J38528" s="8"/>
    </row>
    <row r="38529">
      <c r="C38529" s="15"/>
      <c r="E38529" s="8"/>
      <c r="G38529" s="8"/>
      <c r="J38529" s="8"/>
    </row>
    <row r="38530">
      <c r="C38530" s="15"/>
      <c r="E38530" s="8"/>
      <c r="G38530" s="8"/>
      <c r="J38530" s="8"/>
    </row>
    <row r="38531">
      <c r="C38531" s="15"/>
      <c r="E38531" s="8"/>
      <c r="G38531" s="8"/>
      <c r="J38531" s="8"/>
    </row>
    <row r="38532">
      <c r="C38532" s="15"/>
      <c r="E38532" s="8"/>
      <c r="G38532" s="8"/>
      <c r="J38532" s="8"/>
    </row>
    <row r="38533">
      <c r="C38533" s="15"/>
      <c r="E38533" s="8"/>
      <c r="G38533" s="8"/>
      <c r="J38533" s="8"/>
    </row>
    <row r="38534">
      <c r="C38534" s="15"/>
      <c r="E38534" s="8"/>
      <c r="G38534" s="8"/>
      <c r="J38534" s="8"/>
    </row>
    <row r="38535">
      <c r="C38535" s="15"/>
      <c r="E38535" s="8"/>
      <c r="G38535" s="8"/>
      <c r="J38535" s="8"/>
    </row>
    <row r="38536">
      <c r="C38536" s="15"/>
      <c r="E38536" s="8"/>
      <c r="G38536" s="8"/>
      <c r="J38536" s="8"/>
    </row>
    <row r="38537">
      <c r="C38537" s="15"/>
      <c r="E38537" s="8"/>
      <c r="G38537" s="8"/>
      <c r="J38537" s="8"/>
    </row>
    <row r="38538">
      <c r="C38538" s="15"/>
      <c r="E38538" s="8"/>
      <c r="G38538" s="8"/>
      <c r="J38538" s="8"/>
    </row>
    <row r="38539">
      <c r="C38539" s="15"/>
      <c r="E38539" s="8"/>
      <c r="G38539" s="8"/>
      <c r="J38539" s="8"/>
    </row>
    <row r="38540">
      <c r="C38540" s="15"/>
      <c r="E38540" s="8"/>
      <c r="G38540" s="8"/>
      <c r="J38540" s="8"/>
    </row>
    <row r="38541">
      <c r="C38541" s="15"/>
      <c r="E38541" s="8"/>
      <c r="G38541" s="8"/>
      <c r="J38541" s="8"/>
    </row>
    <row r="38542">
      <c r="C38542" s="15"/>
      <c r="E38542" s="8"/>
      <c r="G38542" s="8"/>
      <c r="J38542" s="8"/>
    </row>
    <row r="38543">
      <c r="C38543" s="15"/>
      <c r="E38543" s="8"/>
      <c r="G38543" s="8"/>
      <c r="J38543" s="8"/>
    </row>
    <row r="38544">
      <c r="C38544" s="15"/>
      <c r="E38544" s="8"/>
      <c r="G38544" s="8"/>
      <c r="J38544" s="8"/>
    </row>
    <row r="38545">
      <c r="C38545" s="15"/>
      <c r="E38545" s="8"/>
      <c r="G38545" s="8"/>
      <c r="J38545" s="8"/>
    </row>
    <row r="38546">
      <c r="C38546" s="15"/>
      <c r="E38546" s="8"/>
      <c r="G38546" s="8"/>
      <c r="J38546" s="8"/>
    </row>
    <row r="38547">
      <c r="C38547" s="15"/>
      <c r="E38547" s="8"/>
      <c r="G38547" s="8"/>
      <c r="J38547" s="8"/>
    </row>
    <row r="38548">
      <c r="C38548" s="15"/>
      <c r="E38548" s="8"/>
      <c r="G38548" s="8"/>
      <c r="J38548" s="8"/>
    </row>
    <row r="38549">
      <c r="C38549" s="15"/>
      <c r="E38549" s="8"/>
      <c r="G38549" s="8"/>
      <c r="J38549" s="8"/>
    </row>
    <row r="38550">
      <c r="C38550" s="15"/>
      <c r="E38550" s="8"/>
      <c r="G38550" s="8"/>
      <c r="J38550" s="8"/>
    </row>
    <row r="38551">
      <c r="C38551" s="15"/>
      <c r="E38551" s="8"/>
      <c r="G38551" s="8"/>
      <c r="J38551" s="8"/>
    </row>
    <row r="38552">
      <c r="C38552" s="15"/>
      <c r="E38552" s="8"/>
      <c r="G38552" s="8"/>
      <c r="J38552" s="8"/>
    </row>
    <row r="38553">
      <c r="C38553" s="15"/>
      <c r="E38553" s="8"/>
      <c r="G38553" s="8"/>
      <c r="J38553" s="8"/>
    </row>
    <row r="38554">
      <c r="C38554" s="15"/>
      <c r="E38554" s="8"/>
      <c r="G38554" s="8"/>
      <c r="J38554" s="8"/>
    </row>
    <row r="38555">
      <c r="C38555" s="15"/>
      <c r="E38555" s="8"/>
      <c r="G38555" s="8"/>
      <c r="J38555" s="8"/>
    </row>
    <row r="38556">
      <c r="C38556" s="15"/>
      <c r="E38556" s="8"/>
      <c r="G38556" s="8"/>
      <c r="J38556" s="8"/>
    </row>
    <row r="38557">
      <c r="C38557" s="15"/>
      <c r="E38557" s="8"/>
      <c r="G38557" s="8"/>
      <c r="J38557" s="8"/>
    </row>
    <row r="38558">
      <c r="C38558" s="15"/>
      <c r="E38558" s="8"/>
      <c r="G38558" s="8"/>
      <c r="J38558" s="8"/>
    </row>
    <row r="38559">
      <c r="C38559" s="15"/>
      <c r="E38559" s="8"/>
      <c r="G38559" s="8"/>
      <c r="J38559" s="8"/>
    </row>
    <row r="38560">
      <c r="C38560" s="15"/>
      <c r="E38560" s="8"/>
      <c r="G38560" s="8"/>
      <c r="J38560" s="8"/>
    </row>
    <row r="38561">
      <c r="C38561" s="15"/>
      <c r="E38561" s="8"/>
      <c r="G38561" s="8"/>
      <c r="J38561" s="8"/>
    </row>
    <row r="38562">
      <c r="C38562" s="15"/>
      <c r="E38562" s="8"/>
      <c r="G38562" s="8"/>
      <c r="J38562" s="8"/>
    </row>
    <row r="38563">
      <c r="C38563" s="15"/>
      <c r="E38563" s="8"/>
      <c r="G38563" s="8"/>
      <c r="J38563" s="8"/>
    </row>
    <row r="38564">
      <c r="C38564" s="15"/>
      <c r="E38564" s="8"/>
      <c r="G38564" s="8"/>
      <c r="J38564" s="8"/>
    </row>
    <row r="38565">
      <c r="C38565" s="15"/>
      <c r="E38565" s="8"/>
      <c r="G38565" s="8"/>
      <c r="J38565" s="8"/>
    </row>
    <row r="38566">
      <c r="C38566" s="15"/>
      <c r="E38566" s="8"/>
      <c r="G38566" s="8"/>
      <c r="J38566" s="8"/>
    </row>
    <row r="38567">
      <c r="C38567" s="15"/>
      <c r="E38567" s="8"/>
      <c r="G38567" s="8"/>
      <c r="J38567" s="8"/>
    </row>
    <row r="38568">
      <c r="C38568" s="15"/>
      <c r="E38568" s="8"/>
      <c r="G38568" s="8"/>
      <c r="J38568" s="8"/>
    </row>
    <row r="38569">
      <c r="C38569" s="15"/>
      <c r="E38569" s="8"/>
      <c r="G38569" s="8"/>
      <c r="J38569" s="8"/>
    </row>
    <row r="38570">
      <c r="C38570" s="15"/>
      <c r="E38570" s="8"/>
      <c r="G38570" s="8"/>
      <c r="J38570" s="8"/>
    </row>
    <row r="38571">
      <c r="C38571" s="15"/>
      <c r="E38571" s="8"/>
      <c r="G38571" s="8"/>
      <c r="J38571" s="8"/>
    </row>
    <row r="38572">
      <c r="C38572" s="15"/>
      <c r="E38572" s="8"/>
      <c r="G38572" s="8"/>
      <c r="J38572" s="8"/>
    </row>
    <row r="38573">
      <c r="C38573" s="15"/>
      <c r="E38573" s="8"/>
      <c r="G38573" s="8"/>
      <c r="J38573" s="8"/>
    </row>
    <row r="38574">
      <c r="C38574" s="15"/>
      <c r="E38574" s="8"/>
      <c r="G38574" s="8"/>
      <c r="J38574" s="8"/>
    </row>
    <row r="38575">
      <c r="C38575" s="15"/>
      <c r="E38575" s="8"/>
      <c r="G38575" s="8"/>
      <c r="J38575" s="8"/>
    </row>
    <row r="38576">
      <c r="C38576" s="15"/>
      <c r="E38576" s="8"/>
      <c r="G38576" s="8"/>
      <c r="J38576" s="8"/>
    </row>
    <row r="38577">
      <c r="C38577" s="15"/>
      <c r="E38577" s="8"/>
      <c r="G38577" s="8"/>
      <c r="J38577" s="8"/>
    </row>
    <row r="38578">
      <c r="C38578" s="15"/>
      <c r="E38578" s="8"/>
      <c r="G38578" s="8"/>
      <c r="J38578" s="8"/>
    </row>
    <row r="38579">
      <c r="C38579" s="15"/>
      <c r="E38579" s="8"/>
      <c r="G38579" s="8"/>
      <c r="J38579" s="8"/>
    </row>
    <row r="38580">
      <c r="C38580" s="15"/>
      <c r="E38580" s="8"/>
      <c r="G38580" s="8"/>
      <c r="J38580" s="8"/>
    </row>
    <row r="38581">
      <c r="C38581" s="15"/>
      <c r="E38581" s="8"/>
      <c r="G38581" s="8"/>
      <c r="J38581" s="8"/>
    </row>
    <row r="38582">
      <c r="C38582" s="15"/>
      <c r="E38582" s="8"/>
      <c r="G38582" s="8"/>
      <c r="J38582" s="8"/>
    </row>
    <row r="38583">
      <c r="C38583" s="15"/>
      <c r="E38583" s="8"/>
      <c r="G38583" s="8"/>
      <c r="J38583" s="8"/>
    </row>
    <row r="38584">
      <c r="C38584" s="15"/>
      <c r="E38584" s="8"/>
      <c r="G38584" s="8"/>
      <c r="J38584" s="8"/>
    </row>
    <row r="38585">
      <c r="C38585" s="15"/>
      <c r="E38585" s="8"/>
      <c r="G38585" s="8"/>
      <c r="J38585" s="8"/>
    </row>
    <row r="38586">
      <c r="C38586" s="15"/>
      <c r="E38586" s="8"/>
      <c r="G38586" s="8"/>
      <c r="J38586" s="8"/>
    </row>
    <row r="38587">
      <c r="C38587" s="15"/>
      <c r="E38587" s="8"/>
      <c r="G38587" s="8"/>
      <c r="J38587" s="8"/>
    </row>
    <row r="38588">
      <c r="C38588" s="15"/>
      <c r="E38588" s="8"/>
      <c r="G38588" s="8"/>
      <c r="J38588" s="8"/>
    </row>
    <row r="38589">
      <c r="C38589" s="15"/>
      <c r="E38589" s="8"/>
      <c r="G38589" s="8"/>
      <c r="J38589" s="8"/>
    </row>
    <row r="38590">
      <c r="C38590" s="15"/>
      <c r="E38590" s="8"/>
      <c r="G38590" s="8"/>
      <c r="J38590" s="8"/>
    </row>
    <row r="38591">
      <c r="C38591" s="15"/>
      <c r="E38591" s="8"/>
      <c r="G38591" s="8"/>
      <c r="J38591" s="8"/>
    </row>
    <row r="38592">
      <c r="C38592" s="15"/>
      <c r="E38592" s="8"/>
      <c r="G38592" s="8"/>
      <c r="J38592" s="8"/>
    </row>
    <row r="38593">
      <c r="C38593" s="15"/>
      <c r="E38593" s="8"/>
      <c r="G38593" s="8"/>
      <c r="J38593" s="8"/>
    </row>
    <row r="38594">
      <c r="C38594" s="15"/>
      <c r="E38594" s="8"/>
      <c r="G38594" s="8"/>
      <c r="J38594" s="8"/>
    </row>
    <row r="38595">
      <c r="C38595" s="15"/>
      <c r="E38595" s="8"/>
      <c r="G38595" s="8"/>
      <c r="J38595" s="8"/>
    </row>
    <row r="38596">
      <c r="C38596" s="15"/>
      <c r="E38596" s="8"/>
      <c r="G38596" s="8"/>
      <c r="J38596" s="8"/>
    </row>
    <row r="38597">
      <c r="C38597" s="15"/>
      <c r="E38597" s="8"/>
      <c r="G38597" s="8"/>
      <c r="J38597" s="8"/>
    </row>
    <row r="38598">
      <c r="C38598" s="15"/>
      <c r="E38598" s="8"/>
      <c r="G38598" s="8"/>
      <c r="J38598" s="8"/>
    </row>
    <row r="38599">
      <c r="C38599" s="15"/>
      <c r="E38599" s="8"/>
      <c r="G38599" s="8"/>
      <c r="J38599" s="8"/>
    </row>
    <row r="38600">
      <c r="C38600" s="15"/>
      <c r="E38600" s="8"/>
      <c r="G38600" s="8"/>
      <c r="J38600" s="8"/>
    </row>
    <row r="38601">
      <c r="C38601" s="15"/>
      <c r="E38601" s="8"/>
      <c r="G38601" s="8"/>
      <c r="J38601" s="8"/>
    </row>
    <row r="38602">
      <c r="C38602" s="15"/>
      <c r="E38602" s="8"/>
      <c r="G38602" s="8"/>
      <c r="J38602" s="8"/>
    </row>
    <row r="38603">
      <c r="C38603" s="15"/>
      <c r="E38603" s="8"/>
      <c r="G38603" s="8"/>
      <c r="J38603" s="8"/>
    </row>
    <row r="38604">
      <c r="C38604" s="15"/>
      <c r="E38604" s="8"/>
      <c r="G38604" s="8"/>
      <c r="J38604" s="8"/>
    </row>
    <row r="38605">
      <c r="C38605" s="15"/>
      <c r="E38605" s="8"/>
      <c r="G38605" s="8"/>
      <c r="J38605" s="8"/>
    </row>
    <row r="38606">
      <c r="C38606" s="15"/>
      <c r="E38606" s="8"/>
      <c r="G38606" s="8"/>
      <c r="J38606" s="8"/>
    </row>
    <row r="38607">
      <c r="C38607" s="15"/>
      <c r="E38607" s="8"/>
      <c r="G38607" s="8"/>
      <c r="J38607" s="8"/>
    </row>
    <row r="38608">
      <c r="C38608" s="15"/>
      <c r="E38608" s="8"/>
      <c r="G38608" s="8"/>
      <c r="J38608" s="8"/>
    </row>
    <row r="38609">
      <c r="C38609" s="15"/>
      <c r="E38609" s="8"/>
      <c r="G38609" s="8"/>
      <c r="J38609" s="8"/>
    </row>
    <row r="38610">
      <c r="C38610" s="15"/>
      <c r="E38610" s="8"/>
      <c r="G38610" s="8"/>
      <c r="J38610" s="8"/>
    </row>
    <row r="38611">
      <c r="C38611" s="15"/>
      <c r="E38611" s="8"/>
      <c r="G38611" s="8"/>
      <c r="J38611" s="8"/>
    </row>
    <row r="38612">
      <c r="C38612" s="15"/>
      <c r="E38612" s="8"/>
      <c r="G38612" s="8"/>
      <c r="J38612" s="8"/>
    </row>
    <row r="38613">
      <c r="C38613" s="15"/>
      <c r="E38613" s="8"/>
      <c r="G38613" s="8"/>
      <c r="J38613" s="8"/>
    </row>
    <row r="38614">
      <c r="C38614" s="15"/>
      <c r="E38614" s="8"/>
      <c r="G38614" s="8"/>
      <c r="J38614" s="8"/>
    </row>
    <row r="38615">
      <c r="C38615" s="15"/>
      <c r="E38615" s="8"/>
      <c r="G38615" s="8"/>
      <c r="J38615" s="8"/>
    </row>
    <row r="38616">
      <c r="C38616" s="15"/>
      <c r="E38616" s="8"/>
      <c r="G38616" s="8"/>
      <c r="J38616" s="8"/>
    </row>
    <row r="38617">
      <c r="C38617" s="15"/>
      <c r="E38617" s="8"/>
      <c r="G38617" s="8"/>
      <c r="J38617" s="8"/>
    </row>
    <row r="38618">
      <c r="C38618" s="15"/>
      <c r="E38618" s="8"/>
      <c r="G38618" s="8"/>
      <c r="J38618" s="8"/>
    </row>
    <row r="38619">
      <c r="C38619" s="15"/>
      <c r="E38619" s="8"/>
      <c r="G38619" s="8"/>
      <c r="J38619" s="8"/>
    </row>
    <row r="38620">
      <c r="C38620" s="15"/>
      <c r="E38620" s="8"/>
      <c r="G38620" s="8"/>
      <c r="J38620" s="8"/>
    </row>
    <row r="38621">
      <c r="C38621" s="15"/>
      <c r="E38621" s="8"/>
      <c r="G38621" s="8"/>
      <c r="J38621" s="8"/>
    </row>
    <row r="38622">
      <c r="C38622" s="15"/>
      <c r="E38622" s="8"/>
      <c r="G38622" s="8"/>
      <c r="J38622" s="8"/>
    </row>
    <row r="38623">
      <c r="C38623" s="15"/>
      <c r="E38623" s="8"/>
      <c r="G38623" s="8"/>
      <c r="J38623" s="8"/>
    </row>
    <row r="38624">
      <c r="C38624" s="15"/>
      <c r="E38624" s="8"/>
      <c r="G38624" s="8"/>
      <c r="J38624" s="8"/>
    </row>
    <row r="38625">
      <c r="C38625" s="15"/>
      <c r="E38625" s="8"/>
      <c r="G38625" s="8"/>
      <c r="J38625" s="8"/>
    </row>
    <row r="38626">
      <c r="C38626" s="15"/>
      <c r="E38626" s="8"/>
      <c r="G38626" s="8"/>
      <c r="J38626" s="8"/>
    </row>
    <row r="38627">
      <c r="C38627" s="15"/>
      <c r="E38627" s="8"/>
      <c r="G38627" s="8"/>
      <c r="J38627" s="8"/>
    </row>
    <row r="38628">
      <c r="C38628" s="15"/>
      <c r="E38628" s="8"/>
      <c r="G38628" s="8"/>
      <c r="J38628" s="8"/>
    </row>
    <row r="38629">
      <c r="C38629" s="15"/>
      <c r="E38629" s="8"/>
      <c r="G38629" s="8"/>
      <c r="J38629" s="8"/>
    </row>
    <row r="38630">
      <c r="C38630" s="15"/>
      <c r="E38630" s="8"/>
      <c r="G38630" s="8"/>
      <c r="J38630" s="8"/>
    </row>
    <row r="38631">
      <c r="C38631" s="15"/>
      <c r="E38631" s="8"/>
      <c r="G38631" s="8"/>
      <c r="J38631" s="8"/>
    </row>
    <row r="38632">
      <c r="C38632" s="15"/>
      <c r="E38632" s="8"/>
      <c r="G38632" s="8"/>
      <c r="J38632" s="8"/>
    </row>
    <row r="38633">
      <c r="C38633" s="15"/>
      <c r="E38633" s="8"/>
      <c r="G38633" s="8"/>
      <c r="J38633" s="8"/>
    </row>
    <row r="38634">
      <c r="C38634" s="15"/>
      <c r="E38634" s="8"/>
      <c r="G38634" s="8"/>
      <c r="J38634" s="8"/>
    </row>
    <row r="38635">
      <c r="C38635" s="15"/>
      <c r="E38635" s="8"/>
      <c r="G38635" s="8"/>
      <c r="J38635" s="8"/>
    </row>
    <row r="38636">
      <c r="C38636" s="15"/>
      <c r="E38636" s="8"/>
      <c r="G38636" s="8"/>
      <c r="J38636" s="8"/>
    </row>
    <row r="38637">
      <c r="C38637" s="15"/>
      <c r="E38637" s="8"/>
      <c r="G38637" s="8"/>
      <c r="J38637" s="8"/>
    </row>
    <row r="38638">
      <c r="C38638" s="15"/>
      <c r="E38638" s="8"/>
      <c r="G38638" s="8"/>
      <c r="J38638" s="8"/>
    </row>
    <row r="38639">
      <c r="C38639" s="15"/>
      <c r="E38639" s="8"/>
      <c r="G38639" s="8"/>
      <c r="J38639" s="8"/>
    </row>
    <row r="38640">
      <c r="C38640" s="15"/>
      <c r="E38640" s="8"/>
      <c r="G38640" s="8"/>
      <c r="J38640" s="8"/>
    </row>
    <row r="38641">
      <c r="C38641" s="15"/>
      <c r="E38641" s="8"/>
      <c r="G38641" s="8"/>
      <c r="J38641" s="8"/>
    </row>
    <row r="38642">
      <c r="C38642" s="15"/>
      <c r="E38642" s="8"/>
      <c r="G38642" s="8"/>
      <c r="J38642" s="8"/>
    </row>
    <row r="38643">
      <c r="C38643" s="15"/>
      <c r="E38643" s="8"/>
      <c r="G38643" s="8"/>
      <c r="J38643" s="8"/>
    </row>
    <row r="38644">
      <c r="C38644" s="15"/>
      <c r="E38644" s="8"/>
      <c r="G38644" s="8"/>
      <c r="J38644" s="8"/>
    </row>
    <row r="38645">
      <c r="C38645" s="15"/>
      <c r="E38645" s="8"/>
      <c r="G38645" s="8"/>
      <c r="J38645" s="8"/>
    </row>
    <row r="38646">
      <c r="C38646" s="15"/>
      <c r="E38646" s="8"/>
      <c r="G38646" s="8"/>
      <c r="J38646" s="8"/>
    </row>
  </sheetData>
  <autoFilter ref="$A$1:$K$18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28.88"/>
    <col customWidth="1" min="3" max="3" width="9.5"/>
    <col customWidth="1" min="4" max="4" width="12.63"/>
    <col customWidth="1" min="5" max="5" width="25.13"/>
    <col customWidth="1" min="6" max="6" width="12.38"/>
    <col customWidth="1" min="7" max="9" width="9.25"/>
    <col customWidth="1" min="12" max="12" width="22.5"/>
  </cols>
  <sheetData>
    <row r="1">
      <c r="A1" s="21"/>
      <c r="B1" s="22" t="s">
        <v>112</v>
      </c>
      <c r="C1" s="21"/>
      <c r="D1" s="21"/>
      <c r="E1" s="21"/>
      <c r="J1" s="21"/>
      <c r="K1" s="21"/>
      <c r="L1" s="21"/>
      <c r="M1" s="21"/>
    </row>
    <row r="2" ht="24.75" customHeight="1">
      <c r="A2" s="23"/>
      <c r="B2" s="24"/>
      <c r="C2" s="23"/>
      <c r="D2" s="23"/>
      <c r="E2" s="23"/>
      <c r="J2" s="23"/>
      <c r="K2" s="23"/>
      <c r="L2" s="23"/>
      <c r="M2" s="23"/>
    </row>
    <row r="3">
      <c r="A3" s="23"/>
      <c r="B3" s="23"/>
      <c r="C3" s="23"/>
      <c r="D3" s="23"/>
      <c r="E3" s="23"/>
      <c r="J3" s="23"/>
      <c r="K3" s="23"/>
      <c r="L3" s="23"/>
      <c r="M3" s="23"/>
    </row>
    <row r="4">
      <c r="A4" s="23"/>
      <c r="C4" s="25" t="s">
        <v>113</v>
      </c>
      <c r="D4" s="26"/>
      <c r="E4" s="26"/>
      <c r="F4" s="26"/>
      <c r="G4" s="26"/>
      <c r="H4" s="27"/>
      <c r="J4" s="25" t="s">
        <v>114</v>
      </c>
      <c r="K4" s="26"/>
      <c r="L4" s="26"/>
      <c r="M4" s="27"/>
    </row>
    <row r="5">
      <c r="A5" s="21"/>
      <c r="C5" s="2" t="s">
        <v>3</v>
      </c>
      <c r="D5" s="2" t="s">
        <v>8</v>
      </c>
      <c r="E5" s="2" t="s">
        <v>1</v>
      </c>
      <c r="F5" s="2" t="s">
        <v>115</v>
      </c>
      <c r="G5" s="2" t="s">
        <v>116</v>
      </c>
      <c r="H5" s="2" t="s">
        <v>117</v>
      </c>
      <c r="J5" s="2" t="s">
        <v>3</v>
      </c>
      <c r="K5" s="2" t="s">
        <v>8</v>
      </c>
      <c r="L5" s="2" t="s">
        <v>118</v>
      </c>
      <c r="M5" s="2" t="s">
        <v>119</v>
      </c>
    </row>
    <row r="6">
      <c r="A6" s="1"/>
      <c r="C6" s="1">
        <v>1.0</v>
      </c>
      <c r="D6" s="1" t="s">
        <v>12</v>
      </c>
      <c r="E6" s="1" t="s">
        <v>40</v>
      </c>
      <c r="F6" s="9">
        <f>IFERROR(VLOOKUP(E6, PRECIOS!$A$40:$I$500, 6, FALSE), 1)</f>
        <v>1</v>
      </c>
      <c r="G6" s="8">
        <f>IFERROR(VLOOKUP(E6, PRECIOS!$A$40:$I$500, 9, FALSE), 0)</f>
        <v>0</v>
      </c>
      <c r="H6" s="8">
        <f>C6 * IFERROR(VLOOKUP(E6, PRECIOS!$A$40:$I$500, 3, FALSE), 0)</f>
        <v>0</v>
      </c>
      <c r="J6" s="18">
        <f>(C6 * F6) - IFERROR(VLOOKUP(E6, PRECIOS!$A$40:$I$500, 8, FALSE), 0)</f>
        <v>1</v>
      </c>
      <c r="K6" s="1" t="s">
        <v>29</v>
      </c>
      <c r="L6" s="1" t="s">
        <v>40</v>
      </c>
      <c r="M6" s="6">
        <f t="shared" ref="M6:M8" si="1">J6 * G6</f>
        <v>0</v>
      </c>
    </row>
    <row r="7">
      <c r="A7" s="1"/>
      <c r="C7" s="1">
        <v>8.0</v>
      </c>
      <c r="D7" s="1" t="s">
        <v>29</v>
      </c>
      <c r="E7" s="1" t="s">
        <v>76</v>
      </c>
      <c r="F7" s="9">
        <f t="shared" ref="F7:F8" si="2">1</f>
        <v>1</v>
      </c>
      <c r="G7" s="8">
        <f>IFERROR(VLOOKUP(E7, PRECIOS!$A$40:$I$500, 9, FALSE), 0)</f>
        <v>0</v>
      </c>
      <c r="H7" s="8">
        <f>C7 * IFERROR(VLOOKUP(E7, PRECIOS!$A$40:$I$500, 3, FALSE), 0)</f>
        <v>0</v>
      </c>
      <c r="J7" s="18">
        <f>(C7 * F7) - IFERROR(VLOOKUP(E7, PRECIOS!$A$40:$I$500, 8, FALSE), 0)</f>
        <v>10</v>
      </c>
      <c r="K7" s="1" t="s">
        <v>29</v>
      </c>
      <c r="L7" s="1" t="s">
        <v>76</v>
      </c>
      <c r="M7" s="6">
        <f t="shared" si="1"/>
        <v>0</v>
      </c>
    </row>
    <row r="8">
      <c r="C8" s="1">
        <v>2.0</v>
      </c>
      <c r="D8" s="1" t="s">
        <v>29</v>
      </c>
      <c r="E8" s="1" t="s">
        <v>83</v>
      </c>
      <c r="F8" s="9">
        <f t="shared" si="2"/>
        <v>1</v>
      </c>
      <c r="G8" s="8">
        <f>IFERROR(VLOOKUP(E8, PRECIOS!$A$40:$I$500, 9, FALSE), 0)</f>
        <v>0</v>
      </c>
      <c r="H8" s="8">
        <f>C8 * IFERROR(VLOOKUP(E8, PRECIOS!$A$40:$I$500, 3, FALSE), 0)</f>
        <v>0</v>
      </c>
      <c r="J8" s="18">
        <f>(C8 * F8) - IFERROR(VLOOKUP(E8, PRECIOS!$A$40:$I$500, 8, FALSE), 0)</f>
        <v>2</v>
      </c>
      <c r="K8" s="1" t="s">
        <v>29</v>
      </c>
      <c r="L8" s="1" t="s">
        <v>83</v>
      </c>
      <c r="M8" s="6">
        <f t="shared" si="1"/>
        <v>0</v>
      </c>
    </row>
    <row r="9">
      <c r="F9" s="9"/>
      <c r="G9" s="8"/>
      <c r="H9" s="8"/>
    </row>
    <row r="10">
      <c r="F10" s="9"/>
      <c r="G10" s="8"/>
      <c r="H10" s="8"/>
    </row>
    <row r="11">
      <c r="F11" s="9"/>
      <c r="G11" s="8"/>
      <c r="H11" s="8"/>
    </row>
    <row r="12">
      <c r="F12" s="9"/>
      <c r="G12" s="8"/>
      <c r="H12" s="28"/>
      <c r="I12" s="29"/>
    </row>
    <row r="13">
      <c r="F13" s="9"/>
      <c r="G13" s="8"/>
      <c r="H13" s="8"/>
    </row>
    <row r="14">
      <c r="F14" s="9"/>
      <c r="G14" s="8"/>
      <c r="H14" s="8"/>
    </row>
    <row r="15">
      <c r="F15" s="9"/>
      <c r="G15" s="8"/>
      <c r="H15" s="8"/>
    </row>
    <row r="16">
      <c r="F16" s="9"/>
      <c r="G16" s="8"/>
      <c r="H16" s="8"/>
    </row>
    <row r="17">
      <c r="F17" s="9"/>
      <c r="G17" s="8"/>
      <c r="H17" s="8"/>
    </row>
    <row r="18">
      <c r="F18" s="9"/>
      <c r="G18" s="8"/>
      <c r="H18" s="8"/>
    </row>
    <row r="19">
      <c r="F19" s="9"/>
      <c r="G19" s="8"/>
      <c r="H19" s="8"/>
    </row>
    <row r="20">
      <c r="F20" s="9"/>
      <c r="G20" s="8"/>
      <c r="H20" s="8"/>
    </row>
    <row r="21">
      <c r="F21" s="9"/>
      <c r="G21" s="8"/>
      <c r="H21" s="8"/>
    </row>
    <row r="22">
      <c r="F22" s="9"/>
      <c r="G22" s="8"/>
      <c r="H22" s="8"/>
    </row>
    <row r="23">
      <c r="F23" s="9"/>
      <c r="G23" s="8"/>
      <c r="H23" s="8"/>
    </row>
    <row r="24">
      <c r="F24" s="9"/>
      <c r="G24" s="8"/>
      <c r="H24" s="8"/>
    </row>
    <row r="25">
      <c r="F25" s="9"/>
      <c r="G25" s="8"/>
      <c r="H25" s="8"/>
    </row>
    <row r="26">
      <c r="F26" s="9"/>
      <c r="G26" s="8"/>
      <c r="H26" s="8"/>
    </row>
    <row r="27">
      <c r="F27" s="9"/>
      <c r="G27" s="8"/>
      <c r="H27" s="8"/>
    </row>
    <row r="28">
      <c r="F28" s="9"/>
      <c r="G28" s="8"/>
      <c r="H28" s="8"/>
    </row>
    <row r="29">
      <c r="F29" s="9"/>
      <c r="G29" s="8"/>
      <c r="H29" s="8"/>
    </row>
    <row r="30">
      <c r="F30" s="9"/>
      <c r="G30" s="8"/>
      <c r="H30" s="8"/>
    </row>
    <row r="31">
      <c r="F31" s="9"/>
      <c r="G31" s="8"/>
      <c r="H31" s="8"/>
    </row>
    <row r="32">
      <c r="F32" s="9"/>
      <c r="G32" s="8"/>
      <c r="H32" s="8"/>
    </row>
    <row r="33">
      <c r="F33" s="9"/>
      <c r="G33" s="8"/>
      <c r="H33" s="8"/>
    </row>
    <row r="34">
      <c r="F34" s="9"/>
      <c r="G34" s="8"/>
      <c r="H34" s="8"/>
    </row>
    <row r="35">
      <c r="F35" s="9"/>
      <c r="G35" s="8"/>
      <c r="H35" s="8"/>
    </row>
    <row r="36">
      <c r="F36" s="9"/>
      <c r="G36" s="8"/>
      <c r="H36" s="8"/>
    </row>
    <row r="37">
      <c r="F37" s="9"/>
      <c r="G37" s="8"/>
      <c r="H37" s="8"/>
    </row>
    <row r="38">
      <c r="F38" s="9"/>
      <c r="G38" s="8"/>
      <c r="H38" s="8"/>
    </row>
    <row r="39">
      <c r="F39" s="9"/>
      <c r="G39" s="8"/>
      <c r="H39" s="8"/>
    </row>
    <row r="40">
      <c r="F40" s="9"/>
      <c r="G40" s="8"/>
      <c r="H40" s="8"/>
    </row>
    <row r="41">
      <c r="F41" s="9"/>
      <c r="G41" s="8"/>
      <c r="H41" s="8"/>
    </row>
    <row r="42">
      <c r="F42" s="9"/>
      <c r="G42" s="8"/>
      <c r="H42" s="8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  <row r="999">
      <c r="F999" s="9"/>
    </row>
    <row r="1000">
      <c r="F1000" s="9"/>
    </row>
    <row r="1001">
      <c r="F1001" s="9"/>
    </row>
    <row r="1002">
      <c r="F1002" s="9"/>
    </row>
    <row r="1003">
      <c r="F1003" s="9"/>
    </row>
    <row r="1004">
      <c r="F1004" s="9"/>
    </row>
  </sheetData>
  <mergeCells count="2">
    <mergeCell ref="C4:H4"/>
    <mergeCell ref="J4:M4"/>
  </mergeCells>
  <conditionalFormatting sqref="M6:M73">
    <cfRule type="cellIs" dxfId="0" priority="1" operator="lessThan">
      <formula>0</formula>
    </cfRule>
  </conditionalFormatting>
  <conditionalFormatting sqref="M6:M73">
    <cfRule type="cellIs" dxfId="1" priority="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1.5"/>
    <col customWidth="1" min="3" max="5" width="20.5"/>
    <col customWidth="1" min="6" max="6" width="26.88"/>
    <col customWidth="1" min="7" max="7" width="20.5"/>
  </cols>
  <sheetData>
    <row r="1">
      <c r="B1" s="22" t="s">
        <v>112</v>
      </c>
    </row>
    <row r="2" ht="21.75" customHeight="1">
      <c r="B2" s="24"/>
    </row>
    <row r="4">
      <c r="B4" s="2" t="s">
        <v>120</v>
      </c>
      <c r="C4" s="2" t="s">
        <v>121</v>
      </c>
      <c r="D4" s="2" t="s">
        <v>3</v>
      </c>
      <c r="E4" s="2" t="s">
        <v>8</v>
      </c>
      <c r="F4" s="2" t="s">
        <v>1</v>
      </c>
    </row>
    <row r="5">
      <c r="B5" s="1" t="s">
        <v>122</v>
      </c>
      <c r="C5" s="1" t="s">
        <v>123</v>
      </c>
      <c r="D5" s="1">
        <v>2.0</v>
      </c>
      <c r="E5" s="1" t="s">
        <v>12</v>
      </c>
      <c r="F5" s="1" t="s">
        <v>57</v>
      </c>
    </row>
    <row r="6">
      <c r="B6" s="1" t="s">
        <v>124</v>
      </c>
      <c r="C6" s="1" t="s">
        <v>125</v>
      </c>
      <c r="D6" s="1">
        <v>3.0</v>
      </c>
      <c r="E6" s="1" t="s">
        <v>12</v>
      </c>
      <c r="F6" s="1" t="s">
        <v>76</v>
      </c>
    </row>
    <row r="7">
      <c r="C7" s="1" t="s">
        <v>126</v>
      </c>
      <c r="D7" s="1">
        <v>12.0</v>
      </c>
      <c r="E7" s="1" t="s">
        <v>8</v>
      </c>
      <c r="F7" s="1" t="s">
        <v>22</v>
      </c>
    </row>
    <row r="8">
      <c r="C8" s="1"/>
      <c r="D8" s="1"/>
      <c r="E8" s="1"/>
      <c r="F8" s="1"/>
    </row>
    <row r="9">
      <c r="C9" s="1"/>
      <c r="D9" s="1"/>
      <c r="E9" s="1"/>
      <c r="F9" s="1"/>
    </row>
    <row r="10">
      <c r="C10" s="1"/>
      <c r="D10" s="1"/>
      <c r="E10" s="1"/>
      <c r="F10" s="1"/>
    </row>
    <row r="11">
      <c r="C11" s="1"/>
      <c r="D11" s="1"/>
      <c r="E11" s="1"/>
      <c r="F11" s="1"/>
    </row>
    <row r="12">
      <c r="C12" s="1"/>
      <c r="D12" s="1"/>
      <c r="E12" s="1"/>
      <c r="F12" s="1"/>
    </row>
    <row r="13">
      <c r="C13" s="1"/>
      <c r="D13" s="1"/>
      <c r="E13" s="1"/>
      <c r="F13" s="1"/>
    </row>
    <row r="14">
      <c r="C14" s="1"/>
      <c r="D14" s="1"/>
      <c r="E14" s="1"/>
      <c r="F14" s="1"/>
    </row>
    <row r="15">
      <c r="C15" s="1"/>
      <c r="D15" s="1"/>
      <c r="E15" s="1"/>
      <c r="F15" s="1"/>
    </row>
    <row r="16">
      <c r="C16" s="1"/>
      <c r="D16" s="1"/>
      <c r="E16" s="1"/>
      <c r="F16" s="1"/>
    </row>
    <row r="17">
      <c r="C17" s="1"/>
      <c r="D17" s="1"/>
      <c r="E17" s="1"/>
      <c r="F17" s="1"/>
    </row>
    <row r="18">
      <c r="C18" s="1"/>
      <c r="D18" s="1"/>
      <c r="E18" s="1"/>
      <c r="F18" s="1"/>
    </row>
    <row r="19">
      <c r="C19" s="1"/>
      <c r="D19" s="1"/>
      <c r="E19" s="1"/>
      <c r="F19" s="1"/>
    </row>
    <row r="20">
      <c r="C20" s="1"/>
      <c r="D20" s="1"/>
      <c r="E20" s="1"/>
      <c r="F20" s="1"/>
    </row>
    <row r="21">
      <c r="C21" s="1"/>
      <c r="D21" s="1"/>
      <c r="E21" s="1"/>
      <c r="F21" s="1"/>
    </row>
    <row r="22">
      <c r="C22" s="1"/>
      <c r="D22" s="1"/>
      <c r="E22" s="1"/>
      <c r="F22" s="1"/>
    </row>
    <row r="23">
      <c r="C23" s="1"/>
      <c r="D23" s="1"/>
      <c r="E23" s="1"/>
      <c r="F23" s="1"/>
    </row>
    <row r="24">
      <c r="C24" s="1"/>
      <c r="D24" s="1"/>
      <c r="E24" s="1"/>
      <c r="F2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1.25"/>
    <col customWidth="1" min="5" max="5" width="24.38"/>
  </cols>
  <sheetData>
    <row r="1">
      <c r="B1" s="22" t="s">
        <v>112</v>
      </c>
    </row>
    <row r="2" ht="24.75" customHeight="1">
      <c r="B2" s="24"/>
    </row>
    <row r="4">
      <c r="C4" s="30" t="s">
        <v>127</v>
      </c>
      <c r="D4" s="31" t="s">
        <v>128</v>
      </c>
      <c r="Q4" s="32"/>
      <c r="R4" s="32"/>
      <c r="S4" s="33"/>
      <c r="T4" s="32"/>
      <c r="U4" s="32"/>
      <c r="V4" s="34"/>
      <c r="W4" s="32"/>
      <c r="X4" s="32"/>
      <c r="Y4" s="32"/>
      <c r="Z4" s="32"/>
      <c r="AA4" s="32"/>
    </row>
    <row r="5">
      <c r="B5" s="35"/>
      <c r="Q5" s="32"/>
      <c r="R5" s="32"/>
      <c r="S5" s="33"/>
      <c r="T5" s="32"/>
      <c r="U5" s="32"/>
      <c r="V5" s="34"/>
      <c r="W5" s="32"/>
      <c r="X5" s="32"/>
      <c r="Y5" s="32"/>
      <c r="Z5" s="32"/>
      <c r="AA5" s="32"/>
    </row>
    <row r="6">
      <c r="B6" s="36"/>
      <c r="C6" s="37" t="s">
        <v>122</v>
      </c>
      <c r="F6" s="38" t="s">
        <v>129</v>
      </c>
      <c r="G6" s="39">
        <f>TODAY()</f>
        <v>46079</v>
      </c>
      <c r="H6" s="39"/>
      <c r="J6" s="40"/>
      <c r="K6" s="40" t="s">
        <v>130</v>
      </c>
      <c r="Q6" s="32"/>
      <c r="R6" s="32"/>
      <c r="S6" s="33"/>
      <c r="T6" s="32"/>
      <c r="U6" s="32"/>
      <c r="V6" s="34"/>
      <c r="W6" s="32"/>
      <c r="X6" s="32"/>
      <c r="Y6" s="32"/>
      <c r="Z6" s="32"/>
      <c r="AA6" s="32"/>
    </row>
    <row r="7">
      <c r="B7" s="36"/>
      <c r="C7" s="37"/>
      <c r="Q7" s="32"/>
      <c r="R7" s="32"/>
      <c r="S7" s="33"/>
      <c r="T7" s="32"/>
      <c r="U7" s="32"/>
      <c r="V7" s="34"/>
      <c r="W7" s="32"/>
      <c r="X7" s="32"/>
      <c r="Y7" s="32"/>
      <c r="Z7" s="32"/>
      <c r="AA7" s="32"/>
    </row>
    <row r="8">
      <c r="C8" s="36" t="s">
        <v>3</v>
      </c>
      <c r="D8" s="41" t="s">
        <v>8</v>
      </c>
      <c r="E8" s="42" t="s">
        <v>1</v>
      </c>
      <c r="F8" s="43" t="s">
        <v>116</v>
      </c>
      <c r="G8" s="41" t="s">
        <v>117</v>
      </c>
      <c r="H8" s="44" t="s">
        <v>131</v>
      </c>
      <c r="I8" s="32"/>
      <c r="K8" s="45" t="s">
        <v>2</v>
      </c>
      <c r="L8" s="41" t="s">
        <v>117</v>
      </c>
      <c r="M8" s="41" t="s">
        <v>132</v>
      </c>
      <c r="N8" s="46"/>
      <c r="O8" s="47"/>
      <c r="P8" s="33"/>
      <c r="Q8" s="48"/>
      <c r="R8" s="32"/>
      <c r="S8" s="33"/>
      <c r="T8" s="32"/>
      <c r="U8" s="32"/>
      <c r="V8" s="34"/>
      <c r="W8" s="32"/>
      <c r="X8" s="32"/>
      <c r="Y8" s="32"/>
      <c r="Z8" s="32"/>
      <c r="AA8" s="32"/>
    </row>
    <row r="9">
      <c r="B9" s="49"/>
      <c r="C9" s="50">
        <v>2.0</v>
      </c>
      <c r="D9" s="44" t="s">
        <v>12</v>
      </c>
      <c r="E9" s="51" t="s">
        <v>76</v>
      </c>
      <c r="F9" s="52">
        <f>LET(
  precio_exacto, SUMIFS(PRECIOS!$E:$E, PRECIOS!$A:$A, E9, PRECIOS!$B:$B, D9),
  precio_unitario_cajon, SUMIFS(PRECIOS!$J:$J, PRECIOS!$A:$A, E9, PRECIOS!$B:$B, "CAJON"),
  precio_unitario_bolsa, SUMIFS(PRECIOS!$J:$J, PRECIOS!$A:$A, E9, PRECIOS!$B:$B, "BOLSA"),
  IF(precio_exacto &gt; 0, precio_exacto, 
    IF(precio_unitario_cajon &gt; 0, precio_unitario_cajon, 
      IF(precio_unitario_bolsa &gt; 0, precio_unitario_bolsa, 0)
    )
  )
)</f>
        <v>0</v>
      </c>
      <c r="G9" s="53">
        <f t="shared" ref="G9:G11" si="1">C9*F9</f>
        <v>0</v>
      </c>
      <c r="H9" s="53">
        <f t="shared" ref="H9:H11" si="2">G9*1.105</f>
        <v>0</v>
      </c>
      <c r="I9" s="32"/>
      <c r="J9" s="32"/>
      <c r="K9" s="54">
        <f>IFERROR(
  IF(OR(D9="CAJON", D9="BOLSA"),
    SUMIFS(PRECIOS!$C:$C, PRECIOS!$A:$A, E9, PRECIOS!$B:$B, D9),
    LET(
      stock_suelto_inicial, SUMIFS(COMPRAS!$E:$E, COMPRAS!$C:$C, E9, COMPRAS!$J:$J, "UNIDAD") + SUMIFS(COMPRAS!$E:$E, COMPRAS!$C:$C, E9, COMPRAS!$J:$J, "KG"),
      acumulado_anterior, SUMIFS($M8:O$9, $C8:E$9, E9),
      unidades_esta_venta, C9,
      costo_unidad_base, SUMIFS(PRECIOS!$I:$I, PRECIOS!$A:$A, E9, PRECIOS!$B:$B, "UNIDAD") + SUMIFS(PRECIOS!$I:$I, PRECIOS!$A:$A, E9, PRECIOS!$B:$B, "KG"),
      costo_cajon, SUMIFS(PRECIOS!$I:$I, PRECIOS!$A:$A, E9, PRECIOS!$B:$B, "CAJON"),
      costo_bolsa, SUMIFS(PRECIOS!$I:$I, PRECIOS!$A:$A, E9,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L9" s="53">
        <f t="shared" ref="L9:L11" si="3">K9*C9</f>
        <v>0</v>
      </c>
      <c r="M9" s="53">
        <f t="shared" ref="M9:M11" si="4">H9-L9</f>
        <v>0</v>
      </c>
      <c r="N9" s="46"/>
      <c r="O9" s="55"/>
      <c r="P9" s="33"/>
      <c r="Q9" s="56"/>
      <c r="R9" s="56"/>
      <c r="S9" s="33"/>
      <c r="T9" s="32"/>
      <c r="U9" s="32"/>
      <c r="V9" s="34"/>
      <c r="W9" s="32"/>
      <c r="X9" s="32"/>
      <c r="Y9" s="32"/>
      <c r="Z9" s="32"/>
      <c r="AA9" s="32"/>
    </row>
    <row r="10">
      <c r="B10" s="49"/>
      <c r="C10" s="50">
        <v>2.0</v>
      </c>
      <c r="D10" s="44" t="s">
        <v>8</v>
      </c>
      <c r="E10" s="51" t="s">
        <v>22</v>
      </c>
      <c r="F10" s="52">
        <f>LET(
  precio_exacto, SUMIFS(PRECIOS!$E:$E, PRECIOS!$A:$A, E10, PRECIOS!$B:$B, D10),
  precio_unitario_cajon, SUMIFS(PRECIOS!$J:$J, PRECIOS!$A:$A, E10, PRECIOS!$B:$B, "CAJON"),
  precio_unitario_bolsa, SUMIFS(PRECIOS!$J:$J, PRECIOS!$A:$A, E10, PRECIOS!$B:$B, "BOLSA"),
  IF(precio_exacto &gt; 0, precio_exacto, 
    IF(precio_unitario_cajon &gt; 0, precio_unitario_cajon, 
      IF(precio_unitario_bolsa &gt; 0, precio_unitario_bolsa, 0)
    )
  )
)</f>
        <v>0</v>
      </c>
      <c r="G10" s="53">
        <f t="shared" si="1"/>
        <v>0</v>
      </c>
      <c r="H10" s="53">
        <f t="shared" si="2"/>
        <v>0</v>
      </c>
      <c r="I10" s="32"/>
      <c r="J10" s="32"/>
      <c r="K10" s="54">
        <f>IFERROR(
  IF(OR(D10="CAJON", D10="BOLSA"),
    SUMIFS(PRECIOS!$C:$C, PRECIOS!$A:$A, E10, PRECIOS!$B:$B, D10),
    LET(
      stock_suelto_inicial, SUMIFS(COMPRAS!$E:$E, COMPRAS!$C:$C, E10, COMPRAS!$J:$J, "UNIDAD") + SUMIFS(COMPRAS!$E:$E, COMPRAS!$C:$C, E10, COMPRAS!$J:$J, "KG"),
      acumulado_anterior, SUMIFS($M$9:O9, $C$9:E9, E10),
      unidades_esta_venta, C10,
      costo_unidad_base, SUMIFS(PRECIOS!$I:$I, PRECIOS!$A:$A, E10, PRECIOS!$B:$B, "UNIDAD") + SUMIFS(PRECIOS!$I:$I, PRECIOS!$A:$A, E10, PRECIOS!$B:$B, "KG"),
      costo_cajon, SUMIFS(PRECIOS!$I:$I, PRECIOS!$A:$A, E10, PRECIOS!$B:$B, "CAJON"),
      costo_bolsa, SUMIFS(PRECIOS!$I:$I, PRECIOS!$A:$A, E10,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L10" s="53">
        <f t="shared" si="3"/>
        <v>0</v>
      </c>
      <c r="M10" s="53">
        <f t="shared" si="4"/>
        <v>0</v>
      </c>
      <c r="N10" s="46"/>
      <c r="O10" s="55"/>
      <c r="P10" s="33"/>
      <c r="Q10" s="56"/>
      <c r="R10" s="56"/>
      <c r="S10" s="33"/>
      <c r="T10" s="32"/>
      <c r="U10" s="32"/>
      <c r="V10" s="34"/>
      <c r="W10" s="32"/>
      <c r="X10" s="32"/>
      <c r="Y10" s="32"/>
      <c r="Z10" s="32"/>
      <c r="AA10" s="32"/>
    </row>
    <row r="11">
      <c r="B11" s="49"/>
      <c r="C11" s="57">
        <v>1.0</v>
      </c>
      <c r="D11" s="58" t="s">
        <v>12</v>
      </c>
      <c r="E11" s="59" t="s">
        <v>57</v>
      </c>
      <c r="F11" s="52">
        <f>LET(
  precio_exacto, SUMIFS(PRECIOS!$E:$E, PRECIOS!$A:$A, E11, PRECIOS!$B:$B, D11),
  precio_unitario_cajon, SUMIFS(PRECIOS!$J:$J, PRECIOS!$A:$A, E11, PRECIOS!$B:$B, "CAJON"),
  precio_unitario_bolsa, SUMIFS(PRECIOS!$J:$J, PRECIOS!$A:$A, E11, PRECIOS!$B:$B, "BOLSA"),
  IF(precio_exacto &gt; 0, precio_exacto, 
    IF(precio_unitario_cajon &gt; 0, precio_unitario_cajon, 
      IF(precio_unitario_bolsa &gt; 0, precio_unitario_bolsa, 0)
    )
  )
)</f>
        <v>0</v>
      </c>
      <c r="G11" s="53">
        <f t="shared" si="1"/>
        <v>0</v>
      </c>
      <c r="H11" s="53">
        <f t="shared" si="2"/>
        <v>0</v>
      </c>
      <c r="I11" s="32"/>
      <c r="J11" s="32"/>
      <c r="K11" s="54">
        <f>IFERROR(
  IF(OR(D11="CAJON", D11="BOLSA"),
    SUMIFS(PRECIOS!$C:$C, PRECIOS!$A:$A, E11, PRECIOS!$B:$B, D11),
    LET(
      stock_suelto_inicial, SUMIFS(COMPRAS!$E:$E, COMPRAS!$C:$C, E11, COMPRAS!$J:$J, "UNIDAD") + SUMIFS(COMPRAS!$E:$E, COMPRAS!$C:$C, E11, COMPRAS!$J:$J, "KG"),
      acumulado_anterior, SUMIFS($M$9:O10, $C$9:E10, E11),
      unidades_esta_venta, C11,
      costo_unidad_base, SUMIFS(PRECIOS!$I:$I, PRECIOS!$A:$A, E11, PRECIOS!$B:$B, "UNIDAD") + SUMIFS(PRECIOS!$I:$I, PRECIOS!$A:$A, E11, PRECIOS!$B:$B, "KG"),
      costo_cajon, SUMIFS(PRECIOS!$I:$I, PRECIOS!$A:$A, E11, PRECIOS!$B:$B, "CAJON"),
      costo_bolsa, SUMIFS(PRECIOS!$I:$I, PRECIOS!$A:$A, E11,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L11" s="53">
        <f t="shared" si="3"/>
        <v>0</v>
      </c>
      <c r="M11" s="53">
        <f t="shared" si="4"/>
        <v>0</v>
      </c>
      <c r="N11" s="46"/>
      <c r="O11" s="55"/>
      <c r="P11" s="60"/>
      <c r="Q11" s="56"/>
      <c r="R11" s="56"/>
      <c r="S11" s="33"/>
      <c r="T11" s="32"/>
      <c r="U11" s="32"/>
      <c r="V11" s="34"/>
      <c r="W11" s="32"/>
      <c r="X11" s="32"/>
      <c r="Y11" s="32"/>
      <c r="Z11" s="32"/>
      <c r="AA11" s="32"/>
    </row>
    <row r="12">
      <c r="B12" s="49"/>
      <c r="C12" s="57"/>
      <c r="D12" s="58"/>
      <c r="E12" s="59"/>
      <c r="F12" s="61"/>
      <c r="G12" s="62"/>
      <c r="H12" s="62"/>
      <c r="I12" s="63"/>
      <c r="J12" s="63"/>
      <c r="K12" s="64"/>
      <c r="L12" s="62"/>
      <c r="M12" s="62"/>
      <c r="N12" s="65"/>
      <c r="O12" s="55"/>
      <c r="Q12" s="56"/>
      <c r="R12" s="56"/>
      <c r="S12" s="33"/>
      <c r="T12" s="32"/>
      <c r="U12" s="32"/>
      <c r="V12" s="34"/>
      <c r="W12" s="32"/>
      <c r="X12" s="32"/>
      <c r="Y12" s="32"/>
      <c r="Z12" s="32"/>
      <c r="AA12" s="32"/>
    </row>
    <row r="13">
      <c r="B13" s="49"/>
      <c r="C13" s="57"/>
      <c r="D13" s="58"/>
      <c r="E13" s="59"/>
      <c r="F13" s="61"/>
      <c r="G13" s="62">
        <f t="shared" ref="G13:H13" si="5">SUM(G9:G11)</f>
        <v>0</v>
      </c>
      <c r="H13" s="62">
        <f t="shared" si="5"/>
        <v>0</v>
      </c>
      <c r="I13" s="63"/>
      <c r="J13" s="63"/>
      <c r="K13" s="64"/>
      <c r="L13" s="62"/>
      <c r="M13" s="62">
        <f>SUM(M9:M11)</f>
        <v>0</v>
      </c>
      <c r="N13" s="66">
        <f>IFERROR(M13/G13, 0)</f>
        <v>0</v>
      </c>
      <c r="O13" s="67"/>
    </row>
    <row r="14">
      <c r="B14" s="49"/>
      <c r="C14" s="57"/>
      <c r="D14" s="58"/>
      <c r="E14" s="59"/>
      <c r="F14" s="61"/>
      <c r="G14" s="62"/>
      <c r="H14" s="62"/>
      <c r="I14" s="63"/>
      <c r="J14" s="63"/>
      <c r="K14" s="64"/>
      <c r="L14" s="62"/>
      <c r="M14" s="62"/>
      <c r="N14" s="65"/>
      <c r="O14" s="68"/>
    </row>
    <row r="15">
      <c r="B15" s="49"/>
      <c r="C15" s="57"/>
      <c r="D15" s="58"/>
      <c r="E15" s="59"/>
      <c r="F15" s="61"/>
      <c r="G15" s="62"/>
      <c r="H15" s="62"/>
      <c r="I15" s="63"/>
      <c r="J15" s="63"/>
      <c r="K15" s="64"/>
      <c r="L15" s="62"/>
      <c r="M15" s="62"/>
      <c r="N15" s="65"/>
      <c r="O15" s="68"/>
    </row>
    <row r="16">
      <c r="B16" s="49"/>
      <c r="C16" s="57"/>
      <c r="D16" s="69"/>
      <c r="E16" s="69"/>
      <c r="F16" s="61"/>
      <c r="G16" s="62"/>
      <c r="H16" s="62"/>
      <c r="I16" s="63"/>
      <c r="J16" s="63"/>
      <c r="K16" s="64"/>
      <c r="L16" s="62"/>
      <c r="M16" s="62"/>
      <c r="N16" s="65"/>
      <c r="O16" s="68"/>
    </row>
    <row r="17">
      <c r="B17" s="49"/>
      <c r="C17" s="57"/>
      <c r="D17" s="69"/>
      <c r="E17" s="59"/>
      <c r="F17" s="61"/>
      <c r="G17" s="62"/>
      <c r="H17" s="62"/>
      <c r="I17" s="63"/>
      <c r="J17" s="63"/>
      <c r="K17" s="64"/>
      <c r="L17" s="62"/>
      <c r="M17" s="62"/>
      <c r="N17" s="65"/>
      <c r="O17" s="68"/>
    </row>
    <row r="18">
      <c r="B18" s="49"/>
      <c r="C18" s="57"/>
      <c r="D18" s="69"/>
      <c r="E18" s="59"/>
      <c r="F18" s="61"/>
      <c r="G18" s="62"/>
      <c r="H18" s="62"/>
      <c r="I18" s="63"/>
      <c r="J18" s="63"/>
      <c r="K18" s="64"/>
      <c r="L18" s="62"/>
      <c r="M18" s="62"/>
      <c r="N18" s="65"/>
      <c r="O18" s="68"/>
    </row>
    <row r="19">
      <c r="B19" s="49"/>
      <c r="C19" s="57"/>
      <c r="D19" s="69"/>
      <c r="E19" s="59"/>
      <c r="F19" s="61"/>
      <c r="G19" s="62"/>
      <c r="H19" s="62"/>
      <c r="I19" s="63"/>
      <c r="J19" s="63"/>
      <c r="K19" s="64"/>
      <c r="L19" s="62"/>
      <c r="M19" s="62"/>
      <c r="N19" s="65"/>
      <c r="O19" s="68"/>
    </row>
    <row r="20">
      <c r="B20" s="49"/>
      <c r="C20" s="57"/>
      <c r="D20" s="69"/>
      <c r="E20" s="59"/>
      <c r="F20" s="61"/>
      <c r="G20" s="62"/>
      <c r="H20" s="62"/>
      <c r="I20" s="63"/>
      <c r="J20" s="63"/>
      <c r="K20" s="64"/>
      <c r="L20" s="62"/>
      <c r="M20" s="62"/>
      <c r="N20" s="65"/>
      <c r="O20" s="68"/>
    </row>
    <row r="21">
      <c r="B21" s="49"/>
      <c r="C21" s="57"/>
      <c r="D21" s="69"/>
      <c r="E21" s="59"/>
      <c r="F21" s="61"/>
      <c r="G21" s="62"/>
      <c r="H21" s="62"/>
      <c r="I21" s="63"/>
      <c r="J21" s="63"/>
      <c r="K21" s="64"/>
      <c r="L21" s="62"/>
      <c r="M21" s="62"/>
      <c r="N21" s="65"/>
      <c r="O21" s="68"/>
    </row>
    <row r="22">
      <c r="B22" s="49"/>
      <c r="C22" s="57"/>
      <c r="D22" s="69"/>
      <c r="E22" s="59"/>
      <c r="F22" s="61"/>
      <c r="G22" s="62"/>
      <c r="H22" s="62"/>
      <c r="I22" s="63"/>
      <c r="J22" s="63"/>
      <c r="K22" s="64"/>
      <c r="L22" s="62"/>
      <c r="M22" s="62"/>
      <c r="N22" s="65"/>
      <c r="O22" s="68"/>
    </row>
    <row r="23">
      <c r="B23" s="49"/>
      <c r="C23" s="57"/>
      <c r="D23" s="69"/>
      <c r="E23" s="59"/>
      <c r="F23" s="61"/>
      <c r="G23" s="62"/>
      <c r="H23" s="62"/>
      <c r="I23" s="63"/>
      <c r="J23" s="63"/>
      <c r="K23" s="64"/>
      <c r="L23" s="62"/>
      <c r="M23" s="62"/>
      <c r="N23" s="65"/>
      <c r="O23" s="68"/>
    </row>
    <row r="24">
      <c r="B24" s="49"/>
      <c r="C24" s="57"/>
      <c r="D24" s="69"/>
      <c r="E24" s="59"/>
      <c r="F24" s="61"/>
      <c r="G24" s="62"/>
      <c r="H24" s="62"/>
      <c r="I24" s="63"/>
      <c r="J24" s="63"/>
      <c r="K24" s="64"/>
      <c r="L24" s="62"/>
      <c r="M24" s="62"/>
      <c r="N24" s="65"/>
      <c r="O24" s="68"/>
    </row>
    <row r="25">
      <c r="B25" s="49"/>
      <c r="C25" s="57"/>
      <c r="D25" s="69"/>
      <c r="E25" s="59"/>
      <c r="F25" s="61"/>
      <c r="G25" s="62"/>
      <c r="H25" s="62"/>
      <c r="I25" s="63"/>
      <c r="J25" s="63"/>
      <c r="K25" s="64"/>
      <c r="L25" s="62"/>
      <c r="M25" s="62"/>
      <c r="N25" s="65"/>
      <c r="O25" s="68"/>
    </row>
    <row r="26">
      <c r="B26" s="49"/>
      <c r="C26" s="57"/>
      <c r="D26" s="69"/>
      <c r="E26" s="59"/>
      <c r="F26" s="61"/>
      <c r="G26" s="62"/>
      <c r="H26" s="62"/>
      <c r="I26" s="63"/>
      <c r="J26" s="63"/>
      <c r="K26" s="64"/>
      <c r="L26" s="62"/>
      <c r="M26" s="62"/>
      <c r="N26" s="65"/>
      <c r="O26" s="68"/>
    </row>
    <row r="27">
      <c r="B27" s="49"/>
      <c r="C27" s="57"/>
      <c r="D27" s="69"/>
      <c r="E27" s="59"/>
      <c r="F27" s="61"/>
      <c r="G27" s="62"/>
      <c r="H27" s="62"/>
      <c r="I27" s="63"/>
      <c r="J27" s="63"/>
      <c r="K27" s="64"/>
      <c r="L27" s="62"/>
      <c r="M27" s="62"/>
      <c r="N27" s="66"/>
      <c r="O27" s="68"/>
    </row>
    <row r="28">
      <c r="B28" s="49"/>
      <c r="C28" s="57"/>
      <c r="D28" s="69"/>
      <c r="E28" s="59"/>
      <c r="F28" s="61"/>
      <c r="G28" s="62"/>
      <c r="H28" s="62"/>
      <c r="I28" s="63"/>
      <c r="J28" s="63"/>
      <c r="K28" s="64"/>
      <c r="L28" s="62"/>
      <c r="M28" s="62"/>
      <c r="N28" s="65"/>
      <c r="O28" s="68"/>
    </row>
    <row r="29">
      <c r="B29" s="49"/>
      <c r="C29" s="57"/>
      <c r="D29" s="69"/>
      <c r="E29" s="59"/>
      <c r="F29" s="61"/>
      <c r="G29" s="62"/>
      <c r="H29" s="62"/>
      <c r="I29" s="63"/>
      <c r="J29" s="63"/>
      <c r="K29" s="64"/>
      <c r="L29" s="62"/>
      <c r="M29" s="62"/>
      <c r="N29" s="65"/>
      <c r="O29" s="68"/>
    </row>
    <row r="30">
      <c r="B30" s="49"/>
      <c r="C30" s="57"/>
      <c r="D30" s="69"/>
      <c r="E30" s="59"/>
      <c r="F30" s="61"/>
      <c r="G30" s="62"/>
      <c r="H30" s="62"/>
      <c r="I30" s="63"/>
      <c r="J30" s="63"/>
      <c r="K30" s="64"/>
      <c r="L30" s="62"/>
      <c r="M30" s="62"/>
      <c r="N30" s="65"/>
      <c r="O30" s="68"/>
    </row>
    <row r="31">
      <c r="B31" s="49"/>
      <c r="C31" s="57"/>
      <c r="D31" s="69"/>
      <c r="E31" s="59"/>
      <c r="F31" s="61"/>
      <c r="G31" s="62"/>
      <c r="H31" s="62"/>
      <c r="I31" s="63"/>
      <c r="J31" s="63"/>
      <c r="K31" s="64"/>
      <c r="L31" s="62"/>
      <c r="M31" s="62"/>
      <c r="N31" s="65"/>
      <c r="O31" s="68"/>
    </row>
    <row r="32">
      <c r="B32" s="49"/>
      <c r="C32" s="57"/>
      <c r="D32" s="69"/>
      <c r="E32" s="59"/>
      <c r="F32" s="61"/>
      <c r="G32" s="62"/>
      <c r="H32" s="62"/>
      <c r="I32" s="63"/>
      <c r="J32" s="63"/>
      <c r="K32" s="64"/>
      <c r="L32" s="62"/>
      <c r="M32" s="62"/>
      <c r="N32" s="66"/>
      <c r="O32" s="68"/>
    </row>
    <row r="33">
      <c r="B33" s="49"/>
      <c r="C33" s="69"/>
      <c r="D33" s="69"/>
      <c r="E33" s="69"/>
      <c r="F33" s="61"/>
      <c r="G33" s="62"/>
      <c r="H33" s="62"/>
      <c r="I33" s="63"/>
      <c r="J33" s="63"/>
      <c r="K33" s="64"/>
      <c r="L33" s="62"/>
      <c r="M33" s="62"/>
      <c r="N33" s="65"/>
      <c r="O33" s="68"/>
    </row>
    <row r="34">
      <c r="B34" s="49"/>
      <c r="C34" s="69"/>
      <c r="D34" s="69"/>
      <c r="E34" s="69"/>
      <c r="F34" s="61"/>
      <c r="G34" s="62"/>
      <c r="H34" s="62"/>
      <c r="I34" s="63"/>
      <c r="J34" s="63"/>
      <c r="K34" s="64"/>
      <c r="L34" s="62"/>
      <c r="M34" s="62"/>
      <c r="N34" s="65"/>
      <c r="O34" s="68"/>
    </row>
    <row r="35">
      <c r="B35" s="49"/>
      <c r="C35" s="69"/>
      <c r="D35" s="69"/>
      <c r="E35" s="69"/>
      <c r="F35" s="61"/>
      <c r="G35" s="62"/>
      <c r="H35" s="62"/>
      <c r="I35" s="63"/>
      <c r="J35" s="63"/>
      <c r="K35" s="64"/>
      <c r="L35" s="62"/>
      <c r="M35" s="62"/>
      <c r="N35" s="65"/>
      <c r="O35" s="68"/>
    </row>
    <row r="36">
      <c r="B36" s="49"/>
      <c r="C36" s="69"/>
      <c r="D36" s="69"/>
      <c r="E36" s="69"/>
      <c r="F36" s="61"/>
      <c r="G36" s="62"/>
      <c r="H36" s="62"/>
      <c r="I36" s="63"/>
      <c r="J36" s="63"/>
      <c r="K36" s="64"/>
      <c r="L36" s="62"/>
      <c r="M36" s="62"/>
      <c r="N36" s="65"/>
      <c r="O36" s="68"/>
    </row>
    <row r="37">
      <c r="B37" s="49"/>
      <c r="C37" s="49"/>
      <c r="D37" s="49"/>
      <c r="E37" s="49"/>
      <c r="F37" s="61"/>
      <c r="G37" s="62"/>
      <c r="H37" s="62"/>
      <c r="I37" s="49"/>
      <c r="J37" s="49"/>
      <c r="K37" s="64"/>
      <c r="L37" s="62"/>
      <c r="M37" s="62"/>
      <c r="N37" s="49"/>
      <c r="O37" s="68"/>
    </row>
    <row r="38">
      <c r="B38" s="49"/>
      <c r="C38" s="49"/>
      <c r="D38" s="49"/>
      <c r="E38" s="49"/>
      <c r="F38" s="61"/>
      <c r="G38" s="62"/>
      <c r="H38" s="62"/>
      <c r="I38" s="49"/>
      <c r="J38" s="49"/>
      <c r="K38" s="64"/>
      <c r="L38" s="62"/>
      <c r="M38" s="62"/>
      <c r="N38" s="70"/>
      <c r="O38" s="68"/>
    </row>
    <row r="39">
      <c r="B39" s="49"/>
      <c r="C39" s="49"/>
      <c r="D39" s="49"/>
      <c r="E39" s="49"/>
      <c r="F39" s="61"/>
      <c r="G39" s="62"/>
      <c r="H39" s="62"/>
      <c r="I39" s="49"/>
      <c r="J39" s="49"/>
      <c r="K39" s="64"/>
      <c r="L39" s="62"/>
      <c r="M39" s="62"/>
      <c r="N39" s="49"/>
      <c r="O39" s="68"/>
    </row>
    <row r="40">
      <c r="B40" s="49"/>
      <c r="C40" s="49"/>
      <c r="D40" s="49"/>
      <c r="E40" s="49"/>
      <c r="F40" s="61"/>
      <c r="G40" s="62"/>
      <c r="H40" s="62"/>
      <c r="I40" s="49"/>
      <c r="J40" s="49"/>
      <c r="K40" s="64"/>
      <c r="L40" s="62"/>
      <c r="M40" s="62"/>
      <c r="N40" s="49"/>
      <c r="O40" s="68"/>
    </row>
    <row r="41">
      <c r="B41" s="49"/>
      <c r="C41" s="49"/>
      <c r="D41" s="49"/>
      <c r="E41" s="49"/>
      <c r="F41" s="61"/>
      <c r="G41" s="62"/>
      <c r="H41" s="62"/>
      <c r="I41" s="49"/>
      <c r="J41" s="49"/>
      <c r="K41" s="64"/>
      <c r="L41" s="62"/>
      <c r="M41" s="62"/>
      <c r="N41" s="49"/>
      <c r="O41" s="68"/>
    </row>
    <row r="42">
      <c r="B42" s="49"/>
      <c r="C42" s="49"/>
      <c r="D42" s="49"/>
      <c r="E42" s="49"/>
      <c r="F42" s="61"/>
      <c r="G42" s="62"/>
      <c r="H42" s="62"/>
      <c r="I42" s="49"/>
      <c r="J42" s="49"/>
      <c r="K42" s="64"/>
      <c r="L42" s="62"/>
      <c r="M42" s="62"/>
      <c r="N42" s="49"/>
      <c r="O42" s="68"/>
    </row>
    <row r="43">
      <c r="B43" s="49"/>
      <c r="C43" s="49"/>
      <c r="D43" s="49"/>
      <c r="E43" s="49"/>
      <c r="F43" s="61"/>
      <c r="G43" s="62"/>
      <c r="H43" s="62"/>
      <c r="I43" s="49"/>
      <c r="J43" s="49"/>
      <c r="K43" s="64"/>
      <c r="L43" s="62"/>
      <c r="M43" s="62"/>
      <c r="N43" s="49"/>
      <c r="O43" s="68"/>
    </row>
    <row r="44">
      <c r="B44" s="49"/>
      <c r="C44" s="49"/>
      <c r="D44" s="49"/>
      <c r="E44" s="49"/>
      <c r="F44" s="61"/>
      <c r="G44" s="62"/>
      <c r="H44" s="62"/>
      <c r="I44" s="49"/>
      <c r="J44" s="49"/>
      <c r="K44" s="64"/>
      <c r="L44" s="62"/>
      <c r="M44" s="62"/>
      <c r="N44" s="49"/>
      <c r="O44" s="68"/>
    </row>
    <row r="45">
      <c r="B45" s="49"/>
      <c r="C45" s="49"/>
      <c r="D45" s="49"/>
      <c r="E45" s="49"/>
      <c r="F45" s="61"/>
      <c r="G45" s="62"/>
      <c r="H45" s="62"/>
      <c r="I45" s="49"/>
      <c r="J45" s="49"/>
      <c r="K45" s="64"/>
      <c r="L45" s="62"/>
      <c r="M45" s="62"/>
      <c r="N45" s="49"/>
      <c r="O45" s="68"/>
    </row>
    <row r="46">
      <c r="B46" s="49"/>
      <c r="C46" s="49"/>
      <c r="D46" s="49"/>
      <c r="E46" s="49"/>
      <c r="F46" s="61"/>
      <c r="G46" s="62"/>
      <c r="H46" s="62"/>
      <c r="I46" s="49"/>
      <c r="J46" s="49"/>
      <c r="K46" s="64"/>
      <c r="L46" s="62"/>
      <c r="M46" s="62"/>
      <c r="N46" s="49"/>
      <c r="O46" s="68"/>
    </row>
    <row r="47">
      <c r="B47" s="49"/>
      <c r="C47" s="49"/>
      <c r="D47" s="49"/>
      <c r="E47" s="49"/>
      <c r="F47" s="61"/>
      <c r="G47" s="62"/>
      <c r="H47" s="62"/>
      <c r="I47" s="49"/>
      <c r="J47" s="49"/>
      <c r="K47" s="64"/>
      <c r="L47" s="62"/>
      <c r="M47" s="62"/>
      <c r="N47" s="49"/>
      <c r="O47" s="68"/>
    </row>
    <row r="48">
      <c r="B48" s="49"/>
      <c r="C48" s="49"/>
      <c r="D48" s="49"/>
      <c r="E48" s="49"/>
      <c r="F48" s="61"/>
      <c r="G48" s="62"/>
      <c r="H48" s="62"/>
      <c r="I48" s="49"/>
      <c r="J48" s="49"/>
      <c r="K48" s="64"/>
      <c r="L48" s="62"/>
      <c r="M48" s="62"/>
      <c r="N48" s="49"/>
      <c r="O48" s="68"/>
    </row>
    <row r="49">
      <c r="B49" s="49"/>
      <c r="C49" s="49"/>
      <c r="D49" s="49"/>
      <c r="E49" s="49"/>
      <c r="F49" s="61"/>
      <c r="G49" s="62"/>
      <c r="H49" s="62"/>
      <c r="I49" s="49"/>
      <c r="J49" s="49"/>
      <c r="K49" s="64"/>
      <c r="L49" s="62"/>
      <c r="M49" s="62"/>
      <c r="N49" s="49"/>
      <c r="O49" s="68"/>
    </row>
    <row r="50">
      <c r="B50" s="49"/>
      <c r="C50" s="49"/>
      <c r="D50" s="49"/>
      <c r="E50" s="49"/>
      <c r="F50" s="61"/>
      <c r="G50" s="62"/>
      <c r="H50" s="62"/>
      <c r="I50" s="49"/>
      <c r="J50" s="49"/>
      <c r="K50" s="64"/>
      <c r="L50" s="62"/>
      <c r="M50" s="62"/>
      <c r="N50" s="49"/>
      <c r="O50" s="68"/>
    </row>
    <row r="51">
      <c r="B51" s="49"/>
      <c r="C51" s="49"/>
      <c r="D51" s="49"/>
      <c r="E51" s="49"/>
      <c r="F51" s="61"/>
      <c r="G51" s="62"/>
      <c r="H51" s="62"/>
      <c r="I51" s="49"/>
      <c r="J51" s="49"/>
      <c r="K51" s="64"/>
      <c r="L51" s="62"/>
      <c r="M51" s="62"/>
      <c r="N51" s="49"/>
      <c r="O51" s="68"/>
    </row>
    <row r="52">
      <c r="B52" s="49"/>
      <c r="C52" s="49"/>
      <c r="D52" s="49"/>
      <c r="E52" s="49"/>
      <c r="F52" s="61"/>
      <c r="G52" s="62"/>
      <c r="H52" s="62"/>
      <c r="I52" s="49"/>
      <c r="J52" s="49"/>
      <c r="K52" s="64"/>
      <c r="L52" s="62"/>
      <c r="M52" s="62"/>
      <c r="N52" s="49"/>
      <c r="O52" s="68"/>
    </row>
    <row r="53">
      <c r="B53" s="49"/>
      <c r="C53" s="49"/>
      <c r="D53" s="49"/>
      <c r="E53" s="49"/>
      <c r="F53" s="61"/>
      <c r="G53" s="62"/>
      <c r="H53" s="62"/>
      <c r="I53" s="49"/>
      <c r="J53" s="49"/>
      <c r="K53" s="64"/>
      <c r="L53" s="62"/>
      <c r="M53" s="62"/>
      <c r="N53" s="49"/>
      <c r="O53" s="68"/>
    </row>
    <row r="54">
      <c r="B54" s="49"/>
      <c r="C54" s="49"/>
      <c r="D54" s="49"/>
      <c r="E54" s="49"/>
      <c r="F54" s="61"/>
      <c r="G54" s="62"/>
      <c r="H54" s="62"/>
      <c r="I54" s="49"/>
      <c r="J54" s="49"/>
      <c r="K54" s="64"/>
      <c r="L54" s="62"/>
      <c r="M54" s="62"/>
      <c r="N54" s="49"/>
      <c r="O54" s="68"/>
    </row>
    <row r="55">
      <c r="B55" s="49"/>
      <c r="C55" s="49"/>
      <c r="D55" s="49"/>
      <c r="E55" s="49"/>
      <c r="F55" s="61"/>
      <c r="G55" s="62"/>
      <c r="H55" s="62"/>
      <c r="I55" s="49"/>
      <c r="J55" s="49"/>
      <c r="K55" s="64"/>
      <c r="L55" s="62"/>
      <c r="M55" s="62"/>
      <c r="N55" s="49"/>
      <c r="O55" s="68"/>
    </row>
    <row r="56">
      <c r="B56" s="49"/>
      <c r="C56" s="49"/>
      <c r="D56" s="49"/>
      <c r="E56" s="49"/>
      <c r="F56" s="61"/>
      <c r="G56" s="62"/>
      <c r="H56" s="62"/>
      <c r="I56" s="49"/>
      <c r="J56" s="49"/>
      <c r="K56" s="64"/>
      <c r="L56" s="62"/>
      <c r="M56" s="62"/>
      <c r="N56" s="49"/>
      <c r="O56" s="68"/>
    </row>
    <row r="57">
      <c r="B57" s="49"/>
      <c r="C57" s="49"/>
      <c r="D57" s="49"/>
      <c r="E57" s="49"/>
      <c r="F57" s="61"/>
      <c r="G57" s="62"/>
      <c r="H57" s="62"/>
      <c r="I57" s="49"/>
      <c r="J57" s="49"/>
      <c r="K57" s="64"/>
      <c r="L57" s="62"/>
      <c r="M57" s="62"/>
      <c r="N57" s="49"/>
      <c r="O57" s="68"/>
    </row>
    <row r="58">
      <c r="B58" s="49"/>
      <c r="C58" s="49"/>
      <c r="D58" s="49"/>
      <c r="E58" s="49"/>
      <c r="F58" s="61"/>
      <c r="G58" s="62"/>
      <c r="H58" s="62"/>
      <c r="I58" s="49"/>
      <c r="J58" s="49"/>
      <c r="K58" s="64"/>
      <c r="L58" s="62"/>
      <c r="M58" s="62"/>
      <c r="N58" s="49"/>
      <c r="O58" s="68"/>
    </row>
    <row r="59">
      <c r="B59" s="49"/>
      <c r="C59" s="49"/>
      <c r="D59" s="49"/>
      <c r="E59" s="49"/>
      <c r="F59" s="61"/>
      <c r="G59" s="62"/>
      <c r="H59" s="62"/>
      <c r="I59" s="49"/>
      <c r="J59" s="49"/>
      <c r="K59" s="64"/>
      <c r="L59" s="62"/>
      <c r="M59" s="62"/>
      <c r="N59" s="49"/>
      <c r="O59" s="68"/>
    </row>
    <row r="60">
      <c r="B60" s="49"/>
      <c r="C60" s="49"/>
      <c r="D60" s="49"/>
      <c r="E60" s="49"/>
      <c r="F60" s="61"/>
      <c r="G60" s="62"/>
      <c r="H60" s="62"/>
      <c r="I60" s="49"/>
      <c r="J60" s="49"/>
      <c r="K60" s="64"/>
      <c r="L60" s="62"/>
      <c r="M60" s="62"/>
      <c r="N60" s="49"/>
      <c r="O60" s="68"/>
    </row>
    <row r="61">
      <c r="B61" s="49"/>
      <c r="C61" s="49"/>
      <c r="D61" s="49"/>
      <c r="E61" s="49"/>
      <c r="F61" s="61"/>
      <c r="G61" s="62"/>
      <c r="H61" s="62"/>
      <c r="I61" s="49"/>
      <c r="J61" s="49"/>
      <c r="K61" s="64"/>
      <c r="L61" s="62"/>
      <c r="M61" s="62"/>
      <c r="N61" s="49"/>
      <c r="O61" s="68"/>
    </row>
    <row r="62">
      <c r="B62" s="49"/>
      <c r="C62" s="49"/>
      <c r="D62" s="49"/>
      <c r="E62" s="49"/>
      <c r="F62" s="61"/>
      <c r="G62" s="62"/>
      <c r="H62" s="62"/>
      <c r="I62" s="49"/>
      <c r="J62" s="49"/>
      <c r="K62" s="64"/>
      <c r="L62" s="62"/>
      <c r="M62" s="62"/>
      <c r="N62" s="49"/>
      <c r="O62" s="68"/>
    </row>
    <row r="63">
      <c r="B63" s="49"/>
      <c r="C63" s="49"/>
      <c r="D63" s="49"/>
      <c r="E63" s="49"/>
      <c r="F63" s="61"/>
      <c r="G63" s="62"/>
      <c r="H63" s="62"/>
      <c r="I63" s="49"/>
      <c r="J63" s="49"/>
      <c r="K63" s="64"/>
      <c r="L63" s="62"/>
      <c r="M63" s="62"/>
      <c r="N63" s="49"/>
      <c r="O63" s="68"/>
    </row>
    <row r="64">
      <c r="B64" s="49"/>
      <c r="C64" s="49"/>
      <c r="D64" s="49"/>
      <c r="E64" s="49"/>
      <c r="F64" s="61"/>
      <c r="G64" s="62"/>
      <c r="H64" s="62"/>
      <c r="I64" s="49"/>
      <c r="J64" s="49"/>
      <c r="K64" s="64"/>
      <c r="L64" s="62"/>
      <c r="M64" s="62"/>
      <c r="N64" s="49"/>
      <c r="O64" s="68"/>
    </row>
    <row r="65">
      <c r="B65" s="49"/>
      <c r="C65" s="49"/>
      <c r="D65" s="49"/>
      <c r="E65" s="49"/>
      <c r="F65" s="61"/>
      <c r="G65" s="62"/>
      <c r="H65" s="62"/>
      <c r="I65" s="49"/>
      <c r="J65" s="49"/>
      <c r="K65" s="64"/>
      <c r="L65" s="62"/>
      <c r="M65" s="62"/>
      <c r="N65" s="49"/>
      <c r="O65" s="68"/>
    </row>
    <row r="66">
      <c r="B66" s="49"/>
      <c r="C66" s="49"/>
      <c r="D66" s="49"/>
      <c r="E66" s="49"/>
      <c r="F66" s="61"/>
      <c r="G66" s="62"/>
      <c r="H66" s="62"/>
      <c r="I66" s="49"/>
      <c r="J66" s="49"/>
      <c r="K66" s="64"/>
      <c r="L66" s="62"/>
      <c r="M66" s="62"/>
      <c r="N66" s="49"/>
      <c r="O66" s="68"/>
    </row>
    <row r="67">
      <c r="B67" s="49"/>
      <c r="C67" s="49"/>
      <c r="D67" s="49"/>
      <c r="E67" s="49"/>
      <c r="F67" s="61"/>
      <c r="G67" s="62"/>
      <c r="H67" s="62"/>
      <c r="I67" s="49"/>
      <c r="J67" s="49"/>
      <c r="K67" s="64"/>
      <c r="L67" s="62"/>
      <c r="M67" s="62"/>
      <c r="N67" s="49"/>
      <c r="O67" s="68"/>
    </row>
    <row r="68">
      <c r="B68" s="49"/>
      <c r="C68" s="49"/>
      <c r="D68" s="49"/>
      <c r="E68" s="49"/>
      <c r="F68" s="61"/>
      <c r="G68" s="62"/>
      <c r="H68" s="62"/>
      <c r="I68" s="49"/>
      <c r="J68" s="49"/>
      <c r="K68" s="64"/>
      <c r="L68" s="62"/>
      <c r="M68" s="62"/>
      <c r="N68" s="49"/>
      <c r="O68" s="68"/>
    </row>
    <row r="69">
      <c r="B69" s="49"/>
      <c r="C69" s="49"/>
      <c r="D69" s="49"/>
      <c r="E69" s="49"/>
      <c r="F69" s="61"/>
      <c r="G69" s="62"/>
      <c r="H69" s="62"/>
      <c r="I69" s="49"/>
      <c r="J69" s="49"/>
      <c r="K69" s="64"/>
      <c r="L69" s="62"/>
      <c r="M69" s="62"/>
      <c r="N69" s="49"/>
      <c r="O69" s="68"/>
    </row>
    <row r="70">
      <c r="B70" s="49"/>
      <c r="C70" s="49"/>
      <c r="D70" s="49"/>
      <c r="E70" s="49"/>
      <c r="F70" s="61"/>
      <c r="G70" s="62"/>
      <c r="H70" s="62"/>
      <c r="I70" s="49"/>
      <c r="J70" s="49"/>
      <c r="K70" s="64"/>
      <c r="L70" s="62"/>
      <c r="M70" s="62"/>
      <c r="N70" s="49"/>
      <c r="O70" s="68"/>
    </row>
    <row r="71">
      <c r="B71" s="49"/>
      <c r="C71" s="49"/>
      <c r="D71" s="49"/>
      <c r="E71" s="49"/>
      <c r="F71" s="61"/>
      <c r="G71" s="62"/>
      <c r="H71" s="62"/>
      <c r="I71" s="49"/>
      <c r="J71" s="49"/>
      <c r="K71" s="64"/>
      <c r="L71" s="62"/>
      <c r="M71" s="62"/>
      <c r="N71" s="49"/>
      <c r="O71" s="68"/>
    </row>
    <row r="72">
      <c r="B72" s="49"/>
      <c r="C72" s="49"/>
      <c r="D72" s="49"/>
      <c r="E72" s="49"/>
      <c r="F72" s="61"/>
      <c r="G72" s="62"/>
      <c r="H72" s="62"/>
      <c r="I72" s="49"/>
      <c r="J72" s="49"/>
      <c r="K72" s="64"/>
      <c r="L72" s="62"/>
      <c r="M72" s="62"/>
      <c r="N72" s="49"/>
      <c r="O72" s="68"/>
    </row>
    <row r="73">
      <c r="B73" s="49"/>
      <c r="C73" s="49"/>
      <c r="D73" s="49"/>
      <c r="E73" s="49"/>
      <c r="F73" s="61"/>
      <c r="G73" s="62"/>
      <c r="H73" s="62"/>
      <c r="I73" s="49"/>
      <c r="J73" s="49"/>
      <c r="K73" s="64"/>
      <c r="L73" s="62"/>
      <c r="M73" s="62"/>
      <c r="N73" s="49"/>
      <c r="O73" s="68"/>
    </row>
    <row r="74">
      <c r="B74" s="49"/>
      <c r="C74" s="49"/>
      <c r="D74" s="49"/>
      <c r="E74" s="49"/>
      <c r="F74" s="61"/>
      <c r="G74" s="62"/>
      <c r="H74" s="62"/>
      <c r="I74" s="49"/>
      <c r="J74" s="49"/>
      <c r="K74" s="64"/>
      <c r="L74" s="62"/>
      <c r="M74" s="62"/>
      <c r="N74" s="49"/>
      <c r="O74" s="68"/>
    </row>
    <row r="75">
      <c r="B75" s="49"/>
      <c r="C75" s="49"/>
      <c r="D75" s="49"/>
      <c r="E75" s="49"/>
      <c r="F75" s="61"/>
      <c r="G75" s="62"/>
      <c r="H75" s="62"/>
      <c r="I75" s="49"/>
      <c r="J75" s="49"/>
      <c r="K75" s="64"/>
      <c r="L75" s="62"/>
      <c r="M75" s="62"/>
      <c r="N75" s="49"/>
      <c r="O75" s="68"/>
    </row>
    <row r="76">
      <c r="B76" s="49"/>
      <c r="C76" s="49"/>
      <c r="D76" s="49"/>
      <c r="E76" s="49"/>
      <c r="F76" s="61"/>
      <c r="G76" s="62"/>
      <c r="H76" s="62"/>
      <c r="I76" s="49"/>
      <c r="J76" s="49"/>
      <c r="K76" s="64"/>
      <c r="L76" s="62"/>
      <c r="M76" s="62"/>
      <c r="N76" s="49"/>
      <c r="O76" s="68"/>
    </row>
    <row r="77">
      <c r="B77" s="49"/>
      <c r="C77" s="49"/>
      <c r="D77" s="49"/>
      <c r="E77" s="49"/>
      <c r="F77" s="61"/>
      <c r="G77" s="62"/>
      <c r="H77" s="62"/>
      <c r="I77" s="49"/>
      <c r="J77" s="49"/>
      <c r="K77" s="64"/>
      <c r="L77" s="62"/>
      <c r="M77" s="62"/>
      <c r="N77" s="49"/>
      <c r="O77" s="68"/>
    </row>
    <row r="78">
      <c r="B78" s="49"/>
      <c r="C78" s="49"/>
      <c r="D78" s="49"/>
      <c r="E78" s="49"/>
      <c r="F78" s="61"/>
      <c r="G78" s="62"/>
      <c r="H78" s="62"/>
      <c r="I78" s="49"/>
      <c r="J78" s="49"/>
      <c r="K78" s="64"/>
      <c r="L78" s="62"/>
      <c r="M78" s="62"/>
      <c r="N78" s="49"/>
      <c r="O78" s="68"/>
    </row>
    <row r="79">
      <c r="B79" s="49"/>
      <c r="C79" s="49"/>
      <c r="D79" s="49"/>
      <c r="E79" s="49"/>
      <c r="F79" s="61"/>
      <c r="G79" s="62"/>
      <c r="H79" s="62"/>
      <c r="I79" s="49"/>
      <c r="J79" s="49"/>
      <c r="K79" s="64"/>
      <c r="L79" s="62"/>
      <c r="M79" s="62"/>
      <c r="N79" s="49"/>
      <c r="O79" s="68"/>
    </row>
    <row r="80">
      <c r="B80" s="49"/>
      <c r="C80" s="49"/>
      <c r="D80" s="49"/>
      <c r="E80" s="49"/>
      <c r="F80" s="61"/>
      <c r="G80" s="62"/>
      <c r="H80" s="62"/>
      <c r="I80" s="49"/>
      <c r="J80" s="49"/>
      <c r="K80" s="64"/>
      <c r="L80" s="62"/>
      <c r="M80" s="62"/>
      <c r="N80" s="49"/>
      <c r="O80" s="68"/>
    </row>
    <row r="81">
      <c r="B81" s="49"/>
      <c r="C81" s="49"/>
      <c r="D81" s="49"/>
      <c r="E81" s="49"/>
      <c r="F81" s="61"/>
      <c r="G81" s="62"/>
      <c r="H81" s="62"/>
      <c r="I81" s="49"/>
      <c r="J81" s="49"/>
      <c r="K81" s="64"/>
      <c r="L81" s="62"/>
      <c r="M81" s="62"/>
      <c r="N81" s="49"/>
      <c r="O81" s="68"/>
    </row>
    <row r="82">
      <c r="B82" s="49"/>
      <c r="C82" s="49"/>
      <c r="D82" s="49"/>
      <c r="E82" s="49"/>
      <c r="F82" s="61"/>
      <c r="G82" s="62"/>
      <c r="H82" s="49"/>
      <c r="I82" s="49"/>
      <c r="J82" s="49"/>
      <c r="K82" s="64"/>
      <c r="L82" s="62"/>
      <c r="M82" s="62"/>
      <c r="N82" s="49"/>
      <c r="O82" s="68"/>
    </row>
    <row r="83">
      <c r="B83" s="49"/>
      <c r="C83" s="49"/>
      <c r="D83" s="49"/>
      <c r="E83" s="49"/>
      <c r="F83" s="61"/>
      <c r="G83" s="62"/>
      <c r="H83" s="49"/>
      <c r="I83" s="49"/>
      <c r="J83" s="49"/>
      <c r="K83" s="64"/>
      <c r="L83" s="62"/>
      <c r="M83" s="62"/>
      <c r="N83" s="49"/>
      <c r="O83" s="68"/>
    </row>
    <row r="84">
      <c r="B84" s="49"/>
      <c r="C84" s="49"/>
      <c r="D84" s="49"/>
      <c r="E84" s="49"/>
      <c r="F84" s="61"/>
      <c r="G84" s="62"/>
      <c r="H84" s="49"/>
      <c r="I84" s="49"/>
      <c r="J84" s="49"/>
      <c r="K84" s="64"/>
      <c r="L84" s="62"/>
      <c r="M84" s="62"/>
      <c r="N84" s="49"/>
      <c r="O84" s="68"/>
    </row>
    <row r="85">
      <c r="B85" s="49"/>
      <c r="C85" s="49"/>
      <c r="D85" s="49"/>
      <c r="E85" s="49"/>
      <c r="F85" s="61"/>
      <c r="G85" s="62"/>
      <c r="H85" s="49"/>
      <c r="I85" s="49"/>
      <c r="J85" s="49"/>
      <c r="K85" s="64"/>
      <c r="L85" s="62"/>
      <c r="M85" s="62"/>
      <c r="N85" s="49"/>
      <c r="O85" s="68"/>
    </row>
    <row r="86">
      <c r="B86" s="49"/>
      <c r="C86" s="49"/>
      <c r="D86" s="49"/>
      <c r="E86" s="49"/>
      <c r="F86" s="61"/>
      <c r="G86" s="62"/>
      <c r="H86" s="49"/>
      <c r="I86" s="49"/>
      <c r="J86" s="49"/>
      <c r="K86" s="64"/>
      <c r="L86" s="62"/>
      <c r="M86" s="62"/>
      <c r="N86" s="49"/>
      <c r="O86" s="68"/>
    </row>
    <row r="87">
      <c r="B87" s="49"/>
      <c r="C87" s="49"/>
      <c r="D87" s="49"/>
      <c r="E87" s="49"/>
      <c r="F87" s="61"/>
      <c r="G87" s="62"/>
      <c r="H87" s="49"/>
      <c r="I87" s="49"/>
      <c r="J87" s="49"/>
      <c r="K87" s="64"/>
      <c r="L87" s="62"/>
      <c r="M87" s="62"/>
      <c r="N87" s="49"/>
      <c r="O87" s="68"/>
    </row>
    <row r="88">
      <c r="B88" s="49"/>
      <c r="C88" s="49"/>
      <c r="D88" s="49"/>
      <c r="E88" s="49"/>
      <c r="F88" s="61"/>
      <c r="G88" s="62"/>
      <c r="H88" s="49"/>
      <c r="I88" s="49"/>
      <c r="J88" s="49"/>
      <c r="K88" s="64"/>
      <c r="L88" s="62"/>
      <c r="M88" s="62"/>
      <c r="N88" s="49"/>
      <c r="O88" s="68"/>
    </row>
    <row r="89">
      <c r="B89" s="49"/>
      <c r="C89" s="49"/>
      <c r="D89" s="49"/>
      <c r="E89" s="49"/>
      <c r="F89" s="61"/>
      <c r="G89" s="62"/>
      <c r="H89" s="49"/>
      <c r="I89" s="49"/>
      <c r="J89" s="49"/>
      <c r="K89" s="64"/>
      <c r="L89" s="62"/>
      <c r="M89" s="62"/>
      <c r="N89" s="49"/>
      <c r="O89" s="68"/>
    </row>
    <row r="90">
      <c r="B90" s="49"/>
      <c r="C90" s="49"/>
      <c r="D90" s="49"/>
      <c r="E90" s="49"/>
      <c r="F90" s="61"/>
      <c r="G90" s="62"/>
      <c r="H90" s="49"/>
      <c r="I90" s="49"/>
      <c r="J90" s="49"/>
      <c r="K90" s="64"/>
      <c r="L90" s="62"/>
      <c r="M90" s="62"/>
      <c r="N90" s="49"/>
      <c r="O90" s="68"/>
    </row>
    <row r="91">
      <c r="B91" s="49"/>
      <c r="C91" s="49"/>
      <c r="D91" s="49"/>
      <c r="E91" s="49"/>
      <c r="F91" s="61"/>
      <c r="G91" s="62"/>
      <c r="H91" s="49"/>
      <c r="I91" s="49"/>
      <c r="J91" s="49"/>
      <c r="K91" s="64"/>
      <c r="L91" s="62"/>
      <c r="M91" s="62"/>
      <c r="N91" s="49"/>
      <c r="O91" s="68"/>
    </row>
    <row r="92">
      <c r="B92" s="49"/>
      <c r="C92" s="49"/>
      <c r="D92" s="49"/>
      <c r="E92" s="49"/>
      <c r="F92" s="61"/>
      <c r="G92" s="62"/>
      <c r="H92" s="49"/>
      <c r="I92" s="49"/>
      <c r="J92" s="49"/>
      <c r="K92" s="64"/>
      <c r="L92" s="62"/>
      <c r="M92" s="62"/>
      <c r="N92" s="49"/>
      <c r="O92" s="68"/>
    </row>
    <row r="93">
      <c r="B93" s="49"/>
      <c r="C93" s="49"/>
      <c r="D93" s="49"/>
      <c r="E93" s="49"/>
      <c r="F93" s="61"/>
      <c r="G93" s="62"/>
      <c r="H93" s="49"/>
      <c r="I93" s="49"/>
      <c r="J93" s="49"/>
      <c r="K93" s="64"/>
      <c r="L93" s="62"/>
      <c r="M93" s="62"/>
      <c r="N93" s="49"/>
      <c r="O93" s="68"/>
    </row>
    <row r="94">
      <c r="B94" s="49"/>
      <c r="C94" s="49"/>
      <c r="D94" s="49"/>
      <c r="E94" s="49"/>
      <c r="F94" s="61"/>
      <c r="G94" s="62"/>
      <c r="H94" s="49"/>
      <c r="I94" s="49"/>
      <c r="J94" s="49"/>
      <c r="K94" s="64"/>
      <c r="L94" s="62"/>
      <c r="M94" s="62"/>
      <c r="N94" s="49"/>
      <c r="O94" s="68"/>
    </row>
    <row r="95">
      <c r="B95" s="49"/>
      <c r="C95" s="49"/>
      <c r="D95" s="49"/>
      <c r="E95" s="49"/>
      <c r="F95" s="61"/>
      <c r="G95" s="62"/>
      <c r="H95" s="49"/>
      <c r="I95" s="49"/>
      <c r="J95" s="49"/>
      <c r="K95" s="64"/>
      <c r="L95" s="62"/>
      <c r="M95" s="62"/>
      <c r="N95" s="49"/>
      <c r="O95" s="68"/>
    </row>
    <row r="96">
      <c r="B96" s="49"/>
      <c r="C96" s="49"/>
      <c r="D96" s="49"/>
      <c r="E96" s="49"/>
      <c r="F96" s="61"/>
      <c r="G96" s="62"/>
      <c r="H96" s="49"/>
      <c r="I96" s="49"/>
      <c r="J96" s="49"/>
      <c r="K96" s="64"/>
      <c r="L96" s="62"/>
      <c r="M96" s="62"/>
      <c r="N96" s="49"/>
      <c r="O96" s="68"/>
    </row>
    <row r="97">
      <c r="B97" s="49"/>
      <c r="C97" s="49"/>
      <c r="D97" s="49"/>
      <c r="E97" s="49"/>
      <c r="F97" s="61"/>
      <c r="G97" s="62"/>
      <c r="H97" s="49"/>
      <c r="I97" s="49"/>
      <c r="J97" s="49"/>
      <c r="K97" s="64"/>
      <c r="L97" s="62"/>
      <c r="M97" s="62"/>
      <c r="N97" s="49"/>
      <c r="O97" s="68"/>
    </row>
    <row r="98">
      <c r="B98" s="49"/>
      <c r="C98" s="49"/>
      <c r="D98" s="49"/>
      <c r="E98" s="49"/>
      <c r="F98" s="61"/>
      <c r="G98" s="62"/>
      <c r="H98" s="49"/>
      <c r="I98" s="49"/>
      <c r="J98" s="49"/>
      <c r="K98" s="64"/>
      <c r="L98" s="62"/>
      <c r="M98" s="62"/>
      <c r="N98" s="49"/>
      <c r="O98" s="68"/>
    </row>
    <row r="99">
      <c r="B99" s="49"/>
      <c r="C99" s="49"/>
      <c r="D99" s="49"/>
      <c r="E99" s="49"/>
      <c r="F99" s="61"/>
      <c r="G99" s="49"/>
      <c r="H99" s="49"/>
      <c r="I99" s="49"/>
      <c r="J99" s="49"/>
      <c r="K99" s="64"/>
      <c r="L99" s="62"/>
      <c r="M99" s="62"/>
      <c r="N99" s="49"/>
      <c r="O99" s="68"/>
    </row>
    <row r="100">
      <c r="B100" s="49"/>
      <c r="C100" s="49"/>
      <c r="D100" s="49"/>
      <c r="E100" s="49"/>
      <c r="F100" s="61"/>
      <c r="G100" s="49"/>
      <c r="H100" s="49"/>
      <c r="I100" s="49"/>
      <c r="J100" s="49"/>
      <c r="K100" s="64"/>
      <c r="L100" s="62"/>
      <c r="M100" s="62"/>
      <c r="N100" s="49"/>
      <c r="O100" s="68"/>
    </row>
    <row r="101">
      <c r="B101" s="49"/>
      <c r="C101" s="49"/>
      <c r="D101" s="49"/>
      <c r="E101" s="49"/>
      <c r="F101" s="61"/>
      <c r="G101" s="49"/>
      <c r="H101" s="49"/>
      <c r="I101" s="49"/>
      <c r="J101" s="49"/>
      <c r="K101" s="64"/>
      <c r="L101" s="62"/>
      <c r="M101" s="49"/>
      <c r="N101" s="49"/>
      <c r="O101" s="68"/>
    </row>
    <row r="102">
      <c r="F102" s="52"/>
      <c r="K102" s="54"/>
      <c r="L102" s="53"/>
      <c r="O102" s="55"/>
    </row>
    <row r="103">
      <c r="F103" s="52"/>
      <c r="K103" s="54"/>
      <c r="L103" s="53"/>
      <c r="O103" s="55"/>
    </row>
    <row r="104">
      <c r="F104" s="52"/>
      <c r="K104" s="54"/>
      <c r="L104" s="53"/>
      <c r="O104" s="55"/>
    </row>
    <row r="105">
      <c r="F105" s="52"/>
      <c r="K105" s="54"/>
      <c r="L105" s="53"/>
      <c r="O105" s="55"/>
    </row>
    <row r="106">
      <c r="F106" s="52"/>
      <c r="K106" s="54"/>
      <c r="L106" s="53"/>
      <c r="O106" s="55"/>
    </row>
    <row r="107">
      <c r="F107" s="52"/>
      <c r="K107" s="54"/>
      <c r="L107" s="53"/>
      <c r="O107" s="55"/>
    </row>
    <row r="108">
      <c r="F108" s="52"/>
      <c r="K108" s="54"/>
      <c r="L108" s="53"/>
      <c r="O108" s="55"/>
    </row>
    <row r="109">
      <c r="F109" s="52"/>
      <c r="K109" s="54"/>
      <c r="L109" s="53"/>
      <c r="O109" s="55"/>
    </row>
    <row r="110">
      <c r="F110" s="52"/>
      <c r="K110" s="54"/>
      <c r="L110" s="53"/>
      <c r="O110" s="55"/>
    </row>
    <row r="111">
      <c r="F111" s="52"/>
      <c r="K111" s="54"/>
      <c r="L111" s="53"/>
      <c r="O111" s="55"/>
    </row>
    <row r="112">
      <c r="F112" s="52"/>
      <c r="L112" s="53"/>
      <c r="O112" s="55"/>
    </row>
    <row r="113">
      <c r="F113" s="52"/>
      <c r="O113" s="55"/>
    </row>
    <row r="114">
      <c r="F114" s="52"/>
      <c r="O114" s="55"/>
    </row>
    <row r="115">
      <c r="F115" s="52"/>
      <c r="O115" s="55"/>
    </row>
    <row r="116">
      <c r="F116" s="52"/>
      <c r="O116" s="55"/>
    </row>
    <row r="117">
      <c r="F117" s="52"/>
      <c r="O117" s="55"/>
    </row>
    <row r="118">
      <c r="F118" s="52"/>
      <c r="O118" s="55"/>
    </row>
    <row r="119">
      <c r="F119" s="52"/>
      <c r="O119" s="55"/>
    </row>
    <row r="120">
      <c r="F120" s="52"/>
      <c r="O120" s="55"/>
    </row>
    <row r="121">
      <c r="F121" s="52"/>
      <c r="O121" s="55"/>
    </row>
    <row r="122">
      <c r="F122" s="52"/>
      <c r="O122" s="55"/>
    </row>
    <row r="123">
      <c r="F123" s="52"/>
      <c r="O123" s="55"/>
    </row>
    <row r="124">
      <c r="F124" s="52"/>
      <c r="O124" s="55"/>
    </row>
    <row r="125">
      <c r="F125" s="52"/>
      <c r="O125" s="55"/>
    </row>
    <row r="126">
      <c r="F126" s="52"/>
    </row>
    <row r="127">
      <c r="F127" s="52"/>
    </row>
    <row r="128">
      <c r="F128" s="52"/>
    </row>
    <row r="129">
      <c r="F129" s="52"/>
    </row>
    <row r="130">
      <c r="F130" s="52"/>
    </row>
    <row r="131">
      <c r="F131" s="52"/>
    </row>
    <row r="132">
      <c r="F132" s="52"/>
    </row>
    <row r="133">
      <c r="F133" s="52"/>
    </row>
    <row r="134">
      <c r="F134" s="52"/>
    </row>
    <row r="135">
      <c r="F135" s="52"/>
    </row>
    <row r="136">
      <c r="F136" s="52"/>
    </row>
    <row r="137">
      <c r="F137" s="52"/>
    </row>
    <row r="138">
      <c r="F138" s="52"/>
    </row>
    <row r="139">
      <c r="F139" s="52"/>
    </row>
    <row r="140">
      <c r="F140" s="52"/>
    </row>
    <row r="141">
      <c r="F141" s="52"/>
    </row>
    <row r="142">
      <c r="F142" s="52"/>
    </row>
    <row r="143">
      <c r="F143" s="52"/>
    </row>
    <row r="144">
      <c r="F144" s="52"/>
    </row>
    <row r="145">
      <c r="F145" s="52"/>
    </row>
    <row r="146">
      <c r="F146" s="52"/>
    </row>
    <row r="147">
      <c r="F147" s="52"/>
    </row>
    <row r="148">
      <c r="F148" s="52"/>
    </row>
    <row r="149">
      <c r="F149" s="52"/>
    </row>
    <row r="150">
      <c r="F150" s="52"/>
    </row>
    <row r="151">
      <c r="F151" s="52"/>
    </row>
    <row r="152">
      <c r="F152" s="52"/>
    </row>
    <row r="153">
      <c r="F153" s="52"/>
    </row>
    <row r="154">
      <c r="F154" s="52"/>
    </row>
    <row r="155">
      <c r="F155" s="52"/>
    </row>
    <row r="156">
      <c r="F156" s="52"/>
    </row>
    <row r="500">
      <c r="F500" s="52">
        <f>LET(
  precio_exacto, SUMIFS(PRECIOS!$E:$E, PRECIOS!$A:$A, E500, PRECIOS!$B:$B, D500),
  precio_unitario_cajon, SUMIFS(PRECIOS!$J:$J, PRECIOS!$A:$A, E500, PRECIOS!$B:$B, "CAJON"),
  precio_unitario_bolsa, SUMIFS(PRECIOS!$J:$J, PRECIOS!$A:$A, E500, PRECIOS!$B:$B, "BOLSA"),
  IF(precio_exacto &gt; 0, precio_exacto, 
    IF(precio_unitario_cajon &gt; 0, precio_unitario_cajon, 
      IF(precio_unitario_bolsa &gt; 0, precio_unitario_bolsa, 0)
    )
  )
)</f>
        <v>0</v>
      </c>
      <c r="G500" s="53">
        <f>C500*F500</f>
        <v>0</v>
      </c>
      <c r="H500" s="53">
        <f>G500*1.105</f>
        <v>0</v>
      </c>
      <c r="I500" s="32"/>
      <c r="J500" s="32"/>
      <c r="K500" s="54">
        <f>IFERROR(
  IF(OR(D500="CAJON", D500="BOLSA"),
    SUMIFS(PRECIOS!$C:$C, PRECIOS!$A:$A, E500, PRECIOS!$B:$B, D500),
    LET(
      stock_suelto_inicial, SUMIFS(COMPRAS!$E:$E, COMPRAS!$C:$C, E500, COMPRAS!$J:$J, "UNIDAD") + SUMIFS(COMPRAS!$E:$E, COMPRAS!$C:$C, E500, COMPRAS!$J:$J, "KG"),
      acumulado_anterior, SUMIFS($M$9:O499, $C$9:E499, E500),
      unidades_esta_venta, C500,
      costo_unidad_base, SUMIFS(PRECIOS!$I:$I, PRECIOS!$A:$A, E500, PRECIOS!$B:$B, "UNIDAD") + SUMIFS(PRECIOS!$I:$I, PRECIOS!$A:$A, E500, PRECIOS!$B:$B, "KG"),
      costo_cajon, SUMIFS(PRECIOS!$I:$I, PRECIOS!$A:$A, E500, PRECIOS!$B:$B, "CAJON"),
      costo_bolsa, SUMIFS(PRECIOS!$I:$I, PRECIOS!$A:$A, E500,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L500" s="53">
        <f>K500*C500</f>
        <v>0</v>
      </c>
      <c r="M500" s="53">
        <f>H500-L500</f>
        <v>0</v>
      </c>
      <c r="N500" s="46"/>
      <c r="O500" s="55"/>
    </row>
    <row r="501">
      <c r="F501" s="52"/>
      <c r="G501" s="53"/>
      <c r="H501" s="53"/>
      <c r="I501" s="32"/>
      <c r="J501" s="32"/>
      <c r="K501" s="54"/>
      <c r="L501" s="53"/>
      <c r="M501" s="53"/>
      <c r="N501" s="46"/>
      <c r="O501" s="55"/>
    </row>
  </sheetData>
  <mergeCells count="1">
    <mergeCell ref="K6:M6"/>
  </mergeCells>
  <dataValidations>
    <dataValidation type="list" allowBlank="1" showErrorMessage="1" sqref="D4">
      <formula1>"SI,NO"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3" max="13" width="20.0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71" t="s">
        <v>0</v>
      </c>
      <c r="B1" s="72">
        <f>TODAY()</f>
        <v>46079</v>
      </c>
      <c r="C1" s="33"/>
      <c r="D1" s="32"/>
      <c r="E1" s="32"/>
      <c r="F1" s="32"/>
      <c r="G1" s="33"/>
      <c r="H1" s="33"/>
      <c r="I1" s="33"/>
      <c r="J1" s="33"/>
      <c r="K1" s="32"/>
      <c r="L1" s="46"/>
      <c r="M1" s="33"/>
      <c r="N1" s="32"/>
      <c r="O1" s="33"/>
      <c r="P1" s="32"/>
      <c r="Q1" s="32"/>
      <c r="R1" s="33"/>
      <c r="S1" s="32"/>
      <c r="T1" s="32"/>
      <c r="U1" s="34"/>
      <c r="V1" s="32"/>
      <c r="W1" s="32"/>
      <c r="X1" s="32"/>
      <c r="Y1" s="32"/>
      <c r="Z1" s="32"/>
    </row>
    <row r="2">
      <c r="A2" s="34"/>
      <c r="B2" s="33"/>
      <c r="C2" s="33"/>
      <c r="D2" s="32"/>
      <c r="E2" s="32"/>
      <c r="F2" s="32"/>
      <c r="G2" s="33"/>
      <c r="H2" s="33"/>
      <c r="I2" s="33"/>
      <c r="J2" s="33"/>
      <c r="K2" s="32"/>
      <c r="L2" s="46"/>
      <c r="M2" s="33"/>
      <c r="N2" s="32"/>
      <c r="O2" s="33"/>
      <c r="P2" s="32"/>
      <c r="Q2" s="32"/>
      <c r="R2" s="33"/>
      <c r="S2" s="32"/>
      <c r="T2" s="32"/>
      <c r="U2" s="34"/>
      <c r="V2" s="32"/>
      <c r="W2" s="32"/>
      <c r="X2" s="32"/>
      <c r="Y2" s="32"/>
      <c r="Z2" s="32"/>
    </row>
    <row r="3">
      <c r="A3" s="37" t="s">
        <v>122</v>
      </c>
      <c r="D3" s="38" t="s">
        <v>129</v>
      </c>
      <c r="E3" s="39">
        <f>TODAY()</f>
        <v>46079</v>
      </c>
      <c r="F3" s="39"/>
      <c r="H3" s="40"/>
      <c r="I3" s="40" t="s">
        <v>130</v>
      </c>
      <c r="O3" s="33"/>
      <c r="P3" s="32"/>
      <c r="Q3" s="32"/>
      <c r="R3" s="33"/>
      <c r="S3" s="32"/>
      <c r="T3" s="32"/>
      <c r="U3" s="34"/>
      <c r="V3" s="32"/>
      <c r="W3" s="32"/>
      <c r="X3" s="32"/>
      <c r="Y3" s="32"/>
      <c r="Z3" s="32"/>
    </row>
    <row r="4">
      <c r="A4" s="37"/>
      <c r="O4" s="33"/>
      <c r="P4" s="32"/>
      <c r="Q4" s="32"/>
      <c r="R4" s="33"/>
      <c r="S4" s="32"/>
      <c r="T4" s="32"/>
      <c r="U4" s="34"/>
      <c r="V4" s="32"/>
      <c r="W4" s="32"/>
      <c r="X4" s="32"/>
      <c r="Y4" s="32"/>
      <c r="Z4" s="32"/>
    </row>
    <row r="5">
      <c r="A5" s="36" t="s">
        <v>3</v>
      </c>
      <c r="B5" s="41" t="s">
        <v>8</v>
      </c>
      <c r="C5" s="42" t="s">
        <v>1</v>
      </c>
      <c r="D5" s="43" t="s">
        <v>116</v>
      </c>
      <c r="E5" s="41" t="s">
        <v>117</v>
      </c>
      <c r="F5" s="44" t="s">
        <v>131</v>
      </c>
      <c r="G5" s="32"/>
      <c r="I5" s="45" t="s">
        <v>2</v>
      </c>
      <c r="J5" s="41" t="s">
        <v>117</v>
      </c>
      <c r="K5" s="41" t="s">
        <v>132</v>
      </c>
      <c r="L5" s="46"/>
      <c r="M5" s="47" t="s">
        <v>133</v>
      </c>
      <c r="N5" s="33"/>
      <c r="O5" s="33"/>
      <c r="P5" s="32"/>
      <c r="Q5" s="32"/>
      <c r="R5" s="33"/>
      <c r="S5" s="32"/>
      <c r="T5" s="32"/>
      <c r="U5" s="34"/>
      <c r="V5" s="32"/>
      <c r="W5" s="32"/>
      <c r="X5" s="32"/>
      <c r="Y5" s="32"/>
      <c r="Z5" s="32"/>
    </row>
    <row r="6">
      <c r="A6" s="50">
        <v>2.0</v>
      </c>
      <c r="B6" s="44" t="s">
        <v>12</v>
      </c>
      <c r="C6" s="51" t="s">
        <v>76</v>
      </c>
      <c r="D6" s="52">
        <f>LET(
  precio_exacto, SUMIFS(PRECIOS!$E:$E, PRECIOS!$A:$A, C6, PRECIOS!$B:$B, B6),
  precio_unitario_cajon, SUMIFS(PRECIOS!$J:$J, PRECIOS!$A:$A, C6, PRECIOS!$B:$B, "CAJON"),
  precio_unitario_bolsa, SUMIFS(PRECIOS!$J:$J, PRECIOS!$A:$A, C6, PRECIOS!$B:$B, "BOLSA"),
  IF(precio_exacto &gt; 0, precio_exacto, 
    IF(precio_unitario_cajon &gt; 0, precio_unitario_cajon, 
      IF(precio_unitario_bolsa &gt; 0, precio_unitario_bolsa, 0)
    )
  )
)</f>
        <v>0</v>
      </c>
      <c r="E6" s="53">
        <f t="shared" ref="E6:E8" si="1">A6*D6</f>
        <v>0</v>
      </c>
      <c r="F6" s="53">
        <f t="shared" ref="F6:F8" si="2">E6*1.105</f>
        <v>0</v>
      </c>
      <c r="G6" s="32"/>
      <c r="H6" s="32"/>
      <c r="I6" s="54">
        <f>IFERROR(
  IF(OR(B6="CAJON", B6="BOLSA"),
    SUMIFS(PRECIOS!$C:$C, PRECIOS!$A:$A, C6, PRECIOS!$B:$B, B6),
    LET(
      stock_suelto_inicial, SUMIFS(COMPRAS!$E:$E, COMPRAS!$C:$C, C6, COMPRAS!$J:$J, "UNIDAD") + SUMIFS(COMPRAS!$E:$E, COMPRAS!$C:$C, C6, COMPRAS!$J:$J, "KG"),
      acumulado_anterior, SUMIFS($M5:M$9, $C5:C$9, C6),
      unidades_esta_venta, A6,
      costo_unidad_base, SUMIFS(PRECIOS!$I:$I, PRECIOS!$A:$A, C6, PRECIOS!$B:$B, "UNIDAD") + SUMIFS(PRECIOS!$I:$I, PRECIOS!$A:$A, C6, PRECIOS!$B:$B, "KG"),
      costo_cajon, SUMIFS(PRECIOS!$I:$I, PRECIOS!$A:$A, C6, PRECIOS!$B:$B, "CAJON"),
      costo_bolsa, SUMIFS(PRECIOS!$I:$I, PRECIOS!$A:$A, C6,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J6" s="53">
        <f t="shared" ref="J6:J8" si="3">I6*A6</f>
        <v>0</v>
      </c>
      <c r="K6" s="53">
        <f t="shared" ref="K6:K8" si="4">F6-J6</f>
        <v>0</v>
      </c>
      <c r="L6" s="46"/>
      <c r="M6" s="55">
        <f t="shared" ref="M6:M248" si="5">IF(C6="", 0, 
  SUMIFS($M$5:M5, $C$5:C5, C6) + 
  IF(OR(B6="UNIDAD", B6="KG"), A6, 0)
)</f>
        <v>0</v>
      </c>
      <c r="N6" s="33"/>
      <c r="O6" s="60"/>
      <c r="P6" s="48"/>
      <c r="Q6" s="32"/>
      <c r="R6" s="33"/>
      <c r="S6" s="32"/>
      <c r="T6" s="32"/>
      <c r="U6" s="34"/>
      <c r="V6" s="32"/>
      <c r="W6" s="32"/>
      <c r="X6" s="32"/>
      <c r="Y6" s="32"/>
      <c r="Z6" s="32"/>
    </row>
    <row r="7">
      <c r="A7" s="50">
        <v>2.0</v>
      </c>
      <c r="B7" s="44" t="s">
        <v>8</v>
      </c>
      <c r="C7" s="51" t="s">
        <v>22</v>
      </c>
      <c r="D7" s="52">
        <f>LET(
  precio_exacto, SUMIFS(PRECIOS!$E:$E, PRECIOS!$A:$A, C7, PRECIOS!$B:$B, B7),
  precio_unitario_cajon, SUMIFS(PRECIOS!$J:$J, PRECIOS!$A:$A, C7, PRECIOS!$B:$B, "CAJON"),
  precio_unitario_bolsa, SUMIFS(PRECIOS!$J:$J, PRECIOS!$A:$A, C7, PRECIOS!$B:$B, "BOLSA"),
  IF(precio_exacto &gt; 0, precio_exacto, 
    IF(precio_unitario_cajon &gt; 0, precio_unitario_cajon, 
      IF(precio_unitario_bolsa &gt; 0, precio_unitario_bolsa, 0)
    )
  )
)</f>
        <v>0</v>
      </c>
      <c r="E7" s="53">
        <f t="shared" si="1"/>
        <v>0</v>
      </c>
      <c r="F7" s="53">
        <f t="shared" si="2"/>
        <v>0</v>
      </c>
      <c r="G7" s="32"/>
      <c r="H7" s="32"/>
      <c r="I7" s="54">
        <f>IFERROR(
  IF(OR(B7="CAJON", B7="BOLSA"),
    SUMIFS(PRECIOS!$C:$C, PRECIOS!$A:$A, C7, PRECIOS!$B:$B, B7),
    LET(
      stock_suelto_inicial, SUMIFS(COMPRAS!$E:$E, COMPRAS!$C:$C, C7, COMPRAS!$J:$J, "UNIDAD") + SUMIFS(COMPRAS!$E:$E, COMPRAS!$C:$C, C7, COMPRAS!$J:$J, "KG"),
      acumulado_anterior, SUMIFS($M6:M$9, $C6:C$9, C7),
      unidades_esta_venta, A7,
      costo_unidad_base, SUMIFS(PRECIOS!$I:$I, PRECIOS!$A:$A, C7, PRECIOS!$B:$B, "UNIDAD") + SUMIFS(PRECIOS!$I:$I, PRECIOS!$A:$A, C7, PRECIOS!$B:$B, "KG"),
      costo_cajon, SUMIFS(PRECIOS!$I:$I, PRECIOS!$A:$A, C7, PRECIOS!$B:$B, "CAJON"),
      costo_bolsa, SUMIFS(PRECIOS!$I:$I, PRECIOS!$A:$A, C7,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J7" s="53">
        <f t="shared" si="3"/>
        <v>0</v>
      </c>
      <c r="K7" s="53">
        <f t="shared" si="4"/>
        <v>0</v>
      </c>
      <c r="L7" s="46"/>
      <c r="M7" s="55">
        <f t="shared" si="5"/>
        <v>2</v>
      </c>
      <c r="N7" s="33"/>
      <c r="P7" s="56"/>
      <c r="Q7" s="56"/>
      <c r="R7" s="33"/>
      <c r="S7" s="32"/>
      <c r="T7" s="32"/>
      <c r="U7" s="34"/>
      <c r="V7" s="32"/>
      <c r="W7" s="32"/>
      <c r="X7" s="32"/>
      <c r="Y7" s="32"/>
      <c r="Z7" s="32"/>
    </row>
    <row r="8">
      <c r="A8" s="57">
        <v>1.0</v>
      </c>
      <c r="B8" s="58" t="s">
        <v>12</v>
      </c>
      <c r="C8" s="59" t="s">
        <v>57</v>
      </c>
      <c r="D8" s="52">
        <f>LET(
  precio_exacto, SUMIFS(PRECIOS!$E:$E, PRECIOS!$A:$A, C8, PRECIOS!$B:$B, B8),
  precio_unitario_cajon, SUMIFS(PRECIOS!$J:$J, PRECIOS!$A:$A, C8, PRECIOS!$B:$B, "CAJON"),
  precio_unitario_bolsa, SUMIFS(PRECIOS!$J:$J, PRECIOS!$A:$A, C8, PRECIOS!$B:$B, "BOLSA"),
  IF(precio_exacto &gt; 0, precio_exacto, 
    IF(precio_unitario_cajon &gt; 0, precio_unitario_cajon, 
      IF(precio_unitario_bolsa &gt; 0, precio_unitario_bolsa, 0)
    )
  )
)</f>
        <v>0</v>
      </c>
      <c r="E8" s="53">
        <f t="shared" si="1"/>
        <v>0</v>
      </c>
      <c r="F8" s="53">
        <f t="shared" si="2"/>
        <v>0</v>
      </c>
      <c r="G8" s="32"/>
      <c r="H8" s="32"/>
      <c r="I8" s="54">
        <f>IFERROR(
  IF(OR(B8="CAJON", B8="BOLSA"),
    SUMIFS(PRECIOS!$C:$C, PRECIOS!$A:$A, C8, PRECIOS!$B:$B, B8),
    LET(
      stock_suelto_inicial, SUMIFS(COMPRAS!$E:$E, COMPRAS!$C:$C, C8, COMPRAS!$J:$J, "UNIDAD") + SUMIFS(COMPRAS!$E:$E, COMPRAS!$C:$C, C8, COMPRAS!$J:$J, "KG"),
      acumulado_anterior, SUMIFS($M7:M$9, $C7:C$9, C8),
      unidades_esta_venta, A8,
      costo_unidad_base, SUMIFS(PRECIOS!$I:$I, PRECIOS!$A:$A, C8, PRECIOS!$B:$B, "UNIDAD") + SUMIFS(PRECIOS!$I:$I, PRECIOS!$A:$A, C8, PRECIOS!$B:$B, "KG"),
      costo_cajon, SUMIFS(PRECIOS!$I:$I, PRECIOS!$A:$A, C8, PRECIOS!$B:$B, "CAJON"),
      costo_bolsa, SUMIFS(PRECIOS!$I:$I, PRECIOS!$A:$A, C8, PRECIOS!$B:$B, "BOLSA"),
      costo_bulto_ref, IF(costo_cajon &gt; 0, costo_cajon, costo_bolsa),
      unidades_con_costo_suelto, MAX(0, MIN(unidades_esta_venta, stock_suelto_inicial - acumulado_anterior)),
      unidades_con_costo_bulto, unidades_esta_venta - unidades_con_costo_suelto,
      IF(unidades_esta_venta = 0, 0, 
        ((unidades_con_costo_suelto * costo_unidad_base) + (unidades_con_costo_bulto * costo_bulto_ref)) / unidades_esta_venta
      )
    )
  ), 
0)</f>
        <v>0</v>
      </c>
      <c r="J8" s="53">
        <f t="shared" si="3"/>
        <v>0</v>
      </c>
      <c r="K8" s="53">
        <f t="shared" si="4"/>
        <v>0</v>
      </c>
      <c r="L8" s="46"/>
      <c r="M8" s="55">
        <f t="shared" si="5"/>
        <v>0</v>
      </c>
      <c r="N8" s="60"/>
      <c r="P8" s="56"/>
      <c r="Q8" s="56"/>
      <c r="R8" s="33"/>
      <c r="S8" s="32"/>
      <c r="T8" s="32"/>
      <c r="U8" s="34"/>
      <c r="V8" s="32"/>
      <c r="W8" s="32"/>
      <c r="X8" s="32"/>
      <c r="Y8" s="32"/>
      <c r="Z8" s="32"/>
    </row>
    <row r="9">
      <c r="A9" s="57"/>
      <c r="B9" s="58"/>
      <c r="C9" s="59"/>
      <c r="D9" s="61"/>
      <c r="E9" s="62"/>
      <c r="F9" s="62"/>
      <c r="G9" s="63"/>
      <c r="H9" s="63"/>
      <c r="I9" s="64"/>
      <c r="J9" s="62"/>
      <c r="K9" s="62"/>
      <c r="L9" s="65"/>
      <c r="M9" s="55">
        <f t="shared" si="5"/>
        <v>0</v>
      </c>
      <c r="P9" s="56"/>
      <c r="Q9" s="56"/>
      <c r="R9" s="33"/>
      <c r="S9" s="32"/>
      <c r="T9" s="32"/>
      <c r="U9" s="34"/>
      <c r="V9" s="32"/>
      <c r="W9" s="32"/>
      <c r="X9" s="32"/>
      <c r="Y9" s="32"/>
      <c r="Z9" s="32"/>
    </row>
    <row r="10">
      <c r="A10" s="57"/>
      <c r="B10" s="58"/>
      <c r="C10" s="59"/>
      <c r="D10" s="61"/>
      <c r="E10" s="62">
        <f t="shared" ref="E10:F10" si="6">SUM(E6:E8)</f>
        <v>0</v>
      </c>
      <c r="F10" s="62">
        <f t="shared" si="6"/>
        <v>0</v>
      </c>
      <c r="G10" s="63"/>
      <c r="H10" s="63"/>
      <c r="I10" s="64"/>
      <c r="J10" s="62"/>
      <c r="K10" s="62">
        <f>SUM(K6:K8)</f>
        <v>0</v>
      </c>
      <c r="L10" s="66">
        <f>IFERROR(K10/E10, 0)</f>
        <v>0</v>
      </c>
      <c r="M10" s="55">
        <f t="shared" si="5"/>
        <v>0</v>
      </c>
      <c r="P10" s="56"/>
      <c r="Q10" s="56"/>
      <c r="R10" s="33"/>
      <c r="S10" s="32"/>
      <c r="T10" s="32"/>
      <c r="U10" s="34"/>
      <c r="V10" s="32"/>
      <c r="W10" s="32"/>
      <c r="X10" s="32"/>
      <c r="Y10" s="32"/>
      <c r="Z10" s="32"/>
    </row>
    <row r="11">
      <c r="A11" s="73"/>
      <c r="B11" s="74"/>
      <c r="C11" s="75"/>
      <c r="D11" s="76"/>
      <c r="E11" s="76"/>
      <c r="F11" s="76"/>
      <c r="G11" s="75"/>
      <c r="H11" s="75"/>
      <c r="I11" s="75"/>
      <c r="J11" s="75"/>
      <c r="K11" s="76"/>
      <c r="L11" s="77"/>
      <c r="M11" s="55">
        <f t="shared" si="5"/>
        <v>0</v>
      </c>
      <c r="N11" s="32"/>
      <c r="O11" s="33"/>
      <c r="P11" s="32"/>
      <c r="Q11" s="32"/>
      <c r="R11" s="33"/>
      <c r="S11" s="32"/>
      <c r="T11" s="32"/>
      <c r="U11" s="34"/>
      <c r="V11" s="32"/>
      <c r="W11" s="32"/>
      <c r="X11" s="32"/>
      <c r="Y11" s="32"/>
      <c r="Z11" s="32"/>
    </row>
    <row r="12">
      <c r="A12" s="78"/>
      <c r="B12" s="79"/>
      <c r="C12" s="79"/>
      <c r="D12" s="80"/>
      <c r="E12" s="81"/>
      <c r="F12" s="81"/>
      <c r="G12" s="79"/>
      <c r="H12" s="82"/>
      <c r="I12" s="82"/>
      <c r="L12" s="79"/>
      <c r="M12" s="55">
        <f t="shared" si="5"/>
        <v>0</v>
      </c>
      <c r="N12" s="32"/>
      <c r="O12" s="33"/>
      <c r="P12" s="32"/>
      <c r="Q12" s="32"/>
      <c r="R12" s="33"/>
      <c r="S12" s="32"/>
      <c r="T12" s="32"/>
      <c r="U12" s="34"/>
      <c r="V12" s="32"/>
      <c r="W12" s="32"/>
      <c r="X12" s="32"/>
      <c r="Y12" s="32"/>
      <c r="Z12" s="32"/>
    </row>
    <row r="13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55">
        <f t="shared" si="5"/>
        <v>0</v>
      </c>
      <c r="N13" s="32"/>
      <c r="O13" s="33"/>
      <c r="P13" s="32"/>
      <c r="Q13" s="32"/>
      <c r="R13" s="33"/>
      <c r="S13" s="32"/>
      <c r="T13" s="32"/>
      <c r="U13" s="34"/>
      <c r="V13" s="32"/>
      <c r="W13" s="32"/>
      <c r="X13" s="32"/>
      <c r="Y13" s="32"/>
      <c r="Z13" s="32"/>
    </row>
    <row r="14">
      <c r="A14" s="83"/>
      <c r="B14" s="84"/>
      <c r="C14" s="85"/>
      <c r="D14" s="86"/>
      <c r="E14" s="84"/>
      <c r="F14" s="87"/>
      <c r="G14" s="76"/>
      <c r="H14" s="79"/>
      <c r="I14" s="87"/>
      <c r="J14" s="84"/>
      <c r="K14" s="84"/>
      <c r="L14" s="77"/>
      <c r="M14" s="55">
        <f t="shared" si="5"/>
        <v>0</v>
      </c>
      <c r="N14" s="32"/>
      <c r="O14" s="33"/>
      <c r="P14" s="32"/>
      <c r="Q14" s="32"/>
      <c r="R14" s="33"/>
      <c r="S14" s="32"/>
      <c r="T14" s="32"/>
      <c r="U14" s="34"/>
      <c r="V14" s="32"/>
      <c r="W14" s="32"/>
      <c r="X14" s="32"/>
      <c r="Y14" s="32"/>
      <c r="Z14" s="32"/>
    </row>
    <row r="15">
      <c r="A15" s="78"/>
      <c r="B15" s="87"/>
      <c r="C15" s="88"/>
      <c r="D15" s="89"/>
      <c r="E15" s="90"/>
      <c r="F15" s="90"/>
      <c r="G15" s="76"/>
      <c r="H15" s="76"/>
      <c r="I15" s="91"/>
      <c r="J15" s="90"/>
      <c r="K15" s="90"/>
      <c r="L15" s="77"/>
      <c r="M15" s="55">
        <f t="shared" si="5"/>
        <v>0</v>
      </c>
      <c r="N15" s="32"/>
      <c r="O15" s="33"/>
      <c r="P15" s="32"/>
      <c r="Q15" s="32"/>
      <c r="R15" s="33"/>
      <c r="S15" s="32"/>
      <c r="T15" s="32"/>
      <c r="U15" s="34"/>
      <c r="V15" s="32"/>
      <c r="W15" s="32"/>
      <c r="X15" s="32"/>
      <c r="Y15" s="32"/>
      <c r="Z15" s="32"/>
    </row>
    <row r="16">
      <c r="A16" s="78"/>
      <c r="B16" s="87"/>
      <c r="C16" s="88"/>
      <c r="D16" s="89"/>
      <c r="E16" s="90"/>
      <c r="F16" s="90"/>
      <c r="G16" s="76"/>
      <c r="H16" s="76"/>
      <c r="I16" s="91"/>
      <c r="J16" s="90"/>
      <c r="K16" s="90"/>
      <c r="L16" s="77"/>
      <c r="M16" s="55">
        <f t="shared" si="5"/>
        <v>0</v>
      </c>
      <c r="N16" s="32"/>
      <c r="O16" s="33"/>
      <c r="P16" s="32"/>
      <c r="Q16" s="32"/>
      <c r="R16" s="33"/>
      <c r="S16" s="32"/>
      <c r="T16" s="32"/>
      <c r="U16" s="34"/>
      <c r="V16" s="32"/>
      <c r="W16" s="32"/>
      <c r="X16" s="32"/>
      <c r="Y16" s="32"/>
      <c r="Z16" s="32"/>
    </row>
    <row r="17">
      <c r="A17" s="92"/>
      <c r="B17" s="93"/>
      <c r="C17" s="94"/>
      <c r="D17" s="89"/>
      <c r="E17" s="90"/>
      <c r="F17" s="90"/>
      <c r="G17" s="76"/>
      <c r="H17" s="76"/>
      <c r="I17" s="91"/>
      <c r="J17" s="90"/>
      <c r="K17" s="90"/>
      <c r="L17" s="77"/>
      <c r="M17" s="55">
        <f t="shared" si="5"/>
        <v>0</v>
      </c>
      <c r="N17" s="32"/>
      <c r="O17" s="33"/>
      <c r="P17" s="32"/>
      <c r="Q17" s="32"/>
      <c r="R17" s="33"/>
      <c r="S17" s="32"/>
      <c r="T17" s="32"/>
      <c r="U17" s="34"/>
      <c r="V17" s="32"/>
      <c r="W17" s="32"/>
      <c r="X17" s="32"/>
      <c r="Y17" s="32"/>
      <c r="Z17" s="32"/>
    </row>
    <row r="18">
      <c r="A18" s="92"/>
      <c r="B18" s="93"/>
      <c r="C18" s="94"/>
      <c r="D18" s="89"/>
      <c r="E18" s="90"/>
      <c r="F18" s="90"/>
      <c r="G18" s="76"/>
      <c r="H18" s="76"/>
      <c r="I18" s="91"/>
      <c r="J18" s="90"/>
      <c r="K18" s="90"/>
      <c r="L18" s="77"/>
      <c r="M18" s="55">
        <f t="shared" si="5"/>
        <v>0</v>
      </c>
      <c r="N18" s="32"/>
      <c r="O18" s="33"/>
      <c r="P18" s="32"/>
      <c r="Q18" s="32"/>
      <c r="R18" s="33"/>
      <c r="S18" s="32"/>
      <c r="T18" s="32"/>
      <c r="U18" s="34"/>
      <c r="V18" s="32"/>
      <c r="W18" s="32"/>
      <c r="X18" s="32"/>
      <c r="Y18" s="32"/>
      <c r="Z18" s="32"/>
    </row>
    <row r="19">
      <c r="A19" s="92"/>
      <c r="B19" s="93"/>
      <c r="C19" s="94"/>
      <c r="D19" s="89"/>
      <c r="E19" s="90"/>
      <c r="F19" s="90"/>
      <c r="G19" s="76"/>
      <c r="H19" s="76"/>
      <c r="I19" s="91"/>
      <c r="J19" s="90"/>
      <c r="K19" s="90"/>
      <c r="L19" s="77"/>
      <c r="M19" s="55">
        <f t="shared" si="5"/>
        <v>0</v>
      </c>
      <c r="N19" s="32"/>
      <c r="O19" s="33"/>
      <c r="P19" s="32"/>
      <c r="Q19" s="32"/>
      <c r="R19" s="33"/>
      <c r="S19" s="32"/>
      <c r="T19" s="32"/>
      <c r="U19" s="34"/>
      <c r="V19" s="32"/>
      <c r="W19" s="32"/>
      <c r="X19" s="32"/>
      <c r="Y19" s="32"/>
      <c r="Z19" s="32"/>
    </row>
    <row r="20">
      <c r="A20" s="95"/>
      <c r="B20" s="86"/>
      <c r="C20" s="96"/>
      <c r="D20" s="89"/>
      <c r="E20" s="90"/>
      <c r="F20" s="90"/>
      <c r="G20" s="76"/>
      <c r="H20" s="76"/>
      <c r="I20" s="91"/>
      <c r="J20" s="90"/>
      <c r="K20" s="90"/>
      <c r="L20" s="97"/>
      <c r="M20" s="55">
        <f t="shared" si="5"/>
        <v>0</v>
      </c>
      <c r="N20" s="32"/>
      <c r="O20" s="33"/>
      <c r="P20" s="32"/>
      <c r="Q20" s="32"/>
      <c r="R20" s="33"/>
      <c r="S20" s="32"/>
      <c r="T20" s="32"/>
      <c r="U20" s="34"/>
      <c r="V20" s="32"/>
      <c r="W20" s="32"/>
      <c r="X20" s="32"/>
      <c r="Y20" s="32"/>
      <c r="Z20" s="32"/>
    </row>
    <row r="21">
      <c r="A21" s="95"/>
      <c r="B21" s="86"/>
      <c r="C21" s="96"/>
      <c r="D21" s="89"/>
      <c r="E21" s="90"/>
      <c r="F21" s="90"/>
      <c r="G21" s="76"/>
      <c r="H21" s="76"/>
      <c r="I21" s="91"/>
      <c r="J21" s="90"/>
      <c r="K21" s="90"/>
      <c r="L21" s="98"/>
      <c r="M21" s="55">
        <f t="shared" si="5"/>
        <v>0</v>
      </c>
      <c r="N21" s="32"/>
      <c r="O21" s="33"/>
      <c r="P21" s="32"/>
      <c r="Q21" s="32"/>
      <c r="R21" s="33"/>
      <c r="S21" s="32"/>
      <c r="T21" s="32"/>
      <c r="U21" s="34"/>
      <c r="V21" s="32"/>
      <c r="W21" s="32"/>
      <c r="X21" s="32"/>
      <c r="Y21" s="32"/>
      <c r="Z21" s="32"/>
    </row>
    <row r="22">
      <c r="A22" s="95"/>
      <c r="B22" s="86"/>
      <c r="C22" s="96"/>
      <c r="D22" s="89"/>
      <c r="E22" s="90"/>
      <c r="F22" s="90"/>
      <c r="G22" s="76"/>
      <c r="H22" s="76"/>
      <c r="I22" s="91"/>
      <c r="J22" s="90"/>
      <c r="K22" s="90"/>
      <c r="L22" s="98"/>
      <c r="M22" s="55">
        <f t="shared" si="5"/>
        <v>0</v>
      </c>
      <c r="N22" s="32"/>
      <c r="O22" s="33"/>
      <c r="P22" s="32"/>
      <c r="Q22" s="32"/>
      <c r="R22" s="33"/>
      <c r="S22" s="32"/>
      <c r="T22" s="32"/>
      <c r="U22" s="34"/>
      <c r="V22" s="32"/>
      <c r="W22" s="32"/>
      <c r="X22" s="32"/>
      <c r="Y22" s="32"/>
      <c r="Z22" s="32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55">
        <f t="shared" si="5"/>
        <v>0</v>
      </c>
      <c r="N23" s="56"/>
      <c r="P23" s="56"/>
      <c r="Q23" s="56"/>
      <c r="R23" s="33"/>
      <c r="S23" s="32"/>
      <c r="T23" s="32"/>
      <c r="U23" s="34"/>
      <c r="V23" s="32"/>
      <c r="W23" s="32"/>
      <c r="X23" s="32"/>
      <c r="Y23" s="32"/>
      <c r="Z23" s="32"/>
    </row>
    <row r="24">
      <c r="A24" s="78"/>
      <c r="B24" s="79"/>
      <c r="C24" s="79"/>
      <c r="D24" s="80"/>
      <c r="E24" s="81"/>
      <c r="F24" s="81"/>
      <c r="G24" s="79"/>
      <c r="H24" s="82"/>
      <c r="I24" s="82"/>
      <c r="L24" s="79"/>
      <c r="M24" s="55">
        <f t="shared" si="5"/>
        <v>0</v>
      </c>
      <c r="N24" s="32"/>
      <c r="O24" s="33"/>
      <c r="P24" s="32"/>
      <c r="Q24" s="32"/>
      <c r="R24" s="33"/>
      <c r="S24" s="32"/>
      <c r="T24" s="32"/>
      <c r="U24" s="34"/>
      <c r="V24" s="32"/>
      <c r="W24" s="32"/>
      <c r="X24" s="32"/>
      <c r="Y24" s="32"/>
      <c r="Z24" s="32"/>
    </row>
    <row r="25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55">
        <f t="shared" si="5"/>
        <v>0</v>
      </c>
      <c r="N25" s="32"/>
      <c r="O25" s="33"/>
      <c r="P25" s="32"/>
      <c r="Q25" s="32"/>
      <c r="R25" s="33"/>
      <c r="S25" s="32"/>
      <c r="T25" s="32"/>
      <c r="U25" s="34"/>
      <c r="V25" s="32"/>
      <c r="W25" s="32"/>
      <c r="X25" s="32"/>
      <c r="Y25" s="32"/>
      <c r="Z25" s="32"/>
    </row>
    <row r="26">
      <c r="A26" s="83"/>
      <c r="B26" s="84"/>
      <c r="C26" s="85"/>
      <c r="D26" s="86"/>
      <c r="E26" s="84"/>
      <c r="F26" s="87"/>
      <c r="G26" s="76"/>
      <c r="H26" s="79"/>
      <c r="I26" s="87"/>
      <c r="J26" s="84"/>
      <c r="K26" s="84"/>
      <c r="L26" s="77"/>
      <c r="M26" s="55">
        <f t="shared" si="5"/>
        <v>0</v>
      </c>
      <c r="N26" s="32"/>
      <c r="O26" s="33"/>
      <c r="P26" s="32"/>
      <c r="Q26" s="32"/>
      <c r="R26" s="33"/>
      <c r="S26" s="32"/>
      <c r="T26" s="32"/>
      <c r="U26" s="34"/>
      <c r="V26" s="32"/>
      <c r="W26" s="32"/>
      <c r="X26" s="32"/>
      <c r="Y26" s="32"/>
      <c r="Z26" s="32"/>
    </row>
    <row r="27">
      <c r="A27" s="78"/>
      <c r="B27" s="87"/>
      <c r="C27" s="88"/>
      <c r="D27" s="89"/>
      <c r="E27" s="90"/>
      <c r="F27" s="90"/>
      <c r="G27" s="76"/>
      <c r="H27" s="76"/>
      <c r="I27" s="91"/>
      <c r="J27" s="90"/>
      <c r="K27" s="90"/>
      <c r="L27" s="77"/>
      <c r="M27" s="55">
        <f t="shared" si="5"/>
        <v>0</v>
      </c>
      <c r="N27" s="32"/>
      <c r="O27" s="33"/>
      <c r="P27" s="32"/>
      <c r="Q27" s="32"/>
      <c r="R27" s="33"/>
      <c r="S27" s="32"/>
      <c r="T27" s="32"/>
      <c r="U27" s="34"/>
      <c r="V27" s="32"/>
      <c r="W27" s="32"/>
      <c r="X27" s="32"/>
      <c r="Y27" s="32"/>
      <c r="Z27" s="32"/>
    </row>
    <row r="28">
      <c r="A28" s="78"/>
      <c r="B28" s="87"/>
      <c r="C28" s="88"/>
      <c r="D28" s="89"/>
      <c r="E28" s="90"/>
      <c r="F28" s="90"/>
      <c r="G28" s="76"/>
      <c r="H28" s="76"/>
      <c r="I28" s="91"/>
      <c r="J28" s="90"/>
      <c r="K28" s="90"/>
      <c r="L28" s="77"/>
      <c r="M28" s="55">
        <f t="shared" si="5"/>
        <v>0</v>
      </c>
      <c r="N28" s="32"/>
      <c r="O28" s="33"/>
      <c r="P28" s="32"/>
      <c r="Q28" s="32"/>
      <c r="R28" s="33"/>
      <c r="S28" s="32"/>
      <c r="T28" s="32"/>
      <c r="U28" s="34"/>
      <c r="V28" s="32"/>
      <c r="W28" s="32"/>
      <c r="X28" s="32"/>
      <c r="Y28" s="32"/>
      <c r="Z28" s="32"/>
    </row>
    <row r="29">
      <c r="A29" s="92"/>
      <c r="B29" s="93"/>
      <c r="C29" s="94"/>
      <c r="D29" s="89"/>
      <c r="E29" s="90"/>
      <c r="F29" s="90"/>
      <c r="G29" s="76"/>
      <c r="H29" s="76"/>
      <c r="I29" s="91"/>
      <c r="J29" s="90"/>
      <c r="K29" s="90"/>
      <c r="L29" s="77"/>
      <c r="M29" s="55">
        <f t="shared" si="5"/>
        <v>0</v>
      </c>
      <c r="N29" s="32"/>
      <c r="O29" s="33"/>
      <c r="P29" s="32"/>
      <c r="Q29" s="32"/>
      <c r="R29" s="33"/>
      <c r="S29" s="32"/>
      <c r="T29" s="32"/>
      <c r="U29" s="34"/>
      <c r="V29" s="32"/>
      <c r="W29" s="32"/>
      <c r="X29" s="32"/>
      <c r="Y29" s="32"/>
      <c r="Z29" s="32"/>
    </row>
    <row r="30">
      <c r="A30" s="92"/>
      <c r="B30" s="93"/>
      <c r="C30" s="94"/>
      <c r="D30" s="89"/>
      <c r="E30" s="90"/>
      <c r="F30" s="90"/>
      <c r="G30" s="76"/>
      <c r="H30" s="76"/>
      <c r="I30" s="91"/>
      <c r="J30" s="90"/>
      <c r="K30" s="90"/>
      <c r="L30" s="77"/>
      <c r="M30" s="55">
        <f t="shared" si="5"/>
        <v>0</v>
      </c>
      <c r="N30" s="32"/>
      <c r="O30" s="33"/>
      <c r="P30" s="32"/>
      <c r="Q30" s="32"/>
      <c r="R30" s="33"/>
      <c r="S30" s="32"/>
      <c r="T30" s="32"/>
      <c r="U30" s="34"/>
      <c r="V30" s="32"/>
      <c r="W30" s="32"/>
      <c r="X30" s="32"/>
      <c r="Y30" s="32"/>
      <c r="Z30" s="32"/>
    </row>
    <row r="31">
      <c r="A31" s="92"/>
      <c r="B31" s="93"/>
      <c r="C31" s="94"/>
      <c r="D31" s="89"/>
      <c r="E31" s="90"/>
      <c r="F31" s="90"/>
      <c r="G31" s="76"/>
      <c r="H31" s="76"/>
      <c r="I31" s="91"/>
      <c r="J31" s="90"/>
      <c r="K31" s="90"/>
      <c r="L31" s="98"/>
      <c r="M31" s="55">
        <f t="shared" si="5"/>
        <v>0</v>
      </c>
      <c r="N31" s="32"/>
      <c r="O31" s="33"/>
      <c r="P31" s="32"/>
      <c r="Q31" s="32"/>
      <c r="R31" s="33"/>
      <c r="S31" s="32"/>
      <c r="T31" s="32"/>
      <c r="U31" s="34"/>
      <c r="V31" s="32"/>
      <c r="W31" s="32"/>
      <c r="X31" s="32"/>
      <c r="Y31" s="32"/>
      <c r="Z31" s="32"/>
    </row>
    <row r="32">
      <c r="A32" s="92"/>
      <c r="B32" s="93"/>
      <c r="C32" s="94"/>
      <c r="D32" s="89"/>
      <c r="E32" s="90"/>
      <c r="F32" s="90"/>
      <c r="G32" s="76"/>
      <c r="H32" s="76"/>
      <c r="I32" s="91"/>
      <c r="J32" s="90"/>
      <c r="K32" s="90"/>
      <c r="L32" s="97"/>
      <c r="M32" s="55">
        <f t="shared" si="5"/>
        <v>0</v>
      </c>
      <c r="N32" s="32"/>
      <c r="O32" s="33"/>
      <c r="P32" s="32"/>
      <c r="Q32" s="32"/>
      <c r="R32" s="33"/>
      <c r="S32" s="32"/>
      <c r="T32" s="32"/>
      <c r="U32" s="34"/>
      <c r="V32" s="32"/>
      <c r="W32" s="32"/>
      <c r="X32" s="32"/>
      <c r="Y32" s="32"/>
      <c r="Z32" s="32"/>
    </row>
    <row r="33">
      <c r="A33" s="95"/>
      <c r="B33" s="86"/>
      <c r="C33" s="96"/>
      <c r="D33" s="90"/>
      <c r="E33" s="76"/>
      <c r="F33" s="76"/>
      <c r="G33" s="75"/>
      <c r="H33" s="75"/>
      <c r="I33" s="75"/>
      <c r="J33" s="75"/>
      <c r="K33" s="76"/>
      <c r="L33" s="77"/>
      <c r="M33" s="55">
        <f t="shared" si="5"/>
        <v>0</v>
      </c>
      <c r="N33" s="32"/>
      <c r="O33" s="33"/>
      <c r="P33" s="32"/>
      <c r="Q33" s="32"/>
      <c r="R33" s="33"/>
      <c r="S33" s="32"/>
      <c r="T33" s="32"/>
      <c r="U33" s="34"/>
      <c r="V33" s="32"/>
      <c r="W33" s="32"/>
      <c r="X33" s="32"/>
      <c r="Y33" s="32"/>
      <c r="Z33" s="32"/>
    </row>
    <row r="34">
      <c r="A34" s="73"/>
      <c r="B34" s="74"/>
      <c r="C34" s="75"/>
      <c r="D34" s="76"/>
      <c r="E34" s="76"/>
      <c r="F34" s="76"/>
      <c r="G34" s="75"/>
      <c r="H34" s="75"/>
      <c r="I34" s="75"/>
      <c r="J34" s="75"/>
      <c r="K34" s="76"/>
      <c r="L34" s="77"/>
      <c r="M34" s="55">
        <f t="shared" si="5"/>
        <v>0</v>
      </c>
      <c r="N34" s="32"/>
      <c r="O34" s="33"/>
      <c r="P34" s="32"/>
      <c r="Q34" s="32"/>
      <c r="R34" s="33"/>
      <c r="S34" s="32"/>
      <c r="T34" s="32"/>
      <c r="U34" s="34"/>
      <c r="V34" s="32"/>
      <c r="W34" s="32"/>
      <c r="X34" s="32"/>
      <c r="Y34" s="32"/>
      <c r="Z34" s="32"/>
    </row>
    <row r="35">
      <c r="A35" s="73"/>
      <c r="B35" s="74"/>
      <c r="C35" s="75"/>
      <c r="D35" s="76"/>
      <c r="E35" s="76"/>
      <c r="F35" s="76"/>
      <c r="G35" s="75"/>
      <c r="H35" s="75"/>
      <c r="I35" s="75"/>
      <c r="J35" s="75"/>
      <c r="K35" s="76"/>
      <c r="L35" s="77"/>
      <c r="M35" s="55">
        <f t="shared" si="5"/>
        <v>0</v>
      </c>
      <c r="N35" s="32"/>
      <c r="O35" s="33"/>
      <c r="P35" s="32"/>
      <c r="Q35" s="32"/>
      <c r="R35" s="33"/>
      <c r="S35" s="32"/>
      <c r="T35" s="32"/>
      <c r="U35" s="34"/>
      <c r="V35" s="32"/>
      <c r="W35" s="32"/>
      <c r="X35" s="32"/>
      <c r="Y35" s="32"/>
      <c r="Z35" s="32"/>
    </row>
    <row r="36" ht="15.7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55">
        <f t="shared" si="5"/>
        <v>0</v>
      </c>
      <c r="N36" s="33"/>
      <c r="O36" s="33"/>
      <c r="P36" s="33"/>
      <c r="Q36" s="32"/>
      <c r="R36" s="100"/>
      <c r="S36" s="32"/>
      <c r="T36" s="32"/>
      <c r="U36" s="34"/>
      <c r="V36" s="32"/>
      <c r="W36" s="32"/>
      <c r="X36" s="32"/>
      <c r="Y36" s="32"/>
      <c r="Z36" s="32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55">
        <f t="shared" si="5"/>
        <v>0</v>
      </c>
      <c r="N37" s="33"/>
      <c r="O37" s="33"/>
      <c r="P37" s="33"/>
      <c r="Q37" s="32"/>
      <c r="R37" s="100"/>
      <c r="S37" s="32"/>
      <c r="T37" s="32"/>
      <c r="U37" s="34"/>
      <c r="V37" s="32"/>
      <c r="W37" s="32"/>
      <c r="X37" s="32"/>
      <c r="Y37" s="32"/>
      <c r="Z37" s="32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55">
        <f t="shared" si="5"/>
        <v>0</v>
      </c>
      <c r="N38" s="33"/>
      <c r="O38" s="33"/>
      <c r="P38" s="33"/>
      <c r="Q38" s="32"/>
      <c r="R38" s="33"/>
      <c r="S38" s="32"/>
      <c r="T38" s="32"/>
      <c r="U38" s="34"/>
      <c r="X38" s="32"/>
      <c r="Y38" s="32"/>
      <c r="Z38" s="32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55">
        <f t="shared" si="5"/>
        <v>0</v>
      </c>
      <c r="N39" s="33"/>
      <c r="O39" s="33"/>
      <c r="P39" s="33"/>
      <c r="Q39" s="32"/>
      <c r="R39" s="33"/>
      <c r="S39" s="32"/>
      <c r="T39" s="32"/>
      <c r="U39" s="34"/>
      <c r="V39" s="32"/>
      <c r="W39" s="100"/>
      <c r="X39" s="32"/>
      <c r="Y39" s="32"/>
      <c r="Z39" s="32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55">
        <f t="shared" si="5"/>
        <v>0</v>
      </c>
      <c r="N40" s="33"/>
      <c r="O40" s="33"/>
      <c r="P40" s="33"/>
      <c r="Q40" s="32"/>
      <c r="R40" s="33"/>
      <c r="S40" s="32"/>
      <c r="T40" s="32"/>
      <c r="U40" s="34"/>
      <c r="V40" s="32"/>
      <c r="W40" s="100"/>
      <c r="X40" s="32"/>
      <c r="Y40" s="32"/>
      <c r="Z40" s="32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55">
        <f t="shared" si="5"/>
        <v>0</v>
      </c>
      <c r="N41" s="33"/>
      <c r="O41" s="33"/>
      <c r="P41" s="33"/>
      <c r="Q41" s="32"/>
      <c r="R41" s="33"/>
      <c r="S41" s="32"/>
      <c r="T41" s="32"/>
      <c r="U41" s="34"/>
      <c r="V41" s="32"/>
      <c r="W41" s="32"/>
      <c r="X41" s="32"/>
      <c r="Y41" s="32"/>
      <c r="Z41" s="32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55">
        <f t="shared" si="5"/>
        <v>0</v>
      </c>
      <c r="N42" s="33"/>
      <c r="O42" s="33"/>
      <c r="P42" s="33"/>
      <c r="Q42" s="32"/>
      <c r="R42" s="33"/>
      <c r="S42" s="32"/>
      <c r="T42" s="32"/>
      <c r="U42" s="34"/>
      <c r="V42" s="32"/>
      <c r="W42" s="32"/>
      <c r="X42" s="32"/>
      <c r="Y42" s="32"/>
      <c r="Z42" s="32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55">
        <f t="shared" si="5"/>
        <v>0</v>
      </c>
      <c r="N43" s="33"/>
      <c r="O43" s="33"/>
      <c r="P43" s="33"/>
      <c r="Q43" s="32"/>
      <c r="R43" s="33"/>
      <c r="S43" s="32"/>
      <c r="T43" s="32"/>
      <c r="U43" s="34"/>
      <c r="V43" s="32"/>
      <c r="W43" s="32"/>
      <c r="X43" s="32"/>
      <c r="Y43" s="32"/>
      <c r="Z43" s="32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55">
        <f t="shared" si="5"/>
        <v>0</v>
      </c>
      <c r="N44" s="33"/>
      <c r="O44" s="33"/>
      <c r="P44" s="33"/>
      <c r="Q44" s="32"/>
      <c r="R44" s="33"/>
      <c r="S44" s="32"/>
      <c r="T44" s="32"/>
      <c r="U44" s="34"/>
      <c r="V44" s="32"/>
      <c r="W44" s="32"/>
      <c r="X44" s="32"/>
      <c r="Y44" s="32"/>
      <c r="Z44" s="32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55">
        <f t="shared" si="5"/>
        <v>0</v>
      </c>
      <c r="N45" s="33"/>
      <c r="O45" s="33"/>
      <c r="P45" s="33"/>
      <c r="Q45" s="32"/>
      <c r="R45" s="33"/>
      <c r="S45" s="32"/>
      <c r="T45" s="32"/>
      <c r="U45" s="34"/>
      <c r="V45" s="32"/>
      <c r="W45" s="32"/>
      <c r="X45" s="32"/>
      <c r="Y45" s="32"/>
      <c r="Z45" s="32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55">
        <f t="shared" si="5"/>
        <v>0</v>
      </c>
      <c r="N46" s="33"/>
      <c r="O46" s="33"/>
      <c r="P46" s="33"/>
      <c r="Q46" s="32"/>
      <c r="R46" s="33"/>
      <c r="S46" s="32"/>
      <c r="T46" s="32"/>
      <c r="U46" s="34"/>
      <c r="V46" s="32"/>
      <c r="W46" s="32"/>
      <c r="X46" s="32"/>
      <c r="Y46" s="32"/>
      <c r="Z46" s="32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55">
        <f t="shared" si="5"/>
        <v>0</v>
      </c>
      <c r="N47" s="33"/>
      <c r="O47" s="33"/>
      <c r="P47" s="33"/>
      <c r="Q47" s="32"/>
      <c r="R47" s="33"/>
      <c r="S47" s="32"/>
      <c r="T47" s="32"/>
      <c r="U47" s="34"/>
      <c r="V47" s="32"/>
      <c r="W47" s="32"/>
      <c r="X47" s="32"/>
      <c r="Y47" s="32"/>
      <c r="Z47" s="32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55">
        <f t="shared" si="5"/>
        <v>0</v>
      </c>
      <c r="N48" s="33"/>
      <c r="O48" s="33"/>
      <c r="P48" s="33"/>
      <c r="Q48" s="32"/>
      <c r="R48" s="33"/>
      <c r="S48" s="32"/>
      <c r="T48" s="32"/>
      <c r="U48" s="34"/>
      <c r="V48" s="32"/>
      <c r="W48" s="32"/>
      <c r="X48" s="32"/>
      <c r="Y48" s="32"/>
      <c r="Z48" s="32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55">
        <f t="shared" si="5"/>
        <v>0</v>
      </c>
      <c r="N49" s="33"/>
      <c r="O49" s="33"/>
      <c r="P49" s="33"/>
      <c r="Q49" s="32"/>
      <c r="R49" s="33"/>
      <c r="S49" s="32"/>
      <c r="T49" s="32"/>
      <c r="U49" s="34"/>
      <c r="V49" s="32"/>
      <c r="W49" s="32"/>
      <c r="X49" s="32"/>
      <c r="Y49" s="32"/>
      <c r="Z49" s="32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55">
        <f t="shared" si="5"/>
        <v>0</v>
      </c>
      <c r="N50" s="33"/>
      <c r="O50" s="33"/>
      <c r="P50" s="33"/>
      <c r="Q50" s="32"/>
      <c r="R50" s="33"/>
      <c r="S50" s="32"/>
      <c r="T50" s="32"/>
      <c r="U50" s="34"/>
      <c r="V50" s="32"/>
      <c r="W50" s="32"/>
      <c r="X50" s="32"/>
      <c r="Y50" s="32"/>
      <c r="Z50" s="32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55">
        <f t="shared" si="5"/>
        <v>0</v>
      </c>
      <c r="N51" s="33"/>
      <c r="O51" s="33"/>
      <c r="P51" s="33"/>
      <c r="Q51" s="32"/>
      <c r="R51" s="33"/>
      <c r="S51" s="32"/>
      <c r="T51" s="32"/>
      <c r="U51" s="34"/>
      <c r="V51" s="32"/>
      <c r="W51" s="32"/>
      <c r="X51" s="32"/>
      <c r="Y51" s="32"/>
      <c r="Z51" s="32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55">
        <f t="shared" si="5"/>
        <v>0</v>
      </c>
      <c r="N52" s="33"/>
      <c r="O52" s="33"/>
      <c r="P52" s="33"/>
      <c r="Q52" s="32"/>
      <c r="R52" s="33"/>
      <c r="S52" s="32"/>
      <c r="T52" s="32"/>
      <c r="U52" s="34"/>
      <c r="V52" s="32"/>
      <c r="W52" s="32"/>
      <c r="X52" s="32"/>
      <c r="Y52" s="32"/>
      <c r="Z52" s="32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55">
        <f t="shared" si="5"/>
        <v>0</v>
      </c>
      <c r="N53" s="33"/>
      <c r="O53" s="33"/>
      <c r="P53" s="33"/>
      <c r="Q53" s="32"/>
      <c r="R53" s="33"/>
      <c r="S53" s="32"/>
      <c r="T53" s="32"/>
      <c r="U53" s="34"/>
      <c r="V53" s="32"/>
      <c r="W53" s="32"/>
      <c r="X53" s="32"/>
      <c r="Y53" s="32"/>
      <c r="Z53" s="32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55">
        <f t="shared" si="5"/>
        <v>0</v>
      </c>
      <c r="N54" s="33"/>
      <c r="O54" s="33"/>
      <c r="P54" s="33"/>
      <c r="Q54" s="32"/>
      <c r="R54" s="33"/>
      <c r="S54" s="32"/>
      <c r="T54" s="32"/>
      <c r="U54" s="34"/>
      <c r="V54" s="32"/>
      <c r="W54" s="32"/>
      <c r="X54" s="32"/>
      <c r="Y54" s="32"/>
      <c r="Z54" s="32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55">
        <f t="shared" si="5"/>
        <v>0</v>
      </c>
      <c r="N55" s="33"/>
      <c r="O55" s="33"/>
      <c r="P55" s="33"/>
      <c r="Q55" s="32"/>
      <c r="R55" s="33"/>
      <c r="S55" s="32"/>
      <c r="T55" s="32"/>
      <c r="U55" s="34"/>
      <c r="V55" s="32"/>
      <c r="W55" s="32"/>
      <c r="X55" s="32"/>
      <c r="Y55" s="32"/>
      <c r="Z55" s="32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55">
        <f t="shared" si="5"/>
        <v>0</v>
      </c>
      <c r="N56" s="33"/>
      <c r="O56" s="33"/>
      <c r="P56" s="33"/>
      <c r="Q56" s="32"/>
      <c r="R56" s="33"/>
      <c r="S56" s="32"/>
      <c r="T56" s="32"/>
      <c r="U56" s="34"/>
      <c r="V56" s="32"/>
      <c r="W56" s="32"/>
      <c r="X56" s="32"/>
      <c r="Y56" s="32"/>
      <c r="Z56" s="32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55">
        <f t="shared" si="5"/>
        <v>0</v>
      </c>
      <c r="N57" s="33"/>
      <c r="O57" s="33"/>
      <c r="P57" s="33"/>
      <c r="Q57" s="32"/>
      <c r="R57" s="33"/>
      <c r="S57" s="32"/>
      <c r="T57" s="32"/>
      <c r="U57" s="34"/>
      <c r="V57" s="32"/>
      <c r="W57" s="32"/>
      <c r="X57" s="32"/>
      <c r="Y57" s="32"/>
      <c r="Z57" s="32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55">
        <f t="shared" si="5"/>
        <v>0</v>
      </c>
      <c r="N58" s="33"/>
      <c r="O58" s="33"/>
      <c r="P58" s="33"/>
      <c r="Q58" s="32"/>
      <c r="R58" s="33"/>
      <c r="S58" s="32"/>
      <c r="T58" s="32"/>
      <c r="U58" s="34"/>
      <c r="V58" s="32"/>
      <c r="W58" s="32"/>
      <c r="X58" s="32"/>
      <c r="Y58" s="32"/>
      <c r="Z58" s="32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55">
        <f t="shared" si="5"/>
        <v>0</v>
      </c>
      <c r="N59" s="33"/>
      <c r="O59" s="33"/>
      <c r="P59" s="33"/>
      <c r="Q59" s="32"/>
      <c r="R59" s="33"/>
      <c r="S59" s="32"/>
      <c r="T59" s="32"/>
      <c r="U59" s="34"/>
      <c r="V59" s="32"/>
      <c r="W59" s="32"/>
      <c r="X59" s="32"/>
      <c r="Y59" s="32"/>
      <c r="Z59" s="32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55">
        <f t="shared" si="5"/>
        <v>0</v>
      </c>
      <c r="N60" s="33"/>
      <c r="O60" s="33"/>
      <c r="P60" s="33"/>
      <c r="Q60" s="32"/>
      <c r="R60" s="100"/>
      <c r="S60" s="32"/>
      <c r="T60" s="32"/>
      <c r="U60" s="34"/>
      <c r="V60" s="32"/>
      <c r="W60" s="32"/>
      <c r="X60" s="32"/>
      <c r="Y60" s="32"/>
      <c r="Z60" s="32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55">
        <f t="shared" si="5"/>
        <v>0</v>
      </c>
      <c r="N61" s="33"/>
      <c r="O61" s="33"/>
      <c r="P61" s="33"/>
      <c r="Q61" s="32"/>
      <c r="R61" s="33"/>
      <c r="S61" s="32"/>
      <c r="T61" s="32"/>
      <c r="U61" s="34"/>
      <c r="V61" s="32"/>
      <c r="W61" s="32"/>
      <c r="X61" s="32"/>
      <c r="Y61" s="32"/>
      <c r="Z61" s="32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55">
        <f t="shared" si="5"/>
        <v>0</v>
      </c>
      <c r="N62" s="33"/>
      <c r="O62" s="33"/>
      <c r="P62" s="33"/>
      <c r="Q62" s="32"/>
      <c r="R62" s="33"/>
      <c r="S62" s="32"/>
      <c r="T62" s="32"/>
      <c r="U62" s="34"/>
      <c r="V62" s="32"/>
      <c r="W62" s="32"/>
      <c r="X62" s="32"/>
      <c r="Y62" s="32"/>
      <c r="Z62" s="32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55">
        <f t="shared" si="5"/>
        <v>0</v>
      </c>
      <c r="N63" s="33"/>
      <c r="O63" s="33"/>
      <c r="P63" s="33"/>
      <c r="Q63" s="32"/>
      <c r="R63" s="33"/>
      <c r="S63" s="32"/>
      <c r="T63" s="32"/>
      <c r="U63" s="34"/>
      <c r="V63" s="32"/>
      <c r="W63" s="32"/>
      <c r="X63" s="32"/>
      <c r="Y63" s="32"/>
      <c r="Z63" s="32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55">
        <f t="shared" si="5"/>
        <v>0</v>
      </c>
      <c r="N64" s="33"/>
      <c r="O64" s="33"/>
      <c r="P64" s="33"/>
      <c r="Q64" s="32"/>
      <c r="R64" s="100"/>
      <c r="S64" s="32"/>
      <c r="T64" s="32"/>
      <c r="U64" s="34"/>
      <c r="V64" s="32"/>
      <c r="W64" s="32"/>
      <c r="X64" s="32"/>
      <c r="Y64" s="32"/>
      <c r="Z64" s="32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55">
        <f t="shared" si="5"/>
        <v>0</v>
      </c>
      <c r="N65" s="33"/>
      <c r="O65" s="33"/>
      <c r="P65" s="33"/>
      <c r="Q65" s="32"/>
      <c r="R65" s="100"/>
      <c r="S65" s="32"/>
      <c r="T65" s="32"/>
      <c r="U65" s="34"/>
      <c r="V65" s="32"/>
      <c r="W65" s="32"/>
      <c r="X65" s="32"/>
      <c r="Y65" s="32"/>
      <c r="Z65" s="32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55">
        <f t="shared" si="5"/>
        <v>0</v>
      </c>
      <c r="N66" s="33"/>
      <c r="O66" s="33"/>
      <c r="P66" s="33"/>
      <c r="Q66" s="32"/>
      <c r="R66" s="33"/>
      <c r="S66" s="32"/>
      <c r="T66" s="32"/>
      <c r="U66" s="34"/>
      <c r="V66" s="32"/>
      <c r="W66" s="32"/>
      <c r="X66" s="32"/>
      <c r="Y66" s="32"/>
      <c r="Z66" s="32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55">
        <f t="shared" si="5"/>
        <v>0</v>
      </c>
      <c r="N67" s="33"/>
      <c r="O67" s="33"/>
      <c r="P67" s="33"/>
      <c r="Q67" s="32"/>
      <c r="R67" s="33"/>
      <c r="S67" s="32"/>
      <c r="T67" s="32"/>
      <c r="U67" s="34"/>
      <c r="V67" s="32"/>
      <c r="W67" s="32"/>
      <c r="X67" s="32"/>
      <c r="Y67" s="32"/>
      <c r="Z67" s="32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55">
        <f t="shared" si="5"/>
        <v>0</v>
      </c>
      <c r="N68" s="33"/>
      <c r="O68" s="33"/>
      <c r="P68" s="33"/>
      <c r="Q68" s="32"/>
      <c r="R68" s="33"/>
      <c r="S68" s="32"/>
      <c r="T68" s="32"/>
      <c r="U68" s="34"/>
      <c r="V68" s="32"/>
      <c r="W68" s="32"/>
      <c r="X68" s="32"/>
      <c r="Y68" s="32"/>
      <c r="Z68" s="32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55">
        <f t="shared" si="5"/>
        <v>0</v>
      </c>
      <c r="N69" s="33"/>
      <c r="O69" s="33"/>
      <c r="P69" s="33"/>
      <c r="Q69" s="32"/>
      <c r="R69" s="33"/>
      <c r="S69" s="32"/>
      <c r="T69" s="32"/>
      <c r="U69" s="34"/>
      <c r="V69" s="32"/>
      <c r="W69" s="32"/>
      <c r="X69" s="32"/>
      <c r="Y69" s="32"/>
      <c r="Z69" s="32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55">
        <f t="shared" si="5"/>
        <v>0</v>
      </c>
      <c r="N70" s="33"/>
      <c r="O70" s="33"/>
      <c r="P70" s="33"/>
      <c r="Q70" s="32"/>
      <c r="R70" s="33"/>
      <c r="S70" s="32"/>
      <c r="T70" s="32"/>
      <c r="U70" s="34"/>
      <c r="V70" s="32"/>
      <c r="W70" s="32"/>
      <c r="X70" s="32"/>
      <c r="Y70" s="32"/>
      <c r="Z70" s="32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55">
        <f t="shared" si="5"/>
        <v>0</v>
      </c>
      <c r="N71" s="33"/>
      <c r="O71" s="33"/>
      <c r="P71" s="33"/>
      <c r="Q71" s="32"/>
      <c r="R71" s="33"/>
      <c r="S71" s="32"/>
      <c r="T71" s="32"/>
      <c r="U71" s="34"/>
      <c r="V71" s="32"/>
      <c r="W71" s="32"/>
      <c r="X71" s="32"/>
      <c r="Y71" s="32"/>
      <c r="Z71" s="32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55">
        <f t="shared" si="5"/>
        <v>0</v>
      </c>
      <c r="N72" s="33"/>
      <c r="O72" s="33"/>
      <c r="P72" s="33"/>
      <c r="Q72" s="32"/>
      <c r="R72" s="33"/>
      <c r="S72" s="32"/>
      <c r="T72" s="32"/>
      <c r="U72" s="34"/>
      <c r="V72" s="32"/>
      <c r="W72" s="32"/>
      <c r="X72" s="32"/>
      <c r="Y72" s="32"/>
      <c r="Z72" s="32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55">
        <f t="shared" si="5"/>
        <v>0</v>
      </c>
      <c r="N73" s="33"/>
      <c r="O73" s="33"/>
      <c r="P73" s="33"/>
      <c r="Q73" s="32"/>
      <c r="R73" s="33"/>
      <c r="S73" s="32"/>
      <c r="T73" s="32"/>
      <c r="U73" s="34"/>
      <c r="X73" s="32"/>
      <c r="Y73" s="32"/>
      <c r="Z73" s="32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55">
        <f t="shared" si="5"/>
        <v>0</v>
      </c>
      <c r="N74" s="33"/>
      <c r="O74" s="33"/>
      <c r="P74" s="33"/>
      <c r="Q74" s="32"/>
      <c r="R74" s="33"/>
      <c r="S74" s="32"/>
      <c r="T74" s="32"/>
      <c r="U74" s="34"/>
      <c r="V74" s="32"/>
      <c r="W74" s="100"/>
      <c r="X74" s="32"/>
      <c r="Y74" s="32"/>
      <c r="Z74" s="32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55">
        <f t="shared" si="5"/>
        <v>0</v>
      </c>
      <c r="N75" s="33"/>
      <c r="O75" s="33"/>
      <c r="P75" s="33"/>
      <c r="Q75" s="32"/>
      <c r="R75" s="33"/>
      <c r="S75" s="32"/>
      <c r="T75" s="32"/>
      <c r="U75" s="34"/>
      <c r="V75" s="32"/>
      <c r="W75" s="100"/>
      <c r="X75" s="32"/>
      <c r="Y75" s="32"/>
      <c r="Z75" s="32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55">
        <f t="shared" si="5"/>
        <v>0</v>
      </c>
      <c r="N76" s="33"/>
      <c r="O76" s="33"/>
      <c r="P76" s="33"/>
      <c r="Q76" s="32"/>
      <c r="R76" s="33"/>
      <c r="S76" s="32"/>
      <c r="T76" s="32"/>
      <c r="U76" s="34"/>
      <c r="V76" s="32"/>
      <c r="W76" s="32"/>
      <c r="X76" s="32"/>
      <c r="Y76" s="32"/>
      <c r="Z76" s="32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55">
        <f t="shared" si="5"/>
        <v>0</v>
      </c>
      <c r="N77" s="33"/>
      <c r="O77" s="33"/>
      <c r="P77" s="33"/>
      <c r="Q77" s="32"/>
      <c r="R77" s="33"/>
      <c r="S77" s="32"/>
      <c r="T77" s="32"/>
      <c r="U77" s="34"/>
      <c r="V77" s="32"/>
      <c r="W77" s="32"/>
      <c r="X77" s="32"/>
      <c r="Y77" s="32"/>
      <c r="Z77" s="32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55">
        <f t="shared" si="5"/>
        <v>0</v>
      </c>
      <c r="N78" s="33"/>
      <c r="O78" s="33"/>
      <c r="P78" s="33"/>
      <c r="Q78" s="32"/>
      <c r="R78" s="100"/>
      <c r="S78" s="32"/>
      <c r="T78" s="32"/>
      <c r="U78" s="34"/>
      <c r="V78" s="32"/>
      <c r="W78" s="32"/>
      <c r="X78" s="32"/>
      <c r="Y78" s="32"/>
      <c r="Z78" s="32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55">
        <f t="shared" si="5"/>
        <v>0</v>
      </c>
      <c r="N79" s="33"/>
      <c r="O79" s="33"/>
      <c r="P79" s="33"/>
      <c r="Q79" s="32"/>
      <c r="R79" s="33"/>
      <c r="S79" s="32"/>
      <c r="T79" s="32"/>
      <c r="U79" s="34"/>
      <c r="V79" s="32"/>
      <c r="W79" s="32"/>
      <c r="X79" s="32"/>
      <c r="Y79" s="32"/>
      <c r="Z79" s="32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55">
        <f t="shared" si="5"/>
        <v>0</v>
      </c>
      <c r="N80" s="33"/>
      <c r="O80" s="33"/>
      <c r="P80" s="33"/>
      <c r="Q80" s="32"/>
      <c r="R80" s="33"/>
      <c r="S80" s="32"/>
      <c r="T80" s="32"/>
      <c r="U80" s="34"/>
      <c r="V80" s="32"/>
      <c r="W80" s="32"/>
      <c r="X80" s="32"/>
      <c r="Y80" s="32"/>
      <c r="Z80" s="32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55">
        <f t="shared" si="5"/>
        <v>0</v>
      </c>
      <c r="N81" s="33"/>
      <c r="O81" s="33"/>
      <c r="P81" s="33"/>
      <c r="Q81" s="32"/>
      <c r="R81" s="33"/>
      <c r="S81" s="32"/>
      <c r="T81" s="32"/>
      <c r="U81" s="34"/>
      <c r="V81" s="32"/>
      <c r="W81" s="32"/>
      <c r="X81" s="32"/>
      <c r="Y81" s="32"/>
      <c r="Z81" s="32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55">
        <f t="shared" si="5"/>
        <v>0</v>
      </c>
      <c r="N82" s="33"/>
      <c r="O82" s="33"/>
      <c r="P82" s="33"/>
      <c r="Q82" s="32"/>
      <c r="R82" s="100"/>
      <c r="S82" s="32"/>
      <c r="T82" s="32"/>
      <c r="U82" s="34"/>
      <c r="V82" s="32"/>
      <c r="W82" s="32"/>
      <c r="X82" s="32"/>
      <c r="Y82" s="32"/>
      <c r="Z82" s="32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55">
        <f t="shared" si="5"/>
        <v>0</v>
      </c>
      <c r="N83" s="33"/>
      <c r="O83" s="33"/>
      <c r="P83" s="33"/>
      <c r="Q83" s="32"/>
      <c r="R83" s="100"/>
      <c r="S83" s="32"/>
      <c r="T83" s="32"/>
      <c r="U83" s="34"/>
      <c r="V83" s="32"/>
      <c r="W83" s="32"/>
      <c r="X83" s="32"/>
      <c r="Y83" s="32"/>
      <c r="Z83" s="32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55">
        <f t="shared" si="5"/>
        <v>0</v>
      </c>
      <c r="N84" s="33"/>
      <c r="O84" s="33"/>
      <c r="P84" s="33"/>
      <c r="Q84" s="32"/>
      <c r="R84" s="33"/>
      <c r="S84" s="32"/>
      <c r="T84" s="32"/>
      <c r="U84" s="34"/>
      <c r="V84" s="32"/>
      <c r="W84" s="32"/>
      <c r="X84" s="32"/>
      <c r="Y84" s="32"/>
      <c r="Z84" s="32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55">
        <f t="shared" si="5"/>
        <v>0</v>
      </c>
      <c r="N85" s="33"/>
      <c r="O85" s="33"/>
      <c r="P85" s="33"/>
      <c r="Q85" s="32"/>
      <c r="R85" s="33"/>
      <c r="S85" s="32"/>
      <c r="T85" s="32"/>
      <c r="U85" s="34"/>
      <c r="V85" s="32"/>
      <c r="W85" s="32"/>
      <c r="X85" s="32"/>
      <c r="Y85" s="32"/>
      <c r="Z85" s="32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55">
        <f t="shared" si="5"/>
        <v>0</v>
      </c>
      <c r="N86" s="33"/>
      <c r="O86" s="33"/>
      <c r="P86" s="33"/>
      <c r="Q86" s="32"/>
      <c r="R86" s="33"/>
      <c r="S86" s="32"/>
      <c r="T86" s="32"/>
      <c r="U86" s="34"/>
      <c r="V86" s="32"/>
      <c r="W86" s="32"/>
      <c r="X86" s="32"/>
      <c r="Y86" s="32"/>
      <c r="Z86" s="32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55">
        <f t="shared" si="5"/>
        <v>0</v>
      </c>
      <c r="N87" s="33"/>
      <c r="O87" s="33"/>
      <c r="P87" s="33"/>
      <c r="Q87" s="32"/>
      <c r="R87" s="33"/>
      <c r="S87" s="32"/>
      <c r="T87" s="32"/>
      <c r="U87" s="34"/>
      <c r="V87" s="32"/>
      <c r="W87" s="32"/>
      <c r="X87" s="32"/>
      <c r="Y87" s="32"/>
      <c r="Z87" s="32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55">
        <f t="shared" si="5"/>
        <v>0</v>
      </c>
      <c r="N88" s="33"/>
      <c r="O88" s="33"/>
      <c r="P88" s="33"/>
      <c r="Q88" s="32"/>
      <c r="R88" s="33"/>
      <c r="S88" s="32"/>
      <c r="T88" s="32"/>
      <c r="U88" s="34"/>
      <c r="V88" s="32"/>
      <c r="W88" s="32"/>
      <c r="X88" s="32"/>
      <c r="Y88" s="32"/>
      <c r="Z88" s="32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55">
        <f t="shared" si="5"/>
        <v>0</v>
      </c>
      <c r="N89" s="33"/>
      <c r="O89" s="33"/>
      <c r="P89" s="33"/>
      <c r="Q89" s="32"/>
      <c r="R89" s="33"/>
      <c r="S89" s="32"/>
      <c r="T89" s="32"/>
      <c r="U89" s="34"/>
      <c r="V89" s="32"/>
      <c r="W89" s="32"/>
      <c r="X89" s="32"/>
      <c r="Y89" s="32"/>
      <c r="Z89" s="32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55">
        <f t="shared" si="5"/>
        <v>0</v>
      </c>
      <c r="N90" s="33"/>
      <c r="O90" s="33"/>
      <c r="P90" s="33"/>
      <c r="Q90" s="32"/>
      <c r="R90" s="33"/>
      <c r="S90" s="32"/>
      <c r="T90" s="32"/>
      <c r="U90" s="34"/>
      <c r="V90" s="32"/>
      <c r="W90" s="32"/>
      <c r="X90" s="32"/>
      <c r="Y90" s="32"/>
      <c r="Z90" s="32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55">
        <f t="shared" si="5"/>
        <v>0</v>
      </c>
      <c r="N91" s="33"/>
      <c r="O91" s="33"/>
      <c r="P91" s="33"/>
      <c r="Q91" s="32"/>
      <c r="R91" s="33"/>
      <c r="S91" s="32"/>
      <c r="T91" s="32"/>
      <c r="U91" s="34"/>
      <c r="V91" s="32"/>
      <c r="W91" s="32"/>
      <c r="X91" s="32"/>
      <c r="Y91" s="32"/>
      <c r="Z91" s="32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55">
        <f t="shared" si="5"/>
        <v>0</v>
      </c>
      <c r="N92" s="33"/>
      <c r="O92" s="33"/>
      <c r="P92" s="33"/>
      <c r="Q92" s="32"/>
      <c r="R92" s="33"/>
      <c r="S92" s="32"/>
      <c r="T92" s="32"/>
      <c r="U92" s="34"/>
      <c r="V92" s="32"/>
      <c r="W92" s="32"/>
      <c r="X92" s="32"/>
      <c r="Y92" s="32"/>
      <c r="Z92" s="32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55">
        <f t="shared" si="5"/>
        <v>0</v>
      </c>
      <c r="N93" s="33"/>
      <c r="O93" s="33"/>
      <c r="P93" s="33"/>
      <c r="Q93" s="32"/>
      <c r="R93" s="100"/>
      <c r="S93" s="32"/>
      <c r="T93" s="32"/>
      <c r="U93" s="34"/>
      <c r="V93" s="32"/>
      <c r="W93" s="32"/>
      <c r="X93" s="32"/>
      <c r="Y93" s="32"/>
      <c r="Z93" s="32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55">
        <f t="shared" si="5"/>
        <v>0</v>
      </c>
      <c r="N94" s="33"/>
      <c r="O94" s="33"/>
      <c r="P94" s="33"/>
      <c r="Q94" s="32"/>
      <c r="R94" s="33"/>
      <c r="S94" s="32"/>
      <c r="T94" s="32"/>
      <c r="U94" s="34"/>
      <c r="V94" s="32"/>
      <c r="W94" s="32"/>
      <c r="X94" s="32"/>
      <c r="Y94" s="32"/>
      <c r="Z94" s="32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55">
        <f t="shared" si="5"/>
        <v>0</v>
      </c>
      <c r="N95" s="33"/>
      <c r="O95" s="33"/>
      <c r="P95" s="33"/>
      <c r="Q95" s="32"/>
      <c r="R95" s="33"/>
      <c r="S95" s="32"/>
      <c r="T95" s="32"/>
      <c r="U95" s="34"/>
      <c r="V95" s="32"/>
      <c r="W95" s="32"/>
      <c r="X95" s="32"/>
      <c r="Y95" s="32"/>
      <c r="Z95" s="32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55">
        <f t="shared" si="5"/>
        <v>0</v>
      </c>
      <c r="N96" s="33"/>
      <c r="O96" s="33"/>
      <c r="P96" s="33"/>
      <c r="Q96" s="32"/>
      <c r="R96" s="33"/>
      <c r="S96" s="32"/>
      <c r="T96" s="32"/>
      <c r="U96" s="34"/>
      <c r="V96" s="32"/>
      <c r="W96" s="32"/>
      <c r="X96" s="32"/>
      <c r="Y96" s="32"/>
      <c r="Z96" s="32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55">
        <f t="shared" si="5"/>
        <v>0</v>
      </c>
      <c r="N97" s="33"/>
      <c r="O97" s="33"/>
      <c r="P97" s="33"/>
      <c r="Q97" s="32"/>
      <c r="R97" s="33"/>
      <c r="S97" s="32"/>
      <c r="T97" s="32"/>
      <c r="U97" s="34"/>
      <c r="V97" s="32"/>
      <c r="W97" s="32"/>
      <c r="X97" s="32"/>
      <c r="Y97" s="32"/>
      <c r="Z97" s="32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55">
        <f t="shared" si="5"/>
        <v>0</v>
      </c>
      <c r="N98" s="33"/>
      <c r="O98" s="33"/>
      <c r="P98" s="33"/>
      <c r="Q98" s="32"/>
      <c r="R98" s="33"/>
      <c r="S98" s="32"/>
      <c r="T98" s="32"/>
      <c r="U98" s="34"/>
      <c r="V98" s="32"/>
      <c r="W98" s="32"/>
      <c r="X98" s="32"/>
      <c r="Y98" s="32"/>
      <c r="Z98" s="32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55">
        <f t="shared" si="5"/>
        <v>0</v>
      </c>
      <c r="N99" s="33"/>
      <c r="O99" s="33"/>
      <c r="P99" s="33"/>
      <c r="Q99" s="32"/>
      <c r="R99" s="100"/>
      <c r="S99" s="32"/>
      <c r="T99" s="32"/>
      <c r="U99" s="34"/>
      <c r="V99" s="32"/>
      <c r="W99" s="32"/>
      <c r="X99" s="32"/>
      <c r="Y99" s="32"/>
      <c r="Z99" s="32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55">
        <f t="shared" si="5"/>
        <v>0</v>
      </c>
      <c r="N100" s="33"/>
      <c r="O100" s="33"/>
      <c r="P100" s="33"/>
      <c r="Q100" s="32"/>
      <c r="R100" s="100"/>
      <c r="S100" s="32"/>
      <c r="T100" s="32"/>
      <c r="U100" s="34"/>
      <c r="V100" s="32"/>
      <c r="W100" s="32"/>
      <c r="X100" s="32"/>
      <c r="Y100" s="32"/>
      <c r="Z100" s="32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55">
        <f t="shared" si="5"/>
        <v>0</v>
      </c>
      <c r="N101" s="33"/>
      <c r="O101" s="33"/>
      <c r="P101" s="33"/>
      <c r="Q101" s="32"/>
      <c r="R101" s="33"/>
      <c r="S101" s="32"/>
      <c r="T101" s="32"/>
      <c r="U101" s="34"/>
      <c r="V101" s="32"/>
      <c r="W101" s="32"/>
      <c r="X101" s="32"/>
      <c r="Y101" s="32"/>
      <c r="Z101" s="32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55">
        <f t="shared" si="5"/>
        <v>0</v>
      </c>
      <c r="N102" s="33"/>
      <c r="O102" s="33"/>
      <c r="P102" s="33"/>
      <c r="Q102" s="32"/>
      <c r="R102" s="33"/>
      <c r="S102" s="32"/>
      <c r="T102" s="32"/>
      <c r="U102" s="34"/>
      <c r="V102" s="32"/>
      <c r="W102" s="32"/>
      <c r="X102" s="32"/>
      <c r="Y102" s="32"/>
      <c r="Z102" s="32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55">
        <f t="shared" si="5"/>
        <v>0</v>
      </c>
      <c r="N103" s="33"/>
      <c r="O103" s="33"/>
      <c r="P103" s="33"/>
      <c r="Q103" s="32"/>
      <c r="R103" s="33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55">
        <f t="shared" si="5"/>
        <v>0</v>
      </c>
      <c r="N104" s="33"/>
      <c r="O104" s="33"/>
      <c r="P104" s="33"/>
      <c r="Q104" s="32"/>
      <c r="R104" s="100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55">
        <f t="shared" si="5"/>
        <v>0</v>
      </c>
      <c r="N105" s="33"/>
      <c r="O105" s="33"/>
      <c r="P105" s="33"/>
      <c r="Q105" s="32"/>
      <c r="R105" s="33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55">
        <f t="shared" si="5"/>
        <v>0</v>
      </c>
      <c r="N106" s="33"/>
      <c r="O106" s="33"/>
      <c r="P106" s="33"/>
      <c r="Q106" s="32"/>
      <c r="R106" s="100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55">
        <f t="shared" si="5"/>
        <v>0</v>
      </c>
      <c r="N107" s="33"/>
      <c r="O107" s="33"/>
      <c r="P107" s="33"/>
      <c r="Q107" s="34"/>
      <c r="R107" s="33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55">
        <f t="shared" si="5"/>
        <v>0</v>
      </c>
      <c r="N108" s="33"/>
      <c r="O108" s="33"/>
      <c r="P108" s="33"/>
      <c r="Q108" s="34"/>
      <c r="R108" s="33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55">
        <f t="shared" si="5"/>
        <v>0</v>
      </c>
      <c r="N109" s="33"/>
      <c r="O109" s="33"/>
      <c r="P109" s="33"/>
      <c r="Q109" s="33"/>
      <c r="R109" s="33"/>
      <c r="S109" s="32"/>
      <c r="T109" s="32"/>
      <c r="U109" s="100"/>
      <c r="V109" s="32"/>
      <c r="W109" s="32"/>
      <c r="X109" s="32"/>
      <c r="Y109" s="32"/>
      <c r="Z109" s="32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55">
        <f t="shared" si="5"/>
        <v>0</v>
      </c>
      <c r="N110" s="33"/>
      <c r="O110" s="33"/>
      <c r="P110" s="33"/>
      <c r="Q110" s="32"/>
      <c r="R110" s="100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55">
        <f t="shared" si="5"/>
        <v>0</v>
      </c>
      <c r="N111" s="33"/>
      <c r="O111" s="33"/>
      <c r="P111" s="33"/>
      <c r="Q111" s="32"/>
      <c r="R111" s="100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55">
        <f t="shared" si="5"/>
        <v>0</v>
      </c>
      <c r="N112" s="33"/>
      <c r="O112" s="33"/>
      <c r="P112" s="33"/>
      <c r="Q112" s="32"/>
      <c r="R112" s="33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55">
        <f t="shared" si="5"/>
        <v>0</v>
      </c>
      <c r="N113" s="33"/>
      <c r="O113" s="33"/>
      <c r="P113" s="33"/>
      <c r="Q113" s="32"/>
      <c r="R113" s="33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55">
        <f t="shared" si="5"/>
        <v>0</v>
      </c>
      <c r="N114" s="33"/>
      <c r="O114" s="33"/>
      <c r="P114" s="33"/>
      <c r="Q114" s="32"/>
      <c r="R114" s="33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55">
        <f t="shared" si="5"/>
        <v>0</v>
      </c>
      <c r="N115" s="33"/>
      <c r="O115" s="33"/>
      <c r="P115" s="33"/>
      <c r="Q115" s="32"/>
      <c r="R115" s="33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55">
        <f t="shared" si="5"/>
        <v>0</v>
      </c>
      <c r="N116" s="33"/>
      <c r="O116" s="33"/>
      <c r="P116" s="33"/>
      <c r="Q116" s="32"/>
      <c r="R116" s="33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55">
        <f t="shared" si="5"/>
        <v>0</v>
      </c>
      <c r="N117" s="33"/>
      <c r="O117" s="33"/>
      <c r="P117" s="33"/>
      <c r="Q117" s="32"/>
      <c r="R117" s="33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55">
        <f t="shared" si="5"/>
        <v>0</v>
      </c>
      <c r="N118" s="33"/>
      <c r="O118" s="33"/>
      <c r="P118" s="33"/>
      <c r="Q118" s="32"/>
      <c r="R118" s="33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55">
        <f t="shared" si="5"/>
        <v>0</v>
      </c>
      <c r="N119" s="33"/>
      <c r="O119" s="33"/>
      <c r="P119" s="33"/>
      <c r="Q119" s="32"/>
      <c r="R119" s="33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55">
        <f t="shared" si="5"/>
        <v>0</v>
      </c>
      <c r="N120" s="33"/>
      <c r="O120" s="33"/>
      <c r="P120" s="33"/>
      <c r="Q120" s="32"/>
      <c r="R120" s="33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55">
        <f t="shared" si="5"/>
        <v>0</v>
      </c>
      <c r="N121" s="33"/>
      <c r="O121" s="33"/>
      <c r="P121" s="33"/>
      <c r="Q121" s="32"/>
      <c r="R121" s="33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55">
        <f t="shared" si="5"/>
        <v>0</v>
      </c>
      <c r="N122" s="33"/>
      <c r="O122" s="33"/>
      <c r="P122" s="33"/>
      <c r="Q122" s="32"/>
      <c r="R122" s="100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55">
        <f t="shared" si="5"/>
        <v>0</v>
      </c>
      <c r="N123" s="33"/>
      <c r="O123" s="33"/>
      <c r="P123" s="33"/>
      <c r="Q123" s="32"/>
      <c r="R123" s="33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55">
        <f t="shared" si="5"/>
        <v>0</v>
      </c>
      <c r="N124" s="33"/>
      <c r="O124" s="33"/>
      <c r="P124" s="33"/>
      <c r="Q124" s="32"/>
      <c r="R124" s="33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55">
        <f t="shared" si="5"/>
        <v>0</v>
      </c>
      <c r="N125" s="33"/>
      <c r="O125" s="33"/>
      <c r="P125" s="33"/>
      <c r="Q125" s="32"/>
      <c r="R125" s="33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55">
        <f t="shared" si="5"/>
        <v>0</v>
      </c>
      <c r="N126" s="33"/>
      <c r="O126" s="33"/>
      <c r="P126" s="33"/>
      <c r="Q126" s="32"/>
      <c r="R126" s="33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55">
        <f t="shared" si="5"/>
        <v>0</v>
      </c>
      <c r="N127" s="33"/>
      <c r="O127" s="33"/>
      <c r="P127" s="33"/>
      <c r="Q127" s="32"/>
      <c r="R127" s="100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55">
        <f t="shared" si="5"/>
        <v>0</v>
      </c>
      <c r="N128" s="33"/>
      <c r="O128" s="33"/>
      <c r="P128" s="33"/>
      <c r="Q128" s="32"/>
      <c r="R128" s="33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55">
        <f t="shared" si="5"/>
        <v>0</v>
      </c>
      <c r="N129" s="33"/>
      <c r="O129" s="33"/>
      <c r="P129" s="33"/>
      <c r="Q129" s="32"/>
      <c r="R129" s="33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55">
        <f t="shared" si="5"/>
        <v>0</v>
      </c>
      <c r="N130" s="33"/>
      <c r="O130" s="33"/>
      <c r="P130" s="33"/>
      <c r="Q130" s="32"/>
      <c r="R130" s="33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55">
        <f t="shared" si="5"/>
        <v>0</v>
      </c>
      <c r="N131" s="33"/>
      <c r="O131" s="33"/>
      <c r="P131" s="33"/>
      <c r="Q131" s="32"/>
      <c r="R131" s="33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55">
        <f t="shared" si="5"/>
        <v>0</v>
      </c>
      <c r="N132" s="33"/>
      <c r="O132" s="33"/>
      <c r="P132" s="33"/>
      <c r="Q132" s="32"/>
      <c r="R132" s="33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55">
        <f t="shared" si="5"/>
        <v>0</v>
      </c>
      <c r="N133" s="33"/>
      <c r="O133" s="33"/>
      <c r="P133" s="33"/>
      <c r="Q133" s="32"/>
      <c r="R133" s="33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55">
        <f t="shared" si="5"/>
        <v>0</v>
      </c>
      <c r="N134" s="33"/>
      <c r="O134" s="33"/>
      <c r="P134" s="33"/>
      <c r="Q134" s="32"/>
      <c r="R134" s="33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55">
        <f t="shared" si="5"/>
        <v>0</v>
      </c>
      <c r="N135" s="33"/>
      <c r="O135" s="33"/>
      <c r="P135" s="33"/>
      <c r="Q135" s="32"/>
      <c r="R135" s="33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55">
        <f t="shared" si="5"/>
        <v>0</v>
      </c>
      <c r="N136" s="33"/>
      <c r="O136" s="33"/>
      <c r="P136" s="33"/>
      <c r="Q136" s="32"/>
      <c r="R136" s="100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55">
        <f t="shared" si="5"/>
        <v>0</v>
      </c>
      <c r="N137" s="33"/>
      <c r="O137" s="33"/>
      <c r="P137" s="33"/>
      <c r="Q137" s="32"/>
      <c r="R137" s="33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55">
        <f t="shared" si="5"/>
        <v>0</v>
      </c>
      <c r="N138" s="33"/>
      <c r="O138" s="33"/>
      <c r="P138" s="33"/>
      <c r="Q138" s="32"/>
      <c r="R138" s="33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55">
        <f t="shared" si="5"/>
        <v>0</v>
      </c>
      <c r="N139" s="33"/>
      <c r="O139" s="33"/>
      <c r="P139" s="33"/>
      <c r="Q139" s="32"/>
      <c r="R139" s="33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55">
        <f t="shared" si="5"/>
        <v>0</v>
      </c>
      <c r="N140" s="33"/>
      <c r="O140" s="33"/>
      <c r="P140" s="33"/>
      <c r="Q140" s="32"/>
      <c r="R140" s="33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55">
        <f t="shared" si="5"/>
        <v>0</v>
      </c>
      <c r="N141" s="33"/>
      <c r="O141" s="33"/>
      <c r="P141" s="33"/>
      <c r="Q141" s="32"/>
      <c r="R141" s="100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55">
        <f t="shared" si="5"/>
        <v>0</v>
      </c>
      <c r="N142" s="33"/>
      <c r="O142" s="33"/>
      <c r="P142" s="33"/>
      <c r="Q142" s="32"/>
      <c r="R142" s="33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55">
        <f t="shared" si="5"/>
        <v>0</v>
      </c>
      <c r="N143" s="33"/>
      <c r="O143" s="33"/>
      <c r="P143" s="33"/>
      <c r="Q143" s="32"/>
      <c r="R143" s="33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55">
        <f t="shared" si="5"/>
        <v>0</v>
      </c>
      <c r="N144" s="33"/>
      <c r="O144" s="33"/>
      <c r="P144" s="33"/>
      <c r="Q144" s="32"/>
      <c r="R144" s="33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55">
        <f t="shared" si="5"/>
        <v>0</v>
      </c>
      <c r="N145" s="33"/>
      <c r="O145" s="33"/>
      <c r="P145" s="33"/>
      <c r="Q145" s="32"/>
      <c r="R145" s="33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55">
        <f t="shared" si="5"/>
        <v>0</v>
      </c>
      <c r="N146" s="33"/>
      <c r="O146" s="33"/>
      <c r="P146" s="33"/>
      <c r="Q146" s="32"/>
      <c r="R146" s="33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55">
        <f t="shared" si="5"/>
        <v>0</v>
      </c>
      <c r="N147" s="33"/>
      <c r="O147" s="33"/>
      <c r="P147" s="33"/>
      <c r="Q147" s="32"/>
      <c r="R147" s="33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55">
        <f t="shared" si="5"/>
        <v>0</v>
      </c>
      <c r="N148" s="33"/>
      <c r="O148" s="33"/>
      <c r="P148" s="33"/>
      <c r="Q148" s="32"/>
      <c r="R148" s="100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55">
        <f t="shared" si="5"/>
        <v>0</v>
      </c>
      <c r="N149" s="33"/>
      <c r="O149" s="33"/>
      <c r="P149" s="33"/>
      <c r="Q149" s="32"/>
      <c r="R149" s="100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55">
        <f t="shared" si="5"/>
        <v>0</v>
      </c>
      <c r="N150" s="33"/>
      <c r="O150" s="33"/>
      <c r="P150" s="33"/>
      <c r="Q150" s="32"/>
      <c r="R150" s="100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55">
        <f t="shared" si="5"/>
        <v>0</v>
      </c>
      <c r="N151" s="33"/>
      <c r="O151" s="33"/>
      <c r="P151" s="33"/>
      <c r="Q151" s="33"/>
      <c r="R151" s="33"/>
      <c r="S151" s="32"/>
      <c r="T151" s="32"/>
      <c r="U151" s="100"/>
      <c r="V151" s="32"/>
      <c r="W151" s="32"/>
      <c r="X151" s="32"/>
      <c r="Y151" s="32"/>
      <c r="Z151" s="32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55">
        <f t="shared" si="5"/>
        <v>0</v>
      </c>
      <c r="N152" s="33"/>
      <c r="O152" s="33"/>
      <c r="P152" s="33"/>
      <c r="Q152" s="32"/>
      <c r="R152" s="100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55">
        <f t="shared" si="5"/>
        <v>0</v>
      </c>
      <c r="N153" s="33"/>
      <c r="O153" s="33"/>
      <c r="P153" s="33"/>
      <c r="Q153" s="32"/>
      <c r="R153" s="100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55">
        <f t="shared" si="5"/>
        <v>0</v>
      </c>
      <c r="N154" s="33"/>
      <c r="O154" s="33"/>
      <c r="P154" s="33"/>
      <c r="Q154" s="32"/>
      <c r="R154" s="33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55">
        <f t="shared" si="5"/>
        <v>0</v>
      </c>
      <c r="N155" s="33"/>
      <c r="O155" s="33"/>
      <c r="P155" s="33"/>
      <c r="Q155" s="32"/>
      <c r="R155" s="33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55">
        <f t="shared" si="5"/>
        <v>0</v>
      </c>
      <c r="N156" s="33"/>
      <c r="O156" s="33"/>
      <c r="P156" s="33"/>
      <c r="Q156" s="32"/>
      <c r="R156" s="33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55">
        <f t="shared" si="5"/>
        <v>0</v>
      </c>
      <c r="N157" s="33"/>
      <c r="O157" s="33"/>
      <c r="P157" s="33"/>
      <c r="Q157" s="32"/>
      <c r="R157" s="33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55">
        <f t="shared" si="5"/>
        <v>0</v>
      </c>
      <c r="N158" s="33"/>
      <c r="O158" s="33"/>
      <c r="P158" s="33"/>
      <c r="Q158" s="32"/>
      <c r="R158" s="33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55">
        <f t="shared" si="5"/>
        <v>0</v>
      </c>
      <c r="N159" s="33"/>
      <c r="O159" s="33"/>
      <c r="P159" s="33"/>
      <c r="Q159" s="32"/>
      <c r="R159" s="100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55">
        <f t="shared" si="5"/>
        <v>0</v>
      </c>
      <c r="N160" s="33"/>
      <c r="O160" s="33"/>
      <c r="P160" s="33"/>
      <c r="Q160" s="32"/>
      <c r="R160" s="33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55">
        <f t="shared" si="5"/>
        <v>0</v>
      </c>
      <c r="N161" s="33"/>
      <c r="O161" s="33"/>
      <c r="P161" s="33"/>
      <c r="Q161" s="32"/>
      <c r="R161" s="33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55">
        <f t="shared" si="5"/>
        <v>0</v>
      </c>
      <c r="N162" s="33"/>
      <c r="O162" s="33"/>
      <c r="P162" s="33"/>
      <c r="Q162" s="32"/>
      <c r="R162" s="33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55">
        <f t="shared" si="5"/>
        <v>0</v>
      </c>
      <c r="N163" s="33"/>
      <c r="O163" s="33"/>
      <c r="P163" s="33"/>
      <c r="Q163" s="32"/>
      <c r="R163" s="33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55">
        <f t="shared" si="5"/>
        <v>0</v>
      </c>
      <c r="N164" s="33"/>
      <c r="O164" s="33"/>
      <c r="P164" s="33"/>
      <c r="Q164" s="32"/>
      <c r="R164" s="33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55">
        <f t="shared" si="5"/>
        <v>0</v>
      </c>
      <c r="N165" s="33"/>
      <c r="O165" s="33"/>
      <c r="P165" s="33"/>
      <c r="Q165" s="32"/>
      <c r="R165" s="33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55">
        <f t="shared" si="5"/>
        <v>0</v>
      </c>
      <c r="N166" s="33"/>
      <c r="O166" s="33"/>
      <c r="P166" s="33"/>
      <c r="Q166" s="32"/>
      <c r="R166" s="33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55">
        <f t="shared" si="5"/>
        <v>0</v>
      </c>
      <c r="N167" s="33"/>
      <c r="O167" s="33"/>
      <c r="P167" s="33"/>
      <c r="Q167" s="32"/>
      <c r="R167" s="33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55">
        <f t="shared" si="5"/>
        <v>0</v>
      </c>
      <c r="N168" s="33"/>
      <c r="O168" s="33"/>
      <c r="P168" s="33"/>
      <c r="Q168" s="32"/>
      <c r="R168" s="33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55">
        <f t="shared" si="5"/>
        <v>0</v>
      </c>
      <c r="N169" s="33"/>
      <c r="O169" s="33"/>
      <c r="P169" s="33"/>
      <c r="Q169" s="32"/>
      <c r="R169" s="33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55">
        <f t="shared" si="5"/>
        <v>0</v>
      </c>
      <c r="N170" s="33"/>
      <c r="O170" s="33"/>
      <c r="P170" s="33"/>
      <c r="Q170" s="32"/>
      <c r="R170" s="33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55">
        <f t="shared" si="5"/>
        <v>0</v>
      </c>
      <c r="N171" s="33"/>
      <c r="O171" s="33"/>
      <c r="P171" s="33"/>
      <c r="Q171" s="32"/>
      <c r="R171" s="33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55">
        <f t="shared" si="5"/>
        <v>0</v>
      </c>
      <c r="N172" s="33"/>
      <c r="O172" s="33"/>
      <c r="P172" s="33"/>
      <c r="Q172" s="32"/>
      <c r="R172" s="33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55">
        <f t="shared" si="5"/>
        <v>0</v>
      </c>
      <c r="N173" s="33"/>
      <c r="O173" s="33"/>
      <c r="P173" s="33"/>
      <c r="Q173" s="32"/>
      <c r="R173" s="33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55">
        <f t="shared" si="5"/>
        <v>0</v>
      </c>
      <c r="N174" s="33"/>
      <c r="O174" s="33"/>
      <c r="P174" s="33"/>
      <c r="Q174" s="32"/>
      <c r="R174" s="101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55">
        <f t="shared" si="5"/>
        <v>0</v>
      </c>
      <c r="N175" s="33"/>
      <c r="O175" s="33"/>
      <c r="P175" s="33"/>
      <c r="Q175" s="32"/>
      <c r="R175" s="101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55">
        <f t="shared" si="5"/>
        <v>0</v>
      </c>
      <c r="N176" s="33"/>
      <c r="O176" s="33"/>
      <c r="P176" s="33"/>
      <c r="Q176" s="32"/>
      <c r="R176" s="33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55">
        <f t="shared" si="5"/>
        <v>0</v>
      </c>
      <c r="N177" s="33"/>
      <c r="O177" s="33"/>
      <c r="P177" s="33"/>
      <c r="Q177" s="32"/>
      <c r="R177" s="101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55">
        <f t="shared" si="5"/>
        <v>0</v>
      </c>
      <c r="N178" s="33"/>
      <c r="O178" s="33"/>
      <c r="P178" s="33"/>
      <c r="Q178" s="32"/>
      <c r="R178" s="101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55">
        <f t="shared" si="5"/>
        <v>0</v>
      </c>
      <c r="N179" s="33"/>
      <c r="O179" s="33"/>
      <c r="P179" s="33"/>
      <c r="Q179" s="32"/>
      <c r="R179" s="101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55">
        <f t="shared" si="5"/>
        <v>0</v>
      </c>
      <c r="N180" s="33"/>
      <c r="O180" s="33"/>
      <c r="P180" s="33"/>
      <c r="Q180" s="32"/>
      <c r="R180" s="101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55">
        <f t="shared" si="5"/>
        <v>0</v>
      </c>
      <c r="N181" s="33"/>
      <c r="O181" s="33"/>
      <c r="P181" s="33"/>
      <c r="Q181" s="32"/>
      <c r="R181" s="101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55">
        <f t="shared" si="5"/>
        <v>0</v>
      </c>
      <c r="N182" s="33"/>
      <c r="O182" s="33"/>
      <c r="P182" s="33"/>
      <c r="Q182" s="32"/>
      <c r="R182" s="101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55">
        <f t="shared" si="5"/>
        <v>0</v>
      </c>
      <c r="N183" s="33"/>
      <c r="O183" s="33"/>
      <c r="P183" s="33"/>
      <c r="Q183" s="32"/>
      <c r="R183" s="33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55">
        <f t="shared" si="5"/>
        <v>0</v>
      </c>
      <c r="N184" s="33"/>
      <c r="O184" s="33"/>
      <c r="P184" s="33"/>
      <c r="Q184" s="32"/>
      <c r="R184" s="33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55">
        <f t="shared" si="5"/>
        <v>0</v>
      </c>
      <c r="N185" s="33"/>
      <c r="O185" s="33"/>
      <c r="P185" s="33"/>
      <c r="Q185" s="32"/>
      <c r="R185" s="101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55">
        <f t="shared" si="5"/>
        <v>0</v>
      </c>
      <c r="N186" s="33"/>
      <c r="O186" s="33"/>
      <c r="P186" s="33"/>
      <c r="Q186" s="32"/>
      <c r="R186" s="101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55">
        <f t="shared" si="5"/>
        <v>0</v>
      </c>
      <c r="N187" s="33"/>
      <c r="O187" s="33"/>
      <c r="P187" s="33"/>
      <c r="Q187" s="32"/>
      <c r="R187" s="101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55">
        <f t="shared" si="5"/>
        <v>0</v>
      </c>
      <c r="N188" s="33"/>
      <c r="O188" s="33"/>
      <c r="P188" s="33"/>
      <c r="Q188" s="32"/>
      <c r="R188" s="101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55">
        <f t="shared" si="5"/>
        <v>0</v>
      </c>
      <c r="N189" s="33"/>
      <c r="O189" s="33"/>
      <c r="P189" s="33"/>
      <c r="Q189" s="32"/>
      <c r="R189" s="101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55">
        <f t="shared" si="5"/>
        <v>0</v>
      </c>
      <c r="N190" s="33"/>
      <c r="O190" s="33"/>
      <c r="P190" s="33"/>
      <c r="Q190" s="32"/>
      <c r="R190" s="101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55">
        <f t="shared" si="5"/>
        <v>0</v>
      </c>
      <c r="N191" s="33"/>
      <c r="O191" s="33"/>
      <c r="P191" s="33"/>
      <c r="Q191" s="32"/>
      <c r="R191" s="101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55">
        <f t="shared" si="5"/>
        <v>0</v>
      </c>
      <c r="N192" s="33"/>
      <c r="O192" s="33"/>
      <c r="P192" s="33"/>
      <c r="Q192" s="32"/>
      <c r="R192" s="101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55">
        <f t="shared" si="5"/>
        <v>0</v>
      </c>
      <c r="N193" s="33"/>
      <c r="O193" s="33"/>
      <c r="P193" s="33"/>
      <c r="Q193" s="32"/>
      <c r="R193" s="100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55">
        <f t="shared" si="5"/>
        <v>0</v>
      </c>
      <c r="N194" s="33"/>
      <c r="O194" s="33"/>
      <c r="P194" s="33"/>
      <c r="Q194" s="32"/>
      <c r="R194" s="101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55">
        <f t="shared" si="5"/>
        <v>0</v>
      </c>
      <c r="N195" s="33"/>
      <c r="O195" s="33"/>
      <c r="P195" s="33"/>
      <c r="Q195" s="32"/>
      <c r="R195" s="101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55">
        <f t="shared" si="5"/>
        <v>0</v>
      </c>
      <c r="N196" s="33"/>
      <c r="O196" s="33"/>
      <c r="P196" s="33"/>
      <c r="Q196" s="101"/>
      <c r="R196" s="101"/>
      <c r="S196" s="32"/>
      <c r="T196" s="32"/>
      <c r="U196" s="100"/>
      <c r="V196" s="32"/>
      <c r="W196" s="32"/>
      <c r="X196" s="33"/>
      <c r="Y196" s="33"/>
      <c r="Z196" s="33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55">
        <f t="shared" si="5"/>
        <v>0</v>
      </c>
      <c r="N197" s="33"/>
      <c r="O197" s="33"/>
      <c r="P197" s="33"/>
      <c r="Q197" s="32"/>
      <c r="R197" s="100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55">
        <f t="shared" si="5"/>
        <v>0</v>
      </c>
      <c r="N198" s="33"/>
      <c r="O198" s="33"/>
      <c r="P198" s="33"/>
      <c r="Q198" s="32"/>
      <c r="R198" s="100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55">
        <f t="shared" si="5"/>
        <v>0</v>
      </c>
      <c r="N199" s="33"/>
      <c r="O199" s="33"/>
      <c r="P199" s="33"/>
      <c r="Q199" s="32"/>
      <c r="R199" s="101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55">
        <f t="shared" si="5"/>
        <v>0</v>
      </c>
      <c r="N200" s="33"/>
      <c r="O200" s="33"/>
      <c r="P200" s="33"/>
      <c r="Q200" s="32"/>
      <c r="R200" s="101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55">
        <f t="shared" si="5"/>
        <v>0</v>
      </c>
      <c r="N201" s="33"/>
      <c r="O201" s="33"/>
      <c r="P201" s="33"/>
      <c r="Q201" s="32"/>
      <c r="R201" s="101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55">
        <f t="shared" si="5"/>
        <v>0</v>
      </c>
      <c r="N202" s="33"/>
      <c r="O202" s="33"/>
      <c r="P202" s="33"/>
      <c r="Q202" s="32"/>
      <c r="R202" s="101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55">
        <f t="shared" si="5"/>
        <v>0</v>
      </c>
      <c r="N203" s="33"/>
      <c r="O203" s="33"/>
      <c r="P203" s="33"/>
      <c r="Q203" s="32"/>
      <c r="R203" s="33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55">
        <f t="shared" si="5"/>
        <v>0</v>
      </c>
      <c r="N204" s="33"/>
      <c r="O204" s="33"/>
      <c r="P204" s="33"/>
      <c r="Q204" s="32"/>
      <c r="R204" s="101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55">
        <f t="shared" si="5"/>
        <v>0</v>
      </c>
      <c r="N205" s="33"/>
      <c r="O205" s="33"/>
      <c r="P205" s="33"/>
      <c r="Q205" s="32"/>
      <c r="R205" s="33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55">
        <f t="shared" si="5"/>
        <v>0</v>
      </c>
      <c r="N206" s="33"/>
      <c r="O206" s="33"/>
      <c r="P206" s="33"/>
      <c r="Q206" s="32"/>
      <c r="R206" s="101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55">
        <f t="shared" si="5"/>
        <v>0</v>
      </c>
      <c r="N207" s="33"/>
      <c r="O207" s="33"/>
      <c r="P207" s="33"/>
      <c r="Q207" s="32"/>
      <c r="R207" s="33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55">
        <f t="shared" si="5"/>
        <v>0</v>
      </c>
      <c r="N208" s="33"/>
      <c r="O208" s="33"/>
      <c r="P208" s="33"/>
      <c r="Q208" s="32"/>
      <c r="R208" s="101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55">
        <f t="shared" si="5"/>
        <v>0</v>
      </c>
      <c r="N209" s="33"/>
      <c r="O209" s="33"/>
      <c r="P209" s="33"/>
      <c r="Q209" s="32"/>
      <c r="R209" s="33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55">
        <f t="shared" si="5"/>
        <v>0</v>
      </c>
      <c r="N210" s="33"/>
      <c r="O210" s="33"/>
      <c r="P210" s="33"/>
      <c r="Q210" s="32"/>
      <c r="R210" s="33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55">
        <f t="shared" si="5"/>
        <v>0</v>
      </c>
      <c r="N211" s="33"/>
      <c r="O211" s="33"/>
      <c r="P211" s="33"/>
      <c r="Q211" s="32"/>
      <c r="R211" s="33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55">
        <f t="shared" si="5"/>
        <v>0</v>
      </c>
      <c r="N212" s="33"/>
      <c r="O212" s="33"/>
      <c r="P212" s="33"/>
      <c r="Q212" s="32"/>
      <c r="R212" s="33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55">
        <f t="shared" si="5"/>
        <v>0</v>
      </c>
      <c r="N213" s="33"/>
      <c r="O213" s="33"/>
      <c r="P213" s="33"/>
      <c r="Q213" s="32"/>
      <c r="R213" s="33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55">
        <f t="shared" si="5"/>
        <v>0</v>
      </c>
      <c r="N214" s="33"/>
      <c r="O214" s="33"/>
      <c r="P214" s="33"/>
      <c r="Q214" s="32"/>
      <c r="R214" s="33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55">
        <f t="shared" si="5"/>
        <v>0</v>
      </c>
      <c r="N215" s="33"/>
      <c r="O215" s="33"/>
      <c r="P215" s="33"/>
      <c r="Q215" s="32"/>
      <c r="R215" s="33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55">
        <f t="shared" si="5"/>
        <v>0</v>
      </c>
      <c r="N216" s="33"/>
      <c r="O216" s="33"/>
      <c r="P216" s="33"/>
      <c r="Q216" s="32"/>
      <c r="R216" s="33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55">
        <f t="shared" si="5"/>
        <v>0</v>
      </c>
      <c r="N217" s="33"/>
      <c r="O217" s="33"/>
      <c r="P217" s="33"/>
      <c r="Q217" s="32"/>
      <c r="R217" s="33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55">
        <f t="shared" si="5"/>
        <v>0</v>
      </c>
      <c r="N218" s="33"/>
      <c r="O218" s="33"/>
      <c r="P218" s="33"/>
      <c r="Q218" s="32"/>
      <c r="R218" s="33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55">
        <f t="shared" si="5"/>
        <v>0</v>
      </c>
      <c r="N219" s="33"/>
      <c r="O219" s="33"/>
      <c r="P219" s="33"/>
      <c r="Q219" s="32"/>
      <c r="R219" s="33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55">
        <f t="shared" si="5"/>
        <v>0</v>
      </c>
      <c r="N220" s="33"/>
      <c r="O220" s="33"/>
      <c r="P220" s="33"/>
      <c r="Q220" s="32"/>
      <c r="R220" s="33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55">
        <f t="shared" si="5"/>
        <v>0</v>
      </c>
      <c r="N221" s="33"/>
      <c r="O221" s="33"/>
      <c r="P221" s="33"/>
      <c r="Q221" s="32"/>
      <c r="R221" s="33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55">
        <f t="shared" si="5"/>
        <v>0</v>
      </c>
      <c r="N222" s="33"/>
      <c r="O222" s="33"/>
      <c r="P222" s="33"/>
      <c r="Q222" s="32"/>
      <c r="R222" s="33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55">
        <f t="shared" si="5"/>
        <v>0</v>
      </c>
      <c r="N223" s="33"/>
      <c r="O223" s="33"/>
      <c r="P223" s="33"/>
      <c r="Q223" s="32"/>
      <c r="R223" s="33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55">
        <f t="shared" si="5"/>
        <v>0</v>
      </c>
      <c r="N224" s="33"/>
      <c r="O224" s="33"/>
      <c r="P224" s="33"/>
      <c r="Q224" s="32"/>
      <c r="R224" s="33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55">
        <f t="shared" si="5"/>
        <v>0</v>
      </c>
      <c r="N225" s="33"/>
      <c r="O225" s="33"/>
      <c r="P225" s="33"/>
      <c r="Q225" s="32"/>
      <c r="R225" s="33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55">
        <f t="shared" si="5"/>
        <v>0</v>
      </c>
      <c r="N226" s="33"/>
      <c r="O226" s="33"/>
      <c r="P226" s="33"/>
      <c r="Q226" s="32"/>
      <c r="R226" s="33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55">
        <f t="shared" si="5"/>
        <v>0</v>
      </c>
      <c r="N227" s="33"/>
      <c r="O227" s="33"/>
      <c r="P227" s="33"/>
      <c r="Q227" s="32"/>
      <c r="R227" s="33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55">
        <f t="shared" si="5"/>
        <v>0</v>
      </c>
      <c r="N228" s="33"/>
      <c r="O228" s="33"/>
      <c r="P228" s="33"/>
      <c r="Q228" s="32"/>
      <c r="R228" s="33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55">
        <f t="shared" si="5"/>
        <v>0</v>
      </c>
      <c r="N229" s="33"/>
      <c r="O229" s="33"/>
      <c r="P229" s="33"/>
      <c r="Q229" s="32"/>
      <c r="R229" s="33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55">
        <f t="shared" si="5"/>
        <v>0</v>
      </c>
      <c r="N230" s="33"/>
      <c r="O230" s="33"/>
      <c r="P230" s="33"/>
      <c r="Q230" s="32"/>
      <c r="R230" s="33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55">
        <f t="shared" si="5"/>
        <v>0</v>
      </c>
      <c r="N231" s="33"/>
      <c r="O231" s="33"/>
      <c r="P231" s="33"/>
      <c r="Q231" s="32"/>
      <c r="R231" s="33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55">
        <f t="shared" si="5"/>
        <v>0</v>
      </c>
      <c r="N232" s="33"/>
      <c r="O232" s="33"/>
      <c r="P232" s="33"/>
      <c r="Q232" s="32"/>
      <c r="R232" s="33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55">
        <f t="shared" si="5"/>
        <v>0</v>
      </c>
      <c r="N233" s="33"/>
      <c r="O233" s="33"/>
      <c r="P233" s="33"/>
      <c r="Q233" s="32"/>
      <c r="R233" s="33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55">
        <f t="shared" si="5"/>
        <v>0</v>
      </c>
      <c r="N234" s="33"/>
      <c r="O234" s="33"/>
      <c r="P234" s="33"/>
      <c r="Q234" s="32"/>
      <c r="R234" s="33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55">
        <f t="shared" si="5"/>
        <v>0</v>
      </c>
      <c r="N235" s="33"/>
      <c r="O235" s="33"/>
      <c r="P235" s="33"/>
      <c r="Q235" s="32"/>
      <c r="R235" s="33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55">
        <f t="shared" si="5"/>
        <v>0</v>
      </c>
      <c r="N236" s="33"/>
      <c r="O236" s="33"/>
      <c r="P236" s="33"/>
      <c r="Q236" s="32"/>
      <c r="R236" s="33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55">
        <f t="shared" si="5"/>
        <v>0</v>
      </c>
      <c r="N237" s="33"/>
      <c r="O237" s="33"/>
      <c r="P237" s="33"/>
      <c r="Q237" s="32"/>
      <c r="R237" s="33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55">
        <f t="shared" si="5"/>
        <v>0</v>
      </c>
      <c r="N238" s="33"/>
      <c r="O238" s="33"/>
      <c r="P238" s="33"/>
      <c r="Q238" s="32"/>
      <c r="R238" s="33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55">
        <f t="shared" si="5"/>
        <v>0</v>
      </c>
      <c r="N239" s="33"/>
      <c r="O239" s="33"/>
      <c r="P239" s="33"/>
      <c r="Q239" s="32"/>
      <c r="R239" s="100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55">
        <f t="shared" si="5"/>
        <v>0</v>
      </c>
      <c r="N240" s="33"/>
      <c r="O240" s="33"/>
      <c r="P240" s="33"/>
      <c r="Q240" s="32"/>
      <c r="R240" s="33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55">
        <f t="shared" si="5"/>
        <v>0</v>
      </c>
      <c r="N241" s="33"/>
      <c r="O241" s="33"/>
      <c r="P241" s="33"/>
      <c r="Q241" s="32"/>
      <c r="R241" s="33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55">
        <f t="shared" si="5"/>
        <v>0</v>
      </c>
      <c r="N242" s="33"/>
      <c r="O242" s="33"/>
      <c r="P242" s="33"/>
      <c r="Q242" s="33"/>
      <c r="R242" s="33"/>
      <c r="S242" s="100"/>
      <c r="T242" s="32"/>
      <c r="U242" s="33"/>
      <c r="V242" s="32"/>
      <c r="W242" s="32"/>
      <c r="X242" s="33"/>
      <c r="Y242" s="33"/>
      <c r="Z242" s="33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55">
        <f t="shared" si="5"/>
        <v>0</v>
      </c>
      <c r="N243" s="33"/>
      <c r="O243" s="33"/>
      <c r="P243" s="33"/>
      <c r="Q243" s="32"/>
      <c r="R243" s="100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55">
        <f t="shared" si="5"/>
        <v>0</v>
      </c>
      <c r="N244" s="33"/>
      <c r="O244" s="33"/>
      <c r="P244" s="33"/>
      <c r="Q244" s="32"/>
      <c r="R244" s="100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55">
        <f t="shared" si="5"/>
        <v>0</v>
      </c>
      <c r="N245" s="33"/>
      <c r="O245" s="33"/>
      <c r="P245" s="33"/>
      <c r="Q245" s="32"/>
      <c r="R245" s="33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55">
        <f t="shared" si="5"/>
        <v>0</v>
      </c>
      <c r="N246" s="33"/>
      <c r="O246" s="33"/>
      <c r="P246" s="33"/>
      <c r="Q246" s="32"/>
      <c r="R246" s="33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55">
        <f t="shared" si="5"/>
        <v>0</v>
      </c>
      <c r="N247" s="33"/>
      <c r="O247" s="33"/>
      <c r="P247" s="33"/>
      <c r="Q247" s="32"/>
      <c r="R247" s="33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55">
        <f t="shared" si="5"/>
        <v>0</v>
      </c>
      <c r="N248" s="33"/>
      <c r="O248" s="33"/>
      <c r="P248" s="33"/>
      <c r="Q248" s="32"/>
      <c r="R248" s="33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2"/>
      <c r="R249" s="33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2"/>
      <c r="R250" s="33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2"/>
      <c r="R251" s="33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2"/>
      <c r="R252" s="33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2"/>
      <c r="R253" s="33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2"/>
      <c r="R254" s="100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2"/>
      <c r="R255" s="33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2"/>
      <c r="R256" s="33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2"/>
      <c r="R257" s="33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2"/>
      <c r="R258" s="33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00"/>
      <c r="T259" s="32"/>
      <c r="U259" s="33"/>
      <c r="V259" s="32"/>
      <c r="W259" s="32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2"/>
      <c r="R260" s="100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2"/>
      <c r="R261" s="100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2"/>
      <c r="R262" s="33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2"/>
      <c r="R263" s="33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2"/>
      <c r="R264" s="33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2"/>
      <c r="R265" s="100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2"/>
      <c r="R266" s="33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2"/>
      <c r="R267" s="33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2"/>
      <c r="X268" s="32"/>
      <c r="Y268" s="32"/>
      <c r="Z268" s="32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2"/>
      <c r="R269" s="33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00"/>
      <c r="T270" s="32"/>
      <c r="U270" s="33"/>
      <c r="V270" s="32"/>
      <c r="W270" s="32"/>
      <c r="X270" s="32"/>
      <c r="Y270" s="32"/>
      <c r="Z270" s="32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2"/>
      <c r="R271" s="33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2"/>
      <c r="R272" s="100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2"/>
      <c r="R273" s="33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2"/>
      <c r="R274" s="33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2"/>
      <c r="R275" s="33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2"/>
      <c r="R276" s="33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2"/>
      <c r="R277" s="33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2"/>
      <c r="R278" s="33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2"/>
      <c r="R279" s="33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2"/>
      <c r="R280" s="33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2"/>
      <c r="R281" s="33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2"/>
      <c r="R282" s="33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2"/>
      <c r="R283" s="100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2"/>
      <c r="R284" s="33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2"/>
      <c r="R285" s="33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2"/>
      <c r="T286" s="32"/>
      <c r="U286" s="100"/>
      <c r="V286" s="32"/>
      <c r="W286" s="32"/>
      <c r="X286" s="32"/>
      <c r="Y286" s="32"/>
      <c r="Z286" s="32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2"/>
      <c r="R287" s="33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2"/>
      <c r="R288" s="100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2"/>
      <c r="R289" s="33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2"/>
      <c r="R290" s="33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2"/>
      <c r="R291" s="33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2"/>
      <c r="R292" s="33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2"/>
      <c r="R293" s="33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2"/>
      <c r="R294" s="33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2"/>
      <c r="R295" s="33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2"/>
      <c r="R296" s="33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2"/>
      <c r="R297" s="100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2"/>
      <c r="R298" s="33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2"/>
      <c r="R299" s="33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2"/>
      <c r="T300" s="100"/>
      <c r="U300" s="33"/>
      <c r="V300" s="32"/>
      <c r="W300" s="32"/>
      <c r="X300" s="32"/>
      <c r="Y300" s="32"/>
      <c r="Z300" s="32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2"/>
      <c r="R301" s="33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2"/>
      <c r="R302" s="100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2"/>
      <c r="R303" s="33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2"/>
      <c r="R304" s="33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2"/>
      <c r="R305" s="33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2"/>
      <c r="R306" s="33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2"/>
      <c r="R307" s="33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2"/>
      <c r="R308" s="33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2"/>
      <c r="R309" s="100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2"/>
      <c r="R310" s="100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2"/>
      <c r="R311" s="100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2"/>
      <c r="T312" s="100"/>
      <c r="U312" s="33"/>
      <c r="V312" s="32"/>
      <c r="W312" s="32"/>
      <c r="X312" s="32"/>
      <c r="Y312" s="32"/>
      <c r="Z312" s="32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2"/>
      <c r="R313" s="33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2"/>
      <c r="R314" s="100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2"/>
      <c r="R315" s="33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2"/>
      <c r="R316" s="33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2"/>
      <c r="R317" s="33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2"/>
      <c r="R318" s="33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2"/>
      <c r="R319" s="33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2"/>
      <c r="R320" s="100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2"/>
      <c r="R321" s="33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2"/>
      <c r="R322" s="33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2"/>
      <c r="R323" s="33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2"/>
      <c r="R325" s="33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102"/>
      <c r="R327" s="33"/>
      <c r="S327" s="33"/>
      <c r="T327" s="32"/>
      <c r="U327" s="33"/>
      <c r="V327" s="33"/>
      <c r="W327" s="33"/>
      <c r="X327" s="32"/>
      <c r="Y327" s="32"/>
      <c r="Z327" s="32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2"/>
      <c r="T328" s="32"/>
      <c r="U328" s="32"/>
      <c r="V328" s="33"/>
      <c r="W328" s="33"/>
      <c r="X328" s="32"/>
      <c r="Y328" s="32"/>
      <c r="Z328" s="32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103"/>
      <c r="R330" s="103"/>
      <c r="S330" s="103"/>
      <c r="T330" s="103"/>
      <c r="U330" s="103"/>
      <c r="V330" s="103"/>
      <c r="W330" s="10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2"/>
      <c r="T331" s="32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4"/>
      <c r="R332" s="33"/>
      <c r="S332" s="32"/>
      <c r="T332" s="32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104"/>
      <c r="R334" s="105"/>
      <c r="S334" s="106"/>
      <c r="T334" s="106"/>
      <c r="U334" s="106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107"/>
      <c r="R335" s="107"/>
      <c r="S335" s="107"/>
      <c r="T335" s="107"/>
      <c r="U335" s="107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101"/>
      <c r="R336" s="101"/>
      <c r="S336" s="101"/>
      <c r="T336" s="101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101"/>
      <c r="R338" s="101"/>
      <c r="S338" s="101"/>
      <c r="T338" s="101"/>
      <c r="U338" s="101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101"/>
      <c r="R339" s="101"/>
      <c r="S339" s="101"/>
      <c r="T339" s="101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101"/>
      <c r="R340" s="101"/>
      <c r="S340" s="101"/>
      <c r="T340" s="101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101"/>
      <c r="R341" s="101"/>
      <c r="S341" s="101"/>
      <c r="T341" s="101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101"/>
      <c r="R342" s="101"/>
      <c r="S342" s="101"/>
      <c r="T342" s="101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108"/>
      <c r="R343" s="108"/>
      <c r="S343" s="108"/>
      <c r="T343" s="108"/>
      <c r="U343" s="109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4"/>
      <c r="R344" s="33"/>
      <c r="S344" s="32"/>
      <c r="T344" s="32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110"/>
      <c r="R346" s="110"/>
      <c r="S346" s="110"/>
      <c r="T346" s="110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110"/>
      <c r="R347" s="110"/>
      <c r="S347" s="110"/>
      <c r="T347" s="110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110"/>
      <c r="R348" s="110"/>
      <c r="S348" s="110"/>
      <c r="T348" s="110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110"/>
      <c r="R349" s="110"/>
      <c r="S349" s="110"/>
      <c r="T349" s="110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110"/>
      <c r="R350" s="110"/>
      <c r="S350" s="110"/>
      <c r="T350" s="110"/>
      <c r="U350" s="33"/>
      <c r="V350" s="33"/>
      <c r="W350" s="110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110"/>
      <c r="R351" s="110"/>
      <c r="S351" s="110"/>
      <c r="T351" s="110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110"/>
      <c r="R352" s="110"/>
      <c r="S352" s="110"/>
      <c r="T352" s="110"/>
      <c r="U352" s="33"/>
      <c r="V352" s="33"/>
      <c r="W352" s="110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110"/>
      <c r="R353" s="110"/>
      <c r="S353" s="110"/>
      <c r="T353" s="110"/>
      <c r="U353" s="33"/>
      <c r="V353" s="33"/>
      <c r="W353" s="110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101"/>
      <c r="R354" s="101"/>
      <c r="S354" s="101"/>
      <c r="T354" s="101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101"/>
      <c r="R355" s="101"/>
      <c r="S355" s="101"/>
      <c r="T355" s="101"/>
      <c r="U355" s="33"/>
      <c r="V355" s="33"/>
      <c r="W355" s="110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101"/>
      <c r="R356" s="101"/>
      <c r="S356" s="101"/>
      <c r="T356" s="101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101"/>
      <c r="R357" s="101"/>
      <c r="S357" s="101"/>
      <c r="T357" s="101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101"/>
      <c r="R358" s="101"/>
      <c r="S358" s="101"/>
      <c r="T358" s="101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101"/>
      <c r="R359" s="101"/>
      <c r="S359" s="101"/>
      <c r="T359" s="101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101"/>
      <c r="R360" s="101"/>
      <c r="S360" s="101"/>
      <c r="T360" s="101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101"/>
      <c r="R361" s="101"/>
      <c r="S361" s="101"/>
      <c r="T361" s="101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101"/>
      <c r="R362" s="101"/>
      <c r="S362" s="101"/>
      <c r="T362" s="101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4"/>
      <c r="R363" s="101"/>
      <c r="S363" s="101"/>
      <c r="T363" s="101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4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108"/>
      <c r="R365" s="108"/>
      <c r="S365" s="108"/>
      <c r="T365" s="108"/>
      <c r="U365" s="109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4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107"/>
      <c r="R367" s="108"/>
      <c r="S367" s="108"/>
      <c r="T367" s="111"/>
      <c r="U367" s="111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101"/>
      <c r="R369" s="101"/>
      <c r="S369" s="101"/>
      <c r="T369" s="101"/>
      <c r="U369" s="101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101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5.7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5.7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ht="15.75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ht="15.75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ht="15.75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ht="15.75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  <row r="1007" ht="15.75" customHeight="1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 ht="15.75" customHeight="1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</row>
    <row r="1009" ht="15.75" customHeight="1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</row>
    <row r="1010" ht="15.75" customHeight="1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</row>
    <row r="1011" ht="15.75" customHeight="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</row>
    <row r="1012" ht="15.75" customHeight="1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</row>
    <row r="1013" ht="15.75" customHeight="1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</row>
    <row r="1014" ht="15.75" customHeight="1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</row>
    <row r="1015" ht="15.75" customHeight="1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 ht="15.75" customHeight="1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</row>
    <row r="1017" ht="15.75" customHeight="1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</row>
    <row r="1018" ht="15.75" customHeight="1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</row>
    <row r="1019" ht="15.75" customHeight="1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</row>
    <row r="1020" ht="15.75" customHeight="1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  <row r="1021" ht="15.75" customHeight="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</row>
    <row r="1022" ht="15.75" customHeight="1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</row>
    <row r="1023" ht="15.75" customHeight="1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</row>
    <row r="1024" ht="15.75" customHeight="1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</row>
    <row r="1025" ht="15.75" customHeight="1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</row>
    <row r="1026" ht="15.75" customHeight="1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</row>
    <row r="1027" ht="15.75" customHeight="1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</row>
    <row r="1028" ht="15.75" customHeight="1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</row>
    <row r="1029" ht="15.75" customHeight="1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</row>
    <row r="1030" ht="15.75" customHeight="1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</row>
    <row r="1031" ht="15.75" customHeight="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</row>
    <row r="1032" ht="15.75" customHeight="1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</row>
    <row r="1033" ht="15.75" customHeight="1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</row>
    <row r="1034" ht="15.75" customHeight="1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</row>
    <row r="1035" ht="15.75" customHeight="1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</row>
    <row r="1036" ht="15.75" customHeight="1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</row>
    <row r="1037" ht="15.75" customHeight="1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</row>
    <row r="1038" ht="15.75" customHeight="1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</row>
    <row r="1039" ht="15.75" customHeight="1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</row>
    <row r="1040" ht="15.75" customHeight="1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</row>
    <row r="1041" ht="15.75" customHeight="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</row>
    <row r="1042" ht="15.75" customHeight="1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</row>
    <row r="1043" ht="15.75" customHeight="1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</row>
    <row r="1044" ht="15.75" customHeight="1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</row>
    <row r="1045" ht="15.75" customHeight="1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</row>
    <row r="1046" ht="15.75" customHeight="1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</row>
    <row r="1047" ht="15.75" customHeight="1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</row>
    <row r="1048" ht="15.75" customHeight="1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</row>
    <row r="1049" ht="15.75" customHeight="1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</row>
    <row r="1050" ht="15.75" customHeight="1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</row>
    <row r="1051" ht="15.75" customHeight="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</row>
    <row r="1052" ht="15.75" customHeight="1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</row>
    <row r="1053" ht="15.75" customHeight="1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</row>
    <row r="1054" ht="15.75" customHeight="1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</row>
    <row r="1055" ht="15.75" customHeight="1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</row>
    <row r="1056" ht="15.75" customHeight="1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</row>
    <row r="1057" ht="15.75" customHeight="1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</row>
    <row r="1058" ht="15.75" customHeight="1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</row>
    <row r="1059" ht="15.75" customHeight="1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</row>
    <row r="1060" ht="15.75" customHeight="1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</row>
    <row r="1061" ht="15.75" customHeight="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</row>
    <row r="1062" ht="15.75" customHeight="1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</row>
    <row r="1063" ht="15.75" customHeight="1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</row>
    <row r="1064" ht="15.75" customHeight="1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</row>
    <row r="1065" ht="15.75" customHeight="1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</row>
    <row r="1066" ht="15.75" customHeight="1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</row>
    <row r="1067" ht="15.75" customHeight="1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</row>
    <row r="1068" ht="15.75" customHeight="1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</row>
    <row r="1069" ht="15.75" customHeight="1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</row>
    <row r="1070" ht="15.75" customHeight="1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</row>
    <row r="1071" ht="15.75" customHeight="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</row>
    <row r="1072" ht="15.75" customHeight="1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</row>
    <row r="1073" ht="15.75" customHeight="1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</row>
    <row r="1074" ht="15.75" customHeight="1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</row>
    <row r="1075" ht="15.75" customHeight="1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</row>
    <row r="1076" ht="15.75" customHeight="1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</row>
    <row r="1077" ht="15.75" customHeight="1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</row>
    <row r="1078" ht="15.75" customHeight="1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</row>
    <row r="1079" ht="15.75" customHeight="1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</row>
    <row r="1080" ht="15.75" customHeight="1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</row>
    <row r="1081" ht="15.75" customHeight="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</row>
    <row r="1082" ht="15.75" customHeight="1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</row>
    <row r="1083" ht="15.75" customHeight="1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</row>
    <row r="1084" ht="15.75" customHeight="1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</row>
    <row r="1085" ht="15.75" customHeight="1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</row>
    <row r="1086" ht="15.75" customHeight="1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</row>
    <row r="1087" ht="15.75" customHeight="1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</row>
    <row r="1088" ht="15.75" customHeight="1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</row>
    <row r="1089" ht="15.75" customHeight="1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</row>
    <row r="1090" ht="15.75" customHeight="1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</row>
    <row r="1091" ht="15.75" customHeight="1">
      <c r="A1091" s="33"/>
      <c r="B1091" s="33"/>
      <c r="C1091" s="3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</row>
    <row r="1092" ht="15.75" customHeight="1">
      <c r="A1092" s="33"/>
      <c r="B1092" s="33"/>
      <c r="C1092" s="3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</row>
    <row r="1093" ht="15.75" customHeight="1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</row>
    <row r="1094" ht="15.75" customHeight="1">
      <c r="A1094" s="33"/>
      <c r="B1094" s="33"/>
      <c r="C1094" s="3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</row>
    <row r="1095" ht="15.75" customHeight="1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</row>
    <row r="1096" ht="15.75" customHeight="1">
      <c r="A1096" s="33"/>
      <c r="B1096" s="33"/>
      <c r="C1096" s="3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</row>
    <row r="1097" ht="15.75" customHeight="1">
      <c r="A1097" s="33"/>
      <c r="B1097" s="33"/>
      <c r="C1097" s="3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</row>
    <row r="1098" ht="15.75" customHeight="1">
      <c r="A1098" s="33"/>
      <c r="B1098" s="33"/>
      <c r="C1098" s="33"/>
      <c r="D1098" s="33"/>
      <c r="E1098" s="33"/>
      <c r="F1098" s="33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</row>
    <row r="1099" ht="15.75" customHeight="1">
      <c r="A1099" s="33"/>
      <c r="B1099" s="33"/>
      <c r="C1099" s="33"/>
      <c r="D1099" s="33"/>
      <c r="E1099" s="33"/>
      <c r="F1099" s="33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</row>
    <row r="1100" ht="15.75" customHeight="1">
      <c r="A1100" s="33"/>
      <c r="B1100" s="33"/>
      <c r="C1100" s="3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</row>
    <row r="1101" ht="15.75" customHeight="1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</row>
    <row r="1102" ht="15.75" customHeight="1">
      <c r="A1102" s="33"/>
      <c r="B1102" s="33"/>
      <c r="C1102" s="33"/>
      <c r="D1102" s="33"/>
      <c r="E1102" s="33"/>
      <c r="F1102" s="33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</row>
    <row r="1103" ht="15.75" customHeight="1">
      <c r="A1103" s="33"/>
      <c r="B1103" s="33"/>
      <c r="C1103" s="33"/>
      <c r="D1103" s="33"/>
      <c r="E1103" s="33"/>
      <c r="F1103" s="33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</row>
    <row r="1104" ht="15.75" customHeight="1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</row>
    <row r="1105" ht="15.75" customHeight="1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</row>
    <row r="1106" ht="15.75" customHeight="1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</row>
    <row r="1107" ht="15.75" customHeight="1">
      <c r="A1107" s="33"/>
      <c r="B1107" s="33"/>
      <c r="C1107" s="33"/>
      <c r="D1107" s="33"/>
      <c r="E1107" s="33"/>
      <c r="F1107" s="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</row>
    <row r="1108" ht="15.75" customHeight="1">
      <c r="A1108" s="33"/>
      <c r="B1108" s="33"/>
      <c r="C1108" s="33"/>
      <c r="D1108" s="33"/>
      <c r="E1108" s="33"/>
      <c r="F1108" s="33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</row>
    <row r="1109" ht="15.75" customHeight="1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</row>
    <row r="1110" ht="15.75" customHeight="1">
      <c r="A1110" s="33"/>
      <c r="B1110" s="33"/>
      <c r="C1110" s="33"/>
      <c r="D1110" s="33"/>
      <c r="E1110" s="33"/>
      <c r="F1110" s="33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</row>
    <row r="1111" ht="15.75" customHeight="1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</row>
    <row r="1112" ht="15.75" customHeight="1">
      <c r="A1112" s="33"/>
      <c r="B1112" s="33"/>
      <c r="C1112" s="33"/>
      <c r="D1112" s="33"/>
      <c r="E1112" s="33"/>
      <c r="F1112" s="33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</row>
    <row r="1113" ht="15.75" customHeight="1">
      <c r="A1113" s="33"/>
      <c r="B1113" s="33"/>
      <c r="C1113" s="33"/>
      <c r="D1113" s="33"/>
      <c r="E1113" s="33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</row>
    <row r="1114" ht="15.75" customHeight="1">
      <c r="A1114" s="33"/>
      <c r="B1114" s="33"/>
      <c r="C1114" s="33"/>
      <c r="D1114" s="33"/>
      <c r="E1114" s="33"/>
      <c r="F1114" s="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</row>
    <row r="1115" ht="15.75" customHeight="1">
      <c r="A1115" s="33"/>
      <c r="B1115" s="33"/>
      <c r="C1115" s="33"/>
      <c r="D1115" s="33"/>
      <c r="E1115" s="33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</row>
    <row r="1116" ht="15.75" customHeight="1">
      <c r="A1116" s="33"/>
      <c r="B1116" s="33"/>
      <c r="C1116" s="33"/>
      <c r="D1116" s="33"/>
      <c r="E1116" s="33"/>
      <c r="F1116" s="33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</row>
    <row r="1117" ht="15.75" customHeight="1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</row>
    <row r="1118" ht="15.75" customHeight="1">
      <c r="A1118" s="33"/>
      <c r="B1118" s="33"/>
      <c r="C1118" s="33"/>
      <c r="D1118" s="33"/>
      <c r="E1118" s="33"/>
      <c r="F1118" s="33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</row>
    <row r="1119" ht="15.75" customHeight="1">
      <c r="A1119" s="33"/>
      <c r="B1119" s="33"/>
      <c r="C1119" s="33"/>
      <c r="D1119" s="33"/>
      <c r="E1119" s="33"/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</row>
    <row r="1120" ht="15.75" customHeight="1">
      <c r="A1120" s="33"/>
      <c r="B1120" s="33"/>
      <c r="C1120" s="33"/>
      <c r="D1120" s="33"/>
      <c r="E1120" s="33"/>
      <c r="F1120" s="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</row>
    <row r="1121" ht="15.75" customHeight="1">
      <c r="A1121" s="33"/>
      <c r="B1121" s="33"/>
      <c r="C1121" s="33"/>
      <c r="D1121" s="33"/>
      <c r="E1121" s="33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</row>
    <row r="1122" ht="15.75" customHeight="1">
      <c r="A1122" s="33"/>
      <c r="B1122" s="33"/>
      <c r="C1122" s="33"/>
      <c r="D1122" s="33"/>
      <c r="E1122" s="33"/>
      <c r="F1122" s="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</row>
    <row r="1123" ht="15.75" customHeight="1">
      <c r="A1123" s="33"/>
      <c r="B1123" s="33"/>
      <c r="C1123" s="33"/>
      <c r="D1123" s="33"/>
      <c r="E1123" s="33"/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</row>
    <row r="1124" ht="15.75" customHeight="1">
      <c r="A1124" s="33"/>
      <c r="B1124" s="33"/>
      <c r="C1124" s="33"/>
      <c r="D1124" s="33"/>
      <c r="E1124" s="33"/>
      <c r="F1124" s="33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</row>
    <row r="1125" ht="15.75" customHeight="1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</row>
    <row r="1126" ht="15.75" customHeight="1">
      <c r="A1126" s="33"/>
      <c r="B1126" s="33"/>
      <c r="C1126" s="33"/>
      <c r="D1126" s="33"/>
      <c r="E1126" s="33"/>
      <c r="F1126" s="33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</row>
    <row r="1127" ht="15.75" customHeight="1">
      <c r="A1127" s="33"/>
      <c r="B1127" s="33"/>
      <c r="C1127" s="33"/>
      <c r="D1127" s="33"/>
      <c r="E1127" s="33"/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</row>
    <row r="1128" ht="15.75" customHeight="1">
      <c r="A1128" s="33"/>
      <c r="B1128" s="33"/>
      <c r="C1128" s="33"/>
      <c r="D1128" s="33"/>
      <c r="E1128" s="33"/>
      <c r="F1128" s="33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</row>
    <row r="1129" ht="15.75" customHeight="1">
      <c r="A1129" s="33"/>
      <c r="B1129" s="33"/>
      <c r="C1129" s="33"/>
      <c r="D1129" s="33"/>
      <c r="E1129" s="33"/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</row>
    <row r="1130" ht="15.75" customHeight="1">
      <c r="A1130" s="33"/>
      <c r="B1130" s="33"/>
      <c r="C1130" s="33"/>
      <c r="D1130" s="33"/>
      <c r="E1130" s="33"/>
      <c r="F1130" s="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</row>
    <row r="1131" ht="15.75" customHeight="1">
      <c r="A1131" s="33"/>
      <c r="B1131" s="33"/>
      <c r="C1131" s="33"/>
      <c r="D1131" s="33"/>
      <c r="E1131" s="33"/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</row>
    <row r="1132" ht="15.75" customHeight="1">
      <c r="A1132" s="33"/>
      <c r="B1132" s="33"/>
      <c r="C1132" s="33"/>
      <c r="D1132" s="33"/>
      <c r="E1132" s="33"/>
      <c r="F1132" s="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</row>
    <row r="1133" ht="15.75" customHeight="1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</row>
    <row r="1134" ht="15.75" customHeight="1">
      <c r="A1134" s="33"/>
      <c r="B1134" s="33"/>
      <c r="C1134" s="33"/>
      <c r="D1134" s="33"/>
      <c r="E1134" s="33"/>
      <c r="F1134" s="33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</row>
    <row r="1135" ht="15.75" customHeight="1">
      <c r="A1135" s="33"/>
      <c r="B1135" s="33"/>
      <c r="C1135" s="33"/>
      <c r="D1135" s="33"/>
      <c r="E1135" s="33"/>
      <c r="F1135" s="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</row>
    <row r="1136" ht="15.75" customHeight="1">
      <c r="A1136" s="33"/>
      <c r="B1136" s="33"/>
      <c r="C1136" s="33"/>
      <c r="D1136" s="33"/>
      <c r="E1136" s="33"/>
      <c r="F1136" s="33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</row>
    <row r="1137" ht="15.75" customHeight="1">
      <c r="A1137" s="33"/>
      <c r="B1137" s="33"/>
      <c r="C1137" s="33"/>
      <c r="D1137" s="33"/>
      <c r="E1137" s="33"/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</row>
    <row r="1138" ht="15.75" customHeight="1">
      <c r="A1138" s="33"/>
      <c r="B1138" s="33"/>
      <c r="C1138" s="33"/>
      <c r="D1138" s="33"/>
      <c r="E1138" s="33"/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</row>
    <row r="1139" ht="15.75" customHeight="1">
      <c r="A1139" s="33"/>
      <c r="B1139" s="33"/>
      <c r="C1139" s="33"/>
      <c r="D1139" s="33"/>
      <c r="E1139" s="33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</row>
    <row r="1140" ht="15.75" customHeight="1">
      <c r="A1140" s="33"/>
      <c r="B1140" s="33"/>
      <c r="C1140" s="33"/>
      <c r="D1140" s="33"/>
      <c r="E1140" s="33"/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</row>
    <row r="1141" ht="15.75" customHeight="1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</row>
    <row r="1142" ht="15.75" customHeight="1">
      <c r="A1142" s="33"/>
      <c r="B1142" s="33"/>
      <c r="C1142" s="33"/>
      <c r="D1142" s="33"/>
      <c r="E1142" s="33"/>
      <c r="F1142" s="33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</row>
    <row r="1143" ht="15.75" customHeight="1">
      <c r="A1143" s="33"/>
      <c r="B1143" s="33"/>
      <c r="C1143" s="33"/>
      <c r="D1143" s="33"/>
      <c r="E1143" s="33"/>
      <c r="F1143" s="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</row>
    <row r="1144" ht="15.75" customHeight="1">
      <c r="A1144" s="33"/>
      <c r="B1144" s="33"/>
      <c r="C1144" s="33"/>
      <c r="D1144" s="33"/>
      <c r="E1144" s="33"/>
      <c r="F1144" s="33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</row>
    <row r="1145" ht="15.75" customHeight="1">
      <c r="A1145" s="33"/>
      <c r="B1145" s="33"/>
      <c r="C1145" s="33"/>
      <c r="D1145" s="33"/>
      <c r="E1145" s="33"/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</row>
    <row r="1146" ht="15.75" customHeight="1">
      <c r="A1146" s="33"/>
      <c r="B1146" s="33"/>
      <c r="C1146" s="33"/>
      <c r="D1146" s="33"/>
      <c r="E1146" s="33"/>
      <c r="F1146" s="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</row>
    <row r="1147" ht="15.75" customHeight="1">
      <c r="A1147" s="33"/>
      <c r="B1147" s="33"/>
      <c r="C1147" s="33"/>
      <c r="D1147" s="33"/>
      <c r="E1147" s="33"/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</row>
    <row r="1148" ht="15.75" customHeight="1">
      <c r="A1148" s="33"/>
      <c r="B1148" s="33"/>
      <c r="C1148" s="33"/>
      <c r="D1148" s="33"/>
      <c r="E1148" s="33"/>
      <c r="F1148" s="33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</row>
    <row r="1149" ht="15.75" customHeight="1">
      <c r="A1149" s="33"/>
      <c r="B1149" s="33"/>
      <c r="C1149" s="33"/>
      <c r="D1149" s="33"/>
      <c r="E1149" s="33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</row>
    <row r="1150" ht="15.75" customHeight="1">
      <c r="A1150" s="33"/>
      <c r="B1150" s="33"/>
      <c r="C1150" s="33"/>
      <c r="D1150" s="33"/>
      <c r="E1150" s="33"/>
      <c r="F1150" s="33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</row>
    <row r="1151" ht="15.75" customHeight="1">
      <c r="A1151" s="33"/>
      <c r="B1151" s="33"/>
      <c r="C1151" s="33"/>
      <c r="D1151" s="33"/>
      <c r="E1151" s="33"/>
      <c r="F1151" s="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</row>
    <row r="1152" ht="15.75" customHeight="1">
      <c r="A1152" s="33"/>
      <c r="B1152" s="33"/>
      <c r="C1152" s="33"/>
      <c r="D1152" s="33"/>
      <c r="E1152" s="33"/>
      <c r="F1152" s="33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</row>
    <row r="1153" ht="15.75" customHeight="1">
      <c r="A1153" s="33"/>
      <c r="B1153" s="33"/>
      <c r="C1153" s="33"/>
      <c r="D1153" s="33"/>
      <c r="E1153" s="33"/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</row>
    <row r="1154" ht="15.75" customHeight="1">
      <c r="A1154" s="33"/>
      <c r="B1154" s="33"/>
      <c r="C1154" s="33"/>
      <c r="D1154" s="33"/>
      <c r="E1154" s="33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</row>
    <row r="1155" ht="15.75" customHeight="1">
      <c r="A1155" s="33"/>
      <c r="B1155" s="33"/>
      <c r="C1155" s="33"/>
      <c r="D1155" s="33"/>
      <c r="E1155" s="33"/>
      <c r="F1155" s="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</row>
    <row r="1156" ht="15.75" customHeight="1">
      <c r="A1156" s="33"/>
      <c r="B1156" s="33"/>
      <c r="C1156" s="33"/>
      <c r="D1156" s="33"/>
      <c r="E1156" s="33"/>
      <c r="F1156" s="33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</row>
    <row r="1157" ht="15.75" customHeight="1">
      <c r="A1157" s="33"/>
      <c r="B1157" s="33"/>
      <c r="C1157" s="33"/>
      <c r="D1157" s="33"/>
      <c r="E1157" s="33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</row>
    <row r="1158" ht="15.75" customHeight="1">
      <c r="A1158" s="33"/>
      <c r="B1158" s="33"/>
      <c r="C1158" s="33"/>
      <c r="D1158" s="33"/>
      <c r="E1158" s="33"/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</row>
    <row r="1159" ht="15.75" customHeight="1">
      <c r="A1159" s="33"/>
      <c r="B1159" s="33"/>
      <c r="C1159" s="33"/>
      <c r="D1159" s="33"/>
      <c r="E1159" s="33"/>
      <c r="F1159" s="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</row>
    <row r="1160" ht="15.75" customHeight="1">
      <c r="A1160" s="33"/>
      <c r="B1160" s="33"/>
      <c r="C1160" s="33"/>
      <c r="D1160" s="33"/>
      <c r="E1160" s="33"/>
      <c r="F1160" s="33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</row>
    <row r="1161" ht="15.75" customHeight="1">
      <c r="A1161" s="33"/>
      <c r="B1161" s="33"/>
      <c r="C1161" s="33"/>
      <c r="D1161" s="33"/>
      <c r="E1161" s="33"/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</row>
    <row r="1162" ht="15.75" customHeight="1">
      <c r="A1162" s="33"/>
      <c r="B1162" s="33"/>
      <c r="C1162" s="33"/>
      <c r="D1162" s="33"/>
      <c r="E1162" s="33"/>
      <c r="F1162" s="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</row>
    <row r="1163" ht="15.75" customHeight="1">
      <c r="A1163" s="33"/>
      <c r="B1163" s="33"/>
      <c r="C1163" s="33"/>
      <c r="D1163" s="33"/>
      <c r="E1163" s="33"/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</row>
    <row r="1164" ht="15.75" customHeight="1">
      <c r="A1164" s="33"/>
      <c r="B1164" s="33"/>
      <c r="C1164" s="33"/>
      <c r="D1164" s="33"/>
      <c r="E1164" s="33"/>
      <c r="F1164" s="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</row>
    <row r="1165" ht="15.75" customHeight="1">
      <c r="A1165" s="33"/>
      <c r="B1165" s="33"/>
      <c r="C1165" s="33"/>
      <c r="D1165" s="33"/>
      <c r="E1165" s="33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</row>
    <row r="1166" ht="15.75" customHeight="1">
      <c r="A1166" s="33"/>
      <c r="B1166" s="33"/>
      <c r="C1166" s="33"/>
      <c r="D1166" s="33"/>
      <c r="E1166" s="33"/>
      <c r="F1166" s="33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</row>
    <row r="1167" ht="15.75" customHeight="1">
      <c r="A1167" s="33"/>
      <c r="B1167" s="33"/>
      <c r="C1167" s="33"/>
      <c r="D1167" s="33"/>
      <c r="E1167" s="33"/>
      <c r="F1167" s="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</row>
    <row r="1168" ht="15.75" customHeight="1">
      <c r="A1168" s="33"/>
      <c r="B1168" s="33"/>
      <c r="C1168" s="33"/>
      <c r="D1168" s="33"/>
      <c r="E1168" s="33"/>
      <c r="F1168" s="33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</row>
    <row r="1169" ht="15.75" customHeight="1">
      <c r="A1169" s="33"/>
      <c r="B1169" s="33"/>
      <c r="C1169" s="33"/>
      <c r="D1169" s="33"/>
      <c r="E1169" s="33"/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</row>
    <row r="1170" ht="15.75" customHeight="1">
      <c r="A1170" s="33"/>
      <c r="B1170" s="33"/>
      <c r="C1170" s="33"/>
      <c r="D1170" s="33"/>
      <c r="E1170" s="33"/>
      <c r="F1170" s="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</row>
    <row r="1171" ht="15.75" customHeight="1">
      <c r="A1171" s="33"/>
      <c r="B1171" s="33"/>
      <c r="C1171" s="33"/>
      <c r="D1171" s="33"/>
      <c r="E1171" s="33"/>
      <c r="F1171" s="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</row>
    <row r="1172" ht="15.75" customHeight="1">
      <c r="A1172" s="33"/>
      <c r="B1172" s="33"/>
      <c r="C1172" s="33"/>
      <c r="D1172" s="33"/>
      <c r="E1172" s="33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</row>
    <row r="1173" ht="15.75" customHeight="1">
      <c r="A1173" s="33"/>
      <c r="B1173" s="33"/>
      <c r="C1173" s="33"/>
      <c r="D1173" s="33"/>
      <c r="E1173" s="33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</row>
    <row r="1174" ht="15.75" customHeight="1">
      <c r="A1174" s="33"/>
      <c r="B1174" s="33"/>
      <c r="C1174" s="33"/>
      <c r="D1174" s="33"/>
      <c r="E1174" s="33"/>
      <c r="F1174" s="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</row>
    <row r="1175" ht="15.75" customHeight="1">
      <c r="A1175" s="33"/>
      <c r="B1175" s="33"/>
      <c r="C1175" s="33"/>
      <c r="D1175" s="33"/>
      <c r="E1175" s="33"/>
      <c r="F1175" s="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</row>
    <row r="1176" ht="15.75" customHeight="1">
      <c r="A1176" s="33"/>
      <c r="B1176" s="33"/>
      <c r="C1176" s="33"/>
      <c r="D1176" s="33"/>
      <c r="E1176" s="33"/>
      <c r="F1176" s="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</row>
    <row r="1177" ht="15.75" customHeight="1">
      <c r="A1177" s="33"/>
      <c r="B1177" s="33"/>
      <c r="C1177" s="33"/>
      <c r="D1177" s="33"/>
      <c r="E1177" s="33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</row>
    <row r="1178" ht="15.75" customHeight="1">
      <c r="A1178" s="33"/>
      <c r="B1178" s="33"/>
      <c r="C1178" s="33"/>
      <c r="D1178" s="33"/>
      <c r="E1178" s="33"/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</row>
    <row r="1179" ht="15.75" customHeight="1">
      <c r="A1179" s="33"/>
      <c r="B1179" s="33"/>
      <c r="C1179" s="33"/>
      <c r="D1179" s="33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</row>
    <row r="1180" ht="15.75" customHeight="1">
      <c r="A1180" s="33"/>
      <c r="B1180" s="33"/>
      <c r="C1180" s="33"/>
      <c r="D1180" s="33"/>
      <c r="E1180" s="33"/>
      <c r="F1180" s="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</row>
    <row r="1181" ht="15.75" customHeight="1">
      <c r="A1181" s="33"/>
      <c r="B1181" s="33"/>
      <c r="C1181" s="33"/>
      <c r="D1181" s="33"/>
      <c r="E1181" s="33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</row>
    <row r="1182" ht="15.75" customHeight="1">
      <c r="A1182" s="33"/>
      <c r="B1182" s="33"/>
      <c r="C1182" s="33"/>
      <c r="D1182" s="33"/>
      <c r="E1182" s="33"/>
      <c r="F1182" s="33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</row>
    <row r="1183" ht="15.75" customHeight="1">
      <c r="A1183" s="33"/>
      <c r="B1183" s="33"/>
      <c r="C1183" s="33"/>
      <c r="D1183" s="33"/>
      <c r="E1183" s="33"/>
      <c r="F1183" s="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</row>
    <row r="1184" ht="15.75" customHeight="1">
      <c r="A1184" s="33"/>
      <c r="B1184" s="33"/>
      <c r="C1184" s="33"/>
      <c r="D1184" s="33"/>
      <c r="E1184" s="33"/>
      <c r="F1184" s="33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</row>
    <row r="1185" ht="15.75" customHeight="1">
      <c r="A1185" s="33"/>
      <c r="B1185" s="33"/>
      <c r="C1185" s="33"/>
      <c r="D1185" s="33"/>
      <c r="E1185" s="33"/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</row>
    <row r="1186" ht="15.75" customHeight="1">
      <c r="A1186" s="33"/>
      <c r="B1186" s="33"/>
      <c r="C1186" s="33"/>
      <c r="D1186" s="33"/>
      <c r="E1186" s="33"/>
      <c r="F1186" s="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</row>
    <row r="1187" ht="15.75" customHeight="1">
      <c r="A1187" s="33"/>
      <c r="B1187" s="33"/>
      <c r="C1187" s="33"/>
      <c r="D1187" s="33"/>
      <c r="E1187" s="33"/>
      <c r="F1187" s="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</row>
    <row r="1188" ht="15.75" customHeight="1">
      <c r="A1188" s="33"/>
      <c r="B1188" s="33"/>
      <c r="C1188" s="33"/>
      <c r="D1188" s="33"/>
      <c r="E1188" s="33"/>
      <c r="F1188" s="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</row>
    <row r="1189" ht="15.75" customHeight="1">
      <c r="A1189" s="33"/>
      <c r="B1189" s="33"/>
      <c r="C1189" s="33"/>
      <c r="D1189" s="33"/>
      <c r="E1189" s="33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</row>
    <row r="1190" ht="15.75" customHeight="1">
      <c r="A1190" s="33"/>
      <c r="B1190" s="33"/>
      <c r="C1190" s="33"/>
      <c r="D1190" s="33"/>
      <c r="E1190" s="33"/>
      <c r="F1190" s="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</row>
    <row r="1191" ht="15.75" customHeight="1">
      <c r="A1191" s="33"/>
      <c r="B1191" s="33"/>
      <c r="C1191" s="33"/>
      <c r="D1191" s="33"/>
      <c r="E1191" s="33"/>
      <c r="F1191" s="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</row>
    <row r="1192" ht="15.75" customHeight="1">
      <c r="A1192" s="33"/>
      <c r="B1192" s="33"/>
      <c r="C1192" s="33"/>
      <c r="D1192" s="33"/>
      <c r="E1192" s="33"/>
      <c r="F1192" s="33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</row>
    <row r="1193" ht="15.75" customHeight="1">
      <c r="A1193" s="33"/>
      <c r="B1193" s="33"/>
      <c r="C1193" s="33"/>
      <c r="D1193" s="33"/>
      <c r="E1193" s="33"/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</row>
    <row r="1194" ht="15.75" customHeight="1">
      <c r="A1194" s="33"/>
      <c r="B1194" s="33"/>
      <c r="C1194" s="33"/>
      <c r="D1194" s="33"/>
      <c r="E1194" s="33"/>
      <c r="F1194" s="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</row>
    <row r="1195" ht="15.75" customHeight="1">
      <c r="A1195" s="33"/>
      <c r="B1195" s="33"/>
      <c r="C1195" s="33"/>
      <c r="D1195" s="33"/>
      <c r="E1195" s="33"/>
      <c r="F1195" s="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</row>
    <row r="1196" ht="15.75" customHeight="1">
      <c r="A1196" s="33"/>
      <c r="B1196" s="33"/>
      <c r="C1196" s="33"/>
      <c r="D1196" s="33"/>
      <c r="E1196" s="33"/>
      <c r="F1196" s="33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</row>
    <row r="1197" ht="15.75" customHeight="1">
      <c r="A1197" s="33"/>
      <c r="B1197" s="33"/>
      <c r="C1197" s="33"/>
      <c r="D1197" s="33"/>
      <c r="E1197" s="33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</row>
    <row r="1198" ht="15.75" customHeight="1">
      <c r="A1198" s="33"/>
      <c r="B1198" s="33"/>
      <c r="C1198" s="33"/>
      <c r="D1198" s="33"/>
      <c r="E1198" s="33"/>
      <c r="F1198" s="33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</row>
    <row r="1199" ht="15.75" customHeight="1">
      <c r="A1199" s="33"/>
      <c r="B1199" s="33"/>
      <c r="C1199" s="33"/>
      <c r="D1199" s="33"/>
      <c r="E1199" s="33"/>
      <c r="F1199" s="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</row>
    <row r="1200" ht="15.75" customHeight="1">
      <c r="A1200" s="33"/>
      <c r="B1200" s="33"/>
      <c r="C1200" s="33"/>
      <c r="D1200" s="33"/>
      <c r="E1200" s="33"/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</row>
    <row r="1201" ht="15.75" customHeight="1">
      <c r="A1201" s="33"/>
      <c r="B1201" s="33"/>
      <c r="C1201" s="33"/>
      <c r="D1201" s="33"/>
      <c r="E1201" s="33"/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</row>
    <row r="1202" ht="15.75" customHeight="1">
      <c r="A1202" s="33"/>
      <c r="B1202" s="33"/>
      <c r="C1202" s="33"/>
      <c r="D1202" s="33"/>
      <c r="E1202" s="33"/>
      <c r="F1202" s="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</row>
    <row r="1203" ht="15.75" customHeight="1">
      <c r="A1203" s="33"/>
      <c r="B1203" s="33"/>
      <c r="C1203" s="33"/>
      <c r="D1203" s="33"/>
      <c r="E1203" s="33"/>
      <c r="F1203" s="33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</row>
    <row r="1204" ht="15.75" customHeight="1">
      <c r="A1204" s="33"/>
      <c r="B1204" s="33"/>
      <c r="C1204" s="33"/>
      <c r="D1204" s="33"/>
      <c r="E1204" s="33"/>
      <c r="F1204" s="33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</row>
    <row r="1205" ht="15.75" customHeight="1">
      <c r="A1205" s="33"/>
      <c r="B1205" s="33"/>
      <c r="C1205" s="33"/>
      <c r="D1205" s="33"/>
      <c r="E1205" s="33"/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</row>
    <row r="1206" ht="15.75" customHeight="1">
      <c r="A1206" s="33"/>
      <c r="B1206" s="33"/>
      <c r="C1206" s="33"/>
      <c r="D1206" s="33"/>
      <c r="E1206" s="33"/>
      <c r="F1206" s="33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</row>
    <row r="1207" ht="15.75" customHeight="1">
      <c r="A1207" s="33"/>
      <c r="B1207" s="33"/>
      <c r="C1207" s="33"/>
      <c r="D1207" s="33"/>
      <c r="E1207" s="33"/>
      <c r="F1207" s="33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</row>
    <row r="1208" ht="15.75" customHeight="1">
      <c r="A1208" s="33"/>
      <c r="B1208" s="33"/>
      <c r="C1208" s="33"/>
      <c r="D1208" s="33"/>
      <c r="E1208" s="33"/>
      <c r="F1208" s="33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</row>
    <row r="1209" ht="15.75" customHeight="1">
      <c r="A1209" s="33"/>
      <c r="B1209" s="33"/>
      <c r="C1209" s="33"/>
      <c r="D1209" s="33"/>
      <c r="E1209" s="33"/>
      <c r="F1209" s="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</row>
    <row r="1210" ht="15.75" customHeight="1">
      <c r="A1210" s="33"/>
      <c r="B1210" s="33"/>
      <c r="C1210" s="33"/>
      <c r="D1210" s="33"/>
      <c r="E1210" s="33"/>
      <c r="F1210" s="33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</row>
    <row r="1211" ht="15.75" customHeight="1">
      <c r="A1211" s="33"/>
      <c r="B1211" s="33"/>
      <c r="C1211" s="33"/>
      <c r="D1211" s="33"/>
      <c r="E1211" s="33"/>
      <c r="F1211" s="33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</row>
    <row r="1212" ht="15.75" customHeight="1">
      <c r="A1212" s="33"/>
      <c r="B1212" s="33"/>
      <c r="C1212" s="33"/>
      <c r="D1212" s="33"/>
      <c r="E1212" s="33"/>
      <c r="F1212" s="33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</row>
    <row r="1213" ht="15.75" customHeight="1">
      <c r="A1213" s="33"/>
      <c r="B1213" s="33"/>
      <c r="C1213" s="33"/>
      <c r="D1213" s="33"/>
      <c r="E1213" s="33"/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</row>
    <row r="1214" ht="15.75" customHeight="1">
      <c r="A1214" s="33"/>
      <c r="B1214" s="33"/>
      <c r="C1214" s="33"/>
      <c r="D1214" s="33"/>
      <c r="E1214" s="33"/>
      <c r="F1214" s="33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</row>
    <row r="1215" ht="15.75" customHeight="1">
      <c r="A1215" s="33"/>
      <c r="B1215" s="33"/>
      <c r="C1215" s="33"/>
      <c r="D1215" s="33"/>
      <c r="E1215" s="33"/>
      <c r="F1215" s="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</row>
    <row r="1216" ht="15.75" customHeight="1">
      <c r="A1216" s="33"/>
      <c r="B1216" s="33"/>
      <c r="C1216" s="33"/>
      <c r="D1216" s="33"/>
      <c r="E1216" s="33"/>
      <c r="F1216" s="33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</row>
    <row r="1217" ht="15.75" customHeight="1">
      <c r="A1217" s="33"/>
      <c r="B1217" s="33"/>
      <c r="C1217" s="33"/>
      <c r="D1217" s="33"/>
      <c r="E1217" s="33"/>
      <c r="F1217" s="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</row>
    <row r="1218" ht="15.75" customHeight="1">
      <c r="A1218" s="33"/>
      <c r="B1218" s="33"/>
      <c r="C1218" s="33"/>
      <c r="D1218" s="33"/>
      <c r="E1218" s="33"/>
      <c r="F1218" s="33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</row>
    <row r="1219" ht="15.75" customHeight="1">
      <c r="A1219" s="33"/>
      <c r="B1219" s="33"/>
      <c r="C1219" s="33"/>
      <c r="D1219" s="33"/>
      <c r="E1219" s="33"/>
      <c r="F1219" s="33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</row>
    <row r="1220" ht="15.75" customHeight="1">
      <c r="A1220" s="33"/>
      <c r="B1220" s="33"/>
      <c r="C1220" s="33"/>
      <c r="D1220" s="33"/>
      <c r="E1220" s="33"/>
      <c r="F1220" s="33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</row>
    <row r="1221" ht="15.75" customHeight="1">
      <c r="A1221" s="33"/>
      <c r="B1221" s="33"/>
      <c r="C1221" s="33"/>
      <c r="D1221" s="33"/>
      <c r="E1221" s="33"/>
      <c r="F1221" s="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</row>
    <row r="1222" ht="15.75" customHeight="1">
      <c r="A1222" s="33"/>
      <c r="B1222" s="33"/>
      <c r="C1222" s="33"/>
      <c r="D1222" s="33"/>
      <c r="E1222" s="33"/>
      <c r="F1222" s="33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</row>
    <row r="1223" ht="15.75" customHeight="1">
      <c r="A1223" s="33"/>
      <c r="B1223" s="33"/>
      <c r="C1223" s="33"/>
      <c r="D1223" s="33"/>
      <c r="E1223" s="33"/>
      <c r="F1223" s="33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</row>
    <row r="1224" ht="15.75" customHeight="1">
      <c r="A1224" s="33"/>
      <c r="B1224" s="33"/>
      <c r="C1224" s="33"/>
      <c r="D1224" s="33"/>
      <c r="E1224" s="33"/>
      <c r="F1224" s="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</row>
    <row r="1225" ht="15.75" customHeight="1">
      <c r="A1225" s="33"/>
      <c r="B1225" s="33"/>
      <c r="C1225" s="33"/>
      <c r="D1225" s="33"/>
      <c r="E1225" s="33"/>
      <c r="F1225" s="33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</row>
    <row r="1226" ht="15.75" customHeight="1">
      <c r="A1226" s="33"/>
      <c r="B1226" s="33"/>
      <c r="C1226" s="33"/>
      <c r="D1226" s="33"/>
      <c r="E1226" s="33"/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</row>
    <row r="1227" ht="15.75" customHeight="1">
      <c r="A1227" s="33"/>
      <c r="B1227" s="33"/>
      <c r="C1227" s="33"/>
      <c r="D1227" s="33"/>
      <c r="E1227" s="33"/>
      <c r="F1227" s="33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</row>
    <row r="1228" ht="15.75" customHeight="1">
      <c r="A1228" s="33"/>
      <c r="B1228" s="33"/>
      <c r="C1228" s="33"/>
      <c r="D1228" s="33"/>
      <c r="E1228" s="33"/>
      <c r="F1228" s="33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</row>
    <row r="1229" ht="15.75" customHeight="1">
      <c r="A1229" s="33"/>
      <c r="B1229" s="33"/>
      <c r="C1229" s="33"/>
      <c r="D1229" s="33"/>
      <c r="E1229" s="33"/>
      <c r="F1229" s="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</row>
    <row r="1230" ht="15.75" customHeight="1">
      <c r="A1230" s="33"/>
      <c r="B1230" s="33"/>
      <c r="C1230" s="33"/>
      <c r="D1230" s="33"/>
      <c r="E1230" s="33"/>
      <c r="F1230" s="33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</row>
    <row r="1231" ht="15.75" customHeight="1">
      <c r="A1231" s="33"/>
      <c r="B1231" s="33"/>
      <c r="C1231" s="33"/>
      <c r="D1231" s="33"/>
      <c r="E1231" s="33"/>
      <c r="F1231" s="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</row>
    <row r="1232" ht="15.75" customHeight="1">
      <c r="A1232" s="33"/>
      <c r="B1232" s="33"/>
      <c r="C1232" s="33"/>
      <c r="D1232" s="33"/>
      <c r="E1232" s="33"/>
      <c r="F1232" s="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</row>
    <row r="1233" ht="15.75" customHeight="1">
      <c r="A1233" s="33"/>
      <c r="B1233" s="33"/>
      <c r="C1233" s="33"/>
      <c r="D1233" s="33"/>
      <c r="E1233" s="33"/>
      <c r="F1233" s="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</row>
    <row r="1234" ht="15.75" customHeight="1">
      <c r="A1234" s="33"/>
      <c r="B1234" s="33"/>
      <c r="C1234" s="33"/>
      <c r="D1234" s="33"/>
      <c r="E1234" s="33"/>
      <c r="F1234" s="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</row>
    <row r="1235" ht="15.75" customHeight="1">
      <c r="A1235" s="33"/>
      <c r="B1235" s="33"/>
      <c r="C1235" s="33"/>
      <c r="D1235" s="33"/>
      <c r="E1235" s="33"/>
      <c r="F1235" s="33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</row>
    <row r="1236" ht="15.75" customHeight="1">
      <c r="A1236" s="33"/>
      <c r="B1236" s="33"/>
      <c r="C1236" s="33"/>
      <c r="D1236" s="33"/>
      <c r="E1236" s="33"/>
      <c r="F1236" s="33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</row>
    <row r="1237" ht="15.75" customHeight="1">
      <c r="A1237" s="33"/>
      <c r="B1237" s="33"/>
      <c r="C1237" s="33"/>
      <c r="D1237" s="33"/>
      <c r="E1237" s="33"/>
      <c r="F1237" s="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</row>
    <row r="1238" ht="15.75" customHeight="1">
      <c r="A1238" s="33"/>
      <c r="B1238" s="33"/>
      <c r="C1238" s="33"/>
      <c r="D1238" s="33"/>
      <c r="E1238" s="33"/>
      <c r="F1238" s="33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</row>
    <row r="1239" ht="15.75" customHeight="1">
      <c r="A1239" s="33"/>
      <c r="B1239" s="33"/>
      <c r="C1239" s="33"/>
      <c r="D1239" s="33"/>
      <c r="E1239" s="33"/>
      <c r="F1239" s="33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</row>
    <row r="1240" ht="15.75" customHeight="1">
      <c r="A1240" s="33"/>
      <c r="B1240" s="33"/>
      <c r="C1240" s="33"/>
      <c r="D1240" s="33"/>
      <c r="E1240" s="33"/>
      <c r="F1240" s="33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</row>
    <row r="1241" ht="15.75" customHeight="1">
      <c r="A1241" s="33"/>
      <c r="B1241" s="33"/>
      <c r="C1241" s="33"/>
      <c r="D1241" s="33"/>
      <c r="E1241" s="33"/>
      <c r="F1241" s="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</row>
    <row r="1242" ht="15.75" customHeight="1">
      <c r="A1242" s="33"/>
      <c r="B1242" s="33"/>
      <c r="C1242" s="33"/>
      <c r="D1242" s="33"/>
      <c r="E1242" s="33"/>
      <c r="F1242" s="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</row>
    <row r="1243" ht="15.75" customHeight="1">
      <c r="A1243" s="33"/>
      <c r="B1243" s="33"/>
      <c r="C1243" s="33"/>
      <c r="D1243" s="33"/>
      <c r="E1243" s="33"/>
      <c r="F1243" s="33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</row>
    <row r="1244" ht="15.75" customHeight="1">
      <c r="A1244" s="33"/>
      <c r="B1244" s="33"/>
      <c r="C1244" s="33"/>
      <c r="D1244" s="33"/>
      <c r="E1244" s="33"/>
      <c r="F1244" s="33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</row>
    <row r="1245" ht="15.75" customHeight="1">
      <c r="A1245" s="33"/>
      <c r="B1245" s="33"/>
      <c r="C1245" s="33"/>
      <c r="D1245" s="33"/>
      <c r="E1245" s="33"/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</row>
    <row r="1246" ht="15.75" customHeight="1">
      <c r="A1246" s="33"/>
      <c r="B1246" s="33"/>
      <c r="C1246" s="33"/>
      <c r="D1246" s="33"/>
      <c r="E1246" s="33"/>
      <c r="F1246" s="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</row>
    <row r="1247" ht="15.75" customHeight="1">
      <c r="A1247" s="33"/>
      <c r="B1247" s="33"/>
      <c r="C1247" s="33"/>
      <c r="D1247" s="33"/>
      <c r="E1247" s="33"/>
      <c r="F1247" s="33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</row>
    <row r="1248" ht="15.75" customHeight="1">
      <c r="A1248" s="33"/>
      <c r="B1248" s="33"/>
      <c r="C1248" s="33"/>
      <c r="D1248" s="33"/>
      <c r="E1248" s="33"/>
      <c r="F1248" s="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</row>
    <row r="1249" ht="15.75" customHeight="1">
      <c r="A1249" s="33"/>
      <c r="B1249" s="33"/>
      <c r="C1249" s="33"/>
      <c r="D1249" s="33"/>
      <c r="E1249" s="33"/>
      <c r="F1249" s="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</row>
    <row r="1250" ht="15.75" customHeight="1">
      <c r="A1250" s="33"/>
      <c r="B1250" s="33"/>
      <c r="C1250" s="33"/>
      <c r="D1250" s="33"/>
      <c r="E1250" s="33"/>
      <c r="F1250" s="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</row>
    <row r="1251" ht="15.75" customHeight="1">
      <c r="A1251" s="33"/>
      <c r="B1251" s="33"/>
      <c r="C1251" s="33"/>
      <c r="D1251" s="33"/>
      <c r="E1251" s="33"/>
      <c r="F1251" s="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</row>
    <row r="1252" ht="15.75" customHeight="1">
      <c r="A1252" s="33"/>
      <c r="B1252" s="33"/>
      <c r="C1252" s="33"/>
      <c r="D1252" s="33"/>
      <c r="E1252" s="33"/>
      <c r="F1252" s="33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</row>
    <row r="1253" ht="15.75" customHeight="1">
      <c r="A1253" s="33"/>
      <c r="B1253" s="33"/>
      <c r="C1253" s="33"/>
      <c r="D1253" s="33"/>
      <c r="E1253" s="33"/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</row>
    <row r="1254" ht="15.75" customHeight="1">
      <c r="A1254" s="33"/>
      <c r="B1254" s="33"/>
      <c r="C1254" s="33"/>
      <c r="D1254" s="33"/>
      <c r="E1254" s="33"/>
      <c r="F1254" s="33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</row>
    <row r="1255" ht="15.75" customHeight="1">
      <c r="A1255" s="33"/>
      <c r="B1255" s="33"/>
      <c r="C1255" s="33"/>
      <c r="D1255" s="33"/>
      <c r="E1255" s="33"/>
      <c r="F1255" s="33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</row>
    <row r="1256" ht="15.75" customHeight="1">
      <c r="A1256" s="33"/>
      <c r="B1256" s="33"/>
      <c r="C1256" s="33"/>
      <c r="D1256" s="33"/>
      <c r="E1256" s="33"/>
      <c r="F1256" s="33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</row>
    <row r="1257" ht="15.75" customHeight="1">
      <c r="A1257" s="33"/>
      <c r="B1257" s="33"/>
      <c r="C1257" s="33"/>
      <c r="D1257" s="33"/>
      <c r="E1257" s="33"/>
      <c r="F1257" s="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</row>
    <row r="1258" ht="15.75" customHeight="1">
      <c r="A1258" s="33"/>
      <c r="B1258" s="33"/>
      <c r="C1258" s="33"/>
      <c r="D1258" s="33"/>
      <c r="E1258" s="33"/>
      <c r="F1258" s="33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</row>
    <row r="1259" ht="15.75" customHeight="1">
      <c r="A1259" s="33"/>
      <c r="B1259" s="33"/>
      <c r="C1259" s="33"/>
      <c r="D1259" s="33"/>
      <c r="E1259" s="33"/>
      <c r="F1259" s="33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</row>
    <row r="1260" ht="15.75" customHeight="1">
      <c r="A1260" s="33"/>
      <c r="B1260" s="33"/>
      <c r="C1260" s="33"/>
      <c r="D1260" s="33"/>
      <c r="E1260" s="33"/>
      <c r="F1260" s="33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</row>
    <row r="1261" ht="15.75" customHeight="1">
      <c r="A1261" s="33"/>
      <c r="B1261" s="33"/>
      <c r="C1261" s="33"/>
      <c r="D1261" s="33"/>
      <c r="E1261" s="33"/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</row>
    <row r="1262" ht="15.75" customHeight="1">
      <c r="A1262" s="33"/>
      <c r="B1262" s="33"/>
      <c r="C1262" s="33"/>
      <c r="D1262" s="33"/>
      <c r="E1262" s="33"/>
      <c r="F1262" s="33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</row>
    <row r="1263" ht="15.75" customHeight="1">
      <c r="A1263" s="33"/>
      <c r="B1263" s="33"/>
      <c r="C1263" s="33"/>
      <c r="D1263" s="33"/>
      <c r="E1263" s="33"/>
      <c r="F1263" s="33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</row>
    <row r="1264" ht="15.75" customHeight="1">
      <c r="A1264" s="33"/>
      <c r="B1264" s="33"/>
      <c r="C1264" s="33"/>
      <c r="D1264" s="33"/>
      <c r="E1264" s="33"/>
      <c r="F1264" s="33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</row>
    <row r="1265" ht="15.75" customHeight="1">
      <c r="A1265" s="33"/>
      <c r="B1265" s="33"/>
      <c r="C1265" s="33"/>
      <c r="D1265" s="33"/>
      <c r="E1265" s="33"/>
      <c r="F1265" s="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</row>
    <row r="1266" ht="15.75" customHeight="1">
      <c r="A1266" s="33"/>
      <c r="B1266" s="33"/>
      <c r="C1266" s="33"/>
      <c r="D1266" s="33"/>
      <c r="E1266" s="33"/>
      <c r="F1266" s="33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</row>
    <row r="1267" ht="15.75" customHeight="1">
      <c r="A1267" s="33"/>
      <c r="B1267" s="33"/>
      <c r="C1267" s="33"/>
      <c r="D1267" s="33"/>
      <c r="E1267" s="33"/>
      <c r="F1267" s="33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</row>
    <row r="1268" ht="15.75" customHeight="1">
      <c r="A1268" s="33"/>
      <c r="B1268" s="33"/>
      <c r="C1268" s="33"/>
      <c r="D1268" s="33"/>
      <c r="E1268" s="33"/>
      <c r="F1268" s="33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</row>
    <row r="1269" ht="15.75" customHeight="1">
      <c r="A1269" s="33"/>
      <c r="B1269" s="33"/>
      <c r="C1269" s="33"/>
      <c r="D1269" s="33"/>
      <c r="E1269" s="33"/>
      <c r="F1269" s="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</row>
    <row r="1270" ht="15.75" customHeight="1">
      <c r="A1270" s="33"/>
      <c r="B1270" s="33"/>
      <c r="C1270" s="33"/>
      <c r="D1270" s="33"/>
      <c r="E1270" s="33"/>
      <c r="F1270" s="33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</row>
    <row r="1271" ht="15.75" customHeight="1">
      <c r="A1271" s="33"/>
      <c r="B1271" s="33"/>
      <c r="C1271" s="33"/>
      <c r="D1271" s="33"/>
      <c r="E1271" s="33"/>
      <c r="F1271" s="33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</row>
    <row r="1272" ht="15.75" customHeight="1">
      <c r="A1272" s="33"/>
      <c r="B1272" s="33"/>
      <c r="C1272" s="33"/>
      <c r="D1272" s="33"/>
      <c r="E1272" s="33"/>
      <c r="F1272" s="33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</row>
    <row r="1273" ht="15.75" customHeight="1">
      <c r="A1273" s="33"/>
      <c r="B1273" s="33"/>
      <c r="C1273" s="33"/>
      <c r="D1273" s="33"/>
      <c r="E1273" s="33"/>
      <c r="F1273" s="33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</row>
    <row r="1274" ht="15.75" customHeight="1">
      <c r="A1274" s="33"/>
      <c r="B1274" s="33"/>
      <c r="C1274" s="33"/>
      <c r="D1274" s="33"/>
      <c r="E1274" s="33"/>
      <c r="F1274" s="33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</row>
    <row r="1275" ht="15.75" customHeight="1">
      <c r="A1275" s="33"/>
      <c r="B1275" s="33"/>
      <c r="C1275" s="33"/>
      <c r="D1275" s="33"/>
      <c r="E1275" s="33"/>
      <c r="F1275" s="33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</row>
    <row r="1276" ht="15.75" customHeight="1">
      <c r="A1276" s="33"/>
      <c r="B1276" s="33"/>
      <c r="C1276" s="33"/>
      <c r="D1276" s="33"/>
      <c r="E1276" s="33"/>
      <c r="F1276" s="33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</row>
    <row r="1277" ht="15.75" customHeight="1">
      <c r="A1277" s="33"/>
      <c r="B1277" s="33"/>
      <c r="C1277" s="33"/>
      <c r="D1277" s="33"/>
      <c r="E1277" s="33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</row>
    <row r="1278" ht="15.75" customHeight="1">
      <c r="A1278" s="33"/>
      <c r="B1278" s="33"/>
      <c r="C1278" s="33"/>
      <c r="D1278" s="33"/>
      <c r="E1278" s="33"/>
      <c r="F1278" s="33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</row>
    <row r="1279" ht="15.75" customHeight="1">
      <c r="A1279" s="33"/>
      <c r="B1279" s="33"/>
      <c r="C1279" s="33"/>
      <c r="D1279" s="33"/>
      <c r="E1279" s="33"/>
      <c r="F1279" s="33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</row>
    <row r="1280" ht="15.75" customHeight="1">
      <c r="A1280" s="33"/>
      <c r="B1280" s="33"/>
      <c r="C1280" s="33"/>
      <c r="D1280" s="33"/>
      <c r="E1280" s="33"/>
      <c r="F1280" s="33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</row>
    <row r="1281" ht="15.75" customHeight="1">
      <c r="A1281" s="33"/>
      <c r="B1281" s="33"/>
      <c r="C1281" s="33"/>
      <c r="D1281" s="33"/>
      <c r="E1281" s="33"/>
      <c r="F1281" s="33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</row>
    <row r="1282" ht="15.75" customHeight="1">
      <c r="A1282" s="33"/>
      <c r="B1282" s="33"/>
      <c r="C1282" s="33"/>
      <c r="D1282" s="33"/>
      <c r="E1282" s="33"/>
      <c r="F1282" s="33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</row>
    <row r="1283" ht="15.75" customHeight="1">
      <c r="A1283" s="33"/>
      <c r="B1283" s="33"/>
      <c r="C1283" s="33"/>
      <c r="D1283" s="33"/>
      <c r="E1283" s="33"/>
      <c r="F1283" s="33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</row>
    <row r="1284" ht="15.75" customHeight="1">
      <c r="A1284" s="33"/>
      <c r="B1284" s="33"/>
      <c r="C1284" s="33"/>
      <c r="D1284" s="33"/>
      <c r="E1284" s="33"/>
      <c r="F1284" s="33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</row>
    <row r="1285" ht="15.75" customHeight="1">
      <c r="A1285" s="33"/>
      <c r="B1285" s="33"/>
      <c r="C1285" s="33"/>
      <c r="D1285" s="33"/>
      <c r="E1285" s="33"/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</row>
    <row r="1286" ht="15.75" customHeight="1">
      <c r="A1286" s="33"/>
      <c r="B1286" s="33"/>
      <c r="C1286" s="33"/>
      <c r="D1286" s="33"/>
      <c r="E1286" s="33"/>
      <c r="F1286" s="33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</row>
    <row r="1287" ht="15.75" customHeight="1">
      <c r="A1287" s="33"/>
      <c r="B1287" s="33"/>
      <c r="C1287" s="33"/>
      <c r="D1287" s="33"/>
      <c r="E1287" s="33"/>
      <c r="F1287" s="33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</row>
    <row r="1288" ht="15.75" customHeight="1">
      <c r="A1288" s="33"/>
      <c r="B1288" s="33"/>
      <c r="C1288" s="33"/>
      <c r="D1288" s="33"/>
      <c r="E1288" s="33"/>
      <c r="F1288" s="33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</row>
    <row r="1289" ht="15.75" customHeight="1">
      <c r="A1289" s="33"/>
      <c r="B1289" s="33"/>
      <c r="C1289" s="33"/>
      <c r="D1289" s="33"/>
      <c r="E1289" s="33"/>
      <c r="F1289" s="33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</row>
    <row r="1290" ht="15.75" customHeight="1">
      <c r="A1290" s="33"/>
      <c r="B1290" s="33"/>
      <c r="C1290" s="33"/>
      <c r="D1290" s="33"/>
      <c r="E1290" s="33"/>
      <c r="F1290" s="33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</row>
    <row r="1291" ht="15.75" customHeight="1">
      <c r="A1291" s="33"/>
      <c r="B1291" s="33"/>
      <c r="C1291" s="33"/>
      <c r="D1291" s="33"/>
      <c r="E1291" s="33"/>
      <c r="F1291" s="33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</row>
    <row r="1292" ht="15.75" customHeight="1">
      <c r="A1292" s="33"/>
      <c r="B1292" s="33"/>
      <c r="C1292" s="33"/>
      <c r="D1292" s="33"/>
      <c r="E1292" s="33"/>
      <c r="F1292" s="33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</row>
    <row r="1293" ht="15.75" customHeight="1">
      <c r="A1293" s="33"/>
      <c r="B1293" s="33"/>
      <c r="C1293" s="33"/>
      <c r="D1293" s="33"/>
      <c r="E1293" s="33"/>
      <c r="F1293" s="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</row>
    <row r="1294" ht="15.75" customHeight="1">
      <c r="A1294" s="33"/>
      <c r="B1294" s="33"/>
      <c r="C1294" s="33"/>
      <c r="D1294" s="33"/>
      <c r="E1294" s="33"/>
      <c r="F1294" s="33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</row>
    <row r="1295" ht="15.75" customHeight="1">
      <c r="A1295" s="33"/>
      <c r="B1295" s="33"/>
      <c r="C1295" s="33"/>
      <c r="D1295" s="33"/>
      <c r="E1295" s="33"/>
      <c r="F1295" s="33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</row>
    <row r="1296" ht="15.75" customHeight="1">
      <c r="A1296" s="33"/>
      <c r="B1296" s="33"/>
      <c r="C1296" s="33"/>
      <c r="D1296" s="33"/>
      <c r="E1296" s="33"/>
      <c r="F1296" s="33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</row>
    <row r="1297" ht="15.75" customHeight="1">
      <c r="A1297" s="33"/>
      <c r="B1297" s="33"/>
      <c r="C1297" s="33"/>
      <c r="D1297" s="33"/>
      <c r="E1297" s="33"/>
      <c r="F1297" s="33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</row>
    <row r="1298" ht="15.75" customHeight="1">
      <c r="A1298" s="33"/>
      <c r="B1298" s="33"/>
      <c r="C1298" s="33"/>
      <c r="D1298" s="33"/>
      <c r="E1298" s="33"/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</row>
    <row r="1299" ht="15.75" customHeight="1">
      <c r="A1299" s="33"/>
      <c r="B1299" s="33"/>
      <c r="C1299" s="33"/>
      <c r="D1299" s="33"/>
      <c r="E1299" s="33"/>
      <c r="F1299" s="33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</row>
    <row r="1300" ht="15.75" customHeight="1">
      <c r="A1300" s="33"/>
      <c r="B1300" s="33"/>
      <c r="C1300" s="33"/>
      <c r="D1300" s="33"/>
      <c r="E1300" s="33"/>
      <c r="F1300" s="33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</row>
    <row r="1301" ht="15.75" customHeight="1">
      <c r="A1301" s="33"/>
      <c r="B1301" s="33"/>
      <c r="C1301" s="33"/>
      <c r="D1301" s="33"/>
      <c r="E1301" s="33"/>
      <c r="F1301" s="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</row>
    <row r="1302" ht="15.75" customHeight="1">
      <c r="A1302" s="33"/>
      <c r="B1302" s="33"/>
      <c r="C1302" s="33"/>
      <c r="D1302" s="33"/>
      <c r="E1302" s="33"/>
      <c r="F1302" s="33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</row>
    <row r="1303" ht="15.75" customHeight="1">
      <c r="A1303" s="33"/>
      <c r="B1303" s="33"/>
      <c r="C1303" s="33"/>
      <c r="D1303" s="33"/>
      <c r="E1303" s="33"/>
      <c r="F1303" s="33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</row>
    <row r="1304" ht="15.75" customHeight="1">
      <c r="A1304" s="33"/>
      <c r="B1304" s="33"/>
      <c r="C1304" s="33"/>
      <c r="D1304" s="33"/>
      <c r="E1304" s="33"/>
      <c r="F1304" s="33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</row>
    <row r="1305" ht="15.75" customHeight="1">
      <c r="A1305" s="33"/>
      <c r="B1305" s="33"/>
      <c r="C1305" s="33"/>
      <c r="D1305" s="33"/>
      <c r="E1305" s="33"/>
      <c r="F1305" s="33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</row>
    <row r="1306" ht="15.75" customHeight="1">
      <c r="A1306" s="33"/>
      <c r="B1306" s="33"/>
      <c r="C1306" s="33"/>
      <c r="D1306" s="33"/>
      <c r="E1306" s="33"/>
      <c r="F1306" s="33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</row>
    <row r="1307" ht="15.75" customHeight="1">
      <c r="A1307" s="33"/>
      <c r="B1307" s="33"/>
      <c r="C1307" s="33"/>
      <c r="D1307" s="33"/>
      <c r="E1307" s="33"/>
      <c r="F1307" s="33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</row>
    <row r="1308" ht="15.75" customHeight="1">
      <c r="A1308" s="33"/>
      <c r="B1308" s="33"/>
      <c r="C1308" s="33"/>
      <c r="D1308" s="33"/>
      <c r="E1308" s="33"/>
      <c r="F1308" s="33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</row>
    <row r="1309" ht="15.75" customHeight="1">
      <c r="A1309" s="33"/>
      <c r="B1309" s="33"/>
      <c r="C1309" s="33"/>
      <c r="D1309" s="33"/>
      <c r="E1309" s="33"/>
      <c r="F1309" s="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</row>
    <row r="1310" ht="15.75" customHeight="1">
      <c r="A1310" s="33"/>
      <c r="B1310" s="33"/>
      <c r="C1310" s="33"/>
      <c r="D1310" s="33"/>
      <c r="E1310" s="33"/>
      <c r="F1310" s="33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</row>
    <row r="1311" ht="15.75" customHeight="1">
      <c r="A1311" s="33"/>
      <c r="B1311" s="33"/>
      <c r="C1311" s="33"/>
      <c r="D1311" s="33"/>
      <c r="E1311" s="33"/>
      <c r="F1311" s="33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</row>
    <row r="1312" ht="15.75" customHeight="1">
      <c r="A1312" s="33"/>
      <c r="B1312" s="33"/>
      <c r="C1312" s="33"/>
      <c r="D1312" s="33"/>
      <c r="E1312" s="33"/>
      <c r="F1312" s="33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</row>
    <row r="1313" ht="15.75" customHeight="1">
      <c r="A1313" s="33"/>
      <c r="B1313" s="33"/>
      <c r="C1313" s="33"/>
      <c r="D1313" s="33"/>
      <c r="E1313" s="33"/>
      <c r="F1313" s="33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</row>
    <row r="1314" ht="15.75" customHeight="1">
      <c r="A1314" s="33"/>
      <c r="B1314" s="33"/>
      <c r="C1314" s="33"/>
      <c r="D1314" s="33"/>
      <c r="E1314" s="33"/>
      <c r="F1314" s="33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</row>
    <row r="1315" ht="15.75" customHeight="1">
      <c r="A1315" s="33"/>
      <c r="B1315" s="33"/>
      <c r="C1315" s="33"/>
      <c r="D1315" s="33"/>
      <c r="E1315" s="33"/>
      <c r="F1315" s="33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</row>
    <row r="1316" ht="15.75" customHeight="1">
      <c r="A1316" s="33"/>
      <c r="B1316" s="33"/>
      <c r="C1316" s="33"/>
      <c r="D1316" s="33"/>
      <c r="E1316" s="33"/>
      <c r="F1316" s="33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</row>
    <row r="1317" ht="15.75" customHeight="1">
      <c r="A1317" s="33"/>
      <c r="B1317" s="33"/>
      <c r="C1317" s="33"/>
      <c r="D1317" s="33"/>
      <c r="E1317" s="33"/>
      <c r="F1317" s="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</row>
    <row r="1318" ht="15.75" customHeight="1">
      <c r="A1318" s="33"/>
      <c r="B1318" s="33"/>
      <c r="C1318" s="33"/>
      <c r="D1318" s="33"/>
      <c r="E1318" s="33"/>
      <c r="F1318" s="33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</row>
    <row r="1319" ht="15.75" customHeight="1">
      <c r="A1319" s="33"/>
      <c r="B1319" s="33"/>
      <c r="C1319" s="33"/>
      <c r="D1319" s="33"/>
      <c r="E1319" s="33"/>
      <c r="F1319" s="33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</row>
    <row r="1320" ht="15.75" customHeight="1">
      <c r="A1320" s="33"/>
      <c r="B1320" s="33"/>
      <c r="C1320" s="33"/>
      <c r="D1320" s="33"/>
      <c r="E1320" s="33"/>
      <c r="F1320" s="33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</row>
    <row r="1321" ht="15.75" customHeight="1">
      <c r="A1321" s="33"/>
      <c r="B1321" s="33"/>
      <c r="C1321" s="33"/>
      <c r="D1321" s="33"/>
      <c r="E1321" s="33"/>
      <c r="F1321" s="33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</row>
    <row r="1322" ht="15.75" customHeight="1">
      <c r="A1322" s="33"/>
      <c r="B1322" s="33"/>
      <c r="C1322" s="33"/>
      <c r="D1322" s="33"/>
      <c r="E1322" s="33"/>
      <c r="F1322" s="33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</row>
    <row r="1323" ht="15.75" customHeight="1">
      <c r="A1323" s="33"/>
      <c r="B1323" s="33"/>
      <c r="C1323" s="33"/>
      <c r="D1323" s="33"/>
      <c r="E1323" s="33"/>
      <c r="F1323" s="33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</row>
    <row r="1324" ht="15.75" customHeight="1">
      <c r="A1324" s="33"/>
      <c r="B1324" s="33"/>
      <c r="C1324" s="33"/>
      <c r="D1324" s="33"/>
      <c r="E1324" s="33"/>
      <c r="F1324" s="33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</row>
    <row r="1325" ht="15.75" customHeight="1">
      <c r="A1325" s="33"/>
      <c r="B1325" s="33"/>
      <c r="C1325" s="33"/>
      <c r="D1325" s="33"/>
      <c r="E1325" s="33"/>
      <c r="F1325" s="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</row>
    <row r="1326" ht="15.75" customHeight="1">
      <c r="A1326" s="33"/>
      <c r="B1326" s="33"/>
      <c r="C1326" s="33"/>
      <c r="D1326" s="33"/>
      <c r="E1326" s="33"/>
      <c r="F1326" s="33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</row>
    <row r="1327" ht="15.75" customHeight="1">
      <c r="A1327" s="33"/>
      <c r="B1327" s="33"/>
      <c r="C1327" s="33"/>
      <c r="D1327" s="33"/>
      <c r="E1327" s="33"/>
      <c r="F1327" s="33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</row>
    <row r="1328" ht="15.75" customHeight="1">
      <c r="A1328" s="33"/>
      <c r="B1328" s="33"/>
      <c r="C1328" s="33"/>
      <c r="D1328" s="33"/>
      <c r="E1328" s="33"/>
      <c r="F1328" s="33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</row>
    <row r="1329" ht="15.75" customHeight="1">
      <c r="A1329" s="33"/>
      <c r="B1329" s="33"/>
      <c r="C1329" s="33"/>
      <c r="D1329" s="33"/>
      <c r="E1329" s="33"/>
      <c r="F1329" s="33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</row>
    <row r="1330" ht="15.75" customHeight="1">
      <c r="A1330" s="33"/>
      <c r="B1330" s="33"/>
      <c r="C1330" s="33"/>
      <c r="D1330" s="33"/>
      <c r="E1330" s="33"/>
      <c r="F1330" s="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</row>
    <row r="1331" ht="15.75" customHeight="1">
      <c r="A1331" s="33"/>
      <c r="B1331" s="33"/>
      <c r="C1331" s="33"/>
      <c r="D1331" s="33"/>
      <c r="E1331" s="33"/>
      <c r="F1331" s="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</row>
    <row r="1332" ht="15.75" customHeight="1">
      <c r="A1332" s="33"/>
      <c r="B1332" s="33"/>
      <c r="C1332" s="33"/>
      <c r="D1332" s="33"/>
      <c r="E1332" s="33"/>
      <c r="F1332" s="33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</row>
    <row r="1333" ht="15.75" customHeight="1">
      <c r="A1333" s="33"/>
      <c r="B1333" s="33"/>
      <c r="C1333" s="33"/>
      <c r="D1333" s="33"/>
      <c r="E1333" s="33"/>
      <c r="F1333" s="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</row>
    <row r="1334" ht="15.75" customHeight="1">
      <c r="A1334" s="33"/>
      <c r="B1334" s="33"/>
      <c r="C1334" s="33"/>
      <c r="D1334" s="33"/>
      <c r="E1334" s="33"/>
      <c r="F1334" s="33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</row>
    <row r="1335" ht="15.75" customHeight="1">
      <c r="A1335" s="33"/>
      <c r="B1335" s="33"/>
      <c r="C1335" s="33"/>
      <c r="D1335" s="33"/>
      <c r="E1335" s="33"/>
      <c r="F1335" s="33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</row>
    <row r="1336" ht="15.75" customHeight="1">
      <c r="A1336" s="33"/>
      <c r="B1336" s="33"/>
      <c r="C1336" s="33"/>
      <c r="D1336" s="33"/>
      <c r="E1336" s="33"/>
      <c r="F1336" s="33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</row>
    <row r="1337" ht="15.75" customHeight="1">
      <c r="A1337" s="33"/>
      <c r="B1337" s="33"/>
      <c r="C1337" s="33"/>
      <c r="D1337" s="33"/>
      <c r="E1337" s="33"/>
      <c r="F1337" s="33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</row>
    <row r="1338" ht="15.75" customHeight="1">
      <c r="A1338" s="33"/>
      <c r="B1338" s="33"/>
      <c r="C1338" s="33"/>
      <c r="D1338" s="33"/>
      <c r="E1338" s="33"/>
      <c r="F1338" s="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</row>
    <row r="1339" ht="15.75" customHeight="1">
      <c r="A1339" s="33"/>
      <c r="B1339" s="33"/>
      <c r="C1339" s="33"/>
      <c r="D1339" s="33"/>
      <c r="E1339" s="33"/>
      <c r="F1339" s="33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</row>
    <row r="1340" ht="15.75" customHeight="1">
      <c r="A1340" s="33"/>
      <c r="B1340" s="33"/>
      <c r="C1340" s="33"/>
      <c r="D1340" s="33"/>
      <c r="E1340" s="33"/>
      <c r="F1340" s="33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</row>
    <row r="1341" ht="15.75" customHeight="1">
      <c r="A1341" s="33"/>
      <c r="B1341" s="33"/>
      <c r="C1341" s="33"/>
      <c r="D1341" s="33"/>
      <c r="E1341" s="33"/>
      <c r="F1341" s="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</row>
    <row r="1342" ht="15.75" customHeight="1">
      <c r="A1342" s="33"/>
      <c r="B1342" s="33"/>
      <c r="C1342" s="33"/>
      <c r="D1342" s="33"/>
      <c r="E1342" s="33"/>
      <c r="F1342" s="33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</row>
    <row r="1343" ht="15.75" customHeight="1">
      <c r="A1343" s="33"/>
      <c r="B1343" s="33"/>
      <c r="C1343" s="33"/>
      <c r="D1343" s="33"/>
      <c r="E1343" s="33"/>
      <c r="F1343" s="33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</row>
    <row r="1344" ht="15.75" customHeight="1">
      <c r="A1344" s="33"/>
      <c r="B1344" s="33"/>
      <c r="C1344" s="33"/>
      <c r="D1344" s="33"/>
      <c r="E1344" s="33"/>
      <c r="F1344" s="33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</row>
    <row r="1345" ht="15.75" customHeight="1">
      <c r="A1345" s="33"/>
      <c r="B1345" s="33"/>
      <c r="C1345" s="33"/>
      <c r="D1345" s="33"/>
      <c r="E1345" s="33"/>
      <c r="F1345" s="33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</row>
    <row r="1346" ht="15.75" customHeight="1">
      <c r="A1346" s="33"/>
      <c r="B1346" s="33"/>
      <c r="C1346" s="33"/>
      <c r="D1346" s="33"/>
      <c r="E1346" s="33"/>
      <c r="F1346" s="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</row>
    <row r="1347" ht="15.75" customHeight="1">
      <c r="A1347" s="33"/>
      <c r="B1347" s="33"/>
      <c r="C1347" s="33"/>
      <c r="D1347" s="33"/>
      <c r="E1347" s="33"/>
      <c r="F1347" s="33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</row>
    <row r="1348" ht="15.75" customHeight="1">
      <c r="A1348" s="33"/>
      <c r="B1348" s="33"/>
      <c r="C1348" s="33"/>
      <c r="D1348" s="33"/>
      <c r="E1348" s="33"/>
      <c r="F1348" s="33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</row>
    <row r="1349" ht="15.75" customHeight="1">
      <c r="A1349" s="33"/>
      <c r="B1349" s="33"/>
      <c r="C1349" s="33"/>
      <c r="D1349" s="33"/>
      <c r="E1349" s="33"/>
      <c r="F1349" s="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</row>
    <row r="1350" ht="15.75" customHeight="1">
      <c r="A1350" s="33"/>
      <c r="B1350" s="33"/>
      <c r="C1350" s="33"/>
      <c r="D1350" s="33"/>
      <c r="E1350" s="33"/>
      <c r="F1350" s="33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</row>
    <row r="1351" ht="15.75" customHeight="1">
      <c r="A1351" s="33"/>
      <c r="B1351" s="33"/>
      <c r="C1351" s="33"/>
      <c r="D1351" s="33"/>
      <c r="E1351" s="33"/>
      <c r="F1351" s="33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</row>
    <row r="1352" ht="15.75" customHeight="1">
      <c r="A1352" s="33"/>
      <c r="B1352" s="33"/>
      <c r="C1352" s="33"/>
      <c r="D1352" s="33"/>
      <c r="E1352" s="33"/>
      <c r="F1352" s="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</row>
    <row r="1353" ht="15.75" customHeight="1">
      <c r="A1353" s="33"/>
      <c r="B1353" s="33"/>
      <c r="C1353" s="33"/>
      <c r="D1353" s="33"/>
      <c r="E1353" s="33"/>
      <c r="F1353" s="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</row>
    <row r="1354" ht="15.75" customHeight="1">
      <c r="A1354" s="33"/>
      <c r="B1354" s="33"/>
      <c r="C1354" s="33"/>
      <c r="D1354" s="33"/>
      <c r="E1354" s="33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</row>
    <row r="1355" ht="15.75" customHeight="1">
      <c r="A1355" s="33"/>
      <c r="B1355" s="33"/>
      <c r="C1355" s="33"/>
      <c r="D1355" s="33"/>
      <c r="E1355" s="33"/>
      <c r="F1355" s="33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</row>
    <row r="1356" ht="15.75" customHeight="1">
      <c r="A1356" s="33"/>
      <c r="B1356" s="33"/>
      <c r="C1356" s="33"/>
      <c r="D1356" s="33"/>
      <c r="E1356" s="33"/>
      <c r="F1356" s="33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</row>
    <row r="1357" ht="15.75" customHeight="1">
      <c r="A1357" s="33"/>
      <c r="B1357" s="33"/>
      <c r="C1357" s="33"/>
      <c r="D1357" s="33"/>
      <c r="E1357" s="33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</row>
    <row r="1358" ht="15.75" customHeight="1">
      <c r="A1358" s="33"/>
      <c r="B1358" s="33"/>
      <c r="C1358" s="33"/>
      <c r="D1358" s="33"/>
      <c r="E1358" s="33"/>
      <c r="F1358" s="33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</row>
    <row r="1359" ht="15.75" customHeight="1">
      <c r="A1359" s="33"/>
      <c r="B1359" s="33"/>
      <c r="C1359" s="33"/>
      <c r="D1359" s="33"/>
      <c r="E1359" s="33"/>
      <c r="F1359" s="33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</row>
    <row r="1360" ht="15.75" customHeight="1">
      <c r="A1360" s="33"/>
      <c r="B1360" s="33"/>
      <c r="C1360" s="33"/>
      <c r="D1360" s="33"/>
      <c r="E1360" s="33"/>
      <c r="F1360" s="33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</row>
    <row r="1361" ht="15.75" customHeight="1">
      <c r="A1361" s="33"/>
      <c r="B1361" s="33"/>
      <c r="C1361" s="33"/>
      <c r="D1361" s="33"/>
      <c r="E1361" s="33"/>
      <c r="F1361" s="33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</row>
    <row r="1362" ht="15.75" customHeight="1">
      <c r="A1362" s="33"/>
      <c r="B1362" s="33"/>
      <c r="C1362" s="33"/>
      <c r="D1362" s="33"/>
      <c r="E1362" s="33"/>
      <c r="F1362" s="33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</row>
    <row r="1363" ht="15.75" customHeight="1">
      <c r="A1363" s="33"/>
      <c r="B1363" s="33"/>
      <c r="C1363" s="33"/>
      <c r="D1363" s="33"/>
      <c r="E1363" s="33"/>
      <c r="F1363" s="33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</row>
    <row r="1364" ht="15.75" customHeight="1">
      <c r="A1364" s="33"/>
      <c r="B1364" s="33"/>
      <c r="C1364" s="33"/>
      <c r="D1364" s="33"/>
      <c r="E1364" s="33"/>
      <c r="F1364" s="33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</row>
    <row r="1365" ht="15.75" customHeight="1">
      <c r="A1365" s="33"/>
      <c r="B1365" s="33"/>
      <c r="C1365" s="33"/>
      <c r="D1365" s="33"/>
      <c r="E1365" s="33"/>
      <c r="F1365" s="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</row>
    <row r="1366" ht="15.75" customHeight="1">
      <c r="A1366" s="33"/>
      <c r="B1366" s="33"/>
      <c r="C1366" s="33"/>
      <c r="D1366" s="33"/>
      <c r="E1366" s="33"/>
      <c r="F1366" s="33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</row>
    <row r="1367" ht="15.75" customHeight="1">
      <c r="A1367" s="33"/>
      <c r="B1367" s="33"/>
      <c r="C1367" s="33"/>
      <c r="D1367" s="33"/>
      <c r="E1367" s="33"/>
      <c r="F1367" s="33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</row>
    <row r="1368" ht="15.75" customHeight="1">
      <c r="A1368" s="33"/>
      <c r="B1368" s="33"/>
      <c r="C1368" s="33"/>
      <c r="D1368" s="33"/>
      <c r="E1368" s="33"/>
      <c r="F1368" s="33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</row>
    <row r="1369" ht="15.75" customHeight="1">
      <c r="A1369" s="33"/>
      <c r="B1369" s="33"/>
      <c r="C1369" s="33"/>
      <c r="D1369" s="33"/>
      <c r="E1369" s="33"/>
      <c r="F1369" s="33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</row>
    <row r="1370" ht="15.75" customHeight="1">
      <c r="A1370" s="33"/>
      <c r="B1370" s="33"/>
      <c r="C1370" s="33"/>
      <c r="D1370" s="33"/>
      <c r="E1370" s="33"/>
      <c r="F1370" s="33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</row>
    <row r="1371" ht="15.75" customHeight="1">
      <c r="A1371" s="33"/>
      <c r="B1371" s="33"/>
      <c r="C1371" s="33"/>
      <c r="D1371" s="33"/>
      <c r="E1371" s="33"/>
      <c r="F1371" s="33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</row>
    <row r="1372" ht="15.75" customHeight="1">
      <c r="A1372" s="33"/>
      <c r="B1372" s="33"/>
      <c r="C1372" s="33"/>
      <c r="D1372" s="33"/>
      <c r="E1372" s="33"/>
      <c r="F1372" s="33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</row>
    <row r="1373" ht="15.75" customHeight="1">
      <c r="A1373" s="33"/>
      <c r="B1373" s="33"/>
      <c r="C1373" s="33"/>
      <c r="D1373" s="33"/>
      <c r="E1373" s="33"/>
      <c r="F1373" s="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</row>
    <row r="1374" ht="15.75" customHeight="1">
      <c r="A1374" s="33"/>
      <c r="B1374" s="33"/>
      <c r="C1374" s="33"/>
      <c r="D1374" s="33"/>
      <c r="E1374" s="33"/>
      <c r="F1374" s="33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</row>
    <row r="1375" ht="15.75" customHeight="1">
      <c r="A1375" s="33"/>
      <c r="B1375" s="33"/>
      <c r="C1375" s="33"/>
      <c r="D1375" s="33"/>
      <c r="E1375" s="33"/>
      <c r="F1375" s="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</row>
  </sheetData>
  <mergeCells count="5">
    <mergeCell ref="I3:K3"/>
    <mergeCell ref="I12:K12"/>
    <mergeCell ref="I24:K24"/>
    <mergeCell ref="U38:W38"/>
    <mergeCell ref="U73:W73"/>
  </mergeCells>
  <printOptions horizontalCentered="1"/>
  <pageMargins bottom="0.75" footer="0.0" header="0.0" left="0.25" right="0.25" top="0.75"/>
  <pageSetup paperSize="9" orientation="portrait" pageOrder="overThenDown"/>
  <drawing r:id="rId1"/>
</worksheet>
</file>