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oaquincoli/Downloads/"/>
    </mc:Choice>
  </mc:AlternateContent>
  <xr:revisionPtr revIDLastSave="0" documentId="13_ncr:1_{99DB482C-05AC-424A-9058-5C3B8537D4E1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05-11-2025 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8" roundtripDataChecksum="Y8wNbFB8mHphYO3cRj+NPlkfQMX162hXZX5HXm2uUhw="/>
    </ext>
  </extLst>
</workbook>
</file>

<file path=xl/calcChain.xml><?xml version="1.0" encoding="utf-8"?>
<calcChain xmlns="http://schemas.openxmlformats.org/spreadsheetml/2006/main">
  <c r="J182" i="3" l="1"/>
  <c r="E182" i="3"/>
  <c r="F182" i="3" s="1"/>
  <c r="L181" i="3"/>
  <c r="K181" i="3"/>
  <c r="J181" i="3"/>
  <c r="F181" i="3"/>
  <c r="E181" i="3"/>
  <c r="J180" i="3"/>
  <c r="E180" i="3"/>
  <c r="J179" i="3"/>
  <c r="F179" i="3"/>
  <c r="K179" i="3" s="1"/>
  <c r="L179" i="3" s="1"/>
  <c r="E179" i="3"/>
  <c r="L178" i="3"/>
  <c r="J178" i="3"/>
  <c r="K178" i="3" s="1"/>
  <c r="F178" i="3"/>
  <c r="E178" i="3"/>
  <c r="J177" i="3"/>
  <c r="F177" i="3"/>
  <c r="K177" i="3" s="1"/>
  <c r="L177" i="3" s="1"/>
  <c r="E177" i="3"/>
  <c r="L176" i="3"/>
  <c r="K176" i="3"/>
  <c r="J176" i="3"/>
  <c r="F176" i="3"/>
  <c r="E176" i="3"/>
  <c r="J175" i="3"/>
  <c r="E175" i="3"/>
  <c r="F175" i="3" s="1"/>
  <c r="J174" i="3"/>
  <c r="F174" i="3"/>
  <c r="E174" i="3"/>
  <c r="E168" i="3"/>
  <c r="J166" i="3"/>
  <c r="E166" i="3"/>
  <c r="K166" i="3" s="1"/>
  <c r="L166" i="3" s="1"/>
  <c r="J165" i="3"/>
  <c r="E165" i="3"/>
  <c r="K165" i="3" s="1"/>
  <c r="L165" i="3" s="1"/>
  <c r="J164" i="3"/>
  <c r="E164" i="3"/>
  <c r="K164" i="3" s="1"/>
  <c r="L164" i="3" s="1"/>
  <c r="K163" i="3"/>
  <c r="L163" i="3" s="1"/>
  <c r="J163" i="3"/>
  <c r="E163" i="3"/>
  <c r="J162" i="3"/>
  <c r="K162" i="3" s="1"/>
  <c r="L162" i="3" s="1"/>
  <c r="I162" i="3"/>
  <c r="E162" i="3"/>
  <c r="L161" i="3"/>
  <c r="J161" i="3"/>
  <c r="K161" i="3" s="1"/>
  <c r="E161" i="3"/>
  <c r="K160" i="3"/>
  <c r="L160" i="3" s="1"/>
  <c r="J160" i="3"/>
  <c r="E160" i="3"/>
  <c r="J151" i="3"/>
  <c r="E151" i="3"/>
  <c r="K151" i="3" s="1"/>
  <c r="L151" i="3" s="1"/>
  <c r="K150" i="3"/>
  <c r="L150" i="3" s="1"/>
  <c r="J150" i="3"/>
  <c r="E150" i="3"/>
  <c r="J149" i="3"/>
  <c r="I149" i="3"/>
  <c r="E149" i="3"/>
  <c r="K149" i="3" s="1"/>
  <c r="L149" i="3" s="1"/>
  <c r="L148" i="3"/>
  <c r="J148" i="3"/>
  <c r="K148" i="3" s="1"/>
  <c r="E148" i="3"/>
  <c r="J147" i="3"/>
  <c r="I147" i="3"/>
  <c r="E147" i="3"/>
  <c r="K147" i="3" s="1"/>
  <c r="L147" i="3" s="1"/>
  <c r="K146" i="3"/>
  <c r="L146" i="3" s="1"/>
  <c r="J146" i="3"/>
  <c r="E146" i="3"/>
  <c r="J145" i="3"/>
  <c r="E145" i="3"/>
  <c r="K145" i="3" s="1"/>
  <c r="L145" i="3" s="1"/>
  <c r="K144" i="3"/>
  <c r="L144" i="3" s="1"/>
  <c r="J144" i="3"/>
  <c r="E144" i="3"/>
  <c r="J143" i="3"/>
  <c r="E143" i="3"/>
  <c r="K143" i="3" s="1"/>
  <c r="L143" i="3" s="1"/>
  <c r="K142" i="3"/>
  <c r="L142" i="3" s="1"/>
  <c r="J142" i="3"/>
  <c r="E142" i="3"/>
  <c r="J141" i="3"/>
  <c r="E141" i="3"/>
  <c r="K141" i="3" s="1"/>
  <c r="L141" i="3" s="1"/>
  <c r="K140" i="3"/>
  <c r="L140" i="3" s="1"/>
  <c r="J140" i="3"/>
  <c r="E140" i="3"/>
  <c r="J139" i="3"/>
  <c r="E139" i="3"/>
  <c r="K139" i="3" s="1"/>
  <c r="L139" i="3" s="1"/>
  <c r="K138" i="3"/>
  <c r="L138" i="3" s="1"/>
  <c r="J138" i="3"/>
  <c r="E138" i="3"/>
  <c r="J137" i="3"/>
  <c r="E137" i="3"/>
  <c r="K137" i="3" s="1"/>
  <c r="L137" i="3" s="1"/>
  <c r="K136" i="3"/>
  <c r="L136" i="3" s="1"/>
  <c r="J136" i="3"/>
  <c r="I136" i="3"/>
  <c r="E136" i="3"/>
  <c r="J135" i="3"/>
  <c r="I135" i="3"/>
  <c r="E135" i="3"/>
  <c r="J134" i="3"/>
  <c r="E134" i="3"/>
  <c r="K134" i="3" s="1"/>
  <c r="L134" i="3" s="1"/>
  <c r="J133" i="3"/>
  <c r="E133" i="3"/>
  <c r="K133" i="3" s="1"/>
  <c r="L133" i="3" s="1"/>
  <c r="J132" i="3"/>
  <c r="I132" i="3"/>
  <c r="E132" i="3"/>
  <c r="K132" i="3" s="1"/>
  <c r="L132" i="3" s="1"/>
  <c r="J131" i="3"/>
  <c r="K131" i="3" s="1"/>
  <c r="L131" i="3" s="1"/>
  <c r="I131" i="3"/>
  <c r="E131" i="3"/>
  <c r="J130" i="3"/>
  <c r="E130" i="3"/>
  <c r="K130" i="3" s="1"/>
  <c r="L130" i="3" s="1"/>
  <c r="K129" i="3"/>
  <c r="L129" i="3" s="1"/>
  <c r="J129" i="3"/>
  <c r="I129" i="3"/>
  <c r="E129" i="3"/>
  <c r="J128" i="3"/>
  <c r="E128" i="3"/>
  <c r="L127" i="3"/>
  <c r="K127" i="3"/>
  <c r="J127" i="3"/>
  <c r="E127" i="3"/>
  <c r="J126" i="3"/>
  <c r="I126" i="3"/>
  <c r="E126" i="3"/>
  <c r="K126" i="3" s="1"/>
  <c r="L126" i="3" s="1"/>
  <c r="J125" i="3"/>
  <c r="K125" i="3" s="1"/>
  <c r="L125" i="3" s="1"/>
  <c r="E125" i="3"/>
  <c r="K124" i="3"/>
  <c r="J124" i="3"/>
  <c r="E124" i="3"/>
  <c r="J116" i="3"/>
  <c r="F116" i="3"/>
  <c r="K116" i="3" s="1"/>
  <c r="L116" i="3" s="1"/>
  <c r="E116" i="3"/>
  <c r="J115" i="3"/>
  <c r="E115" i="3"/>
  <c r="F115" i="3" s="1"/>
  <c r="K115" i="3" s="1"/>
  <c r="L115" i="3" s="1"/>
  <c r="K114" i="3"/>
  <c r="L114" i="3" s="1"/>
  <c r="J114" i="3"/>
  <c r="E114" i="3"/>
  <c r="F114" i="3" s="1"/>
  <c r="J113" i="3"/>
  <c r="I113" i="3"/>
  <c r="F113" i="3"/>
  <c r="K113" i="3" s="1"/>
  <c r="L113" i="3" s="1"/>
  <c r="E113" i="3"/>
  <c r="J112" i="3"/>
  <c r="E112" i="3"/>
  <c r="F112" i="3" s="1"/>
  <c r="K112" i="3" s="1"/>
  <c r="L112" i="3" s="1"/>
  <c r="J111" i="3"/>
  <c r="E111" i="3"/>
  <c r="F111" i="3" s="1"/>
  <c r="K111" i="3" s="1"/>
  <c r="L111" i="3" s="1"/>
  <c r="J110" i="3"/>
  <c r="I110" i="3"/>
  <c r="F110" i="3"/>
  <c r="K110" i="3" s="1"/>
  <c r="L110" i="3" s="1"/>
  <c r="E110" i="3"/>
  <c r="J109" i="3"/>
  <c r="E109" i="3"/>
  <c r="F109" i="3" s="1"/>
  <c r="K109" i="3" s="1"/>
  <c r="L109" i="3" s="1"/>
  <c r="J108" i="3"/>
  <c r="E108" i="3"/>
  <c r="F108" i="3" s="1"/>
  <c r="K108" i="3" s="1"/>
  <c r="L108" i="3" s="1"/>
  <c r="J107" i="3"/>
  <c r="I107" i="3"/>
  <c r="F107" i="3"/>
  <c r="E107" i="3"/>
  <c r="J106" i="3"/>
  <c r="E106" i="3"/>
  <c r="F106" i="3" s="1"/>
  <c r="K106" i="3" s="1"/>
  <c r="L106" i="3" s="1"/>
  <c r="J105" i="3"/>
  <c r="E105" i="3"/>
  <c r="F105" i="3" s="1"/>
  <c r="K105" i="3" s="1"/>
  <c r="L105" i="3" s="1"/>
  <c r="J104" i="3"/>
  <c r="E104" i="3"/>
  <c r="F104" i="3" s="1"/>
  <c r="J103" i="3"/>
  <c r="I103" i="3"/>
  <c r="E103" i="3"/>
  <c r="F103" i="3" s="1"/>
  <c r="K103" i="3" s="1"/>
  <c r="L103" i="3" s="1"/>
  <c r="K102" i="3"/>
  <c r="L102" i="3" s="1"/>
  <c r="J102" i="3"/>
  <c r="I102" i="3"/>
  <c r="F102" i="3"/>
  <c r="E102" i="3"/>
  <c r="K101" i="3"/>
  <c r="L101" i="3" s="1"/>
  <c r="I101" i="3"/>
  <c r="J101" i="3" s="1"/>
  <c r="F101" i="3"/>
  <c r="E101" i="3"/>
  <c r="I100" i="3"/>
  <c r="J100" i="3" s="1"/>
  <c r="E100" i="3"/>
  <c r="F100" i="3" s="1"/>
  <c r="J99" i="3"/>
  <c r="K99" i="3" s="1"/>
  <c r="L99" i="3" s="1"/>
  <c r="F99" i="3"/>
  <c r="E99" i="3"/>
  <c r="J98" i="3"/>
  <c r="K98" i="3" s="1"/>
  <c r="L98" i="3" s="1"/>
  <c r="F98" i="3"/>
  <c r="E98" i="3"/>
  <c r="J97" i="3"/>
  <c r="F97" i="3"/>
  <c r="K97" i="3" s="1"/>
  <c r="L97" i="3" s="1"/>
  <c r="E97" i="3"/>
  <c r="L96" i="3"/>
  <c r="K96" i="3"/>
  <c r="J96" i="3"/>
  <c r="F96" i="3"/>
  <c r="E96" i="3"/>
  <c r="K95" i="3"/>
  <c r="L95" i="3" s="1"/>
  <c r="J95" i="3"/>
  <c r="F95" i="3"/>
  <c r="E95" i="3"/>
  <c r="J94" i="3"/>
  <c r="E94" i="3"/>
  <c r="F94" i="3" s="1"/>
  <c r="K94" i="3" s="1"/>
  <c r="L94" i="3" s="1"/>
  <c r="J93" i="3"/>
  <c r="E93" i="3"/>
  <c r="E118" i="3" s="1"/>
  <c r="L85" i="3"/>
  <c r="K85" i="3"/>
  <c r="J85" i="3"/>
  <c r="F85" i="3"/>
  <c r="E85" i="3"/>
  <c r="K84" i="3"/>
  <c r="L84" i="3" s="1"/>
  <c r="I84" i="3"/>
  <c r="J84" i="3" s="1"/>
  <c r="F84" i="3"/>
  <c r="E84" i="3"/>
  <c r="J83" i="3"/>
  <c r="F83" i="3"/>
  <c r="K83" i="3" s="1"/>
  <c r="L83" i="3" s="1"/>
  <c r="E83" i="3"/>
  <c r="L82" i="3"/>
  <c r="K82" i="3"/>
  <c r="J82" i="3"/>
  <c r="F82" i="3"/>
  <c r="E82" i="3"/>
  <c r="K81" i="3"/>
  <c r="L81" i="3" s="1"/>
  <c r="J81" i="3"/>
  <c r="F81" i="3"/>
  <c r="E81" i="3"/>
  <c r="J80" i="3"/>
  <c r="E80" i="3"/>
  <c r="F80" i="3" s="1"/>
  <c r="K80" i="3" s="1"/>
  <c r="L80" i="3" s="1"/>
  <c r="K79" i="3"/>
  <c r="L79" i="3" s="1"/>
  <c r="J79" i="3"/>
  <c r="I79" i="3"/>
  <c r="F79" i="3"/>
  <c r="E79" i="3"/>
  <c r="I78" i="3"/>
  <c r="J78" i="3" s="1"/>
  <c r="K78" i="3" s="1"/>
  <c r="L78" i="3" s="1"/>
  <c r="F78" i="3"/>
  <c r="E78" i="3"/>
  <c r="I77" i="3"/>
  <c r="J77" i="3" s="1"/>
  <c r="E77" i="3"/>
  <c r="F77" i="3" s="1"/>
  <c r="K77" i="3" s="1"/>
  <c r="L77" i="3" s="1"/>
  <c r="J76" i="3"/>
  <c r="F76" i="3"/>
  <c r="K76" i="3" s="1"/>
  <c r="L76" i="3" s="1"/>
  <c r="E76" i="3"/>
  <c r="J75" i="3"/>
  <c r="I75" i="3"/>
  <c r="E75" i="3"/>
  <c r="F75" i="3" s="1"/>
  <c r="J74" i="3"/>
  <c r="I74" i="3"/>
  <c r="F74" i="3"/>
  <c r="E74" i="3"/>
  <c r="J73" i="3"/>
  <c r="E73" i="3"/>
  <c r="F73" i="3" s="1"/>
  <c r="K73" i="3" s="1"/>
  <c r="L73" i="3" s="1"/>
  <c r="K72" i="3"/>
  <c r="L72" i="3" s="1"/>
  <c r="J72" i="3"/>
  <c r="I72" i="3"/>
  <c r="F72" i="3"/>
  <c r="E72" i="3"/>
  <c r="J71" i="3"/>
  <c r="F71" i="3"/>
  <c r="K71" i="3" s="1"/>
  <c r="L71" i="3" s="1"/>
  <c r="E71" i="3"/>
  <c r="J70" i="3"/>
  <c r="E70" i="3"/>
  <c r="F70" i="3" s="1"/>
  <c r="K70" i="3" s="1"/>
  <c r="L70" i="3" s="1"/>
  <c r="J69" i="3"/>
  <c r="E69" i="3"/>
  <c r="F69" i="3" s="1"/>
  <c r="K69" i="3" s="1"/>
  <c r="L69" i="3" s="1"/>
  <c r="J68" i="3"/>
  <c r="E68" i="3"/>
  <c r="K60" i="3"/>
  <c r="L60" i="3" s="1"/>
  <c r="I60" i="3"/>
  <c r="J60" i="3" s="1"/>
  <c r="F60" i="3"/>
  <c r="E60" i="3"/>
  <c r="I59" i="3"/>
  <c r="J59" i="3" s="1"/>
  <c r="E59" i="3"/>
  <c r="F59" i="3" s="1"/>
  <c r="K59" i="3" s="1"/>
  <c r="L59" i="3" s="1"/>
  <c r="J58" i="3"/>
  <c r="I58" i="3"/>
  <c r="E58" i="3"/>
  <c r="F58" i="3" s="1"/>
  <c r="K58" i="3" s="1"/>
  <c r="L58" i="3" s="1"/>
  <c r="K57" i="3"/>
  <c r="L57" i="3" s="1"/>
  <c r="J57" i="3"/>
  <c r="I57" i="3"/>
  <c r="F57" i="3"/>
  <c r="E57" i="3"/>
  <c r="K56" i="3"/>
  <c r="L56" i="3" s="1"/>
  <c r="I56" i="3"/>
  <c r="J56" i="3" s="1"/>
  <c r="F56" i="3"/>
  <c r="E56" i="3"/>
  <c r="J55" i="3"/>
  <c r="F55" i="3"/>
  <c r="K55" i="3" s="1"/>
  <c r="L55" i="3" s="1"/>
  <c r="E55" i="3"/>
  <c r="L54" i="3"/>
  <c r="K54" i="3"/>
  <c r="J54" i="3"/>
  <c r="F54" i="3"/>
  <c r="E54" i="3"/>
  <c r="K53" i="3"/>
  <c r="L53" i="3" s="1"/>
  <c r="I53" i="3"/>
  <c r="J53" i="3" s="1"/>
  <c r="F53" i="3"/>
  <c r="E53" i="3"/>
  <c r="I52" i="3"/>
  <c r="J52" i="3" s="1"/>
  <c r="E52" i="3"/>
  <c r="F52" i="3" s="1"/>
  <c r="J51" i="3"/>
  <c r="I51" i="3"/>
  <c r="E51" i="3"/>
  <c r="F51" i="3" s="1"/>
  <c r="K51" i="3" s="1"/>
  <c r="L51" i="3" s="1"/>
  <c r="K50" i="3"/>
  <c r="L50" i="3" s="1"/>
  <c r="J50" i="3"/>
  <c r="I50" i="3"/>
  <c r="F50" i="3"/>
  <c r="E50" i="3"/>
  <c r="J49" i="3"/>
  <c r="K49" i="3" s="1"/>
  <c r="L49" i="3" s="1"/>
  <c r="F49" i="3"/>
  <c r="E49" i="3"/>
  <c r="J48" i="3"/>
  <c r="I48" i="3"/>
  <c r="E48" i="3"/>
  <c r="F48" i="3" s="1"/>
  <c r="K48" i="3" s="1"/>
  <c r="L48" i="3" s="1"/>
  <c r="I47" i="3"/>
  <c r="J47" i="3" s="1"/>
  <c r="K47" i="3" s="1"/>
  <c r="L47" i="3" s="1"/>
  <c r="F47" i="3"/>
  <c r="E47" i="3"/>
  <c r="K46" i="3"/>
  <c r="L46" i="3" s="1"/>
  <c r="J46" i="3"/>
  <c r="I46" i="3"/>
  <c r="E46" i="3"/>
  <c r="F46" i="3" s="1"/>
  <c r="J45" i="3"/>
  <c r="I45" i="3"/>
  <c r="F45" i="3"/>
  <c r="E45" i="3"/>
  <c r="J44" i="3"/>
  <c r="E44" i="3"/>
  <c r="F44" i="3" s="1"/>
  <c r="K44" i="3" s="1"/>
  <c r="L44" i="3" s="1"/>
  <c r="L43" i="3"/>
  <c r="K43" i="3"/>
  <c r="J43" i="3"/>
  <c r="E43" i="3"/>
  <c r="F43" i="3" s="1"/>
  <c r="J42" i="3"/>
  <c r="E42" i="3"/>
  <c r="F42" i="3" s="1"/>
  <c r="K42" i="3" s="1"/>
  <c r="L42" i="3" s="1"/>
  <c r="J41" i="3"/>
  <c r="K41" i="3" s="1"/>
  <c r="L41" i="3" s="1"/>
  <c r="F41" i="3"/>
  <c r="E41" i="3"/>
  <c r="J40" i="3"/>
  <c r="K40" i="3" s="1"/>
  <c r="L40" i="3" s="1"/>
  <c r="F40" i="3"/>
  <c r="E40" i="3"/>
  <c r="J39" i="3"/>
  <c r="F39" i="3"/>
  <c r="E39" i="3"/>
  <c r="I30" i="3"/>
  <c r="J30" i="3" s="1"/>
  <c r="F30" i="3"/>
  <c r="E30" i="3"/>
  <c r="J29" i="3"/>
  <c r="I29" i="3"/>
  <c r="E29" i="3"/>
  <c r="F29" i="3" s="1"/>
  <c r="K29" i="3" s="1"/>
  <c r="L29" i="3" s="1"/>
  <c r="I28" i="3"/>
  <c r="J28" i="3" s="1"/>
  <c r="K28" i="3" s="1"/>
  <c r="L28" i="3" s="1"/>
  <c r="F28" i="3"/>
  <c r="E28" i="3"/>
  <c r="K27" i="3"/>
  <c r="L27" i="3" s="1"/>
  <c r="J27" i="3"/>
  <c r="F27" i="3"/>
  <c r="E27" i="3"/>
  <c r="I26" i="3"/>
  <c r="J26" i="3" s="1"/>
  <c r="E26" i="3"/>
  <c r="F26" i="3" s="1"/>
  <c r="K26" i="3" s="1"/>
  <c r="L26" i="3" s="1"/>
  <c r="J25" i="3"/>
  <c r="K25" i="3" s="1"/>
  <c r="L25" i="3" s="1"/>
  <c r="F25" i="3"/>
  <c r="E25" i="3"/>
  <c r="J24" i="3"/>
  <c r="K24" i="3" s="1"/>
  <c r="L24" i="3" s="1"/>
  <c r="F24" i="3"/>
  <c r="E24" i="3"/>
  <c r="J23" i="3"/>
  <c r="F23" i="3"/>
  <c r="K23" i="3" s="1"/>
  <c r="L23" i="3" s="1"/>
  <c r="E23" i="3"/>
  <c r="L22" i="3"/>
  <c r="I22" i="3"/>
  <c r="J22" i="3" s="1"/>
  <c r="K22" i="3" s="1"/>
  <c r="F22" i="3"/>
  <c r="E22" i="3"/>
  <c r="J21" i="3"/>
  <c r="K21" i="3" s="1"/>
  <c r="L21" i="3" s="1"/>
  <c r="F21" i="3"/>
  <c r="E21" i="3"/>
  <c r="I20" i="3"/>
  <c r="J20" i="3" s="1"/>
  <c r="E20" i="3"/>
  <c r="F20" i="3" s="1"/>
  <c r="K20" i="3" s="1"/>
  <c r="L20" i="3" s="1"/>
  <c r="J19" i="3"/>
  <c r="I19" i="3"/>
  <c r="E19" i="3"/>
  <c r="F19" i="3" s="1"/>
  <c r="K19" i="3" s="1"/>
  <c r="L19" i="3" s="1"/>
  <c r="K18" i="3"/>
  <c r="L18" i="3" s="1"/>
  <c r="J18" i="3"/>
  <c r="E18" i="3"/>
  <c r="F18" i="3" s="1"/>
  <c r="J17" i="3"/>
  <c r="E17" i="3"/>
  <c r="F17" i="3" s="1"/>
  <c r="K17" i="3" s="1"/>
  <c r="L17" i="3" s="1"/>
  <c r="J16" i="3"/>
  <c r="I16" i="3"/>
  <c r="E16" i="3"/>
  <c r="F16" i="3" s="1"/>
  <c r="K16" i="3" s="1"/>
  <c r="L16" i="3" s="1"/>
  <c r="K15" i="3"/>
  <c r="L15" i="3" s="1"/>
  <c r="J15" i="3"/>
  <c r="I15" i="3"/>
  <c r="F15" i="3"/>
  <c r="E15" i="3"/>
  <c r="J14" i="3"/>
  <c r="K14" i="3" s="1"/>
  <c r="L14" i="3" s="1"/>
  <c r="I14" i="3"/>
  <c r="F14" i="3"/>
  <c r="E14" i="3"/>
  <c r="J13" i="3"/>
  <c r="E13" i="3"/>
  <c r="F13" i="3" s="1"/>
  <c r="K13" i="3" s="1"/>
  <c r="L13" i="3" s="1"/>
  <c r="I12" i="3"/>
  <c r="J12" i="3" s="1"/>
  <c r="E12" i="3"/>
  <c r="F12" i="3" s="1"/>
  <c r="J11" i="3"/>
  <c r="K11" i="3" s="1"/>
  <c r="L11" i="3" s="1"/>
  <c r="F11" i="3"/>
  <c r="E11" i="3"/>
  <c r="J10" i="3"/>
  <c r="F10" i="3"/>
  <c r="K10" i="3" s="1"/>
  <c r="L10" i="3" s="1"/>
  <c r="E10" i="3"/>
  <c r="L9" i="3"/>
  <c r="K9" i="3"/>
  <c r="J9" i="3"/>
  <c r="F9" i="3"/>
  <c r="E9" i="3"/>
  <c r="J8" i="3"/>
  <c r="K8" i="3" s="1"/>
  <c r="L8" i="3" s="1"/>
  <c r="F8" i="3"/>
  <c r="E8" i="3"/>
  <c r="J7" i="3"/>
  <c r="E7" i="3"/>
  <c r="F7" i="3" s="1"/>
  <c r="K7" i="3" s="1"/>
  <c r="L7" i="3" s="1"/>
  <c r="K6" i="3"/>
  <c r="L6" i="3" s="1"/>
  <c r="J6" i="3"/>
  <c r="E6" i="3"/>
  <c r="F6" i="3" s="1"/>
  <c r="I5" i="3"/>
  <c r="J5" i="3" s="1"/>
  <c r="F5" i="3"/>
  <c r="E5" i="3"/>
  <c r="F180" i="3" l="1"/>
  <c r="K180" i="3" s="1"/>
  <c r="L180" i="3" s="1"/>
  <c r="E184" i="3"/>
  <c r="E62" i="3"/>
  <c r="K75" i="3"/>
  <c r="L75" i="3" s="1"/>
  <c r="K104" i="3"/>
  <c r="L104" i="3" s="1"/>
  <c r="K107" i="3"/>
  <c r="L107" i="3" s="1"/>
  <c r="L124" i="3"/>
  <c r="K153" i="3"/>
  <c r="L153" i="3" s="1"/>
  <c r="K52" i="3"/>
  <c r="L52" i="3" s="1"/>
  <c r="E87" i="3"/>
  <c r="F68" i="3"/>
  <c r="K100" i="3"/>
  <c r="L100" i="3" s="1"/>
  <c r="K128" i="3"/>
  <c r="L128" i="3" s="1"/>
  <c r="K168" i="3"/>
  <c r="L168" i="3" s="1"/>
  <c r="E32" i="3"/>
  <c r="K45" i="3"/>
  <c r="L45" i="3" s="1"/>
  <c r="K74" i="3"/>
  <c r="L74" i="3" s="1"/>
  <c r="K39" i="3"/>
  <c r="F62" i="3"/>
  <c r="K5" i="3"/>
  <c r="F32" i="3"/>
  <c r="K30" i="3"/>
  <c r="L30" i="3" s="1"/>
  <c r="E153" i="3"/>
  <c r="K12" i="3"/>
  <c r="L12" i="3" s="1"/>
  <c r="K135" i="3"/>
  <c r="L135" i="3" s="1"/>
  <c r="K175" i="3"/>
  <c r="L175" i="3" s="1"/>
  <c r="K182" i="3"/>
  <c r="L182" i="3" s="1"/>
  <c r="F93" i="3"/>
  <c r="K174" i="3"/>
  <c r="F184" i="3" l="1"/>
  <c r="B189" i="3" s="1"/>
  <c r="K68" i="3"/>
  <c r="F87" i="3"/>
  <c r="K62" i="3"/>
  <c r="L62" i="3" s="1"/>
  <c r="L39" i="3"/>
  <c r="K184" i="3"/>
  <c r="L174" i="3"/>
  <c r="L5" i="3"/>
  <c r="K32" i="3"/>
  <c r="L32" i="3" s="1"/>
  <c r="F118" i="3"/>
  <c r="K93" i="3"/>
  <c r="L68" i="3" l="1"/>
  <c r="K87" i="3"/>
  <c r="L87" i="3" s="1"/>
  <c r="B191" i="3"/>
  <c r="B193" i="3" s="1"/>
  <c r="L184" i="3"/>
  <c r="L93" i="3"/>
  <c r="K118" i="3"/>
  <c r="L118" i="3" s="1"/>
</calcChain>
</file>

<file path=xl/sharedStrings.xml><?xml version="1.0" encoding="utf-8"?>
<sst xmlns="http://schemas.openxmlformats.org/spreadsheetml/2006/main" count="397" uniqueCount="86">
  <si>
    <t>PIO</t>
  </si>
  <si>
    <t>CANTIDAD</t>
  </si>
  <si>
    <t>UNIDAD</t>
  </si>
  <si>
    <t>PRODUCTO</t>
  </si>
  <si>
    <t>PRECIO</t>
  </si>
  <si>
    <t>TOTAL</t>
  </si>
  <si>
    <t>DIFERENCIA</t>
  </si>
  <si>
    <t>ATADO</t>
  </si>
  <si>
    <t>KG</t>
  </si>
  <si>
    <t>TOMATE PERITA</t>
  </si>
  <si>
    <t>BOLSA</t>
  </si>
  <si>
    <t>BATATA</t>
  </si>
  <si>
    <t>PERA</t>
  </si>
  <si>
    <t>CAJÓN</t>
  </si>
  <si>
    <t>LECHUGA MORADA HIDRO</t>
  </si>
  <si>
    <t>FV</t>
  </si>
  <si>
    <t>COMPRA</t>
  </si>
  <si>
    <t>TOTAL + IVA</t>
  </si>
  <si>
    <t xml:space="preserve"> </t>
  </si>
  <si>
    <t>REMOLACHA</t>
  </si>
  <si>
    <t>PEREJIL</t>
  </si>
  <si>
    <t>ZUCCINI</t>
  </si>
  <si>
    <t>BERENJENA</t>
  </si>
  <si>
    <t>ZANAHORIA</t>
  </si>
  <si>
    <t>CAJA</t>
  </si>
  <si>
    <t>BANANA</t>
  </si>
  <si>
    <t>NARANJA</t>
  </si>
  <si>
    <t>MANDARINA</t>
  </si>
  <si>
    <t>MANZANA ROJA</t>
  </si>
  <si>
    <t>MANZANA VERDE</t>
  </si>
  <si>
    <t>MORRÓN ROJO</t>
  </si>
  <si>
    <t>CIBOULETTE</t>
  </si>
  <si>
    <t>ESPINACA</t>
  </si>
  <si>
    <t>BONIATO</t>
  </si>
  <si>
    <t>POMELO</t>
  </si>
  <si>
    <t>LIMÓN</t>
  </si>
  <si>
    <t>CEBOLLA</t>
  </si>
  <si>
    <t>APIO</t>
  </si>
  <si>
    <t>AJO</t>
  </si>
  <si>
    <t>ANCO</t>
  </si>
  <si>
    <t>TOMATE CHERRY</t>
  </si>
  <si>
    <t>TOMATE REDONDO</t>
  </si>
  <si>
    <t>BRÓCOLI</t>
  </si>
  <si>
    <t>RÚCULA</t>
  </si>
  <si>
    <t>FRUTILLA</t>
  </si>
  <si>
    <t>ALBAHACA</t>
  </si>
  <si>
    <t>CILANTRO</t>
  </si>
  <si>
    <t>LECHUGA</t>
  </si>
  <si>
    <t>TOTAL DIA</t>
  </si>
  <si>
    <t>GANANCIA</t>
  </si>
  <si>
    <t>%</t>
  </si>
  <si>
    <t>CEBOLLA DE VERDEO</t>
  </si>
  <si>
    <t>CEBOLLA MORADA</t>
  </si>
  <si>
    <t>CEBOLLA BLANCA</t>
  </si>
  <si>
    <t>PAPA BLANCA</t>
  </si>
  <si>
    <t>MORRÓN VERDE</t>
  </si>
  <si>
    <t>MORRÓN AMARILLO</t>
  </si>
  <si>
    <t>PUERRO</t>
  </si>
  <si>
    <t>REPOLLO BLANCO</t>
  </si>
  <si>
    <t>REPOLLO MORADO</t>
  </si>
  <si>
    <t>ZAPALLITO VERDE</t>
  </si>
  <si>
    <t>CALABAZA (ANCO)</t>
  </si>
  <si>
    <t>LECHUGA FRANCESA</t>
  </si>
  <si>
    <t>LIMA</t>
  </si>
  <si>
    <t>MENTA</t>
  </si>
  <si>
    <t>JENGIBRE</t>
  </si>
  <si>
    <t>HUEVO</t>
  </si>
  <si>
    <t xml:space="preserve">COLEGIO SWORM JUNIOR COLLAGE | PACHECO </t>
  </si>
  <si>
    <t>COLEGIO ST. MATTHEWS | CAAMAÑO</t>
  </si>
  <si>
    <t>COLEGIO BRICK TOWERS | DEL VISO</t>
  </si>
  <si>
    <t>COLEGIO SAN MARCOS | SAN ISIDRO</t>
  </si>
  <si>
    <t>BANANA (60U)</t>
  </si>
  <si>
    <t>HOGAR</t>
  </si>
  <si>
    <t>CHAUCHA</t>
  </si>
  <si>
    <t>CEBOLLA VERDEO</t>
  </si>
  <si>
    <t>ZAPALLITO REDONDO</t>
  </si>
  <si>
    <t>MEDIA CAJA</t>
  </si>
  <si>
    <t>SANDÍA</t>
  </si>
  <si>
    <t>Remito: 5</t>
  </si>
  <si>
    <t>Remito: 6</t>
  </si>
  <si>
    <t>Remito: 32</t>
  </si>
  <si>
    <t>Remito: 25</t>
  </si>
  <si>
    <t>5/11/2025+F90:F110</t>
  </si>
  <si>
    <t xml:space="preserve"> Remito: 8</t>
  </si>
  <si>
    <t xml:space="preserve"> Remito: 10</t>
  </si>
  <si>
    <t>Remito: 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</si>
</sst>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"/>
    <numFmt numFmtId="165" formatCode="_ [$$-2C0A]\ * #,##0.00_ ;_ [$$-2C0A]\ * \-#,##0.00_ ;_ [$$-2C0A]\ * &quot;-&quot;??_ ;_ @_ "/>
    <numFmt numFmtId="166" formatCode="0.0%"/>
    <numFmt numFmtId="167" formatCode="_-&quot;$&quot;\ * #,##0.00_-;\-&quot;$&quot;\ * #,##0.00_-;_-&quot;$&quot;\ * &quot;-&quot;??_-;_-@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6"/>
      <color theme="1"/>
      <name val="Calibri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ptos Narrow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6" fontId="1" fillId="0" borderId="0" xfId="0" applyNumberFormat="1" applyFont="1"/>
    <xf numFmtId="0" fontId="1" fillId="0" borderId="0" xfId="0" applyFont="1"/>
    <xf numFmtId="164" fontId="2" fillId="0" borderId="0" xfId="0" applyNumberFormat="1" applyFont="1"/>
    <xf numFmtId="16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2" fillId="0" borderId="0" xfId="0" applyFont="1"/>
    <xf numFmtId="10" fontId="2" fillId="0" borderId="0" xfId="0" applyNumberFormat="1" applyFont="1" applyAlignment="1">
      <alignment horizontal="right"/>
    </xf>
    <xf numFmtId="165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1" fillId="0" borderId="1" xfId="0" applyFont="1" applyBorder="1"/>
    <xf numFmtId="167" fontId="1" fillId="0" borderId="0" xfId="0" applyNumberFormat="1" applyFont="1"/>
    <xf numFmtId="167" fontId="1" fillId="0" borderId="0" xfId="0" applyNumberFormat="1" applyFont="1" applyAlignment="1">
      <alignment vertical="top"/>
    </xf>
    <xf numFmtId="167" fontId="1" fillId="0" borderId="4" xfId="0" applyNumberFormat="1" applyFont="1" applyBorder="1"/>
    <xf numFmtId="166" fontId="1" fillId="0" borderId="0" xfId="0" applyNumberFormat="1" applyFont="1"/>
    <xf numFmtId="164" fontId="1" fillId="0" borderId="2" xfId="0" applyNumberFormat="1" applyFont="1" applyBorder="1"/>
    <xf numFmtId="0" fontId="1" fillId="0" borderId="3" xfId="0" applyFont="1" applyBorder="1"/>
    <xf numFmtId="165" fontId="1" fillId="0" borderId="3" xfId="0" applyNumberFormat="1" applyFont="1" applyBorder="1"/>
    <xf numFmtId="167" fontId="1" fillId="0" borderId="2" xfId="0" applyNumberFormat="1" applyFont="1" applyBorder="1"/>
    <xf numFmtId="167" fontId="1" fillId="0" borderId="3" xfId="0" applyNumberFormat="1" applyFont="1" applyBorder="1"/>
    <xf numFmtId="167" fontId="1" fillId="2" borderId="5" xfId="0" applyNumberFormat="1" applyFont="1" applyFill="1" applyBorder="1"/>
    <xf numFmtId="164" fontId="8" fillId="0" borderId="0" xfId="0" applyNumberFormat="1" applyFont="1"/>
    <xf numFmtId="10" fontId="7" fillId="0" borderId="0" xfId="0" applyNumberFormat="1" applyFont="1" applyAlignment="1">
      <alignment horizontal="right"/>
    </xf>
    <xf numFmtId="10" fontId="7" fillId="3" borderId="0" xfId="0" applyNumberFormat="1" applyFont="1" applyFill="1" applyAlignment="1">
      <alignment horizontal="right"/>
    </xf>
    <xf numFmtId="10" fontId="8" fillId="0" borderId="0" xfId="0" applyNumberFormat="1" applyFont="1"/>
    <xf numFmtId="10" fontId="7" fillId="4" borderId="0" xfId="0" applyNumberFormat="1" applyFont="1" applyFill="1" applyAlignment="1">
      <alignment horizontal="right"/>
    </xf>
    <xf numFmtId="164" fontId="1" fillId="0" borderId="0" xfId="0" applyNumberFormat="1" applyFont="1"/>
    <xf numFmtId="0" fontId="0" fillId="0" borderId="0" xfId="0"/>
    <xf numFmtId="164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5" fillId="0" borderId="0" xfId="0" applyFont="1"/>
    <xf numFmtId="165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2" Type="http://schemas.openxmlformats.org/officeDocument/2006/relationships/calcChain" Target="calcChain.xml"/><Relationship Id="rId68" Type="http://customschemas.google.com/relationships/workbookmetadata" Target="metadata"/><Relationship Id="rId71" Type="http://schemas.openxmlformats.org/officeDocument/2006/relationships/sharedStrings" Target="sharedStrings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819"/>
  <sheetViews>
    <sheetView tabSelected="1" workbookViewId="0"/>
  </sheetViews>
  <sheetFormatPr baseColWidth="10" defaultColWidth="12.6640625" defaultRowHeight="15" customHeight="1" x14ac:dyDescent="0.2"/>
  <cols>
    <col min="1" max="1" width="16.6640625" customWidth="1"/>
    <col min="2" max="2" width="21.33203125" customWidth="1"/>
    <col min="3" max="3" width="21.83203125" customWidth="1"/>
    <col min="5" max="5" width="13.1640625" customWidth="1"/>
    <col min="6" max="6" width="13.6640625" customWidth="1"/>
    <col min="7" max="7" width="15.6640625" customWidth="1"/>
    <col min="12" max="12" width="14.6640625" customWidth="1"/>
    <col min="17" max="17" width="17.1640625" customWidth="1"/>
    <col min="18" max="18" width="20.33203125" customWidth="1"/>
    <col min="21" max="21" width="13.6640625" customWidth="1"/>
    <col min="22" max="22" width="15.6640625" customWidth="1"/>
  </cols>
  <sheetData>
    <row r="1" spans="1:25" ht="15.75" customHeight="1" x14ac:dyDescent="0.2">
      <c r="A1" s="34"/>
      <c r="B1" s="2"/>
      <c r="C1" s="1"/>
      <c r="D1" s="2"/>
      <c r="E1" s="2"/>
      <c r="F1" s="2"/>
      <c r="G1" s="2"/>
      <c r="H1" s="2"/>
      <c r="I1" s="2"/>
      <c r="J1" s="2"/>
      <c r="K1" s="2"/>
      <c r="L1" s="3"/>
      <c r="M1" s="1"/>
      <c r="N1" s="1"/>
      <c r="O1" s="1"/>
      <c r="P1" s="1"/>
      <c r="Q1" s="1"/>
      <c r="R1" s="4"/>
      <c r="S1" s="2"/>
      <c r="T1" s="2"/>
      <c r="U1" s="1"/>
      <c r="V1" s="5"/>
      <c r="W1" s="5"/>
      <c r="X1" s="5"/>
      <c r="Y1" s="5"/>
    </row>
    <row r="2" spans="1:25" ht="15.75" customHeight="1" x14ac:dyDescent="0.2">
      <c r="A2" s="41" t="s">
        <v>67</v>
      </c>
      <c r="B2" s="40"/>
      <c r="C2" s="40"/>
      <c r="D2" s="2"/>
      <c r="E2" s="2" t="s">
        <v>78</v>
      </c>
      <c r="F2" s="7">
        <v>45966</v>
      </c>
      <c r="G2" s="2"/>
      <c r="H2" s="2"/>
      <c r="I2" s="42" t="s">
        <v>16</v>
      </c>
      <c r="J2" s="40"/>
      <c r="K2" s="40"/>
      <c r="L2" s="3"/>
      <c r="M2" s="1"/>
      <c r="N2" s="1"/>
      <c r="O2" s="1"/>
      <c r="P2" s="1"/>
      <c r="Q2" s="1"/>
      <c r="R2" s="1"/>
      <c r="S2" s="1"/>
      <c r="T2" s="2"/>
      <c r="U2" s="1"/>
      <c r="V2" s="5"/>
      <c r="W2" s="5"/>
      <c r="X2" s="5"/>
      <c r="Y2" s="5"/>
    </row>
    <row r="3" spans="1:25" ht="15.75" customHeight="1" x14ac:dyDescent="0.2">
      <c r="A3" s="1"/>
      <c r="B3" s="2"/>
      <c r="C3" s="4"/>
      <c r="D3" s="2"/>
      <c r="E3" s="2"/>
      <c r="F3" s="2"/>
      <c r="G3" s="2"/>
      <c r="H3" s="2"/>
      <c r="I3" s="2"/>
      <c r="J3" s="2"/>
      <c r="K3" s="2"/>
      <c r="L3" s="3"/>
      <c r="M3" s="1"/>
      <c r="N3" s="1"/>
      <c r="O3" s="1"/>
      <c r="P3" s="1"/>
      <c r="Q3" s="1"/>
      <c r="R3" s="1"/>
      <c r="S3" s="1"/>
      <c r="T3" s="2"/>
      <c r="U3" s="2"/>
      <c r="V3" s="5"/>
      <c r="W3" s="5"/>
      <c r="X3" s="2"/>
      <c r="Y3" s="2"/>
    </row>
    <row r="4" spans="1:25" ht="15.75" customHeight="1" x14ac:dyDescent="0.2">
      <c r="A4" s="9" t="s">
        <v>1</v>
      </c>
      <c r="B4" s="10" t="s">
        <v>2</v>
      </c>
      <c r="C4" s="11" t="s">
        <v>3</v>
      </c>
      <c r="D4" s="10" t="s">
        <v>4</v>
      </c>
      <c r="E4" s="12" t="s">
        <v>5</v>
      </c>
      <c r="F4" s="12" t="s">
        <v>17</v>
      </c>
      <c r="G4" s="2"/>
      <c r="H4" s="2"/>
      <c r="I4" s="12" t="s">
        <v>4</v>
      </c>
      <c r="J4" s="12" t="s">
        <v>5</v>
      </c>
      <c r="K4" s="12" t="s">
        <v>6</v>
      </c>
      <c r="L4" s="3"/>
      <c r="M4" s="1"/>
      <c r="N4" s="1"/>
      <c r="O4" s="1"/>
      <c r="P4" s="1"/>
      <c r="Q4" s="1"/>
      <c r="R4" s="1"/>
      <c r="S4" s="1"/>
      <c r="T4" s="2"/>
      <c r="U4" s="2"/>
      <c r="V4" s="5"/>
      <c r="W4" s="5"/>
      <c r="X4" s="2"/>
      <c r="Y4" s="2"/>
    </row>
    <row r="5" spans="1:25" ht="15.75" customHeight="1" x14ac:dyDescent="0.2">
      <c r="A5" s="13">
        <v>10</v>
      </c>
      <c r="B5" s="12" t="s">
        <v>8</v>
      </c>
      <c r="C5" s="14" t="s">
        <v>9</v>
      </c>
      <c r="D5" s="8">
        <v>2800</v>
      </c>
      <c r="E5" s="8">
        <f t="shared" ref="E5:E30" si="0">A5*D5</f>
        <v>28000</v>
      </c>
      <c r="F5" s="8">
        <f t="shared" ref="F5:F30" si="1">E5*1.105</f>
        <v>30940</v>
      </c>
      <c r="G5" s="2"/>
      <c r="H5" s="2" t="s">
        <v>18</v>
      </c>
      <c r="I5" s="8">
        <f>30000/18</f>
        <v>1666.6666666666667</v>
      </c>
      <c r="J5" s="8">
        <f t="shared" ref="J5:J30" si="2">I5*A5</f>
        <v>16666.666666666668</v>
      </c>
      <c r="K5" s="8">
        <f t="shared" ref="K5:K30" si="3">F5-J5</f>
        <v>14273.333333333332</v>
      </c>
      <c r="L5" s="35">
        <f t="shared" ref="L5:L30" si="4">K5/F5</f>
        <v>0.46132299073475541</v>
      </c>
      <c r="M5" s="1"/>
      <c r="N5" s="1"/>
      <c r="O5" s="1"/>
      <c r="P5" s="1"/>
      <c r="Q5" s="1"/>
      <c r="R5" s="1"/>
      <c r="S5" s="1"/>
      <c r="T5" s="2"/>
      <c r="U5" s="2"/>
      <c r="V5" s="5"/>
      <c r="W5" s="5"/>
      <c r="X5" s="2"/>
      <c r="Y5" s="2"/>
    </row>
    <row r="6" spans="1:25" ht="15.75" customHeight="1" x14ac:dyDescent="0.2">
      <c r="A6" s="13">
        <v>3</v>
      </c>
      <c r="B6" s="12" t="s">
        <v>8</v>
      </c>
      <c r="C6" s="14" t="s">
        <v>60</v>
      </c>
      <c r="D6" s="8">
        <v>1200</v>
      </c>
      <c r="E6" s="8">
        <f t="shared" si="0"/>
        <v>3600</v>
      </c>
      <c r="F6" s="8">
        <f t="shared" si="1"/>
        <v>3978</v>
      </c>
      <c r="G6" s="2"/>
      <c r="H6" s="8"/>
      <c r="I6" s="8">
        <v>1000</v>
      </c>
      <c r="J6" s="8">
        <f t="shared" si="2"/>
        <v>3000</v>
      </c>
      <c r="K6" s="8">
        <f t="shared" si="3"/>
        <v>978</v>
      </c>
      <c r="L6" s="35">
        <f t="shared" si="4"/>
        <v>0.2458521870286576</v>
      </c>
      <c r="M6" s="1"/>
      <c r="N6" s="1"/>
      <c r="O6" s="1"/>
      <c r="P6" s="1"/>
      <c r="Q6" s="1"/>
      <c r="R6" s="1"/>
      <c r="S6" s="1"/>
      <c r="T6" s="2"/>
      <c r="U6" s="2"/>
      <c r="V6" s="5"/>
      <c r="W6" s="5"/>
      <c r="X6" s="2"/>
      <c r="Y6" s="2"/>
    </row>
    <row r="7" spans="1:25" ht="15.75" customHeight="1" x14ac:dyDescent="0.2">
      <c r="A7" s="13">
        <v>0.5</v>
      </c>
      <c r="B7" s="12" t="s">
        <v>8</v>
      </c>
      <c r="C7" s="14" t="s">
        <v>40</v>
      </c>
      <c r="D7" s="8">
        <v>3800</v>
      </c>
      <c r="E7" s="8">
        <f t="shared" si="0"/>
        <v>1900</v>
      </c>
      <c r="F7" s="8">
        <f t="shared" si="1"/>
        <v>2099.5</v>
      </c>
      <c r="G7" s="5"/>
      <c r="H7" s="8"/>
      <c r="I7" s="8">
        <v>0</v>
      </c>
      <c r="J7" s="8">
        <f t="shared" si="2"/>
        <v>0</v>
      </c>
      <c r="K7" s="8">
        <f t="shared" si="3"/>
        <v>2099.5</v>
      </c>
      <c r="L7" s="35">
        <f t="shared" si="4"/>
        <v>1</v>
      </c>
      <c r="M7" s="1"/>
      <c r="N7" s="1"/>
      <c r="O7" s="1"/>
      <c r="P7" s="1"/>
      <c r="Q7" s="1"/>
      <c r="R7" s="1"/>
      <c r="S7" s="1"/>
      <c r="T7" s="2"/>
      <c r="U7" s="2"/>
      <c r="V7" s="5"/>
      <c r="W7" s="5"/>
      <c r="X7" s="2"/>
      <c r="Y7" s="2"/>
    </row>
    <row r="8" spans="1:25" ht="15.75" customHeight="1" x14ac:dyDescent="0.2">
      <c r="A8" s="13">
        <v>1</v>
      </c>
      <c r="B8" s="12" t="s">
        <v>10</v>
      </c>
      <c r="C8" s="14" t="s">
        <v>61</v>
      </c>
      <c r="D8" s="8">
        <v>16000</v>
      </c>
      <c r="E8" s="8">
        <f t="shared" si="0"/>
        <v>16000</v>
      </c>
      <c r="F8" s="8">
        <f t="shared" si="1"/>
        <v>17680</v>
      </c>
      <c r="G8" s="5"/>
      <c r="H8" s="2" t="s">
        <v>18</v>
      </c>
      <c r="I8" s="8">
        <v>13500</v>
      </c>
      <c r="J8" s="8">
        <f t="shared" si="2"/>
        <v>13500</v>
      </c>
      <c r="K8" s="8">
        <f t="shared" si="3"/>
        <v>4180</v>
      </c>
      <c r="L8" s="36">
        <f t="shared" si="4"/>
        <v>0.23642533936651583</v>
      </c>
      <c r="M8" s="1"/>
      <c r="N8" s="1"/>
      <c r="O8" s="1"/>
      <c r="P8" s="1"/>
      <c r="Q8" s="1"/>
      <c r="R8" s="1"/>
      <c r="S8" s="1"/>
      <c r="T8" s="2"/>
      <c r="U8" s="2"/>
      <c r="V8" s="5"/>
      <c r="W8" s="5"/>
      <c r="X8" s="2"/>
      <c r="Y8" s="2"/>
    </row>
    <row r="9" spans="1:25" ht="15.75" customHeight="1" x14ac:dyDescent="0.2">
      <c r="A9" s="13">
        <v>1</v>
      </c>
      <c r="B9" s="12" t="s">
        <v>10</v>
      </c>
      <c r="C9" s="14" t="s">
        <v>23</v>
      </c>
      <c r="D9" s="8">
        <v>9000</v>
      </c>
      <c r="E9" s="8">
        <f t="shared" si="0"/>
        <v>9000</v>
      </c>
      <c r="F9" s="8">
        <f t="shared" si="1"/>
        <v>9945</v>
      </c>
      <c r="G9" s="5"/>
      <c r="H9" s="8"/>
      <c r="I9" s="8">
        <v>4000</v>
      </c>
      <c r="J9" s="8">
        <f t="shared" si="2"/>
        <v>4000</v>
      </c>
      <c r="K9" s="8">
        <f t="shared" si="3"/>
        <v>5945</v>
      </c>
      <c r="L9" s="35">
        <f t="shared" si="4"/>
        <v>0.59778783308195071</v>
      </c>
      <c r="M9" s="1"/>
      <c r="N9" s="1"/>
      <c r="O9" s="1"/>
      <c r="P9" s="1"/>
      <c r="Q9" s="1"/>
      <c r="R9" s="1"/>
      <c r="S9" s="1"/>
      <c r="T9" s="2"/>
      <c r="U9" s="2"/>
      <c r="V9" s="5"/>
      <c r="W9" s="5"/>
      <c r="X9" s="2"/>
      <c r="Y9" s="2"/>
    </row>
    <row r="10" spans="1:25" ht="15.75" customHeight="1" x14ac:dyDescent="0.2">
      <c r="A10" s="13">
        <v>1</v>
      </c>
      <c r="B10" s="12" t="s">
        <v>10</v>
      </c>
      <c r="C10" s="14" t="s">
        <v>11</v>
      </c>
      <c r="D10" s="8">
        <v>13500</v>
      </c>
      <c r="E10" s="8">
        <f t="shared" si="0"/>
        <v>13500</v>
      </c>
      <c r="F10" s="8">
        <f t="shared" si="1"/>
        <v>14917.5</v>
      </c>
      <c r="G10" s="5"/>
      <c r="H10" s="2" t="s">
        <v>18</v>
      </c>
      <c r="I10" s="8">
        <v>10000</v>
      </c>
      <c r="J10" s="8">
        <f t="shared" si="2"/>
        <v>10000</v>
      </c>
      <c r="K10" s="8">
        <f t="shared" si="3"/>
        <v>4917.5</v>
      </c>
      <c r="L10" s="35">
        <f t="shared" si="4"/>
        <v>0.32964638846991789</v>
      </c>
      <c r="M10" s="1"/>
      <c r="N10" s="1"/>
      <c r="O10" s="1"/>
      <c r="P10" s="1"/>
      <c r="Q10" s="1"/>
      <c r="R10" s="1"/>
      <c r="S10" s="1"/>
      <c r="T10" s="2"/>
      <c r="U10" s="2"/>
      <c r="V10" s="5"/>
      <c r="W10" s="5"/>
      <c r="X10" s="2"/>
      <c r="Y10" s="2"/>
    </row>
    <row r="11" spans="1:25" ht="15.75" customHeight="1" x14ac:dyDescent="0.2">
      <c r="A11" s="13">
        <v>3</v>
      </c>
      <c r="B11" s="12" t="s">
        <v>10</v>
      </c>
      <c r="C11" s="14" t="s">
        <v>54</v>
      </c>
      <c r="D11" s="8">
        <v>16000</v>
      </c>
      <c r="E11" s="8">
        <f t="shared" si="0"/>
        <v>48000</v>
      </c>
      <c r="F11" s="8">
        <f t="shared" si="1"/>
        <v>53040</v>
      </c>
      <c r="G11" s="5"/>
      <c r="H11" s="2" t="s">
        <v>18</v>
      </c>
      <c r="I11" s="8">
        <v>13700</v>
      </c>
      <c r="J11" s="8">
        <f t="shared" si="2"/>
        <v>41100</v>
      </c>
      <c r="K11" s="8">
        <f t="shared" si="3"/>
        <v>11940</v>
      </c>
      <c r="L11" s="36">
        <f t="shared" si="4"/>
        <v>0.22511312217194571</v>
      </c>
      <c r="M11" s="1"/>
      <c r="N11" s="1"/>
      <c r="O11" s="1"/>
      <c r="P11" s="1"/>
      <c r="Q11" s="1"/>
      <c r="R11" s="1"/>
      <c r="S11" s="1"/>
      <c r="T11" s="2"/>
      <c r="U11" s="2"/>
      <c r="V11" s="5"/>
      <c r="W11" s="5"/>
      <c r="X11" s="2"/>
      <c r="Y11" s="2"/>
    </row>
    <row r="12" spans="1:25" ht="15.75" customHeight="1" x14ac:dyDescent="0.2">
      <c r="A12" s="13">
        <v>1</v>
      </c>
      <c r="B12" s="12" t="s">
        <v>8</v>
      </c>
      <c r="C12" s="14" t="s">
        <v>53</v>
      </c>
      <c r="D12" s="8">
        <v>900</v>
      </c>
      <c r="E12" s="8">
        <f t="shared" si="0"/>
        <v>900</v>
      </c>
      <c r="F12" s="8">
        <f t="shared" si="1"/>
        <v>994.5</v>
      </c>
      <c r="G12" s="5"/>
      <c r="H12" s="2" t="s">
        <v>18</v>
      </c>
      <c r="I12" s="8">
        <f>10500/18</f>
        <v>583.33333333333337</v>
      </c>
      <c r="J12" s="8">
        <f t="shared" si="2"/>
        <v>583.33333333333337</v>
      </c>
      <c r="K12" s="8">
        <f t="shared" si="3"/>
        <v>411.16666666666663</v>
      </c>
      <c r="L12" s="35">
        <f t="shared" si="4"/>
        <v>0.4134405899111781</v>
      </c>
      <c r="M12" s="1"/>
      <c r="N12" s="1"/>
      <c r="O12" s="1"/>
      <c r="P12" s="1"/>
      <c r="Q12" s="1"/>
      <c r="R12" s="1"/>
      <c r="S12" s="1"/>
      <c r="T12" s="2"/>
      <c r="U12" s="2"/>
      <c r="V12" s="5"/>
      <c r="W12" s="5"/>
      <c r="X12" s="2"/>
      <c r="Y12" s="2"/>
    </row>
    <row r="13" spans="1:25" ht="15.75" customHeight="1" x14ac:dyDescent="0.2">
      <c r="A13" s="13">
        <v>2</v>
      </c>
      <c r="B13" s="12" t="s">
        <v>8</v>
      </c>
      <c r="C13" s="14" t="s">
        <v>52</v>
      </c>
      <c r="D13" s="8">
        <v>1600</v>
      </c>
      <c r="E13" s="8">
        <f t="shared" si="0"/>
        <v>3200</v>
      </c>
      <c r="F13" s="8">
        <f t="shared" si="1"/>
        <v>3536</v>
      </c>
      <c r="G13" s="5"/>
      <c r="H13" s="2"/>
      <c r="I13" s="8">
        <v>1000</v>
      </c>
      <c r="J13" s="8">
        <f t="shared" si="2"/>
        <v>2000</v>
      </c>
      <c r="K13" s="8">
        <f t="shared" si="3"/>
        <v>1536</v>
      </c>
      <c r="L13" s="35">
        <f t="shared" si="4"/>
        <v>0.43438914027149322</v>
      </c>
      <c r="M13" s="1"/>
      <c r="N13" s="1"/>
      <c r="O13" s="1"/>
      <c r="P13" s="1"/>
      <c r="Q13" s="1"/>
      <c r="R13" s="1"/>
      <c r="S13" s="1"/>
      <c r="T13" s="2"/>
      <c r="U13" s="2"/>
      <c r="V13" s="5"/>
      <c r="W13" s="5"/>
      <c r="X13" s="2"/>
      <c r="Y13" s="2"/>
    </row>
    <row r="14" spans="1:25" ht="15.75" customHeight="1" x14ac:dyDescent="0.2">
      <c r="A14" s="13">
        <v>1</v>
      </c>
      <c r="B14" s="12" t="s">
        <v>8</v>
      </c>
      <c r="C14" s="14" t="s">
        <v>56</v>
      </c>
      <c r="D14" s="8">
        <v>4800</v>
      </c>
      <c r="E14" s="8">
        <f t="shared" si="0"/>
        <v>4800</v>
      </c>
      <c r="F14" s="8">
        <f t="shared" si="1"/>
        <v>5304</v>
      </c>
      <c r="G14" s="1"/>
      <c r="H14" s="2"/>
      <c r="I14" s="8">
        <f>20000/8</f>
        <v>2500</v>
      </c>
      <c r="J14" s="8">
        <f t="shared" si="2"/>
        <v>2500</v>
      </c>
      <c r="K14" s="8">
        <f t="shared" si="3"/>
        <v>2804</v>
      </c>
      <c r="L14" s="35">
        <f t="shared" si="4"/>
        <v>0.52865761689291102</v>
      </c>
      <c r="M14" s="1"/>
      <c r="N14" s="1"/>
      <c r="O14" s="1"/>
      <c r="P14" s="1"/>
      <c r="Q14" s="1"/>
      <c r="R14" s="1"/>
      <c r="S14" s="1"/>
      <c r="T14" s="2"/>
      <c r="U14" s="2"/>
      <c r="V14" s="5"/>
      <c r="W14" s="5"/>
      <c r="X14" s="2"/>
      <c r="Y14" s="2"/>
    </row>
    <row r="15" spans="1:25" ht="15.75" customHeight="1" x14ac:dyDescent="0.2">
      <c r="A15" s="13">
        <v>2</v>
      </c>
      <c r="B15" s="12" t="s">
        <v>8</v>
      </c>
      <c r="C15" s="14" t="s">
        <v>30</v>
      </c>
      <c r="D15" s="8">
        <v>4800</v>
      </c>
      <c r="E15" s="8">
        <f t="shared" si="0"/>
        <v>9600</v>
      </c>
      <c r="F15" s="8">
        <f t="shared" si="1"/>
        <v>10608</v>
      </c>
      <c r="G15" s="5"/>
      <c r="H15" s="8"/>
      <c r="I15" s="8">
        <f>25000/8</f>
        <v>3125</v>
      </c>
      <c r="J15" s="8">
        <f t="shared" si="2"/>
        <v>6250</v>
      </c>
      <c r="K15" s="8">
        <f t="shared" si="3"/>
        <v>4358</v>
      </c>
      <c r="L15" s="35">
        <f t="shared" si="4"/>
        <v>0.41082202111613875</v>
      </c>
      <c r="M15" s="1"/>
      <c r="N15" s="1"/>
      <c r="O15" s="1"/>
      <c r="P15" s="1"/>
      <c r="Q15" s="1"/>
      <c r="R15" s="1"/>
      <c r="S15" s="1"/>
      <c r="T15" s="2"/>
      <c r="U15" s="2"/>
      <c r="V15" s="5"/>
      <c r="W15" s="5"/>
      <c r="X15" s="2"/>
      <c r="Y15" s="2"/>
    </row>
    <row r="16" spans="1:25" ht="15.75" customHeight="1" x14ac:dyDescent="0.2">
      <c r="A16" s="13">
        <v>1</v>
      </c>
      <c r="B16" s="12" t="s">
        <v>8</v>
      </c>
      <c r="C16" s="14" t="s">
        <v>55</v>
      </c>
      <c r="D16" s="8">
        <v>4000</v>
      </c>
      <c r="E16" s="8">
        <f t="shared" si="0"/>
        <v>4000</v>
      </c>
      <c r="F16" s="8">
        <f t="shared" si="1"/>
        <v>4420</v>
      </c>
      <c r="G16" s="5"/>
      <c r="H16" s="2" t="s">
        <v>18</v>
      </c>
      <c r="I16" s="8">
        <f>20000/8</f>
        <v>2500</v>
      </c>
      <c r="J16" s="8">
        <f t="shared" si="2"/>
        <v>2500</v>
      </c>
      <c r="K16" s="8">
        <f t="shared" si="3"/>
        <v>1920</v>
      </c>
      <c r="L16" s="35">
        <f t="shared" si="4"/>
        <v>0.43438914027149322</v>
      </c>
      <c r="M16" s="1"/>
      <c r="N16" s="1"/>
      <c r="O16" s="1"/>
      <c r="P16" s="1"/>
      <c r="Q16" s="1"/>
      <c r="R16" s="1"/>
      <c r="S16" s="1"/>
      <c r="T16" s="2"/>
      <c r="U16" s="2"/>
      <c r="V16" s="5"/>
      <c r="W16" s="5"/>
      <c r="X16" s="2"/>
      <c r="Y16" s="2"/>
    </row>
    <row r="17" spans="1:25" ht="15.75" customHeight="1" x14ac:dyDescent="0.2">
      <c r="A17" s="13">
        <v>1</v>
      </c>
      <c r="B17" s="12" t="s">
        <v>8</v>
      </c>
      <c r="C17" s="14" t="s">
        <v>21</v>
      </c>
      <c r="D17" s="8">
        <v>1400</v>
      </c>
      <c r="E17" s="8">
        <f t="shared" si="0"/>
        <v>1400</v>
      </c>
      <c r="F17" s="8">
        <f t="shared" si="1"/>
        <v>1547</v>
      </c>
      <c r="G17" s="5"/>
      <c r="H17" s="2" t="s">
        <v>18</v>
      </c>
      <c r="I17" s="8">
        <v>1000</v>
      </c>
      <c r="J17" s="8">
        <f t="shared" si="2"/>
        <v>1000</v>
      </c>
      <c r="K17" s="8">
        <f t="shared" si="3"/>
        <v>547</v>
      </c>
      <c r="L17" s="35">
        <f t="shared" si="4"/>
        <v>0.35358758888170655</v>
      </c>
      <c r="M17" s="1"/>
      <c r="N17" s="1"/>
      <c r="O17" s="1"/>
      <c r="P17" s="1"/>
      <c r="Q17" s="1"/>
      <c r="R17" s="1"/>
      <c r="S17" s="1"/>
      <c r="T17" s="2"/>
      <c r="U17" s="2"/>
      <c r="V17" s="5"/>
      <c r="W17" s="5"/>
      <c r="X17" s="2"/>
      <c r="Y17" s="2"/>
    </row>
    <row r="18" spans="1:25" ht="15.75" customHeight="1" x14ac:dyDescent="0.2">
      <c r="A18" s="13">
        <v>1</v>
      </c>
      <c r="B18" s="12" t="s">
        <v>8</v>
      </c>
      <c r="C18" s="14" t="s">
        <v>22</v>
      </c>
      <c r="D18" s="8">
        <v>3100</v>
      </c>
      <c r="E18" s="8">
        <f t="shared" si="0"/>
        <v>3100</v>
      </c>
      <c r="F18" s="8">
        <f t="shared" si="1"/>
        <v>3425.5</v>
      </c>
      <c r="G18" s="5"/>
      <c r="H18" s="2"/>
      <c r="I18" s="8">
        <v>1200</v>
      </c>
      <c r="J18" s="8">
        <f t="shared" si="2"/>
        <v>1200</v>
      </c>
      <c r="K18" s="8">
        <f t="shared" si="3"/>
        <v>2225.5</v>
      </c>
      <c r="L18" s="35">
        <f t="shared" si="4"/>
        <v>0.64968617720040867</v>
      </c>
      <c r="M18" s="1"/>
      <c r="N18" s="1"/>
      <c r="O18" s="1"/>
      <c r="P18" s="1"/>
      <c r="Q18" s="1"/>
      <c r="R18" s="1"/>
      <c r="S18" s="1"/>
      <c r="T18" s="2"/>
      <c r="U18" s="2"/>
      <c r="V18" s="5"/>
      <c r="W18" s="5"/>
      <c r="X18" s="2"/>
      <c r="Y18" s="2"/>
    </row>
    <row r="19" spans="1:25" ht="15.75" customHeight="1" x14ac:dyDescent="0.2">
      <c r="A19" s="13">
        <v>2</v>
      </c>
      <c r="B19" s="12" t="s">
        <v>2</v>
      </c>
      <c r="C19" s="14" t="s">
        <v>59</v>
      </c>
      <c r="D19" s="8">
        <v>3000</v>
      </c>
      <c r="E19" s="8">
        <f t="shared" si="0"/>
        <v>6000</v>
      </c>
      <c r="F19" s="8">
        <f t="shared" si="1"/>
        <v>6630</v>
      </c>
      <c r="G19" s="1"/>
      <c r="H19" s="2"/>
      <c r="I19" s="8">
        <f>((25000+17000)/2)/12</f>
        <v>1750</v>
      </c>
      <c r="J19" s="8">
        <f t="shared" si="2"/>
        <v>3500</v>
      </c>
      <c r="K19" s="8">
        <f t="shared" si="3"/>
        <v>3130</v>
      </c>
      <c r="L19" s="35">
        <f t="shared" si="4"/>
        <v>0.47209653092006032</v>
      </c>
      <c r="M19" s="1"/>
      <c r="N19" s="1"/>
      <c r="O19" s="1"/>
      <c r="P19" s="1"/>
      <c r="Q19" s="1"/>
      <c r="R19" s="1"/>
      <c r="S19" s="1"/>
      <c r="T19" s="2"/>
      <c r="U19" s="2"/>
      <c r="V19" s="5"/>
      <c r="W19" s="5"/>
      <c r="X19" s="2"/>
      <c r="Y19" s="2"/>
    </row>
    <row r="20" spans="1:25" ht="15.75" customHeight="1" x14ac:dyDescent="0.2">
      <c r="A20" s="13">
        <v>2</v>
      </c>
      <c r="B20" s="12" t="s">
        <v>2</v>
      </c>
      <c r="C20" s="14" t="s">
        <v>58</v>
      </c>
      <c r="D20" s="8">
        <v>2500</v>
      </c>
      <c r="E20" s="8">
        <f t="shared" si="0"/>
        <v>5000</v>
      </c>
      <c r="F20" s="8">
        <f t="shared" si="1"/>
        <v>5525</v>
      </c>
      <c r="G20" s="5"/>
      <c r="H20" s="2"/>
      <c r="I20" s="8">
        <f>10000/12</f>
        <v>833.33333333333337</v>
      </c>
      <c r="J20" s="8">
        <f t="shared" si="2"/>
        <v>1666.6666666666667</v>
      </c>
      <c r="K20" s="8">
        <f t="shared" si="3"/>
        <v>3858.333333333333</v>
      </c>
      <c r="L20" s="35">
        <f t="shared" si="4"/>
        <v>0.69834087481146301</v>
      </c>
      <c r="M20" s="1"/>
      <c r="N20" s="1"/>
      <c r="O20" s="1"/>
      <c r="P20" s="1"/>
      <c r="Q20" s="1"/>
      <c r="R20" s="1"/>
      <c r="S20" s="1"/>
      <c r="T20" s="2"/>
      <c r="U20" s="2"/>
      <c r="V20" s="5"/>
      <c r="W20" s="5"/>
      <c r="X20" s="2"/>
      <c r="Y20" s="2"/>
    </row>
    <row r="21" spans="1:25" ht="15.75" customHeight="1" x14ac:dyDescent="0.2">
      <c r="A21" s="13">
        <v>2</v>
      </c>
      <c r="B21" s="12" t="s">
        <v>2</v>
      </c>
      <c r="C21" s="14" t="s">
        <v>37</v>
      </c>
      <c r="D21" s="8">
        <v>1500</v>
      </c>
      <c r="E21" s="8">
        <f t="shared" si="0"/>
        <v>3000</v>
      </c>
      <c r="F21" s="8">
        <f t="shared" si="1"/>
        <v>3315</v>
      </c>
      <c r="G21" s="5"/>
      <c r="H21" s="2"/>
      <c r="I21" s="8">
        <v>583</v>
      </c>
      <c r="J21" s="8">
        <f t="shared" si="2"/>
        <v>1166</v>
      </c>
      <c r="K21" s="8">
        <f t="shared" si="3"/>
        <v>2149</v>
      </c>
      <c r="L21" s="35">
        <f t="shared" si="4"/>
        <v>0.64826546003016594</v>
      </c>
      <c r="M21" s="1"/>
      <c r="N21" s="1"/>
      <c r="O21" s="1"/>
      <c r="P21" s="1"/>
      <c r="Q21" s="1"/>
      <c r="R21" s="1"/>
      <c r="S21" s="1"/>
      <c r="T21" s="2"/>
      <c r="U21" s="2"/>
      <c r="V21" s="5"/>
      <c r="W21" s="5"/>
      <c r="X21" s="2"/>
      <c r="Y21" s="2"/>
    </row>
    <row r="22" spans="1:25" ht="15.75" customHeight="1" x14ac:dyDescent="0.2">
      <c r="A22" s="13">
        <v>0.2</v>
      </c>
      <c r="B22" s="12" t="s">
        <v>8</v>
      </c>
      <c r="C22" s="14" t="s">
        <v>35</v>
      </c>
      <c r="D22" s="8">
        <v>2400</v>
      </c>
      <c r="E22" s="8">
        <f t="shared" si="0"/>
        <v>480</v>
      </c>
      <c r="F22" s="8">
        <f t="shared" si="1"/>
        <v>530.4</v>
      </c>
      <c r="G22" s="2"/>
      <c r="H22" s="2"/>
      <c r="I22" s="8">
        <f>30000/16</f>
        <v>1875</v>
      </c>
      <c r="J22" s="8">
        <f t="shared" si="2"/>
        <v>375</v>
      </c>
      <c r="K22" s="8">
        <f t="shared" si="3"/>
        <v>155.39999999999998</v>
      </c>
      <c r="L22" s="35">
        <f t="shared" si="4"/>
        <v>0.29298642533936647</v>
      </c>
      <c r="M22" s="1"/>
      <c r="N22" s="1"/>
      <c r="O22" s="1"/>
      <c r="P22" s="1"/>
      <c r="Q22" s="1"/>
      <c r="R22" s="1"/>
      <c r="S22" s="1"/>
      <c r="T22" s="2"/>
      <c r="U22" s="2"/>
      <c r="V22" s="5"/>
      <c r="W22" s="5"/>
      <c r="X22" s="2"/>
      <c r="Y22" s="2"/>
    </row>
    <row r="23" spans="1:25" ht="15.75" customHeight="1" x14ac:dyDescent="0.2">
      <c r="A23" s="13">
        <v>1</v>
      </c>
      <c r="B23" s="12" t="s">
        <v>7</v>
      </c>
      <c r="C23" s="14" t="s">
        <v>31</v>
      </c>
      <c r="D23" s="8">
        <v>3000</v>
      </c>
      <c r="E23" s="8">
        <f t="shared" si="0"/>
        <v>3000</v>
      </c>
      <c r="F23" s="8">
        <f t="shared" si="1"/>
        <v>3315</v>
      </c>
      <c r="G23" s="5"/>
      <c r="H23" s="2"/>
      <c r="I23" s="8">
        <v>2000</v>
      </c>
      <c r="J23" s="8">
        <f t="shared" si="2"/>
        <v>2000</v>
      </c>
      <c r="K23" s="8">
        <f t="shared" si="3"/>
        <v>1315</v>
      </c>
      <c r="L23" s="35">
        <f t="shared" si="4"/>
        <v>0.39668174962292607</v>
      </c>
      <c r="M23" s="1"/>
      <c r="N23" s="1"/>
      <c r="O23" s="1"/>
      <c r="P23" s="1"/>
      <c r="Q23" s="1"/>
      <c r="R23" s="1"/>
      <c r="S23" s="1"/>
      <c r="T23" s="2"/>
      <c r="U23" s="2"/>
      <c r="V23" s="5"/>
      <c r="W23" s="5"/>
      <c r="X23" s="2"/>
      <c r="Y23" s="2"/>
    </row>
    <row r="24" spans="1:25" ht="15.75" customHeight="1" x14ac:dyDescent="0.2">
      <c r="A24" s="13">
        <v>1</v>
      </c>
      <c r="B24" s="12" t="s">
        <v>7</v>
      </c>
      <c r="C24" s="14" t="s">
        <v>51</v>
      </c>
      <c r="D24" s="8">
        <v>4000</v>
      </c>
      <c r="E24" s="8">
        <f t="shared" si="0"/>
        <v>4000</v>
      </c>
      <c r="F24" s="8">
        <f t="shared" si="1"/>
        <v>4420</v>
      </c>
      <c r="G24" s="2"/>
      <c r="H24" s="2"/>
      <c r="I24" s="8">
        <v>3000</v>
      </c>
      <c r="J24" s="8">
        <f t="shared" si="2"/>
        <v>3000</v>
      </c>
      <c r="K24" s="8">
        <f t="shared" si="3"/>
        <v>1420</v>
      </c>
      <c r="L24" s="35">
        <f t="shared" si="4"/>
        <v>0.32126696832579188</v>
      </c>
      <c r="M24" s="1"/>
      <c r="N24" s="1"/>
      <c r="O24" s="1"/>
      <c r="P24" s="1"/>
      <c r="Q24" s="1"/>
      <c r="R24" s="1"/>
      <c r="S24" s="1"/>
      <c r="T24" s="2"/>
      <c r="U24" s="2"/>
      <c r="V24" s="5"/>
      <c r="W24" s="5"/>
      <c r="X24" s="2"/>
      <c r="Y24" s="2"/>
    </row>
    <row r="25" spans="1:25" ht="15.75" customHeight="1" x14ac:dyDescent="0.2">
      <c r="A25" s="13">
        <v>1</v>
      </c>
      <c r="B25" s="12" t="s">
        <v>7</v>
      </c>
      <c r="C25" s="14" t="s">
        <v>20</v>
      </c>
      <c r="D25" s="8">
        <v>4500</v>
      </c>
      <c r="E25" s="8">
        <f t="shared" si="0"/>
        <v>4500</v>
      </c>
      <c r="F25" s="8">
        <f t="shared" si="1"/>
        <v>4972.5</v>
      </c>
      <c r="G25" s="1"/>
      <c r="H25" s="2"/>
      <c r="I25" s="8">
        <v>3000</v>
      </c>
      <c r="J25" s="8">
        <f t="shared" si="2"/>
        <v>3000</v>
      </c>
      <c r="K25" s="8">
        <f t="shared" si="3"/>
        <v>1972.5</v>
      </c>
      <c r="L25" s="35">
        <f t="shared" si="4"/>
        <v>0.39668174962292607</v>
      </c>
      <c r="M25" s="1"/>
      <c r="N25" s="1"/>
      <c r="O25" s="1"/>
      <c r="P25" s="1"/>
      <c r="Q25" s="1"/>
      <c r="R25" s="1"/>
      <c r="S25" s="1"/>
      <c r="T25" s="2"/>
      <c r="U25" s="2"/>
      <c r="V25" s="5"/>
      <c r="W25" s="5"/>
      <c r="X25" s="2"/>
      <c r="Y25" s="2"/>
    </row>
    <row r="26" spans="1:25" ht="15.75" customHeight="1" x14ac:dyDescent="0.2">
      <c r="A26" s="13">
        <v>2</v>
      </c>
      <c r="B26" s="12" t="s">
        <v>2</v>
      </c>
      <c r="C26" s="14" t="s">
        <v>42</v>
      </c>
      <c r="D26" s="8">
        <v>2000</v>
      </c>
      <c r="E26" s="8">
        <f t="shared" si="0"/>
        <v>4000</v>
      </c>
      <c r="F26" s="8">
        <f t="shared" si="1"/>
        <v>4420</v>
      </c>
      <c r="G26" s="5"/>
      <c r="H26" s="2"/>
      <c r="I26" s="8">
        <f>16000/11</f>
        <v>1454.5454545454545</v>
      </c>
      <c r="J26" s="8">
        <f t="shared" si="2"/>
        <v>2909.090909090909</v>
      </c>
      <c r="K26" s="8">
        <f t="shared" si="3"/>
        <v>1510.909090909091</v>
      </c>
      <c r="L26" s="35">
        <f t="shared" si="4"/>
        <v>0.34183463595228303</v>
      </c>
      <c r="M26" s="1"/>
      <c r="N26" s="1"/>
      <c r="O26" s="1"/>
      <c r="P26" s="1"/>
      <c r="Q26" s="1"/>
      <c r="R26" s="1"/>
      <c r="S26" s="1"/>
      <c r="T26" s="2"/>
      <c r="U26" s="2"/>
      <c r="V26" s="5"/>
      <c r="W26" s="5"/>
      <c r="X26" s="2"/>
      <c r="Y26" s="2"/>
    </row>
    <row r="27" spans="1:25" ht="15.75" customHeight="1" x14ac:dyDescent="0.2">
      <c r="A27" s="13">
        <v>1</v>
      </c>
      <c r="B27" s="12" t="s">
        <v>13</v>
      </c>
      <c r="C27" s="14" t="s">
        <v>26</v>
      </c>
      <c r="D27" s="8">
        <v>15000</v>
      </c>
      <c r="E27" s="8">
        <f t="shared" si="0"/>
        <v>15000</v>
      </c>
      <c r="F27" s="8">
        <f t="shared" si="1"/>
        <v>16575</v>
      </c>
      <c r="G27" s="1"/>
      <c r="H27" s="2"/>
      <c r="I27" s="8">
        <v>8000</v>
      </c>
      <c r="J27" s="8">
        <f t="shared" si="2"/>
        <v>8000</v>
      </c>
      <c r="K27" s="8">
        <f t="shared" si="3"/>
        <v>8575</v>
      </c>
      <c r="L27" s="35">
        <f t="shared" si="4"/>
        <v>0.51734539969834092</v>
      </c>
      <c r="M27" s="1"/>
      <c r="N27" s="1"/>
      <c r="O27" s="1"/>
      <c r="P27" s="1"/>
      <c r="Q27" s="1"/>
      <c r="R27" s="1"/>
      <c r="S27" s="1"/>
      <c r="T27" s="2"/>
      <c r="U27" s="2"/>
      <c r="V27" s="5"/>
      <c r="W27" s="5"/>
      <c r="X27" s="2"/>
      <c r="Y27" s="2"/>
    </row>
    <row r="28" spans="1:25" ht="15.75" customHeight="1" x14ac:dyDescent="0.2">
      <c r="A28" s="13">
        <v>4</v>
      </c>
      <c r="B28" s="12" t="s">
        <v>8</v>
      </c>
      <c r="C28" s="14" t="s">
        <v>29</v>
      </c>
      <c r="D28" s="8">
        <v>3000</v>
      </c>
      <c r="E28" s="8">
        <f t="shared" si="0"/>
        <v>12000</v>
      </c>
      <c r="F28" s="8">
        <f t="shared" si="1"/>
        <v>13260</v>
      </c>
      <c r="G28" s="1"/>
      <c r="H28" s="2"/>
      <c r="I28" s="8">
        <f>43000/18</f>
        <v>2388.8888888888887</v>
      </c>
      <c r="J28" s="8">
        <f t="shared" si="2"/>
        <v>9555.5555555555547</v>
      </c>
      <c r="K28" s="8">
        <f t="shared" si="3"/>
        <v>3704.4444444444453</v>
      </c>
      <c r="L28" s="35">
        <f t="shared" si="4"/>
        <v>0.2793698676051618</v>
      </c>
      <c r="M28" s="1"/>
      <c r="N28" s="1"/>
      <c r="O28" s="1"/>
      <c r="P28" s="1"/>
      <c r="Q28" s="1"/>
      <c r="R28" s="1"/>
      <c r="S28" s="1"/>
      <c r="T28" s="2"/>
      <c r="U28" s="2"/>
      <c r="V28" s="5"/>
      <c r="W28" s="5"/>
      <c r="X28" s="2"/>
      <c r="Y28" s="2"/>
    </row>
    <row r="29" spans="1:25" ht="15.75" customHeight="1" x14ac:dyDescent="0.2">
      <c r="A29" s="13">
        <v>3</v>
      </c>
      <c r="B29" s="12" t="s">
        <v>8</v>
      </c>
      <c r="C29" s="14" t="s">
        <v>28</v>
      </c>
      <c r="D29" s="8">
        <v>2600</v>
      </c>
      <c r="E29" s="8">
        <f t="shared" si="0"/>
        <v>7800</v>
      </c>
      <c r="F29" s="8">
        <f t="shared" si="1"/>
        <v>8619</v>
      </c>
      <c r="G29" s="5"/>
      <c r="H29" s="2"/>
      <c r="I29" s="8">
        <f>39000/18</f>
        <v>2166.6666666666665</v>
      </c>
      <c r="J29" s="8">
        <f t="shared" si="2"/>
        <v>6500</v>
      </c>
      <c r="K29" s="8">
        <f t="shared" si="3"/>
        <v>2119</v>
      </c>
      <c r="L29" s="36">
        <f t="shared" si="4"/>
        <v>0.2458521870286576</v>
      </c>
      <c r="M29" s="1"/>
      <c r="N29" s="1"/>
      <c r="O29" s="1"/>
      <c r="P29" s="1"/>
      <c r="Q29" s="1"/>
      <c r="R29" s="1"/>
      <c r="S29" s="1"/>
      <c r="T29" s="2"/>
      <c r="U29" s="2"/>
      <c r="V29" s="5"/>
      <c r="W29" s="5"/>
      <c r="X29" s="2"/>
      <c r="Y29" s="2"/>
    </row>
    <row r="30" spans="1:25" ht="15.75" customHeight="1" x14ac:dyDescent="0.2">
      <c r="A30" s="13">
        <v>3</v>
      </c>
      <c r="B30" s="12" t="s">
        <v>8</v>
      </c>
      <c r="C30" s="14" t="s">
        <v>25</v>
      </c>
      <c r="D30" s="8">
        <v>3000</v>
      </c>
      <c r="E30" s="8">
        <f t="shared" si="0"/>
        <v>9000</v>
      </c>
      <c r="F30" s="8">
        <f t="shared" si="1"/>
        <v>9945</v>
      </c>
      <c r="G30" s="5"/>
      <c r="H30" s="2"/>
      <c r="I30" s="8">
        <f>38000/18</f>
        <v>2111.1111111111113</v>
      </c>
      <c r="J30" s="8">
        <f t="shared" si="2"/>
        <v>6333.3333333333339</v>
      </c>
      <c r="K30" s="8">
        <f t="shared" si="3"/>
        <v>3611.6666666666661</v>
      </c>
      <c r="L30" s="35">
        <f t="shared" si="4"/>
        <v>0.3631640690464219</v>
      </c>
      <c r="M30" s="1"/>
      <c r="N30" s="1"/>
      <c r="O30" s="1"/>
      <c r="P30" s="1"/>
      <c r="Q30" s="1"/>
      <c r="R30" s="1"/>
      <c r="S30" s="1"/>
      <c r="T30" s="2"/>
      <c r="U30" s="2"/>
      <c r="V30" s="5"/>
      <c r="W30" s="5"/>
      <c r="X30" s="2"/>
      <c r="Y30" s="2"/>
    </row>
    <row r="31" spans="1:25" ht="15.75" customHeight="1" x14ac:dyDescent="0.2">
      <c r="A31" s="1"/>
      <c r="B31" s="2"/>
      <c r="C31" s="4"/>
      <c r="D31" s="2"/>
      <c r="E31" s="2"/>
      <c r="F31" s="8"/>
      <c r="H31" s="2"/>
      <c r="I31" s="2"/>
      <c r="J31" s="2"/>
      <c r="K31" s="2"/>
      <c r="L31" s="35"/>
      <c r="N31" s="1"/>
      <c r="O31" s="5"/>
      <c r="P31" s="1"/>
      <c r="Q31" s="1"/>
      <c r="R31" s="1"/>
      <c r="S31" s="1"/>
      <c r="T31" s="2"/>
      <c r="U31" s="2"/>
      <c r="V31" s="5"/>
      <c r="W31" s="5"/>
      <c r="X31" s="2"/>
      <c r="Y31" s="2"/>
    </row>
    <row r="32" spans="1:25" ht="15.75" customHeight="1" x14ac:dyDescent="0.2">
      <c r="A32" s="1"/>
      <c r="B32" s="2"/>
      <c r="C32" s="5"/>
      <c r="D32" s="2"/>
      <c r="E32" s="8">
        <f t="shared" ref="E32:F32" si="5">SUM(E5:E31)</f>
        <v>220780</v>
      </c>
      <c r="F32" s="8">
        <f t="shared" si="5"/>
        <v>243961.9</v>
      </c>
      <c r="G32" s="2"/>
      <c r="H32" s="2"/>
      <c r="I32" s="2"/>
      <c r="J32" s="2"/>
      <c r="K32" s="8">
        <f>SUM(K5:K31)</f>
        <v>91656.253535353535</v>
      </c>
      <c r="L32" s="35">
        <f>K32/F32</f>
        <v>0.37569904782408048</v>
      </c>
      <c r="N32" s="1"/>
      <c r="O32" s="5"/>
      <c r="P32" s="1"/>
      <c r="Q32" s="1"/>
      <c r="R32" s="1"/>
      <c r="S32" s="1"/>
      <c r="T32" s="2"/>
      <c r="U32" s="2"/>
      <c r="V32" s="5"/>
      <c r="W32" s="5"/>
      <c r="X32" s="2"/>
      <c r="Y32" s="2"/>
    </row>
    <row r="33" spans="1:25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N33" s="1"/>
      <c r="O33" s="5"/>
      <c r="P33" s="1"/>
      <c r="Q33" s="1"/>
      <c r="R33" s="1"/>
      <c r="S33" s="1"/>
      <c r="T33" s="2"/>
      <c r="U33" s="2"/>
      <c r="V33" s="5"/>
      <c r="W33" s="5"/>
      <c r="X33" s="2"/>
      <c r="Y33" s="2"/>
    </row>
    <row r="34" spans="1:25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N34" s="1"/>
      <c r="O34" s="5"/>
      <c r="P34" s="1"/>
      <c r="Q34" s="1"/>
      <c r="R34" s="1"/>
      <c r="S34" s="1"/>
      <c r="T34" s="2"/>
      <c r="U34" s="1"/>
      <c r="V34" s="5"/>
      <c r="W34" s="5"/>
      <c r="X34" s="5"/>
      <c r="Y34" s="5"/>
    </row>
    <row r="35" spans="1:25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"/>
      <c r="U35" s="1"/>
      <c r="V35" s="5"/>
      <c r="W35" s="5"/>
      <c r="X35" s="5"/>
      <c r="Y35" s="5"/>
    </row>
    <row r="36" spans="1:25" ht="15.75" customHeight="1" x14ac:dyDescent="0.2">
      <c r="A36" s="41" t="s">
        <v>68</v>
      </c>
      <c r="B36" s="40"/>
      <c r="C36" s="40"/>
      <c r="D36" s="2"/>
      <c r="E36" s="2" t="s">
        <v>79</v>
      </c>
      <c r="F36" s="7">
        <v>45966</v>
      </c>
      <c r="G36" s="2" t="s">
        <v>18</v>
      </c>
      <c r="H36" s="2"/>
      <c r="I36" s="42" t="s">
        <v>16</v>
      </c>
      <c r="J36" s="40"/>
      <c r="K36" s="40"/>
      <c r="L36" s="3"/>
      <c r="M36" s="1"/>
      <c r="N36" s="1"/>
      <c r="O36" s="1"/>
      <c r="P36" s="1"/>
      <c r="Q36" s="1"/>
      <c r="R36" s="1"/>
      <c r="S36" s="1"/>
      <c r="T36" s="2"/>
      <c r="U36" s="1"/>
      <c r="V36" s="5"/>
      <c r="W36" s="5"/>
      <c r="X36" s="5"/>
      <c r="Y36" s="5"/>
    </row>
    <row r="37" spans="1:25" ht="15.75" customHeight="1" x14ac:dyDescent="0.2">
      <c r="A37" s="1"/>
      <c r="B37" s="2"/>
      <c r="C37" s="4"/>
      <c r="D37" s="2"/>
      <c r="E37" s="2"/>
      <c r="F37" s="2"/>
      <c r="G37" s="2"/>
      <c r="H37" s="2"/>
      <c r="I37" s="2"/>
      <c r="J37" s="2"/>
      <c r="K37" s="2"/>
      <c r="L37" s="3"/>
      <c r="M37" s="1"/>
      <c r="N37" s="1"/>
      <c r="O37" s="1"/>
      <c r="P37" s="1"/>
      <c r="Q37" s="1"/>
      <c r="R37" s="1"/>
      <c r="S37" s="1"/>
      <c r="T37" s="2"/>
      <c r="U37" s="1"/>
      <c r="V37" s="5"/>
      <c r="W37" s="5"/>
      <c r="X37" s="5"/>
      <c r="Y37" s="5"/>
    </row>
    <row r="38" spans="1:25" ht="15.75" customHeight="1" x14ac:dyDescent="0.2">
      <c r="A38" s="9" t="s">
        <v>1</v>
      </c>
      <c r="B38" s="10" t="s">
        <v>2</v>
      </c>
      <c r="C38" s="11" t="s">
        <v>3</v>
      </c>
      <c r="D38" s="10" t="s">
        <v>4</v>
      </c>
      <c r="E38" s="12" t="s">
        <v>5</v>
      </c>
      <c r="F38" s="12" t="s">
        <v>17</v>
      </c>
      <c r="G38" s="2"/>
      <c r="H38" s="2"/>
      <c r="I38" s="12" t="s">
        <v>4</v>
      </c>
      <c r="J38" s="12" t="s">
        <v>5</v>
      </c>
      <c r="K38" s="12" t="s">
        <v>6</v>
      </c>
      <c r="L38" s="37"/>
      <c r="M38" s="1"/>
      <c r="N38" s="1"/>
      <c r="O38" s="1"/>
      <c r="P38" s="1"/>
      <c r="Q38" s="1"/>
      <c r="R38" s="1"/>
      <c r="S38" s="1"/>
      <c r="T38" s="2"/>
      <c r="U38" s="1"/>
      <c r="V38" s="5"/>
      <c r="W38" s="5"/>
      <c r="X38" s="5"/>
      <c r="Y38" s="5"/>
    </row>
    <row r="39" spans="1:25" ht="15.75" customHeight="1" x14ac:dyDescent="0.2">
      <c r="A39" s="13">
        <v>4</v>
      </c>
      <c r="B39" s="12" t="s">
        <v>10</v>
      </c>
      <c r="C39" s="14" t="s">
        <v>54</v>
      </c>
      <c r="D39" s="8">
        <v>16000</v>
      </c>
      <c r="E39" s="8">
        <f t="shared" ref="E39:E60" si="6">A39*D39</f>
        <v>64000</v>
      </c>
      <c r="F39" s="8">
        <f t="shared" ref="F39:F60" si="7">E39*1.105</f>
        <v>70720</v>
      </c>
      <c r="G39" s="2"/>
      <c r="H39" s="2" t="s">
        <v>18</v>
      </c>
      <c r="I39" s="8">
        <v>13700</v>
      </c>
      <c r="J39" s="8">
        <f t="shared" ref="J39:J60" si="8">I39*A39</f>
        <v>54800</v>
      </c>
      <c r="K39" s="8">
        <f t="shared" ref="K39:K60" si="9">F39-J39</f>
        <v>15920</v>
      </c>
      <c r="L39" s="36">
        <f t="shared" ref="L39:L60" si="10">K39/F39</f>
        <v>0.22511312217194571</v>
      </c>
      <c r="M39" s="1"/>
      <c r="N39" s="1"/>
      <c r="O39" s="1"/>
      <c r="P39" s="1"/>
      <c r="Q39" s="1"/>
      <c r="R39" s="1"/>
      <c r="S39" s="1"/>
      <c r="T39" s="2"/>
      <c r="U39" s="1"/>
      <c r="V39" s="5"/>
      <c r="W39" s="5"/>
      <c r="X39" s="5"/>
      <c r="Y39" s="5"/>
    </row>
    <row r="40" spans="1:25" ht="15.75" customHeight="1" x14ac:dyDescent="0.2">
      <c r="A40" s="13">
        <v>1</v>
      </c>
      <c r="B40" s="12" t="s">
        <v>10</v>
      </c>
      <c r="C40" s="14" t="s">
        <v>61</v>
      </c>
      <c r="D40" s="8">
        <v>16000</v>
      </c>
      <c r="E40" s="8">
        <f t="shared" si="6"/>
        <v>16000</v>
      </c>
      <c r="F40" s="8">
        <f t="shared" si="7"/>
        <v>17680</v>
      </c>
      <c r="G40" s="2"/>
      <c r="H40" s="2" t="s">
        <v>18</v>
      </c>
      <c r="I40" s="8">
        <v>13500</v>
      </c>
      <c r="J40" s="8">
        <f t="shared" si="8"/>
        <v>13500</v>
      </c>
      <c r="K40" s="8">
        <f t="shared" si="9"/>
        <v>4180</v>
      </c>
      <c r="L40" s="36">
        <f t="shared" si="10"/>
        <v>0.23642533936651583</v>
      </c>
      <c r="M40" s="1"/>
      <c r="N40" s="1"/>
      <c r="O40" s="1"/>
      <c r="P40" s="1"/>
      <c r="Q40" s="1"/>
      <c r="R40" s="1"/>
      <c r="S40" s="1"/>
      <c r="T40" s="2"/>
      <c r="U40" s="1"/>
      <c r="V40" s="5"/>
      <c r="W40" s="5"/>
      <c r="X40" s="5"/>
      <c r="Y40" s="5"/>
    </row>
    <row r="41" spans="1:25" ht="15.75" customHeight="1" x14ac:dyDescent="0.2">
      <c r="A41" s="13">
        <v>1</v>
      </c>
      <c r="B41" s="12" t="s">
        <v>10</v>
      </c>
      <c r="C41" s="14" t="s">
        <v>11</v>
      </c>
      <c r="D41" s="8">
        <v>13500</v>
      </c>
      <c r="E41" s="8">
        <f t="shared" si="6"/>
        <v>13500</v>
      </c>
      <c r="F41" s="8">
        <f t="shared" si="7"/>
        <v>14917.5</v>
      </c>
      <c r="G41" s="2"/>
      <c r="H41" s="2" t="s">
        <v>18</v>
      </c>
      <c r="I41" s="8">
        <v>10000</v>
      </c>
      <c r="J41" s="8">
        <f t="shared" si="8"/>
        <v>10000</v>
      </c>
      <c r="K41" s="8">
        <f t="shared" si="9"/>
        <v>4917.5</v>
      </c>
      <c r="L41" s="35">
        <f t="shared" si="10"/>
        <v>0.32964638846991789</v>
      </c>
      <c r="M41" s="1"/>
      <c r="N41" s="1"/>
      <c r="O41" s="1"/>
      <c r="P41" s="1"/>
      <c r="Q41" s="1"/>
      <c r="R41" s="1"/>
      <c r="S41" s="1"/>
      <c r="T41" s="2"/>
      <c r="U41" s="1"/>
      <c r="V41" s="5"/>
      <c r="W41" s="5"/>
      <c r="X41" s="5"/>
      <c r="Y41" s="5"/>
    </row>
    <row r="42" spans="1:25" ht="15.75" customHeight="1" x14ac:dyDescent="0.2">
      <c r="A42" s="13">
        <v>2</v>
      </c>
      <c r="B42" s="12" t="s">
        <v>10</v>
      </c>
      <c r="C42" s="14" t="s">
        <v>23</v>
      </c>
      <c r="D42" s="8">
        <v>9000</v>
      </c>
      <c r="E42" s="8">
        <f t="shared" si="6"/>
        <v>18000</v>
      </c>
      <c r="F42" s="8">
        <f t="shared" si="7"/>
        <v>19890</v>
      </c>
      <c r="G42" s="2"/>
      <c r="H42" s="2" t="s">
        <v>18</v>
      </c>
      <c r="I42" s="8">
        <v>4000</v>
      </c>
      <c r="J42" s="8">
        <f t="shared" si="8"/>
        <v>8000</v>
      </c>
      <c r="K42" s="8">
        <f t="shared" si="9"/>
        <v>11890</v>
      </c>
      <c r="L42" s="35">
        <f t="shared" si="10"/>
        <v>0.59778783308195071</v>
      </c>
      <c r="M42" s="1"/>
      <c r="N42" s="1"/>
      <c r="O42" s="1"/>
      <c r="P42" s="1"/>
      <c r="Q42" s="1"/>
      <c r="R42" s="1"/>
      <c r="S42" s="1"/>
      <c r="T42" s="2"/>
      <c r="U42" s="1"/>
      <c r="V42" s="5"/>
      <c r="W42" s="5"/>
      <c r="X42" s="5"/>
      <c r="Y42" s="5"/>
    </row>
    <row r="43" spans="1:25" ht="15.75" customHeight="1" x14ac:dyDescent="0.2">
      <c r="A43" s="13">
        <v>1</v>
      </c>
      <c r="B43" s="12" t="s">
        <v>8</v>
      </c>
      <c r="C43" s="14" t="s">
        <v>21</v>
      </c>
      <c r="D43" s="8">
        <v>1400</v>
      </c>
      <c r="E43" s="8">
        <f t="shared" si="6"/>
        <v>1400</v>
      </c>
      <c r="F43" s="8">
        <f t="shared" si="7"/>
        <v>1547</v>
      </c>
      <c r="G43" s="5"/>
      <c r="H43" s="8"/>
      <c r="I43" s="8">
        <v>1000</v>
      </c>
      <c r="J43" s="8">
        <f t="shared" si="8"/>
        <v>1000</v>
      </c>
      <c r="K43" s="8">
        <f t="shared" si="9"/>
        <v>547</v>
      </c>
      <c r="L43" s="35">
        <f t="shared" si="10"/>
        <v>0.35358758888170655</v>
      </c>
      <c r="M43" s="1"/>
      <c r="N43" s="1"/>
      <c r="O43" s="1"/>
      <c r="P43" s="1"/>
      <c r="Q43" s="1"/>
      <c r="R43" s="1"/>
      <c r="S43" s="1"/>
      <c r="T43" s="2"/>
      <c r="U43" s="1"/>
      <c r="V43" s="5"/>
      <c r="W43" s="5"/>
      <c r="X43" s="5"/>
      <c r="Y43" s="5"/>
    </row>
    <row r="44" spans="1:25" ht="15.75" customHeight="1" x14ac:dyDescent="0.2">
      <c r="A44" s="13">
        <v>1</v>
      </c>
      <c r="B44" s="12" t="s">
        <v>8</v>
      </c>
      <c r="C44" s="14" t="s">
        <v>19</v>
      </c>
      <c r="D44" s="8">
        <v>1800</v>
      </c>
      <c r="E44" s="8">
        <f t="shared" si="6"/>
        <v>1800</v>
      </c>
      <c r="F44" s="8">
        <f t="shared" si="7"/>
        <v>1989</v>
      </c>
      <c r="G44" s="5"/>
      <c r="H44" s="2"/>
      <c r="I44" s="8">
        <v>1000</v>
      </c>
      <c r="J44" s="8">
        <f t="shared" si="8"/>
        <v>1000</v>
      </c>
      <c r="K44" s="8">
        <f t="shared" si="9"/>
        <v>989</v>
      </c>
      <c r="L44" s="35">
        <f t="shared" si="10"/>
        <v>0.49723479135243842</v>
      </c>
      <c r="M44" s="1"/>
      <c r="N44" s="1"/>
      <c r="O44" s="1"/>
      <c r="P44" s="1"/>
      <c r="Q44" s="1"/>
      <c r="R44" s="1"/>
      <c r="S44" s="1"/>
      <c r="T44" s="2"/>
      <c r="U44" s="1"/>
      <c r="V44" s="5"/>
      <c r="W44" s="5"/>
      <c r="X44" s="5"/>
      <c r="Y44" s="5"/>
    </row>
    <row r="45" spans="1:25" ht="15.75" customHeight="1" x14ac:dyDescent="0.2">
      <c r="A45" s="13">
        <v>1</v>
      </c>
      <c r="B45" s="12" t="s">
        <v>7</v>
      </c>
      <c r="C45" s="14" t="s">
        <v>45</v>
      </c>
      <c r="D45" s="8">
        <v>1000</v>
      </c>
      <c r="E45" s="8">
        <f t="shared" si="6"/>
        <v>1000</v>
      </c>
      <c r="F45" s="8">
        <f t="shared" si="7"/>
        <v>1105</v>
      </c>
      <c r="G45" s="5"/>
      <c r="H45" s="2"/>
      <c r="I45" s="8">
        <f>3500/6</f>
        <v>583.33333333333337</v>
      </c>
      <c r="J45" s="8">
        <f t="shared" si="8"/>
        <v>583.33333333333337</v>
      </c>
      <c r="K45" s="8">
        <f t="shared" si="9"/>
        <v>521.66666666666663</v>
      </c>
      <c r="L45" s="35">
        <f t="shared" si="10"/>
        <v>0.47209653092006032</v>
      </c>
      <c r="M45" s="1"/>
      <c r="N45" s="1"/>
      <c r="O45" s="1"/>
      <c r="P45" s="1"/>
      <c r="Q45" s="1"/>
      <c r="R45" s="1"/>
      <c r="S45" s="1"/>
      <c r="T45" s="2"/>
      <c r="U45" s="1"/>
      <c r="V45" s="5"/>
      <c r="W45" s="5"/>
      <c r="X45" s="5"/>
      <c r="Y45" s="5"/>
    </row>
    <row r="46" spans="1:25" ht="15.75" customHeight="1" x14ac:dyDescent="0.2">
      <c r="A46" s="13">
        <v>3</v>
      </c>
      <c r="B46" s="12" t="s">
        <v>8</v>
      </c>
      <c r="C46" s="14" t="s">
        <v>30</v>
      </c>
      <c r="D46" s="8">
        <v>4800</v>
      </c>
      <c r="E46" s="8">
        <f t="shared" si="6"/>
        <v>14400</v>
      </c>
      <c r="F46" s="8">
        <f t="shared" si="7"/>
        <v>15912</v>
      </c>
      <c r="G46" s="5"/>
      <c r="H46" s="2"/>
      <c r="I46" s="8">
        <f>25000/8</f>
        <v>3125</v>
      </c>
      <c r="J46" s="8">
        <f t="shared" si="8"/>
        <v>9375</v>
      </c>
      <c r="K46" s="8">
        <f t="shared" si="9"/>
        <v>6537</v>
      </c>
      <c r="L46" s="35">
        <f t="shared" si="10"/>
        <v>0.41082202111613875</v>
      </c>
      <c r="M46" s="1"/>
      <c r="N46" s="1"/>
      <c r="O46" s="1"/>
      <c r="P46" s="1"/>
      <c r="Q46" s="1"/>
      <c r="R46" s="1"/>
      <c r="S46" s="1"/>
      <c r="T46" s="2"/>
      <c r="U46" s="1"/>
      <c r="V46" s="5"/>
      <c r="W46" s="5"/>
      <c r="X46" s="5"/>
      <c r="Y46" s="5"/>
    </row>
    <row r="47" spans="1:25" ht="15.75" customHeight="1" x14ac:dyDescent="0.2">
      <c r="A47" s="13">
        <v>2</v>
      </c>
      <c r="B47" s="12" t="s">
        <v>8</v>
      </c>
      <c r="C47" s="14" t="s">
        <v>56</v>
      </c>
      <c r="D47" s="8">
        <v>4800</v>
      </c>
      <c r="E47" s="8">
        <f t="shared" si="6"/>
        <v>9600</v>
      </c>
      <c r="F47" s="8">
        <f t="shared" si="7"/>
        <v>10608</v>
      </c>
      <c r="G47" s="5"/>
      <c r="H47" s="2"/>
      <c r="I47" s="8">
        <f t="shared" ref="I47:I48" si="11">20000/8</f>
        <v>2500</v>
      </c>
      <c r="J47" s="8">
        <f t="shared" si="8"/>
        <v>5000</v>
      </c>
      <c r="K47" s="8">
        <f t="shared" si="9"/>
        <v>5608</v>
      </c>
      <c r="L47" s="35">
        <f t="shared" si="10"/>
        <v>0.52865761689291102</v>
      </c>
      <c r="M47" s="1"/>
      <c r="N47" s="1"/>
      <c r="O47" s="1"/>
      <c r="P47" s="1"/>
      <c r="Q47" s="1"/>
      <c r="R47" s="1"/>
      <c r="S47" s="1"/>
      <c r="T47" s="2"/>
      <c r="U47" s="1"/>
      <c r="V47" s="5"/>
      <c r="W47" s="5"/>
      <c r="X47" s="5"/>
      <c r="Y47" s="5"/>
    </row>
    <row r="48" spans="1:25" ht="15.75" customHeight="1" x14ac:dyDescent="0.2">
      <c r="A48" s="13">
        <v>1</v>
      </c>
      <c r="B48" s="12" t="s">
        <v>8</v>
      </c>
      <c r="C48" s="14" t="s">
        <v>55</v>
      </c>
      <c r="D48" s="8">
        <v>4000</v>
      </c>
      <c r="E48" s="8">
        <f t="shared" si="6"/>
        <v>4000</v>
      </c>
      <c r="F48" s="8">
        <f t="shared" si="7"/>
        <v>4420</v>
      </c>
      <c r="G48" s="5"/>
      <c r="H48" s="2"/>
      <c r="I48" s="8">
        <f t="shared" si="11"/>
        <v>2500</v>
      </c>
      <c r="J48" s="8">
        <f t="shared" si="8"/>
        <v>2500</v>
      </c>
      <c r="K48" s="8">
        <f t="shared" si="9"/>
        <v>1920</v>
      </c>
      <c r="L48" s="35">
        <f t="shared" si="10"/>
        <v>0.43438914027149322</v>
      </c>
      <c r="M48" s="1"/>
      <c r="N48" s="1"/>
      <c r="O48" s="1"/>
      <c r="P48" s="1"/>
      <c r="Q48" s="1"/>
      <c r="R48" s="1"/>
      <c r="S48" s="1"/>
      <c r="T48" s="2"/>
      <c r="U48" s="1"/>
      <c r="V48" s="5"/>
      <c r="W48" s="5"/>
      <c r="X48" s="5"/>
      <c r="Y48" s="5"/>
    </row>
    <row r="49" spans="1:25" ht="15.75" customHeight="1" x14ac:dyDescent="0.2">
      <c r="A49" s="13">
        <v>3</v>
      </c>
      <c r="B49" s="12" t="s">
        <v>8</v>
      </c>
      <c r="C49" s="14" t="s">
        <v>60</v>
      </c>
      <c r="D49" s="8">
        <v>1200</v>
      </c>
      <c r="E49" s="8">
        <f t="shared" si="6"/>
        <v>3600</v>
      </c>
      <c r="F49" s="8">
        <f t="shared" si="7"/>
        <v>3978</v>
      </c>
      <c r="G49" s="2"/>
      <c r="H49" s="2"/>
      <c r="I49" s="8">
        <v>1000</v>
      </c>
      <c r="J49" s="8">
        <f t="shared" si="8"/>
        <v>3000</v>
      </c>
      <c r="K49" s="8">
        <f t="shared" si="9"/>
        <v>978</v>
      </c>
      <c r="L49" s="36">
        <f t="shared" si="10"/>
        <v>0.2458521870286576</v>
      </c>
      <c r="M49" s="1"/>
      <c r="N49" s="1"/>
      <c r="O49" s="1"/>
      <c r="P49" s="1"/>
      <c r="Q49" s="1"/>
      <c r="R49" s="1"/>
      <c r="S49" s="1"/>
      <c r="T49" s="2"/>
      <c r="U49" s="1"/>
      <c r="V49" s="5"/>
      <c r="W49" s="5"/>
      <c r="X49" s="5"/>
      <c r="Y49" s="5"/>
    </row>
    <row r="50" spans="1:25" ht="15.75" customHeight="1" x14ac:dyDescent="0.2">
      <c r="A50" s="13">
        <v>2</v>
      </c>
      <c r="B50" s="12" t="s">
        <v>2</v>
      </c>
      <c r="C50" s="14" t="s">
        <v>58</v>
      </c>
      <c r="D50" s="8">
        <v>2500</v>
      </c>
      <c r="E50" s="8">
        <f t="shared" si="6"/>
        <v>5000</v>
      </c>
      <c r="F50" s="8">
        <f t="shared" si="7"/>
        <v>5525</v>
      </c>
      <c r="G50" s="2"/>
      <c r="H50" s="8"/>
      <c r="I50" s="8">
        <f>10000/12</f>
        <v>833.33333333333337</v>
      </c>
      <c r="J50" s="8">
        <f t="shared" si="8"/>
        <v>1666.6666666666667</v>
      </c>
      <c r="K50" s="8">
        <f t="shared" si="9"/>
        <v>3858.333333333333</v>
      </c>
      <c r="L50" s="35">
        <f t="shared" si="10"/>
        <v>0.69834087481146301</v>
      </c>
      <c r="M50" s="1"/>
      <c r="N50" s="1"/>
      <c r="O50" s="1"/>
      <c r="P50" s="1"/>
      <c r="Q50" s="1"/>
      <c r="R50" s="1"/>
      <c r="S50" s="1"/>
      <c r="T50" s="2"/>
      <c r="U50" s="1"/>
      <c r="V50" s="5"/>
      <c r="W50" s="5"/>
      <c r="X50" s="5"/>
      <c r="Y50" s="5"/>
    </row>
    <row r="51" spans="1:25" ht="15.75" customHeight="1" x14ac:dyDescent="0.2">
      <c r="A51" s="13">
        <v>1</v>
      </c>
      <c r="B51" s="12" t="s">
        <v>2</v>
      </c>
      <c r="C51" s="14" t="s">
        <v>59</v>
      </c>
      <c r="D51" s="8">
        <v>3000</v>
      </c>
      <c r="E51" s="8">
        <f t="shared" si="6"/>
        <v>3000</v>
      </c>
      <c r="F51" s="8">
        <f t="shared" si="7"/>
        <v>3315</v>
      </c>
      <c r="G51" s="5"/>
      <c r="H51" s="8"/>
      <c r="I51" s="8">
        <f>((25000+17000)/2)/12</f>
        <v>1750</v>
      </c>
      <c r="J51" s="8">
        <f t="shared" si="8"/>
        <v>1750</v>
      </c>
      <c r="K51" s="8">
        <f t="shared" si="9"/>
        <v>1565</v>
      </c>
      <c r="L51" s="35">
        <f t="shared" si="10"/>
        <v>0.47209653092006032</v>
      </c>
      <c r="M51" s="1"/>
      <c r="N51" s="1"/>
      <c r="O51" s="1"/>
      <c r="P51" s="1"/>
      <c r="Q51" s="1"/>
      <c r="R51" s="1"/>
      <c r="S51" s="1"/>
      <c r="T51" s="2"/>
      <c r="U51" s="1"/>
      <c r="V51" s="5"/>
      <c r="W51" s="5"/>
      <c r="X51" s="5"/>
      <c r="Y51" s="5"/>
    </row>
    <row r="52" spans="1:25" ht="15.75" customHeight="1" x14ac:dyDescent="0.2">
      <c r="A52" s="13">
        <v>1</v>
      </c>
      <c r="B52" s="12" t="s">
        <v>2</v>
      </c>
      <c r="C52" s="14" t="s">
        <v>42</v>
      </c>
      <c r="D52" s="8">
        <v>2000</v>
      </c>
      <c r="E52" s="8">
        <f t="shared" si="6"/>
        <v>2000</v>
      </c>
      <c r="F52" s="8">
        <f t="shared" si="7"/>
        <v>2210</v>
      </c>
      <c r="G52" s="5"/>
      <c r="H52" s="2"/>
      <c r="I52" s="8">
        <f>16000/11</f>
        <v>1454.5454545454545</v>
      </c>
      <c r="J52" s="8">
        <f t="shared" si="8"/>
        <v>1454.5454545454545</v>
      </c>
      <c r="K52" s="8">
        <f t="shared" si="9"/>
        <v>755.4545454545455</v>
      </c>
      <c r="L52" s="35">
        <f t="shared" si="10"/>
        <v>0.34183463595228303</v>
      </c>
      <c r="M52" s="1"/>
      <c r="N52" s="1"/>
      <c r="O52" s="1"/>
      <c r="P52" s="1"/>
      <c r="Q52" s="1"/>
      <c r="R52" s="1"/>
      <c r="S52" s="1"/>
      <c r="T52" s="2"/>
      <c r="U52" s="1"/>
      <c r="V52" s="5"/>
      <c r="W52" s="5"/>
      <c r="X52" s="5"/>
      <c r="Y52" s="5"/>
    </row>
    <row r="53" spans="1:25" ht="15.75" customHeight="1" x14ac:dyDescent="0.2">
      <c r="A53" s="13">
        <v>10</v>
      </c>
      <c r="B53" s="12" t="s">
        <v>8</v>
      </c>
      <c r="C53" s="14" t="s">
        <v>9</v>
      </c>
      <c r="D53" s="8">
        <v>2800</v>
      </c>
      <c r="E53" s="8">
        <f t="shared" si="6"/>
        <v>28000</v>
      </c>
      <c r="F53" s="8">
        <f t="shared" si="7"/>
        <v>30940</v>
      </c>
      <c r="G53" s="5"/>
      <c r="H53" s="2"/>
      <c r="I53" s="8">
        <f>30000/18</f>
        <v>1666.6666666666667</v>
      </c>
      <c r="J53" s="8">
        <f t="shared" si="8"/>
        <v>16666.666666666668</v>
      </c>
      <c r="K53" s="8">
        <f t="shared" si="9"/>
        <v>14273.333333333332</v>
      </c>
      <c r="L53" s="35">
        <f t="shared" si="10"/>
        <v>0.46132299073475541</v>
      </c>
      <c r="M53" s="1"/>
      <c r="N53" s="1"/>
      <c r="O53" s="1"/>
      <c r="P53" s="1"/>
      <c r="Q53" s="1"/>
      <c r="R53" s="1"/>
      <c r="S53" s="1"/>
      <c r="T53" s="2"/>
      <c r="U53" s="1"/>
      <c r="V53" s="5"/>
      <c r="W53" s="5"/>
      <c r="X53" s="5"/>
      <c r="Y53" s="5"/>
    </row>
    <row r="54" spans="1:25" ht="15.75" customHeight="1" x14ac:dyDescent="0.2">
      <c r="A54" s="13">
        <v>1</v>
      </c>
      <c r="B54" s="12" t="s">
        <v>8</v>
      </c>
      <c r="C54" s="14" t="s">
        <v>57</v>
      </c>
      <c r="D54" s="8">
        <v>3000</v>
      </c>
      <c r="E54" s="8">
        <f t="shared" si="6"/>
        <v>3000</v>
      </c>
      <c r="F54" s="8">
        <f t="shared" si="7"/>
        <v>3315</v>
      </c>
      <c r="G54" s="5"/>
      <c r="H54" s="2"/>
      <c r="I54" s="8">
        <v>2000</v>
      </c>
      <c r="J54" s="8">
        <f t="shared" si="8"/>
        <v>2000</v>
      </c>
      <c r="K54" s="8">
        <f t="shared" si="9"/>
        <v>1315</v>
      </c>
      <c r="L54" s="35">
        <f t="shared" si="10"/>
        <v>0.39668174962292607</v>
      </c>
      <c r="M54" s="1"/>
      <c r="N54" s="1"/>
      <c r="O54" s="1"/>
      <c r="P54" s="1"/>
      <c r="Q54" s="1"/>
      <c r="R54" s="1"/>
      <c r="S54" s="1"/>
      <c r="T54" s="2"/>
      <c r="U54" s="1"/>
      <c r="V54" s="5"/>
      <c r="W54" s="5"/>
      <c r="X54" s="5"/>
      <c r="Y54" s="5"/>
    </row>
    <row r="55" spans="1:25" ht="15.75" customHeight="1" x14ac:dyDescent="0.2">
      <c r="A55" s="13">
        <v>1.5</v>
      </c>
      <c r="B55" s="12" t="s">
        <v>13</v>
      </c>
      <c r="C55" s="14" t="s">
        <v>26</v>
      </c>
      <c r="D55" s="8">
        <v>15000</v>
      </c>
      <c r="E55" s="8">
        <f t="shared" si="6"/>
        <v>22500</v>
      </c>
      <c r="F55" s="8">
        <f t="shared" si="7"/>
        <v>24862.5</v>
      </c>
      <c r="G55" s="5"/>
      <c r="H55" s="2"/>
      <c r="I55" s="8">
        <v>8000</v>
      </c>
      <c r="J55" s="8">
        <f t="shared" si="8"/>
        <v>12000</v>
      </c>
      <c r="K55" s="8">
        <f t="shared" si="9"/>
        <v>12862.5</v>
      </c>
      <c r="L55" s="35">
        <f t="shared" si="10"/>
        <v>0.51734539969834092</v>
      </c>
      <c r="M55" s="1"/>
      <c r="N55" s="1"/>
      <c r="O55" s="1"/>
      <c r="P55" s="1"/>
      <c r="Q55" s="1"/>
      <c r="R55" s="1"/>
      <c r="S55" s="1"/>
      <c r="T55" s="2"/>
      <c r="U55" s="1"/>
      <c r="V55" s="5"/>
      <c r="W55" s="5"/>
      <c r="X55" s="5"/>
      <c r="Y55" s="5"/>
    </row>
    <row r="56" spans="1:25" ht="15.75" customHeight="1" x14ac:dyDescent="0.2">
      <c r="A56" s="13">
        <v>5</v>
      </c>
      <c r="B56" s="12" t="s">
        <v>8</v>
      </c>
      <c r="C56" s="14" t="s">
        <v>25</v>
      </c>
      <c r="D56" s="8">
        <v>3000</v>
      </c>
      <c r="E56" s="8">
        <f t="shared" si="6"/>
        <v>15000</v>
      </c>
      <c r="F56" s="8">
        <f t="shared" si="7"/>
        <v>16575</v>
      </c>
      <c r="G56" s="5"/>
      <c r="H56" s="2"/>
      <c r="I56" s="8">
        <f>38000/18</f>
        <v>2111.1111111111113</v>
      </c>
      <c r="J56" s="8">
        <f t="shared" si="8"/>
        <v>10555.555555555557</v>
      </c>
      <c r="K56" s="8">
        <f t="shared" si="9"/>
        <v>6019.4444444444434</v>
      </c>
      <c r="L56" s="35">
        <f t="shared" si="10"/>
        <v>0.3631640690464219</v>
      </c>
      <c r="M56" s="1"/>
      <c r="N56" s="1"/>
      <c r="O56" s="1"/>
      <c r="P56" s="1"/>
      <c r="Q56" s="1"/>
      <c r="R56" s="1"/>
      <c r="S56" s="1"/>
      <c r="T56" s="2"/>
      <c r="U56" s="1"/>
      <c r="V56" s="5"/>
      <c r="W56" s="5"/>
      <c r="X56" s="5"/>
      <c r="Y56" s="5"/>
    </row>
    <row r="57" spans="1:25" ht="15.75" customHeight="1" x14ac:dyDescent="0.2">
      <c r="A57" s="13">
        <v>9</v>
      </c>
      <c r="B57" s="12" t="s">
        <v>8</v>
      </c>
      <c r="C57" s="14" t="s">
        <v>28</v>
      </c>
      <c r="D57" s="8">
        <v>2600</v>
      </c>
      <c r="E57" s="8">
        <f t="shared" si="6"/>
        <v>23400</v>
      </c>
      <c r="F57" s="8">
        <f t="shared" si="7"/>
        <v>25857</v>
      </c>
      <c r="G57" s="2"/>
      <c r="H57" s="2"/>
      <c r="I57" s="8">
        <f>43000/18</f>
        <v>2388.8888888888887</v>
      </c>
      <c r="J57" s="8">
        <f t="shared" si="8"/>
        <v>21500</v>
      </c>
      <c r="K57" s="8">
        <f t="shared" si="9"/>
        <v>4357</v>
      </c>
      <c r="L57" s="35">
        <f t="shared" si="10"/>
        <v>0.16850369339057122</v>
      </c>
      <c r="M57" s="1"/>
      <c r="N57" s="1"/>
      <c r="O57" s="1"/>
      <c r="P57" s="1"/>
      <c r="Q57" s="1"/>
      <c r="R57" s="1"/>
      <c r="S57" s="1"/>
      <c r="T57" s="2"/>
      <c r="U57" s="1"/>
      <c r="V57" s="5"/>
      <c r="W57" s="5"/>
      <c r="X57" s="5"/>
      <c r="Y57" s="5"/>
    </row>
    <row r="58" spans="1:25" ht="15.75" customHeight="1" x14ac:dyDescent="0.2">
      <c r="A58" s="13">
        <v>9</v>
      </c>
      <c r="B58" s="12" t="s">
        <v>8</v>
      </c>
      <c r="C58" s="14" t="s">
        <v>29</v>
      </c>
      <c r="D58" s="8">
        <v>3000</v>
      </c>
      <c r="E58" s="8">
        <f t="shared" si="6"/>
        <v>27000</v>
      </c>
      <c r="F58" s="8">
        <f t="shared" si="7"/>
        <v>29835</v>
      </c>
      <c r="G58" s="2"/>
      <c r="H58" s="8"/>
      <c r="I58" s="8">
        <f>39000/18</f>
        <v>2166.6666666666665</v>
      </c>
      <c r="J58" s="8">
        <f t="shared" si="8"/>
        <v>19500</v>
      </c>
      <c r="K58" s="8">
        <f t="shared" si="9"/>
        <v>10335</v>
      </c>
      <c r="L58" s="35">
        <f t="shared" si="10"/>
        <v>0.34640522875816993</v>
      </c>
      <c r="M58" s="1"/>
      <c r="N58" s="1"/>
      <c r="O58" s="1"/>
      <c r="P58" s="1"/>
      <c r="Q58" s="1"/>
      <c r="R58" s="1"/>
      <c r="S58" s="1"/>
      <c r="T58" s="2"/>
      <c r="U58" s="1"/>
      <c r="V58" s="5"/>
      <c r="W58" s="5"/>
      <c r="X58" s="5"/>
      <c r="Y58" s="5"/>
    </row>
    <row r="59" spans="1:25" ht="15.75" customHeight="1" x14ac:dyDescent="0.2">
      <c r="A59" s="13">
        <v>3</v>
      </c>
      <c r="B59" s="12" t="s">
        <v>8</v>
      </c>
      <c r="C59" s="14" t="s">
        <v>27</v>
      </c>
      <c r="D59" s="8">
        <v>2400</v>
      </c>
      <c r="E59" s="8">
        <f t="shared" si="6"/>
        <v>7200</v>
      </c>
      <c r="F59" s="8">
        <f t="shared" si="7"/>
        <v>7956</v>
      </c>
      <c r="G59" s="5"/>
      <c r="H59" s="8"/>
      <c r="I59" s="8">
        <f>26000/16</f>
        <v>1625</v>
      </c>
      <c r="J59" s="8">
        <f t="shared" si="8"/>
        <v>4875</v>
      </c>
      <c r="K59" s="8">
        <f t="shared" si="9"/>
        <v>3081</v>
      </c>
      <c r="L59" s="35">
        <f t="shared" si="10"/>
        <v>0.38725490196078433</v>
      </c>
      <c r="M59" s="1"/>
      <c r="N59" s="1"/>
      <c r="O59" s="1"/>
      <c r="P59" s="1"/>
      <c r="Q59" s="1"/>
      <c r="R59" s="1"/>
      <c r="S59" s="1"/>
      <c r="T59" s="2"/>
      <c r="U59" s="1"/>
      <c r="V59" s="5"/>
      <c r="W59" s="5"/>
      <c r="X59" s="5"/>
      <c r="Y59" s="5"/>
    </row>
    <row r="60" spans="1:25" ht="15.75" customHeight="1" x14ac:dyDescent="0.2">
      <c r="A60" s="13">
        <v>4</v>
      </c>
      <c r="B60" s="12" t="s">
        <v>8</v>
      </c>
      <c r="C60" s="14" t="s">
        <v>34</v>
      </c>
      <c r="D60" s="8">
        <v>1800</v>
      </c>
      <c r="E60" s="8">
        <f t="shared" si="6"/>
        <v>7200</v>
      </c>
      <c r="F60" s="8">
        <f t="shared" si="7"/>
        <v>7956</v>
      </c>
      <c r="G60" s="5"/>
      <c r="H60" s="2"/>
      <c r="I60" s="8">
        <f>20000/15</f>
        <v>1333.3333333333333</v>
      </c>
      <c r="J60" s="8">
        <f t="shared" si="8"/>
        <v>5333.333333333333</v>
      </c>
      <c r="K60" s="8">
        <f t="shared" si="9"/>
        <v>2622.666666666667</v>
      </c>
      <c r="L60" s="35">
        <f t="shared" si="10"/>
        <v>0.32964638846991789</v>
      </c>
      <c r="M60" s="1"/>
      <c r="N60" s="1"/>
      <c r="O60" s="1"/>
      <c r="P60" s="1"/>
      <c r="Q60" s="1"/>
      <c r="R60" s="1"/>
      <c r="S60" s="1"/>
      <c r="T60" s="2"/>
      <c r="U60" s="1"/>
      <c r="V60" s="5"/>
      <c r="W60" s="5"/>
      <c r="X60" s="5"/>
      <c r="Y60" s="5"/>
    </row>
    <row r="61" spans="1:25" ht="15.75" customHeight="1" x14ac:dyDescent="0.2">
      <c r="A61" s="1"/>
      <c r="B61" s="2"/>
      <c r="C61" s="5"/>
      <c r="D61" s="2"/>
      <c r="E61" s="2"/>
      <c r="F61" s="2"/>
      <c r="G61" s="2"/>
      <c r="H61" s="2"/>
      <c r="I61" s="2"/>
      <c r="J61" s="2"/>
      <c r="K61" s="2"/>
      <c r="L61" s="35"/>
      <c r="N61" s="1"/>
      <c r="O61" s="5"/>
      <c r="P61" s="1"/>
      <c r="Q61" s="1"/>
      <c r="R61" s="1"/>
      <c r="S61" s="1"/>
      <c r="T61" s="2"/>
      <c r="U61" s="1"/>
      <c r="V61" s="5"/>
      <c r="W61" s="5"/>
      <c r="X61" s="5"/>
      <c r="Y61" s="5"/>
    </row>
    <row r="62" spans="1:25" ht="15.75" customHeight="1" x14ac:dyDescent="0.2">
      <c r="A62" s="1"/>
      <c r="B62" s="2"/>
      <c r="C62" s="5"/>
      <c r="D62" s="2"/>
      <c r="E62" s="8">
        <f t="shared" ref="E62:F62" si="12">SUM(E39:E61)</f>
        <v>290600</v>
      </c>
      <c r="F62" s="8">
        <f t="shared" si="12"/>
        <v>321113</v>
      </c>
      <c r="G62" s="2"/>
      <c r="H62" s="2"/>
      <c r="I62" s="2"/>
      <c r="J62" s="2"/>
      <c r="K62" s="8">
        <f>SUM(K39:K61)</f>
        <v>115052.89898989898</v>
      </c>
      <c r="L62" s="35">
        <f>K62/F62</f>
        <v>0.35829411761560254</v>
      </c>
      <c r="N62" s="1"/>
      <c r="O62" s="5"/>
      <c r="P62" s="1"/>
      <c r="Q62" s="1"/>
      <c r="R62" s="1"/>
      <c r="S62" s="1"/>
      <c r="T62" s="2"/>
      <c r="U62" s="1"/>
      <c r="V62" s="5"/>
      <c r="W62" s="5"/>
      <c r="X62" s="5"/>
      <c r="Y62" s="5"/>
    </row>
    <row r="63" spans="1:25" ht="15.75" customHeight="1" x14ac:dyDescent="0.2">
      <c r="A63" s="1"/>
      <c r="B63" s="1"/>
      <c r="C63" s="1"/>
      <c r="D63" s="1"/>
      <c r="E63" s="1"/>
      <c r="F63" s="1"/>
      <c r="H63" s="1"/>
      <c r="I63" s="1"/>
      <c r="J63" s="1"/>
      <c r="K63" s="1"/>
      <c r="L63" s="1"/>
      <c r="N63" s="1"/>
      <c r="O63" s="1"/>
      <c r="P63" s="1"/>
      <c r="Q63" s="1"/>
      <c r="R63" s="1"/>
      <c r="S63" s="1"/>
      <c r="T63" s="2"/>
      <c r="U63" s="1"/>
      <c r="V63" s="2"/>
      <c r="W63" s="5"/>
      <c r="X63" s="2"/>
      <c r="Y63" s="2"/>
    </row>
    <row r="64" spans="1:25" ht="15.75" customHeight="1" x14ac:dyDescent="0.2">
      <c r="A64" s="1"/>
      <c r="B64" s="1"/>
      <c r="C64" s="1"/>
      <c r="D64" s="1"/>
      <c r="E64" s="1"/>
      <c r="F64" s="1"/>
      <c r="H64" s="1"/>
      <c r="I64" s="1"/>
      <c r="J64" s="1"/>
      <c r="K64" s="1"/>
      <c r="L64" s="1"/>
      <c r="N64" s="1"/>
      <c r="O64" s="1"/>
      <c r="P64" s="1"/>
      <c r="Q64" s="1"/>
      <c r="R64" s="1"/>
      <c r="S64" s="1"/>
      <c r="T64" s="2"/>
      <c r="U64" s="1"/>
      <c r="V64" s="2"/>
      <c r="W64" s="5"/>
      <c r="X64" s="2"/>
      <c r="Y64" s="2"/>
    </row>
    <row r="65" spans="1:25" ht="15.75" customHeight="1" x14ac:dyDescent="0.2">
      <c r="A65" s="41" t="s">
        <v>69</v>
      </c>
      <c r="B65" s="40"/>
      <c r="C65" s="40"/>
      <c r="D65" s="2"/>
      <c r="E65" s="2" t="s">
        <v>80</v>
      </c>
      <c r="F65" s="7">
        <v>45966</v>
      </c>
      <c r="H65" s="2"/>
      <c r="I65" s="42" t="s">
        <v>16</v>
      </c>
      <c r="J65" s="40"/>
      <c r="K65" s="40"/>
      <c r="L65" s="3"/>
      <c r="N65" s="17"/>
      <c r="O65" s="18"/>
      <c r="P65" s="1"/>
      <c r="Q65" s="1"/>
      <c r="R65" s="1"/>
      <c r="S65" s="1"/>
      <c r="T65" s="2"/>
      <c r="U65" s="1"/>
      <c r="V65" s="2"/>
      <c r="W65" s="5"/>
      <c r="X65" s="2"/>
      <c r="Y65" s="2"/>
    </row>
    <row r="66" spans="1:25" ht="15.75" customHeight="1" x14ac:dyDescent="0.2">
      <c r="A66" s="1"/>
      <c r="B66" s="2"/>
      <c r="C66" s="4"/>
      <c r="D66" s="2"/>
      <c r="E66" s="2"/>
      <c r="F66" s="2"/>
      <c r="H66" s="2"/>
      <c r="I66" s="2"/>
      <c r="J66" s="2"/>
      <c r="K66" s="2"/>
      <c r="L66" s="3"/>
      <c r="N66" s="17"/>
      <c r="O66" s="5"/>
      <c r="P66" s="1"/>
      <c r="Q66" s="1"/>
      <c r="R66" s="1"/>
      <c r="S66" s="1"/>
      <c r="T66" s="2"/>
      <c r="U66" s="1"/>
      <c r="V66" s="2"/>
      <c r="W66" s="5"/>
      <c r="X66" s="2"/>
      <c r="Y66" s="2"/>
    </row>
    <row r="67" spans="1:25" ht="15.75" customHeight="1" x14ac:dyDescent="0.2">
      <c r="A67" s="9" t="s">
        <v>1</v>
      </c>
      <c r="B67" s="10" t="s">
        <v>2</v>
      </c>
      <c r="C67" s="11" t="s">
        <v>3</v>
      </c>
      <c r="D67" s="10" t="s">
        <v>4</v>
      </c>
      <c r="E67" s="12" t="s">
        <v>5</v>
      </c>
      <c r="F67" s="12" t="s">
        <v>17</v>
      </c>
      <c r="G67" s="2"/>
      <c r="H67" s="2"/>
      <c r="I67" s="12" t="s">
        <v>4</v>
      </c>
      <c r="J67" s="12" t="s">
        <v>5</v>
      </c>
      <c r="K67" s="12" t="s">
        <v>6</v>
      </c>
      <c r="L67" s="3"/>
      <c r="N67" s="1"/>
      <c r="O67" s="5"/>
      <c r="P67" s="1"/>
      <c r="Q67" s="1"/>
      <c r="R67" s="1"/>
      <c r="S67" s="1"/>
      <c r="T67" s="2"/>
      <c r="U67" s="1"/>
      <c r="V67" s="2"/>
      <c r="W67" s="5"/>
      <c r="X67" s="2"/>
      <c r="Y67" s="2"/>
    </row>
    <row r="68" spans="1:25" ht="15.75" customHeight="1" x14ac:dyDescent="0.2">
      <c r="A68" s="13">
        <v>2</v>
      </c>
      <c r="B68" s="12" t="s">
        <v>10</v>
      </c>
      <c r="C68" s="14" t="s">
        <v>54</v>
      </c>
      <c r="D68" s="8">
        <v>16000</v>
      </c>
      <c r="E68" s="8">
        <f t="shared" ref="E68:E85" si="13">A68*D68</f>
        <v>32000</v>
      </c>
      <c r="F68" s="8">
        <f t="shared" ref="F68:F85" si="14">E68*1.105</f>
        <v>35360</v>
      </c>
      <c r="G68" s="1"/>
      <c r="H68" s="2" t="s">
        <v>18</v>
      </c>
      <c r="I68" s="8">
        <v>13700</v>
      </c>
      <c r="J68" s="8">
        <f t="shared" ref="J68:J85" si="15">I68*A68</f>
        <v>27400</v>
      </c>
      <c r="K68" s="8">
        <f t="shared" ref="K68:K85" si="16">F68-J68</f>
        <v>7960</v>
      </c>
      <c r="L68" s="36">
        <f t="shared" ref="L68:L85" si="17">K68/F68</f>
        <v>0.22511312217194571</v>
      </c>
      <c r="N68" s="1"/>
      <c r="O68" s="5"/>
      <c r="P68" s="1"/>
      <c r="Q68" s="1"/>
      <c r="R68" s="1"/>
      <c r="S68" s="1"/>
      <c r="T68" s="2"/>
      <c r="U68" s="1"/>
      <c r="V68" s="2"/>
      <c r="W68" s="5"/>
      <c r="X68" s="2"/>
      <c r="Y68" s="2"/>
    </row>
    <row r="69" spans="1:25" ht="15.75" customHeight="1" x14ac:dyDescent="0.2">
      <c r="A69" s="13">
        <v>1</v>
      </c>
      <c r="B69" s="12" t="s">
        <v>10</v>
      </c>
      <c r="C69" s="14" t="s">
        <v>61</v>
      </c>
      <c r="D69" s="8">
        <v>16000</v>
      </c>
      <c r="E69" s="8">
        <f t="shared" si="13"/>
        <v>16000</v>
      </c>
      <c r="F69" s="8">
        <f t="shared" si="14"/>
        <v>17680</v>
      </c>
      <c r="G69" s="1"/>
      <c r="H69" s="2" t="s">
        <v>18</v>
      </c>
      <c r="I69" s="8">
        <v>13500</v>
      </c>
      <c r="J69" s="8">
        <f t="shared" si="15"/>
        <v>13500</v>
      </c>
      <c r="K69" s="8">
        <f t="shared" si="16"/>
        <v>4180</v>
      </c>
      <c r="L69" s="36">
        <f t="shared" si="17"/>
        <v>0.23642533936651583</v>
      </c>
      <c r="N69" s="1"/>
      <c r="O69" s="5"/>
      <c r="P69" s="1"/>
      <c r="Q69" s="1"/>
      <c r="R69" s="1"/>
      <c r="S69" s="1"/>
      <c r="T69" s="2"/>
      <c r="U69" s="1"/>
      <c r="V69" s="2"/>
      <c r="W69" s="5"/>
      <c r="X69" s="2"/>
      <c r="Y69" s="2"/>
    </row>
    <row r="70" spans="1:25" ht="15.75" customHeight="1" x14ac:dyDescent="0.2">
      <c r="A70" s="13">
        <v>1</v>
      </c>
      <c r="B70" s="12" t="s">
        <v>10</v>
      </c>
      <c r="C70" s="14" t="s">
        <v>23</v>
      </c>
      <c r="D70" s="8">
        <v>9000</v>
      </c>
      <c r="E70" s="8">
        <f t="shared" si="13"/>
        <v>9000</v>
      </c>
      <c r="F70" s="8">
        <f t="shared" si="14"/>
        <v>9945</v>
      </c>
      <c r="G70" s="1"/>
      <c r="H70" s="2" t="s">
        <v>18</v>
      </c>
      <c r="I70" s="8">
        <v>4000</v>
      </c>
      <c r="J70" s="8">
        <f t="shared" si="15"/>
        <v>4000</v>
      </c>
      <c r="K70" s="8">
        <f t="shared" si="16"/>
        <v>5945</v>
      </c>
      <c r="L70" s="35">
        <f t="shared" si="17"/>
        <v>0.59778783308195071</v>
      </c>
      <c r="N70" s="1"/>
      <c r="O70" s="5"/>
      <c r="P70" s="1"/>
      <c r="Q70" s="1"/>
      <c r="R70" s="1"/>
      <c r="S70" s="1"/>
      <c r="T70" s="2"/>
      <c r="U70" s="1"/>
      <c r="V70" s="2"/>
      <c r="W70" s="5"/>
      <c r="X70" s="2"/>
      <c r="Y70" s="2"/>
    </row>
    <row r="71" spans="1:25" ht="15.75" customHeight="1" x14ac:dyDescent="0.2">
      <c r="A71" s="13">
        <v>1</v>
      </c>
      <c r="B71" s="12" t="s">
        <v>10</v>
      </c>
      <c r="C71" s="14" t="s">
        <v>11</v>
      </c>
      <c r="D71" s="8">
        <v>13500</v>
      </c>
      <c r="E71" s="8">
        <f t="shared" si="13"/>
        <v>13500</v>
      </c>
      <c r="F71" s="8">
        <f t="shared" si="14"/>
        <v>14917.5</v>
      </c>
      <c r="G71" s="1"/>
      <c r="H71" s="2" t="s">
        <v>18</v>
      </c>
      <c r="I71" s="8">
        <v>10000</v>
      </c>
      <c r="J71" s="8">
        <f t="shared" si="15"/>
        <v>10000</v>
      </c>
      <c r="K71" s="8">
        <f t="shared" si="16"/>
        <v>4917.5</v>
      </c>
      <c r="L71" s="35">
        <f t="shared" si="17"/>
        <v>0.32964638846991789</v>
      </c>
      <c r="M71" s="1"/>
      <c r="N71" s="1"/>
      <c r="O71" s="5"/>
      <c r="P71" s="1"/>
      <c r="Q71" s="1"/>
      <c r="R71" s="1"/>
      <c r="S71" s="1"/>
      <c r="T71" s="2"/>
      <c r="U71" s="1"/>
      <c r="V71" s="2"/>
      <c r="W71" s="5"/>
      <c r="X71" s="2"/>
      <c r="Y71" s="2"/>
    </row>
    <row r="72" spans="1:25" ht="15.75" customHeight="1" x14ac:dyDescent="0.2">
      <c r="A72" s="13">
        <v>1</v>
      </c>
      <c r="B72" s="12" t="s">
        <v>8</v>
      </c>
      <c r="C72" s="14" t="s">
        <v>53</v>
      </c>
      <c r="D72" s="8">
        <v>900</v>
      </c>
      <c r="E72" s="8">
        <f t="shared" si="13"/>
        <v>900</v>
      </c>
      <c r="F72" s="8">
        <f t="shared" si="14"/>
        <v>994.5</v>
      </c>
      <c r="G72" s="1"/>
      <c r="H72" s="2" t="s">
        <v>18</v>
      </c>
      <c r="I72" s="8">
        <f>10500/18</f>
        <v>583.33333333333337</v>
      </c>
      <c r="J72" s="8">
        <f t="shared" si="15"/>
        <v>583.33333333333337</v>
      </c>
      <c r="K72" s="8">
        <f t="shared" si="16"/>
        <v>411.16666666666663</v>
      </c>
      <c r="L72" s="35">
        <f t="shared" si="17"/>
        <v>0.4134405899111781</v>
      </c>
      <c r="N72" s="1"/>
      <c r="O72" s="5"/>
      <c r="P72" s="1"/>
      <c r="Q72" s="1"/>
      <c r="R72" s="1"/>
      <c r="S72" s="1"/>
      <c r="T72" s="2"/>
      <c r="U72" s="1"/>
      <c r="V72" s="2"/>
      <c r="W72" s="5"/>
      <c r="X72" s="2"/>
      <c r="Y72" s="2"/>
    </row>
    <row r="73" spans="1:25" ht="15.75" customHeight="1" x14ac:dyDescent="0.2">
      <c r="A73" s="13">
        <v>1</v>
      </c>
      <c r="B73" s="12" t="s">
        <v>8</v>
      </c>
      <c r="C73" s="14" t="s">
        <v>52</v>
      </c>
      <c r="D73" s="8">
        <v>1600</v>
      </c>
      <c r="E73" s="8">
        <f t="shared" si="13"/>
        <v>1600</v>
      </c>
      <c r="F73" s="8">
        <f t="shared" si="14"/>
        <v>1768</v>
      </c>
      <c r="G73" s="1"/>
      <c r="H73" s="2"/>
      <c r="I73" s="8">
        <v>1000</v>
      </c>
      <c r="J73" s="8">
        <f t="shared" si="15"/>
        <v>1000</v>
      </c>
      <c r="K73" s="8">
        <f t="shared" si="16"/>
        <v>768</v>
      </c>
      <c r="L73" s="35">
        <f t="shared" si="17"/>
        <v>0.43438914027149322</v>
      </c>
      <c r="M73" s="1"/>
      <c r="N73" s="1"/>
      <c r="O73" s="5"/>
      <c r="P73" s="1"/>
      <c r="Q73" s="1"/>
      <c r="R73" s="1"/>
      <c r="S73" s="1"/>
      <c r="T73" s="2"/>
      <c r="U73" s="1"/>
      <c r="V73" s="2"/>
      <c r="W73" s="5"/>
      <c r="X73" s="2"/>
      <c r="Y73" s="2"/>
    </row>
    <row r="74" spans="1:25" ht="15.75" customHeight="1" x14ac:dyDescent="0.2">
      <c r="A74" s="13">
        <v>2</v>
      </c>
      <c r="B74" s="12" t="s">
        <v>2</v>
      </c>
      <c r="C74" s="14" t="s">
        <v>42</v>
      </c>
      <c r="D74" s="8">
        <v>2000</v>
      </c>
      <c r="E74" s="8">
        <f t="shared" si="13"/>
        <v>4000</v>
      </c>
      <c r="F74" s="8">
        <f t="shared" si="14"/>
        <v>4420</v>
      </c>
      <c r="G74" s="1"/>
      <c r="H74" s="5"/>
      <c r="I74" s="8">
        <f>16000/11</f>
        <v>1454.5454545454545</v>
      </c>
      <c r="J74" s="8">
        <f t="shared" si="15"/>
        <v>2909.090909090909</v>
      </c>
      <c r="K74" s="8">
        <f t="shared" si="16"/>
        <v>1510.909090909091</v>
      </c>
      <c r="L74" s="35">
        <f t="shared" si="17"/>
        <v>0.34183463595228303</v>
      </c>
      <c r="M74" s="1"/>
      <c r="N74" s="1"/>
      <c r="O74" s="5"/>
      <c r="P74" s="1"/>
      <c r="Q74" s="1"/>
      <c r="R74" s="1"/>
      <c r="S74" s="1"/>
      <c r="T74" s="2"/>
      <c r="U74" s="1"/>
      <c r="V74" s="2"/>
      <c r="W74" s="5"/>
      <c r="X74" s="2"/>
      <c r="Y74" s="2"/>
    </row>
    <row r="75" spans="1:25" ht="15.75" customHeight="1" x14ac:dyDescent="0.2">
      <c r="A75" s="13">
        <v>2</v>
      </c>
      <c r="B75" s="12" t="s">
        <v>8</v>
      </c>
      <c r="C75" s="14" t="s">
        <v>9</v>
      </c>
      <c r="D75" s="8">
        <v>2800</v>
      </c>
      <c r="E75" s="8">
        <f t="shared" si="13"/>
        <v>5600</v>
      </c>
      <c r="F75" s="8">
        <f t="shared" si="14"/>
        <v>6188</v>
      </c>
      <c r="G75" s="1"/>
      <c r="H75" s="2"/>
      <c r="I75" s="8">
        <f>30000/18</f>
        <v>1666.6666666666667</v>
      </c>
      <c r="J75" s="8">
        <f t="shared" si="15"/>
        <v>3333.3333333333335</v>
      </c>
      <c r="K75" s="8">
        <f t="shared" si="16"/>
        <v>2854.6666666666665</v>
      </c>
      <c r="L75" s="35">
        <f t="shared" si="17"/>
        <v>0.46132299073475541</v>
      </c>
      <c r="M75" s="1"/>
      <c r="N75" s="1"/>
      <c r="O75" s="5"/>
      <c r="P75" s="1"/>
      <c r="Q75" s="1"/>
      <c r="R75" s="1"/>
      <c r="S75" s="1"/>
      <c r="T75" s="2"/>
      <c r="U75" s="1"/>
      <c r="V75" s="2"/>
      <c r="W75" s="5"/>
      <c r="X75" s="2"/>
      <c r="Y75" s="2"/>
    </row>
    <row r="76" spans="1:25" ht="15.75" customHeight="1" x14ac:dyDescent="0.2">
      <c r="A76" s="13">
        <v>1</v>
      </c>
      <c r="B76" s="12" t="s">
        <v>8</v>
      </c>
      <c r="C76" s="14" t="s">
        <v>19</v>
      </c>
      <c r="D76" s="8">
        <v>1800</v>
      </c>
      <c r="E76" s="8">
        <f t="shared" si="13"/>
        <v>1800</v>
      </c>
      <c r="F76" s="8">
        <f t="shared" si="14"/>
        <v>1989</v>
      </c>
      <c r="G76" s="1"/>
      <c r="H76" s="2"/>
      <c r="I76" s="8">
        <v>1000</v>
      </c>
      <c r="J76" s="8">
        <f t="shared" si="15"/>
        <v>1000</v>
      </c>
      <c r="K76" s="8">
        <f t="shared" si="16"/>
        <v>989</v>
      </c>
      <c r="L76" s="35">
        <f t="shared" si="17"/>
        <v>0.49723479135243842</v>
      </c>
      <c r="M76" s="1"/>
      <c r="N76" s="1"/>
      <c r="O76" s="5"/>
      <c r="P76" s="1"/>
      <c r="Q76" s="1"/>
      <c r="R76" s="1"/>
      <c r="S76" s="1"/>
      <c r="T76" s="2"/>
      <c r="U76" s="1"/>
      <c r="V76" s="2"/>
      <c r="W76" s="5"/>
      <c r="X76" s="2"/>
      <c r="Y76" s="2"/>
    </row>
    <row r="77" spans="1:25" ht="15.75" customHeight="1" x14ac:dyDescent="0.2">
      <c r="A77" s="13">
        <v>1</v>
      </c>
      <c r="B77" s="12" t="s">
        <v>7</v>
      </c>
      <c r="C77" s="14" t="s">
        <v>45</v>
      </c>
      <c r="D77" s="8">
        <v>1000</v>
      </c>
      <c r="E77" s="8">
        <f t="shared" si="13"/>
        <v>1000</v>
      </c>
      <c r="F77" s="8">
        <f t="shared" si="14"/>
        <v>1105</v>
      </c>
      <c r="G77" s="1"/>
      <c r="H77" s="2"/>
      <c r="I77" s="8">
        <f>3500/6</f>
        <v>583.33333333333337</v>
      </c>
      <c r="J77" s="8">
        <f t="shared" si="15"/>
        <v>583.33333333333337</v>
      </c>
      <c r="K77" s="8">
        <f t="shared" si="16"/>
        <v>521.66666666666663</v>
      </c>
      <c r="L77" s="35">
        <f t="shared" si="17"/>
        <v>0.47209653092006032</v>
      </c>
      <c r="M77" s="1"/>
      <c r="N77" s="1"/>
      <c r="O77" s="5"/>
      <c r="P77" s="1"/>
      <c r="Q77" s="1"/>
      <c r="R77" s="1"/>
      <c r="S77" s="1"/>
      <c r="T77" s="2"/>
      <c r="U77" s="1"/>
      <c r="V77" s="2"/>
      <c r="W77" s="5"/>
      <c r="X77" s="2"/>
      <c r="Y77" s="2"/>
    </row>
    <row r="78" spans="1:25" ht="15.75" customHeight="1" x14ac:dyDescent="0.2">
      <c r="A78" s="13">
        <v>2</v>
      </c>
      <c r="B78" s="12" t="s">
        <v>8</v>
      </c>
      <c r="C78" s="14" t="s">
        <v>30</v>
      </c>
      <c r="D78" s="8">
        <v>4800</v>
      </c>
      <c r="E78" s="8">
        <f t="shared" si="13"/>
        <v>9600</v>
      </c>
      <c r="F78" s="8">
        <f t="shared" si="14"/>
        <v>10608</v>
      </c>
      <c r="G78" s="1"/>
      <c r="H78" s="2" t="s">
        <v>18</v>
      </c>
      <c r="I78" s="8">
        <f>25000/8</f>
        <v>3125</v>
      </c>
      <c r="J78" s="8">
        <f t="shared" si="15"/>
        <v>6250</v>
      </c>
      <c r="K78" s="8">
        <f t="shared" si="16"/>
        <v>4358</v>
      </c>
      <c r="L78" s="35">
        <f t="shared" si="17"/>
        <v>0.41082202111613875</v>
      </c>
      <c r="N78" s="1"/>
      <c r="O78" s="5"/>
      <c r="P78" s="1"/>
      <c r="Q78" s="1"/>
      <c r="R78" s="1"/>
      <c r="S78" s="1"/>
      <c r="T78" s="2"/>
      <c r="U78" s="1"/>
      <c r="V78" s="2"/>
      <c r="W78" s="5"/>
      <c r="X78" s="2"/>
      <c r="Y78" s="2"/>
    </row>
    <row r="79" spans="1:25" ht="15.75" customHeight="1" x14ac:dyDescent="0.2">
      <c r="A79" s="13">
        <v>2.2000000000000002</v>
      </c>
      <c r="B79" s="12" t="s">
        <v>8</v>
      </c>
      <c r="C79" s="14" t="s">
        <v>34</v>
      </c>
      <c r="D79" s="8">
        <v>1800</v>
      </c>
      <c r="E79" s="8">
        <f t="shared" si="13"/>
        <v>3960.0000000000005</v>
      </c>
      <c r="F79" s="8">
        <f t="shared" si="14"/>
        <v>4375.8</v>
      </c>
      <c r="G79" s="1"/>
      <c r="H79" s="2" t="s">
        <v>18</v>
      </c>
      <c r="I79" s="8">
        <f>20000/15</f>
        <v>1333.3333333333333</v>
      </c>
      <c r="J79" s="8">
        <f t="shared" si="15"/>
        <v>2933.3333333333335</v>
      </c>
      <c r="K79" s="8">
        <f t="shared" si="16"/>
        <v>1442.4666666666667</v>
      </c>
      <c r="L79" s="35">
        <f t="shared" si="17"/>
        <v>0.32964638846991789</v>
      </c>
      <c r="N79" s="1"/>
      <c r="O79" s="5"/>
      <c r="P79" s="1"/>
      <c r="Q79" s="1"/>
      <c r="R79" s="1"/>
      <c r="S79" s="1"/>
      <c r="T79" s="2"/>
      <c r="U79" s="1"/>
      <c r="V79" s="2"/>
      <c r="W79" s="5"/>
      <c r="X79" s="2"/>
      <c r="Y79" s="2"/>
    </row>
    <row r="80" spans="1:25" ht="15.75" customHeight="1" x14ac:dyDescent="0.2">
      <c r="A80" s="13">
        <v>1</v>
      </c>
      <c r="B80" s="12" t="s">
        <v>13</v>
      </c>
      <c r="C80" s="14" t="s">
        <v>26</v>
      </c>
      <c r="D80" s="8">
        <v>15000</v>
      </c>
      <c r="E80" s="8">
        <f t="shared" si="13"/>
        <v>15000</v>
      </c>
      <c r="F80" s="8">
        <f t="shared" si="14"/>
        <v>16575</v>
      </c>
      <c r="G80" s="1"/>
      <c r="H80" s="2" t="s">
        <v>18</v>
      </c>
      <c r="I80" s="8">
        <v>8000</v>
      </c>
      <c r="J80" s="8">
        <f t="shared" si="15"/>
        <v>8000</v>
      </c>
      <c r="K80" s="8">
        <f t="shared" si="16"/>
        <v>8575</v>
      </c>
      <c r="L80" s="35">
        <f t="shared" si="17"/>
        <v>0.51734539969834092</v>
      </c>
      <c r="M80" s="1"/>
      <c r="N80" s="1"/>
      <c r="O80" s="5"/>
      <c r="P80" s="1"/>
      <c r="Q80" s="1"/>
      <c r="R80" s="1"/>
      <c r="S80" s="1"/>
      <c r="T80" s="2"/>
      <c r="U80" s="1"/>
      <c r="V80" s="2"/>
      <c r="W80" s="5"/>
      <c r="X80" s="2"/>
      <c r="Y80" s="2"/>
    </row>
    <row r="81" spans="1:25" ht="15.75" customHeight="1" x14ac:dyDescent="0.2">
      <c r="A81" s="13">
        <v>1</v>
      </c>
      <c r="B81" s="12" t="s">
        <v>13</v>
      </c>
      <c r="C81" s="14" t="s">
        <v>29</v>
      </c>
      <c r="D81" s="8">
        <v>48000</v>
      </c>
      <c r="E81" s="8">
        <f t="shared" si="13"/>
        <v>48000</v>
      </c>
      <c r="F81" s="8">
        <f t="shared" si="14"/>
        <v>53040</v>
      </c>
      <c r="G81" s="1"/>
      <c r="H81" s="2" t="s">
        <v>18</v>
      </c>
      <c r="I81" s="8">
        <v>42000</v>
      </c>
      <c r="J81" s="8">
        <f t="shared" si="15"/>
        <v>42000</v>
      </c>
      <c r="K81" s="8">
        <f t="shared" si="16"/>
        <v>11040</v>
      </c>
      <c r="L81" s="36">
        <f t="shared" si="17"/>
        <v>0.20814479638009051</v>
      </c>
      <c r="N81" s="1"/>
      <c r="O81" s="5"/>
      <c r="P81" s="1"/>
      <c r="Q81" s="1"/>
      <c r="R81" s="1"/>
      <c r="S81" s="1"/>
      <c r="T81" s="2"/>
      <c r="U81" s="1"/>
      <c r="V81" s="2"/>
      <c r="W81" s="5"/>
      <c r="X81" s="2"/>
      <c r="Y81" s="2"/>
    </row>
    <row r="82" spans="1:25" ht="15.75" customHeight="1" x14ac:dyDescent="0.2">
      <c r="A82" s="13">
        <v>1</v>
      </c>
      <c r="B82" s="12" t="s">
        <v>13</v>
      </c>
      <c r="C82" s="14" t="s">
        <v>28</v>
      </c>
      <c r="D82" s="8">
        <v>45000</v>
      </c>
      <c r="E82" s="8">
        <f t="shared" si="13"/>
        <v>45000</v>
      </c>
      <c r="F82" s="8">
        <f t="shared" si="14"/>
        <v>49725</v>
      </c>
      <c r="G82" s="1"/>
      <c r="H82" s="2"/>
      <c r="I82" s="8">
        <v>39000</v>
      </c>
      <c r="J82" s="8">
        <f t="shared" si="15"/>
        <v>39000</v>
      </c>
      <c r="K82" s="8">
        <f t="shared" si="16"/>
        <v>10725</v>
      </c>
      <c r="L82" s="36">
        <f t="shared" si="17"/>
        <v>0.21568627450980393</v>
      </c>
      <c r="M82" s="1"/>
      <c r="N82" s="1"/>
      <c r="O82" s="5"/>
      <c r="P82" s="1"/>
      <c r="Q82" s="1"/>
      <c r="R82" s="1"/>
      <c r="S82" s="1"/>
      <c r="T82" s="2"/>
      <c r="U82" s="1"/>
      <c r="V82" s="2"/>
      <c r="W82" s="5"/>
      <c r="X82" s="2"/>
      <c r="Y82" s="2"/>
    </row>
    <row r="83" spans="1:25" ht="15.75" customHeight="1" x14ac:dyDescent="0.2">
      <c r="A83" s="13">
        <v>3</v>
      </c>
      <c r="B83" s="12" t="s">
        <v>8</v>
      </c>
      <c r="C83" s="14" t="s">
        <v>25</v>
      </c>
      <c r="D83" s="8">
        <v>3000</v>
      </c>
      <c r="E83" s="8">
        <f t="shared" si="13"/>
        <v>9000</v>
      </c>
      <c r="F83" s="8">
        <f t="shared" si="14"/>
        <v>9945</v>
      </c>
      <c r="G83" s="1"/>
      <c r="H83" s="5"/>
      <c r="I83" s="8">
        <v>2111</v>
      </c>
      <c r="J83" s="8">
        <f t="shared" si="15"/>
        <v>6333</v>
      </c>
      <c r="K83" s="8">
        <f t="shared" si="16"/>
        <v>3612</v>
      </c>
      <c r="L83" s="35">
        <f t="shared" si="17"/>
        <v>0.36319758672699848</v>
      </c>
      <c r="M83" s="1"/>
      <c r="N83" s="1"/>
      <c r="O83" s="5"/>
      <c r="P83" s="1"/>
      <c r="Q83" s="1"/>
      <c r="R83" s="1"/>
      <c r="S83" s="1"/>
      <c r="T83" s="2"/>
      <c r="U83" s="1"/>
      <c r="V83" s="2"/>
      <c r="W83" s="5"/>
      <c r="X83" s="2"/>
      <c r="Y83" s="2"/>
    </row>
    <row r="84" spans="1:25" ht="15.75" customHeight="1" x14ac:dyDescent="0.2">
      <c r="A84" s="13">
        <v>3</v>
      </c>
      <c r="B84" s="12" t="s">
        <v>8</v>
      </c>
      <c r="C84" s="14" t="s">
        <v>27</v>
      </c>
      <c r="D84" s="8">
        <v>2400</v>
      </c>
      <c r="E84" s="8">
        <f t="shared" si="13"/>
        <v>7200</v>
      </c>
      <c r="F84" s="8">
        <f t="shared" si="14"/>
        <v>7956</v>
      </c>
      <c r="G84" s="1"/>
      <c r="H84" s="2"/>
      <c r="I84" s="8">
        <f>26000/16</f>
        <v>1625</v>
      </c>
      <c r="J84" s="8">
        <f t="shared" si="15"/>
        <v>4875</v>
      </c>
      <c r="K84" s="8">
        <f t="shared" si="16"/>
        <v>3081</v>
      </c>
      <c r="L84" s="35">
        <f t="shared" si="17"/>
        <v>0.38725490196078433</v>
      </c>
      <c r="M84" s="1"/>
      <c r="N84" s="1"/>
      <c r="O84" s="5"/>
      <c r="P84" s="1"/>
      <c r="Q84" s="1"/>
      <c r="R84" s="1"/>
      <c r="S84" s="1"/>
      <c r="T84" s="2"/>
      <c r="U84" s="1"/>
      <c r="V84" s="2"/>
      <c r="W84" s="5"/>
      <c r="X84" s="2"/>
      <c r="Y84" s="2"/>
    </row>
    <row r="85" spans="1:25" ht="15.75" customHeight="1" x14ac:dyDescent="0.2">
      <c r="A85" s="13">
        <v>3</v>
      </c>
      <c r="B85" s="12" t="s">
        <v>8</v>
      </c>
      <c r="C85" s="14" t="s">
        <v>12</v>
      </c>
      <c r="D85" s="8">
        <v>3100</v>
      </c>
      <c r="E85" s="8">
        <f t="shared" si="13"/>
        <v>9300</v>
      </c>
      <c r="F85" s="8">
        <f t="shared" si="14"/>
        <v>10276.5</v>
      </c>
      <c r="G85" s="1"/>
      <c r="H85" s="2"/>
      <c r="I85" s="8">
        <v>2500</v>
      </c>
      <c r="J85" s="8">
        <f t="shared" si="15"/>
        <v>7500</v>
      </c>
      <c r="K85" s="8">
        <f t="shared" si="16"/>
        <v>2776.5</v>
      </c>
      <c r="L85" s="35">
        <f t="shared" si="17"/>
        <v>0.2701795358341848</v>
      </c>
      <c r="M85" s="1"/>
      <c r="N85" s="1"/>
      <c r="O85" s="5"/>
      <c r="P85" s="1"/>
      <c r="Q85" s="1"/>
      <c r="R85" s="1"/>
      <c r="S85" s="1"/>
      <c r="T85" s="2"/>
      <c r="U85" s="1"/>
      <c r="V85" s="2"/>
      <c r="W85" s="5"/>
      <c r="X85" s="2"/>
      <c r="Y85" s="2"/>
    </row>
    <row r="86" spans="1:25" ht="15.75" customHeight="1" x14ac:dyDescent="0.2">
      <c r="A86" s="1"/>
      <c r="B86" s="2"/>
      <c r="C86" s="5"/>
      <c r="D86" s="2"/>
      <c r="E86" s="2"/>
      <c r="F86" s="2"/>
      <c r="H86" s="2"/>
      <c r="I86" s="2"/>
      <c r="J86" s="2"/>
      <c r="K86" s="2"/>
      <c r="L86" s="35"/>
      <c r="N86" s="1"/>
      <c r="O86" s="5"/>
      <c r="P86" s="1"/>
      <c r="Q86" s="1"/>
      <c r="R86" s="1"/>
      <c r="S86" s="1"/>
      <c r="T86" s="2"/>
      <c r="U86" s="1"/>
      <c r="V86" s="2"/>
      <c r="W86" s="5"/>
      <c r="X86" s="2"/>
      <c r="Y86" s="2"/>
    </row>
    <row r="87" spans="1:25" ht="15.75" customHeight="1" x14ac:dyDescent="0.2">
      <c r="A87" s="1"/>
      <c r="B87" s="2"/>
      <c r="C87" s="1"/>
      <c r="D87" s="2"/>
      <c r="E87" s="8">
        <f t="shared" ref="E87:F87" si="18">SUM(E68:E86)</f>
        <v>232460</v>
      </c>
      <c r="F87" s="8">
        <f t="shared" si="18"/>
        <v>256868.3</v>
      </c>
      <c r="H87" s="2"/>
      <c r="I87" s="2"/>
      <c r="J87" s="2"/>
      <c r="K87" s="8">
        <f>SUM(K68:K86)</f>
        <v>75667.875757575763</v>
      </c>
      <c r="L87" s="35">
        <f>K87/F87</f>
        <v>0.29457848927865277</v>
      </c>
      <c r="N87" s="1"/>
      <c r="O87" s="5"/>
      <c r="P87" s="1"/>
      <c r="Q87" s="1"/>
      <c r="R87" s="1"/>
      <c r="S87" s="1"/>
      <c r="T87" s="2"/>
      <c r="U87" s="1"/>
      <c r="V87" s="2"/>
      <c r="W87" s="5"/>
      <c r="X87" s="2"/>
      <c r="Y87" s="2"/>
    </row>
    <row r="88" spans="1:25" ht="15.75" customHeight="1" x14ac:dyDescent="0.2">
      <c r="A88" s="1"/>
      <c r="B88" s="1"/>
      <c r="C88" s="1"/>
      <c r="D88" s="1"/>
      <c r="E88" s="1"/>
      <c r="F88" s="1"/>
      <c r="H88" s="1"/>
      <c r="I88" s="1"/>
      <c r="J88" s="1"/>
      <c r="K88" s="1"/>
      <c r="L88" s="1"/>
      <c r="N88" s="1"/>
      <c r="O88" s="5"/>
      <c r="P88" s="1"/>
      <c r="Q88" s="1"/>
      <c r="R88" s="1"/>
      <c r="S88" s="1"/>
      <c r="T88" s="2"/>
      <c r="U88" s="1"/>
      <c r="V88" s="2"/>
      <c r="W88" s="5"/>
      <c r="X88" s="2"/>
      <c r="Y88" s="2"/>
    </row>
    <row r="89" spans="1:25" ht="15.75" customHeight="1" x14ac:dyDescent="0.2">
      <c r="A89" s="1"/>
      <c r="B89" s="5"/>
      <c r="C89" s="5"/>
      <c r="D89" s="2"/>
      <c r="E89" s="2"/>
      <c r="F89" s="2"/>
      <c r="G89" s="5"/>
      <c r="H89" s="5"/>
      <c r="I89" s="5"/>
      <c r="J89" s="5"/>
      <c r="K89" s="2"/>
      <c r="L89" s="3"/>
      <c r="M89" s="5"/>
      <c r="N89" s="2"/>
      <c r="O89" s="5"/>
      <c r="P89" s="2"/>
      <c r="Q89" s="2"/>
      <c r="R89" s="5"/>
      <c r="S89" s="2"/>
      <c r="T89" s="2"/>
      <c r="U89" s="1"/>
      <c r="V89" s="2"/>
      <c r="W89" s="2"/>
      <c r="X89" s="2"/>
      <c r="Y89" s="2"/>
    </row>
    <row r="90" spans="1:25" ht="15.75" customHeight="1" x14ac:dyDescent="0.2">
      <c r="A90" s="41" t="s">
        <v>70</v>
      </c>
      <c r="B90" s="40"/>
      <c r="C90" s="40"/>
      <c r="D90" s="2"/>
      <c r="E90" s="2" t="s">
        <v>81</v>
      </c>
      <c r="F90" s="7" t="s">
        <v>82</v>
      </c>
      <c r="G90" s="2" t="s">
        <v>18</v>
      </c>
      <c r="H90" s="2"/>
      <c r="I90" s="42" t="s">
        <v>16</v>
      </c>
      <c r="J90" s="40"/>
      <c r="K90" s="40"/>
      <c r="L90" s="3"/>
      <c r="M90" s="5"/>
      <c r="N90" s="2"/>
      <c r="O90" s="5"/>
      <c r="P90" s="2"/>
      <c r="Q90" s="2"/>
      <c r="R90" s="5"/>
      <c r="S90" s="2"/>
      <c r="T90" s="2"/>
      <c r="U90" s="1"/>
      <c r="V90" s="2"/>
      <c r="W90" s="2"/>
      <c r="X90" s="2"/>
      <c r="Y90" s="2"/>
    </row>
    <row r="91" spans="1:25" ht="15.75" customHeight="1" x14ac:dyDescent="0.2">
      <c r="A91" s="1"/>
      <c r="B91" s="2"/>
      <c r="C91" s="4"/>
      <c r="D91" s="2"/>
      <c r="E91" s="2"/>
      <c r="F91" s="2"/>
      <c r="G91" s="2"/>
      <c r="H91" s="2"/>
      <c r="I91" s="2"/>
      <c r="J91" s="2"/>
      <c r="K91" s="2"/>
      <c r="L91" s="3"/>
      <c r="M91" s="5"/>
      <c r="N91" s="2"/>
      <c r="O91" s="5"/>
      <c r="P91" s="2"/>
      <c r="Q91" s="2"/>
      <c r="R91" s="5"/>
      <c r="S91" s="2"/>
      <c r="T91" s="2"/>
      <c r="U91" s="1"/>
      <c r="V91" s="2"/>
      <c r="W91" s="2"/>
      <c r="X91" s="2"/>
      <c r="Y91" s="2"/>
    </row>
    <row r="92" spans="1:25" ht="15.75" customHeight="1" x14ac:dyDescent="0.2">
      <c r="A92" s="9" t="s">
        <v>1</v>
      </c>
      <c r="B92" s="10" t="s">
        <v>2</v>
      </c>
      <c r="C92" s="11" t="s">
        <v>3</v>
      </c>
      <c r="D92" s="10" t="s">
        <v>4</v>
      </c>
      <c r="E92" s="12" t="s">
        <v>5</v>
      </c>
      <c r="F92" s="12" t="s">
        <v>17</v>
      </c>
      <c r="G92" s="2"/>
      <c r="H92" s="2"/>
      <c r="I92" s="12" t="s">
        <v>4</v>
      </c>
      <c r="J92" s="12" t="s">
        <v>5</v>
      </c>
      <c r="K92" s="12" t="s">
        <v>6</v>
      </c>
      <c r="L92" s="3"/>
      <c r="M92" s="5"/>
      <c r="N92" s="2"/>
      <c r="O92" s="5"/>
      <c r="P92" s="2"/>
      <c r="Q92" s="2"/>
      <c r="R92" s="5"/>
      <c r="S92" s="2"/>
      <c r="T92" s="2"/>
      <c r="U92" s="1"/>
      <c r="V92" s="2"/>
      <c r="W92" s="2"/>
      <c r="X92" s="2"/>
      <c r="Y92" s="2"/>
    </row>
    <row r="93" spans="1:25" ht="15.75" customHeight="1" x14ac:dyDescent="0.2">
      <c r="A93" s="13">
        <v>3.5</v>
      </c>
      <c r="B93" s="12" t="s">
        <v>8</v>
      </c>
      <c r="C93" s="14" t="s">
        <v>60</v>
      </c>
      <c r="D93" s="8">
        <v>1200</v>
      </c>
      <c r="E93" s="8">
        <f t="shared" ref="E93:E116" si="19">A93*D93</f>
        <v>4200</v>
      </c>
      <c r="F93" s="8">
        <f t="shared" ref="F93:F116" si="20">E93*1.105</f>
        <v>4641</v>
      </c>
      <c r="G93" s="5"/>
      <c r="H93" s="2" t="s">
        <v>18</v>
      </c>
      <c r="I93" s="8">
        <v>1000</v>
      </c>
      <c r="J93" s="8">
        <f t="shared" ref="J93:J116" si="21">I93*A93</f>
        <v>3500</v>
      </c>
      <c r="K93" s="8">
        <f t="shared" ref="K93:K116" si="22">F93-J93</f>
        <v>1141</v>
      </c>
      <c r="L93" s="36">
        <f t="shared" ref="L93:L116" si="23">K93/F93</f>
        <v>0.2458521870286576</v>
      </c>
      <c r="M93" s="5"/>
      <c r="N93" s="2"/>
      <c r="O93" s="5"/>
      <c r="P93" s="2"/>
      <c r="Q93" s="2"/>
      <c r="R93" s="5"/>
      <c r="S93" s="2"/>
      <c r="T93" s="2"/>
      <c r="U93" s="1"/>
      <c r="V93" s="2"/>
      <c r="W93" s="2"/>
      <c r="X93" s="2"/>
      <c r="Y93" s="2"/>
    </row>
    <row r="94" spans="1:25" ht="15.75" customHeight="1" x14ac:dyDescent="0.2">
      <c r="A94" s="13">
        <v>1</v>
      </c>
      <c r="B94" s="12" t="s">
        <v>7</v>
      </c>
      <c r="C94" s="14" t="s">
        <v>46</v>
      </c>
      <c r="D94" s="8">
        <v>3000</v>
      </c>
      <c r="E94" s="8">
        <f t="shared" si="19"/>
        <v>3000</v>
      </c>
      <c r="F94" s="8">
        <f t="shared" si="20"/>
        <v>3315</v>
      </c>
      <c r="G94" s="5"/>
      <c r="H94" s="8"/>
      <c r="I94" s="8">
        <v>1000</v>
      </c>
      <c r="J94" s="8">
        <f t="shared" si="21"/>
        <v>1000</v>
      </c>
      <c r="K94" s="8">
        <f t="shared" si="22"/>
        <v>2315</v>
      </c>
      <c r="L94" s="35">
        <f t="shared" si="23"/>
        <v>0.69834087481146301</v>
      </c>
      <c r="M94" s="5"/>
      <c r="N94" s="2"/>
      <c r="O94" s="5"/>
      <c r="P94" s="2"/>
      <c r="Q94" s="2"/>
      <c r="R94" s="5"/>
      <c r="S94" s="2"/>
      <c r="T94" s="2"/>
      <c r="U94" s="1"/>
      <c r="V94" s="2"/>
      <c r="W94" s="2"/>
      <c r="X94" s="2"/>
      <c r="Y94" s="2"/>
    </row>
    <row r="95" spans="1:25" ht="15.75" customHeight="1" x14ac:dyDescent="0.2">
      <c r="A95" s="13">
        <v>1</v>
      </c>
      <c r="B95" s="12" t="s">
        <v>7</v>
      </c>
      <c r="C95" s="14" t="s">
        <v>31</v>
      </c>
      <c r="D95" s="8">
        <v>3000</v>
      </c>
      <c r="E95" s="8">
        <f t="shared" si="19"/>
        <v>3000</v>
      </c>
      <c r="F95" s="8">
        <f t="shared" si="20"/>
        <v>3315</v>
      </c>
      <c r="G95" s="5"/>
      <c r="H95" s="8"/>
      <c r="I95" s="8">
        <v>2000</v>
      </c>
      <c r="J95" s="8">
        <f t="shared" si="21"/>
        <v>2000</v>
      </c>
      <c r="K95" s="8">
        <f t="shared" si="22"/>
        <v>1315</v>
      </c>
      <c r="L95" s="35">
        <f t="shared" si="23"/>
        <v>0.39668174962292607</v>
      </c>
      <c r="M95" s="5"/>
      <c r="N95" s="2"/>
      <c r="O95" s="5"/>
      <c r="P95" s="2"/>
      <c r="Q95" s="2"/>
      <c r="R95" s="5"/>
      <c r="S95" s="2"/>
      <c r="T95" s="2"/>
      <c r="U95" s="1"/>
      <c r="V95" s="2"/>
      <c r="W95" s="2"/>
      <c r="X95" s="2"/>
      <c r="Y95" s="2"/>
    </row>
    <row r="96" spans="1:25" ht="15.75" customHeight="1" x14ac:dyDescent="0.2">
      <c r="A96" s="13">
        <v>1</v>
      </c>
      <c r="B96" s="12" t="s">
        <v>7</v>
      </c>
      <c r="C96" s="14" t="s">
        <v>20</v>
      </c>
      <c r="D96" s="8">
        <v>4500</v>
      </c>
      <c r="E96" s="8">
        <f t="shared" si="19"/>
        <v>4500</v>
      </c>
      <c r="F96" s="8">
        <f t="shared" si="20"/>
        <v>4972.5</v>
      </c>
      <c r="G96" s="5"/>
      <c r="H96" s="2" t="s">
        <v>18</v>
      </c>
      <c r="I96" s="8">
        <v>3000</v>
      </c>
      <c r="J96" s="8">
        <f t="shared" si="21"/>
        <v>3000</v>
      </c>
      <c r="K96" s="8">
        <f t="shared" si="22"/>
        <v>1972.5</v>
      </c>
      <c r="L96" s="35">
        <f t="shared" si="23"/>
        <v>0.39668174962292607</v>
      </c>
      <c r="M96" s="5"/>
      <c r="N96" s="2"/>
      <c r="O96" s="5"/>
      <c r="P96" s="2"/>
      <c r="Q96" s="2"/>
      <c r="R96" s="5"/>
      <c r="S96" s="2"/>
      <c r="T96" s="2"/>
      <c r="U96" s="1"/>
      <c r="V96" s="2"/>
      <c r="W96" s="2"/>
      <c r="X96" s="2"/>
      <c r="Y96" s="2"/>
    </row>
    <row r="97" spans="1:25" ht="15.75" customHeight="1" x14ac:dyDescent="0.2">
      <c r="A97" s="13">
        <v>2</v>
      </c>
      <c r="B97" s="12" t="s">
        <v>2</v>
      </c>
      <c r="C97" s="14" t="s">
        <v>38</v>
      </c>
      <c r="D97" s="8">
        <v>1200</v>
      </c>
      <c r="E97" s="8">
        <f t="shared" si="19"/>
        <v>2400</v>
      </c>
      <c r="F97" s="8">
        <f t="shared" si="20"/>
        <v>2652</v>
      </c>
      <c r="G97" s="5"/>
      <c r="H97" s="2" t="s">
        <v>18</v>
      </c>
      <c r="I97" s="8">
        <v>600</v>
      </c>
      <c r="J97" s="8">
        <f t="shared" si="21"/>
        <v>1200</v>
      </c>
      <c r="K97" s="8">
        <f t="shared" si="22"/>
        <v>1452</v>
      </c>
      <c r="L97" s="35">
        <f t="shared" si="23"/>
        <v>0.54751131221719462</v>
      </c>
      <c r="M97" s="5"/>
      <c r="N97" s="2"/>
      <c r="O97" s="5"/>
      <c r="P97" s="2"/>
      <c r="Q97" s="2"/>
      <c r="R97" s="5"/>
      <c r="S97" s="2"/>
      <c r="T97" s="2"/>
      <c r="U97" s="1"/>
      <c r="V97" s="2"/>
      <c r="W97" s="2"/>
      <c r="X97" s="2"/>
      <c r="Y97" s="2"/>
    </row>
    <row r="98" spans="1:25" ht="15.75" customHeight="1" x14ac:dyDescent="0.2">
      <c r="A98" s="13">
        <v>2</v>
      </c>
      <c r="B98" s="12" t="s">
        <v>2</v>
      </c>
      <c r="C98" s="14" t="s">
        <v>37</v>
      </c>
      <c r="D98" s="8">
        <v>1500</v>
      </c>
      <c r="E98" s="8">
        <f t="shared" si="19"/>
        <v>3000</v>
      </c>
      <c r="F98" s="8">
        <f t="shared" si="20"/>
        <v>3315</v>
      </c>
      <c r="G98" s="5"/>
      <c r="H98" s="2"/>
      <c r="I98" s="8">
        <v>583</v>
      </c>
      <c r="J98" s="8">
        <f t="shared" si="21"/>
        <v>1166</v>
      </c>
      <c r="K98" s="8">
        <f t="shared" si="22"/>
        <v>2149</v>
      </c>
      <c r="L98" s="35">
        <f t="shared" si="23"/>
        <v>0.64826546003016594</v>
      </c>
      <c r="M98" s="5"/>
      <c r="N98" s="2"/>
      <c r="O98" s="5"/>
      <c r="P98" s="2"/>
      <c r="Q98" s="2"/>
      <c r="R98" s="5"/>
      <c r="S98" s="2"/>
      <c r="T98" s="2"/>
      <c r="U98" s="1"/>
      <c r="V98" s="2"/>
      <c r="W98" s="2"/>
      <c r="X98" s="2"/>
      <c r="Y98" s="2"/>
    </row>
    <row r="99" spans="1:25" ht="15.75" customHeight="1" x14ac:dyDescent="0.2">
      <c r="A99" s="13">
        <v>3</v>
      </c>
      <c r="B99" s="12" t="s">
        <v>10</v>
      </c>
      <c r="C99" s="14" t="s">
        <v>54</v>
      </c>
      <c r="D99" s="8">
        <v>16000</v>
      </c>
      <c r="E99" s="8">
        <f t="shared" si="19"/>
        <v>48000</v>
      </c>
      <c r="F99" s="8">
        <f t="shared" si="20"/>
        <v>53040</v>
      </c>
      <c r="G99" s="5"/>
      <c r="H99" s="2" t="s">
        <v>18</v>
      </c>
      <c r="I99" s="8">
        <v>13700</v>
      </c>
      <c r="J99" s="8">
        <f t="shared" si="21"/>
        <v>41100</v>
      </c>
      <c r="K99" s="8">
        <f t="shared" si="22"/>
        <v>11940</v>
      </c>
      <c r="L99" s="36">
        <f t="shared" si="23"/>
        <v>0.22511312217194571</v>
      </c>
      <c r="M99" s="5"/>
      <c r="N99" s="2"/>
      <c r="O99" s="5"/>
      <c r="P99" s="2"/>
      <c r="Q99" s="2"/>
      <c r="R99" s="5"/>
      <c r="S99" s="2"/>
      <c r="T99" s="2"/>
      <c r="U99" s="1"/>
      <c r="V99" s="2"/>
      <c r="W99" s="2"/>
      <c r="X99" s="2"/>
      <c r="Y99" s="2"/>
    </row>
    <row r="100" spans="1:25" ht="15.75" customHeight="1" x14ac:dyDescent="0.2">
      <c r="A100" s="13">
        <v>3</v>
      </c>
      <c r="B100" s="12" t="s">
        <v>8</v>
      </c>
      <c r="C100" s="14" t="s">
        <v>30</v>
      </c>
      <c r="D100" s="8">
        <v>4800</v>
      </c>
      <c r="E100" s="8">
        <f t="shared" si="19"/>
        <v>14400</v>
      </c>
      <c r="F100" s="8">
        <f t="shared" si="20"/>
        <v>15912</v>
      </c>
      <c r="G100" s="5"/>
      <c r="H100" s="2" t="s">
        <v>18</v>
      </c>
      <c r="I100" s="8">
        <f>25000/8</f>
        <v>3125</v>
      </c>
      <c r="J100" s="8">
        <f t="shared" si="21"/>
        <v>9375</v>
      </c>
      <c r="K100" s="8">
        <f t="shared" si="22"/>
        <v>6537</v>
      </c>
      <c r="L100" s="35">
        <f t="shared" si="23"/>
        <v>0.41082202111613875</v>
      </c>
      <c r="M100" s="5"/>
      <c r="N100" s="2"/>
      <c r="O100" s="5"/>
      <c r="P100" s="2"/>
      <c r="Q100" s="2"/>
      <c r="R100" s="5"/>
      <c r="S100" s="2"/>
      <c r="T100" s="2"/>
      <c r="U100" s="1"/>
      <c r="V100" s="2"/>
      <c r="W100" s="2"/>
      <c r="X100" s="2"/>
      <c r="Y100" s="2"/>
    </row>
    <row r="101" spans="1:25" ht="15.75" customHeight="1" x14ac:dyDescent="0.2">
      <c r="A101" s="13">
        <v>3</v>
      </c>
      <c r="B101" s="12" t="s">
        <v>8</v>
      </c>
      <c r="C101" s="14" t="s">
        <v>53</v>
      </c>
      <c r="D101" s="8">
        <v>900</v>
      </c>
      <c r="E101" s="8">
        <f t="shared" si="19"/>
        <v>2700</v>
      </c>
      <c r="F101" s="8">
        <f t="shared" si="20"/>
        <v>2983.5</v>
      </c>
      <c r="G101" s="5"/>
      <c r="H101" s="2" t="s">
        <v>18</v>
      </c>
      <c r="I101" s="8">
        <f>10500/18</f>
        <v>583.33333333333337</v>
      </c>
      <c r="J101" s="8">
        <f t="shared" si="21"/>
        <v>1750</v>
      </c>
      <c r="K101" s="8">
        <f t="shared" si="22"/>
        <v>1233.5</v>
      </c>
      <c r="L101" s="35">
        <f t="shared" si="23"/>
        <v>0.41344058991117816</v>
      </c>
      <c r="M101" s="5"/>
      <c r="N101" s="2"/>
      <c r="O101" s="5"/>
      <c r="P101" s="2"/>
      <c r="Q101" s="2"/>
      <c r="R101" s="5"/>
      <c r="S101" s="2"/>
      <c r="T101" s="2"/>
      <c r="U101" s="1"/>
      <c r="V101" s="2"/>
      <c r="W101" s="2"/>
      <c r="X101" s="2"/>
      <c r="Y101" s="2"/>
    </row>
    <row r="102" spans="1:25" ht="15.75" customHeight="1" x14ac:dyDescent="0.2">
      <c r="A102" s="13">
        <v>2</v>
      </c>
      <c r="B102" s="12" t="s">
        <v>2</v>
      </c>
      <c r="C102" s="14" t="s">
        <v>58</v>
      </c>
      <c r="D102" s="8">
        <v>2500</v>
      </c>
      <c r="E102" s="8">
        <f t="shared" si="19"/>
        <v>5000</v>
      </c>
      <c r="F102" s="8">
        <f t="shared" si="20"/>
        <v>5525</v>
      </c>
      <c r="G102" s="5"/>
      <c r="H102" s="2" t="s">
        <v>18</v>
      </c>
      <c r="I102" s="8">
        <f>10000/12</f>
        <v>833.33333333333337</v>
      </c>
      <c r="J102" s="8">
        <f t="shared" si="21"/>
        <v>1666.6666666666667</v>
      </c>
      <c r="K102" s="8">
        <f t="shared" si="22"/>
        <v>3858.333333333333</v>
      </c>
      <c r="L102" s="35">
        <f t="shared" si="23"/>
        <v>0.69834087481146301</v>
      </c>
      <c r="M102" s="5"/>
      <c r="N102" s="2"/>
      <c r="O102" s="5"/>
      <c r="P102" s="2"/>
      <c r="Q102" s="2"/>
      <c r="R102" s="5"/>
      <c r="S102" s="2"/>
      <c r="T102" s="2"/>
      <c r="U102" s="1"/>
      <c r="V102" s="2"/>
      <c r="W102" s="2"/>
      <c r="X102" s="2"/>
      <c r="Y102" s="2"/>
    </row>
    <row r="103" spans="1:25" ht="15.75" customHeight="1" x14ac:dyDescent="0.2">
      <c r="A103" s="13">
        <v>2</v>
      </c>
      <c r="B103" s="12" t="s">
        <v>2</v>
      </c>
      <c r="C103" s="14" t="s">
        <v>59</v>
      </c>
      <c r="D103" s="8">
        <v>3000</v>
      </c>
      <c r="E103" s="8">
        <f t="shared" si="19"/>
        <v>6000</v>
      </c>
      <c r="F103" s="8">
        <f t="shared" si="20"/>
        <v>6630</v>
      </c>
      <c r="G103" s="5"/>
      <c r="H103" s="2"/>
      <c r="I103" s="8">
        <f>((25000+17000)/2)/12</f>
        <v>1750</v>
      </c>
      <c r="J103" s="8">
        <f t="shared" si="21"/>
        <v>3500</v>
      </c>
      <c r="K103" s="8">
        <f t="shared" si="22"/>
        <v>3130</v>
      </c>
      <c r="L103" s="35">
        <f t="shared" si="23"/>
        <v>0.47209653092006032</v>
      </c>
      <c r="M103" s="5"/>
      <c r="N103" s="2"/>
      <c r="O103" s="5"/>
      <c r="P103" s="2"/>
      <c r="Q103" s="2"/>
      <c r="R103" s="5"/>
      <c r="S103" s="2"/>
      <c r="T103" s="2"/>
      <c r="U103" s="1"/>
      <c r="V103" s="2"/>
      <c r="W103" s="2"/>
      <c r="X103" s="2"/>
      <c r="Y103" s="2"/>
    </row>
    <row r="104" spans="1:25" ht="15.75" customHeight="1" x14ac:dyDescent="0.2">
      <c r="A104" s="13">
        <v>1</v>
      </c>
      <c r="B104" s="12" t="s">
        <v>13</v>
      </c>
      <c r="C104" s="14" t="s">
        <v>9</v>
      </c>
      <c r="D104" s="8">
        <v>34000</v>
      </c>
      <c r="E104" s="8">
        <f t="shared" si="19"/>
        <v>34000</v>
      </c>
      <c r="F104" s="8">
        <f t="shared" si="20"/>
        <v>37570</v>
      </c>
      <c r="G104" s="5"/>
      <c r="H104" s="2"/>
      <c r="I104" s="8">
        <v>20000</v>
      </c>
      <c r="J104" s="8">
        <f t="shared" si="21"/>
        <v>20000</v>
      </c>
      <c r="K104" s="8">
        <f t="shared" si="22"/>
        <v>17570</v>
      </c>
      <c r="L104" s="35">
        <f t="shared" si="23"/>
        <v>0.46766036731434657</v>
      </c>
      <c r="M104" s="5"/>
      <c r="N104" s="2"/>
      <c r="O104" s="5"/>
      <c r="P104" s="2"/>
      <c r="Q104" s="2"/>
      <c r="R104" s="5"/>
      <c r="S104" s="2"/>
      <c r="T104" s="2"/>
      <c r="U104" s="1"/>
      <c r="V104" s="2"/>
      <c r="W104" s="2"/>
      <c r="X104" s="2"/>
      <c r="Y104" s="2"/>
    </row>
    <row r="105" spans="1:25" ht="15.75" customHeight="1" x14ac:dyDescent="0.2">
      <c r="A105" s="13">
        <v>1</v>
      </c>
      <c r="B105" s="12" t="s">
        <v>7</v>
      </c>
      <c r="C105" s="14" t="s">
        <v>51</v>
      </c>
      <c r="D105" s="8">
        <v>4000</v>
      </c>
      <c r="E105" s="8">
        <f t="shared" si="19"/>
        <v>4000</v>
      </c>
      <c r="F105" s="8">
        <f t="shared" si="20"/>
        <v>4420</v>
      </c>
      <c r="G105" s="5"/>
      <c r="H105" s="2" t="s">
        <v>18</v>
      </c>
      <c r="I105" s="8">
        <v>3000</v>
      </c>
      <c r="J105" s="8">
        <f t="shared" si="21"/>
        <v>3000</v>
      </c>
      <c r="K105" s="8">
        <f t="shared" si="22"/>
        <v>1420</v>
      </c>
      <c r="L105" s="35">
        <f t="shared" si="23"/>
        <v>0.32126696832579188</v>
      </c>
      <c r="M105" s="5"/>
      <c r="N105" s="2"/>
      <c r="O105" s="5"/>
      <c r="P105" s="2"/>
      <c r="Q105" s="2"/>
      <c r="R105" s="5"/>
      <c r="S105" s="2"/>
      <c r="T105" s="2"/>
      <c r="U105" s="1"/>
      <c r="V105" s="2"/>
      <c r="W105" s="2"/>
      <c r="X105" s="2"/>
      <c r="Y105" s="2"/>
    </row>
    <row r="106" spans="1:25" ht="15.75" customHeight="1" x14ac:dyDescent="0.2">
      <c r="A106" s="13">
        <v>1</v>
      </c>
      <c r="B106" s="12" t="s">
        <v>7</v>
      </c>
      <c r="C106" s="14" t="s">
        <v>57</v>
      </c>
      <c r="D106" s="8">
        <v>3000</v>
      </c>
      <c r="E106" s="8">
        <f t="shared" si="19"/>
        <v>3000</v>
      </c>
      <c r="F106" s="8">
        <f t="shared" si="20"/>
        <v>3315</v>
      </c>
      <c r="G106" s="5"/>
      <c r="H106" s="8"/>
      <c r="I106" s="8">
        <v>2000</v>
      </c>
      <c r="J106" s="8">
        <f t="shared" si="21"/>
        <v>2000</v>
      </c>
      <c r="K106" s="8">
        <f t="shared" si="22"/>
        <v>1315</v>
      </c>
      <c r="L106" s="35">
        <f t="shared" si="23"/>
        <v>0.39668174962292607</v>
      </c>
      <c r="M106" s="5"/>
      <c r="N106" s="2"/>
      <c r="O106" s="5"/>
      <c r="P106" s="2"/>
      <c r="Q106" s="2"/>
      <c r="R106" s="5"/>
      <c r="S106" s="2"/>
      <c r="T106" s="2"/>
      <c r="U106" s="1"/>
      <c r="V106" s="2"/>
      <c r="W106" s="2"/>
      <c r="X106" s="2"/>
      <c r="Y106" s="2"/>
    </row>
    <row r="107" spans="1:25" ht="15.75" customHeight="1" x14ac:dyDescent="0.2">
      <c r="A107" s="13">
        <v>2</v>
      </c>
      <c r="B107" s="12" t="s">
        <v>2</v>
      </c>
      <c r="C107" s="14" t="s">
        <v>42</v>
      </c>
      <c r="D107" s="8">
        <v>2000</v>
      </c>
      <c r="E107" s="8">
        <f t="shared" si="19"/>
        <v>4000</v>
      </c>
      <c r="F107" s="8">
        <f t="shared" si="20"/>
        <v>4420</v>
      </c>
      <c r="G107" s="5"/>
      <c r="H107" s="2" t="s">
        <v>18</v>
      </c>
      <c r="I107" s="8">
        <f>16000/11</f>
        <v>1454.5454545454545</v>
      </c>
      <c r="J107" s="8">
        <f t="shared" si="21"/>
        <v>2909.090909090909</v>
      </c>
      <c r="K107" s="8">
        <f t="shared" si="22"/>
        <v>1510.909090909091</v>
      </c>
      <c r="L107" s="35">
        <f t="shared" si="23"/>
        <v>0.34183463595228303</v>
      </c>
      <c r="M107" s="5"/>
      <c r="N107" s="2"/>
      <c r="O107" s="5"/>
      <c r="P107" s="2"/>
      <c r="Q107" s="2"/>
      <c r="R107" s="5"/>
      <c r="S107" s="2"/>
      <c r="T107" s="2"/>
      <c r="U107" s="1"/>
      <c r="V107" s="2"/>
      <c r="W107" s="2"/>
      <c r="X107" s="2"/>
      <c r="Y107" s="2"/>
    </row>
    <row r="108" spans="1:25" ht="15.75" customHeight="1" x14ac:dyDescent="0.2">
      <c r="A108" s="13">
        <v>1</v>
      </c>
      <c r="B108" s="12" t="s">
        <v>8</v>
      </c>
      <c r="C108" s="14" t="s">
        <v>21</v>
      </c>
      <c r="D108" s="8">
        <v>1400</v>
      </c>
      <c r="E108" s="8">
        <f t="shared" si="19"/>
        <v>1400</v>
      </c>
      <c r="F108" s="8">
        <f t="shared" si="20"/>
        <v>1547</v>
      </c>
      <c r="G108" s="5"/>
      <c r="H108" s="2" t="s">
        <v>18</v>
      </c>
      <c r="I108" s="8">
        <v>1000</v>
      </c>
      <c r="J108" s="8">
        <f t="shared" si="21"/>
        <v>1000</v>
      </c>
      <c r="K108" s="8">
        <f t="shared" si="22"/>
        <v>547</v>
      </c>
      <c r="L108" s="35">
        <f t="shared" si="23"/>
        <v>0.35358758888170655</v>
      </c>
      <c r="M108" s="5"/>
      <c r="N108" s="2"/>
      <c r="O108" s="5"/>
      <c r="P108" s="2"/>
      <c r="Q108" s="2"/>
      <c r="R108" s="5"/>
      <c r="S108" s="2"/>
      <c r="T108" s="2"/>
      <c r="U108" s="1"/>
      <c r="V108" s="2"/>
      <c r="W108" s="2"/>
      <c r="X108" s="2"/>
      <c r="Y108" s="2"/>
    </row>
    <row r="109" spans="1:25" ht="15.75" customHeight="1" x14ac:dyDescent="0.2">
      <c r="A109" s="13">
        <v>1</v>
      </c>
      <c r="B109" s="12" t="s">
        <v>10</v>
      </c>
      <c r="C109" s="14" t="s">
        <v>23</v>
      </c>
      <c r="D109" s="8">
        <v>9000</v>
      </c>
      <c r="E109" s="8">
        <f t="shared" si="19"/>
        <v>9000</v>
      </c>
      <c r="F109" s="8">
        <f t="shared" si="20"/>
        <v>9945</v>
      </c>
      <c r="G109" s="5"/>
      <c r="H109" s="2" t="s">
        <v>18</v>
      </c>
      <c r="I109" s="8">
        <v>4000</v>
      </c>
      <c r="J109" s="8">
        <f t="shared" si="21"/>
        <v>4000</v>
      </c>
      <c r="K109" s="8">
        <f t="shared" si="22"/>
        <v>5945</v>
      </c>
      <c r="L109" s="35">
        <f t="shared" si="23"/>
        <v>0.59778783308195071</v>
      </c>
      <c r="M109" s="5"/>
      <c r="N109" s="2"/>
      <c r="O109" s="5"/>
      <c r="P109" s="2"/>
      <c r="Q109" s="2"/>
      <c r="R109" s="5"/>
      <c r="S109" s="2"/>
      <c r="T109" s="2"/>
      <c r="U109" s="1"/>
      <c r="V109" s="2"/>
      <c r="W109" s="2"/>
      <c r="X109" s="2"/>
      <c r="Y109" s="2"/>
    </row>
    <row r="110" spans="1:25" ht="15.75" customHeight="1" x14ac:dyDescent="0.2">
      <c r="A110" s="13">
        <v>1</v>
      </c>
      <c r="B110" s="12" t="s">
        <v>7</v>
      </c>
      <c r="C110" s="14" t="s">
        <v>45</v>
      </c>
      <c r="D110" s="8">
        <v>1000</v>
      </c>
      <c r="E110" s="8">
        <f t="shared" si="19"/>
        <v>1000</v>
      </c>
      <c r="F110" s="8">
        <f t="shared" si="20"/>
        <v>1105</v>
      </c>
      <c r="G110" s="5"/>
      <c r="H110" s="2"/>
      <c r="I110" s="8">
        <f>3500/6</f>
        <v>583.33333333333337</v>
      </c>
      <c r="J110" s="8">
        <f t="shared" si="21"/>
        <v>583.33333333333337</v>
      </c>
      <c r="K110" s="8">
        <f t="shared" si="22"/>
        <v>521.66666666666663</v>
      </c>
      <c r="L110" s="35">
        <f t="shared" si="23"/>
        <v>0.47209653092006032</v>
      </c>
      <c r="M110" s="5"/>
      <c r="N110" s="2"/>
      <c r="O110" s="5"/>
      <c r="P110" s="2"/>
      <c r="Q110" s="2"/>
      <c r="R110" s="5"/>
      <c r="S110" s="2"/>
      <c r="T110" s="2"/>
      <c r="U110" s="1"/>
      <c r="V110" s="2"/>
      <c r="W110" s="2"/>
      <c r="X110" s="2"/>
      <c r="Y110" s="2"/>
    </row>
    <row r="111" spans="1:25" ht="15.75" customHeight="1" x14ac:dyDescent="0.2">
      <c r="A111" s="13">
        <v>2</v>
      </c>
      <c r="B111" s="12" t="s">
        <v>8</v>
      </c>
      <c r="C111" s="14" t="s">
        <v>52</v>
      </c>
      <c r="D111" s="8">
        <v>1600</v>
      </c>
      <c r="E111" s="8">
        <f t="shared" si="19"/>
        <v>3200</v>
      </c>
      <c r="F111" s="8">
        <f t="shared" si="20"/>
        <v>3536</v>
      </c>
      <c r="G111" s="5"/>
      <c r="H111" s="2" t="s">
        <v>18</v>
      </c>
      <c r="I111" s="8">
        <v>1000</v>
      </c>
      <c r="J111" s="8">
        <f t="shared" si="21"/>
        <v>2000</v>
      </c>
      <c r="K111" s="8">
        <f t="shared" si="22"/>
        <v>1536</v>
      </c>
      <c r="L111" s="35">
        <f t="shared" si="23"/>
        <v>0.43438914027149322</v>
      </c>
      <c r="M111" s="5"/>
      <c r="N111" s="2"/>
      <c r="O111" s="5"/>
      <c r="P111" s="2"/>
      <c r="Q111" s="2"/>
      <c r="R111" s="5"/>
      <c r="S111" s="2"/>
      <c r="T111" s="2"/>
      <c r="U111" s="1"/>
      <c r="V111" s="2"/>
      <c r="W111" s="2"/>
      <c r="X111" s="2"/>
      <c r="Y111" s="2"/>
    </row>
    <row r="112" spans="1:25" ht="15.75" customHeight="1" x14ac:dyDescent="0.2">
      <c r="A112" s="13">
        <v>2</v>
      </c>
      <c r="B112" s="12" t="s">
        <v>13</v>
      </c>
      <c r="C112" s="14" t="s">
        <v>29</v>
      </c>
      <c r="D112" s="8">
        <v>48000</v>
      </c>
      <c r="E112" s="8">
        <f t="shared" si="19"/>
        <v>96000</v>
      </c>
      <c r="F112" s="8">
        <f t="shared" si="20"/>
        <v>106080</v>
      </c>
      <c r="G112" s="5"/>
      <c r="H112" s="2" t="s">
        <v>18</v>
      </c>
      <c r="I112" s="8">
        <v>42000</v>
      </c>
      <c r="J112" s="8">
        <f t="shared" si="21"/>
        <v>84000</v>
      </c>
      <c r="K112" s="8">
        <f t="shared" si="22"/>
        <v>22080</v>
      </c>
      <c r="L112" s="36">
        <f t="shared" si="23"/>
        <v>0.20814479638009051</v>
      </c>
      <c r="M112" s="5"/>
      <c r="N112" s="2"/>
      <c r="O112" s="5"/>
      <c r="P112" s="2"/>
      <c r="Q112" s="2"/>
      <c r="R112" s="5"/>
      <c r="S112" s="2"/>
      <c r="T112" s="2"/>
      <c r="U112" s="1"/>
      <c r="V112" s="2"/>
      <c r="W112" s="2"/>
      <c r="X112" s="2"/>
      <c r="Y112" s="2"/>
    </row>
    <row r="113" spans="1:25" ht="15.75" customHeight="1" x14ac:dyDescent="0.2">
      <c r="A113" s="13">
        <v>5</v>
      </c>
      <c r="B113" s="12" t="s">
        <v>8</v>
      </c>
      <c r="C113" s="14" t="s">
        <v>34</v>
      </c>
      <c r="D113" s="8">
        <v>1800</v>
      </c>
      <c r="E113" s="8">
        <f t="shared" si="19"/>
        <v>9000</v>
      </c>
      <c r="F113" s="8">
        <f t="shared" si="20"/>
        <v>9945</v>
      </c>
      <c r="G113" s="5"/>
      <c r="H113" s="8"/>
      <c r="I113" s="8">
        <f>20000/15</f>
        <v>1333.3333333333333</v>
      </c>
      <c r="J113" s="8">
        <f t="shared" si="21"/>
        <v>6666.6666666666661</v>
      </c>
      <c r="K113" s="8">
        <f t="shared" si="22"/>
        <v>3278.3333333333339</v>
      </c>
      <c r="L113" s="35">
        <f t="shared" si="23"/>
        <v>0.32964638846991795</v>
      </c>
      <c r="M113" s="5"/>
      <c r="N113" s="2"/>
      <c r="O113" s="5"/>
      <c r="P113" s="2"/>
      <c r="Q113" s="2"/>
      <c r="R113" s="5"/>
      <c r="S113" s="2"/>
      <c r="T113" s="2"/>
      <c r="U113" s="1"/>
      <c r="V113" s="2"/>
      <c r="W113" s="2"/>
      <c r="X113" s="2"/>
      <c r="Y113" s="2"/>
    </row>
    <row r="114" spans="1:25" ht="15.75" customHeight="1" x14ac:dyDescent="0.2">
      <c r="A114" s="13">
        <v>2</v>
      </c>
      <c r="B114" s="12" t="s">
        <v>13</v>
      </c>
      <c r="C114" s="14" t="s">
        <v>26</v>
      </c>
      <c r="D114" s="8">
        <v>15000</v>
      </c>
      <c r="E114" s="8">
        <f t="shared" si="19"/>
        <v>30000</v>
      </c>
      <c r="F114" s="8">
        <f t="shared" si="20"/>
        <v>33150</v>
      </c>
      <c r="G114" s="5"/>
      <c r="H114" s="2" t="s">
        <v>18</v>
      </c>
      <c r="I114" s="8">
        <v>8000</v>
      </c>
      <c r="J114" s="8">
        <f t="shared" si="21"/>
        <v>16000</v>
      </c>
      <c r="K114" s="8">
        <f t="shared" si="22"/>
        <v>17150</v>
      </c>
      <c r="L114" s="35">
        <f t="shared" si="23"/>
        <v>0.51734539969834092</v>
      </c>
      <c r="M114" s="5"/>
      <c r="N114" s="2"/>
      <c r="O114" s="5"/>
      <c r="P114" s="2"/>
      <c r="Q114" s="2"/>
      <c r="R114" s="5"/>
      <c r="S114" s="2"/>
      <c r="T114" s="2"/>
      <c r="U114" s="1"/>
      <c r="V114" s="2"/>
      <c r="W114" s="2"/>
      <c r="X114" s="2"/>
      <c r="Y114" s="2"/>
    </row>
    <row r="115" spans="1:25" ht="15.75" customHeight="1" x14ac:dyDescent="0.2">
      <c r="A115" s="13">
        <v>1</v>
      </c>
      <c r="B115" s="12" t="s">
        <v>13</v>
      </c>
      <c r="C115" s="14" t="s">
        <v>27</v>
      </c>
      <c r="D115" s="8">
        <v>32000</v>
      </c>
      <c r="E115" s="8">
        <f t="shared" si="19"/>
        <v>32000</v>
      </c>
      <c r="F115" s="8">
        <f t="shared" si="20"/>
        <v>35360</v>
      </c>
      <c r="G115" s="5"/>
      <c r="H115" s="2"/>
      <c r="I115" s="8">
        <v>26000</v>
      </c>
      <c r="J115" s="8">
        <f t="shared" si="21"/>
        <v>26000</v>
      </c>
      <c r="K115" s="8">
        <f t="shared" si="22"/>
        <v>9360</v>
      </c>
      <c r="L115" s="35">
        <f t="shared" si="23"/>
        <v>0.26470588235294118</v>
      </c>
      <c r="M115" s="5"/>
      <c r="N115" s="2"/>
      <c r="O115" s="5"/>
      <c r="P115" s="2"/>
      <c r="Q115" s="2"/>
      <c r="R115" s="5"/>
      <c r="S115" s="2"/>
      <c r="T115" s="2"/>
      <c r="U115" s="1"/>
      <c r="V115" s="2"/>
      <c r="W115" s="2"/>
      <c r="X115" s="2"/>
      <c r="Y115" s="2"/>
    </row>
    <row r="116" spans="1:25" ht="15.75" customHeight="1" x14ac:dyDescent="0.2">
      <c r="A116" s="13">
        <v>11.75</v>
      </c>
      <c r="B116" s="12" t="s">
        <v>8</v>
      </c>
      <c r="C116" s="14" t="s">
        <v>71</v>
      </c>
      <c r="D116" s="8">
        <v>3000</v>
      </c>
      <c r="E116" s="8">
        <f t="shared" si="19"/>
        <v>35250</v>
      </c>
      <c r="F116" s="8">
        <f t="shared" si="20"/>
        <v>38951.25</v>
      </c>
      <c r="G116" s="5"/>
      <c r="H116" s="2"/>
      <c r="I116" s="8">
        <v>2111</v>
      </c>
      <c r="J116" s="8">
        <f t="shared" si="21"/>
        <v>24804.25</v>
      </c>
      <c r="K116" s="8">
        <f t="shared" si="22"/>
        <v>14147</v>
      </c>
      <c r="L116" s="35">
        <f t="shared" si="23"/>
        <v>0.36319758672699848</v>
      </c>
      <c r="M116" s="5"/>
      <c r="N116" s="2"/>
      <c r="O116" s="5"/>
      <c r="P116" s="2"/>
      <c r="Q116" s="2"/>
      <c r="R116" s="5"/>
      <c r="S116" s="2"/>
      <c r="T116" s="2"/>
      <c r="U116" s="1"/>
      <c r="V116" s="2"/>
      <c r="W116" s="2"/>
      <c r="X116" s="2"/>
      <c r="Y116" s="2"/>
    </row>
    <row r="117" spans="1:25" ht="15.75" customHeight="1" x14ac:dyDescent="0.2">
      <c r="A117" s="1"/>
      <c r="B117" s="2"/>
      <c r="C117" s="5"/>
      <c r="D117" s="2"/>
      <c r="E117" s="2"/>
      <c r="F117" s="2"/>
      <c r="G117" s="2"/>
      <c r="H117" s="2"/>
      <c r="I117" s="2"/>
      <c r="J117" s="2"/>
      <c r="K117" s="2"/>
      <c r="L117" s="35"/>
      <c r="N117" s="2"/>
      <c r="O117" s="5"/>
      <c r="P117" s="2"/>
      <c r="Q117" s="2"/>
      <c r="R117" s="5"/>
      <c r="S117" s="2"/>
      <c r="T117" s="2"/>
      <c r="U117" s="1"/>
      <c r="V117" s="2"/>
      <c r="W117" s="2"/>
      <c r="X117" s="2"/>
      <c r="Y117" s="2"/>
    </row>
    <row r="118" spans="1:25" ht="15.75" customHeight="1" x14ac:dyDescent="0.2">
      <c r="A118" s="1"/>
      <c r="B118" s="2"/>
      <c r="C118" s="5"/>
      <c r="D118" s="2"/>
      <c r="E118" s="8">
        <f t="shared" ref="E118:F118" si="24">SUM(E93:E117)</f>
        <v>358050</v>
      </c>
      <c r="F118" s="8">
        <f t="shared" si="24"/>
        <v>395645.25</v>
      </c>
      <c r="G118" s="2"/>
      <c r="H118" s="2"/>
      <c r="I118" s="2"/>
      <c r="J118" s="2"/>
      <c r="K118" s="8">
        <f>SUM(K93:K117)</f>
        <v>133424.24242424243</v>
      </c>
      <c r="L118" s="35">
        <f>K118/F118</f>
        <v>0.33723200878626103</v>
      </c>
      <c r="N118" s="2"/>
      <c r="O118" s="5"/>
      <c r="P118" s="2"/>
      <c r="Q118" s="2"/>
      <c r="R118" s="5"/>
      <c r="S118" s="2"/>
      <c r="T118" s="2"/>
      <c r="U118" s="1"/>
      <c r="V118" s="2"/>
      <c r="W118" s="2"/>
      <c r="X118" s="2"/>
      <c r="Y118" s="2"/>
    </row>
    <row r="119" spans="1:25" ht="15.75" customHeight="1" x14ac:dyDescent="0.2">
      <c r="A119" s="1"/>
      <c r="B119" s="5"/>
      <c r="C119" s="5"/>
      <c r="D119" s="2"/>
      <c r="E119" s="2"/>
      <c r="F119" s="2"/>
      <c r="G119" s="5"/>
      <c r="H119" s="5"/>
      <c r="I119" s="5"/>
      <c r="J119" s="5"/>
      <c r="K119" s="2"/>
      <c r="L119" s="3"/>
      <c r="N119" s="2"/>
      <c r="O119" s="5"/>
      <c r="P119" s="2"/>
      <c r="Q119" s="2"/>
      <c r="R119" s="5"/>
      <c r="S119" s="2"/>
      <c r="T119" s="2"/>
      <c r="U119" s="1"/>
      <c r="V119" s="2"/>
      <c r="W119" s="2"/>
      <c r="X119" s="2"/>
      <c r="Y119" s="2"/>
    </row>
    <row r="120" spans="1:25" ht="15.75" customHeight="1" x14ac:dyDescent="0.2">
      <c r="A120" s="1"/>
      <c r="B120" s="5"/>
      <c r="C120" s="5"/>
      <c r="D120" s="2"/>
      <c r="E120" s="2"/>
      <c r="F120" s="2"/>
      <c r="G120" s="5"/>
      <c r="H120" s="5"/>
      <c r="I120" s="5"/>
      <c r="J120" s="5"/>
      <c r="K120" s="2"/>
      <c r="L120" s="3"/>
      <c r="M120" s="5"/>
      <c r="N120" s="2"/>
      <c r="O120" s="5"/>
      <c r="P120" s="2"/>
      <c r="Q120" s="2"/>
      <c r="R120" s="5"/>
      <c r="S120" s="2"/>
      <c r="T120" s="2"/>
      <c r="U120" s="1"/>
      <c r="V120" s="2"/>
      <c r="W120" s="2"/>
      <c r="X120" s="2"/>
      <c r="Y120" s="2"/>
    </row>
    <row r="121" spans="1:25" ht="15.75" customHeight="1" x14ac:dyDescent="0.2">
      <c r="A121" s="41" t="s">
        <v>72</v>
      </c>
      <c r="B121" s="40"/>
      <c r="C121" s="40"/>
      <c r="D121" s="44" t="s">
        <v>83</v>
      </c>
      <c r="E121" s="7">
        <v>45966</v>
      </c>
      <c r="G121" s="2"/>
      <c r="H121" s="2"/>
      <c r="I121" s="8"/>
      <c r="J121" s="8"/>
      <c r="K121" s="8"/>
      <c r="L121" s="3"/>
      <c r="M121" s="5"/>
      <c r="N121" s="2"/>
      <c r="O121" s="5"/>
      <c r="P121" s="2"/>
      <c r="Q121" s="2"/>
      <c r="R121" s="5"/>
      <c r="S121" s="2"/>
      <c r="T121" s="2"/>
      <c r="U121" s="1"/>
      <c r="V121" s="2"/>
      <c r="W121" s="2"/>
      <c r="X121" s="2"/>
      <c r="Y121" s="2"/>
    </row>
    <row r="122" spans="1:25" ht="15.75" customHeight="1" x14ac:dyDescent="0.2">
      <c r="A122" s="1"/>
      <c r="B122" s="2"/>
      <c r="C122" s="5"/>
      <c r="D122" s="2"/>
      <c r="E122" s="2"/>
      <c r="F122" s="2"/>
      <c r="G122" s="2"/>
      <c r="H122" s="2"/>
      <c r="I122" s="8"/>
      <c r="J122" s="8"/>
      <c r="K122" s="8"/>
      <c r="L122" s="3"/>
      <c r="M122" s="5"/>
      <c r="N122" s="2"/>
      <c r="P122" s="2"/>
      <c r="Q122" s="2"/>
      <c r="R122" s="5"/>
      <c r="S122" s="2"/>
      <c r="T122" s="2"/>
      <c r="U122" s="1"/>
      <c r="V122" s="2"/>
      <c r="W122" s="2"/>
      <c r="X122" s="2"/>
      <c r="Y122" s="2"/>
    </row>
    <row r="123" spans="1:25" ht="15.75" customHeight="1" x14ac:dyDescent="0.2">
      <c r="A123" s="9" t="s">
        <v>1</v>
      </c>
      <c r="B123" s="10" t="s">
        <v>2</v>
      </c>
      <c r="C123" s="11" t="s">
        <v>3</v>
      </c>
      <c r="D123" s="10" t="s">
        <v>4</v>
      </c>
      <c r="E123" s="12" t="s">
        <v>5</v>
      </c>
      <c r="F123" s="12"/>
      <c r="G123" s="2"/>
      <c r="H123" s="2"/>
      <c r="I123" s="12" t="s">
        <v>4</v>
      </c>
      <c r="J123" s="12" t="s">
        <v>5</v>
      </c>
      <c r="K123" s="12" t="s">
        <v>6</v>
      </c>
      <c r="L123" s="37"/>
      <c r="M123" s="5"/>
      <c r="N123" s="2"/>
      <c r="P123" s="2"/>
      <c r="Q123" s="2"/>
      <c r="R123" s="5"/>
      <c r="S123" s="2"/>
      <c r="T123" s="2"/>
      <c r="U123" s="1"/>
      <c r="V123" s="2"/>
      <c r="W123" s="2"/>
      <c r="X123" s="2"/>
      <c r="Y123" s="2"/>
    </row>
    <row r="124" spans="1:25" ht="15.75" customHeight="1" x14ac:dyDescent="0.2">
      <c r="A124" s="13">
        <v>1</v>
      </c>
      <c r="B124" s="12" t="s">
        <v>2</v>
      </c>
      <c r="C124" s="14" t="s">
        <v>37</v>
      </c>
      <c r="D124" s="8">
        <v>1500</v>
      </c>
      <c r="E124" s="8">
        <f t="shared" ref="E124:E151" si="25">A124*D124</f>
        <v>1500</v>
      </c>
      <c r="F124" s="12"/>
      <c r="G124" s="14"/>
      <c r="H124" s="8"/>
      <c r="I124" s="8">
        <v>583</v>
      </c>
      <c r="J124" s="8">
        <f t="shared" ref="J124:J151" si="26">I124*A124</f>
        <v>583</v>
      </c>
      <c r="K124" s="8">
        <f t="shared" ref="K124:K151" si="27">E124-J124</f>
        <v>917</v>
      </c>
      <c r="L124" s="35">
        <f t="shared" ref="L124:L151" si="28">K124/E124</f>
        <v>0.61133333333333328</v>
      </c>
      <c r="M124" s="5"/>
      <c r="N124" s="2"/>
      <c r="P124" s="2"/>
      <c r="Q124" s="2"/>
      <c r="R124" s="5"/>
      <c r="S124" s="2"/>
      <c r="T124" s="2"/>
      <c r="U124" s="1"/>
      <c r="V124" s="2"/>
      <c r="W124" s="2"/>
      <c r="X124" s="2"/>
      <c r="Y124" s="2"/>
    </row>
    <row r="125" spans="1:25" ht="15.75" customHeight="1" x14ac:dyDescent="0.2">
      <c r="A125" s="13">
        <v>4</v>
      </c>
      <c r="B125" s="12" t="s">
        <v>2</v>
      </c>
      <c r="C125" s="14" t="s">
        <v>38</v>
      </c>
      <c r="D125" s="8">
        <v>1200</v>
      </c>
      <c r="E125" s="8">
        <f t="shared" si="25"/>
        <v>4800</v>
      </c>
      <c r="F125" s="12"/>
      <c r="G125" s="14"/>
      <c r="H125" s="8"/>
      <c r="I125" s="8">
        <v>600</v>
      </c>
      <c r="J125" s="8">
        <f t="shared" si="26"/>
        <v>2400</v>
      </c>
      <c r="K125" s="8">
        <f t="shared" si="27"/>
        <v>2400</v>
      </c>
      <c r="L125" s="35">
        <f t="shared" si="28"/>
        <v>0.5</v>
      </c>
      <c r="M125" s="5"/>
      <c r="N125" s="2"/>
      <c r="P125" s="2"/>
      <c r="Q125" s="2"/>
      <c r="R125" s="5"/>
      <c r="S125" s="2"/>
      <c r="T125" s="2"/>
      <c r="U125" s="1"/>
      <c r="V125" s="2"/>
      <c r="W125" s="2"/>
      <c r="X125" s="2"/>
      <c r="Y125" s="2"/>
    </row>
    <row r="126" spans="1:25" ht="15.75" customHeight="1" x14ac:dyDescent="0.2">
      <c r="A126" s="13">
        <v>4</v>
      </c>
      <c r="B126" s="12" t="s">
        <v>8</v>
      </c>
      <c r="C126" s="14" t="s">
        <v>11</v>
      </c>
      <c r="D126" s="8">
        <v>1500</v>
      </c>
      <c r="E126" s="8">
        <f t="shared" si="25"/>
        <v>6000</v>
      </c>
      <c r="F126" s="12"/>
      <c r="G126" s="14"/>
      <c r="H126" s="8"/>
      <c r="I126" s="8">
        <f>10000/12</f>
        <v>833.33333333333337</v>
      </c>
      <c r="J126" s="8">
        <f t="shared" si="26"/>
        <v>3333.3333333333335</v>
      </c>
      <c r="K126" s="8">
        <f t="shared" si="27"/>
        <v>2666.6666666666665</v>
      </c>
      <c r="L126" s="35">
        <f t="shared" si="28"/>
        <v>0.44444444444444442</v>
      </c>
      <c r="M126" s="5"/>
      <c r="N126" s="2"/>
      <c r="O126" s="5"/>
      <c r="P126" s="2"/>
      <c r="Q126" s="2"/>
      <c r="R126" s="5"/>
      <c r="S126" s="2"/>
      <c r="T126" s="2"/>
      <c r="U126" s="1"/>
      <c r="V126" s="2"/>
      <c r="W126" s="2"/>
      <c r="X126" s="2"/>
      <c r="Y126" s="2"/>
    </row>
    <row r="127" spans="1:25" ht="15.75" customHeight="1" x14ac:dyDescent="0.2">
      <c r="A127" s="13">
        <v>4</v>
      </c>
      <c r="B127" s="12" t="s">
        <v>8</v>
      </c>
      <c r="C127" s="14" t="s">
        <v>33</v>
      </c>
      <c r="D127" s="8">
        <v>2800</v>
      </c>
      <c r="E127" s="8">
        <f t="shared" si="25"/>
        <v>11200</v>
      </c>
      <c r="F127" s="12"/>
      <c r="G127" s="14"/>
      <c r="H127" s="8"/>
      <c r="I127" s="8">
        <v>1917</v>
      </c>
      <c r="J127" s="8">
        <f t="shared" si="26"/>
        <v>7668</v>
      </c>
      <c r="K127" s="8">
        <f t="shared" si="27"/>
        <v>3532</v>
      </c>
      <c r="L127" s="35">
        <f t="shared" si="28"/>
        <v>0.31535714285714284</v>
      </c>
      <c r="M127" s="5"/>
      <c r="N127" s="2"/>
      <c r="O127" s="5"/>
      <c r="P127" s="2"/>
      <c r="Q127" s="2"/>
      <c r="R127" s="5"/>
      <c r="S127" s="2"/>
      <c r="T127" s="2"/>
      <c r="U127" s="1"/>
      <c r="V127" s="2"/>
      <c r="W127" s="2"/>
      <c r="X127" s="2"/>
      <c r="Y127" s="2"/>
    </row>
    <row r="128" spans="1:25" ht="15.75" customHeight="1" x14ac:dyDescent="0.2">
      <c r="A128" s="13">
        <v>4</v>
      </c>
      <c r="B128" s="12" t="s">
        <v>8</v>
      </c>
      <c r="C128" s="14" t="s">
        <v>22</v>
      </c>
      <c r="D128" s="8">
        <v>2600</v>
      </c>
      <c r="E128" s="8">
        <f t="shared" si="25"/>
        <v>10400</v>
      </c>
      <c r="F128" s="12"/>
      <c r="G128" s="14"/>
      <c r="H128" s="8"/>
      <c r="I128" s="8">
        <v>1200</v>
      </c>
      <c r="J128" s="8">
        <f t="shared" si="26"/>
        <v>4800</v>
      </c>
      <c r="K128" s="8">
        <f t="shared" si="27"/>
        <v>5600</v>
      </c>
      <c r="L128" s="35">
        <f t="shared" si="28"/>
        <v>0.53846153846153844</v>
      </c>
      <c r="M128" s="5"/>
      <c r="N128" s="2"/>
      <c r="O128" s="5"/>
      <c r="P128" s="2"/>
      <c r="Q128" s="2"/>
      <c r="R128" s="5"/>
      <c r="S128" s="2"/>
      <c r="T128" s="2"/>
      <c r="U128" s="1"/>
      <c r="V128" s="2"/>
      <c r="W128" s="2"/>
      <c r="X128" s="2"/>
      <c r="Y128" s="2"/>
    </row>
    <row r="129" spans="1:25" ht="15.75" customHeight="1" x14ac:dyDescent="0.2">
      <c r="A129" s="13">
        <v>6</v>
      </c>
      <c r="B129" s="12" t="s">
        <v>2</v>
      </c>
      <c r="C129" s="14" t="s">
        <v>42</v>
      </c>
      <c r="D129" s="8">
        <v>2400</v>
      </c>
      <c r="E129" s="8">
        <f t="shared" si="25"/>
        <v>14400</v>
      </c>
      <c r="F129" s="12"/>
      <c r="G129" s="14"/>
      <c r="H129" s="8"/>
      <c r="I129" s="8">
        <f>16000/11</f>
        <v>1454.5454545454545</v>
      </c>
      <c r="J129" s="8">
        <f t="shared" si="26"/>
        <v>8727.2727272727279</v>
      </c>
      <c r="K129" s="8">
        <f t="shared" si="27"/>
        <v>5672.7272727272721</v>
      </c>
      <c r="L129" s="35">
        <f t="shared" si="28"/>
        <v>0.39393939393939387</v>
      </c>
      <c r="M129" s="5"/>
      <c r="N129" s="2"/>
      <c r="O129" s="5"/>
      <c r="P129" s="2"/>
      <c r="Q129" s="2"/>
      <c r="R129" s="5"/>
      <c r="S129" s="2"/>
      <c r="T129" s="2"/>
      <c r="U129" s="1"/>
      <c r="V129" s="2"/>
      <c r="W129" s="2"/>
      <c r="X129" s="2"/>
      <c r="Y129" s="2"/>
    </row>
    <row r="130" spans="1:25" ht="15.75" customHeight="1" x14ac:dyDescent="0.2">
      <c r="A130" s="13">
        <v>2</v>
      </c>
      <c r="B130" s="12" t="s">
        <v>8</v>
      </c>
      <c r="C130" s="14" t="s">
        <v>73</v>
      </c>
      <c r="D130" s="8">
        <v>5000</v>
      </c>
      <c r="E130" s="8">
        <f t="shared" si="25"/>
        <v>10000</v>
      </c>
      <c r="F130" s="12"/>
      <c r="G130" s="14"/>
      <c r="H130" s="8"/>
      <c r="I130" s="8">
        <v>3500</v>
      </c>
      <c r="J130" s="8">
        <f t="shared" si="26"/>
        <v>7000</v>
      </c>
      <c r="K130" s="8">
        <f t="shared" si="27"/>
        <v>3000</v>
      </c>
      <c r="L130" s="35">
        <f t="shared" si="28"/>
        <v>0.3</v>
      </c>
      <c r="M130" s="5"/>
      <c r="N130" s="2"/>
      <c r="O130" s="5"/>
      <c r="P130" s="2"/>
      <c r="Q130" s="2"/>
      <c r="R130" s="5"/>
      <c r="S130" s="2"/>
      <c r="T130" s="2"/>
      <c r="U130" s="1"/>
      <c r="V130" s="2"/>
      <c r="W130" s="2"/>
      <c r="X130" s="2"/>
      <c r="Y130" s="2"/>
    </row>
    <row r="131" spans="1:25" ht="15.75" customHeight="1" x14ac:dyDescent="0.2">
      <c r="A131" s="13">
        <v>6</v>
      </c>
      <c r="B131" s="12" t="s">
        <v>7</v>
      </c>
      <c r="C131" s="14" t="s">
        <v>32</v>
      </c>
      <c r="D131" s="8">
        <v>1400</v>
      </c>
      <c r="E131" s="8">
        <f t="shared" si="25"/>
        <v>8400</v>
      </c>
      <c r="F131" s="12"/>
      <c r="G131" s="14"/>
      <c r="H131" s="8"/>
      <c r="I131" s="8">
        <f>13000/12</f>
        <v>1083.3333333333333</v>
      </c>
      <c r="J131" s="8">
        <f t="shared" si="26"/>
        <v>6500</v>
      </c>
      <c r="K131" s="8">
        <f t="shared" si="27"/>
        <v>1900</v>
      </c>
      <c r="L131" s="35">
        <f t="shared" si="28"/>
        <v>0.22619047619047619</v>
      </c>
      <c r="M131" s="5"/>
      <c r="N131" s="2"/>
      <c r="O131" s="5"/>
      <c r="P131" s="2"/>
      <c r="Q131" s="2"/>
      <c r="R131" s="5"/>
      <c r="S131" s="2"/>
      <c r="T131" s="2"/>
      <c r="U131" s="1"/>
      <c r="V131" s="2"/>
      <c r="W131" s="2"/>
      <c r="X131" s="2"/>
      <c r="Y131" s="2"/>
    </row>
    <row r="132" spans="1:25" ht="15.75" customHeight="1" x14ac:dyDescent="0.2">
      <c r="A132" s="13">
        <v>3</v>
      </c>
      <c r="B132" s="12" t="s">
        <v>8</v>
      </c>
      <c r="C132" s="14" t="s">
        <v>30</v>
      </c>
      <c r="D132" s="8">
        <v>4800</v>
      </c>
      <c r="E132" s="8">
        <f t="shared" si="25"/>
        <v>14400</v>
      </c>
      <c r="F132" s="12"/>
      <c r="G132" s="14"/>
      <c r="H132" s="8"/>
      <c r="I132" s="8">
        <f>25000/8</f>
        <v>3125</v>
      </c>
      <c r="J132" s="8">
        <f t="shared" si="26"/>
        <v>9375</v>
      </c>
      <c r="K132" s="8">
        <f t="shared" si="27"/>
        <v>5025</v>
      </c>
      <c r="L132" s="35">
        <f t="shared" si="28"/>
        <v>0.34895833333333331</v>
      </c>
      <c r="M132" s="5"/>
      <c r="N132" s="2"/>
      <c r="O132" s="5"/>
      <c r="P132" s="2"/>
      <c r="Q132" s="2"/>
      <c r="R132" s="5"/>
      <c r="S132" s="2"/>
      <c r="T132" s="2"/>
      <c r="U132" s="1"/>
      <c r="V132" s="2"/>
      <c r="W132" s="2"/>
      <c r="X132" s="2"/>
      <c r="Y132" s="2"/>
    </row>
    <row r="133" spans="1:25" ht="15.75" customHeight="1" x14ac:dyDescent="0.2">
      <c r="A133" s="13">
        <v>1</v>
      </c>
      <c r="B133" s="12" t="s">
        <v>8</v>
      </c>
      <c r="C133" s="14" t="s">
        <v>47</v>
      </c>
      <c r="D133" s="8">
        <v>3000</v>
      </c>
      <c r="E133" s="8">
        <f t="shared" si="25"/>
        <v>3000</v>
      </c>
      <c r="F133" s="12"/>
      <c r="G133" s="14"/>
      <c r="H133" s="8"/>
      <c r="I133" s="8">
        <v>0</v>
      </c>
      <c r="J133" s="8">
        <f t="shared" si="26"/>
        <v>0</v>
      </c>
      <c r="K133" s="8">
        <f t="shared" si="27"/>
        <v>3000</v>
      </c>
      <c r="L133" s="35">
        <f t="shared" si="28"/>
        <v>1</v>
      </c>
      <c r="M133" s="5"/>
      <c r="N133" s="2"/>
      <c r="O133" s="5"/>
      <c r="P133" s="2"/>
      <c r="Q133" s="2"/>
      <c r="R133" s="5"/>
      <c r="S133" s="2"/>
      <c r="T133" s="2"/>
      <c r="U133" s="1"/>
      <c r="V133" s="2"/>
      <c r="W133" s="2"/>
      <c r="X133" s="2"/>
      <c r="Y133" s="2"/>
    </row>
    <row r="134" spans="1:25" ht="15.75" customHeight="1" x14ac:dyDescent="0.2">
      <c r="A134" s="13">
        <v>6</v>
      </c>
      <c r="B134" s="12" t="s">
        <v>8</v>
      </c>
      <c r="C134" s="14" t="s">
        <v>19</v>
      </c>
      <c r="D134" s="8">
        <v>1800</v>
      </c>
      <c r="E134" s="8">
        <f t="shared" si="25"/>
        <v>10800</v>
      </c>
      <c r="F134" s="12"/>
      <c r="G134" s="14"/>
      <c r="H134" s="8"/>
      <c r="I134" s="8">
        <v>1000</v>
      </c>
      <c r="J134" s="8">
        <f t="shared" si="26"/>
        <v>6000</v>
      </c>
      <c r="K134" s="8">
        <f t="shared" si="27"/>
        <v>4800</v>
      </c>
      <c r="L134" s="35">
        <f t="shared" si="28"/>
        <v>0.44444444444444442</v>
      </c>
      <c r="M134" s="5"/>
      <c r="N134" s="2"/>
      <c r="O134" s="5"/>
      <c r="P134" s="2"/>
      <c r="Q134" s="2"/>
      <c r="R134" s="5"/>
      <c r="S134" s="2"/>
      <c r="T134" s="2"/>
      <c r="U134" s="1"/>
      <c r="V134" s="2"/>
      <c r="W134" s="2"/>
      <c r="X134" s="2"/>
      <c r="Y134" s="2"/>
    </row>
    <row r="135" spans="1:25" ht="15.75" customHeight="1" x14ac:dyDescent="0.2">
      <c r="A135" s="13">
        <v>6</v>
      </c>
      <c r="B135" s="12" t="s">
        <v>7</v>
      </c>
      <c r="C135" s="14" t="s">
        <v>43</v>
      </c>
      <c r="D135" s="8">
        <v>500</v>
      </c>
      <c r="E135" s="8">
        <f t="shared" si="25"/>
        <v>3000</v>
      </c>
      <c r="F135" s="12"/>
      <c r="G135" s="14"/>
      <c r="H135" s="8"/>
      <c r="I135" s="8">
        <f>2000/6</f>
        <v>333.33333333333331</v>
      </c>
      <c r="J135" s="8">
        <f t="shared" si="26"/>
        <v>2000</v>
      </c>
      <c r="K135" s="8">
        <f t="shared" si="27"/>
        <v>1000</v>
      </c>
      <c r="L135" s="35">
        <f t="shared" si="28"/>
        <v>0.33333333333333331</v>
      </c>
      <c r="M135" s="5"/>
      <c r="N135" s="2"/>
      <c r="O135" s="5"/>
      <c r="P135" s="2"/>
      <c r="Q135" s="2"/>
      <c r="R135" s="5"/>
      <c r="S135" s="2"/>
      <c r="T135" s="2"/>
      <c r="U135" s="1"/>
      <c r="V135" s="2"/>
      <c r="W135" s="2"/>
      <c r="X135" s="2"/>
      <c r="Y135" s="2"/>
    </row>
    <row r="136" spans="1:25" ht="15.75" customHeight="1" x14ac:dyDescent="0.2">
      <c r="A136" s="13">
        <v>6</v>
      </c>
      <c r="B136" s="12" t="s">
        <v>8</v>
      </c>
      <c r="C136" s="14" t="s">
        <v>9</v>
      </c>
      <c r="D136" s="8">
        <v>2800</v>
      </c>
      <c r="E136" s="8">
        <f t="shared" si="25"/>
        <v>16800</v>
      </c>
      <c r="F136" s="12"/>
      <c r="G136" s="14"/>
      <c r="H136" s="8"/>
      <c r="I136" s="8">
        <f>30000/18</f>
        <v>1666.6666666666667</v>
      </c>
      <c r="J136" s="8">
        <f t="shared" si="26"/>
        <v>10000</v>
      </c>
      <c r="K136" s="8">
        <f t="shared" si="27"/>
        <v>6800</v>
      </c>
      <c r="L136" s="35">
        <f t="shared" si="28"/>
        <v>0.40476190476190477</v>
      </c>
      <c r="M136" s="5"/>
      <c r="N136" s="2"/>
      <c r="O136" s="5"/>
      <c r="P136" s="2"/>
      <c r="Q136" s="2"/>
      <c r="R136" s="5"/>
      <c r="S136" s="2"/>
      <c r="T136" s="2"/>
      <c r="U136" s="1"/>
      <c r="V136" s="2"/>
      <c r="W136" s="2"/>
      <c r="X136" s="2"/>
      <c r="Y136" s="2"/>
    </row>
    <row r="137" spans="1:25" ht="15.75" customHeight="1" x14ac:dyDescent="0.2">
      <c r="A137" s="13">
        <v>1</v>
      </c>
      <c r="B137" s="12" t="s">
        <v>7</v>
      </c>
      <c r="C137" s="14" t="s">
        <v>74</v>
      </c>
      <c r="D137" s="8">
        <v>4000</v>
      </c>
      <c r="E137" s="8">
        <f t="shared" si="25"/>
        <v>4000</v>
      </c>
      <c r="F137" s="12"/>
      <c r="G137" s="14"/>
      <c r="H137" s="8"/>
      <c r="I137" s="8">
        <v>3000</v>
      </c>
      <c r="J137" s="8">
        <f t="shared" si="26"/>
        <v>3000</v>
      </c>
      <c r="K137" s="8">
        <f t="shared" si="27"/>
        <v>1000</v>
      </c>
      <c r="L137" s="35">
        <f t="shared" si="28"/>
        <v>0.25</v>
      </c>
      <c r="M137" s="5"/>
      <c r="N137" s="2"/>
      <c r="O137" s="5"/>
      <c r="P137" s="2"/>
      <c r="Q137" s="2"/>
      <c r="R137" s="5"/>
      <c r="S137" s="2"/>
      <c r="T137" s="2"/>
      <c r="U137" s="1"/>
      <c r="V137" s="2"/>
      <c r="W137" s="2"/>
      <c r="X137" s="2"/>
      <c r="Y137" s="2"/>
    </row>
    <row r="138" spans="1:25" ht="15.75" customHeight="1" x14ac:dyDescent="0.2">
      <c r="A138" s="13">
        <v>3</v>
      </c>
      <c r="B138" s="12" t="s">
        <v>8</v>
      </c>
      <c r="C138" s="14" t="s">
        <v>75</v>
      </c>
      <c r="D138" s="8">
        <v>1600</v>
      </c>
      <c r="E138" s="8">
        <f t="shared" si="25"/>
        <v>4800</v>
      </c>
      <c r="F138" s="12"/>
      <c r="G138" s="14"/>
      <c r="H138" s="8"/>
      <c r="I138" s="8">
        <v>1000</v>
      </c>
      <c r="J138" s="8">
        <f t="shared" si="26"/>
        <v>3000</v>
      </c>
      <c r="K138" s="8">
        <f t="shared" si="27"/>
        <v>1800</v>
      </c>
      <c r="L138" s="35">
        <f t="shared" si="28"/>
        <v>0.375</v>
      </c>
      <c r="M138" s="5"/>
      <c r="N138" s="2"/>
      <c r="O138" s="5"/>
      <c r="P138" s="2"/>
      <c r="Q138" s="2"/>
      <c r="R138" s="5"/>
      <c r="S138" s="2"/>
      <c r="T138" s="2"/>
      <c r="U138" s="1"/>
      <c r="V138" s="2"/>
      <c r="W138" s="2"/>
      <c r="X138" s="2"/>
      <c r="Y138" s="2"/>
    </row>
    <row r="139" spans="1:25" ht="15.75" customHeight="1" x14ac:dyDescent="0.2">
      <c r="A139" s="13">
        <v>2</v>
      </c>
      <c r="B139" s="12" t="s">
        <v>8</v>
      </c>
      <c r="C139" s="14" t="s">
        <v>21</v>
      </c>
      <c r="D139" s="8">
        <v>1600</v>
      </c>
      <c r="E139" s="8">
        <f t="shared" si="25"/>
        <v>3200</v>
      </c>
      <c r="F139" s="12"/>
      <c r="G139" s="14"/>
      <c r="H139" s="8"/>
      <c r="I139" s="8">
        <v>1000</v>
      </c>
      <c r="J139" s="8">
        <f t="shared" si="26"/>
        <v>2000</v>
      </c>
      <c r="K139" s="8">
        <f t="shared" si="27"/>
        <v>1200</v>
      </c>
      <c r="L139" s="35">
        <f t="shared" si="28"/>
        <v>0.375</v>
      </c>
      <c r="M139" s="5"/>
      <c r="N139" s="2"/>
      <c r="O139" s="5"/>
      <c r="P139" s="2"/>
      <c r="Q139" s="2"/>
      <c r="R139" s="5"/>
      <c r="S139" s="2"/>
      <c r="T139" s="2"/>
      <c r="U139" s="1"/>
      <c r="V139" s="2"/>
      <c r="W139" s="2"/>
      <c r="X139" s="2"/>
      <c r="Y139" s="2"/>
    </row>
    <row r="140" spans="1:25" ht="15.75" customHeight="1" x14ac:dyDescent="0.2">
      <c r="A140" s="13">
        <v>1</v>
      </c>
      <c r="B140" s="12" t="s">
        <v>10</v>
      </c>
      <c r="C140" s="14" t="s">
        <v>39</v>
      </c>
      <c r="D140" s="8">
        <v>16000</v>
      </c>
      <c r="E140" s="8">
        <f t="shared" si="25"/>
        <v>16000</v>
      </c>
      <c r="F140" s="12"/>
      <c r="G140" s="14"/>
      <c r="H140" s="8"/>
      <c r="I140" s="8">
        <v>13500</v>
      </c>
      <c r="J140" s="8">
        <f t="shared" si="26"/>
        <v>13500</v>
      </c>
      <c r="K140" s="8">
        <f t="shared" si="27"/>
        <v>2500</v>
      </c>
      <c r="L140" s="38">
        <f t="shared" si="28"/>
        <v>0.15625</v>
      </c>
      <c r="M140" s="5"/>
      <c r="N140" s="2"/>
      <c r="O140" s="5"/>
      <c r="P140" s="2"/>
      <c r="Q140" s="2"/>
      <c r="R140" s="5"/>
      <c r="S140" s="2"/>
      <c r="T140" s="2"/>
      <c r="U140" s="1"/>
      <c r="V140" s="2"/>
      <c r="W140" s="2"/>
      <c r="X140" s="2"/>
      <c r="Y140" s="2"/>
    </row>
    <row r="141" spans="1:25" ht="15.75" customHeight="1" x14ac:dyDescent="0.2">
      <c r="A141" s="13">
        <v>0.5</v>
      </c>
      <c r="B141" s="12" t="s">
        <v>10</v>
      </c>
      <c r="C141" s="14" t="s">
        <v>36</v>
      </c>
      <c r="D141" s="8">
        <v>14000</v>
      </c>
      <c r="E141" s="8">
        <f t="shared" si="25"/>
        <v>7000</v>
      </c>
      <c r="F141" s="12"/>
      <c r="G141" s="14"/>
      <c r="H141" s="8"/>
      <c r="I141" s="8">
        <v>11000</v>
      </c>
      <c r="J141" s="8">
        <f t="shared" si="26"/>
        <v>5500</v>
      </c>
      <c r="K141" s="8">
        <f t="shared" si="27"/>
        <v>1500</v>
      </c>
      <c r="L141" s="36">
        <f t="shared" si="28"/>
        <v>0.21428571428571427</v>
      </c>
      <c r="M141" s="5"/>
      <c r="N141" s="2"/>
      <c r="O141" s="5"/>
      <c r="P141" s="2"/>
      <c r="Q141" s="2"/>
      <c r="R141" s="5"/>
      <c r="S141" s="2"/>
      <c r="T141" s="2"/>
      <c r="U141" s="1"/>
      <c r="V141" s="2"/>
      <c r="W141" s="2"/>
      <c r="X141" s="2"/>
      <c r="Y141" s="2"/>
    </row>
    <row r="142" spans="1:25" ht="15.75" customHeight="1" x14ac:dyDescent="0.2">
      <c r="A142" s="13">
        <v>1</v>
      </c>
      <c r="B142" s="12" t="s">
        <v>10</v>
      </c>
      <c r="C142" s="14" t="s">
        <v>54</v>
      </c>
      <c r="D142" s="8">
        <v>16000</v>
      </c>
      <c r="E142" s="8">
        <f t="shared" si="25"/>
        <v>16000</v>
      </c>
      <c r="F142" s="12"/>
      <c r="G142" s="14"/>
      <c r="H142" s="8"/>
      <c r="I142" s="8">
        <v>13700</v>
      </c>
      <c r="J142" s="8">
        <f t="shared" si="26"/>
        <v>13700</v>
      </c>
      <c r="K142" s="8">
        <f t="shared" si="27"/>
        <v>2300</v>
      </c>
      <c r="L142" s="38">
        <f t="shared" si="28"/>
        <v>0.14374999999999999</v>
      </c>
      <c r="M142" s="5"/>
      <c r="N142" s="2"/>
      <c r="O142" s="5"/>
      <c r="P142" s="2"/>
      <c r="Q142" s="2"/>
      <c r="R142" s="5"/>
      <c r="S142" s="2"/>
      <c r="T142" s="2"/>
      <c r="U142" s="1"/>
      <c r="V142" s="2"/>
      <c r="W142" s="2"/>
      <c r="X142" s="2"/>
      <c r="Y142" s="2"/>
    </row>
    <row r="143" spans="1:25" ht="15.75" customHeight="1" x14ac:dyDescent="0.2">
      <c r="A143" s="13">
        <v>1</v>
      </c>
      <c r="B143" s="12" t="s">
        <v>10</v>
      </c>
      <c r="C143" s="14" t="s">
        <v>23</v>
      </c>
      <c r="D143" s="8">
        <v>9000</v>
      </c>
      <c r="E143" s="8">
        <f t="shared" si="25"/>
        <v>9000</v>
      </c>
      <c r="F143" s="12"/>
      <c r="G143" s="14"/>
      <c r="H143" s="8"/>
      <c r="I143" s="8">
        <v>4000</v>
      </c>
      <c r="J143" s="8">
        <f t="shared" si="26"/>
        <v>4000</v>
      </c>
      <c r="K143" s="8">
        <f t="shared" si="27"/>
        <v>5000</v>
      </c>
      <c r="L143" s="35">
        <f t="shared" si="28"/>
        <v>0.55555555555555558</v>
      </c>
      <c r="M143" s="5"/>
      <c r="N143" s="2"/>
      <c r="O143" s="5"/>
      <c r="P143" s="2"/>
      <c r="Q143" s="2"/>
      <c r="R143" s="5"/>
      <c r="S143" s="2"/>
      <c r="T143" s="2"/>
      <c r="U143" s="1"/>
      <c r="V143" s="2"/>
      <c r="W143" s="2"/>
      <c r="X143" s="2"/>
      <c r="Y143" s="2"/>
    </row>
    <row r="144" spans="1:25" ht="15.75" customHeight="1" x14ac:dyDescent="0.2">
      <c r="A144" s="13">
        <v>1</v>
      </c>
      <c r="B144" s="12" t="s">
        <v>13</v>
      </c>
      <c r="C144" s="14" t="s">
        <v>66</v>
      </c>
      <c r="D144" s="8">
        <v>68000</v>
      </c>
      <c r="E144" s="8">
        <f t="shared" si="25"/>
        <v>68000</v>
      </c>
      <c r="F144" s="12"/>
      <c r="G144" s="14"/>
      <c r="H144" s="8"/>
      <c r="I144" s="8">
        <v>64000</v>
      </c>
      <c r="J144" s="8">
        <f t="shared" si="26"/>
        <v>64000</v>
      </c>
      <c r="K144" s="8">
        <f t="shared" si="27"/>
        <v>4000</v>
      </c>
      <c r="L144" s="38">
        <f t="shared" si="28"/>
        <v>5.8823529411764705E-2</v>
      </c>
      <c r="M144" s="5"/>
      <c r="N144" s="2"/>
      <c r="O144" s="5"/>
      <c r="P144" s="2"/>
      <c r="Q144" s="2"/>
      <c r="R144" s="5"/>
      <c r="S144" s="2"/>
      <c r="T144" s="2"/>
      <c r="U144" s="1"/>
      <c r="V144" s="2"/>
      <c r="W144" s="2"/>
      <c r="X144" s="2"/>
      <c r="Y144" s="2"/>
    </row>
    <row r="145" spans="1:25" ht="15.75" customHeight="1" x14ac:dyDescent="0.2">
      <c r="A145" s="13">
        <v>1</v>
      </c>
      <c r="B145" s="12" t="s">
        <v>24</v>
      </c>
      <c r="C145" s="14" t="s">
        <v>25</v>
      </c>
      <c r="D145" s="8">
        <v>49000</v>
      </c>
      <c r="E145" s="8">
        <f t="shared" si="25"/>
        <v>49000</v>
      </c>
      <c r="F145" s="12"/>
      <c r="G145" s="14"/>
      <c r="H145" s="8"/>
      <c r="I145" s="8">
        <v>38000</v>
      </c>
      <c r="J145" s="8">
        <f t="shared" si="26"/>
        <v>38000</v>
      </c>
      <c r="K145" s="8">
        <f t="shared" si="27"/>
        <v>11000</v>
      </c>
      <c r="L145" s="35">
        <f t="shared" si="28"/>
        <v>0.22448979591836735</v>
      </c>
      <c r="M145" s="5"/>
      <c r="N145" s="2"/>
      <c r="O145" s="5"/>
      <c r="P145" s="2"/>
      <c r="Q145" s="2"/>
      <c r="R145" s="5"/>
      <c r="S145" s="2"/>
      <c r="T145" s="2"/>
      <c r="U145" s="1"/>
      <c r="V145" s="2"/>
      <c r="W145" s="2"/>
      <c r="X145" s="2"/>
      <c r="Y145" s="2"/>
    </row>
    <row r="146" spans="1:25" ht="15.75" customHeight="1" x14ac:dyDescent="0.2">
      <c r="A146" s="13">
        <v>1.1000000000000001</v>
      </c>
      <c r="B146" s="12" t="s">
        <v>8</v>
      </c>
      <c r="C146" s="14" t="s">
        <v>44</v>
      </c>
      <c r="D146" s="8">
        <v>5000</v>
      </c>
      <c r="E146" s="8">
        <f t="shared" si="25"/>
        <v>5500</v>
      </c>
      <c r="F146" s="12"/>
      <c r="G146" s="14"/>
      <c r="H146" s="8"/>
      <c r="I146" s="8">
        <v>7000</v>
      </c>
      <c r="J146" s="8">
        <f t="shared" si="26"/>
        <v>7700.0000000000009</v>
      </c>
      <c r="K146" s="8">
        <f t="shared" si="27"/>
        <v>-2200.0000000000009</v>
      </c>
      <c r="L146" s="38">
        <f t="shared" si="28"/>
        <v>-0.40000000000000019</v>
      </c>
      <c r="M146" s="5"/>
      <c r="N146" s="2"/>
      <c r="O146" s="5"/>
      <c r="P146" s="2"/>
      <c r="Q146" s="2"/>
      <c r="R146" s="5"/>
      <c r="S146" s="2"/>
      <c r="T146" s="2"/>
      <c r="U146" s="1"/>
      <c r="V146" s="2"/>
      <c r="W146" s="2"/>
      <c r="X146" s="2"/>
      <c r="Y146" s="2"/>
    </row>
    <row r="147" spans="1:25" ht="15.75" customHeight="1" x14ac:dyDescent="0.2">
      <c r="A147" s="13">
        <v>3</v>
      </c>
      <c r="B147" s="12" t="s">
        <v>8</v>
      </c>
      <c r="C147" s="14" t="s">
        <v>35</v>
      </c>
      <c r="D147" s="8">
        <v>2400</v>
      </c>
      <c r="E147" s="8">
        <f t="shared" si="25"/>
        <v>7200</v>
      </c>
      <c r="F147" s="12"/>
      <c r="G147" s="14"/>
      <c r="H147" s="8"/>
      <c r="I147" s="8">
        <f>30000/16</f>
        <v>1875</v>
      </c>
      <c r="J147" s="8">
        <f t="shared" si="26"/>
        <v>5625</v>
      </c>
      <c r="K147" s="8">
        <f t="shared" si="27"/>
        <v>1575</v>
      </c>
      <c r="L147" s="36">
        <f t="shared" si="28"/>
        <v>0.21875</v>
      </c>
      <c r="M147" s="5"/>
      <c r="N147" s="2"/>
      <c r="O147" s="5"/>
      <c r="P147" s="2"/>
      <c r="Q147" s="2"/>
      <c r="R147" s="5"/>
      <c r="S147" s="2"/>
      <c r="T147" s="2"/>
      <c r="U147" s="1"/>
      <c r="V147" s="2"/>
      <c r="W147" s="2"/>
      <c r="X147" s="2"/>
      <c r="Y147" s="2"/>
    </row>
    <row r="148" spans="1:25" ht="15.75" customHeight="1" x14ac:dyDescent="0.2">
      <c r="A148" s="13">
        <v>3</v>
      </c>
      <c r="B148" s="12" t="s">
        <v>8</v>
      </c>
      <c r="C148" s="14" t="s">
        <v>29</v>
      </c>
      <c r="D148" s="8">
        <v>3400</v>
      </c>
      <c r="E148" s="8">
        <f t="shared" si="25"/>
        <v>10200</v>
      </c>
      <c r="F148" s="12"/>
      <c r="G148" s="14"/>
      <c r="H148" s="8"/>
      <c r="I148" s="8">
        <v>2333</v>
      </c>
      <c r="J148" s="8">
        <f t="shared" si="26"/>
        <v>6999</v>
      </c>
      <c r="K148" s="8">
        <f t="shared" si="27"/>
        <v>3201</v>
      </c>
      <c r="L148" s="35">
        <f t="shared" si="28"/>
        <v>0.31382352941176472</v>
      </c>
      <c r="M148" s="5"/>
      <c r="N148" s="2"/>
      <c r="O148" s="5"/>
      <c r="P148" s="2"/>
      <c r="Q148" s="2"/>
      <c r="R148" s="5"/>
      <c r="S148" s="2"/>
      <c r="T148" s="2"/>
      <c r="U148" s="1"/>
      <c r="V148" s="2"/>
      <c r="W148" s="2"/>
      <c r="X148" s="2"/>
      <c r="Y148" s="2"/>
    </row>
    <row r="149" spans="1:25" ht="15.75" customHeight="1" x14ac:dyDescent="0.2">
      <c r="A149" s="13">
        <v>5</v>
      </c>
      <c r="B149" s="12" t="s">
        <v>8</v>
      </c>
      <c r="C149" s="14" t="s">
        <v>26</v>
      </c>
      <c r="D149" s="8">
        <v>1100</v>
      </c>
      <c r="E149" s="8">
        <f t="shared" si="25"/>
        <v>5500</v>
      </c>
      <c r="F149" s="12"/>
      <c r="G149" s="14"/>
      <c r="H149" s="8"/>
      <c r="I149" s="8">
        <f>8000/15</f>
        <v>533.33333333333337</v>
      </c>
      <c r="J149" s="8">
        <f t="shared" si="26"/>
        <v>2666.666666666667</v>
      </c>
      <c r="K149" s="8">
        <f t="shared" si="27"/>
        <v>2833.333333333333</v>
      </c>
      <c r="L149" s="35">
        <f t="shared" si="28"/>
        <v>0.51515151515151514</v>
      </c>
      <c r="M149" s="5"/>
      <c r="N149" s="2"/>
      <c r="O149" s="5"/>
      <c r="P149" s="2"/>
      <c r="Q149" s="2"/>
      <c r="R149" s="5"/>
      <c r="S149" s="2"/>
      <c r="T149" s="2"/>
      <c r="U149" s="1"/>
      <c r="V149" s="2"/>
      <c r="W149" s="2"/>
      <c r="X149" s="2"/>
      <c r="Y149" s="2"/>
    </row>
    <row r="150" spans="1:25" ht="15.75" customHeight="1" x14ac:dyDescent="0.2">
      <c r="A150" s="13">
        <v>1</v>
      </c>
      <c r="B150" s="12" t="s">
        <v>76</v>
      </c>
      <c r="C150" s="14" t="s">
        <v>12</v>
      </c>
      <c r="D150" s="8">
        <v>30000</v>
      </c>
      <c r="E150" s="8">
        <f t="shared" si="25"/>
        <v>30000</v>
      </c>
      <c r="F150" s="12"/>
      <c r="G150" s="14"/>
      <c r="H150" s="8"/>
      <c r="I150" s="8">
        <v>24000</v>
      </c>
      <c r="J150" s="8">
        <f t="shared" si="26"/>
        <v>24000</v>
      </c>
      <c r="K150" s="8">
        <f t="shared" si="27"/>
        <v>6000</v>
      </c>
      <c r="L150" s="36">
        <f t="shared" si="28"/>
        <v>0.2</v>
      </c>
      <c r="M150" s="5"/>
      <c r="N150" s="2"/>
      <c r="O150" s="5"/>
      <c r="P150" s="2"/>
      <c r="Q150" s="2"/>
      <c r="R150" s="5"/>
      <c r="S150" s="2"/>
      <c r="T150" s="2"/>
      <c r="U150" s="1"/>
      <c r="V150" s="2"/>
      <c r="W150" s="2"/>
      <c r="X150" s="2"/>
      <c r="Y150" s="2"/>
    </row>
    <row r="151" spans="1:25" ht="15.75" customHeight="1" x14ac:dyDescent="0.2">
      <c r="A151" s="13">
        <v>7.9</v>
      </c>
      <c r="B151" s="12" t="s">
        <v>8</v>
      </c>
      <c r="C151" s="14" t="s">
        <v>77</v>
      </c>
      <c r="D151" s="8">
        <v>1500</v>
      </c>
      <c r="E151" s="8">
        <f t="shared" si="25"/>
        <v>11850</v>
      </c>
      <c r="F151" s="12"/>
      <c r="G151" s="14"/>
      <c r="H151" s="8"/>
      <c r="I151" s="8">
        <v>900</v>
      </c>
      <c r="J151" s="8">
        <f t="shared" si="26"/>
        <v>7110</v>
      </c>
      <c r="K151" s="8">
        <f t="shared" si="27"/>
        <v>4740</v>
      </c>
      <c r="L151" s="35">
        <f t="shared" si="28"/>
        <v>0.4</v>
      </c>
      <c r="M151" s="5"/>
      <c r="N151" s="2"/>
      <c r="O151" s="5"/>
      <c r="P151" s="2"/>
      <c r="Q151" s="2"/>
      <c r="R151" s="5"/>
      <c r="S151" s="2"/>
      <c r="T151" s="2"/>
      <c r="U151" s="1"/>
      <c r="V151" s="2"/>
      <c r="W151" s="2"/>
      <c r="X151" s="2"/>
      <c r="Y151" s="2"/>
    </row>
    <row r="152" spans="1:25" ht="15.75" customHeight="1" x14ac:dyDescent="0.2">
      <c r="A152" s="13"/>
      <c r="B152" s="12"/>
      <c r="C152" s="14"/>
      <c r="D152" s="8"/>
      <c r="E152" s="8"/>
      <c r="F152" s="8"/>
      <c r="G152" s="2"/>
      <c r="H152" s="2"/>
      <c r="I152" s="8"/>
      <c r="J152" s="8"/>
      <c r="K152" s="8"/>
      <c r="L152" s="35"/>
      <c r="N152" s="2"/>
      <c r="O152" s="5"/>
      <c r="P152" s="2"/>
      <c r="Q152" s="2"/>
      <c r="R152" s="5"/>
      <c r="S152" s="2"/>
      <c r="T152" s="2"/>
      <c r="U152" s="1"/>
      <c r="V152" s="2"/>
      <c r="W152" s="2"/>
      <c r="X152" s="2"/>
      <c r="Y152" s="2"/>
    </row>
    <row r="153" spans="1:25" ht="15.75" customHeight="1" x14ac:dyDescent="0.2">
      <c r="A153" s="1"/>
      <c r="B153" s="2"/>
      <c r="C153" s="4"/>
      <c r="D153" s="2"/>
      <c r="E153" s="8">
        <f>SUM(E124:E151)</f>
        <v>361950</v>
      </c>
      <c r="F153" s="8"/>
      <c r="G153" s="2"/>
      <c r="H153" s="2"/>
      <c r="I153" s="8"/>
      <c r="J153" s="8"/>
      <c r="K153" s="8">
        <f>SUM(K124:K151)</f>
        <v>92762.727272727265</v>
      </c>
      <c r="L153" s="35">
        <f>K153/E153</f>
        <v>0.25628602644765097</v>
      </c>
      <c r="N153" s="2"/>
      <c r="O153" s="5"/>
      <c r="P153" s="2"/>
      <c r="Q153" s="2"/>
      <c r="R153" s="5"/>
      <c r="S153" s="2"/>
      <c r="T153" s="2"/>
      <c r="U153" s="1"/>
      <c r="V153" s="2"/>
      <c r="W153" s="2"/>
      <c r="X153" s="2"/>
      <c r="Y153" s="2"/>
    </row>
    <row r="154" spans="1:25" ht="15.75" customHeight="1" x14ac:dyDescent="0.2">
      <c r="A154" s="1"/>
      <c r="B154" s="1"/>
      <c r="C154" s="5"/>
      <c r="D154" s="2"/>
      <c r="E154" s="8"/>
      <c r="F154" s="2"/>
      <c r="G154" s="5"/>
      <c r="H154" s="5"/>
      <c r="I154" s="5"/>
      <c r="J154" s="5"/>
      <c r="K154" s="8"/>
      <c r="L154" s="15"/>
      <c r="N154" s="2"/>
      <c r="O154" s="5"/>
      <c r="P154" s="2"/>
      <c r="Q154" s="2"/>
      <c r="R154" s="5"/>
      <c r="S154" s="2"/>
      <c r="T154" s="2"/>
      <c r="U154" s="1"/>
      <c r="V154" s="2"/>
      <c r="W154" s="2"/>
      <c r="X154" s="2"/>
      <c r="Y154" s="2"/>
    </row>
    <row r="155" spans="1:25" ht="15.75" customHeight="1" x14ac:dyDescent="0.2">
      <c r="A155" s="1"/>
      <c r="B155" s="1"/>
      <c r="C155" s="5"/>
      <c r="D155" s="2"/>
      <c r="E155" s="8"/>
      <c r="F155" s="2"/>
      <c r="G155" s="5"/>
      <c r="H155" s="5"/>
      <c r="I155" s="5"/>
      <c r="J155" s="5"/>
      <c r="K155" s="8"/>
      <c r="L155" s="15"/>
      <c r="N155" s="2"/>
      <c r="O155" s="5"/>
      <c r="P155" s="2"/>
      <c r="Q155" s="2"/>
      <c r="R155" s="5"/>
      <c r="S155" s="2"/>
      <c r="T155" s="2"/>
      <c r="U155" s="1"/>
      <c r="V155" s="2"/>
      <c r="W155" s="2"/>
      <c r="X155" s="2"/>
      <c r="Y155" s="2"/>
    </row>
    <row r="156" spans="1:25" ht="15.75" customHeight="1" x14ac:dyDescent="0.2">
      <c r="A156" s="41"/>
      <c r="B156" s="40"/>
      <c r="C156" s="40"/>
      <c r="D156" s="7"/>
      <c r="E156" s="2"/>
      <c r="G156" s="2"/>
      <c r="H156" s="2"/>
      <c r="I156" s="8"/>
      <c r="J156" s="8"/>
      <c r="K156" s="8"/>
      <c r="L156" s="3"/>
      <c r="M156" s="5"/>
      <c r="N156" s="2"/>
      <c r="O156" s="5"/>
      <c r="P156" s="2"/>
      <c r="Q156" s="2"/>
      <c r="R156" s="5"/>
      <c r="S156" s="2"/>
      <c r="T156" s="2"/>
      <c r="U156" s="1"/>
      <c r="V156" s="2"/>
      <c r="W156" s="2"/>
      <c r="X156" s="2"/>
      <c r="Y156" s="2"/>
    </row>
    <row r="157" spans="1:25" ht="15.75" customHeight="1" x14ac:dyDescent="0.2">
      <c r="A157" s="41" t="s">
        <v>0</v>
      </c>
      <c r="B157" s="40"/>
      <c r="C157" s="40"/>
      <c r="D157" s="44" t="s">
        <v>84</v>
      </c>
      <c r="E157" s="7">
        <v>45966</v>
      </c>
      <c r="G157" s="2"/>
      <c r="H157" s="2"/>
      <c r="I157" s="8"/>
      <c r="J157" s="8"/>
      <c r="K157" s="8"/>
      <c r="L157" s="3"/>
      <c r="M157" s="5"/>
      <c r="N157" s="2"/>
      <c r="O157" s="5"/>
      <c r="P157" s="2"/>
      <c r="Q157" s="2"/>
      <c r="R157" s="5"/>
      <c r="S157" s="2"/>
      <c r="T157" s="2"/>
      <c r="U157" s="1"/>
      <c r="V157" s="2"/>
      <c r="W157" s="2"/>
      <c r="X157" s="2"/>
      <c r="Y157" s="2"/>
    </row>
    <row r="158" spans="1:25" ht="15.75" customHeight="1" x14ac:dyDescent="0.2">
      <c r="A158" s="6"/>
      <c r="B158" s="12"/>
      <c r="C158" s="14"/>
      <c r="D158" s="12"/>
      <c r="E158" s="2"/>
      <c r="F158" s="2"/>
      <c r="G158" s="2"/>
      <c r="H158" s="2"/>
      <c r="I158" s="8"/>
      <c r="J158" s="8"/>
      <c r="K158" s="8"/>
      <c r="L158" s="3"/>
      <c r="M158" s="5"/>
      <c r="N158" s="2"/>
      <c r="O158" s="5"/>
      <c r="P158" s="2"/>
      <c r="Q158" s="2"/>
      <c r="R158" s="5"/>
      <c r="S158" s="2"/>
      <c r="T158" s="2"/>
      <c r="U158" s="1"/>
      <c r="V158" s="2"/>
      <c r="W158" s="2"/>
      <c r="X158" s="2"/>
      <c r="Y158" s="2"/>
    </row>
    <row r="159" spans="1:25" ht="15.75" customHeight="1" x14ac:dyDescent="0.2">
      <c r="A159" s="9" t="s">
        <v>1</v>
      </c>
      <c r="B159" s="10" t="s">
        <v>2</v>
      </c>
      <c r="C159" s="11" t="s">
        <v>3</v>
      </c>
      <c r="D159" s="10" t="s">
        <v>4</v>
      </c>
      <c r="E159" s="12" t="s">
        <v>5</v>
      </c>
      <c r="F159" s="12"/>
      <c r="G159" s="2"/>
      <c r="H159" s="2"/>
      <c r="I159" s="12" t="s">
        <v>4</v>
      </c>
      <c r="J159" s="12" t="s">
        <v>5</v>
      </c>
      <c r="K159" s="12" t="s">
        <v>6</v>
      </c>
      <c r="L159" s="37"/>
      <c r="M159" s="5"/>
      <c r="N159" s="2"/>
      <c r="O159" s="5"/>
      <c r="P159" s="2"/>
      <c r="Q159" s="2"/>
      <c r="R159" s="5"/>
      <c r="S159" s="2"/>
      <c r="T159" s="2"/>
      <c r="U159" s="1"/>
      <c r="V159" s="2"/>
      <c r="W159" s="2"/>
      <c r="X159" s="2"/>
      <c r="Y159" s="2"/>
    </row>
    <row r="160" spans="1:25" ht="15.75" customHeight="1" x14ac:dyDescent="0.2">
      <c r="A160" s="13">
        <v>1</v>
      </c>
      <c r="B160" s="12" t="s">
        <v>13</v>
      </c>
      <c r="C160" s="14" t="s">
        <v>14</v>
      </c>
      <c r="D160" s="8">
        <v>17000</v>
      </c>
      <c r="E160" s="8">
        <f t="shared" ref="E160:E166" si="29">A160*D160</f>
        <v>17000</v>
      </c>
      <c r="F160" s="8"/>
      <c r="G160" s="2"/>
      <c r="H160" s="2"/>
      <c r="I160" s="8">
        <v>13000</v>
      </c>
      <c r="J160" s="8">
        <f t="shared" ref="J160:J166" si="30">I160*A160</f>
        <v>13000</v>
      </c>
      <c r="K160" s="8">
        <f t="shared" ref="K160:K166" si="31">E160-J160</f>
        <v>4000</v>
      </c>
      <c r="L160" s="36">
        <f t="shared" ref="L160:L166" si="32">K160/E160</f>
        <v>0.23529411764705882</v>
      </c>
      <c r="M160" s="5"/>
      <c r="N160" s="2"/>
      <c r="O160" s="5"/>
      <c r="P160" s="2"/>
      <c r="Q160" s="2"/>
      <c r="R160" s="5"/>
      <c r="S160" s="2"/>
      <c r="T160" s="2"/>
      <c r="U160" s="1"/>
      <c r="V160" s="2"/>
      <c r="W160" s="2"/>
      <c r="X160" s="2"/>
      <c r="Y160" s="2"/>
    </row>
    <row r="161" spans="1:25" ht="15.75" customHeight="1" x14ac:dyDescent="0.2">
      <c r="A161" s="13">
        <v>1</v>
      </c>
      <c r="B161" s="12" t="s">
        <v>13</v>
      </c>
      <c r="C161" s="14" t="s">
        <v>62</v>
      </c>
      <c r="D161" s="8">
        <v>10000</v>
      </c>
      <c r="E161" s="8">
        <f t="shared" si="29"/>
        <v>10000</v>
      </c>
      <c r="F161" s="8"/>
      <c r="G161" s="2"/>
      <c r="H161" s="2"/>
      <c r="I161" s="8">
        <v>5000</v>
      </c>
      <c r="J161" s="8">
        <f t="shared" si="30"/>
        <v>5000</v>
      </c>
      <c r="K161" s="8">
        <f t="shared" si="31"/>
        <v>5000</v>
      </c>
      <c r="L161" s="35">
        <f t="shared" si="32"/>
        <v>0.5</v>
      </c>
      <c r="M161" s="5"/>
      <c r="N161" s="2"/>
      <c r="O161" s="5"/>
      <c r="P161" s="2"/>
      <c r="Q161" s="2"/>
      <c r="R161" s="5"/>
      <c r="S161" s="2"/>
      <c r="T161" s="2"/>
      <c r="U161" s="1"/>
      <c r="V161" s="2"/>
      <c r="W161" s="2"/>
      <c r="X161" s="2"/>
      <c r="Y161" s="2"/>
    </row>
    <row r="162" spans="1:25" ht="15.75" customHeight="1" x14ac:dyDescent="0.2">
      <c r="A162" s="13">
        <v>3</v>
      </c>
      <c r="B162" s="12" t="s">
        <v>7</v>
      </c>
      <c r="C162" s="14" t="s">
        <v>45</v>
      </c>
      <c r="D162" s="8">
        <v>1000</v>
      </c>
      <c r="E162" s="8">
        <f t="shared" si="29"/>
        <v>3000</v>
      </c>
      <c r="F162" s="8"/>
      <c r="G162" s="2"/>
      <c r="H162" s="2"/>
      <c r="I162" s="8">
        <f>3500/6</f>
        <v>583.33333333333337</v>
      </c>
      <c r="J162" s="8">
        <f t="shared" si="30"/>
        <v>1750</v>
      </c>
      <c r="K162" s="8">
        <f t="shared" si="31"/>
        <v>1250</v>
      </c>
      <c r="L162" s="35">
        <f t="shared" si="32"/>
        <v>0.41666666666666669</v>
      </c>
      <c r="M162" s="5"/>
      <c r="N162" s="2"/>
      <c r="O162" s="5"/>
      <c r="P162" s="2"/>
      <c r="Q162" s="2"/>
      <c r="R162" s="5"/>
      <c r="S162" s="2"/>
      <c r="T162" s="2"/>
      <c r="U162" s="1"/>
      <c r="V162" s="2"/>
      <c r="W162" s="2"/>
      <c r="X162" s="2"/>
      <c r="Y162" s="2"/>
    </row>
    <row r="163" spans="1:25" ht="15.75" customHeight="1" x14ac:dyDescent="0.2">
      <c r="A163" s="13">
        <v>0.2</v>
      </c>
      <c r="B163" s="12" t="s">
        <v>8</v>
      </c>
      <c r="C163" s="14" t="s">
        <v>65</v>
      </c>
      <c r="D163" s="8">
        <v>6000</v>
      </c>
      <c r="E163" s="8">
        <f t="shared" si="29"/>
        <v>1200</v>
      </c>
      <c r="F163" s="8"/>
      <c r="G163" s="2"/>
      <c r="H163" s="2"/>
      <c r="I163" s="8">
        <v>4000</v>
      </c>
      <c r="J163" s="8">
        <f t="shared" si="30"/>
        <v>800</v>
      </c>
      <c r="K163" s="8">
        <f t="shared" si="31"/>
        <v>400</v>
      </c>
      <c r="L163" s="35">
        <f t="shared" si="32"/>
        <v>0.33333333333333331</v>
      </c>
      <c r="M163" s="5"/>
      <c r="N163" s="2"/>
      <c r="O163" s="5"/>
      <c r="P163" s="2"/>
      <c r="Q163" s="2"/>
      <c r="R163" s="5"/>
      <c r="S163" s="2"/>
      <c r="T163" s="2"/>
      <c r="U163" s="1"/>
      <c r="V163" s="2"/>
      <c r="W163" s="2"/>
      <c r="X163" s="2"/>
      <c r="Y163" s="2"/>
    </row>
    <row r="164" spans="1:25" ht="15.75" customHeight="1" x14ac:dyDescent="0.2">
      <c r="A164" s="13">
        <v>1</v>
      </c>
      <c r="B164" s="12" t="s">
        <v>7</v>
      </c>
      <c r="C164" s="14" t="s">
        <v>64</v>
      </c>
      <c r="D164" s="8">
        <v>3000</v>
      </c>
      <c r="E164" s="8">
        <f t="shared" si="29"/>
        <v>3000</v>
      </c>
      <c r="F164" s="8"/>
      <c r="G164" s="2"/>
      <c r="H164" s="2"/>
      <c r="I164" s="8">
        <v>2000</v>
      </c>
      <c r="J164" s="8">
        <f t="shared" si="30"/>
        <v>2000</v>
      </c>
      <c r="K164" s="8">
        <f t="shared" si="31"/>
        <v>1000</v>
      </c>
      <c r="L164" s="35">
        <f t="shared" si="32"/>
        <v>0.33333333333333331</v>
      </c>
      <c r="M164" s="5"/>
      <c r="N164" s="2"/>
      <c r="O164" s="5"/>
      <c r="P164" s="2"/>
      <c r="Q164" s="2"/>
      <c r="R164" s="5"/>
      <c r="S164" s="2"/>
      <c r="T164" s="2"/>
      <c r="U164" s="1"/>
      <c r="V164" s="2"/>
      <c r="W164" s="2"/>
      <c r="X164" s="2"/>
      <c r="Y164" s="2"/>
    </row>
    <row r="165" spans="1:25" ht="15.75" customHeight="1" x14ac:dyDescent="0.2">
      <c r="A165" s="13">
        <v>1</v>
      </c>
      <c r="B165" s="12" t="s">
        <v>8</v>
      </c>
      <c r="C165" s="14" t="s">
        <v>63</v>
      </c>
      <c r="D165" s="8">
        <v>4000</v>
      </c>
      <c r="E165" s="8">
        <f t="shared" si="29"/>
        <v>4000</v>
      </c>
      <c r="F165" s="8"/>
      <c r="G165" s="2"/>
      <c r="H165" s="2"/>
      <c r="I165" s="8">
        <v>3000</v>
      </c>
      <c r="J165" s="8">
        <f t="shared" si="30"/>
        <v>3000</v>
      </c>
      <c r="K165" s="8">
        <f t="shared" si="31"/>
        <v>1000</v>
      </c>
      <c r="L165" s="35">
        <f t="shared" si="32"/>
        <v>0.25</v>
      </c>
      <c r="M165" s="5"/>
      <c r="N165" s="2"/>
      <c r="O165" s="5"/>
      <c r="P165" s="2"/>
      <c r="Q165" s="2"/>
      <c r="R165" s="5"/>
      <c r="S165" s="2"/>
      <c r="T165" s="2"/>
      <c r="U165" s="1"/>
      <c r="V165" s="2"/>
      <c r="W165" s="2"/>
      <c r="X165" s="2"/>
      <c r="Y165" s="2"/>
    </row>
    <row r="166" spans="1:25" ht="15.75" customHeight="1" x14ac:dyDescent="0.2">
      <c r="A166" s="13">
        <v>1</v>
      </c>
      <c r="B166" s="12" t="s">
        <v>13</v>
      </c>
      <c r="C166" s="14" t="s">
        <v>35</v>
      </c>
      <c r="D166" s="8">
        <v>34000</v>
      </c>
      <c r="E166" s="8">
        <f t="shared" si="29"/>
        <v>34000</v>
      </c>
      <c r="F166" s="8"/>
      <c r="G166" s="2"/>
      <c r="H166" s="2"/>
      <c r="I166" s="8">
        <v>30000</v>
      </c>
      <c r="J166" s="8">
        <f t="shared" si="30"/>
        <v>30000</v>
      </c>
      <c r="K166" s="8">
        <f t="shared" si="31"/>
        <v>4000</v>
      </c>
      <c r="L166" s="38">
        <f t="shared" si="32"/>
        <v>0.11764705882352941</v>
      </c>
      <c r="M166" s="5"/>
      <c r="N166" s="2"/>
      <c r="O166" s="5"/>
      <c r="P166" s="2"/>
      <c r="Q166" s="2"/>
      <c r="R166" s="5"/>
      <c r="S166" s="2"/>
      <c r="T166" s="2"/>
      <c r="U166" s="1"/>
      <c r="V166" s="2"/>
      <c r="W166" s="2"/>
      <c r="X166" s="2"/>
      <c r="Y166" s="2"/>
    </row>
    <row r="167" spans="1:25" ht="15.75" customHeight="1" x14ac:dyDescent="0.2">
      <c r="A167" s="13"/>
      <c r="B167" s="12"/>
      <c r="C167" s="14"/>
      <c r="D167" s="8"/>
      <c r="E167" s="8"/>
      <c r="F167" s="8"/>
      <c r="H167" s="2"/>
      <c r="I167" s="8"/>
      <c r="J167" s="8"/>
      <c r="K167" s="8"/>
      <c r="L167" s="35"/>
      <c r="N167" s="2"/>
      <c r="O167" s="5"/>
      <c r="P167" s="2"/>
      <c r="Q167" s="2"/>
      <c r="R167" s="5"/>
      <c r="S167" s="2"/>
      <c r="T167" s="2"/>
      <c r="U167" s="1"/>
      <c r="V167" s="2"/>
      <c r="W167" s="2"/>
      <c r="X167" s="2"/>
      <c r="Y167" s="2"/>
    </row>
    <row r="168" spans="1:25" ht="15.75" customHeight="1" x14ac:dyDescent="0.2">
      <c r="A168" s="1"/>
      <c r="B168" s="2"/>
      <c r="C168" s="4"/>
      <c r="D168" s="2"/>
      <c r="E168" s="8">
        <f>SUM(E160:E166)</f>
        <v>72200</v>
      </c>
      <c r="F168" s="8"/>
      <c r="G168" s="2"/>
      <c r="H168" s="2"/>
      <c r="I168" s="8"/>
      <c r="J168" s="8"/>
      <c r="K168" s="8">
        <f>SUM(K160:K166)</f>
        <v>16650</v>
      </c>
      <c r="L168" s="35">
        <f>K168/E168</f>
        <v>0.23060941828254847</v>
      </c>
      <c r="M168" s="5"/>
      <c r="N168" s="2"/>
      <c r="O168" s="5"/>
      <c r="P168" s="2"/>
      <c r="Q168" s="2"/>
      <c r="R168" s="5"/>
      <c r="S168" s="2"/>
      <c r="T168" s="2"/>
      <c r="U168" s="1"/>
      <c r="V168" s="2"/>
      <c r="W168" s="2"/>
      <c r="X168" s="2"/>
      <c r="Y168" s="2"/>
    </row>
    <row r="169" spans="1:25" ht="15.75" customHeight="1" x14ac:dyDescent="0.2">
      <c r="A169" s="1"/>
      <c r="B169" s="1"/>
      <c r="C169" s="5"/>
      <c r="D169" s="2"/>
      <c r="E169" s="8"/>
      <c r="F169" s="2"/>
      <c r="G169" s="5"/>
      <c r="H169" s="5"/>
      <c r="I169" s="5"/>
      <c r="J169" s="5"/>
      <c r="K169" s="8"/>
      <c r="L169" s="15"/>
      <c r="N169" s="2"/>
      <c r="O169" s="5"/>
      <c r="P169" s="2"/>
      <c r="Q169" s="2"/>
      <c r="R169" s="5"/>
      <c r="S169" s="2"/>
      <c r="T169" s="2"/>
      <c r="U169" s="1"/>
      <c r="V169" s="2"/>
      <c r="W169" s="2"/>
      <c r="X169" s="2"/>
      <c r="Y169" s="2"/>
    </row>
    <row r="170" spans="1:25" ht="15.75" customHeight="1" x14ac:dyDescent="0.2">
      <c r="A170" s="13"/>
      <c r="B170" s="12"/>
      <c r="C170" s="14"/>
      <c r="D170" s="8"/>
      <c r="E170" s="8"/>
      <c r="F170" s="8"/>
      <c r="H170" s="2"/>
      <c r="I170" s="8"/>
      <c r="J170" s="8"/>
      <c r="K170" s="8"/>
      <c r="L170" s="15"/>
      <c r="N170" s="2"/>
      <c r="O170" s="5"/>
      <c r="P170" s="2"/>
      <c r="Q170" s="2"/>
      <c r="R170" s="5"/>
      <c r="S170" s="2"/>
      <c r="T170" s="2"/>
      <c r="U170" s="1"/>
      <c r="V170" s="2"/>
      <c r="W170" s="2"/>
      <c r="X170" s="2"/>
      <c r="Y170" s="2"/>
    </row>
    <row r="171" spans="1:25" ht="15.75" customHeight="1" x14ac:dyDescent="0.2">
      <c r="A171" s="41" t="s">
        <v>15</v>
      </c>
      <c r="B171" s="40"/>
      <c r="C171" s="40"/>
      <c r="D171" s="2"/>
      <c r="E171" s="2" t="s">
        <v>85</v>
      </c>
      <c r="F171" s="7">
        <v>45966</v>
      </c>
      <c r="H171" s="2"/>
      <c r="I171" s="42" t="s">
        <v>16</v>
      </c>
      <c r="J171" s="40"/>
      <c r="K171" s="40"/>
      <c r="L171" s="3"/>
      <c r="N171" s="17"/>
      <c r="O171" s="18"/>
      <c r="P171" s="1"/>
      <c r="Q171" s="1"/>
      <c r="R171" s="1"/>
      <c r="S171" s="1"/>
      <c r="T171" s="2"/>
      <c r="U171" s="1"/>
      <c r="V171" s="2"/>
      <c r="W171" s="5"/>
      <c r="X171" s="2"/>
      <c r="Y171" s="2"/>
    </row>
    <row r="172" spans="1:25" ht="15.75" customHeight="1" x14ac:dyDescent="0.2">
      <c r="A172" s="1"/>
      <c r="B172" s="2"/>
      <c r="C172" s="4"/>
      <c r="D172" s="16"/>
      <c r="E172" s="2"/>
      <c r="F172" s="2"/>
      <c r="H172" s="2"/>
      <c r="I172" s="2"/>
      <c r="J172" s="2"/>
      <c r="K172" s="2"/>
      <c r="L172" s="3"/>
      <c r="N172" s="17"/>
      <c r="O172" s="5"/>
      <c r="P172" s="1"/>
      <c r="Q172" s="1"/>
      <c r="R172" s="1"/>
      <c r="S172" s="1"/>
      <c r="T172" s="2"/>
      <c r="U172" s="1"/>
      <c r="V172" s="2"/>
      <c r="W172" s="5"/>
      <c r="X172" s="2"/>
      <c r="Y172" s="2"/>
    </row>
    <row r="173" spans="1:25" ht="15.75" customHeight="1" x14ac:dyDescent="0.2">
      <c r="A173" s="9" t="s">
        <v>1</v>
      </c>
      <c r="B173" s="10" t="s">
        <v>2</v>
      </c>
      <c r="C173" s="11" t="s">
        <v>3</v>
      </c>
      <c r="D173" s="10" t="s">
        <v>4</v>
      </c>
      <c r="E173" s="12" t="s">
        <v>5</v>
      </c>
      <c r="F173" s="12" t="s">
        <v>17</v>
      </c>
      <c r="G173" s="2"/>
      <c r="H173" s="2"/>
      <c r="I173" s="12" t="s">
        <v>4</v>
      </c>
      <c r="J173" s="12" t="s">
        <v>5</v>
      </c>
      <c r="K173" s="12" t="s">
        <v>6</v>
      </c>
      <c r="L173" s="3"/>
      <c r="N173" s="1"/>
      <c r="O173" s="5"/>
      <c r="P173" s="1"/>
      <c r="Q173" s="1"/>
      <c r="R173" s="1"/>
      <c r="S173" s="1"/>
      <c r="T173" s="2"/>
      <c r="U173" s="1"/>
      <c r="V173" s="2"/>
      <c r="W173" s="5"/>
      <c r="X173" s="2"/>
      <c r="Y173" s="2"/>
    </row>
    <row r="174" spans="1:25" ht="15.75" customHeight="1" x14ac:dyDescent="0.2">
      <c r="A174" s="13">
        <v>2</v>
      </c>
      <c r="B174" s="12" t="s">
        <v>24</v>
      </c>
      <c r="C174" s="14" t="s">
        <v>28</v>
      </c>
      <c r="D174" s="8">
        <v>52000</v>
      </c>
      <c r="E174" s="8">
        <f t="shared" ref="E174:E182" si="33">A174*D174</f>
        <v>104000</v>
      </c>
      <c r="F174" s="8">
        <f t="shared" ref="F174:F182" si="34">E174*1.105</f>
        <v>114920</v>
      </c>
      <c r="G174" s="1"/>
      <c r="H174" s="2" t="s">
        <v>18</v>
      </c>
      <c r="I174" s="8">
        <v>39000</v>
      </c>
      <c r="J174" s="8">
        <f t="shared" ref="J174:J182" si="35">I174*A174</f>
        <v>78000</v>
      </c>
      <c r="K174" s="8">
        <f t="shared" ref="K174:K182" si="36">F174-J174</f>
        <v>36920</v>
      </c>
      <c r="L174" s="35">
        <f t="shared" ref="L174:L182" si="37">K174/F174</f>
        <v>0.32126696832579188</v>
      </c>
      <c r="N174" s="1"/>
      <c r="O174" s="5"/>
      <c r="P174" s="1"/>
      <c r="Q174" s="1"/>
      <c r="R174" s="1"/>
      <c r="S174" s="1"/>
      <c r="T174" s="2"/>
      <c r="U174" s="1"/>
      <c r="V174" s="2"/>
      <c r="W174" s="5"/>
      <c r="X174" s="2"/>
      <c r="Y174" s="2"/>
    </row>
    <row r="175" spans="1:25" ht="15.75" customHeight="1" x14ac:dyDescent="0.2">
      <c r="A175" s="13">
        <v>1</v>
      </c>
      <c r="B175" s="12" t="s">
        <v>24</v>
      </c>
      <c r="C175" s="14" t="s">
        <v>29</v>
      </c>
      <c r="D175" s="8">
        <v>52000</v>
      </c>
      <c r="E175" s="8">
        <f t="shared" si="33"/>
        <v>52000</v>
      </c>
      <c r="F175" s="8">
        <f t="shared" si="34"/>
        <v>57460</v>
      </c>
      <c r="G175" s="1"/>
      <c r="H175" s="2" t="s">
        <v>18</v>
      </c>
      <c r="I175" s="8">
        <v>34000</v>
      </c>
      <c r="J175" s="8">
        <f t="shared" si="35"/>
        <v>34000</v>
      </c>
      <c r="K175" s="8">
        <f t="shared" si="36"/>
        <v>23460</v>
      </c>
      <c r="L175" s="35">
        <f t="shared" si="37"/>
        <v>0.40828402366863903</v>
      </c>
      <c r="N175" s="1"/>
      <c r="O175" s="5"/>
      <c r="P175" s="1"/>
      <c r="Q175" s="1"/>
      <c r="R175" s="1"/>
      <c r="S175" s="1"/>
      <c r="T175" s="2"/>
      <c r="U175" s="1"/>
      <c r="V175" s="2"/>
      <c r="W175" s="5"/>
      <c r="X175" s="2"/>
      <c r="Y175" s="2"/>
    </row>
    <row r="176" spans="1:25" ht="15.75" customHeight="1" x14ac:dyDescent="0.2">
      <c r="A176" s="13">
        <v>1</v>
      </c>
      <c r="B176" s="12" t="s">
        <v>24</v>
      </c>
      <c r="C176" s="14" t="s">
        <v>25</v>
      </c>
      <c r="D176" s="8">
        <v>48000</v>
      </c>
      <c r="E176" s="8">
        <f t="shared" si="33"/>
        <v>48000</v>
      </c>
      <c r="F176" s="8">
        <f t="shared" si="34"/>
        <v>53040</v>
      </c>
      <c r="G176" s="1"/>
      <c r="H176" s="2" t="s">
        <v>18</v>
      </c>
      <c r="I176" s="8">
        <v>38000</v>
      </c>
      <c r="J176" s="8">
        <f t="shared" si="35"/>
        <v>38000</v>
      </c>
      <c r="K176" s="8">
        <f t="shared" si="36"/>
        <v>15040</v>
      </c>
      <c r="L176" s="35">
        <f t="shared" si="37"/>
        <v>0.28355957767722473</v>
      </c>
      <c r="N176" s="1"/>
      <c r="O176" s="5"/>
      <c r="P176" s="1"/>
      <c r="Q176" s="1"/>
      <c r="R176" s="1"/>
      <c r="S176" s="1"/>
      <c r="T176" s="2"/>
      <c r="U176" s="1"/>
      <c r="V176" s="2"/>
      <c r="W176" s="5"/>
      <c r="X176" s="2"/>
      <c r="Y176" s="2"/>
    </row>
    <row r="177" spans="1:25" ht="15.75" customHeight="1" x14ac:dyDescent="0.2">
      <c r="A177" s="13">
        <v>2</v>
      </c>
      <c r="B177" s="12" t="s">
        <v>13</v>
      </c>
      <c r="C177" s="14" t="s">
        <v>26</v>
      </c>
      <c r="D177" s="8">
        <v>20000</v>
      </c>
      <c r="E177" s="8">
        <f t="shared" si="33"/>
        <v>40000</v>
      </c>
      <c r="F177" s="8">
        <f t="shared" si="34"/>
        <v>44200</v>
      </c>
      <c r="G177" s="1"/>
      <c r="H177" s="2" t="s">
        <v>18</v>
      </c>
      <c r="I177" s="8">
        <v>8000</v>
      </c>
      <c r="J177" s="8">
        <f t="shared" si="35"/>
        <v>16000</v>
      </c>
      <c r="K177" s="8">
        <f t="shared" si="36"/>
        <v>28200</v>
      </c>
      <c r="L177" s="35">
        <f t="shared" si="37"/>
        <v>0.63800904977375561</v>
      </c>
      <c r="M177" s="1"/>
      <c r="N177" s="1"/>
      <c r="O177" s="5"/>
      <c r="P177" s="1"/>
      <c r="Q177" s="1"/>
      <c r="R177" s="1"/>
      <c r="S177" s="1"/>
      <c r="T177" s="2"/>
      <c r="U177" s="1"/>
      <c r="V177" s="2"/>
      <c r="W177" s="5"/>
      <c r="X177" s="2"/>
      <c r="Y177" s="2"/>
    </row>
    <row r="178" spans="1:25" ht="15.75" customHeight="1" x14ac:dyDescent="0.2">
      <c r="A178" s="13">
        <v>1</v>
      </c>
      <c r="B178" s="12" t="s">
        <v>13</v>
      </c>
      <c r="C178" s="14" t="s">
        <v>41</v>
      </c>
      <c r="D178" s="8">
        <v>38000</v>
      </c>
      <c r="E178" s="8">
        <f t="shared" si="33"/>
        <v>38000</v>
      </c>
      <c r="F178" s="8">
        <f t="shared" si="34"/>
        <v>41990</v>
      </c>
      <c r="G178" s="1"/>
      <c r="H178" s="2" t="s">
        <v>18</v>
      </c>
      <c r="I178" s="8">
        <v>28000</v>
      </c>
      <c r="J178" s="8">
        <f t="shared" si="35"/>
        <v>28000</v>
      </c>
      <c r="K178" s="8">
        <f t="shared" si="36"/>
        <v>13990</v>
      </c>
      <c r="L178" s="35">
        <f t="shared" si="37"/>
        <v>0.33317456537270779</v>
      </c>
      <c r="N178" s="1"/>
      <c r="O178" s="5"/>
      <c r="P178" s="1"/>
      <c r="Q178" s="1"/>
      <c r="R178" s="1"/>
      <c r="S178" s="1"/>
      <c r="T178" s="2"/>
      <c r="U178" s="1"/>
      <c r="V178" s="2"/>
      <c r="W178" s="5"/>
      <c r="X178" s="2"/>
      <c r="Y178" s="2"/>
    </row>
    <row r="179" spans="1:25" ht="15.75" customHeight="1" x14ac:dyDescent="0.2">
      <c r="A179" s="13">
        <v>1</v>
      </c>
      <c r="B179" s="12" t="s">
        <v>13</v>
      </c>
      <c r="C179" s="14" t="s">
        <v>40</v>
      </c>
      <c r="D179" s="8">
        <v>36000</v>
      </c>
      <c r="E179" s="8">
        <f t="shared" si="33"/>
        <v>36000</v>
      </c>
      <c r="F179" s="8">
        <f t="shared" si="34"/>
        <v>39780</v>
      </c>
      <c r="G179" s="1"/>
      <c r="H179" s="2" t="s">
        <v>18</v>
      </c>
      <c r="I179" s="8">
        <v>25000</v>
      </c>
      <c r="J179" s="8">
        <f t="shared" si="35"/>
        <v>25000</v>
      </c>
      <c r="K179" s="8">
        <f t="shared" si="36"/>
        <v>14780</v>
      </c>
      <c r="L179" s="35">
        <f t="shared" si="37"/>
        <v>0.37154348919054803</v>
      </c>
      <c r="N179" s="1"/>
      <c r="O179" s="5"/>
      <c r="P179" s="1"/>
      <c r="Q179" s="1"/>
      <c r="R179" s="1"/>
      <c r="S179" s="1"/>
      <c r="T179" s="2"/>
      <c r="U179" s="1"/>
      <c r="V179" s="2"/>
      <c r="W179" s="5"/>
      <c r="X179" s="2"/>
      <c r="Y179" s="2"/>
    </row>
    <row r="180" spans="1:25" ht="15.75" customHeight="1" x14ac:dyDescent="0.2">
      <c r="A180" s="13">
        <v>1</v>
      </c>
      <c r="B180" s="12" t="s">
        <v>13</v>
      </c>
      <c r="C180" s="14" t="s">
        <v>25</v>
      </c>
      <c r="D180" s="8">
        <v>48000</v>
      </c>
      <c r="E180" s="8">
        <f t="shared" si="33"/>
        <v>48000</v>
      </c>
      <c r="F180" s="8">
        <f t="shared" si="34"/>
        <v>53040</v>
      </c>
      <c r="G180" s="1"/>
      <c r="H180" s="2" t="s">
        <v>18</v>
      </c>
      <c r="I180" s="8"/>
      <c r="J180" s="8">
        <f t="shared" si="35"/>
        <v>0</v>
      </c>
      <c r="K180" s="8">
        <f t="shared" si="36"/>
        <v>53040</v>
      </c>
      <c r="L180" s="35">
        <f t="shared" si="37"/>
        <v>1</v>
      </c>
      <c r="N180" s="1"/>
      <c r="O180" s="5"/>
      <c r="P180" s="1"/>
      <c r="Q180" s="1"/>
      <c r="R180" s="1"/>
      <c r="S180" s="1"/>
      <c r="T180" s="2"/>
      <c r="U180" s="1"/>
      <c r="V180" s="2"/>
      <c r="W180" s="5"/>
      <c r="X180" s="2"/>
      <c r="Y180" s="2"/>
    </row>
    <row r="181" spans="1:25" ht="15.75" customHeight="1" x14ac:dyDescent="0.2">
      <c r="A181" s="13">
        <v>1</v>
      </c>
      <c r="B181" s="12" t="s">
        <v>13</v>
      </c>
      <c r="C181" s="14" t="s">
        <v>29</v>
      </c>
      <c r="D181" s="8">
        <v>52000</v>
      </c>
      <c r="E181" s="8">
        <f t="shared" si="33"/>
        <v>52000</v>
      </c>
      <c r="F181" s="8">
        <f t="shared" si="34"/>
        <v>57460</v>
      </c>
      <c r="G181" s="1"/>
      <c r="H181" s="2" t="s">
        <v>18</v>
      </c>
      <c r="I181" s="8"/>
      <c r="J181" s="8">
        <f t="shared" si="35"/>
        <v>0</v>
      </c>
      <c r="K181" s="8">
        <f t="shared" si="36"/>
        <v>57460</v>
      </c>
      <c r="L181" s="35">
        <f t="shared" si="37"/>
        <v>1</v>
      </c>
      <c r="N181" s="1"/>
      <c r="O181" s="5"/>
      <c r="P181" s="1"/>
      <c r="Q181" s="1"/>
      <c r="R181" s="1"/>
      <c r="S181" s="1"/>
      <c r="T181" s="2"/>
      <c r="U181" s="1"/>
      <c r="V181" s="2"/>
      <c r="W181" s="5"/>
      <c r="X181" s="2"/>
      <c r="Y181" s="2"/>
    </row>
    <row r="182" spans="1:25" ht="15.75" customHeight="1" x14ac:dyDescent="0.2">
      <c r="A182" s="13">
        <v>1</v>
      </c>
      <c r="B182" s="12" t="s">
        <v>13</v>
      </c>
      <c r="C182" s="14" t="s">
        <v>41</v>
      </c>
      <c r="D182" s="8">
        <v>38000</v>
      </c>
      <c r="E182" s="8">
        <f t="shared" si="33"/>
        <v>38000</v>
      </c>
      <c r="F182" s="8">
        <f t="shared" si="34"/>
        <v>41990</v>
      </c>
      <c r="G182" s="1"/>
      <c r="H182" s="2" t="s">
        <v>18</v>
      </c>
      <c r="I182" s="8"/>
      <c r="J182" s="8">
        <f t="shared" si="35"/>
        <v>0</v>
      </c>
      <c r="K182" s="8">
        <f t="shared" si="36"/>
        <v>41990</v>
      </c>
      <c r="L182" s="35">
        <f t="shared" si="37"/>
        <v>1</v>
      </c>
      <c r="N182" s="1"/>
      <c r="O182" s="5"/>
      <c r="P182" s="1"/>
      <c r="Q182" s="1"/>
      <c r="R182" s="1"/>
      <c r="S182" s="1"/>
      <c r="T182" s="2"/>
      <c r="U182" s="1"/>
      <c r="V182" s="2"/>
      <c r="W182" s="5"/>
      <c r="X182" s="2"/>
      <c r="Y182" s="2"/>
    </row>
    <row r="183" spans="1:25" ht="15.75" customHeight="1" x14ac:dyDescent="0.2">
      <c r="A183" s="1"/>
      <c r="B183" s="2"/>
      <c r="C183" s="5"/>
      <c r="D183" s="2"/>
      <c r="E183" s="2"/>
      <c r="F183" s="2"/>
      <c r="H183" s="2"/>
      <c r="I183" s="2"/>
      <c r="J183" s="2"/>
      <c r="K183" s="2"/>
      <c r="L183" s="35"/>
      <c r="N183" s="1"/>
      <c r="O183" s="5"/>
      <c r="P183" s="1"/>
      <c r="Q183" s="1"/>
      <c r="R183" s="1"/>
      <c r="S183" s="1"/>
      <c r="T183" s="2"/>
      <c r="U183" s="1"/>
      <c r="V183" s="2"/>
      <c r="W183" s="5"/>
      <c r="X183" s="2"/>
      <c r="Y183" s="2"/>
    </row>
    <row r="184" spans="1:25" ht="15.75" customHeight="1" x14ac:dyDescent="0.2">
      <c r="A184" s="1"/>
      <c r="B184" s="2"/>
      <c r="C184" s="1"/>
      <c r="D184" s="2"/>
      <c r="E184" s="8">
        <f>SUM(E178:E183)</f>
        <v>212000</v>
      </c>
      <c r="F184" s="8">
        <f>SUM(F174:F182)</f>
        <v>503880</v>
      </c>
      <c r="H184" s="2"/>
      <c r="I184" s="2"/>
      <c r="J184" s="2"/>
      <c r="K184" s="8">
        <f>SUM(K174:K182)</f>
        <v>284880</v>
      </c>
      <c r="L184" s="35">
        <f>K184/F184</f>
        <v>0.56537270778756843</v>
      </c>
      <c r="N184" s="1"/>
      <c r="O184" s="5"/>
      <c r="P184" s="1"/>
      <c r="Q184" s="1"/>
      <c r="R184" s="1"/>
      <c r="S184" s="1"/>
      <c r="T184" s="2"/>
      <c r="U184" s="1"/>
      <c r="V184" s="2"/>
      <c r="W184" s="5"/>
      <c r="X184" s="2"/>
      <c r="Y184" s="2"/>
    </row>
    <row r="185" spans="1:25" ht="15.75" customHeight="1" x14ac:dyDescent="0.2">
      <c r="A185" s="1"/>
      <c r="B185" s="1"/>
      <c r="C185" s="1"/>
      <c r="D185" s="1"/>
      <c r="E185" s="1"/>
      <c r="F185" s="1"/>
      <c r="H185" s="1"/>
      <c r="I185" s="1"/>
      <c r="J185" s="1"/>
      <c r="K185" s="1"/>
      <c r="L185" s="1"/>
      <c r="N185" s="1"/>
      <c r="O185" s="5"/>
      <c r="P185" s="1"/>
      <c r="Q185" s="1"/>
      <c r="R185" s="1"/>
      <c r="S185" s="1"/>
      <c r="T185" s="2"/>
      <c r="U185" s="1"/>
      <c r="V185" s="2"/>
      <c r="W185" s="5"/>
      <c r="X185" s="2"/>
      <c r="Y185" s="2"/>
    </row>
    <row r="186" spans="1:25" ht="15.75" customHeight="1" x14ac:dyDescent="0.2">
      <c r="A186" s="13"/>
      <c r="B186" s="12"/>
      <c r="C186" s="14"/>
      <c r="D186" s="8"/>
      <c r="E186" s="8"/>
      <c r="F186" s="8"/>
      <c r="H186" s="2"/>
      <c r="I186" s="8"/>
      <c r="J186" s="8"/>
      <c r="K186" s="8"/>
      <c r="L186" s="15"/>
      <c r="N186" s="2"/>
      <c r="O186" s="5"/>
      <c r="P186" s="2"/>
      <c r="Q186" s="2"/>
      <c r="R186" s="5"/>
      <c r="S186" s="2"/>
      <c r="T186" s="2"/>
      <c r="U186" s="1"/>
      <c r="V186" s="2"/>
      <c r="W186" s="2"/>
      <c r="X186" s="2"/>
      <c r="Y186" s="2"/>
    </row>
    <row r="187" spans="1:25" ht="15.75" customHeight="1" x14ac:dyDescent="0.2">
      <c r="A187" s="13"/>
      <c r="B187" s="12"/>
      <c r="C187" s="14"/>
      <c r="D187" s="8"/>
      <c r="E187" s="8"/>
      <c r="F187" s="8"/>
      <c r="H187" s="2"/>
      <c r="I187" s="8"/>
      <c r="J187" s="8"/>
      <c r="K187" s="8"/>
      <c r="L187" s="15"/>
      <c r="N187" s="2"/>
      <c r="O187" s="5"/>
      <c r="P187" s="2"/>
      <c r="Q187" s="2"/>
      <c r="R187" s="5"/>
      <c r="S187" s="2"/>
      <c r="T187" s="2"/>
      <c r="U187" s="1"/>
      <c r="V187" s="2"/>
      <c r="W187" s="2"/>
      <c r="X187" s="2"/>
      <c r="Y187" s="2"/>
    </row>
    <row r="188" spans="1:25" ht="15.75" customHeight="1" x14ac:dyDescent="0.2">
      <c r="A188" s="13"/>
      <c r="B188" s="12"/>
      <c r="C188" s="14"/>
      <c r="D188" s="8"/>
      <c r="E188" s="8"/>
      <c r="F188" s="8"/>
      <c r="H188" s="2"/>
      <c r="I188" s="8"/>
      <c r="J188" s="8"/>
      <c r="K188" s="8"/>
      <c r="L188" s="15"/>
      <c r="N188" s="2"/>
      <c r="O188" s="5"/>
      <c r="P188" s="2"/>
      <c r="Q188" s="2"/>
      <c r="R188" s="5"/>
      <c r="S188" s="2"/>
      <c r="T188" s="2"/>
      <c r="U188" s="1"/>
      <c r="V188" s="2"/>
      <c r="W188" s="2"/>
      <c r="X188" s="2"/>
      <c r="Y188" s="2"/>
    </row>
    <row r="189" spans="1:25" ht="21" x14ac:dyDescent="0.25">
      <c r="A189" s="19" t="s">
        <v>48</v>
      </c>
      <c r="B189" s="20">
        <f>F184+E168+E153+F118+F87+F62+F32</f>
        <v>2155618.4500000002</v>
      </c>
      <c r="C189" s="5"/>
      <c r="D189" s="2"/>
      <c r="E189" s="2"/>
      <c r="F189" s="2"/>
      <c r="G189" s="5"/>
      <c r="H189" s="5"/>
      <c r="I189" s="5"/>
      <c r="J189" s="5"/>
      <c r="K189" s="2"/>
      <c r="L189" s="3"/>
      <c r="M189" s="5"/>
      <c r="N189" s="2"/>
      <c r="O189" s="5"/>
      <c r="P189" s="2"/>
      <c r="Q189" s="2"/>
      <c r="R189" s="5"/>
      <c r="S189" s="2"/>
      <c r="T189" s="2"/>
      <c r="U189" s="1"/>
      <c r="V189" s="2"/>
      <c r="W189" s="2"/>
      <c r="X189" s="2"/>
      <c r="Y189" s="2"/>
    </row>
    <row r="190" spans="1:25" x14ac:dyDescent="0.2">
      <c r="A190" s="1"/>
      <c r="B190" s="5"/>
      <c r="C190" s="5"/>
      <c r="D190" s="2"/>
      <c r="E190" s="2"/>
      <c r="F190" s="2"/>
      <c r="G190" s="5"/>
      <c r="H190" s="5"/>
      <c r="I190" s="5"/>
      <c r="J190" s="5"/>
      <c r="K190" s="2"/>
      <c r="L190" s="3"/>
      <c r="M190" s="5"/>
      <c r="N190" s="5"/>
      <c r="O190" s="5"/>
      <c r="P190" s="5"/>
      <c r="Q190" s="2"/>
      <c r="R190" s="4"/>
      <c r="S190" s="2"/>
      <c r="T190" s="2"/>
      <c r="U190" s="1"/>
      <c r="V190" s="2"/>
      <c r="W190" s="2"/>
      <c r="X190" s="2"/>
      <c r="Y190" s="2"/>
    </row>
    <row r="191" spans="1:25" ht="21" x14ac:dyDescent="0.25">
      <c r="A191" s="19" t="s">
        <v>49</v>
      </c>
      <c r="B191" s="20">
        <f>K184+K168+K153+K118+K87+K62+K32</f>
        <v>810093.997979798</v>
      </c>
      <c r="C191" s="5"/>
      <c r="D191" s="2"/>
      <c r="E191" s="2"/>
      <c r="F191" s="2"/>
      <c r="G191" s="5"/>
      <c r="H191" s="5"/>
      <c r="I191" s="5"/>
      <c r="J191" s="5"/>
      <c r="K191" s="2"/>
      <c r="L191" s="3"/>
      <c r="M191" s="5"/>
      <c r="N191" s="5"/>
      <c r="O191" s="5"/>
      <c r="P191" s="5"/>
      <c r="Q191" s="2"/>
      <c r="R191" s="5"/>
      <c r="S191" s="2"/>
      <c r="T191" s="2"/>
      <c r="U191" s="1"/>
      <c r="V191" s="2"/>
      <c r="W191" s="2"/>
      <c r="X191" s="2"/>
      <c r="Y191" s="2"/>
    </row>
    <row r="192" spans="1:25" x14ac:dyDescent="0.2">
      <c r="A192" s="1"/>
      <c r="B192" s="5"/>
      <c r="C192" s="5"/>
      <c r="D192" s="2"/>
      <c r="E192" s="2"/>
      <c r="F192" s="2"/>
      <c r="G192" s="5"/>
      <c r="H192" s="5"/>
      <c r="I192" s="5"/>
      <c r="J192" s="5"/>
      <c r="K192" s="2"/>
      <c r="L192" s="3"/>
      <c r="M192" s="5"/>
      <c r="N192" s="5"/>
      <c r="O192" s="5"/>
      <c r="P192" s="5"/>
      <c r="Q192" s="2"/>
      <c r="R192" s="5"/>
      <c r="S192" s="2"/>
      <c r="T192" s="2"/>
      <c r="U192" s="1"/>
      <c r="V192" s="2"/>
      <c r="W192" s="2"/>
      <c r="X192" s="2"/>
      <c r="Y192" s="2"/>
    </row>
    <row r="193" spans="1:25" ht="21" x14ac:dyDescent="0.25">
      <c r="A193" s="19" t="s">
        <v>50</v>
      </c>
      <c r="B193" s="21">
        <f>B191/B189</f>
        <v>0.37580583798575207</v>
      </c>
      <c r="C193" s="5"/>
      <c r="D193" s="2"/>
      <c r="E193" s="2"/>
      <c r="F193" s="2"/>
      <c r="G193" s="5"/>
      <c r="H193" s="5"/>
      <c r="I193" s="5"/>
      <c r="J193" s="5"/>
      <c r="K193" s="2"/>
      <c r="L193" s="3"/>
      <c r="M193" s="5"/>
      <c r="N193" s="5"/>
      <c r="O193" s="5"/>
      <c r="P193" s="5"/>
      <c r="Q193" s="5"/>
      <c r="R193" s="5"/>
      <c r="S193" s="2"/>
      <c r="T193" s="2"/>
      <c r="U193" s="1"/>
      <c r="V193" s="2"/>
      <c r="W193" s="2"/>
      <c r="X193" s="5"/>
      <c r="Y193" s="5"/>
    </row>
    <row r="194" spans="1:25" ht="15.75" customHeight="1" x14ac:dyDescent="0.2">
      <c r="A194" s="1"/>
      <c r="B194" s="5"/>
      <c r="C194" s="5"/>
      <c r="D194" s="2"/>
      <c r="E194" s="2"/>
      <c r="F194" s="2"/>
      <c r="G194" s="5"/>
      <c r="H194" s="5"/>
      <c r="I194" s="5"/>
      <c r="J194" s="5"/>
      <c r="K194" s="2"/>
      <c r="L194" s="3"/>
      <c r="M194" s="5"/>
      <c r="N194" s="5"/>
      <c r="O194" s="5"/>
      <c r="P194" s="5"/>
      <c r="Q194" s="2"/>
      <c r="R194" s="4"/>
      <c r="S194" s="2"/>
      <c r="T194" s="2"/>
      <c r="U194" s="1"/>
      <c r="V194" s="2"/>
      <c r="W194" s="2"/>
      <c r="X194" s="2"/>
      <c r="Y194" s="2"/>
    </row>
    <row r="195" spans="1:25" ht="15.75" customHeight="1" x14ac:dyDescent="0.2">
      <c r="A195" s="43"/>
      <c r="B195" s="40"/>
      <c r="C195" s="2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2"/>
      <c r="R195" s="4"/>
      <c r="S195" s="2"/>
      <c r="T195" s="2"/>
      <c r="U195" s="1"/>
      <c r="V195" s="2"/>
      <c r="W195" s="2"/>
      <c r="X195" s="2"/>
      <c r="Y195" s="2"/>
    </row>
    <row r="196" spans="1:25" ht="15.75" customHeight="1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5"/>
      <c r="M196" s="5"/>
      <c r="N196" s="5"/>
      <c r="O196" s="5"/>
      <c r="P196" s="5"/>
      <c r="Q196" s="2"/>
      <c r="R196" s="5"/>
      <c r="S196" s="2"/>
      <c r="T196" s="2"/>
      <c r="U196" s="1"/>
      <c r="V196" s="2"/>
      <c r="W196" s="2"/>
      <c r="X196" s="2"/>
      <c r="Y196" s="2"/>
    </row>
    <row r="197" spans="1:25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2"/>
      <c r="R197" s="5"/>
      <c r="S197" s="2"/>
      <c r="T197" s="2"/>
      <c r="U197" s="1"/>
      <c r="V197" s="2"/>
      <c r="W197" s="2"/>
      <c r="X197" s="2"/>
      <c r="Y197" s="2"/>
    </row>
    <row r="198" spans="1:25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2"/>
      <c r="R198" s="5"/>
      <c r="S198" s="2"/>
      <c r="T198" s="2"/>
      <c r="U198" s="1"/>
      <c r="V198" s="2"/>
      <c r="W198" s="2"/>
      <c r="X198" s="2"/>
      <c r="Y198" s="2"/>
    </row>
    <row r="199" spans="1:25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2"/>
      <c r="R199" s="5"/>
      <c r="S199" s="2"/>
      <c r="T199" s="2"/>
      <c r="U199" s="39"/>
      <c r="V199" s="40"/>
      <c r="W199" s="40"/>
      <c r="X199" s="2"/>
      <c r="Y199" s="2"/>
    </row>
    <row r="200" spans="1:25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2"/>
      <c r="R200" s="5"/>
      <c r="S200" s="2"/>
      <c r="T200" s="2"/>
      <c r="U200" s="1"/>
      <c r="V200" s="2"/>
      <c r="W200" s="4"/>
      <c r="X200" s="2"/>
      <c r="Y200" s="2"/>
    </row>
    <row r="201" spans="1:25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2"/>
      <c r="R201" s="5"/>
      <c r="S201" s="2"/>
      <c r="T201" s="2"/>
      <c r="U201" s="1"/>
      <c r="V201" s="2"/>
      <c r="W201" s="2"/>
      <c r="X201" s="2"/>
      <c r="Y201" s="2"/>
    </row>
    <row r="202" spans="1:25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2"/>
      <c r="R202" s="5"/>
      <c r="S202" s="2"/>
      <c r="T202" s="2"/>
      <c r="U202" s="1"/>
      <c r="V202" s="2"/>
      <c r="W202" s="2"/>
      <c r="X202" s="2"/>
      <c r="Y202" s="2"/>
    </row>
    <row r="203" spans="1:25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2"/>
      <c r="R203" s="5"/>
      <c r="S203" s="2"/>
      <c r="T203" s="2"/>
      <c r="U203" s="1"/>
      <c r="V203" s="2"/>
      <c r="W203" s="2"/>
      <c r="X203" s="2"/>
      <c r="Y203" s="2"/>
    </row>
    <row r="204" spans="1:25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2"/>
      <c r="R204" s="5"/>
      <c r="S204" s="2"/>
      <c r="T204" s="2"/>
      <c r="U204" s="1"/>
      <c r="V204" s="2"/>
      <c r="W204" s="2"/>
      <c r="X204" s="2"/>
      <c r="Y204" s="2"/>
    </row>
    <row r="205" spans="1:25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2"/>
      <c r="R205" s="5"/>
      <c r="S205" s="2"/>
      <c r="T205" s="2"/>
      <c r="U205" s="1"/>
      <c r="V205" s="2"/>
      <c r="W205" s="2"/>
      <c r="X205" s="2"/>
      <c r="Y205" s="2"/>
    </row>
    <row r="206" spans="1:25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2"/>
      <c r="R206" s="5"/>
      <c r="S206" s="2"/>
      <c r="T206" s="2"/>
      <c r="U206" s="1"/>
      <c r="V206" s="2"/>
      <c r="W206" s="2"/>
      <c r="X206" s="2"/>
      <c r="Y206" s="2"/>
    </row>
    <row r="207" spans="1:25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2"/>
      <c r="R207" s="5"/>
      <c r="S207" s="2"/>
      <c r="T207" s="2"/>
      <c r="U207" s="1"/>
      <c r="V207" s="2"/>
      <c r="W207" s="2"/>
      <c r="X207" s="2"/>
      <c r="Y207" s="2"/>
    </row>
    <row r="208" spans="1:25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2"/>
      <c r="R208" s="5"/>
      <c r="S208" s="2"/>
      <c r="T208" s="2"/>
      <c r="U208" s="1"/>
      <c r="V208" s="2"/>
      <c r="W208" s="2"/>
      <c r="X208" s="2"/>
      <c r="Y208" s="2"/>
    </row>
    <row r="209" spans="1:25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2"/>
      <c r="R209" s="5"/>
      <c r="S209" s="2"/>
      <c r="T209" s="2"/>
      <c r="U209" s="1"/>
      <c r="V209" s="2"/>
      <c r="W209" s="2"/>
      <c r="X209" s="2"/>
      <c r="Y209" s="2"/>
    </row>
    <row r="210" spans="1:25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2"/>
      <c r="R210" s="5"/>
      <c r="S210" s="2"/>
      <c r="T210" s="2"/>
      <c r="U210" s="1"/>
      <c r="V210" s="2"/>
      <c r="W210" s="2"/>
      <c r="X210" s="2"/>
      <c r="Y210" s="2"/>
    </row>
    <row r="211" spans="1:25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2"/>
      <c r="R211" s="5"/>
      <c r="S211" s="2"/>
      <c r="T211" s="2"/>
      <c r="U211" s="1"/>
      <c r="V211" s="2"/>
      <c r="W211" s="2"/>
      <c r="X211" s="2"/>
      <c r="Y211" s="2"/>
    </row>
    <row r="212" spans="1:25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2"/>
      <c r="R212" s="5"/>
      <c r="S212" s="2"/>
      <c r="T212" s="2"/>
      <c r="U212" s="1"/>
      <c r="V212" s="2"/>
      <c r="W212" s="2"/>
      <c r="X212" s="2"/>
      <c r="Y212" s="2"/>
    </row>
    <row r="213" spans="1:25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2"/>
      <c r="R213" s="5"/>
      <c r="S213" s="2"/>
      <c r="T213" s="2"/>
      <c r="U213" s="1"/>
      <c r="V213" s="2"/>
      <c r="W213" s="2"/>
      <c r="X213" s="2"/>
      <c r="Y213" s="2"/>
    </row>
    <row r="214" spans="1:25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2"/>
      <c r="R214" s="5"/>
      <c r="S214" s="2"/>
      <c r="T214" s="2"/>
      <c r="U214" s="1"/>
      <c r="V214" s="2"/>
      <c r="W214" s="2"/>
      <c r="X214" s="2"/>
      <c r="Y214" s="2"/>
    </row>
    <row r="215" spans="1:25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2"/>
      <c r="R215" s="5"/>
      <c r="S215" s="2"/>
      <c r="T215" s="2"/>
      <c r="U215" s="1"/>
      <c r="V215" s="2"/>
      <c r="W215" s="2"/>
      <c r="X215" s="2"/>
      <c r="Y215" s="2"/>
    </row>
    <row r="216" spans="1:25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2"/>
      <c r="R216" s="5"/>
      <c r="S216" s="2"/>
      <c r="T216" s="2"/>
      <c r="U216" s="1"/>
      <c r="V216" s="2"/>
      <c r="W216" s="2"/>
      <c r="X216" s="2"/>
      <c r="Y216" s="2"/>
    </row>
    <row r="217" spans="1:25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2"/>
      <c r="R217" s="5"/>
      <c r="S217" s="2"/>
      <c r="T217" s="2"/>
      <c r="U217" s="1"/>
      <c r="V217" s="2"/>
      <c r="W217" s="2"/>
      <c r="X217" s="2"/>
      <c r="Y217" s="2"/>
    </row>
    <row r="218" spans="1:25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2"/>
      <c r="R218" s="5"/>
      <c r="S218" s="2"/>
      <c r="T218" s="2"/>
      <c r="U218" s="1"/>
      <c r="V218" s="2"/>
      <c r="W218" s="2"/>
      <c r="X218" s="2"/>
      <c r="Y218" s="2"/>
    </row>
    <row r="219" spans="1:25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2"/>
      <c r="R219" s="5"/>
      <c r="S219" s="2"/>
      <c r="T219" s="2"/>
      <c r="U219" s="1"/>
      <c r="V219" s="2"/>
      <c r="W219" s="2"/>
      <c r="X219" s="2"/>
      <c r="Y219" s="2"/>
    </row>
    <row r="220" spans="1:25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2"/>
      <c r="R220" s="5"/>
      <c r="S220" s="2"/>
      <c r="T220" s="2"/>
      <c r="U220" s="1"/>
      <c r="V220" s="2"/>
      <c r="W220" s="2"/>
      <c r="X220" s="2"/>
      <c r="Y220" s="2"/>
    </row>
    <row r="221" spans="1:25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2"/>
      <c r="R221" s="4"/>
      <c r="S221" s="2"/>
      <c r="T221" s="2"/>
      <c r="U221" s="1"/>
      <c r="V221" s="2"/>
      <c r="W221" s="2"/>
      <c r="X221" s="2"/>
      <c r="Y221" s="2"/>
    </row>
    <row r="222" spans="1:25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2"/>
      <c r="R222" s="4"/>
      <c r="S222" s="2"/>
      <c r="T222" s="2"/>
      <c r="U222" s="1"/>
      <c r="V222" s="2"/>
      <c r="W222" s="2"/>
      <c r="X222" s="2"/>
      <c r="Y222" s="2"/>
    </row>
    <row r="223" spans="1:25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2"/>
      <c r="R223" s="4"/>
      <c r="S223" s="2"/>
      <c r="T223" s="2"/>
      <c r="U223" s="1"/>
      <c r="V223" s="2"/>
      <c r="W223" s="2"/>
      <c r="X223" s="2"/>
      <c r="Y223" s="2"/>
    </row>
    <row r="224" spans="1:25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2"/>
      <c r="R224" s="5"/>
      <c r="S224" s="2"/>
      <c r="T224" s="2"/>
      <c r="U224" s="1"/>
      <c r="V224" s="2"/>
      <c r="W224" s="2"/>
      <c r="X224" s="2"/>
      <c r="Y224" s="2"/>
    </row>
    <row r="225" spans="1:25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2"/>
      <c r="R225" s="5"/>
      <c r="S225" s="2"/>
      <c r="T225" s="2"/>
      <c r="U225" s="1"/>
      <c r="V225" s="2"/>
      <c r="W225" s="2"/>
      <c r="X225" s="2"/>
      <c r="Y225" s="2"/>
    </row>
    <row r="226" spans="1:25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2"/>
      <c r="R226" s="5"/>
      <c r="S226" s="2"/>
      <c r="T226" s="2"/>
      <c r="U226" s="1"/>
      <c r="V226" s="2"/>
      <c r="W226" s="2"/>
      <c r="X226" s="2"/>
      <c r="Y226" s="2"/>
    </row>
    <row r="227" spans="1:25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2"/>
      <c r="R227" s="4"/>
      <c r="S227" s="2"/>
      <c r="T227" s="2"/>
      <c r="U227" s="1"/>
      <c r="V227" s="2"/>
      <c r="W227" s="2"/>
      <c r="X227" s="2"/>
      <c r="Y227" s="2"/>
    </row>
    <row r="228" spans="1:25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2"/>
      <c r="R228" s="4"/>
      <c r="S228" s="2"/>
      <c r="T228" s="2"/>
      <c r="U228" s="1"/>
      <c r="V228" s="2"/>
      <c r="W228" s="2"/>
      <c r="X228" s="2"/>
      <c r="Y228" s="2"/>
    </row>
    <row r="229" spans="1:25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2"/>
      <c r="R229" s="5"/>
      <c r="S229" s="2"/>
      <c r="T229" s="2"/>
      <c r="U229" s="1"/>
      <c r="V229" s="2"/>
      <c r="W229" s="2"/>
      <c r="X229" s="2"/>
      <c r="Y229" s="2"/>
    </row>
    <row r="230" spans="1:25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2"/>
      <c r="R230" s="5"/>
      <c r="S230" s="2"/>
      <c r="T230" s="2"/>
      <c r="U230" s="1"/>
      <c r="V230" s="2"/>
      <c r="W230" s="2"/>
      <c r="X230" s="2"/>
      <c r="Y230" s="2"/>
    </row>
    <row r="231" spans="1:25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2"/>
      <c r="R231" s="5"/>
      <c r="S231" s="2"/>
      <c r="T231" s="2"/>
      <c r="U231" s="1"/>
      <c r="V231" s="2"/>
      <c r="W231" s="2"/>
      <c r="X231" s="2"/>
      <c r="Y231" s="2"/>
    </row>
    <row r="232" spans="1:25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2"/>
      <c r="R232" s="5"/>
      <c r="S232" s="2"/>
      <c r="T232" s="2"/>
      <c r="U232" s="1"/>
      <c r="V232" s="2"/>
      <c r="W232" s="2"/>
      <c r="X232" s="2"/>
      <c r="Y232" s="2"/>
    </row>
    <row r="233" spans="1:25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2"/>
      <c r="R233" s="5"/>
      <c r="S233" s="2"/>
      <c r="T233" s="2"/>
      <c r="U233" s="1"/>
      <c r="V233" s="2"/>
      <c r="W233" s="2"/>
      <c r="X233" s="2"/>
      <c r="Y233" s="2"/>
    </row>
    <row r="234" spans="1:25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2"/>
      <c r="R234" s="5"/>
      <c r="S234" s="2"/>
      <c r="T234" s="2"/>
      <c r="U234" s="1"/>
      <c r="V234" s="2"/>
      <c r="W234" s="2"/>
      <c r="X234" s="2"/>
      <c r="Y234" s="2"/>
    </row>
    <row r="235" spans="1:25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2"/>
      <c r="R235" s="5"/>
      <c r="S235" s="2"/>
      <c r="T235" s="2"/>
      <c r="U235" s="1"/>
      <c r="V235" s="2"/>
      <c r="W235" s="2"/>
      <c r="X235" s="2"/>
      <c r="Y235" s="2"/>
    </row>
    <row r="236" spans="1:25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2"/>
      <c r="R236" s="5"/>
      <c r="S236" s="2"/>
      <c r="T236" s="2"/>
      <c r="U236" s="1"/>
      <c r="V236" s="2"/>
      <c r="W236" s="2"/>
      <c r="X236" s="2"/>
      <c r="Y236" s="2"/>
    </row>
    <row r="237" spans="1:25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2"/>
      <c r="R237" s="5"/>
      <c r="S237" s="2"/>
      <c r="T237" s="2"/>
      <c r="U237" s="1"/>
      <c r="V237" s="2"/>
      <c r="W237" s="2"/>
      <c r="X237" s="2"/>
      <c r="Y237" s="2"/>
    </row>
    <row r="238" spans="1:25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2"/>
      <c r="R238" s="5"/>
      <c r="S238" s="2"/>
      <c r="T238" s="2"/>
      <c r="U238" s="1"/>
      <c r="V238" s="2"/>
      <c r="W238" s="2"/>
      <c r="X238" s="2"/>
      <c r="Y238" s="2"/>
    </row>
    <row r="239" spans="1:25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2"/>
      <c r="R239" s="5"/>
      <c r="S239" s="2"/>
      <c r="T239" s="2"/>
      <c r="U239" s="1"/>
      <c r="V239" s="2"/>
      <c r="W239" s="2"/>
      <c r="X239" s="2"/>
      <c r="Y239" s="2"/>
    </row>
    <row r="240" spans="1:25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2"/>
      <c r="R240" s="5"/>
      <c r="S240" s="2"/>
      <c r="T240" s="2"/>
      <c r="U240" s="1"/>
      <c r="V240" s="2"/>
      <c r="W240" s="2"/>
      <c r="X240" s="2"/>
      <c r="Y240" s="2"/>
    </row>
    <row r="241" spans="1:25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2"/>
      <c r="R241" s="5"/>
      <c r="S241" s="2"/>
      <c r="T241" s="2"/>
      <c r="U241" s="1"/>
      <c r="V241" s="2"/>
      <c r="W241" s="2"/>
      <c r="X241" s="2"/>
      <c r="Y241" s="2"/>
    </row>
    <row r="242" spans="1:25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2"/>
      <c r="R242" s="5"/>
      <c r="S242" s="2"/>
      <c r="T242" s="2"/>
      <c r="U242" s="1"/>
      <c r="V242" s="2"/>
      <c r="W242" s="2"/>
      <c r="X242" s="2"/>
      <c r="Y242" s="2"/>
    </row>
    <row r="243" spans="1:25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2"/>
      <c r="R243" s="5"/>
      <c r="S243" s="2"/>
      <c r="T243" s="2"/>
      <c r="U243" s="1"/>
      <c r="V243" s="2"/>
      <c r="W243" s="2"/>
      <c r="X243" s="2"/>
      <c r="Y243" s="2"/>
    </row>
    <row r="244" spans="1:25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2"/>
      <c r="R244" s="5"/>
      <c r="S244" s="2"/>
      <c r="T244" s="2"/>
      <c r="U244" s="1"/>
      <c r="V244" s="2"/>
      <c r="W244" s="2"/>
      <c r="X244" s="2"/>
      <c r="Y244" s="2"/>
    </row>
    <row r="245" spans="1:25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2"/>
      <c r="R245" s="5"/>
      <c r="S245" s="2"/>
      <c r="T245" s="2"/>
      <c r="U245" s="1"/>
      <c r="V245" s="2"/>
      <c r="W245" s="2"/>
      <c r="X245" s="2"/>
      <c r="Y245" s="2"/>
    </row>
    <row r="246" spans="1:25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2"/>
      <c r="R246" s="4"/>
      <c r="S246" s="2"/>
      <c r="T246" s="2"/>
      <c r="U246" s="1"/>
      <c r="V246" s="2"/>
      <c r="W246" s="2"/>
      <c r="X246" s="2"/>
      <c r="Y246" s="2"/>
    </row>
    <row r="247" spans="1:25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2"/>
      <c r="R247" s="5"/>
      <c r="S247" s="2"/>
      <c r="T247" s="2"/>
      <c r="U247" s="1"/>
      <c r="V247" s="2"/>
      <c r="W247" s="2"/>
      <c r="X247" s="2"/>
      <c r="Y247" s="2"/>
    </row>
    <row r="248" spans="1:25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2"/>
      <c r="R248" s="5"/>
      <c r="S248" s="2"/>
      <c r="T248" s="2"/>
      <c r="U248" s="1"/>
      <c r="V248" s="2"/>
      <c r="W248" s="2"/>
      <c r="X248" s="2"/>
      <c r="Y248" s="2"/>
    </row>
    <row r="249" spans="1:25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2"/>
      <c r="R249" s="5"/>
      <c r="S249" s="2"/>
      <c r="T249" s="2"/>
      <c r="U249" s="1"/>
      <c r="V249" s="2"/>
      <c r="W249" s="2"/>
      <c r="X249" s="2"/>
      <c r="Y249" s="2"/>
    </row>
    <row r="250" spans="1:25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2"/>
      <c r="R250" s="4"/>
      <c r="S250" s="2"/>
      <c r="T250" s="2"/>
      <c r="U250" s="1"/>
      <c r="V250" s="2"/>
      <c r="W250" s="2"/>
      <c r="X250" s="2"/>
      <c r="Y250" s="2"/>
    </row>
    <row r="251" spans="1:25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2"/>
      <c r="R251" s="4"/>
      <c r="S251" s="2"/>
      <c r="T251" s="2"/>
      <c r="U251" s="1"/>
      <c r="V251" s="2"/>
      <c r="W251" s="2"/>
      <c r="X251" s="2"/>
      <c r="Y251" s="2"/>
    </row>
    <row r="252" spans="1:25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2"/>
      <c r="R252" s="5"/>
      <c r="S252" s="2"/>
      <c r="T252" s="2"/>
      <c r="U252" s="39"/>
      <c r="V252" s="40"/>
      <c r="W252" s="40"/>
      <c r="X252" s="2"/>
      <c r="Y252" s="2"/>
    </row>
    <row r="253" spans="1:25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2"/>
      <c r="R253" s="5"/>
      <c r="S253" s="2"/>
      <c r="T253" s="2"/>
      <c r="U253" s="1"/>
      <c r="V253" s="2"/>
      <c r="W253" s="4"/>
      <c r="X253" s="2"/>
      <c r="Y253" s="2"/>
    </row>
    <row r="254" spans="1:25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2"/>
      <c r="R254" s="5"/>
      <c r="S254" s="2"/>
      <c r="T254" s="2"/>
      <c r="U254" s="1"/>
      <c r="V254" s="2"/>
      <c r="W254" s="4"/>
      <c r="X254" s="2"/>
      <c r="Y254" s="2"/>
    </row>
    <row r="255" spans="1:25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2"/>
      <c r="R255" s="5"/>
      <c r="S255" s="2"/>
      <c r="T255" s="2"/>
      <c r="U255" s="1"/>
      <c r="V255" s="2"/>
      <c r="W255" s="2"/>
      <c r="X255" s="2"/>
      <c r="Y255" s="2"/>
    </row>
    <row r="256" spans="1:25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2"/>
      <c r="R256" s="5"/>
      <c r="S256" s="2"/>
      <c r="T256" s="2"/>
      <c r="U256" s="1"/>
      <c r="V256" s="2"/>
      <c r="W256" s="2"/>
      <c r="X256" s="2"/>
      <c r="Y256" s="2"/>
    </row>
    <row r="257" spans="1:25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2"/>
      <c r="R257" s="5"/>
      <c r="S257" s="2"/>
      <c r="T257" s="2"/>
      <c r="U257" s="1"/>
      <c r="V257" s="2"/>
      <c r="W257" s="2"/>
      <c r="X257" s="2"/>
      <c r="Y257" s="2"/>
    </row>
    <row r="258" spans="1:25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2"/>
      <c r="R258" s="5"/>
      <c r="S258" s="2"/>
      <c r="T258" s="2"/>
      <c r="U258" s="1"/>
      <c r="V258" s="2"/>
      <c r="W258" s="2"/>
      <c r="X258" s="2"/>
      <c r="Y258" s="2"/>
    </row>
    <row r="259" spans="1:25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2"/>
      <c r="R259" s="5"/>
      <c r="S259" s="2"/>
      <c r="T259" s="2"/>
      <c r="U259" s="1"/>
      <c r="V259" s="2"/>
      <c r="W259" s="2"/>
      <c r="X259" s="2"/>
      <c r="Y259" s="2"/>
    </row>
    <row r="260" spans="1:25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2"/>
      <c r="R260" s="5"/>
      <c r="S260" s="2"/>
      <c r="T260" s="2"/>
      <c r="U260" s="1"/>
      <c r="V260" s="2"/>
      <c r="W260" s="2"/>
      <c r="X260" s="2"/>
      <c r="Y260" s="2"/>
    </row>
    <row r="261" spans="1:25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2"/>
      <c r="R261" s="5"/>
      <c r="S261" s="2"/>
      <c r="T261" s="2"/>
      <c r="U261" s="1"/>
      <c r="V261" s="2"/>
      <c r="W261" s="2"/>
      <c r="X261" s="2"/>
      <c r="Y261" s="2"/>
    </row>
    <row r="262" spans="1:25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2"/>
      <c r="R262" s="5"/>
      <c r="S262" s="2"/>
      <c r="T262" s="2"/>
      <c r="U262" s="1"/>
      <c r="V262" s="2"/>
      <c r="W262" s="2"/>
      <c r="X262" s="2"/>
      <c r="Y262" s="2"/>
    </row>
    <row r="263" spans="1:25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2"/>
      <c r="R263" s="5"/>
      <c r="S263" s="2"/>
      <c r="T263" s="2"/>
      <c r="U263" s="1"/>
      <c r="V263" s="2"/>
      <c r="W263" s="2"/>
      <c r="X263" s="2"/>
      <c r="Y263" s="2"/>
    </row>
    <row r="264" spans="1:25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2"/>
      <c r="R264" s="5"/>
      <c r="S264" s="2"/>
      <c r="T264" s="2"/>
      <c r="U264" s="1"/>
      <c r="V264" s="2"/>
      <c r="W264" s="2"/>
      <c r="X264" s="2"/>
      <c r="Y264" s="2"/>
    </row>
    <row r="265" spans="1:25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2"/>
      <c r="R265" s="5"/>
      <c r="S265" s="2"/>
      <c r="T265" s="2"/>
      <c r="U265" s="1"/>
      <c r="V265" s="2"/>
      <c r="W265" s="2"/>
      <c r="X265" s="2"/>
      <c r="Y265" s="2"/>
    </row>
    <row r="266" spans="1:25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2"/>
      <c r="R266" s="5"/>
      <c r="S266" s="2"/>
      <c r="T266" s="2"/>
      <c r="U266" s="1"/>
      <c r="V266" s="2"/>
      <c r="W266" s="2"/>
      <c r="X266" s="2"/>
      <c r="Y266" s="2"/>
    </row>
    <row r="267" spans="1:25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2"/>
      <c r="R267" s="5"/>
      <c r="S267" s="2"/>
      <c r="T267" s="2"/>
      <c r="U267" s="1"/>
      <c r="V267" s="2"/>
      <c r="W267" s="2"/>
      <c r="X267" s="2"/>
      <c r="Y267" s="2"/>
    </row>
    <row r="268" spans="1:25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2"/>
      <c r="R268" s="5"/>
      <c r="S268" s="2"/>
      <c r="T268" s="2"/>
      <c r="U268" s="1"/>
      <c r="V268" s="2"/>
      <c r="W268" s="2"/>
      <c r="X268" s="2"/>
      <c r="Y268" s="2"/>
    </row>
    <row r="269" spans="1:25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2"/>
      <c r="R269" s="5"/>
      <c r="S269" s="2"/>
      <c r="T269" s="2"/>
      <c r="U269" s="1"/>
      <c r="V269" s="2"/>
      <c r="W269" s="2"/>
      <c r="X269" s="2"/>
      <c r="Y269" s="2"/>
    </row>
    <row r="270" spans="1:25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2"/>
      <c r="R270" s="5"/>
      <c r="S270" s="2"/>
      <c r="T270" s="2"/>
      <c r="U270" s="1"/>
      <c r="V270" s="2"/>
      <c r="W270" s="2"/>
      <c r="X270" s="2"/>
      <c r="Y270" s="2"/>
    </row>
    <row r="271" spans="1:25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2"/>
      <c r="R271" s="5"/>
      <c r="S271" s="2"/>
      <c r="T271" s="2"/>
      <c r="U271" s="1"/>
      <c r="V271" s="2"/>
      <c r="W271" s="2"/>
      <c r="X271" s="2"/>
      <c r="Y271" s="2"/>
    </row>
    <row r="272" spans="1:25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2"/>
      <c r="R272" s="5"/>
      <c r="S272" s="2"/>
      <c r="T272" s="2"/>
      <c r="U272" s="1"/>
      <c r="V272" s="2"/>
      <c r="W272" s="2"/>
      <c r="X272" s="2"/>
      <c r="Y272" s="2"/>
    </row>
    <row r="273" spans="1:25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2"/>
      <c r="R273" s="5"/>
      <c r="S273" s="2"/>
      <c r="T273" s="2"/>
      <c r="U273" s="1"/>
      <c r="V273" s="2"/>
      <c r="W273" s="2"/>
      <c r="X273" s="2"/>
      <c r="Y273" s="2"/>
    </row>
    <row r="274" spans="1:25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2"/>
      <c r="R274" s="4"/>
      <c r="S274" s="2"/>
      <c r="T274" s="2"/>
      <c r="U274" s="1"/>
      <c r="V274" s="2"/>
      <c r="W274" s="2"/>
      <c r="X274" s="2"/>
      <c r="Y274" s="2"/>
    </row>
    <row r="275" spans="1:25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2"/>
      <c r="R275" s="5"/>
      <c r="S275" s="2"/>
      <c r="T275" s="2"/>
      <c r="U275" s="1"/>
      <c r="V275" s="2"/>
      <c r="W275" s="2"/>
      <c r="X275" s="2"/>
      <c r="Y275" s="2"/>
    </row>
    <row r="276" spans="1:25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2"/>
      <c r="R276" s="5"/>
      <c r="S276" s="2"/>
      <c r="T276" s="2"/>
      <c r="U276" s="1"/>
      <c r="V276" s="2"/>
      <c r="W276" s="2"/>
      <c r="X276" s="2"/>
      <c r="Y276" s="2"/>
    </row>
    <row r="277" spans="1:25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2"/>
      <c r="R277" s="5"/>
      <c r="S277" s="2"/>
      <c r="T277" s="2"/>
      <c r="U277" s="1"/>
      <c r="V277" s="2"/>
      <c r="W277" s="2"/>
      <c r="X277" s="2"/>
      <c r="Y277" s="2"/>
    </row>
    <row r="278" spans="1:25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2"/>
      <c r="R278" s="4"/>
      <c r="S278" s="2"/>
      <c r="T278" s="2"/>
      <c r="U278" s="1"/>
      <c r="V278" s="2"/>
      <c r="W278" s="2"/>
      <c r="X278" s="2"/>
      <c r="Y278" s="2"/>
    </row>
    <row r="279" spans="1:25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2"/>
      <c r="R279" s="4"/>
      <c r="S279" s="2"/>
      <c r="T279" s="2"/>
      <c r="U279" s="1"/>
      <c r="V279" s="2"/>
      <c r="W279" s="2"/>
      <c r="X279" s="2"/>
      <c r="Y279" s="2"/>
    </row>
    <row r="280" spans="1:25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2"/>
      <c r="R280" s="5"/>
      <c r="S280" s="2"/>
      <c r="T280" s="2"/>
      <c r="U280" s="1"/>
      <c r="V280" s="2"/>
      <c r="W280" s="2"/>
      <c r="X280" s="2"/>
      <c r="Y280" s="2"/>
    </row>
    <row r="281" spans="1:25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2"/>
      <c r="R281" s="5"/>
      <c r="S281" s="2"/>
      <c r="T281" s="2"/>
      <c r="U281" s="1"/>
      <c r="V281" s="2"/>
      <c r="W281" s="2"/>
      <c r="X281" s="2"/>
      <c r="Y281" s="2"/>
    </row>
    <row r="282" spans="1:25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2"/>
      <c r="R282" s="5"/>
      <c r="S282" s="2"/>
      <c r="T282" s="2"/>
      <c r="U282" s="1"/>
      <c r="V282" s="2"/>
      <c r="W282" s="2"/>
      <c r="X282" s="2"/>
      <c r="Y282" s="2"/>
    </row>
    <row r="283" spans="1:25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2"/>
      <c r="R283" s="5"/>
      <c r="S283" s="2"/>
      <c r="T283" s="2"/>
      <c r="U283" s="1"/>
      <c r="V283" s="2"/>
      <c r="W283" s="2"/>
      <c r="X283" s="2"/>
      <c r="Y283" s="2"/>
    </row>
    <row r="284" spans="1:25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2"/>
      <c r="R284" s="5"/>
      <c r="S284" s="2"/>
      <c r="T284" s="2"/>
      <c r="U284" s="1"/>
      <c r="V284" s="2"/>
      <c r="W284" s="2"/>
      <c r="X284" s="2"/>
      <c r="Y284" s="2"/>
    </row>
    <row r="285" spans="1:25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2"/>
      <c r="R285" s="5"/>
      <c r="S285" s="2"/>
      <c r="T285" s="2"/>
      <c r="U285" s="1"/>
      <c r="V285" s="2"/>
      <c r="W285" s="2"/>
      <c r="X285" s="2"/>
      <c r="Y285" s="2"/>
    </row>
    <row r="286" spans="1:25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2"/>
      <c r="R286" s="5"/>
      <c r="S286" s="2"/>
      <c r="T286" s="2"/>
      <c r="U286" s="1"/>
      <c r="V286" s="2"/>
      <c r="W286" s="2"/>
      <c r="X286" s="2"/>
      <c r="Y286" s="2"/>
    </row>
    <row r="287" spans="1:25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2"/>
      <c r="R287" s="5"/>
      <c r="S287" s="2"/>
      <c r="T287" s="2"/>
      <c r="U287" s="39"/>
      <c r="V287" s="40"/>
      <c r="W287" s="40"/>
      <c r="X287" s="2"/>
      <c r="Y287" s="2"/>
    </row>
    <row r="288" spans="1:25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2"/>
      <c r="R288" s="5"/>
      <c r="S288" s="2"/>
      <c r="T288" s="2"/>
      <c r="U288" s="1"/>
      <c r="V288" s="2"/>
      <c r="W288" s="4"/>
      <c r="X288" s="2"/>
      <c r="Y288" s="2"/>
    </row>
    <row r="289" spans="1:25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2"/>
      <c r="R289" s="5"/>
      <c r="S289" s="2"/>
      <c r="T289" s="2"/>
      <c r="U289" s="1"/>
      <c r="V289" s="2"/>
      <c r="W289" s="4"/>
      <c r="X289" s="2"/>
      <c r="Y289" s="2"/>
    </row>
    <row r="290" spans="1:25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2"/>
      <c r="R290" s="5"/>
      <c r="S290" s="2"/>
      <c r="T290" s="2"/>
      <c r="U290" s="1"/>
      <c r="V290" s="2"/>
      <c r="W290" s="2"/>
      <c r="X290" s="2"/>
      <c r="Y290" s="2"/>
    </row>
    <row r="291" spans="1:25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2"/>
      <c r="R291" s="5"/>
      <c r="S291" s="2"/>
      <c r="T291" s="2"/>
      <c r="U291" s="1"/>
      <c r="V291" s="2"/>
      <c r="W291" s="2"/>
      <c r="X291" s="2"/>
      <c r="Y291" s="2"/>
    </row>
    <row r="292" spans="1:25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2"/>
      <c r="R292" s="4"/>
      <c r="S292" s="2"/>
      <c r="T292" s="2"/>
      <c r="U292" s="1"/>
      <c r="V292" s="2"/>
      <c r="W292" s="2"/>
      <c r="X292" s="2"/>
      <c r="Y292" s="2"/>
    </row>
    <row r="293" spans="1:25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2"/>
      <c r="R293" s="5"/>
      <c r="S293" s="2"/>
      <c r="T293" s="2"/>
      <c r="U293" s="1"/>
      <c r="V293" s="2"/>
      <c r="W293" s="2"/>
      <c r="X293" s="2"/>
      <c r="Y293" s="2"/>
    </row>
    <row r="294" spans="1:25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2"/>
      <c r="R294" s="5"/>
      <c r="S294" s="2"/>
      <c r="T294" s="2"/>
      <c r="U294" s="1"/>
      <c r="V294" s="2"/>
      <c r="W294" s="2"/>
      <c r="X294" s="2"/>
      <c r="Y294" s="2"/>
    </row>
    <row r="295" spans="1:25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2"/>
      <c r="R295" s="5"/>
      <c r="S295" s="2"/>
      <c r="T295" s="2"/>
      <c r="U295" s="1"/>
      <c r="V295" s="2"/>
      <c r="W295" s="2"/>
      <c r="X295" s="2"/>
      <c r="Y295" s="2"/>
    </row>
    <row r="296" spans="1:25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2"/>
      <c r="R296" s="4"/>
      <c r="S296" s="2"/>
      <c r="T296" s="2"/>
      <c r="U296" s="1"/>
      <c r="V296" s="2"/>
      <c r="W296" s="2"/>
      <c r="X296" s="2"/>
      <c r="Y296" s="2"/>
    </row>
    <row r="297" spans="1:25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2"/>
      <c r="R297" s="4"/>
      <c r="S297" s="2"/>
      <c r="T297" s="2"/>
      <c r="U297" s="1"/>
      <c r="V297" s="2"/>
      <c r="W297" s="2"/>
      <c r="X297" s="2"/>
      <c r="Y297" s="2"/>
    </row>
    <row r="298" spans="1:25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2"/>
      <c r="R298" s="5"/>
      <c r="S298" s="2"/>
      <c r="T298" s="2"/>
      <c r="U298" s="1"/>
      <c r="V298" s="2"/>
      <c r="W298" s="2"/>
      <c r="X298" s="2"/>
      <c r="Y298" s="2"/>
    </row>
    <row r="299" spans="1:25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2"/>
      <c r="R299" s="5"/>
      <c r="S299" s="2"/>
      <c r="T299" s="2"/>
      <c r="U299" s="1"/>
      <c r="V299" s="2"/>
      <c r="W299" s="2"/>
      <c r="X299" s="2"/>
      <c r="Y299" s="2"/>
    </row>
    <row r="300" spans="1:25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2"/>
      <c r="R300" s="5"/>
      <c r="S300" s="2"/>
      <c r="T300" s="2"/>
      <c r="U300" s="1"/>
      <c r="V300" s="2"/>
      <c r="W300" s="2"/>
      <c r="X300" s="2"/>
      <c r="Y300" s="2"/>
    </row>
    <row r="301" spans="1:25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2"/>
      <c r="R301" s="5"/>
      <c r="S301" s="2"/>
      <c r="T301" s="2"/>
      <c r="U301" s="1"/>
      <c r="V301" s="2"/>
      <c r="W301" s="2"/>
      <c r="X301" s="2"/>
      <c r="Y301" s="2"/>
    </row>
    <row r="302" spans="1:25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2"/>
      <c r="R302" s="5"/>
      <c r="S302" s="2"/>
      <c r="T302" s="2"/>
      <c r="U302" s="1"/>
      <c r="V302" s="2"/>
      <c r="W302" s="2"/>
      <c r="X302" s="2"/>
      <c r="Y302" s="2"/>
    </row>
    <row r="303" spans="1:25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2"/>
      <c r="R303" s="5"/>
      <c r="S303" s="2"/>
      <c r="T303" s="2"/>
      <c r="U303" s="1"/>
      <c r="V303" s="2"/>
      <c r="W303" s="2"/>
      <c r="X303" s="2"/>
      <c r="Y303" s="2"/>
    </row>
    <row r="304" spans="1:25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2"/>
      <c r="R304" s="5"/>
      <c r="S304" s="2"/>
      <c r="T304" s="2"/>
      <c r="U304" s="1"/>
      <c r="V304" s="2"/>
      <c r="W304" s="2"/>
      <c r="X304" s="2"/>
      <c r="Y304" s="2"/>
    </row>
    <row r="305" spans="1:25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2"/>
      <c r="R305" s="5"/>
      <c r="S305" s="2"/>
      <c r="T305" s="2"/>
      <c r="U305" s="1"/>
      <c r="V305" s="2"/>
      <c r="W305" s="2"/>
      <c r="X305" s="2"/>
      <c r="Y305" s="2"/>
    </row>
    <row r="306" spans="1:25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2"/>
      <c r="R306" s="5"/>
      <c r="S306" s="2"/>
      <c r="T306" s="2"/>
      <c r="U306" s="1"/>
      <c r="V306" s="2"/>
      <c r="W306" s="2"/>
      <c r="X306" s="2"/>
      <c r="Y306" s="2"/>
    </row>
    <row r="307" spans="1:25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2"/>
      <c r="R307" s="4"/>
      <c r="S307" s="2"/>
      <c r="T307" s="2"/>
      <c r="U307" s="1"/>
      <c r="V307" s="2"/>
      <c r="W307" s="2"/>
      <c r="X307" s="2"/>
      <c r="Y307" s="2"/>
    </row>
    <row r="308" spans="1:25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2"/>
      <c r="R308" s="5"/>
      <c r="S308" s="2"/>
      <c r="T308" s="2"/>
      <c r="U308" s="1"/>
      <c r="V308" s="2"/>
      <c r="W308" s="2"/>
      <c r="X308" s="2"/>
      <c r="Y308" s="2"/>
    </row>
    <row r="309" spans="1:25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2"/>
      <c r="R309" s="5"/>
      <c r="S309" s="2"/>
      <c r="T309" s="2"/>
      <c r="U309" s="1"/>
      <c r="V309" s="2"/>
      <c r="W309" s="2"/>
      <c r="X309" s="2"/>
      <c r="Y309" s="2"/>
    </row>
    <row r="310" spans="1:25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2"/>
      <c r="R310" s="5"/>
      <c r="S310" s="2"/>
      <c r="T310" s="2"/>
      <c r="U310" s="1"/>
      <c r="V310" s="2"/>
      <c r="W310" s="2"/>
      <c r="X310" s="2"/>
      <c r="Y310" s="2"/>
    </row>
    <row r="311" spans="1:25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2"/>
      <c r="R311" s="5"/>
      <c r="S311" s="2"/>
      <c r="T311" s="2"/>
      <c r="U311" s="1"/>
      <c r="V311" s="2"/>
      <c r="W311" s="2"/>
      <c r="X311" s="2"/>
      <c r="Y311" s="2"/>
    </row>
    <row r="312" spans="1:25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2"/>
      <c r="R312" s="5"/>
      <c r="S312" s="2"/>
      <c r="T312" s="2"/>
      <c r="U312" s="1"/>
      <c r="V312" s="2"/>
      <c r="W312" s="2"/>
      <c r="X312" s="2"/>
      <c r="Y312" s="2"/>
    </row>
    <row r="313" spans="1:25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2"/>
      <c r="R313" s="4"/>
      <c r="S313" s="2"/>
      <c r="T313" s="2"/>
      <c r="U313" s="1"/>
      <c r="V313" s="2"/>
      <c r="W313" s="2"/>
      <c r="X313" s="2"/>
      <c r="Y313" s="2"/>
    </row>
    <row r="314" spans="1:25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2"/>
      <c r="R314" s="4"/>
      <c r="S314" s="2"/>
      <c r="T314" s="2"/>
      <c r="U314" s="1"/>
      <c r="V314" s="2"/>
      <c r="W314" s="2"/>
      <c r="X314" s="2"/>
      <c r="Y314" s="2"/>
    </row>
    <row r="315" spans="1:25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2"/>
      <c r="R315" s="5"/>
      <c r="S315" s="2"/>
      <c r="T315" s="2"/>
      <c r="U315" s="1"/>
      <c r="V315" s="2"/>
      <c r="W315" s="2"/>
      <c r="X315" s="2"/>
      <c r="Y315" s="2"/>
    </row>
    <row r="316" spans="1:25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2"/>
      <c r="R316" s="5"/>
      <c r="S316" s="2"/>
      <c r="T316" s="2"/>
      <c r="U316" s="1"/>
      <c r="V316" s="2"/>
      <c r="W316" s="2"/>
      <c r="X316" s="2"/>
      <c r="Y316" s="2"/>
    </row>
    <row r="317" spans="1:25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2"/>
      <c r="R317" s="5"/>
      <c r="S317" s="2"/>
      <c r="T317" s="2"/>
      <c r="U317" s="2"/>
      <c r="V317" s="2"/>
      <c r="W317" s="2"/>
      <c r="X317" s="2"/>
      <c r="Y317" s="2"/>
    </row>
    <row r="318" spans="1:25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2"/>
      <c r="R318" s="4"/>
      <c r="S318" s="2"/>
      <c r="T318" s="2"/>
      <c r="U318" s="2"/>
      <c r="V318" s="2"/>
      <c r="W318" s="2"/>
      <c r="X318" s="2"/>
      <c r="Y318" s="2"/>
    </row>
    <row r="319" spans="1:25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2"/>
      <c r="R319" s="5"/>
      <c r="S319" s="2"/>
      <c r="T319" s="2"/>
      <c r="U319" s="2"/>
      <c r="V319" s="2"/>
      <c r="W319" s="2"/>
      <c r="X319" s="2"/>
      <c r="Y319" s="2"/>
    </row>
    <row r="320" spans="1:25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2"/>
      <c r="R320" s="4"/>
      <c r="S320" s="2"/>
      <c r="T320" s="2"/>
      <c r="U320" s="2"/>
      <c r="V320" s="2"/>
      <c r="W320" s="2"/>
      <c r="X320" s="2"/>
      <c r="Y320" s="2"/>
    </row>
    <row r="321" spans="1:25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1"/>
      <c r="R321" s="5"/>
      <c r="S321" s="2"/>
      <c r="T321" s="2"/>
      <c r="U321" s="2"/>
      <c r="V321" s="2"/>
      <c r="W321" s="2"/>
      <c r="X321" s="2"/>
      <c r="Y321" s="2"/>
    </row>
    <row r="322" spans="1:25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1"/>
      <c r="R322" s="5"/>
      <c r="S322" s="2"/>
      <c r="T322" s="2"/>
      <c r="U322" s="2"/>
      <c r="V322" s="2"/>
      <c r="W322" s="2"/>
      <c r="X322" s="2"/>
      <c r="Y322" s="2"/>
    </row>
    <row r="323" spans="1:25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2"/>
      <c r="T323" s="2"/>
      <c r="U323" s="4"/>
      <c r="V323" s="2"/>
      <c r="W323" s="2"/>
      <c r="X323" s="2"/>
      <c r="Y323" s="2"/>
    </row>
    <row r="324" spans="1:25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2"/>
      <c r="R324" s="4"/>
      <c r="S324" s="2"/>
      <c r="T324" s="2"/>
      <c r="U324" s="2"/>
      <c r="V324" s="2"/>
      <c r="W324" s="2"/>
      <c r="X324" s="2"/>
      <c r="Y324" s="2"/>
    </row>
    <row r="325" spans="1:25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2"/>
      <c r="R325" s="4"/>
      <c r="S325" s="2"/>
      <c r="T325" s="2"/>
      <c r="U325" s="2"/>
      <c r="V325" s="2"/>
      <c r="W325" s="2"/>
      <c r="X325" s="2"/>
      <c r="Y325" s="2"/>
    </row>
    <row r="326" spans="1:25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2"/>
      <c r="R326" s="5"/>
      <c r="S326" s="2"/>
      <c r="T326" s="2"/>
      <c r="U326" s="2"/>
      <c r="V326" s="2"/>
      <c r="W326" s="2"/>
      <c r="X326" s="2"/>
      <c r="Y326" s="2"/>
    </row>
    <row r="327" spans="1:25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2"/>
      <c r="R327" s="5"/>
      <c r="S327" s="2"/>
      <c r="T327" s="2"/>
      <c r="U327" s="2"/>
      <c r="V327" s="2"/>
      <c r="W327" s="2"/>
      <c r="X327" s="2"/>
      <c r="Y327" s="2"/>
    </row>
    <row r="328" spans="1:25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2"/>
      <c r="R328" s="5"/>
      <c r="S328" s="2"/>
      <c r="T328" s="2"/>
      <c r="U328" s="2"/>
      <c r="V328" s="2"/>
      <c r="W328" s="2"/>
      <c r="X328" s="2"/>
      <c r="Y328" s="2"/>
    </row>
    <row r="329" spans="1:25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2"/>
      <c r="R329" s="5"/>
      <c r="S329" s="2"/>
      <c r="T329" s="2"/>
      <c r="U329" s="2"/>
      <c r="V329" s="2"/>
      <c r="W329" s="2"/>
      <c r="X329" s="2"/>
      <c r="Y329" s="2"/>
    </row>
    <row r="330" spans="1:25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2"/>
      <c r="R330" s="5"/>
      <c r="S330" s="2"/>
      <c r="T330" s="2"/>
      <c r="U330" s="2"/>
      <c r="V330" s="2"/>
      <c r="W330" s="2"/>
      <c r="X330" s="2"/>
      <c r="Y330" s="2"/>
    </row>
    <row r="331" spans="1:25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2"/>
      <c r="R331" s="5"/>
      <c r="S331" s="2"/>
      <c r="T331" s="2"/>
      <c r="U331" s="2"/>
      <c r="V331" s="2"/>
      <c r="W331" s="2"/>
      <c r="X331" s="2"/>
      <c r="Y331" s="2"/>
    </row>
    <row r="332" spans="1:25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2"/>
      <c r="R332" s="5"/>
      <c r="S332" s="2"/>
      <c r="T332" s="2"/>
      <c r="U332" s="2"/>
      <c r="V332" s="2"/>
      <c r="W332" s="2"/>
      <c r="X332" s="2"/>
      <c r="Y332" s="2"/>
    </row>
    <row r="333" spans="1:25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2"/>
      <c r="R333" s="5"/>
      <c r="S333" s="2"/>
      <c r="T333" s="2"/>
      <c r="U333" s="2"/>
      <c r="V333" s="2"/>
      <c r="W333" s="2"/>
      <c r="X333" s="2"/>
      <c r="Y333" s="2"/>
    </row>
    <row r="334" spans="1:25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2"/>
      <c r="R334" s="5"/>
      <c r="S334" s="2"/>
      <c r="T334" s="2"/>
      <c r="U334" s="2"/>
      <c r="V334" s="2"/>
      <c r="W334" s="2"/>
      <c r="X334" s="2"/>
      <c r="Y334" s="2"/>
    </row>
    <row r="335" spans="1:25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2"/>
      <c r="R335" s="5"/>
      <c r="S335" s="2"/>
      <c r="T335" s="2"/>
      <c r="U335" s="2"/>
      <c r="V335" s="2"/>
      <c r="W335" s="2"/>
      <c r="X335" s="2"/>
      <c r="Y335" s="2"/>
    </row>
    <row r="336" spans="1:25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2"/>
      <c r="R336" s="4"/>
      <c r="S336" s="2"/>
      <c r="T336" s="2"/>
      <c r="U336" s="2"/>
      <c r="V336" s="2"/>
      <c r="W336" s="2"/>
      <c r="X336" s="2"/>
      <c r="Y336" s="2"/>
    </row>
    <row r="337" spans="1:25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2"/>
      <c r="R337" s="5"/>
      <c r="S337" s="2"/>
      <c r="T337" s="2"/>
      <c r="U337" s="2"/>
      <c r="V337" s="2"/>
      <c r="W337" s="2"/>
      <c r="X337" s="2"/>
      <c r="Y337" s="2"/>
    </row>
    <row r="338" spans="1:25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2"/>
      <c r="R338" s="5"/>
      <c r="S338" s="2"/>
      <c r="T338" s="2"/>
      <c r="U338" s="2"/>
      <c r="V338" s="2"/>
      <c r="W338" s="2"/>
      <c r="X338" s="2"/>
      <c r="Y338" s="2"/>
    </row>
    <row r="339" spans="1:25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2"/>
      <c r="R339" s="5"/>
      <c r="S339" s="2"/>
      <c r="T339" s="2"/>
      <c r="U339" s="2"/>
      <c r="V339" s="2"/>
      <c r="W339" s="2"/>
      <c r="X339" s="2"/>
      <c r="Y339" s="2"/>
    </row>
    <row r="340" spans="1:25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2"/>
      <c r="R340" s="5"/>
      <c r="S340" s="2"/>
      <c r="T340" s="2"/>
      <c r="U340" s="2"/>
      <c r="V340" s="2"/>
      <c r="W340" s="2"/>
      <c r="X340" s="2"/>
      <c r="Y340" s="2"/>
    </row>
    <row r="341" spans="1:25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2"/>
      <c r="R341" s="4"/>
      <c r="S341" s="2"/>
      <c r="T341" s="2"/>
      <c r="U341" s="2"/>
      <c r="V341" s="2"/>
      <c r="W341" s="2"/>
      <c r="X341" s="2"/>
      <c r="Y341" s="2"/>
    </row>
    <row r="342" spans="1:25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2"/>
      <c r="R342" s="5"/>
      <c r="S342" s="2"/>
      <c r="T342" s="2"/>
      <c r="U342" s="2"/>
      <c r="V342" s="2"/>
      <c r="W342" s="2"/>
      <c r="X342" s="2"/>
      <c r="Y342" s="2"/>
    </row>
    <row r="343" spans="1:25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2"/>
      <c r="R343" s="5"/>
      <c r="S343" s="2"/>
      <c r="T343" s="2"/>
      <c r="U343" s="2"/>
      <c r="V343" s="2"/>
      <c r="W343" s="2"/>
      <c r="X343" s="2"/>
      <c r="Y343" s="2"/>
    </row>
    <row r="344" spans="1:25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2"/>
      <c r="R344" s="5"/>
      <c r="S344" s="2"/>
      <c r="T344" s="2"/>
      <c r="U344" s="2"/>
      <c r="V344" s="2"/>
      <c r="W344" s="2"/>
      <c r="X344" s="2"/>
      <c r="Y344" s="2"/>
    </row>
    <row r="345" spans="1:25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2"/>
      <c r="R345" s="5"/>
      <c r="S345" s="2"/>
      <c r="T345" s="2"/>
      <c r="U345" s="2"/>
      <c r="V345" s="2"/>
      <c r="W345" s="2"/>
      <c r="X345" s="2"/>
      <c r="Y345" s="2"/>
    </row>
    <row r="346" spans="1:25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2"/>
      <c r="R346" s="5"/>
      <c r="S346" s="2"/>
      <c r="T346" s="2"/>
      <c r="U346" s="2"/>
      <c r="V346" s="2"/>
      <c r="W346" s="2"/>
      <c r="X346" s="2"/>
      <c r="Y346" s="2"/>
    </row>
    <row r="347" spans="1:25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2"/>
      <c r="R347" s="5"/>
      <c r="S347" s="2"/>
      <c r="T347" s="2"/>
      <c r="U347" s="2"/>
      <c r="V347" s="2"/>
      <c r="W347" s="2"/>
      <c r="X347" s="2"/>
      <c r="Y347" s="2"/>
    </row>
    <row r="348" spans="1:25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2"/>
      <c r="R348" s="5"/>
      <c r="S348" s="2"/>
      <c r="T348" s="2"/>
      <c r="U348" s="2"/>
      <c r="V348" s="2"/>
      <c r="W348" s="2"/>
      <c r="X348" s="2"/>
      <c r="Y348" s="2"/>
    </row>
    <row r="349" spans="1:25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2"/>
      <c r="R349" s="5"/>
      <c r="S349" s="2"/>
      <c r="T349" s="2"/>
      <c r="U349" s="2"/>
      <c r="V349" s="2"/>
      <c r="W349" s="2"/>
      <c r="X349" s="2"/>
      <c r="Y349" s="2"/>
    </row>
    <row r="350" spans="1:25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2"/>
      <c r="R350" s="4"/>
      <c r="S350" s="2"/>
      <c r="T350" s="2"/>
      <c r="U350" s="2"/>
      <c r="V350" s="2"/>
      <c r="W350" s="2"/>
      <c r="X350" s="2"/>
      <c r="Y350" s="2"/>
    </row>
    <row r="351" spans="1:25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2"/>
      <c r="R351" s="5"/>
      <c r="S351" s="2"/>
      <c r="T351" s="2"/>
      <c r="U351" s="2"/>
      <c r="V351" s="2"/>
      <c r="W351" s="2"/>
      <c r="X351" s="2"/>
      <c r="Y351" s="2"/>
    </row>
    <row r="352" spans="1:25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2"/>
      <c r="R352" s="5"/>
      <c r="S352" s="2"/>
      <c r="T352" s="2"/>
      <c r="U352" s="2"/>
      <c r="V352" s="2"/>
      <c r="W352" s="2"/>
      <c r="X352" s="2"/>
      <c r="Y352" s="2"/>
    </row>
    <row r="353" spans="1:25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2"/>
      <c r="R353" s="5"/>
      <c r="S353" s="2"/>
      <c r="T353" s="2"/>
      <c r="U353" s="2"/>
      <c r="V353" s="2"/>
      <c r="W353" s="2"/>
      <c r="X353" s="2"/>
      <c r="Y353" s="2"/>
    </row>
    <row r="354" spans="1:25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2"/>
      <c r="R354" s="5"/>
      <c r="S354" s="2"/>
      <c r="T354" s="2"/>
      <c r="U354" s="2"/>
      <c r="V354" s="2"/>
      <c r="W354" s="2"/>
      <c r="X354" s="2"/>
      <c r="Y354" s="2"/>
    </row>
    <row r="355" spans="1:25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2"/>
      <c r="R355" s="4"/>
      <c r="S355" s="2"/>
      <c r="T355" s="2"/>
      <c r="U355" s="2"/>
      <c r="V355" s="2"/>
      <c r="W355" s="2"/>
      <c r="X355" s="2"/>
      <c r="Y355" s="2"/>
    </row>
    <row r="356" spans="1:25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2"/>
      <c r="R356" s="5"/>
      <c r="S356" s="2"/>
      <c r="T356" s="2"/>
      <c r="U356" s="2"/>
      <c r="V356" s="2"/>
      <c r="W356" s="2"/>
      <c r="X356" s="2"/>
      <c r="Y356" s="2"/>
    </row>
    <row r="357" spans="1:25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2"/>
      <c r="R357" s="5"/>
      <c r="S357" s="2"/>
      <c r="T357" s="2"/>
      <c r="U357" s="2"/>
      <c r="V357" s="2"/>
      <c r="W357" s="2"/>
      <c r="X357" s="2"/>
      <c r="Y357" s="2"/>
    </row>
    <row r="358" spans="1:25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2"/>
      <c r="R358" s="5"/>
      <c r="S358" s="2"/>
      <c r="T358" s="2"/>
      <c r="U358" s="2"/>
      <c r="V358" s="2"/>
      <c r="W358" s="2"/>
      <c r="X358" s="2"/>
      <c r="Y358" s="2"/>
    </row>
    <row r="359" spans="1:25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2"/>
      <c r="R359" s="5"/>
      <c r="S359" s="2"/>
      <c r="T359" s="2"/>
      <c r="U359" s="2"/>
      <c r="V359" s="2"/>
      <c r="W359" s="2"/>
      <c r="X359" s="2"/>
      <c r="Y359" s="2"/>
    </row>
    <row r="360" spans="1:25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2"/>
      <c r="R360" s="5"/>
      <c r="S360" s="2"/>
      <c r="T360" s="2"/>
      <c r="U360" s="2"/>
      <c r="V360" s="2"/>
      <c r="W360" s="2"/>
      <c r="X360" s="2"/>
      <c r="Y360" s="2"/>
    </row>
    <row r="361" spans="1:25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2"/>
      <c r="R361" s="5"/>
      <c r="S361" s="2"/>
      <c r="T361" s="2"/>
      <c r="U361" s="2"/>
      <c r="V361" s="2"/>
      <c r="W361" s="2"/>
      <c r="X361" s="2"/>
      <c r="Y361" s="2"/>
    </row>
    <row r="362" spans="1:25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2"/>
      <c r="R362" s="4"/>
      <c r="S362" s="2"/>
      <c r="T362" s="2"/>
      <c r="U362" s="2"/>
      <c r="V362" s="2"/>
      <c r="W362" s="2"/>
      <c r="X362" s="2"/>
      <c r="Y362" s="2"/>
    </row>
    <row r="363" spans="1:25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2"/>
      <c r="R363" s="4"/>
      <c r="S363" s="2"/>
      <c r="T363" s="2"/>
      <c r="U363" s="2"/>
      <c r="V363" s="2"/>
      <c r="W363" s="2"/>
      <c r="X363" s="2"/>
      <c r="Y363" s="2"/>
    </row>
    <row r="364" spans="1:25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2"/>
      <c r="R364" s="4"/>
      <c r="S364" s="2"/>
      <c r="T364" s="2"/>
      <c r="U364" s="2"/>
      <c r="V364" s="2"/>
      <c r="W364" s="2"/>
      <c r="X364" s="2"/>
      <c r="Y364" s="2"/>
    </row>
    <row r="365" spans="1:25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2"/>
      <c r="T365" s="2"/>
      <c r="U365" s="4"/>
      <c r="V365" s="2"/>
      <c r="W365" s="2"/>
      <c r="X365" s="2"/>
      <c r="Y365" s="2"/>
    </row>
    <row r="366" spans="1:25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2"/>
      <c r="R366" s="4"/>
      <c r="S366" s="2"/>
      <c r="T366" s="2"/>
      <c r="U366" s="2"/>
      <c r="V366" s="2"/>
      <c r="W366" s="2"/>
      <c r="X366" s="2"/>
      <c r="Y366" s="2"/>
    </row>
    <row r="367" spans="1:25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2"/>
      <c r="R367" s="4"/>
      <c r="S367" s="2"/>
      <c r="T367" s="2"/>
      <c r="U367" s="2"/>
      <c r="V367" s="2"/>
      <c r="W367" s="2"/>
      <c r="X367" s="2"/>
      <c r="Y367" s="2"/>
    </row>
    <row r="368" spans="1:25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2"/>
      <c r="R368" s="5"/>
      <c r="S368" s="2"/>
      <c r="T368" s="2"/>
      <c r="U368" s="2"/>
      <c r="V368" s="2"/>
      <c r="W368" s="2"/>
      <c r="X368" s="2"/>
      <c r="Y368" s="2"/>
    </row>
    <row r="369" spans="1:25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2"/>
      <c r="R369" s="5"/>
      <c r="S369" s="2"/>
      <c r="T369" s="2"/>
      <c r="U369" s="2"/>
      <c r="V369" s="2"/>
      <c r="W369" s="2"/>
      <c r="X369" s="2"/>
      <c r="Y369" s="2"/>
    </row>
    <row r="370" spans="1:25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2"/>
      <c r="R370" s="5"/>
      <c r="S370" s="2"/>
      <c r="T370" s="2"/>
      <c r="U370" s="2"/>
      <c r="V370" s="2"/>
      <c r="W370" s="2"/>
      <c r="X370" s="2"/>
      <c r="Y370" s="2"/>
    </row>
    <row r="371" spans="1:25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2"/>
      <c r="R371" s="5"/>
      <c r="S371" s="2"/>
      <c r="T371" s="2"/>
      <c r="U371" s="2"/>
      <c r="V371" s="2"/>
      <c r="W371" s="2"/>
      <c r="X371" s="2"/>
      <c r="Y371" s="2"/>
    </row>
    <row r="372" spans="1:25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2"/>
      <c r="R372" s="5"/>
      <c r="S372" s="2"/>
      <c r="T372" s="2"/>
      <c r="U372" s="2"/>
      <c r="V372" s="2"/>
      <c r="W372" s="2"/>
      <c r="X372" s="2"/>
      <c r="Y372" s="2"/>
    </row>
    <row r="373" spans="1:25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2"/>
      <c r="R373" s="4"/>
      <c r="S373" s="2"/>
      <c r="T373" s="2"/>
      <c r="U373" s="2"/>
      <c r="V373" s="2"/>
      <c r="W373" s="2"/>
      <c r="X373" s="2"/>
      <c r="Y373" s="2"/>
    </row>
    <row r="374" spans="1:25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2"/>
      <c r="R374" s="5"/>
      <c r="S374" s="2"/>
      <c r="T374" s="2"/>
      <c r="U374" s="2"/>
      <c r="V374" s="2"/>
      <c r="W374" s="2"/>
      <c r="X374" s="2"/>
      <c r="Y374" s="2"/>
    </row>
    <row r="375" spans="1:25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2"/>
      <c r="R375" s="5"/>
      <c r="S375" s="2"/>
      <c r="T375" s="2"/>
      <c r="U375" s="2"/>
      <c r="V375" s="2"/>
      <c r="W375" s="2"/>
      <c r="X375" s="2"/>
      <c r="Y375" s="2"/>
    </row>
    <row r="376" spans="1:25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2"/>
      <c r="R376" s="5"/>
      <c r="S376" s="2"/>
      <c r="T376" s="2"/>
      <c r="U376" s="2"/>
      <c r="V376" s="2"/>
      <c r="W376" s="2"/>
      <c r="X376" s="2"/>
      <c r="Y376" s="2"/>
    </row>
    <row r="377" spans="1:25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2"/>
      <c r="R377" s="5"/>
      <c r="S377" s="2"/>
      <c r="T377" s="2"/>
      <c r="U377" s="2"/>
      <c r="V377" s="2"/>
      <c r="W377" s="2"/>
      <c r="X377" s="2"/>
      <c r="Y377" s="2"/>
    </row>
    <row r="378" spans="1:25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2"/>
      <c r="R378" s="5"/>
      <c r="S378" s="2"/>
      <c r="T378" s="2"/>
      <c r="U378" s="2"/>
      <c r="V378" s="2"/>
      <c r="W378" s="2"/>
      <c r="X378" s="2"/>
      <c r="Y378" s="2"/>
    </row>
    <row r="379" spans="1:25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2"/>
      <c r="R379" s="5"/>
      <c r="S379" s="2"/>
      <c r="T379" s="2"/>
      <c r="U379" s="2"/>
      <c r="V379" s="2"/>
      <c r="W379" s="2"/>
      <c r="X379" s="2"/>
      <c r="Y379" s="2"/>
    </row>
    <row r="380" spans="1:25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2"/>
      <c r="R380" s="5"/>
      <c r="S380" s="2"/>
      <c r="T380" s="2"/>
      <c r="U380" s="2"/>
      <c r="V380" s="2"/>
      <c r="W380" s="2"/>
      <c r="X380" s="2"/>
      <c r="Y380" s="2"/>
    </row>
    <row r="381" spans="1:25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2"/>
      <c r="R381" s="5"/>
      <c r="S381" s="2"/>
      <c r="T381" s="2"/>
      <c r="U381" s="2"/>
      <c r="V381" s="2"/>
      <c r="W381" s="2"/>
      <c r="X381" s="2"/>
      <c r="Y381" s="2"/>
    </row>
    <row r="382" spans="1:25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2"/>
      <c r="R382" s="5"/>
      <c r="S382" s="2"/>
      <c r="T382" s="2"/>
      <c r="U382" s="2"/>
      <c r="V382" s="2"/>
      <c r="W382" s="2"/>
      <c r="X382" s="2"/>
      <c r="Y382" s="2"/>
    </row>
    <row r="383" spans="1:25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2"/>
      <c r="R383" s="5"/>
      <c r="S383" s="2"/>
      <c r="T383" s="2"/>
      <c r="U383" s="2"/>
      <c r="V383" s="2"/>
      <c r="W383" s="2"/>
      <c r="X383" s="2"/>
      <c r="Y383" s="2"/>
    </row>
    <row r="384" spans="1:25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2"/>
      <c r="R384" s="5"/>
      <c r="S384" s="2"/>
      <c r="T384" s="2"/>
      <c r="U384" s="2"/>
      <c r="V384" s="2"/>
      <c r="W384" s="2"/>
      <c r="X384" s="2"/>
      <c r="Y384" s="2"/>
    </row>
    <row r="385" spans="1:25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2"/>
      <c r="R385" s="5"/>
      <c r="S385" s="2"/>
      <c r="T385" s="2"/>
      <c r="U385" s="2"/>
      <c r="V385" s="2"/>
      <c r="W385" s="2"/>
      <c r="X385" s="2"/>
      <c r="Y385" s="2"/>
    </row>
    <row r="386" spans="1:25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2"/>
      <c r="R386" s="5"/>
      <c r="S386" s="2"/>
      <c r="T386" s="2"/>
      <c r="U386" s="2"/>
      <c r="V386" s="2"/>
      <c r="W386" s="2"/>
      <c r="X386" s="2"/>
      <c r="Y386" s="2"/>
    </row>
    <row r="387" spans="1:25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2"/>
      <c r="R387" s="5"/>
      <c r="S387" s="2"/>
      <c r="T387" s="2"/>
      <c r="U387" s="2"/>
      <c r="V387" s="2"/>
      <c r="W387" s="2"/>
      <c r="X387" s="2"/>
      <c r="Y387" s="2"/>
    </row>
    <row r="388" spans="1:25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2"/>
      <c r="R388" s="24"/>
      <c r="S388" s="2"/>
      <c r="T388" s="2"/>
      <c r="U388" s="2"/>
      <c r="V388" s="2"/>
      <c r="W388" s="2"/>
      <c r="X388" s="2"/>
      <c r="Y388" s="2"/>
    </row>
    <row r="389" spans="1:25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2"/>
      <c r="R389" s="24"/>
      <c r="S389" s="2"/>
      <c r="T389" s="2"/>
      <c r="U389" s="2"/>
      <c r="V389" s="2"/>
      <c r="W389" s="2"/>
      <c r="X389" s="2"/>
      <c r="Y389" s="2"/>
    </row>
    <row r="390" spans="1:25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2"/>
      <c r="R390" s="5"/>
      <c r="S390" s="2"/>
      <c r="T390" s="2"/>
      <c r="U390" s="2"/>
      <c r="V390" s="2"/>
      <c r="W390" s="2"/>
      <c r="X390" s="2"/>
      <c r="Y390" s="2"/>
    </row>
    <row r="391" spans="1:25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2"/>
      <c r="R391" s="24"/>
      <c r="S391" s="2"/>
      <c r="T391" s="2"/>
      <c r="U391" s="2"/>
      <c r="V391" s="2"/>
      <c r="W391" s="2"/>
      <c r="X391" s="2"/>
      <c r="Y391" s="2"/>
    </row>
    <row r="392" spans="1:25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2"/>
      <c r="R392" s="24"/>
      <c r="S392" s="2"/>
      <c r="T392" s="2"/>
      <c r="U392" s="2"/>
      <c r="V392" s="2"/>
      <c r="W392" s="2"/>
      <c r="X392" s="2"/>
      <c r="Y392" s="2"/>
    </row>
    <row r="393" spans="1:25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2"/>
      <c r="R393" s="24"/>
      <c r="S393" s="2"/>
      <c r="T393" s="2"/>
      <c r="U393" s="2"/>
      <c r="V393" s="2"/>
      <c r="W393" s="2"/>
      <c r="X393" s="2"/>
      <c r="Y393" s="2"/>
    </row>
    <row r="394" spans="1:25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2"/>
      <c r="R394" s="24"/>
      <c r="S394" s="2"/>
      <c r="T394" s="2"/>
      <c r="U394" s="2"/>
      <c r="V394" s="2"/>
      <c r="W394" s="2"/>
      <c r="X394" s="2"/>
      <c r="Y394" s="2"/>
    </row>
    <row r="395" spans="1:25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2"/>
      <c r="R395" s="24"/>
      <c r="S395" s="2"/>
      <c r="T395" s="2"/>
      <c r="U395" s="2"/>
      <c r="V395" s="2"/>
      <c r="W395" s="2"/>
      <c r="X395" s="2"/>
      <c r="Y395" s="2"/>
    </row>
    <row r="396" spans="1:25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2"/>
      <c r="R396" s="24"/>
      <c r="S396" s="2"/>
      <c r="T396" s="2"/>
      <c r="U396" s="2"/>
      <c r="V396" s="2"/>
      <c r="W396" s="2"/>
      <c r="X396" s="2"/>
      <c r="Y396" s="2"/>
    </row>
    <row r="397" spans="1:25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2"/>
      <c r="R397" s="5"/>
      <c r="S397" s="2"/>
      <c r="T397" s="2"/>
      <c r="U397" s="2"/>
      <c r="V397" s="2"/>
      <c r="W397" s="2"/>
      <c r="X397" s="2"/>
      <c r="Y397" s="2"/>
    </row>
    <row r="398" spans="1:25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2"/>
      <c r="R398" s="5"/>
      <c r="S398" s="2"/>
      <c r="T398" s="2"/>
      <c r="U398" s="2"/>
      <c r="V398" s="2"/>
      <c r="W398" s="2"/>
      <c r="X398" s="2"/>
      <c r="Y398" s="2"/>
    </row>
    <row r="399" spans="1:25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2"/>
      <c r="R399" s="24"/>
      <c r="S399" s="2"/>
      <c r="T399" s="2"/>
      <c r="U399" s="2"/>
      <c r="V399" s="2"/>
      <c r="W399" s="2"/>
      <c r="X399" s="2"/>
      <c r="Y399" s="2"/>
    </row>
    <row r="400" spans="1:25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2"/>
      <c r="R400" s="24"/>
      <c r="S400" s="2"/>
      <c r="T400" s="2"/>
      <c r="U400" s="2"/>
      <c r="V400" s="2"/>
      <c r="W400" s="2"/>
      <c r="X400" s="2"/>
      <c r="Y400" s="2"/>
    </row>
    <row r="401" spans="1:25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2"/>
      <c r="R401" s="24"/>
      <c r="S401" s="2"/>
      <c r="T401" s="2"/>
      <c r="U401" s="2"/>
      <c r="V401" s="2"/>
      <c r="W401" s="2"/>
      <c r="X401" s="2"/>
      <c r="Y401" s="2"/>
    </row>
    <row r="402" spans="1:25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2"/>
      <c r="R402" s="24"/>
      <c r="S402" s="2"/>
      <c r="T402" s="2"/>
      <c r="U402" s="2"/>
      <c r="V402" s="2"/>
      <c r="W402" s="2"/>
      <c r="X402" s="2"/>
      <c r="Y402" s="2"/>
    </row>
    <row r="403" spans="1:25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2"/>
      <c r="R403" s="24"/>
      <c r="S403" s="2"/>
      <c r="T403" s="2"/>
      <c r="U403" s="2"/>
      <c r="V403" s="2"/>
      <c r="W403" s="2"/>
      <c r="X403" s="2"/>
      <c r="Y403" s="2"/>
    </row>
    <row r="404" spans="1:25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2"/>
      <c r="R404" s="24"/>
      <c r="S404" s="2"/>
      <c r="T404" s="2"/>
      <c r="U404" s="2"/>
      <c r="V404" s="2"/>
      <c r="W404" s="2"/>
      <c r="X404" s="2"/>
      <c r="Y404" s="2"/>
    </row>
    <row r="405" spans="1:25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2"/>
      <c r="R405" s="24"/>
      <c r="S405" s="2"/>
      <c r="T405" s="2"/>
      <c r="U405" s="2"/>
      <c r="V405" s="2"/>
      <c r="W405" s="2"/>
      <c r="X405" s="2"/>
      <c r="Y405" s="2"/>
    </row>
    <row r="406" spans="1:25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2"/>
      <c r="R406" s="24"/>
      <c r="S406" s="2"/>
      <c r="T406" s="2"/>
      <c r="U406" s="2"/>
      <c r="V406" s="2"/>
      <c r="W406" s="2"/>
      <c r="X406" s="2"/>
      <c r="Y406" s="2"/>
    </row>
    <row r="407" spans="1:25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2"/>
      <c r="R407" s="4"/>
      <c r="S407" s="2"/>
      <c r="T407" s="2"/>
      <c r="U407" s="2"/>
      <c r="V407" s="2"/>
      <c r="W407" s="2"/>
      <c r="X407" s="2"/>
      <c r="Y407" s="2"/>
    </row>
    <row r="408" spans="1:25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2"/>
      <c r="R408" s="24"/>
      <c r="S408" s="2"/>
      <c r="T408" s="2"/>
      <c r="U408" s="2"/>
      <c r="V408" s="2"/>
      <c r="W408" s="2"/>
      <c r="X408" s="2"/>
      <c r="Y408" s="2"/>
    </row>
    <row r="409" spans="1:25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2"/>
      <c r="R409" s="24"/>
      <c r="S409" s="2"/>
      <c r="T409" s="2"/>
      <c r="U409" s="2"/>
      <c r="V409" s="2"/>
      <c r="W409" s="2"/>
      <c r="X409" s="2"/>
      <c r="Y409" s="2"/>
    </row>
    <row r="410" spans="1:25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24"/>
      <c r="R410" s="24"/>
      <c r="S410" s="2"/>
      <c r="T410" s="2"/>
      <c r="U410" s="4"/>
      <c r="V410" s="2"/>
      <c r="W410" s="2"/>
      <c r="X410" s="5"/>
      <c r="Y410" s="5"/>
    </row>
    <row r="411" spans="1:25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2"/>
      <c r="R411" s="4"/>
      <c r="S411" s="2"/>
      <c r="T411" s="2"/>
      <c r="U411" s="2"/>
      <c r="V411" s="2"/>
      <c r="W411" s="2"/>
      <c r="X411" s="2"/>
      <c r="Y411" s="2"/>
    </row>
    <row r="412" spans="1:25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2"/>
      <c r="R412" s="4"/>
      <c r="S412" s="2"/>
      <c r="T412" s="2"/>
      <c r="U412" s="2"/>
      <c r="V412" s="2"/>
      <c r="W412" s="2"/>
      <c r="X412" s="2"/>
      <c r="Y412" s="2"/>
    </row>
    <row r="413" spans="1:25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2"/>
      <c r="R413" s="24"/>
      <c r="S413" s="2"/>
      <c r="T413" s="2"/>
      <c r="U413" s="2"/>
      <c r="V413" s="2"/>
      <c r="W413" s="2"/>
      <c r="X413" s="2"/>
      <c r="Y413" s="2"/>
    </row>
    <row r="414" spans="1:25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2"/>
      <c r="R414" s="24"/>
      <c r="S414" s="2"/>
      <c r="T414" s="2"/>
      <c r="U414" s="2"/>
      <c r="V414" s="2"/>
      <c r="W414" s="2"/>
      <c r="X414" s="2"/>
      <c r="Y414" s="2"/>
    </row>
    <row r="415" spans="1:25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2"/>
      <c r="R415" s="24"/>
      <c r="S415" s="2"/>
      <c r="T415" s="2"/>
      <c r="U415" s="2"/>
      <c r="V415" s="2"/>
      <c r="W415" s="2"/>
      <c r="X415" s="2"/>
      <c r="Y415" s="2"/>
    </row>
    <row r="416" spans="1:25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2"/>
      <c r="R416" s="24"/>
      <c r="S416" s="2"/>
      <c r="T416" s="2"/>
      <c r="U416" s="2"/>
      <c r="V416" s="2"/>
      <c r="W416" s="2"/>
      <c r="X416" s="2"/>
      <c r="Y416" s="2"/>
    </row>
    <row r="417" spans="1:25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2"/>
      <c r="R417" s="5"/>
      <c r="S417" s="2"/>
      <c r="T417" s="2"/>
      <c r="U417" s="2"/>
      <c r="V417" s="2"/>
      <c r="W417" s="2"/>
      <c r="X417" s="2"/>
      <c r="Y417" s="2"/>
    </row>
    <row r="418" spans="1:25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2"/>
      <c r="R418" s="24"/>
      <c r="S418" s="2"/>
      <c r="T418" s="2"/>
      <c r="U418" s="2"/>
      <c r="V418" s="2"/>
      <c r="W418" s="2"/>
      <c r="X418" s="2"/>
      <c r="Y418" s="2"/>
    </row>
    <row r="419" spans="1:25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2"/>
      <c r="R419" s="5"/>
      <c r="S419" s="2"/>
      <c r="T419" s="2"/>
      <c r="U419" s="2"/>
      <c r="V419" s="2"/>
      <c r="W419" s="2"/>
      <c r="X419" s="2"/>
      <c r="Y419" s="2"/>
    </row>
    <row r="420" spans="1:25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2"/>
      <c r="R420" s="24"/>
      <c r="S420" s="2"/>
      <c r="T420" s="2"/>
      <c r="U420" s="2"/>
      <c r="V420" s="2"/>
      <c r="W420" s="2"/>
      <c r="X420" s="2"/>
      <c r="Y420" s="2"/>
    </row>
    <row r="421" spans="1:25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2"/>
      <c r="R421" s="5"/>
      <c r="S421" s="2"/>
      <c r="T421" s="2"/>
      <c r="U421" s="2"/>
      <c r="V421" s="2"/>
      <c r="W421" s="2"/>
      <c r="X421" s="2"/>
      <c r="Y421" s="2"/>
    </row>
    <row r="422" spans="1:25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2"/>
      <c r="R422" s="24"/>
      <c r="S422" s="2"/>
      <c r="T422" s="2"/>
      <c r="U422" s="2"/>
      <c r="V422" s="2"/>
      <c r="W422" s="2"/>
      <c r="X422" s="2"/>
      <c r="Y422" s="2"/>
    </row>
    <row r="423" spans="1:25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2"/>
      <c r="R423" s="5"/>
      <c r="S423" s="2"/>
      <c r="T423" s="2"/>
      <c r="U423" s="2"/>
      <c r="V423" s="2"/>
      <c r="W423" s="2"/>
      <c r="X423" s="2"/>
      <c r="Y423" s="2"/>
    </row>
    <row r="424" spans="1:25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2"/>
      <c r="R424" s="5"/>
      <c r="S424" s="2"/>
      <c r="T424" s="2"/>
      <c r="U424" s="2"/>
      <c r="V424" s="2"/>
      <c r="W424" s="2"/>
      <c r="X424" s="2"/>
      <c r="Y424" s="2"/>
    </row>
    <row r="425" spans="1:25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2"/>
      <c r="R425" s="5"/>
      <c r="S425" s="2"/>
      <c r="T425" s="2"/>
      <c r="U425" s="2"/>
      <c r="V425" s="2"/>
      <c r="W425" s="2"/>
      <c r="X425" s="2"/>
      <c r="Y425" s="2"/>
    </row>
    <row r="426" spans="1:25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2"/>
      <c r="R426" s="5"/>
      <c r="S426" s="2"/>
      <c r="T426" s="2"/>
      <c r="U426" s="2"/>
      <c r="V426" s="2"/>
      <c r="W426" s="2"/>
      <c r="X426" s="2"/>
      <c r="Y426" s="2"/>
    </row>
    <row r="427" spans="1:25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2"/>
      <c r="R427" s="5"/>
      <c r="S427" s="2"/>
      <c r="T427" s="2"/>
      <c r="U427" s="2"/>
      <c r="V427" s="2"/>
      <c r="W427" s="2"/>
      <c r="X427" s="2"/>
      <c r="Y427" s="2"/>
    </row>
    <row r="428" spans="1:25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2"/>
      <c r="R428" s="5"/>
      <c r="S428" s="2"/>
      <c r="T428" s="2"/>
      <c r="U428" s="2"/>
      <c r="V428" s="2"/>
      <c r="W428" s="2"/>
      <c r="X428" s="2"/>
      <c r="Y428" s="2"/>
    </row>
    <row r="429" spans="1:25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2"/>
      <c r="R429" s="5"/>
      <c r="S429" s="2"/>
      <c r="T429" s="2"/>
      <c r="U429" s="2"/>
      <c r="V429" s="2"/>
      <c r="W429" s="2"/>
      <c r="X429" s="2"/>
      <c r="Y429" s="2"/>
    </row>
    <row r="430" spans="1:25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2"/>
      <c r="R430" s="5"/>
      <c r="S430" s="2"/>
      <c r="T430" s="2"/>
      <c r="U430" s="2"/>
      <c r="V430" s="2"/>
      <c r="W430" s="2"/>
      <c r="X430" s="2"/>
      <c r="Y430" s="2"/>
    </row>
    <row r="431" spans="1:25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2"/>
      <c r="R431" s="5"/>
      <c r="S431" s="2"/>
      <c r="T431" s="2"/>
      <c r="U431" s="2"/>
      <c r="V431" s="2"/>
      <c r="W431" s="2"/>
      <c r="X431" s="2"/>
      <c r="Y431" s="2"/>
    </row>
    <row r="432" spans="1:25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2"/>
      <c r="R432" s="5"/>
      <c r="S432" s="2"/>
      <c r="T432" s="2"/>
      <c r="U432" s="2"/>
      <c r="V432" s="2"/>
      <c r="W432" s="2"/>
      <c r="X432" s="2"/>
      <c r="Y432" s="2"/>
    </row>
    <row r="433" spans="1:25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2"/>
      <c r="R433" s="5"/>
      <c r="S433" s="2"/>
      <c r="T433" s="2"/>
      <c r="U433" s="2"/>
      <c r="V433" s="2"/>
      <c r="W433" s="2"/>
      <c r="X433" s="2"/>
      <c r="Y433" s="2"/>
    </row>
    <row r="434" spans="1:25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2"/>
      <c r="R434" s="5"/>
      <c r="S434" s="2"/>
      <c r="T434" s="2"/>
      <c r="U434" s="2"/>
      <c r="V434" s="2"/>
      <c r="W434" s="2"/>
      <c r="X434" s="2"/>
      <c r="Y434" s="2"/>
    </row>
    <row r="435" spans="1:25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2"/>
      <c r="R435" s="5"/>
      <c r="S435" s="2"/>
      <c r="T435" s="2"/>
      <c r="U435" s="2"/>
      <c r="V435" s="2"/>
      <c r="W435" s="2"/>
      <c r="X435" s="2"/>
      <c r="Y435" s="2"/>
    </row>
    <row r="436" spans="1:25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2"/>
      <c r="R436" s="5"/>
      <c r="S436" s="2"/>
      <c r="T436" s="2"/>
      <c r="U436" s="2"/>
      <c r="V436" s="2"/>
      <c r="W436" s="2"/>
      <c r="X436" s="2"/>
      <c r="Y436" s="2"/>
    </row>
    <row r="437" spans="1:25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2"/>
      <c r="R437" s="5"/>
      <c r="S437" s="2"/>
      <c r="T437" s="2"/>
      <c r="U437" s="2"/>
      <c r="V437" s="2"/>
      <c r="W437" s="2"/>
      <c r="X437" s="2"/>
      <c r="Y437" s="2"/>
    </row>
    <row r="438" spans="1:25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2"/>
      <c r="R438" s="5"/>
      <c r="S438" s="2"/>
      <c r="T438" s="2"/>
      <c r="U438" s="2"/>
      <c r="V438" s="2"/>
      <c r="W438" s="2"/>
      <c r="X438" s="2"/>
      <c r="Y438" s="2"/>
    </row>
    <row r="439" spans="1:25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2"/>
      <c r="R439" s="5"/>
      <c r="S439" s="2"/>
      <c r="T439" s="2"/>
      <c r="U439" s="2"/>
      <c r="V439" s="2"/>
      <c r="W439" s="2"/>
      <c r="X439" s="2"/>
      <c r="Y439" s="2"/>
    </row>
    <row r="440" spans="1:25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2"/>
      <c r="R440" s="5"/>
      <c r="S440" s="2"/>
      <c r="T440" s="2"/>
      <c r="U440" s="2"/>
      <c r="V440" s="2"/>
      <c r="W440" s="2"/>
      <c r="X440" s="2"/>
      <c r="Y440" s="2"/>
    </row>
    <row r="441" spans="1:25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2"/>
      <c r="R441" s="5"/>
      <c r="S441" s="2"/>
      <c r="T441" s="2"/>
      <c r="U441" s="2"/>
      <c r="V441" s="2"/>
      <c r="W441" s="2"/>
      <c r="X441" s="2"/>
      <c r="Y441" s="2"/>
    </row>
    <row r="442" spans="1:25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2"/>
      <c r="R442" s="5"/>
      <c r="S442" s="2"/>
      <c r="T442" s="2"/>
      <c r="U442" s="2"/>
      <c r="V442" s="2"/>
      <c r="W442" s="2"/>
      <c r="X442" s="2"/>
      <c r="Y442" s="2"/>
    </row>
    <row r="443" spans="1:25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2"/>
      <c r="R443" s="5"/>
      <c r="S443" s="2"/>
      <c r="T443" s="2"/>
      <c r="U443" s="2"/>
      <c r="V443" s="2"/>
      <c r="W443" s="2"/>
      <c r="X443" s="2"/>
      <c r="Y443" s="2"/>
    </row>
    <row r="444" spans="1:25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2"/>
      <c r="R444" s="5"/>
      <c r="S444" s="2"/>
      <c r="T444" s="2"/>
      <c r="U444" s="2"/>
      <c r="V444" s="2"/>
      <c r="W444" s="2"/>
      <c r="X444" s="2"/>
      <c r="Y444" s="2"/>
    </row>
    <row r="445" spans="1:25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2"/>
      <c r="R445" s="5"/>
      <c r="S445" s="2"/>
      <c r="T445" s="2"/>
      <c r="U445" s="2"/>
      <c r="V445" s="2"/>
      <c r="W445" s="2"/>
      <c r="X445" s="2"/>
      <c r="Y445" s="2"/>
    </row>
    <row r="446" spans="1:25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2"/>
      <c r="R446" s="5"/>
      <c r="S446" s="2"/>
      <c r="T446" s="2"/>
      <c r="U446" s="2"/>
      <c r="V446" s="2"/>
      <c r="W446" s="2"/>
      <c r="X446" s="2"/>
      <c r="Y446" s="2"/>
    </row>
    <row r="447" spans="1:25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2"/>
      <c r="R447" s="5"/>
      <c r="S447" s="2"/>
      <c r="T447" s="2"/>
      <c r="U447" s="2"/>
      <c r="V447" s="2"/>
      <c r="W447" s="2"/>
      <c r="X447" s="2"/>
      <c r="Y447" s="2"/>
    </row>
    <row r="448" spans="1:25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2"/>
      <c r="R448" s="5"/>
      <c r="S448" s="2"/>
      <c r="T448" s="2"/>
      <c r="U448" s="2"/>
      <c r="V448" s="2"/>
      <c r="W448" s="2"/>
      <c r="X448" s="2"/>
      <c r="Y448" s="2"/>
    </row>
    <row r="449" spans="1:25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2"/>
      <c r="R449" s="5"/>
      <c r="S449" s="2"/>
      <c r="T449" s="2"/>
      <c r="U449" s="2"/>
      <c r="V449" s="2"/>
      <c r="W449" s="2"/>
      <c r="X449" s="2"/>
      <c r="Y449" s="2"/>
    </row>
    <row r="450" spans="1:25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2"/>
      <c r="R450" s="5"/>
      <c r="S450" s="2"/>
      <c r="T450" s="2"/>
      <c r="U450" s="2"/>
      <c r="V450" s="2"/>
      <c r="W450" s="2"/>
      <c r="X450" s="2"/>
      <c r="Y450" s="2"/>
    </row>
    <row r="451" spans="1:25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2"/>
      <c r="R451" s="5"/>
      <c r="S451" s="2"/>
      <c r="T451" s="2"/>
      <c r="U451" s="2"/>
      <c r="V451" s="2"/>
      <c r="W451" s="2"/>
      <c r="X451" s="2"/>
      <c r="Y451" s="2"/>
    </row>
    <row r="452" spans="1:25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2"/>
      <c r="R452" s="5"/>
      <c r="S452" s="2"/>
      <c r="T452" s="2"/>
      <c r="U452" s="2"/>
      <c r="V452" s="2"/>
      <c r="W452" s="2"/>
      <c r="X452" s="2"/>
      <c r="Y452" s="2"/>
    </row>
    <row r="453" spans="1:25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2"/>
      <c r="R453" s="4"/>
      <c r="S453" s="2"/>
      <c r="T453" s="2"/>
      <c r="U453" s="2"/>
      <c r="V453" s="2"/>
      <c r="W453" s="2"/>
      <c r="X453" s="2"/>
      <c r="Y453" s="2"/>
    </row>
    <row r="454" spans="1:25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2"/>
      <c r="R454" s="5"/>
      <c r="S454" s="2"/>
      <c r="T454" s="2"/>
      <c r="U454" s="2"/>
      <c r="V454" s="2"/>
      <c r="W454" s="2"/>
      <c r="X454" s="2"/>
      <c r="Y454" s="2"/>
    </row>
    <row r="455" spans="1:25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2"/>
      <c r="R455" s="5"/>
      <c r="S455" s="2"/>
      <c r="T455" s="2"/>
      <c r="U455" s="2"/>
      <c r="V455" s="2"/>
      <c r="W455" s="2"/>
      <c r="X455" s="2"/>
      <c r="Y455" s="2"/>
    </row>
    <row r="456" spans="1:25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4"/>
      <c r="T456" s="2"/>
      <c r="U456" s="5"/>
      <c r="V456" s="2"/>
      <c r="W456" s="2"/>
      <c r="X456" s="5"/>
      <c r="Y456" s="5"/>
    </row>
    <row r="457" spans="1:25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2"/>
      <c r="R457" s="4"/>
      <c r="S457" s="2"/>
      <c r="T457" s="2"/>
      <c r="U457" s="2"/>
      <c r="V457" s="2"/>
      <c r="W457" s="2"/>
      <c r="X457" s="2"/>
      <c r="Y457" s="2"/>
    </row>
    <row r="458" spans="1:25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2"/>
      <c r="R458" s="4"/>
      <c r="S458" s="2"/>
      <c r="T458" s="2"/>
      <c r="U458" s="2"/>
      <c r="V458" s="2"/>
      <c r="W458" s="2"/>
      <c r="X458" s="2"/>
      <c r="Y458" s="2"/>
    </row>
    <row r="459" spans="1:25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2"/>
      <c r="R459" s="5"/>
      <c r="S459" s="2"/>
      <c r="T459" s="2"/>
      <c r="U459" s="2"/>
      <c r="V459" s="2"/>
      <c r="W459" s="2"/>
      <c r="X459" s="2"/>
      <c r="Y459" s="2"/>
    </row>
    <row r="460" spans="1:25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2"/>
      <c r="R460" s="5"/>
      <c r="S460" s="2"/>
      <c r="T460" s="2"/>
      <c r="U460" s="2"/>
      <c r="V460" s="2"/>
      <c r="W460" s="2"/>
      <c r="X460" s="2"/>
      <c r="Y460" s="2"/>
    </row>
    <row r="461" spans="1:25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2"/>
      <c r="R461" s="5"/>
      <c r="S461" s="2"/>
      <c r="T461" s="2"/>
      <c r="U461" s="2"/>
      <c r="V461" s="2"/>
      <c r="W461" s="2"/>
      <c r="X461" s="2"/>
      <c r="Y461" s="2"/>
    </row>
    <row r="462" spans="1:25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2"/>
      <c r="R462" s="5"/>
      <c r="S462" s="2"/>
      <c r="T462" s="2"/>
      <c r="U462" s="2"/>
      <c r="V462" s="2"/>
      <c r="W462" s="2"/>
      <c r="X462" s="2"/>
      <c r="Y462" s="2"/>
    </row>
    <row r="463" spans="1:25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2"/>
      <c r="R463" s="5"/>
      <c r="S463" s="2"/>
      <c r="T463" s="2"/>
      <c r="U463" s="2"/>
      <c r="V463" s="2"/>
      <c r="W463" s="2"/>
      <c r="X463" s="2"/>
      <c r="Y463" s="2"/>
    </row>
    <row r="464" spans="1:25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2"/>
      <c r="R464" s="5"/>
      <c r="S464" s="2"/>
      <c r="T464" s="2"/>
      <c r="U464" s="2"/>
      <c r="V464" s="2"/>
      <c r="W464" s="2"/>
      <c r="X464" s="2"/>
      <c r="Y464" s="2"/>
    </row>
    <row r="465" spans="1:25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2"/>
      <c r="R465" s="5"/>
      <c r="S465" s="2"/>
      <c r="T465" s="2"/>
      <c r="U465" s="2"/>
      <c r="V465" s="2"/>
      <c r="W465" s="2"/>
      <c r="X465" s="2"/>
      <c r="Y465" s="2"/>
    </row>
    <row r="466" spans="1:25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2"/>
      <c r="R466" s="5"/>
      <c r="S466" s="2"/>
      <c r="T466" s="2"/>
      <c r="U466" s="2"/>
      <c r="V466" s="2"/>
      <c r="W466" s="2"/>
      <c r="X466" s="2"/>
      <c r="Y466" s="2"/>
    </row>
    <row r="467" spans="1:25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2"/>
      <c r="R467" s="5"/>
      <c r="S467" s="2"/>
      <c r="T467" s="2"/>
      <c r="U467" s="2"/>
      <c r="V467" s="2"/>
      <c r="W467" s="2"/>
      <c r="X467" s="2"/>
      <c r="Y467" s="2"/>
    </row>
    <row r="468" spans="1:25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2"/>
      <c r="R468" s="4"/>
      <c r="S468" s="2"/>
      <c r="T468" s="2"/>
      <c r="U468" s="2"/>
      <c r="V468" s="2"/>
      <c r="W468" s="2"/>
      <c r="X468" s="2"/>
      <c r="Y468" s="2"/>
    </row>
    <row r="469" spans="1:25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2"/>
      <c r="R469" s="5"/>
      <c r="S469" s="2"/>
      <c r="T469" s="2"/>
      <c r="U469" s="2"/>
      <c r="V469" s="2"/>
      <c r="W469" s="2"/>
      <c r="X469" s="2"/>
      <c r="Y469" s="2"/>
    </row>
    <row r="470" spans="1:25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2"/>
      <c r="R470" s="5"/>
      <c r="S470" s="2"/>
      <c r="T470" s="2"/>
      <c r="U470" s="2"/>
      <c r="V470" s="2"/>
      <c r="W470" s="2"/>
      <c r="X470" s="2"/>
      <c r="Y470" s="2"/>
    </row>
    <row r="471" spans="1:25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2"/>
      <c r="R471" s="5"/>
      <c r="S471" s="2"/>
      <c r="T471" s="2"/>
      <c r="U471" s="2"/>
      <c r="V471" s="2"/>
      <c r="W471" s="2"/>
      <c r="X471" s="2"/>
      <c r="Y471" s="2"/>
    </row>
    <row r="472" spans="1:25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2"/>
      <c r="R472" s="5"/>
      <c r="S472" s="2"/>
      <c r="T472" s="2"/>
      <c r="U472" s="2"/>
      <c r="V472" s="2"/>
      <c r="W472" s="2"/>
      <c r="X472" s="2"/>
      <c r="Y472" s="2"/>
    </row>
    <row r="473" spans="1:25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4"/>
      <c r="T473" s="2"/>
      <c r="U473" s="5"/>
      <c r="V473" s="2"/>
      <c r="W473" s="2"/>
      <c r="X473" s="5"/>
      <c r="Y473" s="5"/>
    </row>
    <row r="474" spans="1:25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2"/>
      <c r="R474" s="4"/>
      <c r="S474" s="2"/>
      <c r="T474" s="2"/>
      <c r="U474" s="2"/>
      <c r="V474" s="2"/>
      <c r="W474" s="2"/>
      <c r="X474" s="2"/>
      <c r="Y474" s="2"/>
    </row>
    <row r="475" spans="1:25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2"/>
      <c r="R475" s="4"/>
      <c r="S475" s="2"/>
      <c r="T475" s="2"/>
      <c r="U475" s="2"/>
      <c r="V475" s="2"/>
      <c r="W475" s="2"/>
      <c r="X475" s="2"/>
      <c r="Y475" s="2"/>
    </row>
    <row r="476" spans="1:25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2"/>
      <c r="R476" s="5"/>
      <c r="S476" s="2"/>
      <c r="T476" s="2"/>
      <c r="U476" s="2"/>
      <c r="V476" s="2"/>
      <c r="W476" s="2"/>
      <c r="X476" s="2"/>
      <c r="Y476" s="2"/>
    </row>
    <row r="477" spans="1:25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2"/>
      <c r="R477" s="5"/>
      <c r="S477" s="2"/>
      <c r="T477" s="2"/>
      <c r="U477" s="2"/>
      <c r="V477" s="2"/>
      <c r="W477" s="2"/>
      <c r="X477" s="2"/>
      <c r="Y477" s="2"/>
    </row>
    <row r="478" spans="1:25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2"/>
      <c r="R478" s="5"/>
      <c r="S478" s="2"/>
      <c r="T478" s="2"/>
      <c r="U478" s="2"/>
      <c r="V478" s="2"/>
      <c r="W478" s="2"/>
      <c r="X478" s="2"/>
      <c r="Y478" s="2"/>
    </row>
    <row r="479" spans="1:25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2"/>
      <c r="R479" s="4"/>
      <c r="S479" s="2"/>
      <c r="T479" s="2"/>
      <c r="U479" s="2"/>
      <c r="V479" s="2"/>
      <c r="W479" s="2"/>
      <c r="X479" s="2"/>
      <c r="Y479" s="2"/>
    </row>
    <row r="480" spans="1:25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2"/>
      <c r="R480" s="5"/>
      <c r="S480" s="2"/>
      <c r="T480" s="2"/>
      <c r="U480" s="2"/>
      <c r="V480" s="2"/>
      <c r="W480" s="2"/>
      <c r="X480" s="2"/>
      <c r="Y480" s="2"/>
    </row>
    <row r="481" spans="1:25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2"/>
      <c r="R481" s="5"/>
      <c r="S481" s="2"/>
      <c r="T481" s="2"/>
      <c r="U481" s="2"/>
      <c r="V481" s="2"/>
      <c r="W481" s="2"/>
      <c r="X481" s="2"/>
      <c r="Y481" s="2"/>
    </row>
    <row r="482" spans="1:25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2"/>
      <c r="X482" s="2"/>
      <c r="Y482" s="2"/>
    </row>
    <row r="483" spans="1:25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2"/>
      <c r="R483" s="5"/>
      <c r="S483" s="2"/>
      <c r="T483" s="2"/>
      <c r="U483" s="2"/>
      <c r="V483" s="2"/>
      <c r="W483" s="2"/>
      <c r="X483" s="2"/>
      <c r="Y483" s="2"/>
    </row>
    <row r="484" spans="1:25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4"/>
      <c r="T484" s="2"/>
      <c r="U484" s="5"/>
      <c r="V484" s="2"/>
      <c r="W484" s="2"/>
      <c r="X484" s="2"/>
      <c r="Y484" s="2"/>
    </row>
    <row r="485" spans="1:25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2"/>
      <c r="R485" s="5"/>
      <c r="S485" s="2"/>
      <c r="T485" s="2"/>
      <c r="U485" s="2"/>
      <c r="V485" s="2"/>
      <c r="W485" s="2"/>
      <c r="X485" s="2"/>
      <c r="Y485" s="2"/>
    </row>
    <row r="486" spans="1:25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2"/>
      <c r="R486" s="4"/>
      <c r="S486" s="2"/>
      <c r="T486" s="2"/>
      <c r="U486" s="2"/>
      <c r="V486" s="2"/>
      <c r="W486" s="2"/>
      <c r="X486" s="2"/>
      <c r="Y486" s="2"/>
    </row>
    <row r="487" spans="1:25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2"/>
      <c r="R487" s="5"/>
      <c r="S487" s="2"/>
      <c r="T487" s="2"/>
      <c r="U487" s="2"/>
      <c r="V487" s="2"/>
      <c r="W487" s="2"/>
      <c r="X487" s="2"/>
      <c r="Y487" s="2"/>
    </row>
    <row r="488" spans="1:25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2"/>
      <c r="R488" s="5"/>
      <c r="S488" s="2"/>
      <c r="T488" s="2"/>
      <c r="U488" s="2"/>
      <c r="V488" s="2"/>
      <c r="W488" s="2"/>
      <c r="X488" s="2"/>
      <c r="Y488" s="2"/>
    </row>
    <row r="489" spans="1:25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2"/>
      <c r="R489" s="5"/>
      <c r="S489" s="2"/>
      <c r="T489" s="2"/>
      <c r="U489" s="2"/>
      <c r="V489" s="2"/>
      <c r="W489" s="2"/>
      <c r="X489" s="2"/>
      <c r="Y489" s="2"/>
    </row>
    <row r="490" spans="1:25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2"/>
      <c r="R490" s="5"/>
      <c r="S490" s="2"/>
      <c r="T490" s="2"/>
      <c r="U490" s="2"/>
      <c r="V490" s="2"/>
      <c r="W490" s="2"/>
      <c r="X490" s="2"/>
      <c r="Y490" s="2"/>
    </row>
    <row r="491" spans="1:25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2"/>
      <c r="R491" s="5"/>
      <c r="S491" s="2"/>
      <c r="T491" s="2"/>
      <c r="U491" s="2"/>
      <c r="V491" s="2"/>
      <c r="W491" s="2"/>
      <c r="X491" s="2"/>
      <c r="Y491" s="2"/>
    </row>
    <row r="492" spans="1:25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2"/>
      <c r="R492" s="5"/>
      <c r="S492" s="2"/>
      <c r="T492" s="2"/>
      <c r="U492" s="2"/>
      <c r="V492" s="2"/>
      <c r="W492" s="2"/>
      <c r="X492" s="2"/>
      <c r="Y492" s="2"/>
    </row>
    <row r="493" spans="1:25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2"/>
      <c r="R493" s="5"/>
      <c r="S493" s="2"/>
      <c r="T493" s="2"/>
      <c r="U493" s="2"/>
      <c r="V493" s="2"/>
      <c r="W493" s="2"/>
      <c r="X493" s="2"/>
      <c r="Y493" s="2"/>
    </row>
    <row r="494" spans="1:25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2"/>
      <c r="R494" s="5"/>
      <c r="S494" s="2"/>
      <c r="T494" s="2"/>
      <c r="U494" s="2"/>
      <c r="V494" s="2"/>
      <c r="W494" s="2"/>
      <c r="X494" s="2"/>
      <c r="Y494" s="2"/>
    </row>
    <row r="495" spans="1:25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2"/>
      <c r="R495" s="5"/>
      <c r="S495" s="2"/>
      <c r="T495" s="2"/>
      <c r="U495" s="2"/>
      <c r="V495" s="2"/>
      <c r="W495" s="2"/>
      <c r="X495" s="2"/>
      <c r="Y495" s="2"/>
    </row>
    <row r="496" spans="1:25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2"/>
      <c r="R496" s="5"/>
      <c r="S496" s="2"/>
      <c r="T496" s="2"/>
      <c r="U496" s="2"/>
      <c r="V496" s="2"/>
      <c r="W496" s="2"/>
      <c r="X496" s="2"/>
      <c r="Y496" s="2"/>
    </row>
    <row r="497" spans="1:25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2"/>
      <c r="R497" s="4"/>
      <c r="S497" s="2"/>
      <c r="T497" s="2"/>
      <c r="U497" s="2"/>
      <c r="V497" s="2"/>
      <c r="W497" s="2"/>
      <c r="X497" s="2"/>
      <c r="Y497" s="2"/>
    </row>
    <row r="498" spans="1:25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2"/>
      <c r="R498" s="5"/>
      <c r="S498" s="2"/>
      <c r="T498" s="2"/>
      <c r="U498" s="2"/>
      <c r="V498" s="2"/>
      <c r="W498" s="2"/>
      <c r="X498" s="2"/>
      <c r="Y498" s="2"/>
    </row>
    <row r="499" spans="1:25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2"/>
      <c r="R499" s="5"/>
      <c r="S499" s="2"/>
      <c r="T499" s="2"/>
      <c r="U499" s="2"/>
      <c r="V499" s="2"/>
      <c r="W499" s="2"/>
      <c r="X499" s="2"/>
      <c r="Y499" s="2"/>
    </row>
    <row r="500" spans="1:25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2"/>
      <c r="T500" s="2"/>
      <c r="U500" s="4"/>
      <c r="V500" s="2"/>
      <c r="W500" s="2"/>
      <c r="X500" s="2"/>
      <c r="Y500" s="2"/>
    </row>
    <row r="501" spans="1:25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2"/>
      <c r="R501" s="5"/>
      <c r="S501" s="2"/>
      <c r="T501" s="2"/>
      <c r="U501" s="2"/>
      <c r="V501" s="2"/>
      <c r="W501" s="2"/>
      <c r="X501" s="2"/>
      <c r="Y501" s="2"/>
    </row>
    <row r="502" spans="1:25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2"/>
      <c r="R502" s="4"/>
      <c r="S502" s="2"/>
      <c r="T502" s="2"/>
      <c r="U502" s="2"/>
      <c r="V502" s="2"/>
      <c r="W502" s="2"/>
      <c r="X502" s="2"/>
      <c r="Y502" s="2"/>
    </row>
    <row r="503" spans="1:25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2"/>
      <c r="R503" s="5"/>
      <c r="S503" s="2"/>
      <c r="T503" s="2"/>
      <c r="U503" s="2"/>
      <c r="V503" s="2"/>
      <c r="W503" s="2"/>
      <c r="X503" s="2"/>
      <c r="Y503" s="2"/>
    </row>
    <row r="504" spans="1:25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2"/>
      <c r="R504" s="5"/>
      <c r="S504" s="2"/>
      <c r="T504" s="2"/>
      <c r="U504" s="2"/>
      <c r="V504" s="2"/>
      <c r="W504" s="2"/>
      <c r="X504" s="2"/>
      <c r="Y504" s="2"/>
    </row>
    <row r="505" spans="1:25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2"/>
      <c r="R505" s="5"/>
      <c r="S505" s="2"/>
      <c r="T505" s="2"/>
      <c r="U505" s="2"/>
      <c r="V505" s="2"/>
      <c r="W505" s="2"/>
      <c r="X505" s="2"/>
      <c r="Y505" s="2"/>
    </row>
    <row r="506" spans="1:25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2"/>
      <c r="R506" s="5"/>
      <c r="S506" s="2"/>
      <c r="T506" s="2"/>
      <c r="U506" s="2"/>
      <c r="V506" s="2"/>
      <c r="W506" s="2"/>
      <c r="X506" s="2"/>
      <c r="Y506" s="2"/>
    </row>
    <row r="507" spans="1:25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2"/>
      <c r="R507" s="5"/>
      <c r="S507" s="2"/>
      <c r="T507" s="2"/>
      <c r="U507" s="2"/>
      <c r="V507" s="2"/>
      <c r="W507" s="2"/>
      <c r="X507" s="2"/>
      <c r="Y507" s="2"/>
    </row>
    <row r="508" spans="1:25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2"/>
      <c r="R508" s="5"/>
      <c r="S508" s="2"/>
      <c r="T508" s="2"/>
      <c r="U508" s="2"/>
      <c r="V508" s="2"/>
      <c r="W508" s="2"/>
      <c r="X508" s="2"/>
      <c r="Y508" s="2"/>
    </row>
    <row r="509" spans="1:25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2"/>
      <c r="R509" s="5"/>
      <c r="S509" s="2"/>
      <c r="T509" s="2"/>
      <c r="U509" s="2"/>
      <c r="V509" s="2"/>
      <c r="W509" s="2"/>
      <c r="X509" s="2"/>
      <c r="Y509" s="2"/>
    </row>
    <row r="510" spans="1:25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2"/>
      <c r="R510" s="5"/>
      <c r="S510" s="2"/>
      <c r="T510" s="2"/>
      <c r="U510" s="2"/>
      <c r="V510" s="2"/>
      <c r="W510" s="2"/>
      <c r="X510" s="2"/>
      <c r="Y510" s="2"/>
    </row>
    <row r="511" spans="1:25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2"/>
      <c r="R511" s="4"/>
      <c r="S511" s="2"/>
      <c r="T511" s="2"/>
      <c r="U511" s="2"/>
      <c r="V511" s="2"/>
      <c r="W511" s="2"/>
      <c r="X511" s="2"/>
      <c r="Y511" s="2"/>
    </row>
    <row r="512" spans="1:25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2"/>
      <c r="R512" s="5"/>
      <c r="S512" s="2"/>
      <c r="T512" s="2"/>
      <c r="U512" s="2"/>
      <c r="V512" s="2"/>
      <c r="W512" s="2"/>
      <c r="X512" s="2"/>
      <c r="Y512" s="2"/>
    </row>
    <row r="513" spans="1:25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2"/>
      <c r="R513" s="5"/>
      <c r="S513" s="2"/>
      <c r="T513" s="2"/>
      <c r="U513" s="2"/>
      <c r="V513" s="2"/>
      <c r="W513" s="2"/>
      <c r="X513" s="2"/>
      <c r="Y513" s="2"/>
    </row>
    <row r="514" spans="1:25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2"/>
      <c r="T514" s="4"/>
      <c r="U514" s="5"/>
      <c r="V514" s="2"/>
      <c r="W514" s="2"/>
      <c r="X514" s="2"/>
      <c r="Y514" s="2"/>
    </row>
    <row r="515" spans="1:25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2"/>
      <c r="R515" s="5"/>
      <c r="S515" s="2"/>
      <c r="T515" s="2"/>
      <c r="U515" s="2"/>
      <c r="V515" s="2"/>
      <c r="W515" s="2"/>
      <c r="X515" s="2"/>
      <c r="Y515" s="2"/>
    </row>
    <row r="516" spans="1:25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2"/>
      <c r="R516" s="4"/>
      <c r="S516" s="2"/>
      <c r="T516" s="2"/>
      <c r="U516" s="2"/>
      <c r="V516" s="2"/>
      <c r="W516" s="2"/>
      <c r="X516" s="2"/>
      <c r="Y516" s="2"/>
    </row>
    <row r="517" spans="1:25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2"/>
      <c r="R517" s="5"/>
      <c r="S517" s="2"/>
      <c r="T517" s="2"/>
      <c r="U517" s="2"/>
      <c r="V517" s="2"/>
      <c r="W517" s="2"/>
      <c r="X517" s="2"/>
      <c r="Y517" s="2"/>
    </row>
    <row r="518" spans="1:25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2"/>
      <c r="R518" s="5"/>
      <c r="S518" s="2"/>
      <c r="T518" s="2"/>
      <c r="U518" s="2"/>
      <c r="V518" s="2"/>
      <c r="W518" s="2"/>
      <c r="X518" s="2"/>
      <c r="Y518" s="2"/>
    </row>
    <row r="519" spans="1:25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2"/>
      <c r="R519" s="5"/>
      <c r="S519" s="2"/>
      <c r="T519" s="2"/>
      <c r="U519" s="2"/>
      <c r="V519" s="2"/>
      <c r="W519" s="2"/>
      <c r="X519" s="2"/>
      <c r="Y519" s="2"/>
    </row>
    <row r="520" spans="1:25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2"/>
      <c r="R520" s="5"/>
      <c r="S520" s="2"/>
      <c r="T520" s="2"/>
      <c r="U520" s="2"/>
      <c r="V520" s="2"/>
      <c r="W520" s="2"/>
      <c r="X520" s="2"/>
      <c r="Y520" s="2"/>
    </row>
    <row r="521" spans="1:25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2"/>
      <c r="R521" s="5"/>
      <c r="S521" s="2"/>
      <c r="T521" s="2"/>
      <c r="U521" s="2"/>
      <c r="V521" s="2"/>
      <c r="W521" s="2"/>
      <c r="X521" s="2"/>
      <c r="Y521" s="2"/>
    </row>
    <row r="522" spans="1:25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2"/>
      <c r="R522" s="5"/>
      <c r="S522" s="2"/>
      <c r="T522" s="2"/>
      <c r="U522" s="2"/>
      <c r="V522" s="2"/>
      <c r="W522" s="2"/>
      <c r="X522" s="2"/>
      <c r="Y522" s="2"/>
    </row>
    <row r="523" spans="1:25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2"/>
      <c r="R523" s="4"/>
      <c r="S523" s="2"/>
      <c r="T523" s="2"/>
      <c r="U523" s="2"/>
      <c r="V523" s="2"/>
      <c r="W523" s="2"/>
      <c r="X523" s="2"/>
      <c r="Y523" s="2"/>
    </row>
    <row r="524" spans="1:25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2"/>
      <c r="R524" s="4"/>
      <c r="S524" s="2"/>
      <c r="T524" s="2"/>
      <c r="U524" s="2"/>
      <c r="V524" s="2"/>
      <c r="W524" s="2"/>
      <c r="X524" s="2"/>
      <c r="Y524" s="2"/>
    </row>
    <row r="525" spans="1:25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2"/>
      <c r="R525" s="4"/>
      <c r="S525" s="2"/>
      <c r="T525" s="2"/>
      <c r="U525" s="2"/>
      <c r="V525" s="2"/>
      <c r="W525" s="2"/>
      <c r="X525" s="2"/>
      <c r="Y525" s="2"/>
    </row>
    <row r="526" spans="1:25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2"/>
      <c r="T526" s="4"/>
      <c r="U526" s="5"/>
      <c r="V526" s="2"/>
      <c r="W526" s="2"/>
      <c r="X526" s="2"/>
      <c r="Y526" s="2"/>
    </row>
    <row r="527" spans="1:25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2"/>
      <c r="R527" s="5"/>
      <c r="S527" s="2"/>
      <c r="T527" s="2"/>
      <c r="U527" s="2"/>
      <c r="V527" s="2"/>
      <c r="W527" s="2"/>
      <c r="X527" s="2"/>
      <c r="Y527" s="2"/>
    </row>
    <row r="528" spans="1:25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2"/>
      <c r="R528" s="4"/>
      <c r="S528" s="2"/>
      <c r="T528" s="2"/>
      <c r="U528" s="2"/>
      <c r="V528" s="2"/>
      <c r="W528" s="2"/>
      <c r="X528" s="2"/>
      <c r="Y528" s="2"/>
    </row>
    <row r="529" spans="1:25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2"/>
      <c r="R529" s="5"/>
      <c r="S529" s="2"/>
      <c r="T529" s="2"/>
      <c r="U529" s="2"/>
      <c r="V529" s="2"/>
      <c r="W529" s="2"/>
      <c r="X529" s="2"/>
      <c r="Y529" s="2"/>
    </row>
    <row r="530" spans="1:25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2"/>
      <c r="R530" s="5"/>
      <c r="S530" s="2"/>
      <c r="T530" s="2"/>
      <c r="U530" s="2"/>
      <c r="V530" s="2"/>
      <c r="W530" s="2"/>
      <c r="X530" s="2"/>
      <c r="Y530" s="2"/>
    </row>
    <row r="531" spans="1:25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2"/>
      <c r="R531" s="5"/>
      <c r="S531" s="2"/>
      <c r="T531" s="2"/>
      <c r="U531" s="2"/>
      <c r="V531" s="2"/>
      <c r="W531" s="2"/>
      <c r="X531" s="2"/>
      <c r="Y531" s="2"/>
    </row>
    <row r="532" spans="1:25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2"/>
      <c r="R532" s="5"/>
      <c r="S532" s="2"/>
      <c r="T532" s="2"/>
      <c r="U532" s="2"/>
      <c r="V532" s="2"/>
      <c r="W532" s="2"/>
      <c r="X532" s="2"/>
      <c r="Y532" s="2"/>
    </row>
    <row r="533" spans="1:25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2"/>
      <c r="R533" s="5"/>
      <c r="S533" s="2"/>
      <c r="T533" s="2"/>
      <c r="U533" s="2"/>
      <c r="V533" s="2"/>
      <c r="W533" s="2"/>
      <c r="X533" s="2"/>
      <c r="Y533" s="2"/>
    </row>
    <row r="534" spans="1:25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2"/>
      <c r="R534" s="4"/>
      <c r="S534" s="2"/>
      <c r="T534" s="2"/>
      <c r="U534" s="2"/>
      <c r="V534" s="2"/>
      <c r="W534" s="2"/>
      <c r="X534" s="2"/>
      <c r="Y534" s="2"/>
    </row>
    <row r="535" spans="1:25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2"/>
      <c r="R535" s="5"/>
      <c r="S535" s="2"/>
      <c r="T535" s="2"/>
      <c r="U535" s="2"/>
      <c r="V535" s="2"/>
      <c r="W535" s="2"/>
      <c r="X535" s="2"/>
      <c r="Y535" s="2"/>
    </row>
    <row r="536" spans="1:25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2"/>
      <c r="R536" s="5"/>
      <c r="S536" s="2"/>
      <c r="T536" s="2"/>
      <c r="U536" s="2"/>
      <c r="V536" s="2"/>
      <c r="W536" s="2"/>
      <c r="X536" s="2"/>
      <c r="Y536" s="2"/>
    </row>
    <row r="537" spans="1:25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2"/>
      <c r="R537" s="5"/>
      <c r="S537" s="2"/>
      <c r="T537" s="2"/>
      <c r="U537" s="2"/>
      <c r="V537" s="2"/>
      <c r="W537" s="2"/>
      <c r="X537" s="2"/>
      <c r="Y537" s="2"/>
    </row>
    <row r="538" spans="1:25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2"/>
      <c r="T538" s="2"/>
      <c r="U538" s="2"/>
      <c r="V538" s="2"/>
      <c r="W538" s="2"/>
      <c r="X538" s="2"/>
      <c r="Y538" s="2"/>
    </row>
    <row r="539" spans="1:25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2"/>
      <c r="R539" s="5"/>
      <c r="S539" s="2"/>
      <c r="T539" s="2"/>
      <c r="U539" s="2"/>
      <c r="V539" s="2"/>
      <c r="W539" s="2"/>
      <c r="X539" s="2"/>
      <c r="Y539" s="2"/>
    </row>
    <row r="540" spans="1:25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27"/>
      <c r="R541" s="5"/>
      <c r="S541" s="5"/>
      <c r="T541" s="2"/>
      <c r="U541" s="5"/>
      <c r="V541" s="5"/>
      <c r="W541" s="5"/>
      <c r="X541" s="2"/>
      <c r="Y541" s="2"/>
    </row>
    <row r="542" spans="1:25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2"/>
      <c r="T542" s="2"/>
      <c r="U542" s="2"/>
      <c r="V542" s="5"/>
      <c r="W542" s="5"/>
      <c r="X542" s="2"/>
      <c r="Y542" s="2"/>
    </row>
    <row r="543" spans="1:25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23"/>
      <c r="R544" s="23"/>
      <c r="S544" s="23"/>
      <c r="T544" s="23"/>
      <c r="U544" s="23"/>
      <c r="V544" s="23"/>
      <c r="W544" s="23"/>
      <c r="X544" s="5"/>
      <c r="Y544" s="5"/>
    </row>
    <row r="545" spans="1:25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2"/>
      <c r="T545" s="2"/>
      <c r="U545" s="5"/>
      <c r="V545" s="5"/>
      <c r="W545" s="5"/>
      <c r="X545" s="5"/>
      <c r="Y545" s="5"/>
    </row>
    <row r="546" spans="1:25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1"/>
      <c r="R546" s="5"/>
      <c r="S546" s="2"/>
      <c r="T546" s="2"/>
      <c r="U546" s="5"/>
      <c r="V546" s="5"/>
      <c r="W546" s="5"/>
      <c r="X546" s="5"/>
      <c r="Y546" s="5"/>
    </row>
    <row r="547" spans="1:25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28"/>
      <c r="R548" s="29"/>
      <c r="S548" s="30"/>
      <c r="T548" s="30"/>
      <c r="U548" s="30"/>
      <c r="V548" s="5"/>
      <c r="W548" s="5"/>
      <c r="X548" s="5"/>
      <c r="Y548" s="5"/>
    </row>
    <row r="549" spans="1:25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31"/>
      <c r="R549" s="31"/>
      <c r="S549" s="31"/>
      <c r="T549" s="31"/>
      <c r="U549" s="31"/>
      <c r="V549" s="5"/>
      <c r="W549" s="5"/>
      <c r="X549" s="5"/>
      <c r="Y549" s="5"/>
    </row>
    <row r="550" spans="1:25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24"/>
      <c r="R550" s="24"/>
      <c r="S550" s="24"/>
      <c r="T550" s="24"/>
      <c r="U550" s="5"/>
      <c r="V550" s="5"/>
      <c r="W550" s="5"/>
      <c r="X550" s="5"/>
      <c r="Y550" s="5"/>
    </row>
    <row r="551" spans="1:25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24"/>
      <c r="R552" s="24"/>
      <c r="S552" s="24"/>
      <c r="T552" s="24"/>
      <c r="U552" s="24"/>
      <c r="V552" s="5"/>
      <c r="W552" s="5"/>
      <c r="X552" s="5"/>
      <c r="Y552" s="5"/>
    </row>
    <row r="553" spans="1:25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24"/>
      <c r="R553" s="24"/>
      <c r="S553" s="24"/>
      <c r="T553" s="24"/>
      <c r="U553" s="5"/>
      <c r="V553" s="5"/>
      <c r="W553" s="5"/>
      <c r="X553" s="5"/>
      <c r="Y553" s="5"/>
    </row>
    <row r="554" spans="1:25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24"/>
      <c r="R554" s="24"/>
      <c r="S554" s="24"/>
      <c r="T554" s="24"/>
      <c r="U554" s="5"/>
      <c r="V554" s="5"/>
      <c r="W554" s="5"/>
      <c r="X554" s="5"/>
      <c r="Y554" s="5"/>
    </row>
    <row r="555" spans="1:25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24"/>
      <c r="R555" s="24"/>
      <c r="S555" s="24"/>
      <c r="T555" s="24"/>
      <c r="U555" s="5"/>
      <c r="V555" s="5"/>
      <c r="W555" s="5"/>
      <c r="X555" s="5"/>
      <c r="Y555" s="5"/>
    </row>
    <row r="556" spans="1:25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24"/>
      <c r="R556" s="24"/>
      <c r="S556" s="24"/>
      <c r="T556" s="24"/>
      <c r="U556" s="5"/>
      <c r="V556" s="5"/>
      <c r="W556" s="5"/>
      <c r="X556" s="5"/>
      <c r="Y556" s="5"/>
    </row>
    <row r="557" spans="1:25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32"/>
      <c r="R557" s="32"/>
      <c r="S557" s="32"/>
      <c r="T557" s="32"/>
      <c r="U557" s="26"/>
      <c r="V557" s="5"/>
      <c r="W557" s="5"/>
      <c r="X557" s="5"/>
      <c r="Y557" s="5"/>
    </row>
    <row r="558" spans="1:25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1"/>
      <c r="R558" s="5"/>
      <c r="S558" s="2"/>
      <c r="T558" s="2"/>
      <c r="U558" s="5"/>
      <c r="V558" s="5"/>
      <c r="W558" s="5"/>
      <c r="X558" s="5"/>
      <c r="Y558" s="5"/>
    </row>
    <row r="559" spans="1:25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25"/>
      <c r="R560" s="25"/>
      <c r="S560" s="25"/>
      <c r="T560" s="25"/>
      <c r="U560" s="5"/>
      <c r="V560" s="5"/>
      <c r="W560" s="5"/>
      <c r="X560" s="5"/>
      <c r="Y560" s="5"/>
    </row>
    <row r="561" spans="1:25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25"/>
      <c r="R561" s="25"/>
      <c r="S561" s="25"/>
      <c r="T561" s="25"/>
      <c r="U561" s="5"/>
      <c r="V561" s="5"/>
      <c r="W561" s="5"/>
      <c r="X561" s="5"/>
      <c r="Y561" s="5"/>
    </row>
    <row r="562" spans="1:25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25"/>
      <c r="R562" s="25"/>
      <c r="S562" s="25"/>
      <c r="T562" s="25"/>
      <c r="U562" s="5"/>
      <c r="V562" s="5"/>
      <c r="W562" s="5"/>
      <c r="X562" s="5"/>
      <c r="Y562" s="5"/>
    </row>
    <row r="563" spans="1:25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25"/>
      <c r="R563" s="25"/>
      <c r="S563" s="25"/>
      <c r="T563" s="25"/>
      <c r="U563" s="5"/>
      <c r="V563" s="5"/>
      <c r="W563" s="5"/>
      <c r="X563" s="5"/>
      <c r="Y563" s="5"/>
    </row>
    <row r="564" spans="1:25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25"/>
      <c r="R564" s="25"/>
      <c r="S564" s="25"/>
      <c r="T564" s="25"/>
      <c r="U564" s="5"/>
      <c r="V564" s="5"/>
      <c r="W564" s="25"/>
      <c r="X564" s="5"/>
      <c r="Y564" s="5"/>
    </row>
    <row r="565" spans="1:25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25"/>
      <c r="R565" s="25"/>
      <c r="S565" s="25"/>
      <c r="T565" s="25"/>
      <c r="U565" s="5"/>
      <c r="V565" s="5"/>
      <c r="W565" s="5"/>
      <c r="X565" s="5"/>
      <c r="Y565" s="5"/>
    </row>
    <row r="566" spans="1:25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25"/>
      <c r="R566" s="25"/>
      <c r="S566" s="25"/>
      <c r="T566" s="25"/>
      <c r="U566" s="5"/>
      <c r="V566" s="5"/>
      <c r="W566" s="25"/>
      <c r="X566" s="5"/>
      <c r="Y566" s="5"/>
    </row>
    <row r="567" spans="1:25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25"/>
      <c r="R567" s="25"/>
      <c r="S567" s="25"/>
      <c r="T567" s="25"/>
      <c r="U567" s="5"/>
      <c r="V567" s="5"/>
      <c r="W567" s="25"/>
      <c r="X567" s="5"/>
      <c r="Y567" s="5"/>
    </row>
    <row r="568" spans="1:25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24"/>
      <c r="R568" s="24"/>
      <c r="S568" s="24"/>
      <c r="T568" s="24"/>
      <c r="U568" s="5"/>
      <c r="V568" s="5"/>
      <c r="W568" s="5"/>
      <c r="X568" s="5"/>
      <c r="Y568" s="5"/>
    </row>
    <row r="569" spans="1:25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24"/>
      <c r="R569" s="24"/>
      <c r="S569" s="24"/>
      <c r="T569" s="24"/>
      <c r="U569" s="5"/>
      <c r="V569" s="5"/>
      <c r="W569" s="25"/>
      <c r="X569" s="5"/>
      <c r="Y569" s="5"/>
    </row>
    <row r="570" spans="1:25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24"/>
      <c r="R570" s="24"/>
      <c r="S570" s="24"/>
      <c r="T570" s="24"/>
      <c r="U570" s="5"/>
      <c r="V570" s="5"/>
      <c r="W570" s="5"/>
      <c r="X570" s="5"/>
      <c r="Y570" s="5"/>
    </row>
    <row r="571" spans="1:25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24"/>
      <c r="R571" s="24"/>
      <c r="S571" s="24"/>
      <c r="T571" s="24"/>
      <c r="U571" s="5"/>
      <c r="V571" s="5"/>
      <c r="W571" s="5"/>
      <c r="X571" s="5"/>
      <c r="Y571" s="5"/>
    </row>
    <row r="572" spans="1:25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24"/>
      <c r="R572" s="24"/>
      <c r="S572" s="24"/>
      <c r="T572" s="24"/>
      <c r="U572" s="5"/>
      <c r="V572" s="5"/>
      <c r="W572" s="5"/>
      <c r="X572" s="5"/>
      <c r="Y572" s="5"/>
    </row>
    <row r="573" spans="1:25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24"/>
      <c r="R573" s="24"/>
      <c r="S573" s="24"/>
      <c r="T573" s="24"/>
      <c r="U573" s="5"/>
      <c r="V573" s="5"/>
      <c r="W573" s="5"/>
      <c r="X573" s="5"/>
      <c r="Y573" s="5"/>
    </row>
    <row r="574" spans="1:25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24"/>
      <c r="R574" s="24"/>
      <c r="S574" s="24"/>
      <c r="T574" s="24"/>
      <c r="U574" s="5"/>
      <c r="V574" s="5"/>
      <c r="W574" s="5"/>
      <c r="X574" s="5"/>
      <c r="Y574" s="5"/>
    </row>
    <row r="575" spans="1:25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24"/>
      <c r="R575" s="24"/>
      <c r="S575" s="24"/>
      <c r="T575" s="24"/>
      <c r="U575" s="5"/>
      <c r="V575" s="5"/>
      <c r="W575" s="5"/>
      <c r="X575" s="5"/>
      <c r="Y575" s="5"/>
    </row>
    <row r="576" spans="1:25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24"/>
      <c r="R576" s="24"/>
      <c r="S576" s="24"/>
      <c r="T576" s="24"/>
      <c r="U576" s="5"/>
      <c r="V576" s="5"/>
      <c r="W576" s="5"/>
      <c r="X576" s="5"/>
      <c r="Y576" s="5"/>
    </row>
    <row r="577" spans="1:25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1"/>
      <c r="R577" s="24"/>
      <c r="S577" s="24"/>
      <c r="T577" s="24"/>
      <c r="U577" s="5"/>
      <c r="V577" s="5"/>
      <c r="W577" s="5"/>
      <c r="X577" s="5"/>
      <c r="Y577" s="5"/>
    </row>
    <row r="578" spans="1:25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1"/>
      <c r="R578" s="5"/>
      <c r="S578" s="5"/>
      <c r="T578" s="5"/>
      <c r="U578" s="5"/>
      <c r="V578" s="5"/>
      <c r="W578" s="5"/>
      <c r="X578" s="5"/>
      <c r="Y578" s="5"/>
    </row>
    <row r="579" spans="1:25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32"/>
      <c r="R579" s="32"/>
      <c r="S579" s="32"/>
      <c r="T579" s="32"/>
      <c r="U579" s="26"/>
      <c r="V579" s="5"/>
      <c r="W579" s="5"/>
      <c r="X579" s="5"/>
      <c r="Y579" s="5"/>
    </row>
    <row r="580" spans="1:25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1"/>
      <c r="R580" s="5"/>
      <c r="S580" s="5"/>
      <c r="T580" s="5"/>
      <c r="U580" s="5"/>
      <c r="V580" s="5"/>
      <c r="W580" s="5"/>
      <c r="X580" s="5"/>
      <c r="Y580" s="5"/>
    </row>
    <row r="581" spans="1:25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31"/>
      <c r="R581" s="32"/>
      <c r="S581" s="32"/>
      <c r="T581" s="33"/>
      <c r="U581" s="33"/>
      <c r="V581" s="5"/>
      <c r="W581" s="5"/>
      <c r="X581" s="5"/>
      <c r="Y581" s="5"/>
    </row>
    <row r="582" spans="1:25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24"/>
      <c r="R583" s="24"/>
      <c r="S583" s="24"/>
      <c r="T583" s="24"/>
      <c r="U583" s="24"/>
      <c r="V583" s="5"/>
      <c r="W583" s="5"/>
      <c r="X583" s="5"/>
      <c r="Y583" s="5"/>
    </row>
    <row r="584" spans="1:25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24"/>
      <c r="R585" s="5"/>
      <c r="S585" s="5"/>
      <c r="T585" s="5"/>
      <c r="U585" s="5"/>
      <c r="V585" s="5"/>
      <c r="W585" s="5"/>
      <c r="X585" s="5"/>
      <c r="Y585" s="5"/>
    </row>
    <row r="586" spans="1:25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:25" ht="15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:25" ht="15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 ht="15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spans="1:25" ht="15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spans="1:25" ht="15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spans="1:25" ht="15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spans="1:25" ht="15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spans="1:25" ht="15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spans="1:25" ht="15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spans="1:25" ht="15.75" customHeight="1" x14ac:dyDescent="0.2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spans="1:25" ht="15.75" customHeight="1" x14ac:dyDescent="0.2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spans="1:25" ht="15.75" customHeight="1" x14ac:dyDescent="0.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spans="1:25" ht="15.75" customHeight="1" x14ac:dyDescent="0.2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spans="1:25" ht="15.75" customHeight="1" x14ac:dyDescent="0.2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spans="1:25" ht="15.75" customHeight="1" x14ac:dyDescent="0.2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spans="1:25" ht="15.75" customHeight="1" x14ac:dyDescent="0.2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spans="1:25" ht="15.75" customHeight="1" x14ac:dyDescent="0.2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 spans="1:25" ht="15.75" customHeight="1" x14ac:dyDescent="0.2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 spans="1:25" ht="15.75" customHeight="1" x14ac:dyDescent="0.2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 spans="1:25" ht="15.75" customHeight="1" x14ac:dyDescent="0.2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 spans="1:25" ht="15.75" customHeight="1" x14ac:dyDescent="0.2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spans="1:25" ht="15.75" customHeight="1" x14ac:dyDescent="0.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 spans="1:25" ht="15.75" customHeight="1" x14ac:dyDescent="0.2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 spans="1:25" ht="15.75" customHeight="1" x14ac:dyDescent="0.2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 spans="1:25" ht="15.75" customHeight="1" x14ac:dyDescent="0.2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 spans="1:25" ht="15.75" customHeight="1" x14ac:dyDescent="0.2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 spans="1:25" ht="15.75" customHeight="1" x14ac:dyDescent="0.2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 spans="1:25" ht="15.75" customHeight="1" x14ac:dyDescent="0.2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 spans="1:25" ht="15.75" customHeight="1" x14ac:dyDescent="0.2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 spans="1:25" ht="15.75" customHeight="1" x14ac:dyDescent="0.2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 spans="1:25" ht="15.75" customHeight="1" x14ac:dyDescent="0.2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 spans="1:25" ht="15.75" customHeight="1" x14ac:dyDescent="0.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 spans="1:25" ht="15.75" customHeight="1" x14ac:dyDescent="0.2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 spans="1:25" ht="15.75" customHeight="1" x14ac:dyDescent="0.2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 spans="1:25" ht="15.75" customHeight="1" x14ac:dyDescent="0.2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 spans="1:25" ht="15.75" customHeight="1" x14ac:dyDescent="0.2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 spans="1:25" ht="15.75" customHeight="1" x14ac:dyDescent="0.2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 spans="1:25" ht="15.75" customHeight="1" x14ac:dyDescent="0.2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 spans="1:25" ht="15.75" customHeight="1" x14ac:dyDescent="0.2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 spans="1:25" ht="15.75" customHeight="1" x14ac:dyDescent="0.2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 spans="1:25" ht="15.75" customHeight="1" x14ac:dyDescent="0.2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 spans="1:25" ht="15.75" customHeight="1" x14ac:dyDescent="0.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 spans="1:25" ht="15.75" customHeight="1" x14ac:dyDescent="0.2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 spans="1:25" ht="15.75" customHeight="1" x14ac:dyDescent="0.2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 spans="1:25" ht="15.75" customHeight="1" x14ac:dyDescent="0.2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 spans="1:25" ht="15.75" customHeight="1" x14ac:dyDescent="0.2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 spans="1:25" ht="15.75" customHeight="1" x14ac:dyDescent="0.2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</row>
    <row r="1048" spans="1:25" ht="15.75" customHeight="1" x14ac:dyDescent="0.2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</row>
    <row r="1049" spans="1:25" ht="15.75" customHeight="1" x14ac:dyDescent="0.2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</row>
    <row r="1050" spans="1:25" ht="15.75" customHeight="1" x14ac:dyDescent="0.2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</row>
    <row r="1051" spans="1:25" ht="15.75" customHeight="1" x14ac:dyDescent="0.2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</row>
    <row r="1052" spans="1:25" ht="15.75" customHeight="1" x14ac:dyDescent="0.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</row>
    <row r="1053" spans="1:25" ht="15.75" customHeight="1" x14ac:dyDescent="0.2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</row>
    <row r="1054" spans="1:25" ht="15.75" customHeight="1" x14ac:dyDescent="0.2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</row>
    <row r="1055" spans="1:25" ht="15.75" customHeight="1" x14ac:dyDescent="0.2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</row>
    <row r="1056" spans="1:25" ht="15.75" customHeight="1" x14ac:dyDescent="0.2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</row>
    <row r="1057" spans="1:25" ht="15.75" customHeight="1" x14ac:dyDescent="0.2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</row>
    <row r="1058" spans="1:25" ht="15.75" customHeight="1" x14ac:dyDescent="0.2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</row>
    <row r="1059" spans="1:25" ht="15.75" customHeight="1" x14ac:dyDescent="0.2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</row>
    <row r="1060" spans="1:25" ht="15.75" customHeight="1" x14ac:dyDescent="0.2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</row>
    <row r="1061" spans="1:25" ht="15.75" customHeight="1" x14ac:dyDescent="0.2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</row>
    <row r="1062" spans="1:25" ht="15.75" customHeight="1" x14ac:dyDescent="0.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</row>
    <row r="1063" spans="1:25" ht="15.75" customHeight="1" x14ac:dyDescent="0.2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</row>
    <row r="1064" spans="1:25" ht="15.75" customHeight="1" x14ac:dyDescent="0.2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</row>
    <row r="1065" spans="1:25" ht="15.75" customHeight="1" x14ac:dyDescent="0.2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</row>
    <row r="1066" spans="1:25" ht="15.75" customHeight="1" x14ac:dyDescent="0.2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</row>
    <row r="1067" spans="1:25" ht="15.75" customHeight="1" x14ac:dyDescent="0.2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</row>
    <row r="1068" spans="1:25" ht="15.75" customHeight="1" x14ac:dyDescent="0.2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</row>
    <row r="1069" spans="1:25" ht="15.75" customHeight="1" x14ac:dyDescent="0.2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</row>
    <row r="1070" spans="1:25" ht="15.75" customHeight="1" x14ac:dyDescent="0.2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</row>
    <row r="1071" spans="1:25" ht="15.75" customHeight="1" x14ac:dyDescent="0.2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</row>
    <row r="1072" spans="1:25" ht="15.75" customHeight="1" x14ac:dyDescent="0.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</row>
    <row r="1073" spans="1:25" ht="15.75" customHeight="1" x14ac:dyDescent="0.2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</row>
    <row r="1074" spans="1:25" ht="15.75" customHeight="1" x14ac:dyDescent="0.2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</row>
    <row r="1075" spans="1:25" ht="15.75" customHeight="1" x14ac:dyDescent="0.2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</row>
    <row r="1076" spans="1:25" ht="15.75" customHeight="1" x14ac:dyDescent="0.2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</row>
    <row r="1077" spans="1:25" ht="15.75" customHeight="1" x14ac:dyDescent="0.2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</row>
    <row r="1078" spans="1:25" ht="15.75" customHeight="1" x14ac:dyDescent="0.2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</row>
    <row r="1079" spans="1:25" ht="15.75" customHeight="1" x14ac:dyDescent="0.2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</row>
    <row r="1080" spans="1:25" ht="15.75" customHeight="1" x14ac:dyDescent="0.2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</row>
    <row r="1081" spans="1:25" ht="15.75" customHeight="1" x14ac:dyDescent="0.2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</row>
    <row r="1082" spans="1:25" ht="15.75" customHeight="1" x14ac:dyDescent="0.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</row>
    <row r="1083" spans="1:25" ht="15.75" customHeight="1" x14ac:dyDescent="0.2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</row>
    <row r="1084" spans="1:25" ht="15.75" customHeight="1" x14ac:dyDescent="0.2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</row>
    <row r="1085" spans="1:25" ht="15.75" customHeight="1" x14ac:dyDescent="0.2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</row>
    <row r="1086" spans="1:25" ht="15.75" customHeight="1" x14ac:dyDescent="0.2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</row>
    <row r="1087" spans="1:25" ht="15.75" customHeight="1" x14ac:dyDescent="0.2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</row>
    <row r="1088" spans="1:25" ht="15.75" customHeight="1" x14ac:dyDescent="0.2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</row>
    <row r="1089" spans="1:25" ht="15.75" customHeight="1" x14ac:dyDescent="0.2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</row>
    <row r="1090" spans="1:25" ht="15.75" customHeight="1" x14ac:dyDescent="0.2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</row>
    <row r="1091" spans="1:25" ht="15.75" customHeight="1" x14ac:dyDescent="0.2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</row>
    <row r="1092" spans="1:25" ht="15.75" customHeight="1" x14ac:dyDescent="0.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</row>
    <row r="1093" spans="1:25" ht="15.75" customHeight="1" x14ac:dyDescent="0.2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</row>
    <row r="1094" spans="1:25" ht="15.75" customHeight="1" x14ac:dyDescent="0.2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</row>
    <row r="1095" spans="1:25" ht="15.75" customHeight="1" x14ac:dyDescent="0.2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</row>
    <row r="1096" spans="1:25" ht="15.75" customHeight="1" x14ac:dyDescent="0.2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</row>
    <row r="1097" spans="1:25" ht="15.75" customHeight="1" x14ac:dyDescent="0.2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</row>
    <row r="1098" spans="1:25" ht="15.75" customHeight="1" x14ac:dyDescent="0.2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</row>
    <row r="1099" spans="1:25" ht="15.75" customHeight="1" x14ac:dyDescent="0.2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</row>
    <row r="1100" spans="1:25" ht="15.75" customHeight="1" x14ac:dyDescent="0.2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</row>
    <row r="1101" spans="1:25" ht="15.75" customHeight="1" x14ac:dyDescent="0.2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</row>
    <row r="1102" spans="1:25" ht="15.75" customHeight="1" x14ac:dyDescent="0.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</row>
    <row r="1103" spans="1:25" ht="15.75" customHeight="1" x14ac:dyDescent="0.2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</row>
    <row r="1104" spans="1:25" ht="15.75" customHeight="1" x14ac:dyDescent="0.2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</row>
    <row r="1105" spans="1:25" ht="15.75" customHeight="1" x14ac:dyDescent="0.2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</row>
    <row r="1106" spans="1:25" ht="15.75" customHeight="1" x14ac:dyDescent="0.2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</row>
    <row r="1107" spans="1:25" ht="15.75" customHeight="1" x14ac:dyDescent="0.2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</row>
    <row r="1108" spans="1:25" ht="15.75" customHeight="1" x14ac:dyDescent="0.2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</row>
    <row r="1109" spans="1:25" ht="15.75" customHeight="1" x14ac:dyDescent="0.2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</row>
    <row r="1110" spans="1:25" ht="15.75" customHeight="1" x14ac:dyDescent="0.2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</row>
    <row r="1111" spans="1:25" ht="15.75" customHeight="1" x14ac:dyDescent="0.2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</row>
    <row r="1112" spans="1:25" ht="15.75" customHeight="1" x14ac:dyDescent="0.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</row>
    <row r="1113" spans="1:25" ht="15.75" customHeight="1" x14ac:dyDescent="0.2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</row>
    <row r="1114" spans="1:25" ht="15.75" customHeight="1" x14ac:dyDescent="0.2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</row>
    <row r="1115" spans="1:25" ht="15.75" customHeight="1" x14ac:dyDescent="0.2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</row>
    <row r="1116" spans="1:25" ht="15.75" customHeight="1" x14ac:dyDescent="0.2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</row>
    <row r="1117" spans="1:25" ht="15.75" customHeight="1" x14ac:dyDescent="0.2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</row>
    <row r="1118" spans="1:25" ht="15.75" customHeight="1" x14ac:dyDescent="0.2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</row>
    <row r="1119" spans="1:25" ht="15.75" customHeight="1" x14ac:dyDescent="0.2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</row>
    <row r="1120" spans="1:25" ht="15.75" customHeight="1" x14ac:dyDescent="0.2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</row>
    <row r="1121" spans="1:25" ht="15.75" customHeight="1" x14ac:dyDescent="0.2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</row>
    <row r="1122" spans="1:25" ht="15.75" customHeight="1" x14ac:dyDescent="0.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</row>
    <row r="1123" spans="1:25" ht="15.75" customHeight="1" x14ac:dyDescent="0.2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</row>
    <row r="1124" spans="1:25" ht="15.75" customHeight="1" x14ac:dyDescent="0.2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</row>
    <row r="1125" spans="1:25" ht="15.75" customHeight="1" x14ac:dyDescent="0.2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</row>
    <row r="1126" spans="1:25" ht="15.75" customHeight="1" x14ac:dyDescent="0.2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</row>
    <row r="1127" spans="1:25" ht="15.75" customHeight="1" x14ac:dyDescent="0.2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</row>
    <row r="1128" spans="1:25" ht="15.75" customHeight="1" x14ac:dyDescent="0.2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</row>
    <row r="1129" spans="1:25" ht="15.75" customHeight="1" x14ac:dyDescent="0.2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</row>
    <row r="1130" spans="1:25" ht="15.75" customHeight="1" x14ac:dyDescent="0.2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</row>
    <row r="1131" spans="1:25" ht="15.75" customHeight="1" x14ac:dyDescent="0.2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</row>
    <row r="1132" spans="1:25" ht="15.75" customHeight="1" x14ac:dyDescent="0.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</row>
    <row r="1133" spans="1:25" ht="15.75" customHeight="1" x14ac:dyDescent="0.2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</row>
    <row r="1134" spans="1:25" ht="15.75" customHeight="1" x14ac:dyDescent="0.2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</row>
    <row r="1135" spans="1:25" ht="15.75" customHeight="1" x14ac:dyDescent="0.2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</row>
    <row r="1136" spans="1:25" ht="15.75" customHeight="1" x14ac:dyDescent="0.2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</row>
    <row r="1137" spans="1:25" ht="15.75" customHeight="1" x14ac:dyDescent="0.2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</row>
    <row r="1138" spans="1:25" ht="15.75" customHeight="1" x14ac:dyDescent="0.2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</row>
    <row r="1139" spans="1:25" ht="15.75" customHeight="1" x14ac:dyDescent="0.2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</row>
    <row r="1140" spans="1:25" ht="15.75" customHeight="1" x14ac:dyDescent="0.2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</row>
    <row r="1141" spans="1:25" ht="15.75" customHeight="1" x14ac:dyDescent="0.2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</row>
    <row r="1142" spans="1:25" ht="15.75" customHeight="1" x14ac:dyDescent="0.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</row>
    <row r="1143" spans="1:25" ht="15.75" customHeight="1" x14ac:dyDescent="0.2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</row>
    <row r="1144" spans="1:25" ht="15.75" customHeight="1" x14ac:dyDescent="0.2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</row>
    <row r="1145" spans="1:25" ht="15.75" customHeight="1" x14ac:dyDescent="0.2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</row>
    <row r="1146" spans="1:25" ht="15.75" customHeight="1" x14ac:dyDescent="0.2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</row>
    <row r="1147" spans="1:25" ht="15.75" customHeight="1" x14ac:dyDescent="0.2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</row>
    <row r="1148" spans="1:25" ht="15.75" customHeight="1" x14ac:dyDescent="0.2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</row>
    <row r="1149" spans="1:25" ht="15.75" customHeight="1" x14ac:dyDescent="0.2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</row>
    <row r="1150" spans="1:25" ht="15.75" customHeight="1" x14ac:dyDescent="0.2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</row>
    <row r="1151" spans="1:25" ht="15.75" customHeight="1" x14ac:dyDescent="0.2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</row>
    <row r="1152" spans="1:25" ht="15.75" customHeight="1" x14ac:dyDescent="0.2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</row>
    <row r="1153" spans="1:25" ht="15.75" customHeight="1" x14ac:dyDescent="0.2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</row>
    <row r="1154" spans="1:25" ht="15.75" customHeight="1" x14ac:dyDescent="0.2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</row>
    <row r="1155" spans="1:25" ht="15.75" customHeight="1" x14ac:dyDescent="0.2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</row>
    <row r="1156" spans="1:25" ht="15.75" customHeight="1" x14ac:dyDescent="0.2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</row>
    <row r="1157" spans="1:25" ht="15.75" customHeight="1" x14ac:dyDescent="0.2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</row>
    <row r="1158" spans="1:25" ht="15.75" customHeight="1" x14ac:dyDescent="0.2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</row>
    <row r="1159" spans="1:25" ht="15.75" customHeight="1" x14ac:dyDescent="0.2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</row>
    <row r="1160" spans="1:25" ht="15.75" customHeight="1" x14ac:dyDescent="0.2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</row>
    <row r="1161" spans="1:25" ht="15.75" customHeight="1" x14ac:dyDescent="0.2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</row>
    <row r="1162" spans="1:25" ht="15.75" customHeight="1" x14ac:dyDescent="0.2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</row>
    <row r="1163" spans="1:25" ht="15.75" customHeight="1" x14ac:dyDescent="0.2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</row>
    <row r="1164" spans="1:25" ht="15.75" customHeight="1" x14ac:dyDescent="0.2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</row>
    <row r="1165" spans="1:25" ht="15.75" customHeight="1" x14ac:dyDescent="0.2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</row>
    <row r="1166" spans="1:25" ht="15.75" customHeight="1" x14ac:dyDescent="0.2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</row>
    <row r="1167" spans="1:25" ht="15.75" customHeight="1" x14ac:dyDescent="0.2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</row>
    <row r="1168" spans="1:25" ht="15.75" customHeight="1" x14ac:dyDescent="0.2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</row>
    <row r="1169" spans="1:25" ht="15.75" customHeight="1" x14ac:dyDescent="0.2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</row>
    <row r="1170" spans="1:25" ht="15.75" customHeight="1" x14ac:dyDescent="0.2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</row>
    <row r="1171" spans="1:25" ht="15.75" customHeight="1" x14ac:dyDescent="0.2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</row>
    <row r="1172" spans="1:25" ht="15.75" customHeight="1" x14ac:dyDescent="0.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</row>
    <row r="1173" spans="1:25" ht="15.75" customHeight="1" x14ac:dyDescent="0.2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</row>
    <row r="1174" spans="1:25" ht="15.75" customHeight="1" x14ac:dyDescent="0.2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</row>
    <row r="1175" spans="1:25" ht="15.75" customHeight="1" x14ac:dyDescent="0.2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</row>
    <row r="1176" spans="1:25" ht="15.75" customHeight="1" x14ac:dyDescent="0.2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</row>
    <row r="1177" spans="1:25" ht="15.75" customHeight="1" x14ac:dyDescent="0.2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</row>
    <row r="1178" spans="1:25" ht="15.75" customHeight="1" x14ac:dyDescent="0.2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</row>
    <row r="1179" spans="1:25" ht="15.75" customHeight="1" x14ac:dyDescent="0.2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</row>
    <row r="1180" spans="1:25" ht="15.75" customHeight="1" x14ac:dyDescent="0.2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</row>
    <row r="1181" spans="1:25" ht="15.75" customHeight="1" x14ac:dyDescent="0.2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</row>
    <row r="1182" spans="1:25" ht="15.75" customHeight="1" x14ac:dyDescent="0.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</row>
    <row r="1183" spans="1:25" ht="15.75" customHeight="1" x14ac:dyDescent="0.2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</row>
    <row r="1184" spans="1:25" ht="15.75" customHeight="1" x14ac:dyDescent="0.2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</row>
    <row r="1185" spans="1:25" ht="15.75" customHeight="1" x14ac:dyDescent="0.2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</row>
    <row r="1186" spans="1:25" ht="15.75" customHeight="1" x14ac:dyDescent="0.2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</row>
    <row r="1187" spans="1:25" ht="15.75" customHeight="1" x14ac:dyDescent="0.2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</row>
    <row r="1188" spans="1:25" ht="15.75" customHeight="1" x14ac:dyDescent="0.2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</row>
    <row r="1189" spans="1:25" ht="15.75" customHeight="1" x14ac:dyDescent="0.2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</row>
    <row r="1190" spans="1:25" ht="15.75" customHeight="1" x14ac:dyDescent="0.2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</row>
    <row r="1191" spans="1:25" ht="15.75" customHeight="1" x14ac:dyDescent="0.2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</row>
    <row r="1192" spans="1:25" ht="15.75" customHeight="1" x14ac:dyDescent="0.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</row>
    <row r="1193" spans="1:25" ht="15.75" customHeight="1" x14ac:dyDescent="0.2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</row>
    <row r="1194" spans="1:25" ht="15.75" customHeight="1" x14ac:dyDescent="0.2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</row>
    <row r="1195" spans="1:25" ht="15.75" customHeight="1" x14ac:dyDescent="0.2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</row>
    <row r="1196" spans="1:25" ht="15.75" customHeight="1" x14ac:dyDescent="0.2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</row>
    <row r="1197" spans="1:25" ht="15.75" customHeight="1" x14ac:dyDescent="0.2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</row>
    <row r="1198" spans="1:25" ht="15.75" customHeight="1" x14ac:dyDescent="0.2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</row>
    <row r="1199" spans="1:25" ht="15.75" customHeight="1" x14ac:dyDescent="0.2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</row>
    <row r="1200" spans="1:25" ht="15.75" customHeight="1" x14ac:dyDescent="0.2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</row>
    <row r="1201" spans="1:25" ht="15.75" customHeight="1" x14ac:dyDescent="0.2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</row>
    <row r="1202" spans="1:25" ht="15.75" customHeight="1" x14ac:dyDescent="0.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</row>
    <row r="1203" spans="1:25" ht="15.75" customHeight="1" x14ac:dyDescent="0.2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</row>
    <row r="1204" spans="1:25" ht="15.75" customHeight="1" x14ac:dyDescent="0.2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</row>
    <row r="1205" spans="1:25" ht="15.75" customHeight="1" x14ac:dyDescent="0.2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</row>
    <row r="1206" spans="1:25" ht="15.75" customHeight="1" x14ac:dyDescent="0.2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</row>
    <row r="1207" spans="1:25" ht="15.75" customHeight="1" x14ac:dyDescent="0.2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</row>
    <row r="1208" spans="1:25" ht="15.75" customHeight="1" x14ac:dyDescent="0.2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</row>
    <row r="1209" spans="1:25" ht="15.75" customHeight="1" x14ac:dyDescent="0.2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</row>
    <row r="1210" spans="1:25" ht="15.75" customHeight="1" x14ac:dyDescent="0.2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</row>
    <row r="1211" spans="1:25" ht="15.75" customHeight="1" x14ac:dyDescent="0.2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</row>
    <row r="1212" spans="1:25" ht="15.75" customHeight="1" x14ac:dyDescent="0.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</row>
    <row r="1213" spans="1:25" ht="15.75" customHeight="1" x14ac:dyDescent="0.2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</row>
    <row r="1214" spans="1:25" ht="15.75" customHeight="1" x14ac:dyDescent="0.2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</row>
    <row r="1215" spans="1:25" ht="15.75" customHeight="1" x14ac:dyDescent="0.2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</row>
    <row r="1216" spans="1:25" ht="15.75" customHeight="1" x14ac:dyDescent="0.2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</row>
    <row r="1217" spans="1:25" ht="15.75" customHeight="1" x14ac:dyDescent="0.2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</row>
    <row r="1218" spans="1:25" ht="15.75" customHeight="1" x14ac:dyDescent="0.2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</row>
    <row r="1219" spans="1:25" ht="15.75" customHeight="1" x14ac:dyDescent="0.2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</row>
    <row r="1220" spans="1:25" ht="15.75" customHeight="1" x14ac:dyDescent="0.2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</row>
    <row r="1221" spans="1:25" ht="15.75" customHeight="1" x14ac:dyDescent="0.2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</row>
    <row r="1222" spans="1:25" ht="15.75" customHeight="1" x14ac:dyDescent="0.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</row>
    <row r="1223" spans="1:25" ht="15.75" customHeight="1" x14ac:dyDescent="0.2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</row>
    <row r="1224" spans="1:25" ht="15.75" customHeight="1" x14ac:dyDescent="0.2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</row>
    <row r="1225" spans="1:25" ht="15.75" customHeight="1" x14ac:dyDescent="0.2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</row>
    <row r="1226" spans="1:25" ht="15.75" customHeight="1" x14ac:dyDescent="0.2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</row>
    <row r="1227" spans="1:25" ht="15.75" customHeight="1" x14ac:dyDescent="0.2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</row>
    <row r="1228" spans="1:25" ht="15.75" customHeight="1" x14ac:dyDescent="0.2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</row>
    <row r="1229" spans="1:25" ht="15.75" customHeight="1" x14ac:dyDescent="0.2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</row>
    <row r="1230" spans="1:25" ht="15.75" customHeight="1" x14ac:dyDescent="0.2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</row>
    <row r="1231" spans="1:25" ht="15.75" customHeight="1" x14ac:dyDescent="0.2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</row>
    <row r="1232" spans="1:25" ht="15.75" customHeight="1" x14ac:dyDescent="0.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</row>
    <row r="1233" spans="1:25" ht="15.75" customHeight="1" x14ac:dyDescent="0.2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</row>
    <row r="1234" spans="1:25" ht="15.75" customHeight="1" x14ac:dyDescent="0.2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</row>
    <row r="1235" spans="1:25" ht="15.75" customHeight="1" x14ac:dyDescent="0.2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</row>
    <row r="1236" spans="1:25" ht="15.75" customHeight="1" x14ac:dyDescent="0.2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</row>
    <row r="1237" spans="1:25" ht="15.75" customHeight="1" x14ac:dyDescent="0.2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</row>
    <row r="1238" spans="1:25" ht="15.75" customHeight="1" x14ac:dyDescent="0.2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</row>
    <row r="1239" spans="1:25" ht="15.75" customHeight="1" x14ac:dyDescent="0.2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</row>
    <row r="1240" spans="1:25" ht="15.75" customHeight="1" x14ac:dyDescent="0.2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</row>
    <row r="1241" spans="1:25" ht="15.75" customHeight="1" x14ac:dyDescent="0.2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</row>
    <row r="1242" spans="1:25" ht="15.75" customHeight="1" x14ac:dyDescent="0.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</row>
    <row r="1243" spans="1:25" ht="15.75" customHeight="1" x14ac:dyDescent="0.2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</row>
    <row r="1244" spans="1:25" ht="15.75" customHeight="1" x14ac:dyDescent="0.2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</row>
    <row r="1245" spans="1:25" ht="15.75" customHeight="1" x14ac:dyDescent="0.2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</row>
    <row r="1246" spans="1:25" ht="15.75" customHeight="1" x14ac:dyDescent="0.2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</row>
    <row r="1247" spans="1:25" ht="15.75" customHeight="1" x14ac:dyDescent="0.2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</row>
    <row r="1248" spans="1:25" ht="15.75" customHeight="1" x14ac:dyDescent="0.2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</row>
    <row r="1249" spans="1:25" ht="15.75" customHeight="1" x14ac:dyDescent="0.2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</row>
    <row r="1250" spans="1:25" ht="15.75" customHeight="1" x14ac:dyDescent="0.2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</row>
    <row r="1251" spans="1:25" ht="15.75" customHeight="1" x14ac:dyDescent="0.2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</row>
    <row r="1252" spans="1:25" ht="15.75" customHeight="1" x14ac:dyDescent="0.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</row>
    <row r="1253" spans="1:25" ht="15.75" customHeight="1" x14ac:dyDescent="0.2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</row>
    <row r="1254" spans="1:25" ht="15.75" customHeight="1" x14ac:dyDescent="0.2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</row>
    <row r="1255" spans="1:25" ht="15.75" customHeight="1" x14ac:dyDescent="0.2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</row>
    <row r="1256" spans="1:25" ht="15.75" customHeight="1" x14ac:dyDescent="0.2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</row>
    <row r="1257" spans="1:25" ht="15.75" customHeight="1" x14ac:dyDescent="0.2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</row>
    <row r="1258" spans="1:25" ht="15.75" customHeight="1" x14ac:dyDescent="0.2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</row>
    <row r="1259" spans="1:25" ht="15.75" customHeight="1" x14ac:dyDescent="0.2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</row>
    <row r="1260" spans="1:25" ht="15.75" customHeight="1" x14ac:dyDescent="0.2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</row>
    <row r="1261" spans="1:25" ht="15.75" customHeight="1" x14ac:dyDescent="0.2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</row>
    <row r="1262" spans="1:25" ht="15.75" customHeight="1" x14ac:dyDescent="0.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</row>
    <row r="1263" spans="1:25" ht="15.75" customHeight="1" x14ac:dyDescent="0.2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</row>
    <row r="1264" spans="1:25" ht="15.75" customHeight="1" x14ac:dyDescent="0.2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</row>
    <row r="1265" spans="1:25" ht="15.75" customHeight="1" x14ac:dyDescent="0.2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</row>
    <row r="1266" spans="1:25" ht="15.75" customHeight="1" x14ac:dyDescent="0.2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</row>
    <row r="1267" spans="1:25" ht="15.75" customHeight="1" x14ac:dyDescent="0.2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</row>
    <row r="1268" spans="1:25" ht="15.75" customHeight="1" x14ac:dyDescent="0.2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</row>
    <row r="1269" spans="1:25" ht="15.75" customHeight="1" x14ac:dyDescent="0.2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</row>
    <row r="1270" spans="1:25" ht="15.75" customHeight="1" x14ac:dyDescent="0.2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</row>
    <row r="1271" spans="1:25" ht="15.75" customHeight="1" x14ac:dyDescent="0.2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</row>
    <row r="1272" spans="1:25" ht="15.75" customHeight="1" x14ac:dyDescent="0.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</row>
    <row r="1273" spans="1:25" ht="15.75" customHeight="1" x14ac:dyDescent="0.2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</row>
    <row r="1274" spans="1:25" ht="15.75" customHeight="1" x14ac:dyDescent="0.2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</row>
    <row r="1275" spans="1:25" ht="15.75" customHeight="1" x14ac:dyDescent="0.2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</row>
    <row r="1276" spans="1:25" ht="15.75" customHeight="1" x14ac:dyDescent="0.2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</row>
    <row r="1277" spans="1:25" ht="15.75" customHeight="1" x14ac:dyDescent="0.2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</row>
    <row r="1278" spans="1:25" ht="15.75" customHeight="1" x14ac:dyDescent="0.2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</row>
    <row r="1279" spans="1:25" ht="15.75" customHeight="1" x14ac:dyDescent="0.2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</row>
    <row r="1280" spans="1:25" ht="15.75" customHeight="1" x14ac:dyDescent="0.2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</row>
    <row r="1281" spans="1:25" ht="15.75" customHeight="1" x14ac:dyDescent="0.2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</row>
    <row r="1282" spans="1:25" ht="15.75" customHeight="1" x14ac:dyDescent="0.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</row>
    <row r="1283" spans="1:25" ht="15.75" customHeight="1" x14ac:dyDescent="0.2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</row>
    <row r="1284" spans="1:25" ht="15.75" customHeight="1" x14ac:dyDescent="0.2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</row>
    <row r="1285" spans="1:25" ht="15.75" customHeight="1" x14ac:dyDescent="0.2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</row>
    <row r="1286" spans="1:25" ht="15.75" customHeight="1" x14ac:dyDescent="0.2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</row>
    <row r="1287" spans="1:25" ht="15.75" customHeight="1" x14ac:dyDescent="0.2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</row>
    <row r="1288" spans="1:25" ht="15.75" customHeight="1" x14ac:dyDescent="0.2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</row>
    <row r="1289" spans="1:25" ht="15.75" customHeight="1" x14ac:dyDescent="0.2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</row>
    <row r="1290" spans="1:25" ht="15.75" customHeight="1" x14ac:dyDescent="0.2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</row>
    <row r="1291" spans="1:25" ht="15.75" customHeight="1" x14ac:dyDescent="0.2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</row>
    <row r="1292" spans="1:25" ht="15.75" customHeight="1" x14ac:dyDescent="0.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</row>
    <row r="1293" spans="1:25" ht="15.75" customHeight="1" x14ac:dyDescent="0.2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</row>
    <row r="1294" spans="1:25" ht="15.75" customHeight="1" x14ac:dyDescent="0.2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</row>
    <row r="1295" spans="1:25" ht="15.75" customHeight="1" x14ac:dyDescent="0.2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</row>
    <row r="1296" spans="1:25" ht="15.75" customHeight="1" x14ac:dyDescent="0.2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</row>
    <row r="1297" spans="1:25" ht="15.75" customHeight="1" x14ac:dyDescent="0.2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</row>
    <row r="1298" spans="1:25" ht="15.75" customHeight="1" x14ac:dyDescent="0.2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</row>
    <row r="1299" spans="1:25" ht="15.75" customHeight="1" x14ac:dyDescent="0.2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</row>
    <row r="1300" spans="1:25" ht="15.75" customHeight="1" x14ac:dyDescent="0.2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</row>
    <row r="1301" spans="1:25" ht="15.75" customHeight="1" x14ac:dyDescent="0.2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</row>
    <row r="1302" spans="1:25" ht="15.75" customHeight="1" x14ac:dyDescent="0.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</row>
    <row r="1303" spans="1:25" ht="15.75" customHeight="1" x14ac:dyDescent="0.2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</row>
    <row r="1304" spans="1:25" ht="15.75" customHeight="1" x14ac:dyDescent="0.2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</row>
    <row r="1305" spans="1:25" ht="15.75" customHeight="1" x14ac:dyDescent="0.2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</row>
    <row r="1306" spans="1:25" ht="15.75" customHeight="1" x14ac:dyDescent="0.2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</row>
    <row r="1307" spans="1:25" ht="15.75" customHeight="1" x14ac:dyDescent="0.2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</row>
    <row r="1308" spans="1:25" ht="15.75" customHeight="1" x14ac:dyDescent="0.2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</row>
    <row r="1309" spans="1:25" ht="15.75" customHeight="1" x14ac:dyDescent="0.2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</row>
    <row r="1310" spans="1:25" ht="15.75" customHeight="1" x14ac:dyDescent="0.2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</row>
    <row r="1311" spans="1:25" ht="15.75" customHeight="1" x14ac:dyDescent="0.2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</row>
    <row r="1312" spans="1:25" ht="15.75" customHeight="1" x14ac:dyDescent="0.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</row>
    <row r="1313" spans="1:25" ht="15.75" customHeight="1" x14ac:dyDescent="0.2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</row>
    <row r="1314" spans="1:25" ht="15.75" customHeight="1" x14ac:dyDescent="0.2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</row>
    <row r="1315" spans="1:25" ht="15.75" customHeight="1" x14ac:dyDescent="0.2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</row>
    <row r="1316" spans="1:25" ht="15.75" customHeight="1" x14ac:dyDescent="0.2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</row>
    <row r="1317" spans="1:25" ht="15.75" customHeight="1" x14ac:dyDescent="0.2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</row>
    <row r="1318" spans="1:25" ht="15.75" customHeight="1" x14ac:dyDescent="0.2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</row>
    <row r="1319" spans="1:25" ht="15.75" customHeight="1" x14ac:dyDescent="0.2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</row>
    <row r="1320" spans="1:25" ht="15.75" customHeight="1" x14ac:dyDescent="0.2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</row>
    <row r="1321" spans="1:25" ht="15.75" customHeight="1" x14ac:dyDescent="0.2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</row>
    <row r="1322" spans="1:25" ht="15.75" customHeight="1" x14ac:dyDescent="0.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</row>
    <row r="1323" spans="1:25" ht="15.75" customHeight="1" x14ac:dyDescent="0.2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</row>
    <row r="1324" spans="1:25" ht="15.75" customHeight="1" x14ac:dyDescent="0.2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</row>
    <row r="1325" spans="1:25" ht="15.75" customHeight="1" x14ac:dyDescent="0.2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</row>
    <row r="1326" spans="1:25" ht="15.75" customHeight="1" x14ac:dyDescent="0.2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</row>
    <row r="1327" spans="1:25" ht="15.75" customHeight="1" x14ac:dyDescent="0.2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</row>
    <row r="1328" spans="1:25" ht="15.75" customHeight="1" x14ac:dyDescent="0.2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</row>
    <row r="1329" spans="1:25" ht="15.75" customHeight="1" x14ac:dyDescent="0.2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</row>
    <row r="1330" spans="1:25" ht="15.75" customHeight="1" x14ac:dyDescent="0.2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</row>
    <row r="1331" spans="1:25" ht="15.75" customHeight="1" x14ac:dyDescent="0.2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</row>
    <row r="1332" spans="1:25" ht="15.75" customHeight="1" x14ac:dyDescent="0.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</row>
    <row r="1333" spans="1:25" ht="15.75" customHeight="1" x14ac:dyDescent="0.2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</row>
    <row r="1334" spans="1:25" ht="15.75" customHeight="1" x14ac:dyDescent="0.2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</row>
    <row r="1335" spans="1:25" ht="15.75" customHeight="1" x14ac:dyDescent="0.2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</row>
    <row r="1336" spans="1:25" ht="15.75" customHeight="1" x14ac:dyDescent="0.2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</row>
    <row r="1337" spans="1:25" ht="15.75" customHeight="1" x14ac:dyDescent="0.2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</row>
    <row r="1338" spans="1:25" ht="15.75" customHeight="1" x14ac:dyDescent="0.2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</row>
    <row r="1339" spans="1:25" ht="15.75" customHeight="1" x14ac:dyDescent="0.2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</row>
    <row r="1340" spans="1:25" ht="15.75" customHeight="1" x14ac:dyDescent="0.2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</row>
    <row r="1341" spans="1:25" ht="15.75" customHeight="1" x14ac:dyDescent="0.2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</row>
    <row r="1342" spans="1:25" ht="15.75" customHeight="1" x14ac:dyDescent="0.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</row>
    <row r="1343" spans="1:25" ht="15.75" customHeight="1" x14ac:dyDescent="0.2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</row>
    <row r="1344" spans="1:25" ht="15.75" customHeight="1" x14ac:dyDescent="0.2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</row>
    <row r="1345" spans="1:25" ht="15.75" customHeight="1" x14ac:dyDescent="0.2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</row>
    <row r="1346" spans="1:25" ht="15.75" customHeight="1" x14ac:dyDescent="0.2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</row>
    <row r="1347" spans="1:25" ht="15.75" customHeight="1" x14ac:dyDescent="0.2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</row>
    <row r="1348" spans="1:25" ht="15.75" customHeight="1" x14ac:dyDescent="0.2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</row>
    <row r="1349" spans="1:25" ht="15.75" customHeight="1" x14ac:dyDescent="0.2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</row>
    <row r="1350" spans="1:25" ht="15.75" customHeight="1" x14ac:dyDescent="0.2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</row>
    <row r="1351" spans="1:25" ht="15.75" customHeight="1" x14ac:dyDescent="0.2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</row>
    <row r="1352" spans="1:25" ht="15.75" customHeight="1" x14ac:dyDescent="0.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</row>
    <row r="1353" spans="1:25" ht="15.75" customHeight="1" x14ac:dyDescent="0.2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</row>
    <row r="1354" spans="1:25" ht="15.75" customHeight="1" x14ac:dyDescent="0.2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</row>
    <row r="1355" spans="1:25" ht="15.75" customHeight="1" x14ac:dyDescent="0.2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</row>
    <row r="1356" spans="1:25" ht="15.75" customHeight="1" x14ac:dyDescent="0.2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</row>
    <row r="1357" spans="1:25" ht="15.75" customHeight="1" x14ac:dyDescent="0.2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</row>
    <row r="1358" spans="1:25" ht="15.75" customHeight="1" x14ac:dyDescent="0.2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</row>
    <row r="1359" spans="1:25" ht="15.75" customHeight="1" x14ac:dyDescent="0.2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</row>
    <row r="1360" spans="1:25" ht="15.75" customHeight="1" x14ac:dyDescent="0.2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</row>
    <row r="1361" spans="1:25" ht="15.75" customHeight="1" x14ac:dyDescent="0.2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</row>
    <row r="1362" spans="1:25" ht="15.75" customHeight="1" x14ac:dyDescent="0.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</row>
    <row r="1363" spans="1:25" ht="15.75" customHeight="1" x14ac:dyDescent="0.2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</row>
    <row r="1364" spans="1:25" ht="15.75" customHeight="1" x14ac:dyDescent="0.2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</row>
    <row r="1365" spans="1:25" ht="15.75" customHeight="1" x14ac:dyDescent="0.2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</row>
    <row r="1366" spans="1:25" ht="15.75" customHeight="1" x14ac:dyDescent="0.2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</row>
    <row r="1367" spans="1:25" ht="15.75" customHeight="1" x14ac:dyDescent="0.2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</row>
    <row r="1368" spans="1:25" ht="15.75" customHeight="1" x14ac:dyDescent="0.2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</row>
    <row r="1369" spans="1:25" ht="15.75" customHeight="1" x14ac:dyDescent="0.2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</row>
    <row r="1370" spans="1:25" ht="15.75" customHeight="1" x14ac:dyDescent="0.2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</row>
    <row r="1371" spans="1:25" ht="15.75" customHeight="1" x14ac:dyDescent="0.2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</row>
    <row r="1372" spans="1:25" ht="15.75" customHeight="1" x14ac:dyDescent="0.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</row>
    <row r="1373" spans="1:25" ht="15.75" customHeight="1" x14ac:dyDescent="0.2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</row>
    <row r="1374" spans="1:25" ht="15.75" customHeight="1" x14ac:dyDescent="0.2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</row>
    <row r="1375" spans="1:25" ht="15.75" customHeight="1" x14ac:dyDescent="0.2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</row>
    <row r="1376" spans="1:25" ht="15.75" customHeight="1" x14ac:dyDescent="0.2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</row>
    <row r="1377" spans="1:25" ht="15.75" customHeight="1" x14ac:dyDescent="0.2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</row>
    <row r="1378" spans="1:25" ht="15.75" customHeight="1" x14ac:dyDescent="0.2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</row>
    <row r="1379" spans="1:25" ht="15.75" customHeight="1" x14ac:dyDescent="0.2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</row>
    <row r="1380" spans="1:25" ht="15.75" customHeight="1" x14ac:dyDescent="0.2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</row>
    <row r="1381" spans="1:25" ht="15.75" customHeight="1" x14ac:dyDescent="0.2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</row>
    <row r="1382" spans="1:25" ht="15.75" customHeight="1" x14ac:dyDescent="0.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</row>
    <row r="1383" spans="1:25" ht="15.75" customHeight="1" x14ac:dyDescent="0.2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</row>
    <row r="1384" spans="1:25" ht="15.75" customHeight="1" x14ac:dyDescent="0.2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</row>
    <row r="1385" spans="1:25" ht="15.75" customHeight="1" x14ac:dyDescent="0.2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</row>
    <row r="1386" spans="1:25" ht="15.75" customHeight="1" x14ac:dyDescent="0.2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</row>
    <row r="1387" spans="1:25" ht="15.75" customHeight="1" x14ac:dyDescent="0.2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</row>
    <row r="1388" spans="1:25" ht="15.75" customHeight="1" x14ac:dyDescent="0.2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</row>
    <row r="1389" spans="1:25" ht="15.75" customHeight="1" x14ac:dyDescent="0.2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</row>
    <row r="1390" spans="1:25" ht="15.75" customHeight="1" x14ac:dyDescent="0.2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</row>
    <row r="1391" spans="1:25" ht="15.75" customHeight="1" x14ac:dyDescent="0.2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</row>
    <row r="1392" spans="1:25" ht="15.75" customHeight="1" x14ac:dyDescent="0.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</row>
    <row r="1393" spans="1:25" ht="15.75" customHeight="1" x14ac:dyDescent="0.2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</row>
    <row r="1394" spans="1:25" ht="15.75" customHeight="1" x14ac:dyDescent="0.2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</row>
    <row r="1395" spans="1:25" ht="15.75" customHeight="1" x14ac:dyDescent="0.2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</row>
    <row r="1396" spans="1:25" ht="15.75" customHeight="1" x14ac:dyDescent="0.2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</row>
    <row r="1397" spans="1:25" ht="15.75" customHeight="1" x14ac:dyDescent="0.2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</row>
    <row r="1398" spans="1:25" ht="15.75" customHeight="1" x14ac:dyDescent="0.2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</row>
    <row r="1399" spans="1:25" ht="15.75" customHeight="1" x14ac:dyDescent="0.2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</row>
    <row r="1400" spans="1:25" ht="15.75" customHeight="1" x14ac:dyDescent="0.2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</row>
    <row r="1401" spans="1:25" ht="15.75" customHeight="1" x14ac:dyDescent="0.2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</row>
    <row r="1402" spans="1:25" ht="15.75" customHeight="1" x14ac:dyDescent="0.2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</row>
    <row r="1403" spans="1:25" ht="15.75" customHeight="1" x14ac:dyDescent="0.2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</row>
    <row r="1404" spans="1:25" ht="15.75" customHeight="1" x14ac:dyDescent="0.2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</row>
    <row r="1405" spans="1:25" ht="15.75" customHeight="1" x14ac:dyDescent="0.2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</row>
    <row r="1406" spans="1:25" ht="15.75" customHeight="1" x14ac:dyDescent="0.2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</row>
    <row r="1407" spans="1:25" ht="15.75" customHeight="1" x14ac:dyDescent="0.2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</row>
    <row r="1408" spans="1:25" ht="15.75" customHeight="1" x14ac:dyDescent="0.2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</row>
    <row r="1409" spans="1:25" ht="15.75" customHeight="1" x14ac:dyDescent="0.2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</row>
    <row r="1410" spans="1:25" ht="15.75" customHeight="1" x14ac:dyDescent="0.2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</row>
    <row r="1411" spans="1:25" ht="15.75" customHeight="1" x14ac:dyDescent="0.2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</row>
    <row r="1412" spans="1:25" ht="15.75" customHeight="1" x14ac:dyDescent="0.2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</row>
    <row r="1413" spans="1:25" ht="15.75" customHeight="1" x14ac:dyDescent="0.2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</row>
    <row r="1414" spans="1:25" ht="15.75" customHeight="1" x14ac:dyDescent="0.2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</row>
    <row r="1415" spans="1:25" ht="15.75" customHeight="1" x14ac:dyDescent="0.2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</row>
    <row r="1416" spans="1:25" ht="15.75" customHeight="1" x14ac:dyDescent="0.2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</row>
    <row r="1417" spans="1:25" ht="15.75" customHeight="1" x14ac:dyDescent="0.2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</row>
    <row r="1418" spans="1:25" ht="15.75" customHeight="1" x14ac:dyDescent="0.2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</row>
    <row r="1419" spans="1:25" ht="15.75" customHeight="1" x14ac:dyDescent="0.2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</row>
    <row r="1420" spans="1:25" ht="15.75" customHeight="1" x14ac:dyDescent="0.2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</row>
    <row r="1421" spans="1:25" ht="15.75" customHeight="1" x14ac:dyDescent="0.2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</row>
    <row r="1422" spans="1:25" ht="15.75" customHeight="1" x14ac:dyDescent="0.2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</row>
    <row r="1423" spans="1:25" ht="15.75" customHeight="1" x14ac:dyDescent="0.2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</row>
    <row r="1424" spans="1:25" ht="15.75" customHeight="1" x14ac:dyDescent="0.2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</row>
    <row r="1425" spans="1:25" ht="15.75" customHeight="1" x14ac:dyDescent="0.2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</row>
    <row r="1426" spans="1:25" ht="15.75" customHeight="1" x14ac:dyDescent="0.2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</row>
    <row r="1427" spans="1:25" ht="15.75" customHeight="1" x14ac:dyDescent="0.2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</row>
    <row r="1428" spans="1:25" ht="15.75" customHeight="1" x14ac:dyDescent="0.2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</row>
    <row r="1429" spans="1:25" ht="15.75" customHeight="1" x14ac:dyDescent="0.2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</row>
    <row r="1430" spans="1:25" ht="15.75" customHeight="1" x14ac:dyDescent="0.2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</row>
    <row r="1431" spans="1:25" ht="15.75" customHeight="1" x14ac:dyDescent="0.2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</row>
    <row r="1432" spans="1:25" ht="15.75" customHeight="1" x14ac:dyDescent="0.2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</row>
    <row r="1433" spans="1:25" ht="15.75" customHeight="1" x14ac:dyDescent="0.2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</row>
    <row r="1434" spans="1:25" ht="15.75" customHeight="1" x14ac:dyDescent="0.2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</row>
    <row r="1435" spans="1:25" ht="15.75" customHeight="1" x14ac:dyDescent="0.2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</row>
    <row r="1436" spans="1:25" ht="15.75" customHeight="1" x14ac:dyDescent="0.2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</row>
    <row r="1437" spans="1:25" ht="15.75" customHeight="1" x14ac:dyDescent="0.2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</row>
    <row r="1438" spans="1:25" ht="15.75" customHeight="1" x14ac:dyDescent="0.2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</row>
    <row r="1439" spans="1:25" ht="15.75" customHeight="1" x14ac:dyDescent="0.2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</row>
    <row r="1440" spans="1:25" ht="15.75" customHeight="1" x14ac:dyDescent="0.2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</row>
    <row r="1441" spans="1:25" ht="15.75" customHeight="1" x14ac:dyDescent="0.2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</row>
    <row r="1442" spans="1:25" ht="15.75" customHeight="1" x14ac:dyDescent="0.2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</row>
    <row r="1443" spans="1:25" ht="15.75" customHeight="1" x14ac:dyDescent="0.2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</row>
    <row r="1444" spans="1:25" ht="15.75" customHeight="1" x14ac:dyDescent="0.2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</row>
    <row r="1445" spans="1:25" ht="15.75" customHeight="1" x14ac:dyDescent="0.2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</row>
    <row r="1446" spans="1:25" ht="15.75" customHeight="1" x14ac:dyDescent="0.2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</row>
    <row r="1447" spans="1:25" ht="15.75" customHeight="1" x14ac:dyDescent="0.2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</row>
    <row r="1448" spans="1:25" ht="15.75" customHeight="1" x14ac:dyDescent="0.2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</row>
    <row r="1449" spans="1:25" ht="15.75" customHeight="1" x14ac:dyDescent="0.2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</row>
    <row r="1450" spans="1:25" ht="15.75" customHeight="1" x14ac:dyDescent="0.2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</row>
    <row r="1451" spans="1:25" ht="15.75" customHeight="1" x14ac:dyDescent="0.2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</row>
    <row r="1452" spans="1:25" ht="15.75" customHeight="1" x14ac:dyDescent="0.2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</row>
    <row r="1453" spans="1:25" ht="15.75" customHeight="1" x14ac:dyDescent="0.2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</row>
    <row r="1454" spans="1:25" ht="15.75" customHeight="1" x14ac:dyDescent="0.2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</row>
    <row r="1455" spans="1:25" ht="15.75" customHeight="1" x14ac:dyDescent="0.2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</row>
    <row r="1456" spans="1:25" ht="15.75" customHeight="1" x14ac:dyDescent="0.2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</row>
    <row r="1457" spans="1:25" ht="15.75" customHeight="1" x14ac:dyDescent="0.2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</row>
    <row r="1458" spans="1:25" ht="15.75" customHeight="1" x14ac:dyDescent="0.2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</row>
    <row r="1459" spans="1:25" ht="15.75" customHeight="1" x14ac:dyDescent="0.2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</row>
    <row r="1460" spans="1:25" ht="15.75" customHeight="1" x14ac:dyDescent="0.2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</row>
    <row r="1461" spans="1:25" ht="15.75" customHeight="1" x14ac:dyDescent="0.2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</row>
    <row r="1462" spans="1:25" ht="15.75" customHeight="1" x14ac:dyDescent="0.2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</row>
    <row r="1463" spans="1:25" ht="15.75" customHeight="1" x14ac:dyDescent="0.2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</row>
    <row r="1464" spans="1:25" ht="15.75" customHeight="1" x14ac:dyDescent="0.2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</row>
    <row r="1465" spans="1:25" ht="15.75" customHeight="1" x14ac:dyDescent="0.2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</row>
    <row r="1466" spans="1:25" ht="15.75" customHeight="1" x14ac:dyDescent="0.2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</row>
    <row r="1467" spans="1:25" ht="15.75" customHeight="1" x14ac:dyDescent="0.2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</row>
    <row r="1468" spans="1:25" ht="15.75" customHeight="1" x14ac:dyDescent="0.2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</row>
    <row r="1469" spans="1:25" ht="15.75" customHeight="1" x14ac:dyDescent="0.2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</row>
    <row r="1470" spans="1:25" ht="15.75" customHeight="1" x14ac:dyDescent="0.2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</row>
    <row r="1471" spans="1:25" ht="15.75" customHeight="1" x14ac:dyDescent="0.2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</row>
    <row r="1472" spans="1:25" ht="15.75" customHeight="1" x14ac:dyDescent="0.2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</row>
    <row r="1473" spans="1:25" ht="15.75" customHeight="1" x14ac:dyDescent="0.2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</row>
    <row r="1474" spans="1:25" ht="15.75" customHeight="1" x14ac:dyDescent="0.2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</row>
    <row r="1475" spans="1:25" ht="15.75" customHeight="1" x14ac:dyDescent="0.2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</row>
    <row r="1476" spans="1:25" ht="15.75" customHeight="1" x14ac:dyDescent="0.2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</row>
    <row r="1477" spans="1:25" ht="15.75" customHeight="1" x14ac:dyDescent="0.2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</row>
    <row r="1478" spans="1:25" ht="15.75" customHeight="1" x14ac:dyDescent="0.2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</row>
    <row r="1479" spans="1:25" ht="15.75" customHeight="1" x14ac:dyDescent="0.2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</row>
    <row r="1480" spans="1:25" ht="15.75" customHeight="1" x14ac:dyDescent="0.2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</row>
    <row r="1481" spans="1:25" ht="15.75" customHeight="1" x14ac:dyDescent="0.2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</row>
    <row r="1482" spans="1:25" ht="15.75" customHeight="1" x14ac:dyDescent="0.2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</row>
    <row r="1483" spans="1:25" ht="15.75" customHeight="1" x14ac:dyDescent="0.2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</row>
    <row r="1484" spans="1:25" ht="15.75" customHeight="1" x14ac:dyDescent="0.2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</row>
    <row r="1485" spans="1:25" ht="15.75" customHeight="1" x14ac:dyDescent="0.2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</row>
    <row r="1486" spans="1:25" ht="15.75" customHeight="1" x14ac:dyDescent="0.2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</row>
    <row r="1487" spans="1:25" ht="15.75" customHeight="1" x14ac:dyDescent="0.2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</row>
    <row r="1488" spans="1:25" ht="15.75" customHeight="1" x14ac:dyDescent="0.2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</row>
    <row r="1489" spans="1:25" ht="15.75" customHeight="1" x14ac:dyDescent="0.2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</row>
    <row r="1490" spans="1:25" ht="15.75" customHeight="1" x14ac:dyDescent="0.2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</row>
    <row r="1491" spans="1:25" ht="15.75" customHeight="1" x14ac:dyDescent="0.2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</row>
    <row r="1492" spans="1:25" ht="15.75" customHeight="1" x14ac:dyDescent="0.2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</row>
    <row r="1493" spans="1:25" ht="15.75" customHeight="1" x14ac:dyDescent="0.2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</row>
    <row r="1494" spans="1:25" ht="15.75" customHeight="1" x14ac:dyDescent="0.2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</row>
    <row r="1495" spans="1:25" ht="15.75" customHeight="1" x14ac:dyDescent="0.2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</row>
    <row r="1496" spans="1:25" ht="15.75" customHeight="1" x14ac:dyDescent="0.2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</row>
    <row r="1497" spans="1:25" ht="15.75" customHeight="1" x14ac:dyDescent="0.2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</row>
    <row r="1498" spans="1:25" ht="15.75" customHeight="1" x14ac:dyDescent="0.2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</row>
    <row r="1499" spans="1:25" ht="15.75" customHeight="1" x14ac:dyDescent="0.2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</row>
    <row r="1500" spans="1:25" ht="15.75" customHeight="1" x14ac:dyDescent="0.2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</row>
    <row r="1501" spans="1:25" ht="15.75" customHeight="1" x14ac:dyDescent="0.2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</row>
    <row r="1502" spans="1:25" ht="15.75" customHeight="1" x14ac:dyDescent="0.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</row>
    <row r="1503" spans="1:25" ht="15.75" customHeight="1" x14ac:dyDescent="0.2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</row>
    <row r="1504" spans="1:25" ht="15.75" customHeight="1" x14ac:dyDescent="0.2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</row>
    <row r="1505" spans="1:25" ht="15.75" customHeight="1" x14ac:dyDescent="0.2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</row>
    <row r="1506" spans="1:25" ht="15.75" customHeight="1" x14ac:dyDescent="0.2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</row>
    <row r="1507" spans="1:25" ht="15.75" customHeight="1" x14ac:dyDescent="0.2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</row>
    <row r="1508" spans="1:25" ht="15.75" customHeight="1" x14ac:dyDescent="0.2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</row>
    <row r="1509" spans="1:25" ht="15.75" customHeight="1" x14ac:dyDescent="0.2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</row>
    <row r="1510" spans="1:25" ht="15.75" customHeight="1" x14ac:dyDescent="0.2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</row>
    <row r="1511" spans="1:25" ht="15.75" customHeight="1" x14ac:dyDescent="0.2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</row>
    <row r="1512" spans="1:25" ht="15.75" customHeight="1" x14ac:dyDescent="0.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</row>
    <row r="1513" spans="1:25" ht="15.75" customHeight="1" x14ac:dyDescent="0.2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</row>
    <row r="1514" spans="1:25" ht="15.75" customHeight="1" x14ac:dyDescent="0.2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</row>
    <row r="1515" spans="1:25" ht="15.75" customHeight="1" x14ac:dyDescent="0.2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</row>
    <row r="1516" spans="1:25" ht="15.75" customHeight="1" x14ac:dyDescent="0.2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</row>
    <row r="1517" spans="1:25" ht="15.75" customHeight="1" x14ac:dyDescent="0.2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</row>
    <row r="1518" spans="1:25" ht="15.75" customHeight="1" x14ac:dyDescent="0.2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</row>
    <row r="1519" spans="1:25" ht="15.75" customHeight="1" x14ac:dyDescent="0.2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</row>
    <row r="1520" spans="1:25" ht="15.75" customHeight="1" x14ac:dyDescent="0.2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</row>
    <row r="1521" spans="1:25" ht="15.75" customHeight="1" x14ac:dyDescent="0.2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</row>
    <row r="1522" spans="1:25" ht="15.75" customHeight="1" x14ac:dyDescent="0.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</row>
    <row r="1523" spans="1:25" ht="15.75" customHeight="1" x14ac:dyDescent="0.2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</row>
    <row r="1524" spans="1:25" ht="15.75" customHeight="1" x14ac:dyDescent="0.2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</row>
    <row r="1525" spans="1:25" ht="15.75" customHeight="1" x14ac:dyDescent="0.2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</row>
    <row r="1526" spans="1:25" ht="15.75" customHeight="1" x14ac:dyDescent="0.2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</row>
    <row r="1527" spans="1:25" ht="15.75" customHeight="1" x14ac:dyDescent="0.2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</row>
    <row r="1528" spans="1:25" ht="15.75" customHeight="1" x14ac:dyDescent="0.2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</row>
    <row r="1529" spans="1:25" ht="15.75" customHeight="1" x14ac:dyDescent="0.2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</row>
    <row r="1530" spans="1:25" ht="15.75" customHeight="1" x14ac:dyDescent="0.2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</row>
    <row r="1531" spans="1:25" ht="15.75" customHeight="1" x14ac:dyDescent="0.2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</row>
    <row r="1532" spans="1:25" ht="15.75" customHeight="1" x14ac:dyDescent="0.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</row>
    <row r="1533" spans="1:25" ht="15.75" customHeight="1" x14ac:dyDescent="0.2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</row>
    <row r="1534" spans="1:25" ht="15.75" customHeight="1" x14ac:dyDescent="0.2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</row>
    <row r="1535" spans="1:25" ht="15.75" customHeight="1" x14ac:dyDescent="0.2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</row>
    <row r="1536" spans="1:25" ht="15.75" customHeight="1" x14ac:dyDescent="0.2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</row>
    <row r="1537" spans="1:25" ht="15.75" customHeight="1" x14ac:dyDescent="0.2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</row>
    <row r="1538" spans="1:25" ht="15.75" customHeight="1" x14ac:dyDescent="0.2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</row>
    <row r="1539" spans="1:25" ht="15.75" customHeight="1" x14ac:dyDescent="0.2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</row>
    <row r="1540" spans="1:25" ht="15.75" customHeight="1" x14ac:dyDescent="0.2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</row>
    <row r="1541" spans="1:25" ht="15.75" customHeight="1" x14ac:dyDescent="0.2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</row>
    <row r="1542" spans="1:25" ht="15.75" customHeight="1" x14ac:dyDescent="0.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</row>
    <row r="1543" spans="1:25" ht="15.75" customHeight="1" x14ac:dyDescent="0.2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</row>
    <row r="1544" spans="1:25" ht="15.75" customHeight="1" x14ac:dyDescent="0.2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</row>
    <row r="1545" spans="1:25" ht="15.75" customHeight="1" x14ac:dyDescent="0.2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</row>
    <row r="1546" spans="1:25" ht="15.75" customHeight="1" x14ac:dyDescent="0.2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</row>
    <row r="1547" spans="1:25" ht="15.75" customHeight="1" x14ac:dyDescent="0.2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</row>
    <row r="1548" spans="1:25" ht="15.75" customHeight="1" x14ac:dyDescent="0.2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</row>
    <row r="1549" spans="1:25" ht="15.75" customHeight="1" x14ac:dyDescent="0.2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</row>
    <row r="1550" spans="1:25" ht="15.75" customHeight="1" x14ac:dyDescent="0.2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</row>
    <row r="1551" spans="1:25" ht="15.75" customHeight="1" x14ac:dyDescent="0.2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</row>
    <row r="1552" spans="1:25" ht="15.75" customHeight="1" x14ac:dyDescent="0.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</row>
    <row r="1553" spans="1:25" ht="15.75" customHeight="1" x14ac:dyDescent="0.2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</row>
    <row r="1554" spans="1:25" ht="15.75" customHeight="1" x14ac:dyDescent="0.2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</row>
    <row r="1555" spans="1:25" ht="15.75" customHeight="1" x14ac:dyDescent="0.2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</row>
    <row r="1556" spans="1:25" ht="15.75" customHeight="1" x14ac:dyDescent="0.2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</row>
    <row r="1557" spans="1:25" ht="15.75" customHeight="1" x14ac:dyDescent="0.2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</row>
    <row r="1558" spans="1:25" ht="15.75" customHeight="1" x14ac:dyDescent="0.2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</row>
    <row r="1559" spans="1:25" ht="15.75" customHeight="1" x14ac:dyDescent="0.2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</row>
    <row r="1560" spans="1:25" ht="15.75" customHeight="1" x14ac:dyDescent="0.2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</row>
    <row r="1561" spans="1:25" ht="15.75" customHeight="1" x14ac:dyDescent="0.2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</row>
    <row r="1562" spans="1:25" ht="15.75" customHeight="1" x14ac:dyDescent="0.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</row>
    <row r="1563" spans="1:25" ht="15.75" customHeight="1" x14ac:dyDescent="0.2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</row>
    <row r="1564" spans="1:25" ht="15.75" customHeight="1" x14ac:dyDescent="0.2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</row>
    <row r="1565" spans="1:25" ht="15.75" customHeight="1" x14ac:dyDescent="0.2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</row>
    <row r="1566" spans="1:25" ht="15.75" customHeight="1" x14ac:dyDescent="0.2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</row>
    <row r="1567" spans="1:25" ht="15.75" customHeight="1" x14ac:dyDescent="0.2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</row>
    <row r="1568" spans="1:25" ht="15.75" customHeight="1" x14ac:dyDescent="0.2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</row>
    <row r="1569" spans="1:25" ht="15.75" customHeight="1" x14ac:dyDescent="0.2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</row>
    <row r="1570" spans="1:25" ht="15.75" customHeight="1" x14ac:dyDescent="0.2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</row>
    <row r="1571" spans="1:25" ht="15.75" customHeight="1" x14ac:dyDescent="0.2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</row>
    <row r="1572" spans="1:25" ht="15.75" customHeight="1" x14ac:dyDescent="0.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</row>
    <row r="1573" spans="1:25" ht="15.75" customHeight="1" x14ac:dyDescent="0.2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</row>
    <row r="1574" spans="1:25" ht="15.75" customHeight="1" x14ac:dyDescent="0.2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</row>
    <row r="1575" spans="1:25" ht="15.75" customHeight="1" x14ac:dyDescent="0.2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</row>
    <row r="1576" spans="1:25" ht="15.75" customHeight="1" x14ac:dyDescent="0.2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</row>
    <row r="1577" spans="1:25" ht="15.75" customHeight="1" x14ac:dyDescent="0.2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</row>
    <row r="1578" spans="1:25" ht="15.75" customHeight="1" x14ac:dyDescent="0.2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</row>
    <row r="1579" spans="1:25" ht="15.75" customHeight="1" x14ac:dyDescent="0.2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</row>
    <row r="1580" spans="1:25" ht="15.75" customHeight="1" x14ac:dyDescent="0.2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</row>
    <row r="1581" spans="1:25" ht="15.75" customHeight="1" x14ac:dyDescent="0.2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</row>
    <row r="1582" spans="1:25" ht="15.75" customHeight="1" x14ac:dyDescent="0.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</row>
    <row r="1583" spans="1:25" ht="15.75" customHeight="1" x14ac:dyDescent="0.2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</row>
    <row r="1584" spans="1:25" ht="15.75" customHeight="1" x14ac:dyDescent="0.2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</row>
    <row r="1585" spans="1:25" ht="15.75" customHeight="1" x14ac:dyDescent="0.2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</row>
    <row r="1586" spans="1:25" ht="15.75" customHeight="1" x14ac:dyDescent="0.2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</row>
    <row r="1587" spans="1:25" ht="15.75" customHeight="1" x14ac:dyDescent="0.2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</row>
    <row r="1588" spans="1:25" ht="15.75" customHeight="1" x14ac:dyDescent="0.2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</row>
    <row r="1589" spans="1:25" ht="15.75" customHeight="1" x14ac:dyDescent="0.2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</row>
    <row r="1590" spans="1:25" ht="15.75" customHeight="1" x14ac:dyDescent="0.2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</row>
    <row r="1591" spans="1:25" ht="15.75" customHeight="1" x14ac:dyDescent="0.2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</row>
    <row r="1592" spans="1:25" ht="15.75" customHeight="1" x14ac:dyDescent="0.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</row>
    <row r="1593" spans="1:25" ht="15.75" customHeight="1" x14ac:dyDescent="0.2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</row>
    <row r="1594" spans="1:25" ht="15.75" customHeight="1" x14ac:dyDescent="0.2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</row>
    <row r="1595" spans="1:25" ht="15.75" customHeight="1" x14ac:dyDescent="0.2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</row>
    <row r="1596" spans="1:25" ht="15.75" customHeight="1" x14ac:dyDescent="0.2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</row>
    <row r="1597" spans="1:25" ht="15.75" customHeight="1" x14ac:dyDescent="0.2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</row>
    <row r="1598" spans="1:25" ht="15.75" customHeight="1" x14ac:dyDescent="0.2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</row>
    <row r="1599" spans="1:25" ht="15.75" customHeight="1" x14ac:dyDescent="0.2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</row>
    <row r="1600" spans="1:25" ht="15.75" customHeight="1" x14ac:dyDescent="0.2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</row>
    <row r="1601" spans="1:25" ht="15.75" customHeight="1" x14ac:dyDescent="0.2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</row>
    <row r="1602" spans="1:25" ht="15.75" customHeight="1" x14ac:dyDescent="0.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</row>
    <row r="1603" spans="1:25" ht="15.75" customHeight="1" x14ac:dyDescent="0.2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</row>
    <row r="1604" spans="1:25" ht="15.75" customHeight="1" x14ac:dyDescent="0.2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</row>
    <row r="1605" spans="1:25" ht="15.75" customHeight="1" x14ac:dyDescent="0.2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</row>
    <row r="1606" spans="1:25" ht="15.75" customHeight="1" x14ac:dyDescent="0.2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</row>
    <row r="1607" spans="1:25" ht="15.75" customHeight="1" x14ac:dyDescent="0.2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</row>
    <row r="1608" spans="1:25" ht="15.75" customHeight="1" x14ac:dyDescent="0.2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</row>
    <row r="1609" spans="1:25" ht="15.75" customHeight="1" x14ac:dyDescent="0.2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</row>
    <row r="1610" spans="1:25" ht="15.75" customHeight="1" x14ac:dyDescent="0.2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</row>
    <row r="1611" spans="1:25" ht="15.75" customHeight="1" x14ac:dyDescent="0.2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</row>
    <row r="1612" spans="1:25" ht="15.75" customHeight="1" x14ac:dyDescent="0.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</row>
    <row r="1613" spans="1:25" ht="15.75" customHeight="1" x14ac:dyDescent="0.2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</row>
    <row r="1614" spans="1:25" ht="15.75" customHeight="1" x14ac:dyDescent="0.2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</row>
    <row r="1615" spans="1:25" ht="15.75" customHeight="1" x14ac:dyDescent="0.2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</row>
    <row r="1616" spans="1:25" ht="15.75" customHeight="1" x14ac:dyDescent="0.2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</row>
    <row r="1617" spans="1:25" ht="15.75" customHeight="1" x14ac:dyDescent="0.2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</row>
    <row r="1618" spans="1:25" ht="15.75" customHeight="1" x14ac:dyDescent="0.2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</row>
    <row r="1619" spans="1:25" ht="15.75" customHeight="1" x14ac:dyDescent="0.2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</row>
    <row r="1620" spans="1:25" ht="15.75" customHeight="1" x14ac:dyDescent="0.2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</row>
    <row r="1621" spans="1:25" ht="15.75" customHeight="1" x14ac:dyDescent="0.2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</row>
    <row r="1622" spans="1:25" ht="15.75" customHeight="1" x14ac:dyDescent="0.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</row>
    <row r="1623" spans="1:25" ht="15.75" customHeight="1" x14ac:dyDescent="0.2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</row>
    <row r="1624" spans="1:25" ht="15.75" customHeight="1" x14ac:dyDescent="0.2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</row>
    <row r="1625" spans="1:25" ht="15.75" customHeight="1" x14ac:dyDescent="0.2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</row>
    <row r="1626" spans="1:25" ht="15.75" customHeight="1" x14ac:dyDescent="0.2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</row>
    <row r="1627" spans="1:25" ht="15.75" customHeight="1" x14ac:dyDescent="0.2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</row>
    <row r="1628" spans="1:25" ht="15.75" customHeight="1" x14ac:dyDescent="0.2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</row>
    <row r="1629" spans="1:25" ht="15.75" customHeight="1" x14ac:dyDescent="0.2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</row>
    <row r="1630" spans="1:25" ht="15.75" customHeight="1" x14ac:dyDescent="0.2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</row>
    <row r="1631" spans="1:25" ht="15.75" customHeight="1" x14ac:dyDescent="0.2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</row>
    <row r="1632" spans="1:25" ht="15.75" customHeight="1" x14ac:dyDescent="0.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</row>
    <row r="1633" spans="1:25" ht="15.75" customHeight="1" x14ac:dyDescent="0.2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</row>
    <row r="1634" spans="1:25" ht="15.75" customHeight="1" x14ac:dyDescent="0.2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</row>
    <row r="1635" spans="1:25" ht="15.75" customHeight="1" x14ac:dyDescent="0.2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</row>
    <row r="1636" spans="1:25" ht="15.75" customHeight="1" x14ac:dyDescent="0.2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</row>
    <row r="1637" spans="1:25" ht="15.75" customHeight="1" x14ac:dyDescent="0.2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</row>
    <row r="1638" spans="1:25" ht="15.75" customHeight="1" x14ac:dyDescent="0.2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</row>
    <row r="1639" spans="1:25" ht="15.75" customHeight="1" x14ac:dyDescent="0.2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</row>
    <row r="1640" spans="1:25" ht="15.75" customHeight="1" x14ac:dyDescent="0.2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</row>
    <row r="1641" spans="1:25" ht="15.75" customHeight="1" x14ac:dyDescent="0.2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</row>
    <row r="1642" spans="1:25" ht="15.75" customHeight="1" x14ac:dyDescent="0.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</row>
    <row r="1643" spans="1:25" ht="15.75" customHeight="1" x14ac:dyDescent="0.2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</row>
    <row r="1644" spans="1:25" ht="15.75" customHeight="1" x14ac:dyDescent="0.2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</row>
    <row r="1645" spans="1:25" ht="15.75" customHeight="1" x14ac:dyDescent="0.2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</row>
    <row r="1646" spans="1:25" ht="15.75" customHeight="1" x14ac:dyDescent="0.2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</row>
    <row r="1647" spans="1:25" ht="15.75" customHeight="1" x14ac:dyDescent="0.2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</row>
    <row r="1648" spans="1:25" ht="15.75" customHeight="1" x14ac:dyDescent="0.2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</row>
    <row r="1649" spans="1:25" ht="15.75" customHeight="1" x14ac:dyDescent="0.2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</row>
    <row r="1650" spans="1:25" ht="15.75" customHeight="1" x14ac:dyDescent="0.2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</row>
    <row r="1651" spans="1:25" ht="15.75" customHeight="1" x14ac:dyDescent="0.2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</row>
    <row r="1652" spans="1:25" ht="15.75" customHeight="1" x14ac:dyDescent="0.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</row>
    <row r="1653" spans="1:25" ht="15.75" customHeight="1" x14ac:dyDescent="0.2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</row>
    <row r="1654" spans="1:25" ht="15.75" customHeight="1" x14ac:dyDescent="0.2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</row>
    <row r="1655" spans="1:25" ht="15.75" customHeight="1" x14ac:dyDescent="0.2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</row>
    <row r="1656" spans="1:25" ht="15.75" customHeight="1" x14ac:dyDescent="0.2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</row>
    <row r="1657" spans="1:25" ht="15.75" customHeight="1" x14ac:dyDescent="0.2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</row>
    <row r="1658" spans="1:25" ht="15.75" customHeight="1" x14ac:dyDescent="0.2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</row>
    <row r="1659" spans="1:25" ht="15.75" customHeight="1" x14ac:dyDescent="0.2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</row>
    <row r="1660" spans="1:25" ht="15.75" customHeight="1" x14ac:dyDescent="0.2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</row>
    <row r="1661" spans="1:25" ht="15.75" customHeight="1" x14ac:dyDescent="0.2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</row>
    <row r="1662" spans="1:25" ht="15.75" customHeight="1" x14ac:dyDescent="0.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</row>
    <row r="1663" spans="1:25" ht="15.75" customHeight="1" x14ac:dyDescent="0.2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</row>
    <row r="1664" spans="1:25" ht="15.75" customHeight="1" x14ac:dyDescent="0.2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</row>
    <row r="1665" spans="1:25" ht="15.75" customHeight="1" x14ac:dyDescent="0.2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</row>
    <row r="1666" spans="1:25" ht="15.75" customHeight="1" x14ac:dyDescent="0.2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</row>
    <row r="1667" spans="1:25" ht="15.75" customHeight="1" x14ac:dyDescent="0.2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</row>
    <row r="1668" spans="1:25" ht="15.75" customHeight="1" x14ac:dyDescent="0.2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</row>
    <row r="1669" spans="1:25" ht="15.75" customHeight="1" x14ac:dyDescent="0.2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</row>
    <row r="1670" spans="1:25" ht="15.75" customHeight="1" x14ac:dyDescent="0.2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</row>
    <row r="1671" spans="1:25" ht="15.75" customHeight="1" x14ac:dyDescent="0.2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</row>
    <row r="1672" spans="1:25" ht="15.75" customHeight="1" x14ac:dyDescent="0.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</row>
    <row r="1673" spans="1:25" ht="15.75" customHeight="1" x14ac:dyDescent="0.2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</row>
    <row r="1674" spans="1:25" ht="15.75" customHeight="1" x14ac:dyDescent="0.2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</row>
    <row r="1675" spans="1:25" ht="15.75" customHeight="1" x14ac:dyDescent="0.2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</row>
    <row r="1676" spans="1:25" ht="15.75" customHeight="1" x14ac:dyDescent="0.2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</row>
    <row r="1677" spans="1:25" ht="15.75" customHeight="1" x14ac:dyDescent="0.2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</row>
    <row r="1678" spans="1:25" ht="15.75" customHeight="1" x14ac:dyDescent="0.2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</row>
    <row r="1679" spans="1:25" ht="15.75" customHeight="1" x14ac:dyDescent="0.2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</row>
    <row r="1680" spans="1:25" ht="15.75" customHeight="1" x14ac:dyDescent="0.2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</row>
    <row r="1681" spans="1:25" ht="15.75" customHeight="1" x14ac:dyDescent="0.2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</row>
    <row r="1682" spans="1:25" ht="15.75" customHeight="1" x14ac:dyDescent="0.2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</row>
    <row r="1683" spans="1:25" ht="15.75" customHeight="1" x14ac:dyDescent="0.2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</row>
    <row r="1684" spans="1:25" ht="15.75" customHeight="1" x14ac:dyDescent="0.2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</row>
    <row r="1685" spans="1:25" ht="15.75" customHeight="1" x14ac:dyDescent="0.2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</row>
    <row r="1686" spans="1:25" ht="15.75" customHeight="1" x14ac:dyDescent="0.2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</row>
    <row r="1687" spans="1:25" ht="15.75" customHeight="1" x14ac:dyDescent="0.2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</row>
    <row r="1688" spans="1:25" ht="15.75" customHeight="1" x14ac:dyDescent="0.2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</row>
    <row r="1689" spans="1:25" ht="15.75" customHeight="1" x14ac:dyDescent="0.2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</row>
    <row r="1690" spans="1:25" ht="15.75" customHeight="1" x14ac:dyDescent="0.2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</row>
    <row r="1691" spans="1:25" ht="15.75" customHeight="1" x14ac:dyDescent="0.2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</row>
    <row r="1692" spans="1:25" ht="15.75" customHeight="1" x14ac:dyDescent="0.2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</row>
    <row r="1693" spans="1:25" ht="15.75" customHeight="1" x14ac:dyDescent="0.2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</row>
    <row r="1694" spans="1:25" ht="15.75" customHeight="1" x14ac:dyDescent="0.2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</row>
    <row r="1695" spans="1:25" ht="15.75" customHeight="1" x14ac:dyDescent="0.2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</row>
    <row r="1696" spans="1:25" ht="15.75" customHeight="1" x14ac:dyDescent="0.2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</row>
    <row r="1697" spans="1:25" ht="15.75" customHeight="1" x14ac:dyDescent="0.2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</row>
    <row r="1698" spans="1:25" ht="15.75" customHeight="1" x14ac:dyDescent="0.2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</row>
    <row r="1699" spans="1:25" ht="15.75" customHeight="1" x14ac:dyDescent="0.2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</row>
    <row r="1700" spans="1:25" ht="15.75" customHeight="1" x14ac:dyDescent="0.2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</row>
    <row r="1701" spans="1:25" ht="15.75" customHeight="1" x14ac:dyDescent="0.2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</row>
    <row r="1702" spans="1:25" ht="15.75" customHeight="1" x14ac:dyDescent="0.2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</row>
    <row r="1703" spans="1:25" ht="15.75" customHeight="1" x14ac:dyDescent="0.2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</row>
    <row r="1704" spans="1:25" ht="15.75" customHeight="1" x14ac:dyDescent="0.2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</row>
    <row r="1705" spans="1:25" ht="15.75" customHeight="1" x14ac:dyDescent="0.2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</row>
    <row r="1706" spans="1:25" ht="15.75" customHeight="1" x14ac:dyDescent="0.2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</row>
    <row r="1707" spans="1:25" ht="15.75" customHeight="1" x14ac:dyDescent="0.2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</row>
    <row r="1708" spans="1:25" ht="15.75" customHeight="1" x14ac:dyDescent="0.2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</row>
    <row r="1709" spans="1:25" ht="15.75" customHeight="1" x14ac:dyDescent="0.2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</row>
    <row r="1710" spans="1:25" ht="15.75" customHeight="1" x14ac:dyDescent="0.2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</row>
    <row r="1711" spans="1:25" ht="15.75" customHeight="1" x14ac:dyDescent="0.2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</row>
    <row r="1712" spans="1:25" ht="15.75" customHeight="1" x14ac:dyDescent="0.2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</row>
    <row r="1713" spans="1:25" ht="15.75" customHeight="1" x14ac:dyDescent="0.2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</row>
    <row r="1714" spans="1:25" ht="15.75" customHeight="1" x14ac:dyDescent="0.2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</row>
    <row r="1715" spans="1:25" ht="15.75" customHeight="1" x14ac:dyDescent="0.2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</row>
    <row r="1716" spans="1:25" ht="15.75" customHeight="1" x14ac:dyDescent="0.2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</row>
    <row r="1717" spans="1:25" ht="15.75" customHeight="1" x14ac:dyDescent="0.2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</row>
    <row r="1718" spans="1:25" ht="15.75" customHeight="1" x14ac:dyDescent="0.2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</row>
    <row r="1719" spans="1:25" ht="15.75" customHeight="1" x14ac:dyDescent="0.2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</row>
    <row r="1720" spans="1:25" ht="15.75" customHeight="1" x14ac:dyDescent="0.2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</row>
    <row r="1721" spans="1:25" ht="15.75" customHeight="1" x14ac:dyDescent="0.2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</row>
    <row r="1722" spans="1:25" ht="15.75" customHeight="1" x14ac:dyDescent="0.2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</row>
    <row r="1723" spans="1:25" ht="15.75" customHeight="1" x14ac:dyDescent="0.2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</row>
    <row r="1724" spans="1:25" ht="15.75" customHeight="1" x14ac:dyDescent="0.2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</row>
    <row r="1725" spans="1:25" ht="15.75" customHeight="1" x14ac:dyDescent="0.2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</row>
    <row r="1726" spans="1:25" ht="15.75" customHeight="1" x14ac:dyDescent="0.2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</row>
    <row r="1727" spans="1:25" ht="15.75" customHeight="1" x14ac:dyDescent="0.2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</row>
    <row r="1728" spans="1:25" ht="15.75" customHeight="1" x14ac:dyDescent="0.2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</row>
    <row r="1729" spans="1:25" ht="15.75" customHeight="1" x14ac:dyDescent="0.2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</row>
    <row r="1730" spans="1:25" ht="15.75" customHeight="1" x14ac:dyDescent="0.2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</row>
    <row r="1731" spans="1:25" ht="15.75" customHeight="1" x14ac:dyDescent="0.2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</row>
    <row r="1732" spans="1:25" ht="15.75" customHeight="1" x14ac:dyDescent="0.2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</row>
    <row r="1733" spans="1:25" ht="15.75" customHeight="1" x14ac:dyDescent="0.2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</row>
    <row r="1734" spans="1:25" ht="15.75" customHeight="1" x14ac:dyDescent="0.2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</row>
    <row r="1735" spans="1:25" ht="15.75" customHeight="1" x14ac:dyDescent="0.2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</row>
    <row r="1736" spans="1:25" ht="15.75" customHeight="1" x14ac:dyDescent="0.2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</row>
    <row r="1737" spans="1:25" ht="15.75" customHeight="1" x14ac:dyDescent="0.2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</row>
    <row r="1738" spans="1:25" ht="15.75" customHeight="1" x14ac:dyDescent="0.2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</row>
    <row r="1739" spans="1:25" ht="15.75" customHeight="1" x14ac:dyDescent="0.2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</row>
    <row r="1740" spans="1:25" ht="15.75" customHeight="1" x14ac:dyDescent="0.2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</row>
    <row r="1741" spans="1:25" ht="15.75" customHeight="1" x14ac:dyDescent="0.2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</row>
    <row r="1742" spans="1:25" ht="15.75" customHeight="1" x14ac:dyDescent="0.2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</row>
    <row r="1743" spans="1:25" ht="15.75" customHeight="1" x14ac:dyDescent="0.2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</row>
    <row r="1744" spans="1:25" ht="15.75" customHeight="1" x14ac:dyDescent="0.2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</row>
    <row r="1745" spans="1:25" ht="15.75" customHeight="1" x14ac:dyDescent="0.2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</row>
    <row r="1746" spans="1:25" ht="15.75" customHeight="1" x14ac:dyDescent="0.2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</row>
    <row r="1747" spans="1:25" ht="15.75" customHeight="1" x14ac:dyDescent="0.2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</row>
    <row r="1748" spans="1:25" ht="15.75" customHeight="1" x14ac:dyDescent="0.2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</row>
    <row r="1749" spans="1:25" ht="15.75" customHeight="1" x14ac:dyDescent="0.2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</row>
    <row r="1750" spans="1:25" ht="15.75" customHeight="1" x14ac:dyDescent="0.2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</row>
    <row r="1751" spans="1:25" ht="15.75" customHeight="1" x14ac:dyDescent="0.2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</row>
    <row r="1752" spans="1:25" ht="15.75" customHeight="1" x14ac:dyDescent="0.2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</row>
    <row r="1753" spans="1:25" ht="15.75" customHeight="1" x14ac:dyDescent="0.2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</row>
    <row r="1754" spans="1:25" ht="15.75" customHeight="1" x14ac:dyDescent="0.2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</row>
    <row r="1755" spans="1:25" ht="15.75" customHeight="1" x14ac:dyDescent="0.2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</row>
    <row r="1756" spans="1:25" ht="15.75" customHeight="1" x14ac:dyDescent="0.2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</row>
    <row r="1757" spans="1:25" ht="15.75" customHeight="1" x14ac:dyDescent="0.2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</row>
    <row r="1758" spans="1:25" ht="15.75" customHeight="1" x14ac:dyDescent="0.2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</row>
    <row r="1759" spans="1:25" ht="15.75" customHeight="1" x14ac:dyDescent="0.2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</row>
    <row r="1760" spans="1:25" ht="15.75" customHeight="1" x14ac:dyDescent="0.2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</row>
    <row r="1761" spans="1:25" ht="15.75" customHeight="1" x14ac:dyDescent="0.2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</row>
    <row r="1762" spans="1:25" ht="15.75" customHeight="1" x14ac:dyDescent="0.2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</row>
    <row r="1763" spans="1:25" ht="15.75" customHeight="1" x14ac:dyDescent="0.2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</row>
    <row r="1764" spans="1:25" ht="15.75" customHeight="1" x14ac:dyDescent="0.2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</row>
    <row r="1765" spans="1:25" ht="15.75" customHeight="1" x14ac:dyDescent="0.2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</row>
    <row r="1766" spans="1:25" ht="15.75" customHeight="1" x14ac:dyDescent="0.2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</row>
    <row r="1767" spans="1:25" ht="15.75" customHeight="1" x14ac:dyDescent="0.2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</row>
    <row r="1768" spans="1:25" ht="15.75" customHeight="1" x14ac:dyDescent="0.2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</row>
    <row r="1769" spans="1:25" ht="15.75" customHeight="1" x14ac:dyDescent="0.2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</row>
    <row r="1770" spans="1:25" ht="15.75" customHeight="1" x14ac:dyDescent="0.2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</row>
    <row r="1771" spans="1:25" ht="15.75" customHeight="1" x14ac:dyDescent="0.2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</row>
    <row r="1772" spans="1:25" ht="15.75" customHeight="1" x14ac:dyDescent="0.2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</row>
    <row r="1773" spans="1:25" ht="15.75" customHeight="1" x14ac:dyDescent="0.2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</row>
    <row r="1774" spans="1:25" ht="15.75" customHeight="1" x14ac:dyDescent="0.2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</row>
    <row r="1775" spans="1:25" ht="15.75" customHeight="1" x14ac:dyDescent="0.2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</row>
    <row r="1776" spans="1:25" ht="15.75" customHeight="1" x14ac:dyDescent="0.2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</row>
    <row r="1777" spans="1:25" ht="15.75" customHeight="1" x14ac:dyDescent="0.2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</row>
    <row r="1778" spans="1:25" ht="15.75" customHeight="1" x14ac:dyDescent="0.2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</row>
    <row r="1779" spans="1:25" ht="15.75" customHeight="1" x14ac:dyDescent="0.2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</row>
    <row r="1780" spans="1:25" ht="15.75" customHeight="1" x14ac:dyDescent="0.2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</row>
    <row r="1781" spans="1:25" ht="15.75" customHeight="1" x14ac:dyDescent="0.2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</row>
    <row r="1782" spans="1:25" ht="15.75" customHeight="1" x14ac:dyDescent="0.2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</row>
    <row r="1783" spans="1:25" ht="15.75" customHeight="1" x14ac:dyDescent="0.2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</row>
    <row r="1784" spans="1:25" ht="15.75" customHeight="1" x14ac:dyDescent="0.2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</row>
    <row r="1785" spans="1:25" ht="15.75" customHeight="1" x14ac:dyDescent="0.2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</row>
    <row r="1786" spans="1:25" ht="15.75" customHeight="1" x14ac:dyDescent="0.2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</row>
    <row r="1787" spans="1:25" ht="15.75" customHeight="1" x14ac:dyDescent="0.2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</row>
    <row r="1788" spans="1:25" ht="15.75" customHeight="1" x14ac:dyDescent="0.2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</row>
    <row r="1789" spans="1:25" ht="15.75" customHeight="1" x14ac:dyDescent="0.2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</row>
    <row r="1790" spans="1:25" ht="15.75" customHeight="1" x14ac:dyDescent="0.2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</row>
    <row r="1791" spans="1:25" ht="15.75" customHeight="1" x14ac:dyDescent="0.2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</row>
    <row r="1792" spans="1:25" ht="15.75" customHeight="1" x14ac:dyDescent="0.2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</row>
    <row r="1793" spans="1:25" ht="15.75" customHeight="1" x14ac:dyDescent="0.2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</row>
    <row r="1794" spans="1:25" ht="15.75" customHeight="1" x14ac:dyDescent="0.2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</row>
    <row r="1795" spans="1:25" ht="15.75" customHeight="1" x14ac:dyDescent="0.2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</row>
    <row r="1796" spans="1:25" ht="15.75" customHeight="1" x14ac:dyDescent="0.2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</row>
    <row r="1797" spans="1:25" ht="15.75" customHeight="1" x14ac:dyDescent="0.2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</row>
    <row r="1798" spans="1:25" ht="15.75" customHeight="1" x14ac:dyDescent="0.2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</row>
    <row r="1799" spans="1:25" ht="15.75" customHeight="1" x14ac:dyDescent="0.2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</row>
    <row r="1800" spans="1:25" ht="15.75" customHeight="1" x14ac:dyDescent="0.2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</row>
    <row r="1801" spans="1:25" ht="15.75" customHeight="1" x14ac:dyDescent="0.2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</row>
    <row r="1802" spans="1:25" ht="15.75" customHeight="1" x14ac:dyDescent="0.2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</row>
    <row r="1803" spans="1:25" ht="15.75" customHeight="1" x14ac:dyDescent="0.2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</row>
    <row r="1804" spans="1:25" ht="15.75" customHeight="1" x14ac:dyDescent="0.2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</row>
    <row r="1805" spans="1:25" ht="15.75" customHeight="1" x14ac:dyDescent="0.2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</row>
    <row r="1806" spans="1:25" ht="15.75" customHeight="1" x14ac:dyDescent="0.2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</row>
    <row r="1807" spans="1:25" ht="15.75" customHeight="1" x14ac:dyDescent="0.2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</row>
    <row r="1808" spans="1:25" ht="15.75" customHeight="1" x14ac:dyDescent="0.2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</row>
    <row r="1809" spans="1:25" ht="15.75" customHeight="1" x14ac:dyDescent="0.2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</row>
    <row r="1810" spans="1:25" ht="15.75" customHeight="1" x14ac:dyDescent="0.2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</row>
    <row r="1811" spans="1:25" ht="15.75" customHeight="1" x14ac:dyDescent="0.2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</row>
    <row r="1812" spans="1:25" ht="15.75" customHeight="1" x14ac:dyDescent="0.2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</row>
    <row r="1813" spans="1:25" ht="15.75" customHeight="1" x14ac:dyDescent="0.2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</row>
    <row r="1814" spans="1:25" ht="15.75" customHeight="1" x14ac:dyDescent="0.2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</row>
    <row r="1815" spans="1:25" ht="15.75" customHeight="1" x14ac:dyDescent="0.2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</row>
    <row r="1816" spans="1:25" ht="15.75" customHeight="1" x14ac:dyDescent="0.2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</row>
    <row r="1817" spans="1:25" ht="15.75" customHeight="1" x14ac:dyDescent="0.2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</row>
    <row r="1818" spans="1:25" ht="15.75" customHeight="1" x14ac:dyDescent="0.2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</row>
    <row r="1819" spans="1:25" ht="15.75" customHeight="1" x14ac:dyDescent="0.2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</row>
  </sheetData>
  <mergeCells count="17">
    <mergeCell ref="A2:C2"/>
    <mergeCell ref="I2:K2"/>
    <mergeCell ref="A36:C36"/>
    <mergeCell ref="I36:K36"/>
    <mergeCell ref="A65:C65"/>
    <mergeCell ref="I65:K65"/>
    <mergeCell ref="U252:W252"/>
    <mergeCell ref="U287:W287"/>
    <mergeCell ref="A90:C90"/>
    <mergeCell ref="A121:C121"/>
    <mergeCell ref="A156:C156"/>
    <mergeCell ref="A157:C157"/>
    <mergeCell ref="A171:C171"/>
    <mergeCell ref="I171:K171"/>
    <mergeCell ref="U199:W199"/>
    <mergeCell ref="I90:K90"/>
    <mergeCell ref="A195:B195"/>
  </mergeCells>
  <printOptions horizontalCentered="1"/>
  <pageMargins left="0.25" right="0.25" top="0.75" bottom="0.75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05-11-2025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 Fede</dc:creator>
  <cp:lastModifiedBy>Microsoft Office User</cp:lastModifiedBy>
  <dcterms:created xsi:type="dcterms:W3CDTF">2024-12-01T23:15:56Z</dcterms:created>
  <dcterms:modified xsi:type="dcterms:W3CDTF">2026-02-26T19:56:55Z</dcterms:modified>
</cp:coreProperties>
</file>